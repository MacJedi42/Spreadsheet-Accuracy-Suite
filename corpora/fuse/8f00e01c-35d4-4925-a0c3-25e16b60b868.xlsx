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0115" windowHeight="7485"/>
  </bookViews>
  <sheets>
    <sheet name="Table S6" sheetId="12" r:id="rId1"/>
  </sheets>
  <externalReferences>
    <externalReference r:id="rId2"/>
  </externalReferences>
  <calcPr calcId="125725"/>
</workbook>
</file>

<file path=xl/calcChain.xml><?xml version="1.0" encoding="utf-8"?>
<calcChain xmlns="http://schemas.openxmlformats.org/spreadsheetml/2006/main">
  <c r="Q354" i="12"/>
  <c r="P354"/>
  <c r="M354"/>
  <c r="J354"/>
  <c r="I354"/>
  <c r="Q353"/>
  <c r="P353"/>
  <c r="M353"/>
  <c r="J353"/>
  <c r="I353"/>
  <c r="Q352"/>
  <c r="P352"/>
  <c r="M352"/>
  <c r="J352"/>
  <c r="I352"/>
  <c r="Q351"/>
  <c r="P351"/>
  <c r="M351"/>
  <c r="J351"/>
  <c r="I351"/>
  <c r="Q350"/>
  <c r="P350"/>
  <c r="M350"/>
  <c r="J350"/>
  <c r="I350"/>
  <c r="Q349"/>
  <c r="P349"/>
  <c r="J349"/>
  <c r="I349"/>
  <c r="Q348"/>
  <c r="P348"/>
  <c r="J348"/>
  <c r="I348"/>
  <c r="Q347"/>
  <c r="P347"/>
  <c r="J347"/>
  <c r="I347"/>
  <c r="Q346"/>
  <c r="P346"/>
  <c r="M346"/>
  <c r="J346"/>
  <c r="I346"/>
  <c r="Q345"/>
  <c r="P345"/>
  <c r="J345"/>
  <c r="I345"/>
  <c r="Q344"/>
  <c r="P344"/>
  <c r="M344"/>
  <c r="J344"/>
  <c r="I344"/>
  <c r="Q343"/>
  <c r="P343"/>
  <c r="M343"/>
  <c r="J343"/>
  <c r="I343"/>
  <c r="Q342"/>
  <c r="P342"/>
  <c r="M342"/>
  <c r="J342"/>
  <c r="I342"/>
  <c r="Q341"/>
  <c r="P341"/>
  <c r="M341"/>
  <c r="J341"/>
  <c r="I341"/>
  <c r="Q340"/>
  <c r="P340"/>
  <c r="J340"/>
  <c r="I340"/>
  <c r="Q339"/>
  <c r="P339"/>
  <c r="M339"/>
  <c r="J339"/>
  <c r="I339"/>
  <c r="Q338"/>
  <c r="P338"/>
  <c r="M338"/>
  <c r="J338"/>
  <c r="I338"/>
  <c r="Q337"/>
  <c r="P337"/>
  <c r="M337"/>
  <c r="J337"/>
  <c r="I337"/>
  <c r="Q336"/>
  <c r="P336"/>
  <c r="M336"/>
  <c r="J336"/>
  <c r="I336"/>
  <c r="Q335"/>
  <c r="P335"/>
  <c r="M335"/>
  <c r="J335"/>
  <c r="I335"/>
  <c r="Q334"/>
  <c r="P334"/>
  <c r="J334"/>
  <c r="I334"/>
  <c r="Q333"/>
  <c r="P333"/>
  <c r="J333"/>
  <c r="I333"/>
  <c r="Q332"/>
  <c r="P332"/>
  <c r="J332"/>
  <c r="I332"/>
  <c r="Q331"/>
  <c r="P331"/>
  <c r="M331"/>
  <c r="J331"/>
  <c r="I331"/>
  <c r="Q330"/>
  <c r="P330"/>
  <c r="M330"/>
  <c r="J330"/>
  <c r="I330"/>
  <c r="Q329"/>
  <c r="P329"/>
  <c r="M329"/>
  <c r="J329"/>
  <c r="I329"/>
  <c r="Q328"/>
  <c r="P328"/>
  <c r="M328"/>
  <c r="J328"/>
  <c r="I328"/>
  <c r="Q327"/>
  <c r="P327"/>
  <c r="M327"/>
  <c r="J327"/>
  <c r="I327"/>
  <c r="Q326"/>
  <c r="P326"/>
  <c r="M326"/>
  <c r="J326"/>
  <c r="I326"/>
  <c r="Q325"/>
  <c r="P325"/>
  <c r="M325"/>
  <c r="J325"/>
  <c r="I325"/>
  <c r="Q324"/>
  <c r="P324"/>
  <c r="M324"/>
  <c r="J324"/>
  <c r="I324"/>
  <c r="Q323"/>
  <c r="P323"/>
  <c r="J323"/>
  <c r="I323"/>
  <c r="Q322"/>
  <c r="P322"/>
  <c r="J322"/>
  <c r="I322"/>
  <c r="Q321"/>
  <c r="P321"/>
  <c r="M321"/>
  <c r="J321"/>
  <c r="I321"/>
  <c r="Q320"/>
  <c r="P320"/>
  <c r="M320"/>
  <c r="J320"/>
  <c r="I320"/>
  <c r="Q319"/>
  <c r="P319"/>
  <c r="J319"/>
  <c r="I319"/>
  <c r="Q318"/>
  <c r="P318"/>
  <c r="M318"/>
  <c r="J318"/>
  <c r="I318"/>
  <c r="Q317"/>
  <c r="P317"/>
  <c r="M317"/>
  <c r="J317"/>
  <c r="I317"/>
  <c r="Q316"/>
  <c r="P316"/>
  <c r="M316"/>
  <c r="J316"/>
  <c r="I316"/>
  <c r="Q315"/>
  <c r="P315"/>
  <c r="M315"/>
  <c r="J315"/>
  <c r="I315"/>
  <c r="Q314"/>
  <c r="P314"/>
  <c r="M314"/>
  <c r="J314"/>
  <c r="I314"/>
  <c r="Q313"/>
  <c r="P313"/>
  <c r="M313"/>
  <c r="J313"/>
  <c r="I313"/>
  <c r="Q312"/>
  <c r="P312"/>
  <c r="J312"/>
  <c r="I312"/>
  <c r="Q311"/>
  <c r="P311"/>
  <c r="M311"/>
  <c r="J311"/>
  <c r="I311"/>
  <c r="Q310"/>
  <c r="P310"/>
  <c r="M310"/>
  <c r="J310"/>
  <c r="I310"/>
  <c r="Q309"/>
  <c r="P309"/>
  <c r="M309"/>
  <c r="J309"/>
  <c r="I309"/>
  <c r="Q308"/>
  <c r="P308"/>
  <c r="M308"/>
  <c r="J308"/>
  <c r="I308"/>
  <c r="Q307"/>
  <c r="P307"/>
  <c r="M307"/>
  <c r="J307"/>
  <c r="I307"/>
  <c r="Q306"/>
  <c r="P306"/>
  <c r="M306"/>
  <c r="J306"/>
  <c r="I306"/>
  <c r="Q305"/>
  <c r="P305"/>
  <c r="M305"/>
  <c r="J305"/>
  <c r="I305"/>
  <c r="Q304"/>
  <c r="P304"/>
  <c r="M304"/>
  <c r="J304"/>
  <c r="I304"/>
  <c r="Q303"/>
  <c r="P303"/>
  <c r="M303"/>
  <c r="J303"/>
  <c r="I303"/>
  <c r="Q302"/>
  <c r="P302"/>
  <c r="M302"/>
  <c r="J302"/>
  <c r="I302"/>
  <c r="Q301"/>
  <c r="P301"/>
  <c r="M301"/>
  <c r="J301"/>
  <c r="I301"/>
  <c r="Q300"/>
  <c r="P300"/>
  <c r="M300"/>
  <c r="J300"/>
  <c r="I300"/>
  <c r="Q299"/>
  <c r="P299"/>
  <c r="M299"/>
  <c r="J299"/>
  <c r="I299"/>
  <c r="Q298"/>
  <c r="P298"/>
  <c r="M298"/>
  <c r="J298"/>
  <c r="I298"/>
  <c r="Q297"/>
  <c r="P297"/>
  <c r="M297"/>
  <c r="J297"/>
  <c r="I297"/>
  <c r="Q296"/>
  <c r="P296"/>
  <c r="M296"/>
  <c r="J296"/>
  <c r="I296"/>
  <c r="Q295"/>
  <c r="P295"/>
  <c r="M295"/>
  <c r="J295"/>
  <c r="I295"/>
  <c r="Q294"/>
  <c r="P294"/>
  <c r="M294"/>
  <c r="J294"/>
  <c r="I294"/>
  <c r="Q293"/>
  <c r="P293"/>
  <c r="M293"/>
  <c r="J293"/>
  <c r="I293"/>
  <c r="Q292"/>
  <c r="P292"/>
  <c r="M292"/>
  <c r="J292"/>
  <c r="I292"/>
  <c r="Q291"/>
  <c r="P291"/>
  <c r="M291"/>
  <c r="J291"/>
  <c r="I291"/>
  <c r="Q290"/>
  <c r="P290"/>
  <c r="M290"/>
  <c r="J290"/>
  <c r="I290"/>
  <c r="Q289"/>
  <c r="P289"/>
  <c r="M289"/>
  <c r="J289"/>
  <c r="I289"/>
  <c r="Q288"/>
  <c r="P288"/>
  <c r="J288"/>
  <c r="I288"/>
  <c r="Q287"/>
  <c r="P287"/>
  <c r="M287"/>
  <c r="J287"/>
  <c r="I287"/>
  <c r="Q286"/>
  <c r="P286"/>
  <c r="M286"/>
  <c r="J286"/>
  <c r="I286"/>
  <c r="Q285"/>
  <c r="P285"/>
  <c r="M285"/>
  <c r="J285"/>
  <c r="I285"/>
  <c r="Q284"/>
  <c r="P284"/>
  <c r="M284"/>
  <c r="J284"/>
  <c r="I284"/>
  <c r="Q283"/>
  <c r="P283"/>
  <c r="J283"/>
  <c r="I283"/>
  <c r="Q282"/>
  <c r="P282"/>
  <c r="M282"/>
  <c r="J282"/>
  <c r="I282"/>
  <c r="Q281"/>
  <c r="P281"/>
  <c r="M281"/>
  <c r="J281"/>
  <c r="I281"/>
  <c r="Q280"/>
  <c r="P280"/>
  <c r="M280"/>
  <c r="J280"/>
  <c r="I280"/>
  <c r="Q279"/>
  <c r="P279"/>
  <c r="M279"/>
  <c r="J279"/>
  <c r="I279"/>
  <c r="Q278"/>
  <c r="P278"/>
  <c r="M278"/>
  <c r="J278"/>
  <c r="I278"/>
  <c r="Q277"/>
  <c r="P277"/>
  <c r="M277"/>
  <c r="J277"/>
  <c r="I277"/>
  <c r="Q276"/>
  <c r="P276"/>
  <c r="M276"/>
  <c r="J276"/>
  <c r="I276"/>
  <c r="Q275"/>
  <c r="P275"/>
  <c r="M275"/>
  <c r="J275"/>
  <c r="I275"/>
  <c r="Q274"/>
  <c r="P274"/>
  <c r="M274"/>
  <c r="J274"/>
  <c r="I274"/>
  <c r="Q273"/>
  <c r="P273"/>
  <c r="M273"/>
  <c r="J273"/>
  <c r="I273"/>
  <c r="Q272"/>
  <c r="P272"/>
  <c r="M272"/>
  <c r="J272"/>
  <c r="I272"/>
  <c r="Q271"/>
  <c r="P271"/>
  <c r="M271"/>
  <c r="J271"/>
  <c r="I271"/>
  <c r="Q270"/>
  <c r="P270"/>
  <c r="M270"/>
  <c r="J270"/>
  <c r="I270"/>
  <c r="Q269"/>
  <c r="P269"/>
  <c r="M269"/>
  <c r="J269"/>
  <c r="I269"/>
  <c r="Q268"/>
  <c r="P268"/>
  <c r="M268"/>
  <c r="J268"/>
  <c r="I268"/>
  <c r="Q267"/>
  <c r="P267"/>
  <c r="M267"/>
  <c r="J267"/>
  <c r="I267"/>
  <c r="Q266"/>
  <c r="P266"/>
  <c r="M266"/>
  <c r="J266"/>
  <c r="I266"/>
  <c r="Q265"/>
  <c r="P265"/>
  <c r="M265"/>
  <c r="J265"/>
  <c r="I265"/>
  <c r="Q264"/>
  <c r="P264"/>
  <c r="M264"/>
  <c r="J264"/>
  <c r="I264"/>
  <c r="Q263"/>
  <c r="P263"/>
  <c r="M263"/>
  <c r="J263"/>
  <c r="I263"/>
  <c r="Q262"/>
  <c r="P262"/>
  <c r="M262"/>
  <c r="J262"/>
  <c r="I262"/>
  <c r="Q261"/>
  <c r="P261"/>
  <c r="M261"/>
  <c r="J261"/>
  <c r="I261"/>
  <c r="Q260"/>
  <c r="P260"/>
  <c r="M260"/>
  <c r="J260"/>
  <c r="I260"/>
  <c r="Q259"/>
  <c r="P259"/>
  <c r="M259"/>
  <c r="J259"/>
  <c r="I259"/>
  <c r="Q258"/>
  <c r="P258"/>
  <c r="M258"/>
  <c r="J258"/>
  <c r="I258"/>
  <c r="Q257"/>
  <c r="P257"/>
  <c r="M257"/>
  <c r="J257"/>
  <c r="I257"/>
  <c r="Q256"/>
  <c r="P256"/>
  <c r="M256"/>
  <c r="J256"/>
  <c r="I256"/>
  <c r="Q255"/>
  <c r="P255"/>
  <c r="M255"/>
  <c r="J255"/>
  <c r="I255"/>
  <c r="Q254"/>
  <c r="P254"/>
  <c r="M254"/>
  <c r="J254"/>
  <c r="I254"/>
  <c r="Q253"/>
  <c r="P253"/>
  <c r="M253"/>
  <c r="J253"/>
  <c r="I253"/>
  <c r="Q252"/>
  <c r="P252"/>
  <c r="M252"/>
  <c r="J252"/>
  <c r="I252"/>
  <c r="Q251"/>
  <c r="P251"/>
  <c r="M251"/>
  <c r="J251"/>
  <c r="I251"/>
  <c r="Q250"/>
  <c r="P250"/>
  <c r="M250"/>
  <c r="J250"/>
  <c r="I250"/>
  <c r="Q249"/>
  <c r="P249"/>
  <c r="J249"/>
  <c r="I249"/>
  <c r="Q248"/>
  <c r="P248"/>
  <c r="M248"/>
  <c r="J248"/>
  <c r="I248"/>
  <c r="Q247"/>
  <c r="P247"/>
  <c r="M247"/>
  <c r="J247"/>
  <c r="I247"/>
  <c r="Q246"/>
  <c r="P246"/>
  <c r="M246"/>
  <c r="J246"/>
  <c r="I246"/>
  <c r="Q245"/>
  <c r="P245"/>
  <c r="M245"/>
  <c r="J245"/>
  <c r="I245"/>
  <c r="Q244"/>
  <c r="P244"/>
  <c r="M244"/>
  <c r="J244"/>
  <c r="I244"/>
  <c r="Q243"/>
  <c r="P243"/>
  <c r="M243"/>
  <c r="J243"/>
  <c r="I243"/>
  <c r="Q242"/>
  <c r="P242"/>
  <c r="M242"/>
  <c r="J242"/>
  <c r="I242"/>
  <c r="Q241"/>
  <c r="P241"/>
  <c r="M241"/>
  <c r="J241"/>
  <c r="I241"/>
  <c r="Q240"/>
  <c r="P240"/>
  <c r="M240"/>
  <c r="J240"/>
  <c r="I240"/>
  <c r="Q239"/>
  <c r="P239"/>
  <c r="M239"/>
  <c r="J239"/>
  <c r="I239"/>
  <c r="Q238"/>
  <c r="P238"/>
  <c r="M238"/>
  <c r="J238"/>
  <c r="I238"/>
  <c r="Q237"/>
  <c r="P237"/>
  <c r="M237"/>
  <c r="J237"/>
  <c r="I237"/>
  <c r="Q236"/>
  <c r="P236"/>
  <c r="J236"/>
  <c r="I236"/>
  <c r="Q235"/>
  <c r="P235"/>
  <c r="M235"/>
  <c r="J235"/>
  <c r="I235"/>
  <c r="Q234"/>
  <c r="P234"/>
  <c r="M234"/>
  <c r="J234"/>
  <c r="I234"/>
  <c r="Q233"/>
  <c r="P233"/>
  <c r="M233"/>
  <c r="J233"/>
  <c r="I233"/>
  <c r="Q232"/>
  <c r="P232"/>
  <c r="M232"/>
  <c r="J232"/>
  <c r="I232"/>
  <c r="Q231"/>
  <c r="P231"/>
  <c r="J231"/>
  <c r="I231"/>
  <c r="Q230"/>
  <c r="P230"/>
  <c r="M230"/>
  <c r="J230"/>
  <c r="I230"/>
  <c r="Q229"/>
  <c r="P229"/>
  <c r="M229"/>
  <c r="J229"/>
  <c r="I229"/>
  <c r="Q228"/>
  <c r="P228"/>
  <c r="M228"/>
  <c r="J228"/>
  <c r="I228"/>
  <c r="Q227"/>
  <c r="P227"/>
  <c r="M227"/>
  <c r="J227"/>
  <c r="I227"/>
  <c r="Q226"/>
  <c r="P226"/>
  <c r="J226"/>
  <c r="I226"/>
  <c r="Q225"/>
  <c r="P225"/>
  <c r="M225"/>
  <c r="J225"/>
  <c r="I225"/>
  <c r="Q224"/>
  <c r="P224"/>
  <c r="M224"/>
  <c r="J224"/>
  <c r="I224"/>
  <c r="Q223"/>
  <c r="P223"/>
  <c r="M223"/>
  <c r="J223"/>
  <c r="I223"/>
  <c r="Q222"/>
  <c r="P222"/>
  <c r="J222"/>
  <c r="I222"/>
  <c r="Q221"/>
  <c r="P221"/>
  <c r="J221"/>
  <c r="I221"/>
  <c r="Q220"/>
  <c r="P220"/>
  <c r="J220"/>
  <c r="I220"/>
  <c r="Q219"/>
  <c r="P219"/>
  <c r="M219"/>
  <c r="J219"/>
  <c r="I219"/>
  <c r="Q218"/>
  <c r="P218"/>
  <c r="M218"/>
  <c r="J218"/>
  <c r="I218"/>
  <c r="Q217"/>
  <c r="P217"/>
  <c r="M217"/>
  <c r="J217"/>
  <c r="I217"/>
  <c r="Q216"/>
  <c r="P216"/>
  <c r="M216"/>
  <c r="J216"/>
  <c r="I216"/>
  <c r="Q215"/>
  <c r="P215"/>
  <c r="M215"/>
  <c r="J215"/>
  <c r="I215"/>
  <c r="Q214"/>
  <c r="P214"/>
  <c r="J214"/>
  <c r="I214"/>
  <c r="Q213"/>
  <c r="P213"/>
  <c r="M213"/>
  <c r="J213"/>
  <c r="I213"/>
  <c r="Q212"/>
  <c r="P212"/>
  <c r="M212"/>
  <c r="J212"/>
  <c r="I212"/>
  <c r="Q211"/>
  <c r="P211"/>
  <c r="M211"/>
  <c r="J211"/>
  <c r="I211"/>
  <c r="Q210"/>
  <c r="P210"/>
  <c r="M210"/>
  <c r="J210"/>
  <c r="I210"/>
  <c r="Q209"/>
  <c r="P209"/>
  <c r="M209"/>
  <c r="J209"/>
  <c r="I209"/>
  <c r="Q208"/>
  <c r="P208"/>
  <c r="M208"/>
  <c r="J208"/>
  <c r="I208"/>
  <c r="Q207"/>
  <c r="P207"/>
  <c r="M207"/>
  <c r="J207"/>
  <c r="I207"/>
  <c r="Q206"/>
  <c r="P206"/>
  <c r="M206"/>
  <c r="J206"/>
  <c r="I206"/>
  <c r="Q205"/>
  <c r="P205"/>
  <c r="M205"/>
  <c r="J205"/>
  <c r="I205"/>
  <c r="Q204"/>
  <c r="P204"/>
  <c r="M204"/>
  <c r="J204"/>
  <c r="I204"/>
  <c r="Q203"/>
  <c r="P203"/>
  <c r="M203"/>
  <c r="J203"/>
  <c r="I203"/>
  <c r="Q202"/>
  <c r="P202"/>
  <c r="M202"/>
  <c r="J202"/>
  <c r="I202"/>
  <c r="Q201"/>
  <c r="P201"/>
  <c r="M201"/>
  <c r="J201"/>
  <c r="I201"/>
  <c r="Q200"/>
  <c r="P200"/>
  <c r="M200"/>
  <c r="J200"/>
  <c r="I200"/>
  <c r="Q199"/>
  <c r="P199"/>
  <c r="M199"/>
  <c r="J199"/>
  <c r="I199"/>
  <c r="Q198"/>
  <c r="P198"/>
  <c r="J198"/>
  <c r="I198"/>
  <c r="Q197"/>
  <c r="P197"/>
  <c r="M197"/>
  <c r="J197"/>
  <c r="I197"/>
  <c r="Q196"/>
  <c r="P196"/>
  <c r="M196"/>
  <c r="J196"/>
  <c r="I196"/>
  <c r="Q195"/>
  <c r="P195"/>
  <c r="M195"/>
  <c r="J195"/>
  <c r="I195"/>
  <c r="Q194"/>
  <c r="P194"/>
  <c r="M194"/>
  <c r="J194"/>
  <c r="I194"/>
  <c r="Q193"/>
  <c r="P193"/>
  <c r="M193"/>
  <c r="J193"/>
  <c r="I193"/>
  <c r="Q192"/>
  <c r="P192"/>
  <c r="M192"/>
  <c r="J192"/>
  <c r="I192"/>
  <c r="Q191"/>
  <c r="P191"/>
  <c r="M191"/>
  <c r="J191"/>
  <c r="I191"/>
  <c r="Q190"/>
  <c r="P190"/>
  <c r="M190"/>
  <c r="J190"/>
  <c r="I190"/>
  <c r="Q189"/>
  <c r="P189"/>
  <c r="M189"/>
  <c r="J189"/>
  <c r="I189"/>
  <c r="Q188"/>
  <c r="P188"/>
  <c r="M188"/>
  <c r="J188"/>
  <c r="I188"/>
  <c r="Q187"/>
  <c r="P187"/>
  <c r="J187"/>
  <c r="I187"/>
  <c r="Q186"/>
  <c r="P186"/>
  <c r="J186"/>
  <c r="I186"/>
  <c r="Q185"/>
  <c r="P185"/>
  <c r="M185"/>
  <c r="J185"/>
  <c r="I185"/>
  <c r="Q184"/>
  <c r="P184"/>
  <c r="M184"/>
  <c r="J184"/>
  <c r="I184"/>
  <c r="Q183"/>
  <c r="P183"/>
  <c r="M183"/>
  <c r="J183"/>
  <c r="I183"/>
  <c r="Q182"/>
  <c r="P182"/>
  <c r="M182"/>
  <c r="J182"/>
  <c r="I182"/>
  <c r="Q181"/>
  <c r="P181"/>
  <c r="J181"/>
  <c r="I181"/>
  <c r="Q180"/>
  <c r="P180"/>
  <c r="M180"/>
  <c r="J180"/>
  <c r="I180"/>
  <c r="Q179"/>
  <c r="P179"/>
  <c r="M179"/>
  <c r="J179"/>
  <c r="I179"/>
  <c r="Q178"/>
  <c r="P178"/>
  <c r="M178"/>
  <c r="J178"/>
  <c r="I178"/>
  <c r="Q177"/>
  <c r="P177"/>
  <c r="M177"/>
  <c r="J177"/>
  <c r="I177"/>
  <c r="Q176"/>
  <c r="P176"/>
  <c r="M176"/>
  <c r="J176"/>
  <c r="I176"/>
  <c r="Q175"/>
  <c r="P175"/>
  <c r="M175"/>
  <c r="J175"/>
  <c r="I175"/>
  <c r="Q174"/>
  <c r="P174"/>
  <c r="M174"/>
  <c r="J174"/>
  <c r="I174"/>
  <c r="Q173"/>
  <c r="P173"/>
  <c r="J173"/>
  <c r="I173"/>
  <c r="Q172"/>
  <c r="P172"/>
  <c r="M172"/>
  <c r="J172"/>
  <c r="I172"/>
  <c r="Q171"/>
  <c r="P171"/>
  <c r="M171"/>
  <c r="J171"/>
  <c r="I171"/>
  <c r="Q170"/>
  <c r="P170"/>
  <c r="M170"/>
  <c r="J170"/>
  <c r="I170"/>
  <c r="Q169"/>
  <c r="P169"/>
  <c r="M169"/>
  <c r="J169"/>
  <c r="I169"/>
  <c r="Q168"/>
  <c r="P168"/>
  <c r="M168"/>
  <c r="J168"/>
  <c r="I168"/>
  <c r="Q167"/>
  <c r="P167"/>
  <c r="M167"/>
  <c r="J167"/>
  <c r="I167"/>
  <c r="Q166"/>
  <c r="P166"/>
  <c r="M166"/>
  <c r="J166"/>
  <c r="I166"/>
  <c r="Q165"/>
  <c r="P165"/>
  <c r="J165"/>
  <c r="I165"/>
  <c r="Q164"/>
  <c r="P164"/>
  <c r="M164"/>
  <c r="J164"/>
  <c r="I164"/>
  <c r="Q163"/>
  <c r="P163"/>
  <c r="M163"/>
  <c r="J163"/>
  <c r="I163"/>
  <c r="Q162"/>
  <c r="P162"/>
  <c r="M162"/>
  <c r="J162"/>
  <c r="I162"/>
  <c r="Q161"/>
  <c r="P161"/>
  <c r="M161"/>
  <c r="J161"/>
  <c r="I161"/>
  <c r="Q160"/>
  <c r="P160"/>
  <c r="M160"/>
  <c r="J160"/>
  <c r="I160"/>
  <c r="Q159"/>
  <c r="P159"/>
  <c r="J159"/>
  <c r="I159"/>
  <c r="Q158"/>
  <c r="P158"/>
  <c r="M158"/>
  <c r="J158"/>
  <c r="I158"/>
  <c r="Q157"/>
  <c r="P157"/>
  <c r="M157"/>
  <c r="J157"/>
  <c r="I157"/>
  <c r="Q156"/>
  <c r="P156"/>
  <c r="M156"/>
  <c r="J156"/>
  <c r="I156"/>
  <c r="Q155"/>
  <c r="P155"/>
  <c r="M155"/>
  <c r="J155"/>
  <c r="I155"/>
  <c r="Q154"/>
  <c r="P154"/>
  <c r="J154"/>
  <c r="I154"/>
  <c r="Q153"/>
  <c r="P153"/>
  <c r="M153"/>
  <c r="J153"/>
  <c r="I153"/>
  <c r="Q152"/>
  <c r="P152"/>
  <c r="M152"/>
  <c r="J152"/>
  <c r="I152"/>
  <c r="Q151"/>
  <c r="P151"/>
  <c r="M151"/>
  <c r="J151"/>
  <c r="I151"/>
  <c r="Q150"/>
  <c r="P150"/>
  <c r="M150"/>
  <c r="J150"/>
  <c r="I150"/>
  <c r="Q149"/>
  <c r="P149"/>
  <c r="M149"/>
  <c r="J149"/>
  <c r="I149"/>
  <c r="Q148"/>
  <c r="P148"/>
  <c r="M148"/>
  <c r="J148"/>
  <c r="I148"/>
  <c r="Q147"/>
  <c r="P147"/>
  <c r="M147"/>
  <c r="J147"/>
  <c r="I147"/>
  <c r="Q146"/>
  <c r="P146"/>
  <c r="M146"/>
  <c r="J146"/>
  <c r="I146"/>
  <c r="Q145"/>
  <c r="P145"/>
  <c r="M145"/>
  <c r="J145"/>
  <c r="I145"/>
  <c r="Q144"/>
  <c r="P144"/>
  <c r="M144"/>
  <c r="J144"/>
  <c r="I144"/>
  <c r="Q143"/>
  <c r="P143"/>
  <c r="M143"/>
  <c r="J143"/>
  <c r="I143"/>
  <c r="Q142"/>
  <c r="P142"/>
  <c r="M142"/>
  <c r="J142"/>
  <c r="I142"/>
  <c r="Q141"/>
  <c r="P141"/>
  <c r="M141"/>
  <c r="J141"/>
  <c r="I141"/>
  <c r="Q140"/>
  <c r="P140"/>
  <c r="M140"/>
  <c r="J140"/>
  <c r="I140"/>
  <c r="Q139"/>
  <c r="P139"/>
  <c r="M139"/>
  <c r="J139"/>
  <c r="I139"/>
  <c r="Q138"/>
  <c r="P138"/>
  <c r="M138"/>
  <c r="J138"/>
  <c r="I138"/>
  <c r="Q137"/>
  <c r="P137"/>
  <c r="M137"/>
  <c r="J137"/>
  <c r="I137"/>
  <c r="Q136"/>
  <c r="P136"/>
  <c r="M136"/>
  <c r="J136"/>
  <c r="I136"/>
  <c r="Q135"/>
  <c r="P135"/>
  <c r="M135"/>
  <c r="J135"/>
  <c r="I135"/>
  <c r="Q134"/>
  <c r="P134"/>
  <c r="J134"/>
  <c r="I134"/>
  <c r="Q133"/>
  <c r="P133"/>
  <c r="M133"/>
  <c r="J133"/>
  <c r="I133"/>
  <c r="Q132"/>
  <c r="P132"/>
  <c r="M132"/>
  <c r="J132"/>
  <c r="I132"/>
  <c r="Q131"/>
  <c r="P131"/>
  <c r="M131"/>
  <c r="J131"/>
  <c r="I131"/>
  <c r="Q130"/>
  <c r="P130"/>
  <c r="M130"/>
  <c r="J130"/>
  <c r="I130"/>
  <c r="Q129"/>
  <c r="P129"/>
  <c r="M129"/>
  <c r="J129"/>
  <c r="I129"/>
  <c r="Q128"/>
  <c r="P128"/>
  <c r="M128"/>
  <c r="J128"/>
  <c r="I128"/>
  <c r="Q127"/>
  <c r="P127"/>
  <c r="M127"/>
  <c r="J127"/>
  <c r="I127"/>
  <c r="Q126"/>
  <c r="P126"/>
  <c r="M126"/>
  <c r="J126"/>
  <c r="I126"/>
  <c r="Q125"/>
  <c r="P125"/>
  <c r="M125"/>
  <c r="J125"/>
  <c r="I125"/>
  <c r="Q124"/>
  <c r="P124"/>
  <c r="M124"/>
  <c r="J124"/>
  <c r="I124"/>
  <c r="Q123"/>
  <c r="P123"/>
  <c r="M123"/>
  <c r="J123"/>
  <c r="I123"/>
  <c r="Q122"/>
  <c r="P122"/>
  <c r="M122"/>
  <c r="J122"/>
  <c r="I122"/>
  <c r="Q121"/>
  <c r="P121"/>
  <c r="M121"/>
  <c r="J121"/>
  <c r="I121"/>
  <c r="Q120"/>
  <c r="P120"/>
  <c r="M120"/>
  <c r="J120"/>
  <c r="I120"/>
  <c r="Q119"/>
  <c r="P119"/>
  <c r="M119"/>
  <c r="J119"/>
  <c r="I119"/>
  <c r="Q118"/>
  <c r="P118"/>
  <c r="M118"/>
  <c r="J118"/>
  <c r="I118"/>
  <c r="Q117"/>
  <c r="P117"/>
  <c r="M117"/>
  <c r="J117"/>
  <c r="I117"/>
  <c r="Q116"/>
  <c r="P116"/>
  <c r="M116"/>
  <c r="J116"/>
  <c r="I116"/>
  <c r="Q115"/>
  <c r="P115"/>
  <c r="M115"/>
  <c r="J115"/>
  <c r="I115"/>
  <c r="Q114"/>
  <c r="P114"/>
  <c r="M114"/>
  <c r="J114"/>
  <c r="I114"/>
  <c r="Q113"/>
  <c r="P113"/>
  <c r="M113"/>
  <c r="J113"/>
  <c r="I113"/>
  <c r="Q112"/>
  <c r="P112"/>
  <c r="M112"/>
  <c r="J112"/>
  <c r="I112"/>
  <c r="Q111"/>
  <c r="P111"/>
  <c r="M111"/>
  <c r="J111"/>
  <c r="I111"/>
  <c r="Q110"/>
  <c r="P110"/>
  <c r="M110"/>
  <c r="J110"/>
  <c r="I110"/>
  <c r="Q109"/>
  <c r="P109"/>
  <c r="M109"/>
  <c r="J109"/>
  <c r="I109"/>
  <c r="Q108"/>
  <c r="P108"/>
  <c r="M108"/>
  <c r="J108"/>
  <c r="I108"/>
  <c r="Q107"/>
  <c r="P107"/>
  <c r="M107"/>
  <c r="J107"/>
  <c r="I107"/>
  <c r="Q106"/>
  <c r="P106"/>
  <c r="M106"/>
  <c r="J106"/>
  <c r="I106"/>
  <c r="Q105"/>
  <c r="P105"/>
  <c r="J105"/>
  <c r="I105"/>
  <c r="Q104"/>
  <c r="P104"/>
  <c r="M104"/>
  <c r="J104"/>
  <c r="I104"/>
  <c r="Q103"/>
  <c r="P103"/>
  <c r="M103"/>
  <c r="J103"/>
  <c r="I103"/>
  <c r="Q102"/>
  <c r="P102"/>
  <c r="J102"/>
  <c r="I102"/>
  <c r="Q101"/>
  <c r="P101"/>
  <c r="J101"/>
  <c r="I101"/>
  <c r="Q100"/>
  <c r="P100"/>
  <c r="M100"/>
  <c r="J100"/>
  <c r="I100"/>
  <c r="Q99"/>
  <c r="P99"/>
  <c r="M99"/>
  <c r="J99"/>
  <c r="I99"/>
  <c r="Q98"/>
  <c r="P98"/>
  <c r="M98"/>
  <c r="J98"/>
  <c r="I98"/>
  <c r="Q97"/>
  <c r="P97"/>
  <c r="J97"/>
  <c r="I97"/>
  <c r="Q96"/>
  <c r="P96"/>
  <c r="J96"/>
  <c r="I96"/>
  <c r="Q95"/>
  <c r="P95"/>
  <c r="M95"/>
  <c r="J95"/>
  <c r="I95"/>
  <c r="Q94"/>
  <c r="P94"/>
  <c r="M94"/>
  <c r="J94"/>
  <c r="I94"/>
  <c r="Q93"/>
  <c r="P93"/>
  <c r="M93"/>
  <c r="J93"/>
  <c r="I93"/>
  <c r="Q92"/>
  <c r="P92"/>
  <c r="M92"/>
  <c r="J92"/>
  <c r="I92"/>
  <c r="Q91"/>
  <c r="P91"/>
  <c r="M91"/>
  <c r="J91"/>
  <c r="I91"/>
  <c r="Q90"/>
  <c r="P90"/>
  <c r="M90"/>
  <c r="J90"/>
  <c r="I90"/>
  <c r="Q89"/>
  <c r="P89"/>
  <c r="M89"/>
  <c r="J89"/>
  <c r="I89"/>
  <c r="Q88"/>
  <c r="P88"/>
  <c r="M88"/>
  <c r="J88"/>
  <c r="I88"/>
  <c r="Q87"/>
  <c r="P87"/>
  <c r="M87"/>
  <c r="J87"/>
  <c r="I87"/>
  <c r="Q86"/>
  <c r="P86"/>
  <c r="M86"/>
  <c r="J86"/>
  <c r="I86"/>
  <c r="Q85"/>
  <c r="P85"/>
  <c r="M85"/>
  <c r="J85"/>
  <c r="I85"/>
  <c r="Q84"/>
  <c r="P84"/>
  <c r="M84"/>
  <c r="J84"/>
  <c r="I84"/>
  <c r="Q83"/>
  <c r="P83"/>
  <c r="M83"/>
  <c r="J83"/>
  <c r="I83"/>
  <c r="Q82"/>
  <c r="P82"/>
  <c r="M82"/>
  <c r="J82"/>
  <c r="I82"/>
  <c r="Q81"/>
  <c r="P81"/>
  <c r="M81"/>
  <c r="J81"/>
  <c r="I81"/>
  <c r="Q80"/>
  <c r="P80"/>
  <c r="M80"/>
  <c r="J80"/>
  <c r="I80"/>
  <c r="Q79"/>
  <c r="P79"/>
  <c r="M79"/>
  <c r="J79"/>
  <c r="I79"/>
  <c r="Q78"/>
  <c r="P78"/>
  <c r="M78"/>
  <c r="J78"/>
  <c r="I78"/>
  <c r="Q77"/>
  <c r="P77"/>
  <c r="M77"/>
  <c r="J77"/>
  <c r="I77"/>
  <c r="Q76"/>
  <c r="P76"/>
  <c r="J76"/>
  <c r="I76"/>
  <c r="Q75"/>
  <c r="P75"/>
  <c r="J75"/>
  <c r="I75"/>
  <c r="Q74"/>
  <c r="P74"/>
  <c r="M74"/>
  <c r="J74"/>
  <c r="I74"/>
  <c r="Q73"/>
  <c r="P73"/>
  <c r="M73"/>
  <c r="J73"/>
  <c r="I73"/>
  <c r="Q72"/>
  <c r="P72"/>
  <c r="J72"/>
  <c r="I72"/>
  <c r="Q71"/>
  <c r="P71"/>
  <c r="M71"/>
  <c r="J71"/>
  <c r="I71"/>
  <c r="Q70"/>
  <c r="P70"/>
  <c r="M70"/>
  <c r="J70"/>
  <c r="I70"/>
  <c r="Q69"/>
  <c r="P69"/>
  <c r="M69"/>
  <c r="J69"/>
  <c r="I69"/>
  <c r="Q68"/>
  <c r="P68"/>
  <c r="J68"/>
  <c r="I68"/>
  <c r="Q67"/>
  <c r="P67"/>
  <c r="M67"/>
  <c r="J67"/>
  <c r="I67"/>
  <c r="Q66"/>
  <c r="P66"/>
  <c r="M66"/>
  <c r="J66"/>
  <c r="I66"/>
  <c r="Q65"/>
  <c r="P65"/>
  <c r="M65"/>
  <c r="J65"/>
  <c r="I65"/>
  <c r="Q64"/>
  <c r="P64"/>
  <c r="M64"/>
  <c r="J64"/>
  <c r="I64"/>
  <c r="Q63"/>
  <c r="P63"/>
  <c r="M63"/>
  <c r="J63"/>
  <c r="I63"/>
  <c r="Q62"/>
  <c r="P62"/>
  <c r="M62"/>
  <c r="J62"/>
  <c r="I62"/>
  <c r="Q61"/>
  <c r="P61"/>
  <c r="M61"/>
  <c r="J61"/>
  <c r="I61"/>
  <c r="Q60"/>
  <c r="P60"/>
  <c r="M60"/>
  <c r="J60"/>
  <c r="I60"/>
  <c r="Q59"/>
  <c r="P59"/>
  <c r="J59"/>
  <c r="I59"/>
  <c r="Q58"/>
  <c r="P58"/>
  <c r="M58"/>
  <c r="J58"/>
  <c r="I58"/>
  <c r="Q57"/>
  <c r="P57"/>
  <c r="M57"/>
  <c r="J57"/>
  <c r="I57"/>
  <c r="Q56"/>
  <c r="P56"/>
  <c r="M56"/>
  <c r="J56"/>
  <c r="I56"/>
  <c r="Q55"/>
  <c r="P55"/>
  <c r="M55"/>
  <c r="J55"/>
  <c r="I55"/>
  <c r="Q54"/>
  <c r="P54"/>
  <c r="M54"/>
  <c r="J54"/>
  <c r="I54"/>
  <c r="Q53"/>
  <c r="P53"/>
  <c r="M53"/>
  <c r="J53"/>
  <c r="I53"/>
  <c r="Q52"/>
  <c r="P52"/>
  <c r="M52"/>
  <c r="J52"/>
  <c r="I52"/>
  <c r="Q51"/>
  <c r="P51"/>
  <c r="M51"/>
  <c r="J51"/>
  <c r="I51"/>
  <c r="Q50"/>
  <c r="P50"/>
  <c r="J50"/>
  <c r="I50"/>
  <c r="Q49"/>
  <c r="P49"/>
  <c r="M49"/>
  <c r="J49"/>
  <c r="I49"/>
  <c r="Q48"/>
  <c r="P48"/>
  <c r="M48"/>
  <c r="J48"/>
  <c r="I48"/>
  <c r="Q47"/>
  <c r="P47"/>
  <c r="J47"/>
  <c r="I47"/>
  <c r="Q46"/>
  <c r="P46"/>
  <c r="M46"/>
  <c r="J46"/>
  <c r="I46"/>
  <c r="Q45"/>
  <c r="P45"/>
  <c r="M45"/>
  <c r="J45"/>
  <c r="I45"/>
  <c r="Q44"/>
  <c r="P44"/>
  <c r="M44"/>
  <c r="J44"/>
  <c r="I44"/>
  <c r="Q43"/>
  <c r="P43"/>
  <c r="M43"/>
  <c r="J43"/>
  <c r="I43"/>
  <c r="Q42"/>
  <c r="P42"/>
  <c r="M42"/>
  <c r="J42"/>
  <c r="I42"/>
  <c r="Q41"/>
  <c r="P41"/>
  <c r="M41"/>
  <c r="J41"/>
  <c r="I41"/>
  <c r="Q40"/>
  <c r="P40"/>
  <c r="M40"/>
  <c r="J40"/>
  <c r="I40"/>
  <c r="Q39"/>
  <c r="P39"/>
  <c r="J39"/>
  <c r="I39"/>
  <c r="Q38"/>
  <c r="P38"/>
  <c r="M38"/>
  <c r="J38"/>
  <c r="I38"/>
  <c r="Q37"/>
  <c r="P37"/>
  <c r="M37"/>
  <c r="J37"/>
  <c r="I37"/>
  <c r="Q36"/>
  <c r="P36"/>
  <c r="M36"/>
  <c r="J36"/>
  <c r="I36"/>
  <c r="Q35"/>
  <c r="P35"/>
  <c r="M35"/>
  <c r="J35"/>
  <c r="I35"/>
  <c r="Q34"/>
  <c r="P34"/>
  <c r="M34"/>
  <c r="J34"/>
  <c r="I34"/>
  <c r="Q33"/>
  <c r="P33"/>
  <c r="J33"/>
  <c r="I33"/>
  <c r="Q32"/>
  <c r="P32"/>
  <c r="M32"/>
  <c r="J32"/>
  <c r="I32"/>
  <c r="Q31"/>
  <c r="P31"/>
  <c r="J31"/>
  <c r="I31"/>
  <c r="Q30"/>
  <c r="P30"/>
  <c r="J30"/>
  <c r="I30"/>
  <c r="Q29"/>
  <c r="P29"/>
  <c r="J29"/>
  <c r="I29"/>
  <c r="Q28"/>
  <c r="P28"/>
  <c r="M28"/>
  <c r="J28"/>
  <c r="I28"/>
  <c r="Q27"/>
  <c r="P27"/>
  <c r="M27"/>
  <c r="J27"/>
  <c r="I27"/>
  <c r="Q26"/>
  <c r="P26"/>
  <c r="M26"/>
  <c r="J26"/>
  <c r="I26"/>
  <c r="Q25"/>
  <c r="P25"/>
  <c r="M25"/>
  <c r="J25"/>
  <c r="I25"/>
  <c r="Q24"/>
  <c r="P24"/>
  <c r="M24"/>
  <c r="J24"/>
  <c r="I24"/>
  <c r="Q23"/>
  <c r="P23"/>
  <c r="M23"/>
  <c r="J23"/>
  <c r="I23"/>
  <c r="Q22"/>
  <c r="P22"/>
  <c r="M22"/>
  <c r="J22"/>
  <c r="I22"/>
  <c r="Q21"/>
  <c r="P21"/>
  <c r="M21"/>
  <c r="J21"/>
  <c r="I21"/>
  <c r="Q20"/>
  <c r="P20"/>
  <c r="M20"/>
  <c r="J20"/>
  <c r="I20"/>
  <c r="Q19"/>
  <c r="P19"/>
  <c r="M19"/>
  <c r="J19"/>
  <c r="I19"/>
  <c r="Q18"/>
  <c r="P18"/>
  <c r="M18"/>
  <c r="J18"/>
  <c r="I18"/>
  <c r="Q17"/>
  <c r="P17"/>
  <c r="M17"/>
  <c r="J17"/>
  <c r="I17"/>
  <c r="Q16"/>
  <c r="P16"/>
  <c r="M16"/>
  <c r="J16"/>
  <c r="I16"/>
  <c r="Q15"/>
  <c r="P15"/>
  <c r="M15"/>
  <c r="J15"/>
  <c r="I15"/>
  <c r="Q14"/>
  <c r="P14"/>
  <c r="M14"/>
  <c r="J14"/>
  <c r="I14"/>
  <c r="Q13"/>
  <c r="P13"/>
  <c r="M13"/>
  <c r="J13"/>
  <c r="I13"/>
  <c r="Q12"/>
  <c r="P12"/>
  <c r="M12"/>
  <c r="J12"/>
  <c r="I12"/>
  <c r="Q11"/>
  <c r="P11"/>
  <c r="M11"/>
  <c r="J11"/>
  <c r="I11"/>
  <c r="Q10"/>
  <c r="P10"/>
  <c r="M10"/>
  <c r="J10"/>
  <c r="I10"/>
  <c r="Q9"/>
  <c r="P9"/>
  <c r="M9"/>
  <c r="J9"/>
  <c r="I9"/>
  <c r="Q8"/>
  <c r="P8"/>
  <c r="J8"/>
  <c r="I8"/>
  <c r="Q7"/>
  <c r="P7"/>
  <c r="M7"/>
  <c r="J7"/>
  <c r="I7"/>
  <c r="Q6"/>
  <c r="P6"/>
  <c r="M6"/>
  <c r="J6"/>
  <c r="I6"/>
  <c r="Q5"/>
  <c r="P5"/>
  <c r="M5"/>
  <c r="J5"/>
  <c r="I5"/>
  <c r="Q4"/>
  <c r="P4"/>
  <c r="M4"/>
  <c r="J4"/>
  <c r="I4"/>
  <c r="Q3"/>
  <c r="P3"/>
  <c r="M3"/>
  <c r="J3"/>
  <c r="I3"/>
  <c r="Q2"/>
  <c r="P2"/>
  <c r="M2"/>
  <c r="J2"/>
  <c r="I2"/>
</calcChain>
</file>

<file path=xl/sharedStrings.xml><?xml version="1.0" encoding="utf-8"?>
<sst xmlns="http://schemas.openxmlformats.org/spreadsheetml/2006/main" count="1076" uniqueCount="647">
  <si>
    <t>% Coverage</t>
  </si>
  <si>
    <t xml:space="preserve">Total reads </t>
  </si>
  <si>
    <t>E value</t>
  </si>
  <si>
    <t>Comments</t>
  </si>
  <si>
    <t>Class</t>
  </si>
  <si>
    <t>DBase</t>
  </si>
  <si>
    <t>Evalue</t>
  </si>
  <si>
    <t>Best match to NR-LIGHT protein database</t>
  </si>
  <si>
    <t>Unknown product</t>
  </si>
  <si>
    <t>uk</t>
  </si>
  <si>
    <t>cs</t>
  </si>
  <si>
    <t>met/energy</t>
  </si>
  <si>
    <t>pe</t>
  </si>
  <si>
    <t>nr</t>
  </si>
  <si>
    <t>Glyceraldehyde 3-phosphate dehydrogenase</t>
  </si>
  <si>
    <t>met/carb</t>
  </si>
  <si>
    <t>tm</t>
  </si>
  <si>
    <t>hypothetical protein</t>
  </si>
  <si>
    <t>tr</t>
  </si>
  <si>
    <t>tf</t>
  </si>
  <si>
    <t>st/apoptosis</t>
  </si>
  <si>
    <t>st</t>
  </si>
  <si>
    <t>detox</t>
  </si>
  <si>
    <t>uc</t>
  </si>
  <si>
    <t>imm</t>
  </si>
  <si>
    <t>hypothetical conserved protein</t>
  </si>
  <si>
    <t>prot</t>
  </si>
  <si>
    <t>te</t>
  </si>
  <si>
    <t>ps</t>
  </si>
  <si>
    <t>Cell wall protein DAN4</t>
  </si>
  <si>
    <t>extmat</t>
  </si>
  <si>
    <t>Sulfatase</t>
  </si>
  <si>
    <t>Asparaginase</t>
  </si>
  <si>
    <t>met/aa</t>
  </si>
  <si>
    <t>met/int</t>
  </si>
  <si>
    <t>met/nuc</t>
  </si>
  <si>
    <t>Mitochondrial solute carrier protein</t>
  </si>
  <si>
    <t>Glycine/serine hydroxymethyltransferase</t>
  </si>
  <si>
    <t>CAATT-binding transcription factor/60S ribosomal subunit biogenesis protein</t>
  </si>
  <si>
    <t>Myosin class II heavy chain</t>
  </si>
  <si>
    <t>pm</t>
  </si>
  <si>
    <t>heat shock protein HtpG</t>
  </si>
  <si>
    <t>met/lipd</t>
  </si>
  <si>
    <t>pm/protease</t>
  </si>
  <si>
    <t>uncharacterized conserved protein</t>
  </si>
  <si>
    <t>RhoA GTPase effector DIA/Diaphanous</t>
  </si>
  <si>
    <t>storage/</t>
  </si>
  <si>
    <t>s/protinh</t>
  </si>
  <si>
    <t>s/</t>
  </si>
  <si>
    <t>rRNA processing protein Rrp5</t>
  </si>
  <si>
    <t>Trypsin</t>
  </si>
  <si>
    <t>HIV-1 Vpr-binding protein</t>
  </si>
  <si>
    <t>Carbon-nitrogen hydrolase</t>
  </si>
  <si>
    <t>midgut trypsin</t>
  </si>
  <si>
    <t>ab-tri_asb-10449</t>
  </si>
  <si>
    <t>cation transmembrane transporter - transmembrane transport - cation transport - membrane - tricarboxylate secondary active transmembrane transporter</t>
  </si>
  <si>
    <t>heat shock protein 70</t>
  </si>
  <si>
    <t>ab-tri_asb-10513</t>
  </si>
  <si>
    <t>T-complex chaperonin 5 isoform A</t>
  </si>
  <si>
    <t>G protein-coupled receptor</t>
  </si>
  <si>
    <t>Ubiquitin/40S ribosomal protein S27a fusion</t>
  </si>
  <si>
    <t>Amino acid transporters</t>
  </si>
  <si>
    <t>Cytochrome P450 CYP4/CYP19/CYP26 subfamilies</t>
  </si>
  <si>
    <t>detox/ox</t>
  </si>
  <si>
    <t>membrane protein</t>
  </si>
  <si>
    <t>NADP+-dependent malic enzyme</t>
  </si>
  <si>
    <t>polyprotein</t>
  </si>
  <si>
    <t>endonuclease</t>
  </si>
  <si>
    <t>Sodium-neurotransmitter symporter</t>
  </si>
  <si>
    <t>ab-tri_asb-10728</t>
  </si>
  <si>
    <t>Flavin-containing amine oxidase</t>
  </si>
  <si>
    <t>Synaptic vesicle transporter SVOP</t>
  </si>
  <si>
    <t>Calmodulin</t>
  </si>
  <si>
    <t>ne</t>
  </si>
  <si>
    <t>NADH dehydrogenase subunit 4</t>
  </si>
  <si>
    <t>Stretchin-Mlck - microtubule associated complex - ATP binding - protein serine/threonine kinase - structural constituent of cytoskeleton - protein</t>
  </si>
  <si>
    <t>ab-tri_asb-10940</t>
  </si>
  <si>
    <t>Methylmalonate semialdehyde dehydrogenase</t>
  </si>
  <si>
    <t>Aldehyde dehydrogenase</t>
  </si>
  <si>
    <t>hypothetical secreted conserved protein</t>
  </si>
  <si>
    <t>Glutamine phosphoribosylpyrophosphate amidotransferase</t>
  </si>
  <si>
    <t>Bax-mediated apoptosis inhibitor TEGT/BI-1</t>
  </si>
  <si>
    <t>ATP synthase F0 subunit 6</t>
  </si>
  <si>
    <t>Fatty acid desaturase</t>
  </si>
  <si>
    <t>Enolase</t>
  </si>
  <si>
    <t>vir/</t>
  </si>
  <si>
    <t>Glossina morsitans morsitans 16S ribosomal RNA gene mitochondrial gene for mitochondrial RNA partial sequence</t>
  </si>
  <si>
    <t>integrin beta-like 1 - cell-matrix adhesion - receptor - integrin complex - cell adhesion - integrin-mediated signaling pathway - binding</t>
  </si>
  <si>
    <t>retrotransposon protein</t>
  </si>
  <si>
    <t>Xanthine dehydrogenase</t>
  </si>
  <si>
    <t>Thiolester containing protein II - defense response to Gram-negative bacterium - phagocytosis engulfment - extracellular space - endopeptidase</t>
  </si>
  <si>
    <t>ab-tri_asb-11537</t>
  </si>
  <si>
    <t>glutathione S-transferase</t>
  </si>
  <si>
    <t>ab-tri_asb-11596</t>
  </si>
  <si>
    <t>Isovaleryl-CoA dehydrogenase</t>
  </si>
  <si>
    <t>Haemolymph juvenile hormone binding protein</t>
  </si>
  <si>
    <t>ab-tri_asb-11778</t>
  </si>
  <si>
    <t>Major royal jelly protein</t>
  </si>
  <si>
    <t>Chitin binding Peritrophin-A domain</t>
  </si>
  <si>
    <t>Chitin-binding domain type 2</t>
  </si>
  <si>
    <t>Microsomal triglyceride transfer protein</t>
  </si>
  <si>
    <t>trypsin</t>
  </si>
  <si>
    <t>ab-tri_asb-12363</t>
  </si>
  <si>
    <t>Tyrosine aminotransferase</t>
  </si>
  <si>
    <t>Angiotensin I-converting enzymes - M2 family peptidases</t>
  </si>
  <si>
    <t>ab-tri_asb-12692</t>
  </si>
  <si>
    <t>cysteine proteinase cathepsin L</t>
  </si>
  <si>
    <t>Phosphoenolpyruvate carboxykinase</t>
  </si>
  <si>
    <t>ab-tri_asb-12713</t>
  </si>
  <si>
    <t>Predicted mitochondrial carrier protein</t>
  </si>
  <si>
    <t>Actin-related protein - Arp4p/Act3p</t>
  </si>
  <si>
    <t>Aromatic amino acid hydroxylase</t>
  </si>
  <si>
    <t>proteolysis - serine-type endopeptidase</t>
  </si>
  <si>
    <t>Drosophila persimilis ribosomal RNA (Dper\28SrRNA:GL28069) rRNA</t>
  </si>
  <si>
    <t>Creatine kinases</t>
  </si>
  <si>
    <t>ribosomal protein L22</t>
  </si>
  <si>
    <t>60S ribosomal protein L22</t>
  </si>
  <si>
    <t>Carnitine O-acyltransferase CRAT</t>
  </si>
  <si>
    <t>Alpha tubulin</t>
  </si>
  <si>
    <t>Beta tubulin</t>
  </si>
  <si>
    <t>ab-tri_asb-13448</t>
  </si>
  <si>
    <t>Peroxisomal phytanoyl-CoA hydroxylase</t>
  </si>
  <si>
    <t>ab-tri_asb-1367</t>
  </si>
  <si>
    <t>CG10383</t>
  </si>
  <si>
    <t>ab-tri_asb-13713</t>
  </si>
  <si>
    <t>Phosphorylcholine transferase/cholinephosphate cytidylyltransferase</t>
  </si>
  <si>
    <t>ab-tri_asb-13733</t>
  </si>
  <si>
    <t>ab-tri_asb-13926</t>
  </si>
  <si>
    <t>gmfb8b</t>
  </si>
  <si>
    <t>ab-tri_asb-1394</t>
  </si>
  <si>
    <t>ab-tri_asb-14076</t>
  </si>
  <si>
    <t>Ribosomal L38e protein family</t>
  </si>
  <si>
    <t>ab-tri_asb-14138</t>
  </si>
  <si>
    <t>40S ribosomal protein S29</t>
  </si>
  <si>
    <t>Triglyceride lipase-cholesterol esterase</t>
  </si>
  <si>
    <t>ab-tri_asb-14199</t>
  </si>
  <si>
    <t>60S ribosomal protein L14/L17/L23</t>
  </si>
  <si>
    <t>ab-tri_asb-14203</t>
  </si>
  <si>
    <t>mitochondrial ribosomal protein L20 - rRNA binding - mitochondrial large ribosomal subunit - translation - structural constituent of ribosome</t>
  </si>
  <si>
    <t>ab-tri_asb-14294</t>
  </si>
  <si>
    <t>multicellular organism reproduction - microtubule associated complex - lipid particle - extracellular space - protein folding - peptidyl-prolyl</t>
  </si>
  <si>
    <t>Fibrillins</t>
  </si>
  <si>
    <t>lysozyme</t>
  </si>
  <si>
    <t>ab-tri_asb-14478</t>
  </si>
  <si>
    <t>wurst - early endosome - cytoplasmic vesicle - extracellular matrix organization - regulation of tube length open tracheal system - plasma membrane</t>
  </si>
  <si>
    <t>60s ribosomal protein L39</t>
  </si>
  <si>
    <t>C1-tetrahydrofolate synthase</t>
  </si>
  <si>
    <t>ab-tri_asb-14574</t>
  </si>
  <si>
    <t>Trypsin-like serine protease</t>
  </si>
  <si>
    <t>ab-tri_asb-1474</t>
  </si>
  <si>
    <t>Lipid storage droplet-2 - microtubule associated complex - lipid metabolic process - regulation of transport - protein binding - lipid particle</t>
  </si>
  <si>
    <t>ab-tri_asb-1475</t>
  </si>
  <si>
    <t>ab-tri_asb-1488</t>
  </si>
  <si>
    <t>Microtubule-associated protein TAU</t>
  </si>
  <si>
    <t>ab-tri_asb-1502</t>
  </si>
  <si>
    <t>Glutamate/leucine/phenylalanine/valine dehydrogenases</t>
  </si>
  <si>
    <t>ab-tri_asb-1511</t>
  </si>
  <si>
    <t>salivary secreted peptide</t>
  </si>
  <si>
    <t>ab-tri_asb-15503</t>
  </si>
  <si>
    <t>hypothetical non-conserved protein</t>
  </si>
  <si>
    <t>Cad86C - regulation of cell shape - subapical complex - homophilic cell adhesion - calcium ion binding - integral to membrane - calcium-dependent</t>
  </si>
  <si>
    <t>ab-tri_asb-15754</t>
  </si>
  <si>
    <t>protein binding - carbohydrate binding - lipid metabolic process - phospholipase C - intracellular signal transduction - glycerophosphodiester</t>
  </si>
  <si>
    <t>Succinyl-CoA:alpha-ketoacid-CoA transferase</t>
  </si>
  <si>
    <t>ab-tri_asb-16006</t>
  </si>
  <si>
    <t>F0F1-type ATP synthase beta subunit</t>
  </si>
  <si>
    <t>G-box binding factortranscription factor - regulation of transcription from RNA polymerase II promoter - cytosol - nucleus - sequence-specific DNA</t>
  </si>
  <si>
    <t>ab-tri_asb-16221</t>
  </si>
  <si>
    <t>odorant binding protein 2</t>
  </si>
  <si>
    <t>ab-tri_asb-1639</t>
  </si>
  <si>
    <t>BPTI/Kunitz family of serine protease inhibitors</t>
  </si>
  <si>
    <t>ab-tri_asb-16395</t>
  </si>
  <si>
    <t>ATP-citrate lyase</t>
  </si>
  <si>
    <t>ab-tri_asb-16405</t>
  </si>
  <si>
    <t>Bacillus cereus 23S ribosomal RNA partial sequence</t>
  </si>
  <si>
    <t>ab-tri_asb-16406</t>
  </si>
  <si>
    <t>Histone H4</t>
  </si>
  <si>
    <t>ab-tri_asb-1656</t>
  </si>
  <si>
    <t>ab-tri_asb-16568</t>
  </si>
  <si>
    <t>ab-tri_asb-16659</t>
  </si>
  <si>
    <t>tetraspanin 42Ek</t>
  </si>
  <si>
    <t>Glyoxylate/hydroxypyruvate reductase (D-isomer-specific 2-hydroxy acid dehydrogenase superfamily)</t>
  </si>
  <si>
    <t>activating transcription factor 4</t>
  </si>
  <si>
    <t>ab-tri_asb-16964</t>
  </si>
  <si>
    <t>Plasma membrane glycoprotein CD36</t>
  </si>
  <si>
    <t>ab-tri_asb-16988</t>
  </si>
  <si>
    <t>Kazal type serine protease inhibitors</t>
  </si>
  <si>
    <t>Sugar transporter/spinster transmembrane protein</t>
  </si>
  <si>
    <t>ab-tri_asb-1704</t>
  </si>
  <si>
    <t>unnamed protein product Enterobacter cloacae SCF1</t>
  </si>
  <si>
    <t>heat shock protein 60</t>
  </si>
  <si>
    <t>ab-tri_asb-17088</t>
  </si>
  <si>
    <t>Adaptor protein Enigma</t>
  </si>
  <si>
    <t>ab-tri_asb-17192</t>
  </si>
  <si>
    <t>Spermidine synthase</t>
  </si>
  <si>
    <t>ab-tri_asb-17267</t>
  </si>
  <si>
    <t>thioredoxin peroxidase 1 Glossina morsitans morsitans</t>
  </si>
  <si>
    <t>Puromycin-sensitive aminopeptidase</t>
  </si>
  <si>
    <t>ab-tri_asb-17384</t>
  </si>
  <si>
    <t>GJ19996</t>
  </si>
  <si>
    <t>Ribosomal protein L41</t>
  </si>
  <si>
    <t>ab-tri_asb-17441</t>
  </si>
  <si>
    <t>Peroxiredoxin 2540-2 - oxidation-reduction process - thioredoxin peroxidase - hydrogen peroxide catabolic process - cytosol - peroxidase -</t>
  </si>
  <si>
    <t>ab-tri_asb-17451</t>
  </si>
  <si>
    <t>ab-tri_asb-17528</t>
  </si>
  <si>
    <t>amino acid transporter protein</t>
  </si>
  <si>
    <t>ab-tri_asb-17559</t>
  </si>
  <si>
    <t>aspartyl protease</t>
  </si>
  <si>
    <t>ab-tri_asb-1766</t>
  </si>
  <si>
    <t>trypsin-like serine protease precursor</t>
  </si>
  <si>
    <t>Juvenile hormone binding protein in insects</t>
  </si>
  <si>
    <t>ab-tri_asb-17817</t>
  </si>
  <si>
    <t>Membrane trafficking protein emp24/gp25L/p24 family</t>
  </si>
  <si>
    <t>Fructose-biphosphate aldolase</t>
  </si>
  <si>
    <t>Nuclear pore complex Nup98 component (sc Nup145/Nup100/Nup116)</t>
  </si>
  <si>
    <t>40S ribosomal protein S8</t>
  </si>
  <si>
    <t>ab-tri_asb-18123</t>
  </si>
  <si>
    <t>extracellular region - peptidase inhibitor - biological_process</t>
  </si>
  <si>
    <t>ab-tri_asb-18212</t>
  </si>
  <si>
    <t>DNA repair protein RAD50 ABC-type ATPase/SMC superfamily</t>
  </si>
  <si>
    <t>uncharacterized conserved secreted glycine-rich protein</t>
  </si>
  <si>
    <t>ab-tri_asb-18468</t>
  </si>
  <si>
    <t>3-hydroxyisobutyrate dehydrogenase</t>
  </si>
  <si>
    <t>Possible pfkB family carbohydrate kinase</t>
  </si>
  <si>
    <t>Homocysteine S-methyltransferase</t>
  </si>
  <si>
    <t>Salivary gland secretion 1 - puparial adhesion - extracellular region - structural molecule</t>
  </si>
  <si>
    <t>Uncharacterized protein - unfolded protein binding - heat shock protein binding - protein folding</t>
  </si>
  <si>
    <t>ab-tri_asb-1971</t>
  </si>
  <si>
    <t>ab-tri_asb-19767</t>
  </si>
  <si>
    <t>S-adenosylhomocysteine hydrolase</t>
  </si>
  <si>
    <t>ab-tri_asb-20465</t>
  </si>
  <si>
    <t>40S ribosomal protein S6</t>
  </si>
  <si>
    <t>ab-tri_asb-20632</t>
  </si>
  <si>
    <t>ab-tri_asb-2107</t>
  </si>
  <si>
    <t>ab-tri_asb-21226</t>
  </si>
  <si>
    <t>40S ribosomal protein S17</t>
  </si>
  <si>
    <t>ab-tri_asb-21856</t>
  </si>
  <si>
    <t>RNA dependent RNA polymerase</t>
  </si>
  <si>
    <t>ab-tri_asb-2241</t>
  </si>
  <si>
    <t>Fkbp13 - inter-male aggressive behavior - extracellular space - calcium ion binding - protein folding - FK506 binding - peptidyl-prolyl cis-trans</t>
  </si>
  <si>
    <t>ab-tri_asb-22429</t>
  </si>
  <si>
    <t>flightin - adult somatic muscle development - striated muscle myosin thick filament assembly - contractile fiber - skeletal muscle myosin thick</t>
  </si>
  <si>
    <t>ab-tri_asb-22454</t>
  </si>
  <si>
    <t>ab-tri_asb-22516</t>
  </si>
  <si>
    <t>cytochrome P450 cYP4G13V2</t>
  </si>
  <si>
    <t>ab-tri_asb-22518</t>
  </si>
  <si>
    <t>ab-tri_asb-22530</t>
  </si>
  <si>
    <t>ab-tri_asb-2275</t>
  </si>
  <si>
    <t>Fumarylacetoacetase</t>
  </si>
  <si>
    <t>Calreticulin</t>
  </si>
  <si>
    <t>ab-tri_asb-22964</t>
  </si>
  <si>
    <t>ab-tri_asb-23147</t>
  </si>
  <si>
    <t>cytochrome P450-4g1</t>
  </si>
  <si>
    <t>ab-tri_asb-23203</t>
  </si>
  <si>
    <t>40S ribosomal protein S15</t>
  </si>
  <si>
    <t>ab-tri_asb-23282</t>
  </si>
  <si>
    <t>ab-tri_asb-23285</t>
  </si>
  <si>
    <t>ab-tri_asb-23334</t>
  </si>
  <si>
    <t>ab-tri_asb-23380</t>
  </si>
  <si>
    <t>Myo-inositol-1-phosphate synthase</t>
  </si>
  <si>
    <t>ribosomal protein S3</t>
  </si>
  <si>
    <t>60S ribosomal protein L28</t>
  </si>
  <si>
    <t>ab-tri_asb-23689</t>
  </si>
  <si>
    <t>ecdysone receptor-mediated signaling pathway - steroid hormone receptor binding - positive regulation of transcription from RNA polymerase II</t>
  </si>
  <si>
    <t>DNA polymerase III subunits gamma and tau</t>
  </si>
  <si>
    <t>ab-tri_asb-2400</t>
  </si>
  <si>
    <t>ubiquitin-like/40S ribosomal S30 fusion protein</t>
  </si>
  <si>
    <t>ab-tri_asb-24080</t>
  </si>
  <si>
    <t>E3 ubiquitin-protein ligase RNF12-B</t>
  </si>
  <si>
    <t>ab-tri_asb-24332</t>
  </si>
  <si>
    <t>Glycine-rich cell wall structural protein 1</t>
  </si>
  <si>
    <t>ab-tri_asb-24785</t>
  </si>
  <si>
    <t>ab-tri_asb-25277</t>
  </si>
  <si>
    <t>ATP binding - extracellular region - chitin binding - chitin metabolic process - transporter - transport</t>
  </si>
  <si>
    <t>ab-tri_asb-25326</t>
  </si>
  <si>
    <t>40S ribosomal protein S14</t>
  </si>
  <si>
    <t>ab-tri_asb-2535</t>
  </si>
  <si>
    <t>Insect pheromone-binding family</t>
  </si>
  <si>
    <t>ab-tri_asb-25601</t>
  </si>
  <si>
    <t>GK11480</t>
  </si>
  <si>
    <t>ab-tri_asb-25603</t>
  </si>
  <si>
    <t>ab-tri_asb-25655</t>
  </si>
  <si>
    <t>ab-tri_asb-25656</t>
  </si>
  <si>
    <t>ab-tri_asb-2566</t>
  </si>
  <si>
    <t>60s acidic ribosomal protein P0</t>
  </si>
  <si>
    <t>ab-tri_asb-25872</t>
  </si>
  <si>
    <t>Possible catecholamine-binding domain present in a variety of eukaryotic protein</t>
  </si>
  <si>
    <t>ab-tri_asb-25886</t>
  </si>
  <si>
    <t>Cell wall protein DAN4 precursor Brugia malayi</t>
  </si>
  <si>
    <t>ab-tri_asb-26562</t>
  </si>
  <si>
    <t>ab-tri_asb-26847</t>
  </si>
  <si>
    <t>ab-tri_asb-26861</t>
  </si>
  <si>
    <t>ab-tri_asb-26965</t>
  </si>
  <si>
    <t>ab-tri_asb-2735</t>
  </si>
  <si>
    <t>Adiponutrin</t>
  </si>
  <si>
    <t>ab-tri_asb-27362</t>
  </si>
  <si>
    <t>ab-tri_asb-27573</t>
  </si>
  <si>
    <t>Translocon-associated complex TRAP alpha subunit</t>
  </si>
  <si>
    <t>ab-tri_asb-2776</t>
  </si>
  <si>
    <t>alkaline phosphatase</t>
  </si>
  <si>
    <t>ab-tri_asb-2777</t>
  </si>
  <si>
    <t>40S ribosomal protein S2</t>
  </si>
  <si>
    <t>ab-tri_asb-2792</t>
  </si>
  <si>
    <t>chymotrypsin-like serine protease precursor</t>
  </si>
  <si>
    <t>ab-tri_asb-28119</t>
  </si>
  <si>
    <t>ab-tri_asb-2853</t>
  </si>
  <si>
    <t>D-3-phosphoglycerate dehydrogenase D-isomer-specific 2-hydroxy acid dehydrogenase superfamily</t>
  </si>
  <si>
    <t>ab-tri_asb-28621</t>
  </si>
  <si>
    <t>Sec61beta - negative regulation of autophagy - protein transporter - Sec61 translocon complex - SRP-dependent cotranslational protein targeting to</t>
  </si>
  <si>
    <t>muscle LIM protein at 84B</t>
  </si>
  <si>
    <t>ab-tri_asb-29639</t>
  </si>
  <si>
    <t>Transcription factor containing NAC and TS-N</t>
  </si>
  <si>
    <t>ab-tri_asb-30015</t>
  </si>
  <si>
    <t>Uncharacterized protein - sequence-specific DNA binding - sex differentiation - regulation of transcription DNA-dependent - nucleus</t>
  </si>
  <si>
    <t>ab-tri_asb-30500</t>
  </si>
  <si>
    <t>ab-tri_asb-3055</t>
  </si>
  <si>
    <t>hoi-polloi - precatalytic spliceosome - nucleolus - ribosome biogenesis - nucleus - mRNA binding - peripheral nervous system development</t>
  </si>
  <si>
    <t>ab-tri_asb-31145</t>
  </si>
  <si>
    <t>ab-tri_asb-31673</t>
  </si>
  <si>
    <t>heat shock protein cognate 4</t>
  </si>
  <si>
    <t>ab-tri_asb-31696</t>
  </si>
  <si>
    <t>ab-tri_asb-3170</t>
  </si>
  <si>
    <t>ab-tri_asb-31808</t>
  </si>
  <si>
    <t>chaperonin Aedes aegypti</t>
  </si>
  <si>
    <t>ab-tri_asb-32930</t>
  </si>
  <si>
    <t>ab-tri_asb-33216</t>
  </si>
  <si>
    <t>Pro1</t>
  </si>
  <si>
    <t>Vegetative cell wall protein gp1</t>
  </si>
  <si>
    <t>ab-tri_asb-34230</t>
  </si>
  <si>
    <t>ab-tri_asb-34590</t>
  </si>
  <si>
    <t>ab-tri_asb-35095</t>
  </si>
  <si>
    <t>ab-tri_asb-35096</t>
  </si>
  <si>
    <t>GG25328</t>
  </si>
  <si>
    <t>ab-tri_asb-35312</t>
  </si>
  <si>
    <t>ab-tri_asb-36071</t>
  </si>
  <si>
    <t>GK19214</t>
  </si>
  <si>
    <t>ab-tri_asb-36899</t>
  </si>
  <si>
    <t>ab-tri_asb-36951</t>
  </si>
  <si>
    <t>Gmfb8</t>
  </si>
  <si>
    <t>ab-tri_asb-36956</t>
  </si>
  <si>
    <t>ab-tri_asb-37748</t>
  </si>
  <si>
    <t>ab-tri_asb-3779</t>
  </si>
  <si>
    <t>40S ribosomal protein S2/30S ribosomal protein S5</t>
  </si>
  <si>
    <t>ab-tri_asb-38518</t>
  </si>
  <si>
    <t>ab-tri_asb-38520</t>
  </si>
  <si>
    <t>ab-tri_asb-38523</t>
  </si>
  <si>
    <t>ab-tri_asb-38524</t>
  </si>
  <si>
    <t>ab-tri_asb-38531</t>
  </si>
  <si>
    <t>Animal-type fatty acid synthase</t>
  </si>
  <si>
    <t>ab-tri_asb-39616</t>
  </si>
  <si>
    <t>ab-tri_asb-39698</t>
  </si>
  <si>
    <t>ab-tri_asb-39712</t>
  </si>
  <si>
    <t>40S ribosomal protein S3A</t>
  </si>
  <si>
    <t>ab-tri_asb-39727</t>
  </si>
  <si>
    <t>Phosphoribosylpyrophosphate synthetase-associated protein</t>
  </si>
  <si>
    <t>ab-tri_asb-39791</t>
  </si>
  <si>
    <t>ab-tri_asb-39842</t>
  </si>
  <si>
    <t>heat shock protein 83</t>
  </si>
  <si>
    <t>60s ribosomal protein L37</t>
  </si>
  <si>
    <t>ab-tri_asb-40423</t>
  </si>
  <si>
    <t>peritrophin-15 precursor</t>
  </si>
  <si>
    <t>ab-tri_asb-40426</t>
  </si>
  <si>
    <t>ab-tri_asb-40527</t>
  </si>
  <si>
    <t>ab-tri_asb-40546</t>
  </si>
  <si>
    <t>collagen type III alpha 1 - cellular response to amino acid stimulus - negative regulation of immune response - digestive tract development -</t>
  </si>
  <si>
    <t>GF16453</t>
  </si>
  <si>
    <t>Lysine-ketoglutarate reductase/saccharopine dehydrogenase</t>
  </si>
  <si>
    <t>serine-type endopeptidase - proteolysis</t>
  </si>
  <si>
    <t>ab-tri_asb-4269</t>
  </si>
  <si>
    <t>transcription factor XBP-1</t>
  </si>
  <si>
    <t>ab-tri_asb-44222</t>
  </si>
  <si>
    <t>GD19245</t>
  </si>
  <si>
    <t>60s ribosomal protein L10</t>
  </si>
  <si>
    <t>ab-tri_asb-44916</t>
  </si>
  <si>
    <t>ab-tri_asb-44933</t>
  </si>
  <si>
    <t>ab-tri_asb-45034</t>
  </si>
  <si>
    <t>ab-tri_asb-45371</t>
  </si>
  <si>
    <t>GL16381</t>
  </si>
  <si>
    <t>ab-tri_asb-4682</t>
  </si>
  <si>
    <t>ab-tri_asb-4745</t>
  </si>
  <si>
    <t>Chromosome segregation ATPases Cell division and chromosome partitioning</t>
  </si>
  <si>
    <t>P.aeruginosa 23S rRNA gene</t>
  </si>
  <si>
    <t>ab-tri_asb-49393</t>
  </si>
  <si>
    <t>DNA-binding nuclear protein p8</t>
  </si>
  <si>
    <t>ab-tri_asb-5023</t>
  </si>
  <si>
    <t>Drosophila sechellia 18S ribosomal RNA (Dsec\18SrRNA:GM27733) rRNA</t>
  </si>
  <si>
    <t>ab-tri_asb-5028</t>
  </si>
  <si>
    <t>ab-tri_asb-50454</t>
  </si>
  <si>
    <t>ab-tri_asb-50760</t>
  </si>
  <si>
    <t>ab-tri_asb-50907</t>
  </si>
  <si>
    <t>ab-tri_asb-50910</t>
  </si>
  <si>
    <t>ab-tri_asb-50911</t>
  </si>
  <si>
    <t>ab-tri_asb-50933</t>
  </si>
  <si>
    <t>ubiquitin A-52 residue ribosomal protein fusion product 1 - cytosolic large ribosomal subunit - intracellular</t>
  </si>
  <si>
    <t>ab-tri_asb-51018</t>
  </si>
  <si>
    <t>ab-tri_asb-51071</t>
  </si>
  <si>
    <t>ab-tri_asb-51304</t>
  </si>
  <si>
    <t>ab-tri_asb-51314</t>
  </si>
  <si>
    <t>ab-tri_asb-51462</t>
  </si>
  <si>
    <t>E.coli 16S ribosomal RNA</t>
  </si>
  <si>
    <t>ab-tri_asb-51678</t>
  </si>
  <si>
    <t>ab-tri_asb-51699</t>
  </si>
  <si>
    <t>gamma-subunitmethylmalonyl-CoA decarboxylase Aedes aegypti</t>
  </si>
  <si>
    <t>ab-tri_asb-51923</t>
  </si>
  <si>
    <t>ab-tri_asb-52268</t>
  </si>
  <si>
    <t>ab-tri_asb-52337</t>
  </si>
  <si>
    <t>ab-tri_asb-52444</t>
  </si>
  <si>
    <t>ab-tri_asb-52478</t>
  </si>
  <si>
    <t>Mucin-5AC - fibril organization - fibril - digestion - cell adhesion - extracellular region - extracellular matrix structural constituent</t>
  </si>
  <si>
    <t>ab-tri_asb-52799</t>
  </si>
  <si>
    <t>ab-tri_asb-52956</t>
  </si>
  <si>
    <t>ab-tri_asb-53339</t>
  </si>
  <si>
    <t>ab-tri_asb-53397</t>
  </si>
  <si>
    <t>ab-tri_asb-53401</t>
  </si>
  <si>
    <t>cell wall protein FLO11p Strongylocentrotus purpuratus</t>
  </si>
  <si>
    <t>ab-tri_asb-53540</t>
  </si>
  <si>
    <t>ab-tri_asb-53541</t>
  </si>
  <si>
    <t>ab-tri_asb-53546</t>
  </si>
  <si>
    <t>ab-tri_asb-53782</t>
  </si>
  <si>
    <t>GA26398</t>
  </si>
  <si>
    <t>ab-tri_asb-53905</t>
  </si>
  <si>
    <t>ab-tri_asb-54009</t>
  </si>
  <si>
    <t>ab-tri_asb-54063</t>
  </si>
  <si>
    <t>ab-tri_asb-54066</t>
  </si>
  <si>
    <t>ab-tri_asb-54099</t>
  </si>
  <si>
    <t>ab-tri_asb-54171</t>
  </si>
  <si>
    <t>ab-tri_asb-54185</t>
  </si>
  <si>
    <t>ab-tri_asb-54266</t>
  </si>
  <si>
    <t>ab-tri_asb-54343</t>
  </si>
  <si>
    <t>ab-tri_asb-54359</t>
  </si>
  <si>
    <t>ab-tri_asb-54403</t>
  </si>
  <si>
    <t>ab-tri_asb-54415</t>
  </si>
  <si>
    <t>ab-tri_asb-54422</t>
  </si>
  <si>
    <t>Nucleolar transcription factor 1-B</t>
  </si>
  <si>
    <t>ab-tri_asb-54445</t>
  </si>
  <si>
    <t>ab-tri_asb-54448</t>
  </si>
  <si>
    <t>ab-tri_asb-54500</t>
  </si>
  <si>
    <t>ab-tri_asb-54505</t>
  </si>
  <si>
    <t>ab-tri_asb-54511</t>
  </si>
  <si>
    <t>Glossina pallidipes S-endosymbiont (tsetse) endosymbiont ribosomal RNA small subunit</t>
  </si>
  <si>
    <t>ab-tri_asb-54539</t>
  </si>
  <si>
    <t>ab-tri_asb-54554</t>
  </si>
  <si>
    <t>ab-tri_asb-54569</t>
  </si>
  <si>
    <t>ab-tri_asb-54668</t>
  </si>
  <si>
    <t>midgut zinc carboxypeptidase</t>
  </si>
  <si>
    <t>ab-tri_asb-54669</t>
  </si>
  <si>
    <t>Zinc carboxypeptidase A 1</t>
  </si>
  <si>
    <t>ab-tri_asb-54676</t>
  </si>
  <si>
    <t>ab-tri_asb-54777</t>
  </si>
  <si>
    <t>ab-tri_asb-54787</t>
  </si>
  <si>
    <t>ab-tri_asb-54789</t>
  </si>
  <si>
    <t>ab-tri_asb-54793</t>
  </si>
  <si>
    <t>ab-tri_asb-54796</t>
  </si>
  <si>
    <t>ab-tri_asb-54803</t>
  </si>
  <si>
    <t>ab-tri_asb-54809</t>
  </si>
  <si>
    <t>ab-tri_asb-54815</t>
  </si>
  <si>
    <t>ab-tri_asb-54871</t>
  </si>
  <si>
    <t>ab-tri_asb-54903</t>
  </si>
  <si>
    <t>zinc-metalloproteinase precursor</t>
  </si>
  <si>
    <t>ab-tri_asb-54906</t>
  </si>
  <si>
    <t>ab-tri_asb-54960</t>
  </si>
  <si>
    <t>ab-tri_asb-54989</t>
  </si>
  <si>
    <t>ab-tri_asb-55001</t>
  </si>
  <si>
    <t>ab-tri_asb-55020</t>
  </si>
  <si>
    <t>UDP-N-acetylglucosamine transferase subunit ALG13 homolog - cellular protein metabolic process - post-translational protein modification - lipid</t>
  </si>
  <si>
    <t>ab-tri_asb-55048</t>
  </si>
  <si>
    <t>ab-tri_asb-55067</t>
  </si>
  <si>
    <t>ab-tri_asb-55068</t>
  </si>
  <si>
    <t>Balneatrix alpica strain 4-87 16S ribosomal RNA partial sequence</t>
  </si>
  <si>
    <t>ab-tri_asb-55077</t>
  </si>
  <si>
    <t>ab-tri_asb-55186</t>
  </si>
  <si>
    <t>salivary acidic secreted protein</t>
  </si>
  <si>
    <t>ab-tri_asb-55314</t>
  </si>
  <si>
    <t>regulatory protein MLP</t>
  </si>
  <si>
    <t>ab-tri_asb-55330</t>
  </si>
  <si>
    <t>ab-tri_asb-55347</t>
  </si>
  <si>
    <t>cystatin B1</t>
  </si>
  <si>
    <t>ab-tri_asb-55411</t>
  </si>
  <si>
    <t>ab-tri_asb-55422</t>
  </si>
  <si>
    <t>ab-tri_asb-55500</t>
  </si>
  <si>
    <t>ab-tri_asb-55565</t>
  </si>
  <si>
    <t>ab-tri_asb-55581</t>
  </si>
  <si>
    <t>Niemann-Pick type C-2g - sterol transport - sterol binding - mesoderm development</t>
  </si>
  <si>
    <t>ab-tri_asb-55610</t>
  </si>
  <si>
    <t>ab-tri_asb-55634</t>
  </si>
  <si>
    <t>fat body trypsin</t>
  </si>
  <si>
    <t>ab-tri_asb-55640</t>
  </si>
  <si>
    <t>ab-tri_asb-55645</t>
  </si>
  <si>
    <t>ab-tri_asb-55649</t>
  </si>
  <si>
    <t>ab-tri_asb-55705</t>
  </si>
  <si>
    <t>129K protein</t>
  </si>
  <si>
    <t>ab-tri_asb-55753</t>
  </si>
  <si>
    <t>Calcium-transporting ATPase sarcoplasmic/endoplasmic reticulum type</t>
  </si>
  <si>
    <t>ab-tri_asb-55771</t>
  </si>
  <si>
    <t>ab-tri_asb-55776</t>
  </si>
  <si>
    <t>ab-tri_asb-55784</t>
  </si>
  <si>
    <t>F0F1-type ATP synthase alpha subunit</t>
  </si>
  <si>
    <t>ab-tri_asb-55790</t>
  </si>
  <si>
    <t>ab-tri_asb-55791</t>
  </si>
  <si>
    <t>ab-tri_asb-55793</t>
  </si>
  <si>
    <t>ab-tri_asb-55796</t>
  </si>
  <si>
    <t>ferritin light-chain Glossina morsitans morsitans</t>
  </si>
  <si>
    <t>ab-tri_asb-55804</t>
  </si>
  <si>
    <t>heat shock-like protein similar to heat shock 70 kDa protein</t>
  </si>
  <si>
    <t>ab-tri_asb-55848</t>
  </si>
  <si>
    <t>ab-tri_asb-55851</t>
  </si>
  <si>
    <t>ferritin heavy chain-like Glossina morsitans morsitans</t>
  </si>
  <si>
    <t>ab-tri_asb-55861</t>
  </si>
  <si>
    <t>ab-tri_asb-55865</t>
  </si>
  <si>
    <t>lethal (2) essential for life - regulation of autophagy - regulation of translational initiation by eIF2 alpha phosphorylation - protein lipidation -</t>
  </si>
  <si>
    <t>ab-tri_asb-55873</t>
  </si>
  <si>
    <t>ab-tri_asb-55887</t>
  </si>
  <si>
    <t>Cytochrome c oxidase subunit I</t>
  </si>
  <si>
    <t>ab-tri_asb-55889</t>
  </si>
  <si>
    <t>ab-tri_asb-55913</t>
  </si>
  <si>
    <t>proteolysis - metallopeptidase - zinc ion binding - aminopeptidase</t>
  </si>
  <si>
    <t>ab-tri_asb-55926</t>
  </si>
  <si>
    <t>Thor - determination of adult lifespan - regulation of mitochondrial translation - response to oxidative stress - response to starvation -</t>
  </si>
  <si>
    <t>ab-tri_asb-55935</t>
  </si>
  <si>
    <t>Mitochondrial ADP/ATP carrier</t>
  </si>
  <si>
    <t>ab-tri_asb-55943</t>
  </si>
  <si>
    <t>ab-tri_asb-55955</t>
  </si>
  <si>
    <t>lectin Glossina morsitans morsitans</t>
  </si>
  <si>
    <t>ab-tri_asb-55996</t>
  </si>
  <si>
    <t>ab-tri_asb-56011</t>
  </si>
  <si>
    <t>ab-tri_asb-56024</t>
  </si>
  <si>
    <t>ab-tri_asb-56041</t>
  </si>
  <si>
    <t>ab-tri_asb-56044</t>
  </si>
  <si>
    <t>ab-tri_asb-56045</t>
  </si>
  <si>
    <t>ab-tri_asb-56047</t>
  </si>
  <si>
    <t>Mitochondrial F1F0-ATP synthase subunit c/ATP9/proteolipid</t>
  </si>
  <si>
    <t>ab-tri_asb-56049</t>
  </si>
  <si>
    <t>ab-tri_asb-56071</t>
  </si>
  <si>
    <t>ab-tri_asb-56073</t>
  </si>
  <si>
    <t>ab-tri_asb-56100</t>
  </si>
  <si>
    <t>ab-tri_asb-56104</t>
  </si>
  <si>
    <t>ab-tri_asb-56108</t>
  </si>
  <si>
    <t>ab-tri_asb-56129</t>
  </si>
  <si>
    <t>ab-tri_asb-56130</t>
  </si>
  <si>
    <t>ab-tri_asb-56135</t>
  </si>
  <si>
    <t>ab-tri_asb-56136</t>
  </si>
  <si>
    <t>ab-tri_asb-56175</t>
  </si>
  <si>
    <t>ab-tri_asb-56180</t>
  </si>
  <si>
    <t>ab-tri_asb-56204</t>
  </si>
  <si>
    <t>zinc carboxypeptidase</t>
  </si>
  <si>
    <t>ab-tri_asb-56216</t>
  </si>
  <si>
    <t>ab-tri_asb-56229</t>
  </si>
  <si>
    <t>ab-tri_asb-56248</t>
  </si>
  <si>
    <t>ab-tri_asb-56267</t>
  </si>
  <si>
    <t>acidic ribosomal protein</t>
  </si>
  <si>
    <t>ab-tri_asb-56268</t>
  </si>
  <si>
    <t>ab-tri_asb-56299</t>
  </si>
  <si>
    <t>ab-tri_asb-56386</t>
  </si>
  <si>
    <t>ab-tri_asb-56398</t>
  </si>
  <si>
    <t>ab-tri_asb-56469</t>
  </si>
  <si>
    <t>ab-tri_asb-5650</t>
  </si>
  <si>
    <t>ab-tri_asb-56541</t>
  </si>
  <si>
    <t>ab-tri_asb-56604</t>
  </si>
  <si>
    <t>Phosphoribosylamidoimidazole-succinocarboxamide synthase</t>
  </si>
  <si>
    <t>ab-tri_asb-56650</t>
  </si>
  <si>
    <t>ab-tri_asb-56724</t>
  </si>
  <si>
    <t>ab-tri_asb-56741</t>
  </si>
  <si>
    <t>thrombin inhibitor TTI=antithrombotic peptide {N-terminal}</t>
  </si>
  <si>
    <t>ab-tri_asb-56772</t>
  </si>
  <si>
    <t>cuticular protein analogous to peritrophins 3-E Tribolium castaneum</t>
  </si>
  <si>
    <t>ab-tri_asb-56806</t>
  </si>
  <si>
    <t>fau hypothetical conserved protein</t>
  </si>
  <si>
    <t>ab-tri_asb-56907</t>
  </si>
  <si>
    <t>ab-tri_asb-56948</t>
  </si>
  <si>
    <t>ab-tri_asb-57003</t>
  </si>
  <si>
    <t>ab-tri_asb-57073</t>
  </si>
  <si>
    <t>ab-tri_asb-57078</t>
  </si>
  <si>
    <t>ab-tri_asb-57168</t>
  </si>
  <si>
    <t>ab-tri_asb-57260</t>
  </si>
  <si>
    <t>ab-tri_asb-5748</t>
  </si>
  <si>
    <t>ab-tri_asb-5775</t>
  </si>
  <si>
    <t>ab-tri_asb-57881</t>
  </si>
  <si>
    <t>ab-tri_asb-57915</t>
  </si>
  <si>
    <t>GL24111</t>
  </si>
  <si>
    <t>ab-tri_asb-57927</t>
  </si>
  <si>
    <t>ab-tri_asb-57928</t>
  </si>
  <si>
    <t>ab-tri_asb-57936</t>
  </si>
  <si>
    <t>ab-tri_asb-5808</t>
  </si>
  <si>
    <t>translation initiation inhibitor UK114/IBM1</t>
  </si>
  <si>
    <t>ab-tri_asb-5817</t>
  </si>
  <si>
    <t>ab-tri_asb-5819</t>
  </si>
  <si>
    <t>ab-tri_asb-5889</t>
  </si>
  <si>
    <t>ab-tri_asb-5976</t>
  </si>
  <si>
    <t>ab-tri_asb-6002</t>
  </si>
  <si>
    <t>ab-tri_asb-6013</t>
  </si>
  <si>
    <t>ab-tri_asb-6029</t>
  </si>
  <si>
    <t>ab-tri_asb-6282</t>
  </si>
  <si>
    <t>thymus-specific serine protease Culex quinquefasciatus</t>
  </si>
  <si>
    <t>ab-tri_asb-6412</t>
  </si>
  <si>
    <t>ab-tri_asb-6450</t>
  </si>
  <si>
    <t>ab-tri_asb-6492</t>
  </si>
  <si>
    <t>RNA-dependent RNA polymerase Chickpea chlorotic stunt virus</t>
  </si>
  <si>
    <t>ab-tri_asb-6785</t>
  </si>
  <si>
    <t>ab-tri_asb-6789</t>
  </si>
  <si>
    <t>ab-tri_asb-6833</t>
  </si>
  <si>
    <t>Uncharacterized protein - death domain binding - negative regulation of transcription DNA-dependent - cellular response to amino acid starvation -</t>
  </si>
  <si>
    <t>ab-tri_asb-6886</t>
  </si>
  <si>
    <t>ab-tri_asb-6931</t>
  </si>
  <si>
    <t>ab-tri_asb-7067</t>
  </si>
  <si>
    <t>ab-tri_asb-7620</t>
  </si>
  <si>
    <t>ab-tri_asb-7652</t>
  </si>
  <si>
    <t>ab-tri_asb-7672</t>
  </si>
  <si>
    <t>ab-tri_asb-7798</t>
  </si>
  <si>
    <t>E.coli 23S ribosomal RNA (approx 80%) fragment A</t>
  </si>
  <si>
    <t>ab-tri_asb-7799</t>
  </si>
  <si>
    <t>Serratia entomophila strain DSM 12358 16S ribosomal RNA partial sequence</t>
  </si>
  <si>
    <t>ab-tri_asb-8255</t>
  </si>
  <si>
    <t>ab-tri_asb-8302</t>
  </si>
  <si>
    <t>Serine carboxypeptidase S28</t>
  </si>
  <si>
    <t>ab-tri_asb-8387</t>
  </si>
  <si>
    <t>farnesoic acid O-methyltransferase</t>
  </si>
  <si>
    <t>ab-tri_asb-854</t>
  </si>
  <si>
    <t>ab-tri_asb-8564</t>
  </si>
  <si>
    <t>dawdle - axon guidance - activin receptor signaling pathway - growth - growth factor - transforming growth factor beta receptor binding -</t>
  </si>
  <si>
    <t>ab-tri_asb-8565</t>
  </si>
  <si>
    <t>ab-tri_asb-8605</t>
  </si>
  <si>
    <t>ab-tri_asb-8608</t>
  </si>
  <si>
    <t>ADIPOR-like receptor CG5315</t>
  </si>
  <si>
    <t>ab-tri_asb-8609</t>
  </si>
  <si>
    <t>ab-tri_asb-8717</t>
  </si>
  <si>
    <t>ab-tri_asb-874</t>
  </si>
  <si>
    <t>ab-tri_asb-8833</t>
  </si>
  <si>
    <t>ab-tri_asb-9</t>
  </si>
  <si>
    <t>ab-tri_asb-9116</t>
  </si>
  <si>
    <t>ab-tri_asb-9256</t>
  </si>
  <si>
    <t>ab-tri_asb-942</t>
  </si>
  <si>
    <t>ab-tri_asb-9433</t>
  </si>
  <si>
    <t>ab-tri_asb-9659</t>
  </si>
  <si>
    <t>ab-tri_asb-9738</t>
  </si>
  <si>
    <t>ab-tri_asb-9739</t>
  </si>
  <si>
    <t>translocon-associated complex TRAP delta subunit</t>
  </si>
  <si>
    <t>ab-tri_asb-9757</t>
  </si>
  <si>
    <t>L-carnitine dehydratase/alpha-methylacyl-CoA racemase</t>
  </si>
  <si>
    <t>Feature ID</t>
  </si>
  <si>
    <t>Kal's Z-test: Dry (48) vs Lactating (192) original values - Bonferroni</t>
  </si>
  <si>
    <t>Dry (48)   RNA-Seq - Unique gene reads</t>
  </si>
  <si>
    <t>Dry (48)   RNA-Seq - Total gene reads</t>
  </si>
  <si>
    <t>Dry (48)  RNA-Seq - RPKM</t>
  </si>
  <si>
    <t>Lactating (192)  RNA-Seq - Unique gene reads</t>
  </si>
  <si>
    <t>Lactating (192)  RNA-Seq - Total gene reads</t>
  </si>
  <si>
    <t>Lactating (192) -  RNA-Seq - RPKM</t>
  </si>
  <si>
    <t xml:space="preserve">Fold change (Lactaing/Dry)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</si>
</sst>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1" fontId="0" fillId="0" borderId="0" xfId="0" applyNumberFormat="1"/>
    <xf numFmtId="0" fontId="0" fillId="0" borderId="0" xfId="0" applyBorder="1"/>
    <xf numFmtId="0" fontId="0" fillId="2" borderId="1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0" fillId="0" borderId="1" xfId="0" applyBorder="1"/>
    <xf numFmtId="0" fontId="0" fillId="4" borderId="4" xfId="0" applyFill="1" applyBorder="1"/>
    <xf numFmtId="0" fontId="0" fillId="5" borderId="4" xfId="0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'[1]48 vs. 192'!$AE$2:$AE$152</c:f>
              <c:numCache>
                <c:formatCode>General</c:formatCode>
                <c:ptCount val="151"/>
                <c:pt idx="0">
                  <c:v>3456</c:v>
                </c:pt>
                <c:pt idx="1">
                  <c:v>6369</c:v>
                </c:pt>
                <c:pt idx="2">
                  <c:v>154336</c:v>
                </c:pt>
                <c:pt idx="3">
                  <c:v>3147</c:v>
                </c:pt>
                <c:pt idx="4">
                  <c:v>1680</c:v>
                </c:pt>
                <c:pt idx="5">
                  <c:v>134545</c:v>
                </c:pt>
                <c:pt idx="6">
                  <c:v>1395</c:v>
                </c:pt>
                <c:pt idx="7">
                  <c:v>2746</c:v>
                </c:pt>
                <c:pt idx="8">
                  <c:v>1809</c:v>
                </c:pt>
                <c:pt idx="9">
                  <c:v>238120</c:v>
                </c:pt>
                <c:pt idx="10">
                  <c:v>24492</c:v>
                </c:pt>
                <c:pt idx="11">
                  <c:v>126708</c:v>
                </c:pt>
                <c:pt idx="12">
                  <c:v>2727</c:v>
                </c:pt>
                <c:pt idx="13">
                  <c:v>6691</c:v>
                </c:pt>
                <c:pt idx="14">
                  <c:v>838</c:v>
                </c:pt>
                <c:pt idx="15">
                  <c:v>1754</c:v>
                </c:pt>
                <c:pt idx="16">
                  <c:v>6411</c:v>
                </c:pt>
                <c:pt idx="17">
                  <c:v>15491</c:v>
                </c:pt>
                <c:pt idx="18">
                  <c:v>2178</c:v>
                </c:pt>
                <c:pt idx="19">
                  <c:v>2056</c:v>
                </c:pt>
                <c:pt idx="20">
                  <c:v>5353</c:v>
                </c:pt>
                <c:pt idx="21">
                  <c:v>30431</c:v>
                </c:pt>
                <c:pt idx="22">
                  <c:v>3992747</c:v>
                </c:pt>
                <c:pt idx="23">
                  <c:v>10823</c:v>
                </c:pt>
                <c:pt idx="24">
                  <c:v>9298</c:v>
                </c:pt>
                <c:pt idx="25">
                  <c:v>3290</c:v>
                </c:pt>
                <c:pt idx="26">
                  <c:v>3581</c:v>
                </c:pt>
                <c:pt idx="27">
                  <c:v>427</c:v>
                </c:pt>
                <c:pt idx="28">
                  <c:v>9146</c:v>
                </c:pt>
                <c:pt idx="29">
                  <c:v>4788</c:v>
                </c:pt>
                <c:pt idx="30">
                  <c:v>4819</c:v>
                </c:pt>
                <c:pt idx="31">
                  <c:v>716</c:v>
                </c:pt>
                <c:pt idx="32">
                  <c:v>3749</c:v>
                </c:pt>
                <c:pt idx="33">
                  <c:v>1577</c:v>
                </c:pt>
                <c:pt idx="34">
                  <c:v>5302</c:v>
                </c:pt>
                <c:pt idx="35">
                  <c:v>6930</c:v>
                </c:pt>
                <c:pt idx="36">
                  <c:v>8335</c:v>
                </c:pt>
                <c:pt idx="37">
                  <c:v>1669</c:v>
                </c:pt>
                <c:pt idx="38">
                  <c:v>12192</c:v>
                </c:pt>
                <c:pt idx="39">
                  <c:v>9769</c:v>
                </c:pt>
                <c:pt idx="40">
                  <c:v>2386</c:v>
                </c:pt>
                <c:pt idx="41">
                  <c:v>6222</c:v>
                </c:pt>
                <c:pt idx="42">
                  <c:v>9622</c:v>
                </c:pt>
                <c:pt idx="43">
                  <c:v>4863</c:v>
                </c:pt>
                <c:pt idx="44">
                  <c:v>4062</c:v>
                </c:pt>
                <c:pt idx="45">
                  <c:v>2626</c:v>
                </c:pt>
                <c:pt idx="46">
                  <c:v>4700</c:v>
                </c:pt>
                <c:pt idx="47">
                  <c:v>2186</c:v>
                </c:pt>
                <c:pt idx="48">
                  <c:v>568</c:v>
                </c:pt>
                <c:pt idx="49">
                  <c:v>10194</c:v>
                </c:pt>
                <c:pt idx="50">
                  <c:v>11263</c:v>
                </c:pt>
                <c:pt idx="51">
                  <c:v>2813</c:v>
                </c:pt>
                <c:pt idx="52">
                  <c:v>8486</c:v>
                </c:pt>
                <c:pt idx="53">
                  <c:v>9918</c:v>
                </c:pt>
                <c:pt idx="54">
                  <c:v>3880</c:v>
                </c:pt>
                <c:pt idx="55">
                  <c:v>1673</c:v>
                </c:pt>
                <c:pt idx="56">
                  <c:v>2196</c:v>
                </c:pt>
                <c:pt idx="57">
                  <c:v>21739</c:v>
                </c:pt>
                <c:pt idx="58">
                  <c:v>7875</c:v>
                </c:pt>
                <c:pt idx="59">
                  <c:v>3766</c:v>
                </c:pt>
                <c:pt idx="60">
                  <c:v>11307</c:v>
                </c:pt>
                <c:pt idx="61">
                  <c:v>2986</c:v>
                </c:pt>
                <c:pt idx="62">
                  <c:v>2464</c:v>
                </c:pt>
                <c:pt idx="63">
                  <c:v>6498</c:v>
                </c:pt>
                <c:pt idx="64">
                  <c:v>10282</c:v>
                </c:pt>
                <c:pt idx="65">
                  <c:v>5304</c:v>
                </c:pt>
                <c:pt idx="66">
                  <c:v>4467</c:v>
                </c:pt>
                <c:pt idx="67">
                  <c:v>1203</c:v>
                </c:pt>
                <c:pt idx="68">
                  <c:v>11676</c:v>
                </c:pt>
                <c:pt idx="69">
                  <c:v>8083</c:v>
                </c:pt>
                <c:pt idx="70">
                  <c:v>1275</c:v>
                </c:pt>
                <c:pt idx="71">
                  <c:v>18739</c:v>
                </c:pt>
                <c:pt idx="72">
                  <c:v>16048</c:v>
                </c:pt>
                <c:pt idx="73">
                  <c:v>2013</c:v>
                </c:pt>
                <c:pt idx="74">
                  <c:v>1829</c:v>
                </c:pt>
                <c:pt idx="75">
                  <c:v>4833</c:v>
                </c:pt>
                <c:pt idx="76">
                  <c:v>40977</c:v>
                </c:pt>
                <c:pt idx="77">
                  <c:v>12304</c:v>
                </c:pt>
                <c:pt idx="78">
                  <c:v>2557</c:v>
                </c:pt>
                <c:pt idx="79">
                  <c:v>6142</c:v>
                </c:pt>
                <c:pt idx="80">
                  <c:v>1332</c:v>
                </c:pt>
                <c:pt idx="81">
                  <c:v>43087</c:v>
                </c:pt>
                <c:pt idx="82">
                  <c:v>5761</c:v>
                </c:pt>
                <c:pt idx="83">
                  <c:v>5200</c:v>
                </c:pt>
                <c:pt idx="84">
                  <c:v>28192</c:v>
                </c:pt>
                <c:pt idx="85">
                  <c:v>10388</c:v>
                </c:pt>
                <c:pt idx="86">
                  <c:v>3490</c:v>
                </c:pt>
                <c:pt idx="87">
                  <c:v>11263</c:v>
                </c:pt>
                <c:pt idx="88">
                  <c:v>7159</c:v>
                </c:pt>
                <c:pt idx="89">
                  <c:v>1976</c:v>
                </c:pt>
                <c:pt idx="90">
                  <c:v>7121</c:v>
                </c:pt>
                <c:pt idx="91">
                  <c:v>83573</c:v>
                </c:pt>
                <c:pt idx="92">
                  <c:v>25011</c:v>
                </c:pt>
                <c:pt idx="93">
                  <c:v>61796</c:v>
                </c:pt>
                <c:pt idx="94">
                  <c:v>1210</c:v>
                </c:pt>
                <c:pt idx="95">
                  <c:v>1740</c:v>
                </c:pt>
                <c:pt idx="96">
                  <c:v>4484</c:v>
                </c:pt>
                <c:pt idx="97">
                  <c:v>203153</c:v>
                </c:pt>
                <c:pt idx="98">
                  <c:v>133757</c:v>
                </c:pt>
                <c:pt idx="99">
                  <c:v>2299</c:v>
                </c:pt>
                <c:pt idx="100">
                  <c:v>6366</c:v>
                </c:pt>
                <c:pt idx="101">
                  <c:v>1729</c:v>
                </c:pt>
                <c:pt idx="102">
                  <c:v>7225</c:v>
                </c:pt>
                <c:pt idx="103">
                  <c:v>3806</c:v>
                </c:pt>
                <c:pt idx="104">
                  <c:v>1978</c:v>
                </c:pt>
                <c:pt idx="105">
                  <c:v>35463</c:v>
                </c:pt>
                <c:pt idx="106">
                  <c:v>6371</c:v>
                </c:pt>
                <c:pt idx="107">
                  <c:v>18599</c:v>
                </c:pt>
                <c:pt idx="108">
                  <c:v>32080</c:v>
                </c:pt>
                <c:pt idx="109">
                  <c:v>28710</c:v>
                </c:pt>
                <c:pt idx="110">
                  <c:v>7836</c:v>
                </c:pt>
                <c:pt idx="111">
                  <c:v>41007</c:v>
                </c:pt>
                <c:pt idx="112">
                  <c:v>35245</c:v>
                </c:pt>
                <c:pt idx="113">
                  <c:v>18730</c:v>
                </c:pt>
                <c:pt idx="114">
                  <c:v>64000</c:v>
                </c:pt>
                <c:pt idx="115">
                  <c:v>7689</c:v>
                </c:pt>
                <c:pt idx="116">
                  <c:v>14779</c:v>
                </c:pt>
                <c:pt idx="117">
                  <c:v>17005</c:v>
                </c:pt>
                <c:pt idx="118">
                  <c:v>34956</c:v>
                </c:pt>
                <c:pt idx="119">
                  <c:v>46070</c:v>
                </c:pt>
                <c:pt idx="120">
                  <c:v>17691</c:v>
                </c:pt>
                <c:pt idx="121">
                  <c:v>3153</c:v>
                </c:pt>
                <c:pt idx="122">
                  <c:v>24841</c:v>
                </c:pt>
                <c:pt idx="123">
                  <c:v>12852</c:v>
                </c:pt>
                <c:pt idx="124">
                  <c:v>26290</c:v>
                </c:pt>
                <c:pt idx="125">
                  <c:v>27206</c:v>
                </c:pt>
                <c:pt idx="126">
                  <c:v>28527</c:v>
                </c:pt>
                <c:pt idx="127">
                  <c:v>6515</c:v>
                </c:pt>
                <c:pt idx="128">
                  <c:v>26393</c:v>
                </c:pt>
                <c:pt idx="129">
                  <c:v>34472</c:v>
                </c:pt>
                <c:pt idx="130">
                  <c:v>33348</c:v>
                </c:pt>
                <c:pt idx="131">
                  <c:v>17956</c:v>
                </c:pt>
                <c:pt idx="132">
                  <c:v>7330</c:v>
                </c:pt>
                <c:pt idx="133">
                  <c:v>14774</c:v>
                </c:pt>
                <c:pt idx="134">
                  <c:v>438886</c:v>
                </c:pt>
                <c:pt idx="135">
                  <c:v>903771</c:v>
                </c:pt>
                <c:pt idx="136">
                  <c:v>32819</c:v>
                </c:pt>
                <c:pt idx="137">
                  <c:v>116270</c:v>
                </c:pt>
                <c:pt idx="138">
                  <c:v>53258</c:v>
                </c:pt>
                <c:pt idx="139">
                  <c:v>31391</c:v>
                </c:pt>
                <c:pt idx="140">
                  <c:v>20746</c:v>
                </c:pt>
                <c:pt idx="141">
                  <c:v>141331</c:v>
                </c:pt>
                <c:pt idx="142">
                  <c:v>134537</c:v>
                </c:pt>
                <c:pt idx="143">
                  <c:v>35192</c:v>
                </c:pt>
                <c:pt idx="144">
                  <c:v>58675</c:v>
                </c:pt>
                <c:pt idx="145">
                  <c:v>72553</c:v>
                </c:pt>
                <c:pt idx="146">
                  <c:v>197570</c:v>
                </c:pt>
                <c:pt idx="147">
                  <c:v>8128426</c:v>
                </c:pt>
                <c:pt idx="148">
                  <c:v>448600</c:v>
                </c:pt>
                <c:pt idx="149">
                  <c:v>915947</c:v>
                </c:pt>
                <c:pt idx="150">
                  <c:v>637911</c:v>
                </c:pt>
              </c:numCache>
            </c:numRef>
          </c:xVal>
          <c:yVal>
            <c:numRef>
              <c:f>'[1]48 vs. 192'!$AF$2:$AF$152</c:f>
              <c:numCache>
                <c:formatCode>General</c:formatCode>
                <c:ptCount val="151"/>
                <c:pt idx="0">
                  <c:v>74.720544771039911</c:v>
                </c:pt>
                <c:pt idx="1">
                  <c:v>45.402920113602796</c:v>
                </c:pt>
                <c:pt idx="2">
                  <c:v>43.915985199119675</c:v>
                </c:pt>
                <c:pt idx="3">
                  <c:v>40.960444088124603</c:v>
                </c:pt>
                <c:pt idx="4">
                  <c:v>40.050211997277387</c:v>
                </c:pt>
                <c:pt idx="5">
                  <c:v>39.585306944234468</c:v>
                </c:pt>
                <c:pt idx="6">
                  <c:v>34.995586909824695</c:v>
                </c:pt>
                <c:pt idx="7">
                  <c:v>32.403809582374308</c:v>
                </c:pt>
                <c:pt idx="8">
                  <c:v>26.915265967791221</c:v>
                </c:pt>
                <c:pt idx="9">
                  <c:v>25.159869009766993</c:v>
                </c:pt>
                <c:pt idx="10">
                  <c:v>24.088459418586041</c:v>
                </c:pt>
                <c:pt idx="11">
                  <c:v>22.553067033110406</c:v>
                </c:pt>
                <c:pt idx="12">
                  <c:v>18.086016739214635</c:v>
                </c:pt>
                <c:pt idx="13">
                  <c:v>16.386894745968789</c:v>
                </c:pt>
                <c:pt idx="14">
                  <c:v>14.90425799699676</c:v>
                </c:pt>
                <c:pt idx="15">
                  <c:v>14.504303053379477</c:v>
                </c:pt>
                <c:pt idx="16">
                  <c:v>14.020739801218953</c:v>
                </c:pt>
                <c:pt idx="17">
                  <c:v>13.954951266286596</c:v>
                </c:pt>
                <c:pt idx="18">
                  <c:v>13.463708160931754</c:v>
                </c:pt>
                <c:pt idx="19">
                  <c:v>12.553051521534703</c:v>
                </c:pt>
                <c:pt idx="20">
                  <c:v>11.557886101885918</c:v>
                </c:pt>
                <c:pt idx="21">
                  <c:v>11.331214272840008</c:v>
                </c:pt>
                <c:pt idx="22">
                  <c:v>11.082178358883905</c:v>
                </c:pt>
                <c:pt idx="23">
                  <c:v>11.026265013584315</c:v>
                </c:pt>
                <c:pt idx="24">
                  <c:v>10.306880370159117</c:v>
                </c:pt>
                <c:pt idx="25">
                  <c:v>10.101735585013815</c:v>
                </c:pt>
                <c:pt idx="26">
                  <c:v>9.2029098361153405</c:v>
                </c:pt>
                <c:pt idx="27">
                  <c:v>9.1457946799752854</c:v>
                </c:pt>
                <c:pt idx="28">
                  <c:v>8.9056361227698897</c:v>
                </c:pt>
                <c:pt idx="29">
                  <c:v>8.416323145149903</c:v>
                </c:pt>
                <c:pt idx="30">
                  <c:v>7.0883917415684143</c:v>
                </c:pt>
                <c:pt idx="31">
                  <c:v>6.9413861183219101</c:v>
                </c:pt>
                <c:pt idx="32">
                  <c:v>6.7276901147461023</c:v>
                </c:pt>
                <c:pt idx="33">
                  <c:v>5.7682662262819901</c:v>
                </c:pt>
                <c:pt idx="34">
                  <c:v>5.7110793651361513</c:v>
                </c:pt>
                <c:pt idx="35">
                  <c:v>5.6261224516558519</c:v>
                </c:pt>
                <c:pt idx="36">
                  <c:v>5.5086599181666713</c:v>
                </c:pt>
                <c:pt idx="37">
                  <c:v>5.3499196733441456</c:v>
                </c:pt>
                <c:pt idx="38">
                  <c:v>5.1125278870757258</c:v>
                </c:pt>
                <c:pt idx="39">
                  <c:v>4.7459678604853117</c:v>
                </c:pt>
                <c:pt idx="40">
                  <c:v>4.7392218503329486</c:v>
                </c:pt>
                <c:pt idx="41">
                  <c:v>4.6863059438282866</c:v>
                </c:pt>
                <c:pt idx="42">
                  <c:v>4.6499727816887324</c:v>
                </c:pt>
                <c:pt idx="43">
                  <c:v>4.6379637258767596</c:v>
                </c:pt>
                <c:pt idx="44">
                  <c:v>4.5299330267442937</c:v>
                </c:pt>
                <c:pt idx="45">
                  <c:v>4.19803976728896</c:v>
                </c:pt>
                <c:pt idx="46">
                  <c:v>4.0802103750931611</c:v>
                </c:pt>
                <c:pt idx="47">
                  <c:v>4.0751779746983914</c:v>
                </c:pt>
                <c:pt idx="48">
                  <c:v>4.0272238758882768</c:v>
                </c:pt>
                <c:pt idx="49">
                  <c:v>3.9862926357396007</c:v>
                </c:pt>
                <c:pt idx="50">
                  <c:v>3.9660054422185498</c:v>
                </c:pt>
                <c:pt idx="51">
                  <c:v>3.881097722550662</c:v>
                </c:pt>
                <c:pt idx="52">
                  <c:v>3.720433385730213</c:v>
                </c:pt>
                <c:pt idx="53">
                  <c:v>3.7182906605245343</c:v>
                </c:pt>
                <c:pt idx="54">
                  <c:v>3.5921381399526555</c:v>
                </c:pt>
                <c:pt idx="55">
                  <c:v>3.5451042807384487</c:v>
                </c:pt>
                <c:pt idx="56">
                  <c:v>3.2880896243503801</c:v>
                </c:pt>
                <c:pt idx="57">
                  <c:v>3.2854456105736349</c:v>
                </c:pt>
                <c:pt idx="58">
                  <c:v>3.2793301157703802</c:v>
                </c:pt>
                <c:pt idx="59">
                  <c:v>3.1835246989553747</c:v>
                </c:pt>
                <c:pt idx="60">
                  <c:v>3.0264751197968147</c:v>
                </c:pt>
                <c:pt idx="61">
                  <c:v>2.8030787027240582</c:v>
                </c:pt>
                <c:pt idx="62">
                  <c:v>2.7903937881301211</c:v>
                </c:pt>
                <c:pt idx="63">
                  <c:v>2.7532611190702334</c:v>
                </c:pt>
                <c:pt idx="64">
                  <c:v>2.7226607320245488</c:v>
                </c:pt>
                <c:pt idx="65">
                  <c:v>2.7145867677577415</c:v>
                </c:pt>
                <c:pt idx="66">
                  <c:v>2.6620129120432323</c:v>
                </c:pt>
                <c:pt idx="67">
                  <c:v>2.5915271869370429</c:v>
                </c:pt>
                <c:pt idx="68">
                  <c:v>2.5779991881087971</c:v>
                </c:pt>
                <c:pt idx="69">
                  <c:v>2.5478833020220186</c:v>
                </c:pt>
                <c:pt idx="70">
                  <c:v>2.4566115165616242</c:v>
                </c:pt>
                <c:pt idx="71">
                  <c:v>2.4331588086730576</c:v>
                </c:pt>
                <c:pt idx="72">
                  <c:v>2.3878441127179917</c:v>
                </c:pt>
                <c:pt idx="73">
                  <c:v>2.3751814739690373</c:v>
                </c:pt>
                <c:pt idx="74">
                  <c:v>2.1968930973558303</c:v>
                </c:pt>
                <c:pt idx="75">
                  <c:v>2.1480372706894313</c:v>
                </c:pt>
                <c:pt idx="76">
                  <c:v>2.1329609495380883</c:v>
                </c:pt>
                <c:pt idx="77">
                  <c:v>2.1307115473533029</c:v>
                </c:pt>
                <c:pt idx="78">
                  <c:v>2.1225484212330241</c:v>
                </c:pt>
                <c:pt idx="79">
                  <c:v>2.1097565582411266</c:v>
                </c:pt>
                <c:pt idx="80">
                  <c:v>2.1097565582411262</c:v>
                </c:pt>
                <c:pt idx="81">
                  <c:v>2.0936035853469019</c:v>
                </c:pt>
                <c:pt idx="82">
                  <c:v>2.0818612399072935</c:v>
                </c:pt>
                <c:pt idx="83">
                  <c:v>2.0552929706563217</c:v>
                </c:pt>
                <c:pt idx="84">
                  <c:v>2.0460537022602128</c:v>
                </c:pt>
                <c:pt idx="85">
                  <c:v>2.0201620857729337</c:v>
                </c:pt>
                <c:pt idx="86">
                  <c:v>1.997496041196013</c:v>
                </c:pt>
                <c:pt idx="87">
                  <c:v>1.9714524796701289</c:v>
                </c:pt>
                <c:pt idx="88">
                  <c:v>1.9550821431245291</c:v>
                </c:pt>
                <c:pt idx="89">
                  <c:v>1.9250144965567384</c:v>
                </c:pt>
                <c:pt idx="90">
                  <c:v>1.9156932698313198</c:v>
                </c:pt>
                <c:pt idx="91">
                  <c:v>1.8764151065822812</c:v>
                </c:pt>
                <c:pt idx="92">
                  <c:v>1.8264352029902806</c:v>
                </c:pt>
                <c:pt idx="93">
                  <c:v>1.8200734790868898</c:v>
                </c:pt>
                <c:pt idx="94">
                  <c:v>1.7873746155131922</c:v>
                </c:pt>
                <c:pt idx="95">
                  <c:v>1.7606134740583981</c:v>
                </c:pt>
                <c:pt idx="96">
                  <c:v>1.7521770075409993</c:v>
                </c:pt>
                <c:pt idx="97">
                  <c:v>1.7059132490560354</c:v>
                </c:pt>
                <c:pt idx="98">
                  <c:v>1.7009455084650571</c:v>
                </c:pt>
                <c:pt idx="99">
                  <c:v>1.6946771270914025</c:v>
                </c:pt>
                <c:pt idx="100">
                  <c:v>1.6925401200900227</c:v>
                </c:pt>
                <c:pt idx="101">
                  <c:v>1.6866213203537088</c:v>
                </c:pt>
                <c:pt idx="102">
                  <c:v>1.6821743244484542</c:v>
                </c:pt>
                <c:pt idx="103">
                  <c:v>1.6783617787838869</c:v>
                </c:pt>
                <c:pt idx="104">
                  <c:v>1.6572260902526359</c:v>
                </c:pt>
                <c:pt idx="105">
                  <c:v>1.6543677897024214</c:v>
                </c:pt>
                <c:pt idx="106">
                  <c:v>1.6459213076958508</c:v>
                </c:pt>
                <c:pt idx="107">
                  <c:v>1.6423741991577645</c:v>
                </c:pt>
                <c:pt idx="108">
                  <c:v>1.6043470052327604</c:v>
                </c:pt>
                <c:pt idx="109">
                  <c:v>1.6021724777628874</c:v>
                </c:pt>
                <c:pt idx="110">
                  <c:v>1.6001492176517311</c:v>
                </c:pt>
                <c:pt idx="111">
                  <c:v>1.5838627971930814</c:v>
                </c:pt>
                <c:pt idx="112">
                  <c:v>1.5767210236516531</c:v>
                </c:pt>
                <c:pt idx="113">
                  <c:v>1.572613257339702</c:v>
                </c:pt>
                <c:pt idx="114">
                  <c:v>1.533974182650411</c:v>
                </c:pt>
                <c:pt idx="115">
                  <c:v>1.5173024716819858</c:v>
                </c:pt>
                <c:pt idx="116">
                  <c:v>1.4270080613527298</c:v>
                </c:pt>
                <c:pt idx="117">
                  <c:v>1.406932419456298</c:v>
                </c:pt>
                <c:pt idx="118">
                  <c:v>1.3881093165017058</c:v>
                </c:pt>
                <c:pt idx="119">
                  <c:v>1.3762385737127742</c:v>
                </c:pt>
                <c:pt idx="120">
                  <c:v>1.3634380479892916</c:v>
                </c:pt>
                <c:pt idx="121">
                  <c:v>1.3619820727685532</c:v>
                </c:pt>
                <c:pt idx="122">
                  <c:v>1.3618307489795425</c:v>
                </c:pt>
                <c:pt idx="123">
                  <c:v>1.3574113128549488</c:v>
                </c:pt>
                <c:pt idx="124">
                  <c:v>1.3528981119305004</c:v>
                </c:pt>
                <c:pt idx="125">
                  <c:v>1.3397875435904623</c:v>
                </c:pt>
                <c:pt idx="126">
                  <c:v>1.3279559515110844</c:v>
                </c:pt>
                <c:pt idx="127">
                  <c:v>1.3214241690033868</c:v>
                </c:pt>
                <c:pt idx="128">
                  <c:v>1.3119676600055623</c:v>
                </c:pt>
                <c:pt idx="129">
                  <c:v>1.3063057454075422</c:v>
                </c:pt>
                <c:pt idx="130">
                  <c:v>1.3033689723359356</c:v>
                </c:pt>
                <c:pt idx="131">
                  <c:v>1.2910335965497377</c:v>
                </c:pt>
                <c:pt idx="132">
                  <c:v>1.2779308124392805</c:v>
                </c:pt>
                <c:pt idx="133">
                  <c:v>1.2657199589480206</c:v>
                </c:pt>
                <c:pt idx="134">
                  <c:v>1.2426429099776084</c:v>
                </c:pt>
                <c:pt idx="135">
                  <c:v>1.2378298558355545</c:v>
                </c:pt>
                <c:pt idx="136">
                  <c:v>1.2363623055103929</c:v>
                </c:pt>
                <c:pt idx="137">
                  <c:v>1.230683166197736</c:v>
                </c:pt>
                <c:pt idx="138">
                  <c:v>1.2294693815649573</c:v>
                </c:pt>
                <c:pt idx="139">
                  <c:v>1.2213945976304854</c:v>
                </c:pt>
                <c:pt idx="140">
                  <c:v>1.2079700848754755</c:v>
                </c:pt>
                <c:pt idx="141">
                  <c:v>1.1683426864221627</c:v>
                </c:pt>
                <c:pt idx="142">
                  <c:v>1.1502823237195279</c:v>
                </c:pt>
                <c:pt idx="143">
                  <c:v>1.1352252492991477</c:v>
                </c:pt>
                <c:pt idx="144">
                  <c:v>1.1300940048320911</c:v>
                </c:pt>
                <c:pt idx="145">
                  <c:v>1.1096898665369708</c:v>
                </c:pt>
                <c:pt idx="146">
                  <c:v>1.0698140127775178</c:v>
                </c:pt>
                <c:pt idx="147">
                  <c:v>1.0385216232762262</c:v>
                </c:pt>
                <c:pt idx="148">
                  <c:v>1.0205470825542871</c:v>
                </c:pt>
                <c:pt idx="149">
                  <c:v>1.0070844068923528</c:v>
                </c:pt>
                <c:pt idx="150">
                  <c:v>1.0014987100213704</c:v>
                </c:pt>
              </c:numCache>
            </c:numRef>
          </c:yVal>
        </c:ser>
        <c:ser>
          <c:idx val="1"/>
          <c:order val="1"/>
          <c:spPr>
            <a:ln w="28575">
              <a:noFill/>
            </a:ln>
          </c:spPr>
          <c:xVal>
            <c:numRef>
              <c:f>'[1]48 vs. 192'!$AE$153:$AE$354</c:f>
              <c:numCache>
                <c:formatCode>General</c:formatCode>
                <c:ptCount val="202"/>
                <c:pt idx="0">
                  <c:v>306315</c:v>
                </c:pt>
                <c:pt idx="1">
                  <c:v>158454</c:v>
                </c:pt>
                <c:pt idx="2">
                  <c:v>48231</c:v>
                </c:pt>
                <c:pt idx="3">
                  <c:v>101746</c:v>
                </c:pt>
                <c:pt idx="4">
                  <c:v>84825</c:v>
                </c:pt>
                <c:pt idx="5">
                  <c:v>36603</c:v>
                </c:pt>
                <c:pt idx="6">
                  <c:v>26243</c:v>
                </c:pt>
                <c:pt idx="7">
                  <c:v>61582</c:v>
                </c:pt>
                <c:pt idx="8">
                  <c:v>101025</c:v>
                </c:pt>
                <c:pt idx="9">
                  <c:v>38713</c:v>
                </c:pt>
                <c:pt idx="10">
                  <c:v>15312</c:v>
                </c:pt>
                <c:pt idx="11">
                  <c:v>30807</c:v>
                </c:pt>
                <c:pt idx="12">
                  <c:v>10792</c:v>
                </c:pt>
                <c:pt idx="13">
                  <c:v>78694</c:v>
                </c:pt>
                <c:pt idx="14">
                  <c:v>443982</c:v>
                </c:pt>
                <c:pt idx="15">
                  <c:v>67024</c:v>
                </c:pt>
                <c:pt idx="16">
                  <c:v>109487</c:v>
                </c:pt>
                <c:pt idx="17">
                  <c:v>84399</c:v>
                </c:pt>
                <c:pt idx="18">
                  <c:v>26830</c:v>
                </c:pt>
                <c:pt idx="19">
                  <c:v>6091</c:v>
                </c:pt>
                <c:pt idx="20">
                  <c:v>5833</c:v>
                </c:pt>
                <c:pt idx="21">
                  <c:v>48148</c:v>
                </c:pt>
                <c:pt idx="22">
                  <c:v>55692</c:v>
                </c:pt>
                <c:pt idx="23">
                  <c:v>16024</c:v>
                </c:pt>
                <c:pt idx="24">
                  <c:v>54837</c:v>
                </c:pt>
                <c:pt idx="25">
                  <c:v>21848</c:v>
                </c:pt>
                <c:pt idx="26">
                  <c:v>84585</c:v>
                </c:pt>
                <c:pt idx="27">
                  <c:v>9519</c:v>
                </c:pt>
                <c:pt idx="28">
                  <c:v>12009</c:v>
                </c:pt>
                <c:pt idx="29">
                  <c:v>67625</c:v>
                </c:pt>
                <c:pt idx="30">
                  <c:v>31221</c:v>
                </c:pt>
                <c:pt idx="31">
                  <c:v>27391</c:v>
                </c:pt>
                <c:pt idx="32">
                  <c:v>36029</c:v>
                </c:pt>
                <c:pt idx="33">
                  <c:v>58418</c:v>
                </c:pt>
                <c:pt idx="34">
                  <c:v>10472</c:v>
                </c:pt>
                <c:pt idx="35">
                  <c:v>11855</c:v>
                </c:pt>
                <c:pt idx="36">
                  <c:v>6839</c:v>
                </c:pt>
                <c:pt idx="37">
                  <c:v>72346</c:v>
                </c:pt>
                <c:pt idx="38">
                  <c:v>29724</c:v>
                </c:pt>
                <c:pt idx="39">
                  <c:v>23767</c:v>
                </c:pt>
                <c:pt idx="40">
                  <c:v>238701</c:v>
                </c:pt>
                <c:pt idx="41">
                  <c:v>68646</c:v>
                </c:pt>
                <c:pt idx="42">
                  <c:v>84972</c:v>
                </c:pt>
                <c:pt idx="43">
                  <c:v>11968</c:v>
                </c:pt>
                <c:pt idx="44">
                  <c:v>91574</c:v>
                </c:pt>
                <c:pt idx="45">
                  <c:v>3453</c:v>
                </c:pt>
                <c:pt idx="46">
                  <c:v>20587</c:v>
                </c:pt>
                <c:pt idx="47">
                  <c:v>21249</c:v>
                </c:pt>
                <c:pt idx="48">
                  <c:v>16103</c:v>
                </c:pt>
                <c:pt idx="49">
                  <c:v>12018</c:v>
                </c:pt>
                <c:pt idx="50">
                  <c:v>22257</c:v>
                </c:pt>
                <c:pt idx="51">
                  <c:v>31381</c:v>
                </c:pt>
                <c:pt idx="52">
                  <c:v>11035</c:v>
                </c:pt>
                <c:pt idx="53">
                  <c:v>26850</c:v>
                </c:pt>
                <c:pt idx="54">
                  <c:v>20609</c:v>
                </c:pt>
                <c:pt idx="55">
                  <c:v>13787</c:v>
                </c:pt>
                <c:pt idx="56">
                  <c:v>29621</c:v>
                </c:pt>
                <c:pt idx="57">
                  <c:v>19603</c:v>
                </c:pt>
                <c:pt idx="58">
                  <c:v>20150</c:v>
                </c:pt>
                <c:pt idx="59">
                  <c:v>39526</c:v>
                </c:pt>
                <c:pt idx="60">
                  <c:v>86853</c:v>
                </c:pt>
                <c:pt idx="61">
                  <c:v>10701</c:v>
                </c:pt>
                <c:pt idx="62">
                  <c:v>17496</c:v>
                </c:pt>
                <c:pt idx="63">
                  <c:v>21953</c:v>
                </c:pt>
                <c:pt idx="64">
                  <c:v>16218</c:v>
                </c:pt>
                <c:pt idx="65">
                  <c:v>180394</c:v>
                </c:pt>
                <c:pt idx="66">
                  <c:v>8103</c:v>
                </c:pt>
                <c:pt idx="67">
                  <c:v>2186</c:v>
                </c:pt>
                <c:pt idx="68">
                  <c:v>2623</c:v>
                </c:pt>
                <c:pt idx="69">
                  <c:v>78809</c:v>
                </c:pt>
                <c:pt idx="70">
                  <c:v>16559</c:v>
                </c:pt>
                <c:pt idx="71">
                  <c:v>26146</c:v>
                </c:pt>
                <c:pt idx="72">
                  <c:v>13294</c:v>
                </c:pt>
                <c:pt idx="73">
                  <c:v>97569</c:v>
                </c:pt>
                <c:pt idx="74">
                  <c:v>18043</c:v>
                </c:pt>
                <c:pt idx="75">
                  <c:v>103627</c:v>
                </c:pt>
                <c:pt idx="76">
                  <c:v>46467</c:v>
                </c:pt>
                <c:pt idx="77">
                  <c:v>49780</c:v>
                </c:pt>
                <c:pt idx="78">
                  <c:v>2878</c:v>
                </c:pt>
                <c:pt idx="79">
                  <c:v>13597</c:v>
                </c:pt>
                <c:pt idx="80">
                  <c:v>16441</c:v>
                </c:pt>
                <c:pt idx="81">
                  <c:v>62137</c:v>
                </c:pt>
                <c:pt idx="82">
                  <c:v>44218</c:v>
                </c:pt>
                <c:pt idx="83">
                  <c:v>39864</c:v>
                </c:pt>
                <c:pt idx="84">
                  <c:v>22406</c:v>
                </c:pt>
                <c:pt idx="85">
                  <c:v>56267</c:v>
                </c:pt>
                <c:pt idx="86">
                  <c:v>38971</c:v>
                </c:pt>
                <c:pt idx="87">
                  <c:v>52251</c:v>
                </c:pt>
                <c:pt idx="88">
                  <c:v>14176</c:v>
                </c:pt>
                <c:pt idx="89">
                  <c:v>78940</c:v>
                </c:pt>
                <c:pt idx="90">
                  <c:v>17456</c:v>
                </c:pt>
                <c:pt idx="91">
                  <c:v>3856</c:v>
                </c:pt>
                <c:pt idx="92">
                  <c:v>44151</c:v>
                </c:pt>
                <c:pt idx="93">
                  <c:v>68056</c:v>
                </c:pt>
                <c:pt idx="94">
                  <c:v>12335</c:v>
                </c:pt>
                <c:pt idx="95">
                  <c:v>176472</c:v>
                </c:pt>
                <c:pt idx="96">
                  <c:v>5116</c:v>
                </c:pt>
                <c:pt idx="97">
                  <c:v>21018</c:v>
                </c:pt>
                <c:pt idx="98">
                  <c:v>46213</c:v>
                </c:pt>
                <c:pt idx="99">
                  <c:v>16052</c:v>
                </c:pt>
                <c:pt idx="100">
                  <c:v>18752</c:v>
                </c:pt>
                <c:pt idx="101">
                  <c:v>32014</c:v>
                </c:pt>
                <c:pt idx="102">
                  <c:v>11626</c:v>
                </c:pt>
                <c:pt idx="103">
                  <c:v>24585</c:v>
                </c:pt>
                <c:pt idx="104">
                  <c:v>5724</c:v>
                </c:pt>
                <c:pt idx="105">
                  <c:v>12014</c:v>
                </c:pt>
                <c:pt idx="106">
                  <c:v>66108</c:v>
                </c:pt>
                <c:pt idx="107">
                  <c:v>22023</c:v>
                </c:pt>
                <c:pt idx="108">
                  <c:v>15557</c:v>
                </c:pt>
                <c:pt idx="109">
                  <c:v>96772</c:v>
                </c:pt>
                <c:pt idx="110">
                  <c:v>10009</c:v>
                </c:pt>
                <c:pt idx="111">
                  <c:v>10566</c:v>
                </c:pt>
                <c:pt idx="112">
                  <c:v>9834</c:v>
                </c:pt>
                <c:pt idx="113">
                  <c:v>31126</c:v>
                </c:pt>
                <c:pt idx="114">
                  <c:v>6117</c:v>
                </c:pt>
                <c:pt idx="115">
                  <c:v>41863</c:v>
                </c:pt>
                <c:pt idx="116">
                  <c:v>4816</c:v>
                </c:pt>
                <c:pt idx="117">
                  <c:v>9773</c:v>
                </c:pt>
                <c:pt idx="118">
                  <c:v>17557</c:v>
                </c:pt>
                <c:pt idx="119">
                  <c:v>282752</c:v>
                </c:pt>
                <c:pt idx="120">
                  <c:v>19927</c:v>
                </c:pt>
                <c:pt idx="121">
                  <c:v>27861</c:v>
                </c:pt>
                <c:pt idx="122">
                  <c:v>15051</c:v>
                </c:pt>
                <c:pt idx="123">
                  <c:v>16432</c:v>
                </c:pt>
                <c:pt idx="124">
                  <c:v>45925</c:v>
                </c:pt>
                <c:pt idx="125">
                  <c:v>17079</c:v>
                </c:pt>
                <c:pt idx="126">
                  <c:v>35587</c:v>
                </c:pt>
                <c:pt idx="127">
                  <c:v>2021</c:v>
                </c:pt>
                <c:pt idx="128">
                  <c:v>16472</c:v>
                </c:pt>
                <c:pt idx="129">
                  <c:v>54166</c:v>
                </c:pt>
                <c:pt idx="130">
                  <c:v>15345</c:v>
                </c:pt>
                <c:pt idx="131">
                  <c:v>55080</c:v>
                </c:pt>
                <c:pt idx="132">
                  <c:v>10455</c:v>
                </c:pt>
                <c:pt idx="133">
                  <c:v>17468</c:v>
                </c:pt>
                <c:pt idx="134">
                  <c:v>34203</c:v>
                </c:pt>
                <c:pt idx="135">
                  <c:v>119674</c:v>
                </c:pt>
                <c:pt idx="136">
                  <c:v>6767</c:v>
                </c:pt>
                <c:pt idx="137">
                  <c:v>17209</c:v>
                </c:pt>
                <c:pt idx="138">
                  <c:v>17009</c:v>
                </c:pt>
                <c:pt idx="139">
                  <c:v>7725</c:v>
                </c:pt>
                <c:pt idx="140">
                  <c:v>7616</c:v>
                </c:pt>
                <c:pt idx="141">
                  <c:v>21735</c:v>
                </c:pt>
                <c:pt idx="142">
                  <c:v>15618</c:v>
                </c:pt>
                <c:pt idx="143">
                  <c:v>12428</c:v>
                </c:pt>
                <c:pt idx="144">
                  <c:v>3080</c:v>
                </c:pt>
                <c:pt idx="145">
                  <c:v>9405</c:v>
                </c:pt>
                <c:pt idx="146">
                  <c:v>6654</c:v>
                </c:pt>
                <c:pt idx="147">
                  <c:v>22538</c:v>
                </c:pt>
                <c:pt idx="148">
                  <c:v>4904</c:v>
                </c:pt>
                <c:pt idx="149">
                  <c:v>13397</c:v>
                </c:pt>
                <c:pt idx="150">
                  <c:v>3343</c:v>
                </c:pt>
                <c:pt idx="151">
                  <c:v>2829</c:v>
                </c:pt>
                <c:pt idx="152">
                  <c:v>13852</c:v>
                </c:pt>
                <c:pt idx="153">
                  <c:v>13527</c:v>
                </c:pt>
                <c:pt idx="154">
                  <c:v>6282</c:v>
                </c:pt>
                <c:pt idx="155">
                  <c:v>8153</c:v>
                </c:pt>
                <c:pt idx="156">
                  <c:v>16770</c:v>
                </c:pt>
                <c:pt idx="157">
                  <c:v>11219</c:v>
                </c:pt>
                <c:pt idx="158">
                  <c:v>16304</c:v>
                </c:pt>
                <c:pt idx="159">
                  <c:v>72307</c:v>
                </c:pt>
                <c:pt idx="160">
                  <c:v>10701</c:v>
                </c:pt>
                <c:pt idx="161">
                  <c:v>11819</c:v>
                </c:pt>
                <c:pt idx="162">
                  <c:v>43407</c:v>
                </c:pt>
                <c:pt idx="163">
                  <c:v>39971</c:v>
                </c:pt>
                <c:pt idx="164">
                  <c:v>12181</c:v>
                </c:pt>
                <c:pt idx="165">
                  <c:v>3399</c:v>
                </c:pt>
                <c:pt idx="166">
                  <c:v>1683</c:v>
                </c:pt>
                <c:pt idx="167">
                  <c:v>8065</c:v>
                </c:pt>
                <c:pt idx="168">
                  <c:v>13621</c:v>
                </c:pt>
                <c:pt idx="169">
                  <c:v>22379</c:v>
                </c:pt>
                <c:pt idx="170">
                  <c:v>956</c:v>
                </c:pt>
                <c:pt idx="171">
                  <c:v>2010</c:v>
                </c:pt>
                <c:pt idx="172">
                  <c:v>10886</c:v>
                </c:pt>
                <c:pt idx="173">
                  <c:v>7181</c:v>
                </c:pt>
                <c:pt idx="174">
                  <c:v>4319</c:v>
                </c:pt>
                <c:pt idx="175">
                  <c:v>1929</c:v>
                </c:pt>
                <c:pt idx="176">
                  <c:v>12561</c:v>
                </c:pt>
                <c:pt idx="177">
                  <c:v>7782</c:v>
                </c:pt>
                <c:pt idx="178">
                  <c:v>17583</c:v>
                </c:pt>
                <c:pt idx="179">
                  <c:v>633</c:v>
                </c:pt>
                <c:pt idx="180">
                  <c:v>18521</c:v>
                </c:pt>
                <c:pt idx="181">
                  <c:v>29695</c:v>
                </c:pt>
                <c:pt idx="182">
                  <c:v>6479</c:v>
                </c:pt>
                <c:pt idx="183">
                  <c:v>5081</c:v>
                </c:pt>
                <c:pt idx="184">
                  <c:v>22243</c:v>
                </c:pt>
                <c:pt idx="185">
                  <c:v>17325</c:v>
                </c:pt>
                <c:pt idx="186">
                  <c:v>19558</c:v>
                </c:pt>
                <c:pt idx="187">
                  <c:v>1488</c:v>
                </c:pt>
                <c:pt idx="188">
                  <c:v>8681</c:v>
                </c:pt>
                <c:pt idx="189">
                  <c:v>4231</c:v>
                </c:pt>
                <c:pt idx="190">
                  <c:v>5449</c:v>
                </c:pt>
                <c:pt idx="191">
                  <c:v>35145</c:v>
                </c:pt>
                <c:pt idx="192">
                  <c:v>1749</c:v>
                </c:pt>
                <c:pt idx="193">
                  <c:v>8032</c:v>
                </c:pt>
                <c:pt idx="194">
                  <c:v>20994</c:v>
                </c:pt>
                <c:pt idx="195">
                  <c:v>14740</c:v>
                </c:pt>
                <c:pt idx="196">
                  <c:v>54026</c:v>
                </c:pt>
                <c:pt idx="197">
                  <c:v>11623</c:v>
                </c:pt>
                <c:pt idx="198">
                  <c:v>1964</c:v>
                </c:pt>
                <c:pt idx="199">
                  <c:v>4073</c:v>
                </c:pt>
                <c:pt idx="200">
                  <c:v>2977</c:v>
                </c:pt>
                <c:pt idx="201">
                  <c:v>7294</c:v>
                </c:pt>
              </c:numCache>
            </c:numRef>
          </c:xVal>
          <c:yVal>
            <c:numRef>
              <c:f>'[1]48 vs. 192'!$AF$153:$AF$354</c:f>
              <c:numCache>
                <c:formatCode>General</c:formatCode>
                <c:ptCount val="202"/>
                <c:pt idx="0">
                  <c:v>0.9988515266945549</c:v>
                </c:pt>
                <c:pt idx="1">
                  <c:v>0.70457048642304421</c:v>
                </c:pt>
                <c:pt idx="2">
                  <c:v>0.68677339937170523</c:v>
                </c:pt>
                <c:pt idx="3">
                  <c:v>0.66839603988496987</c:v>
                </c:pt>
                <c:pt idx="4">
                  <c:v>0.66741553859936531</c:v>
                </c:pt>
                <c:pt idx="5">
                  <c:v>0.66439400075732202</c:v>
                </c:pt>
                <c:pt idx="6">
                  <c:v>0.66332279197902233</c:v>
                </c:pt>
                <c:pt idx="7">
                  <c:v>0.65406474204863474</c:v>
                </c:pt>
                <c:pt idx="8">
                  <c:v>0.64535859936586415</c:v>
                </c:pt>
                <c:pt idx="9">
                  <c:v>0.64425317714738695</c:v>
                </c:pt>
                <c:pt idx="10">
                  <c:v>0.640143965269937</c:v>
                </c:pt>
                <c:pt idx="11">
                  <c:v>0.6371314447099572</c:v>
                </c:pt>
                <c:pt idx="12">
                  <c:v>0.63283439948996567</c:v>
                </c:pt>
                <c:pt idx="13">
                  <c:v>0.63159833235610285</c:v>
                </c:pt>
                <c:pt idx="14">
                  <c:v>0.60877609162326329</c:v>
                </c:pt>
                <c:pt idx="15">
                  <c:v>0.60167115905859159</c:v>
                </c:pt>
                <c:pt idx="16">
                  <c:v>0.59957834821358147</c:v>
                </c:pt>
                <c:pt idx="17">
                  <c:v>0.5965656391604498</c:v>
                </c:pt>
                <c:pt idx="18">
                  <c:v>0.59414567848308453</c:v>
                </c:pt>
                <c:pt idx="19">
                  <c:v>0.59371481815450411</c:v>
                </c:pt>
                <c:pt idx="20">
                  <c:v>0.59163134491761826</c:v>
                </c:pt>
                <c:pt idx="21">
                  <c:v>0.58813602749644067</c:v>
                </c:pt>
                <c:pt idx="22">
                  <c:v>0.58722077173926457</c:v>
                </c:pt>
                <c:pt idx="23">
                  <c:v>0.57120361156987498</c:v>
                </c:pt>
                <c:pt idx="24">
                  <c:v>0.56235327069286634</c:v>
                </c:pt>
                <c:pt idx="25">
                  <c:v>0.55745193610188915</c:v>
                </c:pt>
                <c:pt idx="26">
                  <c:v>0.55554624953229659</c:v>
                </c:pt>
                <c:pt idx="27">
                  <c:v>0.55540763768721246</c:v>
                </c:pt>
                <c:pt idx="28">
                  <c:v>0.55391744666452858</c:v>
                </c:pt>
                <c:pt idx="29">
                  <c:v>0.55229208977104249</c:v>
                </c:pt>
                <c:pt idx="30">
                  <c:v>0.54961202149534716</c:v>
                </c:pt>
                <c:pt idx="31">
                  <c:v>0.54743080463563298</c:v>
                </c:pt>
                <c:pt idx="32">
                  <c:v>0.54682123847364139</c:v>
                </c:pt>
                <c:pt idx="33">
                  <c:v>0.54668000627303237</c:v>
                </c:pt>
                <c:pt idx="34">
                  <c:v>0.54506641699247937</c:v>
                </c:pt>
                <c:pt idx="35">
                  <c:v>0.54445592464352199</c:v>
                </c:pt>
                <c:pt idx="36">
                  <c:v>0.54232515755358457</c:v>
                </c:pt>
                <c:pt idx="37">
                  <c:v>0.54196469725931018</c:v>
                </c:pt>
                <c:pt idx="38">
                  <c:v>0.53947906320118522</c:v>
                </c:pt>
                <c:pt idx="39">
                  <c:v>0.53828222646655921</c:v>
                </c:pt>
                <c:pt idx="40">
                  <c:v>0.52935029402882661</c:v>
                </c:pt>
                <c:pt idx="41">
                  <c:v>0.52619887794670939</c:v>
                </c:pt>
                <c:pt idx="42">
                  <c:v>0.52490352877556423</c:v>
                </c:pt>
                <c:pt idx="43">
                  <c:v>0.52393123079360993</c:v>
                </c:pt>
                <c:pt idx="44">
                  <c:v>0.51838107638000674</c:v>
                </c:pt>
                <c:pt idx="45">
                  <c:v>0.51638278758591105</c:v>
                </c:pt>
                <c:pt idx="46">
                  <c:v>0.51252945530789373</c:v>
                </c:pt>
                <c:pt idx="47">
                  <c:v>0.51222994946381328</c:v>
                </c:pt>
                <c:pt idx="48">
                  <c:v>0.5098970976718914</c:v>
                </c:pt>
                <c:pt idx="49">
                  <c:v>0.50900327945301493</c:v>
                </c:pt>
                <c:pt idx="50">
                  <c:v>0.50612644152550923</c:v>
                </c:pt>
                <c:pt idx="51">
                  <c:v>0.50534796671063242</c:v>
                </c:pt>
                <c:pt idx="52">
                  <c:v>0.50534661386328583</c:v>
                </c:pt>
                <c:pt idx="53">
                  <c:v>0.50492271712590064</c:v>
                </c:pt>
                <c:pt idx="54">
                  <c:v>0.50394567316241379</c:v>
                </c:pt>
                <c:pt idx="55">
                  <c:v>0.50171589404603567</c:v>
                </c:pt>
                <c:pt idx="56">
                  <c:v>0.50057634553698871</c:v>
                </c:pt>
                <c:pt idx="57">
                  <c:v>0.49910497828413175</c:v>
                </c:pt>
                <c:pt idx="58">
                  <c:v>0.49778322851779772</c:v>
                </c:pt>
                <c:pt idx="59">
                  <c:v>0.49638945490302616</c:v>
                </c:pt>
                <c:pt idx="60">
                  <c:v>0.49570938566756445</c:v>
                </c:pt>
                <c:pt idx="61">
                  <c:v>0.49259485763054595</c:v>
                </c:pt>
                <c:pt idx="62">
                  <c:v>0.49238155444082354</c:v>
                </c:pt>
                <c:pt idx="63">
                  <c:v>0.49223162010214455</c:v>
                </c:pt>
                <c:pt idx="64">
                  <c:v>0.49064183065613892</c:v>
                </c:pt>
                <c:pt idx="65">
                  <c:v>0.48843830047739034</c:v>
                </c:pt>
                <c:pt idx="66">
                  <c:v>0.48680323535125947</c:v>
                </c:pt>
                <c:pt idx="67">
                  <c:v>0.48585730972052921</c:v>
                </c:pt>
                <c:pt idx="68">
                  <c:v>0.48568354101175937</c:v>
                </c:pt>
                <c:pt idx="69">
                  <c:v>0.48526611789586793</c:v>
                </c:pt>
                <c:pt idx="70">
                  <c:v>0.48394158966126888</c:v>
                </c:pt>
                <c:pt idx="71">
                  <c:v>0.4810298167448786</c:v>
                </c:pt>
                <c:pt idx="72">
                  <c:v>0.48086872387994239</c:v>
                </c:pt>
                <c:pt idx="73">
                  <c:v>0.48066640286685614</c:v>
                </c:pt>
                <c:pt idx="74">
                  <c:v>0.48004262023915473</c:v>
                </c:pt>
                <c:pt idx="75">
                  <c:v>0.47870552478502126</c:v>
                </c:pt>
                <c:pt idx="76">
                  <c:v>0.47379119181950274</c:v>
                </c:pt>
                <c:pt idx="77">
                  <c:v>0.4737120869775146</c:v>
                </c:pt>
                <c:pt idx="78">
                  <c:v>0.47233355781517766</c:v>
                </c:pt>
                <c:pt idx="79">
                  <c:v>0.47071861853533103</c:v>
                </c:pt>
                <c:pt idx="80">
                  <c:v>0.468928320257262</c:v>
                </c:pt>
                <c:pt idx="81">
                  <c:v>0.46850718877021297</c:v>
                </c:pt>
                <c:pt idx="82">
                  <c:v>0.4680379346908507</c:v>
                </c:pt>
                <c:pt idx="83">
                  <c:v>0.46547766460419693</c:v>
                </c:pt>
                <c:pt idx="84">
                  <c:v>0.46530864710033076</c:v>
                </c:pt>
                <c:pt idx="85">
                  <c:v>0.46263657634396144</c:v>
                </c:pt>
                <c:pt idx="86">
                  <c:v>0.46263592276844384</c:v>
                </c:pt>
                <c:pt idx="87">
                  <c:v>0.46217959148672688</c:v>
                </c:pt>
                <c:pt idx="88">
                  <c:v>0.46160515364674359</c:v>
                </c:pt>
                <c:pt idx="89">
                  <c:v>0.46106722968202152</c:v>
                </c:pt>
                <c:pt idx="90">
                  <c:v>0.46039475188514611</c:v>
                </c:pt>
                <c:pt idx="91">
                  <c:v>0.45693084195814576</c:v>
                </c:pt>
                <c:pt idx="92">
                  <c:v>0.45257072910508334</c:v>
                </c:pt>
                <c:pt idx="93">
                  <c:v>0.44942722904367327</c:v>
                </c:pt>
                <c:pt idx="94">
                  <c:v>0.44877768102095483</c:v>
                </c:pt>
                <c:pt idx="95">
                  <c:v>0.44646074158222798</c:v>
                </c:pt>
                <c:pt idx="96">
                  <c:v>0.44602529727130874</c:v>
                </c:pt>
                <c:pt idx="97">
                  <c:v>0.44531438762874792</c:v>
                </c:pt>
                <c:pt idx="98">
                  <c:v>0.4439903565219202</c:v>
                </c:pt>
                <c:pt idx="99">
                  <c:v>0.4414666826531497</c:v>
                </c:pt>
                <c:pt idx="100">
                  <c:v>0.44141132030611135</c:v>
                </c:pt>
                <c:pt idx="101">
                  <c:v>0.44101260703626494</c:v>
                </c:pt>
                <c:pt idx="102">
                  <c:v>0.44058941603341556</c:v>
                </c:pt>
                <c:pt idx="103">
                  <c:v>0.439694680595548</c:v>
                </c:pt>
                <c:pt idx="104">
                  <c:v>0.43818726429208094</c:v>
                </c:pt>
                <c:pt idx="105">
                  <c:v>0.43699916121994514</c:v>
                </c:pt>
                <c:pt idx="106">
                  <c:v>0.43230661328248565</c:v>
                </c:pt>
                <c:pt idx="107">
                  <c:v>0.43082661800068422</c:v>
                </c:pt>
                <c:pt idx="108">
                  <c:v>0.42825974919894633</c:v>
                </c:pt>
                <c:pt idx="109">
                  <c:v>0.42711658049707374</c:v>
                </c:pt>
                <c:pt idx="110">
                  <c:v>0.42675273659215068</c:v>
                </c:pt>
                <c:pt idx="111">
                  <c:v>0.42387690270302064</c:v>
                </c:pt>
                <c:pt idx="112">
                  <c:v>0.42330371969837993</c:v>
                </c:pt>
                <c:pt idx="113">
                  <c:v>0.41609737186304863</c:v>
                </c:pt>
                <c:pt idx="114">
                  <c:v>0.41564243430431064</c:v>
                </c:pt>
                <c:pt idx="115">
                  <c:v>0.41401126756087525</c:v>
                </c:pt>
                <c:pt idx="116">
                  <c:v>0.4098955598868475</c:v>
                </c:pt>
                <c:pt idx="117">
                  <c:v>0.40900061953084921</c:v>
                </c:pt>
                <c:pt idx="118">
                  <c:v>0.40736719732586235</c:v>
                </c:pt>
                <c:pt idx="119">
                  <c:v>0.40654988832070071</c:v>
                </c:pt>
                <c:pt idx="120">
                  <c:v>0.40564551977602759</c:v>
                </c:pt>
                <c:pt idx="121">
                  <c:v>0.40481244017971574</c:v>
                </c:pt>
                <c:pt idx="122">
                  <c:v>0.40055022098184373</c:v>
                </c:pt>
                <c:pt idx="123">
                  <c:v>0.40052704165536579</c:v>
                </c:pt>
                <c:pt idx="124">
                  <c:v>0.39909304147108865</c:v>
                </c:pt>
                <c:pt idx="125">
                  <c:v>0.39815314898317711</c:v>
                </c:pt>
                <c:pt idx="126">
                  <c:v>0.39585074555568756</c:v>
                </c:pt>
                <c:pt idx="127">
                  <c:v>0.39130325073586175</c:v>
                </c:pt>
                <c:pt idx="128">
                  <c:v>0.38945454414912223</c:v>
                </c:pt>
                <c:pt idx="129">
                  <c:v>0.3888409209489565</c:v>
                </c:pt>
                <c:pt idx="130">
                  <c:v>0.3887767239470743</c:v>
                </c:pt>
                <c:pt idx="131">
                  <c:v>0.3839890871079919</c:v>
                </c:pt>
                <c:pt idx="132">
                  <c:v>0.38175090391143818</c:v>
                </c:pt>
                <c:pt idx="133">
                  <c:v>0.38010895320978605</c:v>
                </c:pt>
                <c:pt idx="134">
                  <c:v>0.37989297379765946</c:v>
                </c:pt>
                <c:pt idx="135">
                  <c:v>0.37131992058613428</c:v>
                </c:pt>
                <c:pt idx="136">
                  <c:v>0.37061816571883843</c:v>
                </c:pt>
                <c:pt idx="137">
                  <c:v>0.36964360331644808</c:v>
                </c:pt>
                <c:pt idx="138">
                  <c:v>0.36951781000577227</c:v>
                </c:pt>
                <c:pt idx="139">
                  <c:v>0.36351667180530201</c:v>
                </c:pt>
                <c:pt idx="140">
                  <c:v>0.36228142919292078</c:v>
                </c:pt>
                <c:pt idx="141">
                  <c:v>0.35943115913942847</c:v>
                </c:pt>
                <c:pt idx="142">
                  <c:v>0.35634628673676688</c:v>
                </c:pt>
                <c:pt idx="143">
                  <c:v>0.35547730053819837</c:v>
                </c:pt>
                <c:pt idx="144">
                  <c:v>0.35336167461096524</c:v>
                </c:pt>
                <c:pt idx="145">
                  <c:v>0.35031665677607016</c:v>
                </c:pt>
                <c:pt idx="146">
                  <c:v>0.34976944664374715</c:v>
                </c:pt>
                <c:pt idx="147">
                  <c:v>0.34813107051955949</c:v>
                </c:pt>
                <c:pt idx="148">
                  <c:v>0.34073003575282257</c:v>
                </c:pt>
                <c:pt idx="149">
                  <c:v>0.33882862580946532</c:v>
                </c:pt>
                <c:pt idx="150">
                  <c:v>0.33787605029777024</c:v>
                </c:pt>
                <c:pt idx="151">
                  <c:v>0.33741927651332254</c:v>
                </c:pt>
                <c:pt idx="152">
                  <c:v>0.33366091710756685</c:v>
                </c:pt>
                <c:pt idx="153">
                  <c:v>0.33347138444897551</c:v>
                </c:pt>
                <c:pt idx="154">
                  <c:v>0.33306915540069432</c:v>
                </c:pt>
                <c:pt idx="155">
                  <c:v>0.33057654147977789</c:v>
                </c:pt>
                <c:pt idx="156">
                  <c:v>0.33009355681948915</c:v>
                </c:pt>
                <c:pt idx="157">
                  <c:v>0.3294073900309275</c:v>
                </c:pt>
                <c:pt idx="158">
                  <c:v>0.32846674310961638</c:v>
                </c:pt>
                <c:pt idx="159">
                  <c:v>0.32573624858024913</c:v>
                </c:pt>
                <c:pt idx="160">
                  <c:v>0.32504550483907058</c:v>
                </c:pt>
                <c:pt idx="161">
                  <c:v>0.32365966696269061</c:v>
                </c:pt>
                <c:pt idx="162">
                  <c:v>0.32190685172087041</c:v>
                </c:pt>
                <c:pt idx="163">
                  <c:v>0.31679575331481458</c:v>
                </c:pt>
                <c:pt idx="164">
                  <c:v>0.31622917953124602</c:v>
                </c:pt>
                <c:pt idx="165">
                  <c:v>0.31365582291721694</c:v>
                </c:pt>
                <c:pt idx="166">
                  <c:v>0.30992103308517738</c:v>
                </c:pt>
                <c:pt idx="167">
                  <c:v>0.30338837604338731</c:v>
                </c:pt>
                <c:pt idx="168">
                  <c:v>0.30303759558018034</c:v>
                </c:pt>
                <c:pt idx="169">
                  <c:v>0.30248768241950041</c:v>
                </c:pt>
                <c:pt idx="170">
                  <c:v>0.29997698560095137</c:v>
                </c:pt>
                <c:pt idx="171">
                  <c:v>0.29870871293263079</c:v>
                </c:pt>
                <c:pt idx="172">
                  <c:v>0.29325976955884836</c:v>
                </c:pt>
                <c:pt idx="173">
                  <c:v>0.2928299723150814</c:v>
                </c:pt>
                <c:pt idx="174">
                  <c:v>0.28819920950119982</c:v>
                </c:pt>
                <c:pt idx="175">
                  <c:v>0.2868406240639319</c:v>
                </c:pt>
                <c:pt idx="176">
                  <c:v>0.28547716440762755</c:v>
                </c:pt>
                <c:pt idx="177">
                  <c:v>0.2824776685855645</c:v>
                </c:pt>
                <c:pt idx="178">
                  <c:v>0.2763801863431336</c:v>
                </c:pt>
                <c:pt idx="179">
                  <c:v>0.27438363981496622</c:v>
                </c:pt>
                <c:pt idx="180">
                  <c:v>0.27209968918550442</c:v>
                </c:pt>
                <c:pt idx="181">
                  <c:v>0.2705716587492365</c:v>
                </c:pt>
                <c:pt idx="182">
                  <c:v>0.27042732153724852</c:v>
                </c:pt>
                <c:pt idx="183">
                  <c:v>0.26771622464900968</c:v>
                </c:pt>
                <c:pt idx="184">
                  <c:v>0.26577247661076464</c:v>
                </c:pt>
                <c:pt idx="185">
                  <c:v>0.26152190669863962</c:v>
                </c:pt>
                <c:pt idx="186">
                  <c:v>0.25741299759747827</c:v>
                </c:pt>
                <c:pt idx="187">
                  <c:v>0.25618472492927968</c:v>
                </c:pt>
                <c:pt idx="188">
                  <c:v>0.25615099866217467</c:v>
                </c:pt>
                <c:pt idx="189">
                  <c:v>0.25570044378574608</c:v>
                </c:pt>
                <c:pt idx="190">
                  <c:v>0.25141376018378775</c:v>
                </c:pt>
                <c:pt idx="191">
                  <c:v>0.2415529237346942</c:v>
                </c:pt>
                <c:pt idx="192">
                  <c:v>0.23809914525486808</c:v>
                </c:pt>
                <c:pt idx="193">
                  <c:v>0.22799937208833729</c:v>
                </c:pt>
                <c:pt idx="194">
                  <c:v>0.22160629965383716</c:v>
                </c:pt>
                <c:pt idx="195">
                  <c:v>0.21820832707810875</c:v>
                </c:pt>
                <c:pt idx="196">
                  <c:v>0.20704659686649304</c:v>
                </c:pt>
                <c:pt idx="197">
                  <c:v>0.19824575646877854</c:v>
                </c:pt>
                <c:pt idx="198">
                  <c:v>0.18426312893565819</c:v>
                </c:pt>
                <c:pt idx="199">
                  <c:v>0.17758730662259026</c:v>
                </c:pt>
                <c:pt idx="200">
                  <c:v>0.16225032578854379</c:v>
                </c:pt>
                <c:pt idx="201">
                  <c:v>0.13652098354154002</c:v>
                </c:pt>
              </c:numCache>
            </c:numRef>
          </c:yVal>
        </c:ser>
        <c:axId val="49242496"/>
        <c:axId val="49244032"/>
      </c:scatterChart>
      <c:valAx>
        <c:axId val="49242496"/>
        <c:scaling>
          <c:logBase val="10"/>
          <c:orientation val="minMax"/>
        </c:scaling>
        <c:axPos val="b"/>
        <c:numFmt formatCode="General" sourceLinked="1"/>
        <c:tickLblPos val="nextTo"/>
        <c:crossAx val="49244032"/>
        <c:crosses val="autoZero"/>
        <c:crossBetween val="midCat"/>
      </c:valAx>
      <c:valAx>
        <c:axId val="49244032"/>
        <c:scaling>
          <c:logBase val="10"/>
          <c:orientation val="minMax"/>
        </c:scaling>
        <c:axPos val="l"/>
        <c:majorGridlines/>
        <c:numFmt formatCode="General" sourceLinked="1"/>
        <c:tickLblPos val="nextTo"/>
        <c:crossAx val="49242496"/>
        <c:crosses val="autoZero"/>
        <c:crossBetween val="midCat"/>
      </c:valAx>
    </c:plotArea>
    <c:plotVisOnly val="1"/>
  </c:chart>
  <c:printSettings>
    <c:headerFooter/>
    <c:pageMargins b="0.750000000000002" l="0.70000000000000062" r="0.70000000000000062" t="0.75000000000000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1228725</xdr:colOff>
      <xdr:row>147</xdr:row>
      <xdr:rowOff>180975</xdr:rowOff>
    </xdr:from>
    <xdr:to>
      <xdr:col>12</xdr:col>
      <xdr:colOff>590550</xdr:colOff>
      <xdr:row>165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shua%20Benoit/Dropbox/Transcriptional%20Analysis%20of%20Partuition/Transcriptome%20paper/Transcriptome%20(CLC)/Removal%20of%20milk/48%20vs.%20192(milk%20only,over%2050,sig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48 vs. 192"/>
    </sheetNames>
    <sheetDataSet>
      <sheetData sheetId="0">
        <row r="2">
          <cell r="AE2">
            <v>3456</v>
          </cell>
          <cell r="AF2">
            <v>74.720544771039911</v>
          </cell>
        </row>
        <row r="3">
          <cell r="AE3">
            <v>6369</v>
          </cell>
          <cell r="AF3">
            <v>45.402920113602796</v>
          </cell>
        </row>
        <row r="4">
          <cell r="AE4">
            <v>154336</v>
          </cell>
          <cell r="AF4">
            <v>43.915985199119675</v>
          </cell>
        </row>
        <row r="5">
          <cell r="AE5">
            <v>3147</v>
          </cell>
          <cell r="AF5">
            <v>40.960444088124603</v>
          </cell>
        </row>
        <row r="6">
          <cell r="AE6">
            <v>1680</v>
          </cell>
          <cell r="AF6">
            <v>40.050211997277387</v>
          </cell>
        </row>
        <row r="7">
          <cell r="AE7">
            <v>134545</v>
          </cell>
          <cell r="AF7">
            <v>39.585306944234468</v>
          </cell>
        </row>
        <row r="8">
          <cell r="AE8">
            <v>1395</v>
          </cell>
          <cell r="AF8">
            <v>34.995586909824695</v>
          </cell>
        </row>
        <row r="9">
          <cell r="AE9">
            <v>2746</v>
          </cell>
          <cell r="AF9">
            <v>32.403809582374308</v>
          </cell>
        </row>
        <row r="10">
          <cell r="AE10">
            <v>1809</v>
          </cell>
          <cell r="AF10">
            <v>26.915265967791221</v>
          </cell>
        </row>
        <row r="11">
          <cell r="AE11">
            <v>238120</v>
          </cell>
          <cell r="AF11">
            <v>25.159869009766993</v>
          </cell>
        </row>
        <row r="12">
          <cell r="AE12">
            <v>24492</v>
          </cell>
          <cell r="AF12">
            <v>24.088459418586041</v>
          </cell>
        </row>
        <row r="13">
          <cell r="AE13">
            <v>126708</v>
          </cell>
          <cell r="AF13">
            <v>22.553067033110406</v>
          </cell>
        </row>
        <row r="14">
          <cell r="AE14">
            <v>2727</v>
          </cell>
          <cell r="AF14">
            <v>18.086016739214635</v>
          </cell>
        </row>
        <row r="15">
          <cell r="AE15">
            <v>6691</v>
          </cell>
          <cell r="AF15">
            <v>16.386894745968789</v>
          </cell>
        </row>
        <row r="16">
          <cell r="AE16">
            <v>838</v>
          </cell>
          <cell r="AF16">
            <v>14.90425799699676</v>
          </cell>
        </row>
        <row r="17">
          <cell r="AE17">
            <v>1754</v>
          </cell>
          <cell r="AF17">
            <v>14.504303053379477</v>
          </cell>
        </row>
        <row r="18">
          <cell r="AE18">
            <v>6411</v>
          </cell>
          <cell r="AF18">
            <v>14.020739801218953</v>
          </cell>
        </row>
        <row r="19">
          <cell r="AE19">
            <v>15491</v>
          </cell>
          <cell r="AF19">
            <v>13.954951266286596</v>
          </cell>
        </row>
        <row r="20">
          <cell r="AE20">
            <v>2178</v>
          </cell>
          <cell r="AF20">
            <v>13.463708160931754</v>
          </cell>
        </row>
        <row r="21">
          <cell r="AE21">
            <v>2056</v>
          </cell>
          <cell r="AF21">
            <v>12.553051521534703</v>
          </cell>
        </row>
        <row r="22">
          <cell r="AE22">
            <v>5353</v>
          </cell>
          <cell r="AF22">
            <v>11.557886101885918</v>
          </cell>
        </row>
        <row r="23">
          <cell r="AE23">
            <v>30431</v>
          </cell>
          <cell r="AF23">
            <v>11.331214272840008</v>
          </cell>
        </row>
        <row r="24">
          <cell r="AE24">
            <v>3992747</v>
          </cell>
          <cell r="AF24">
            <v>11.082178358883905</v>
          </cell>
        </row>
        <row r="25">
          <cell r="AE25">
            <v>10823</v>
          </cell>
          <cell r="AF25">
            <v>11.026265013584315</v>
          </cell>
        </row>
        <row r="26">
          <cell r="AE26">
            <v>9298</v>
          </cell>
          <cell r="AF26">
            <v>10.306880370159117</v>
          </cell>
        </row>
        <row r="27">
          <cell r="AE27">
            <v>3290</v>
          </cell>
          <cell r="AF27">
            <v>10.101735585013815</v>
          </cell>
        </row>
        <row r="28">
          <cell r="AE28">
            <v>3581</v>
          </cell>
          <cell r="AF28">
            <v>9.2029098361153405</v>
          </cell>
        </row>
        <row r="29">
          <cell r="AE29">
            <v>427</v>
          </cell>
          <cell r="AF29">
            <v>9.1457946799752854</v>
          </cell>
        </row>
        <row r="30">
          <cell r="AE30">
            <v>9146</v>
          </cell>
          <cell r="AF30">
            <v>8.9056361227698897</v>
          </cell>
        </row>
        <row r="31">
          <cell r="AE31">
            <v>4788</v>
          </cell>
          <cell r="AF31">
            <v>8.416323145149903</v>
          </cell>
        </row>
        <row r="32">
          <cell r="AE32">
            <v>4819</v>
          </cell>
          <cell r="AF32">
            <v>7.0883917415684143</v>
          </cell>
        </row>
        <row r="33">
          <cell r="AE33">
            <v>716</v>
          </cell>
          <cell r="AF33">
            <v>6.9413861183219101</v>
          </cell>
        </row>
        <row r="34">
          <cell r="AE34">
            <v>3749</v>
          </cell>
          <cell r="AF34">
            <v>6.7276901147461023</v>
          </cell>
        </row>
        <row r="35">
          <cell r="AE35">
            <v>1577</v>
          </cell>
          <cell r="AF35">
            <v>5.7682662262819901</v>
          </cell>
        </row>
        <row r="36">
          <cell r="AE36">
            <v>5302</v>
          </cell>
          <cell r="AF36">
            <v>5.7110793651361513</v>
          </cell>
        </row>
        <row r="37">
          <cell r="AE37">
            <v>6930</v>
          </cell>
          <cell r="AF37">
            <v>5.6261224516558519</v>
          </cell>
        </row>
        <row r="38">
          <cell r="AE38">
            <v>8335</v>
          </cell>
          <cell r="AF38">
            <v>5.5086599181666713</v>
          </cell>
        </row>
        <row r="39">
          <cell r="AE39">
            <v>1669</v>
          </cell>
          <cell r="AF39">
            <v>5.3499196733441456</v>
          </cell>
        </row>
        <row r="40">
          <cell r="AE40">
            <v>12192</v>
          </cell>
          <cell r="AF40">
            <v>5.1125278870757258</v>
          </cell>
        </row>
        <row r="41">
          <cell r="AE41">
            <v>9769</v>
          </cell>
          <cell r="AF41">
            <v>4.7459678604853117</v>
          </cell>
        </row>
        <row r="42">
          <cell r="AE42">
            <v>2386</v>
          </cell>
          <cell r="AF42">
            <v>4.7392218503329486</v>
          </cell>
        </row>
        <row r="43">
          <cell r="AE43">
            <v>6222</v>
          </cell>
          <cell r="AF43">
            <v>4.6863059438282866</v>
          </cell>
        </row>
        <row r="44">
          <cell r="AE44">
            <v>9622</v>
          </cell>
          <cell r="AF44">
            <v>4.6499727816887324</v>
          </cell>
        </row>
        <row r="45">
          <cell r="AE45">
            <v>4863</v>
          </cell>
          <cell r="AF45">
            <v>4.6379637258767596</v>
          </cell>
        </row>
        <row r="46">
          <cell r="AE46">
            <v>4062</v>
          </cell>
          <cell r="AF46">
            <v>4.5299330267442937</v>
          </cell>
        </row>
        <row r="47">
          <cell r="AE47">
            <v>2626</v>
          </cell>
          <cell r="AF47">
            <v>4.19803976728896</v>
          </cell>
        </row>
        <row r="48">
          <cell r="AE48">
            <v>4700</v>
          </cell>
          <cell r="AF48">
            <v>4.0802103750931611</v>
          </cell>
        </row>
        <row r="49">
          <cell r="AE49">
            <v>2186</v>
          </cell>
          <cell r="AF49">
            <v>4.0751779746983914</v>
          </cell>
        </row>
        <row r="50">
          <cell r="AE50">
            <v>568</v>
          </cell>
          <cell r="AF50">
            <v>4.0272238758882768</v>
          </cell>
        </row>
        <row r="51">
          <cell r="AE51">
            <v>10194</v>
          </cell>
          <cell r="AF51">
            <v>3.9862926357396007</v>
          </cell>
        </row>
        <row r="52">
          <cell r="AE52">
            <v>11263</v>
          </cell>
          <cell r="AF52">
            <v>3.9660054422185498</v>
          </cell>
        </row>
        <row r="53">
          <cell r="AE53">
            <v>2813</v>
          </cell>
          <cell r="AF53">
            <v>3.881097722550662</v>
          </cell>
        </row>
        <row r="54">
          <cell r="AE54">
            <v>8486</v>
          </cell>
          <cell r="AF54">
            <v>3.720433385730213</v>
          </cell>
        </row>
        <row r="55">
          <cell r="AE55">
            <v>9918</v>
          </cell>
          <cell r="AF55">
            <v>3.7182906605245343</v>
          </cell>
        </row>
        <row r="56">
          <cell r="AE56">
            <v>3880</v>
          </cell>
          <cell r="AF56">
            <v>3.5921381399526555</v>
          </cell>
        </row>
        <row r="57">
          <cell r="AE57">
            <v>1673</v>
          </cell>
          <cell r="AF57">
            <v>3.5451042807384487</v>
          </cell>
        </row>
        <row r="58">
          <cell r="AE58">
            <v>2196</v>
          </cell>
          <cell r="AF58">
            <v>3.2880896243503801</v>
          </cell>
        </row>
        <row r="59">
          <cell r="AE59">
            <v>21739</v>
          </cell>
          <cell r="AF59">
            <v>3.2854456105736349</v>
          </cell>
        </row>
        <row r="60">
          <cell r="AE60">
            <v>7875</v>
          </cell>
          <cell r="AF60">
            <v>3.2793301157703802</v>
          </cell>
        </row>
        <row r="61">
          <cell r="AE61">
            <v>3766</v>
          </cell>
          <cell r="AF61">
            <v>3.1835246989553747</v>
          </cell>
        </row>
        <row r="62">
          <cell r="AE62">
            <v>11307</v>
          </cell>
          <cell r="AF62">
            <v>3.0264751197968147</v>
          </cell>
        </row>
        <row r="63">
          <cell r="AE63">
            <v>2986</v>
          </cell>
          <cell r="AF63">
            <v>2.8030787027240582</v>
          </cell>
        </row>
        <row r="64">
          <cell r="AE64">
            <v>2464</v>
          </cell>
          <cell r="AF64">
            <v>2.7903937881301211</v>
          </cell>
        </row>
        <row r="65">
          <cell r="AE65">
            <v>6498</v>
          </cell>
          <cell r="AF65">
            <v>2.7532611190702334</v>
          </cell>
        </row>
        <row r="66">
          <cell r="AE66">
            <v>10282</v>
          </cell>
          <cell r="AF66">
            <v>2.7226607320245488</v>
          </cell>
        </row>
        <row r="67">
          <cell r="AE67">
            <v>5304</v>
          </cell>
          <cell r="AF67">
            <v>2.7145867677577415</v>
          </cell>
        </row>
        <row r="68">
          <cell r="AE68">
            <v>4467</v>
          </cell>
          <cell r="AF68">
            <v>2.6620129120432323</v>
          </cell>
        </row>
        <row r="69">
          <cell r="AE69">
            <v>1203</v>
          </cell>
          <cell r="AF69">
            <v>2.5915271869370429</v>
          </cell>
        </row>
        <row r="70">
          <cell r="AE70">
            <v>11676</v>
          </cell>
          <cell r="AF70">
            <v>2.5779991881087971</v>
          </cell>
        </row>
        <row r="71">
          <cell r="AE71">
            <v>8083</v>
          </cell>
          <cell r="AF71">
            <v>2.5478833020220186</v>
          </cell>
        </row>
        <row r="72">
          <cell r="AE72">
            <v>1275</v>
          </cell>
          <cell r="AF72">
            <v>2.4566115165616242</v>
          </cell>
        </row>
        <row r="73">
          <cell r="AE73">
            <v>18739</v>
          </cell>
          <cell r="AF73">
            <v>2.4331588086730576</v>
          </cell>
        </row>
        <row r="74">
          <cell r="AE74">
            <v>16048</v>
          </cell>
          <cell r="AF74">
            <v>2.3878441127179917</v>
          </cell>
        </row>
        <row r="75">
          <cell r="AE75">
            <v>2013</v>
          </cell>
          <cell r="AF75">
            <v>2.3751814739690373</v>
          </cell>
        </row>
        <row r="76">
          <cell r="AE76">
            <v>1829</v>
          </cell>
          <cell r="AF76">
            <v>2.1968930973558303</v>
          </cell>
        </row>
        <row r="77">
          <cell r="AE77">
            <v>4833</v>
          </cell>
          <cell r="AF77">
            <v>2.1480372706894313</v>
          </cell>
        </row>
        <row r="78">
          <cell r="AE78">
            <v>40977</v>
          </cell>
          <cell r="AF78">
            <v>2.1329609495380883</v>
          </cell>
        </row>
        <row r="79">
          <cell r="AE79">
            <v>12304</v>
          </cell>
          <cell r="AF79">
            <v>2.1307115473533029</v>
          </cell>
        </row>
        <row r="80">
          <cell r="AE80">
            <v>2557</v>
          </cell>
          <cell r="AF80">
            <v>2.1225484212330241</v>
          </cell>
        </row>
        <row r="81">
          <cell r="AE81">
            <v>6142</v>
          </cell>
          <cell r="AF81">
            <v>2.1097565582411266</v>
          </cell>
        </row>
        <row r="82">
          <cell r="AE82">
            <v>1332</v>
          </cell>
          <cell r="AF82">
            <v>2.1097565582411262</v>
          </cell>
        </row>
        <row r="83">
          <cell r="AE83">
            <v>43087</v>
          </cell>
          <cell r="AF83">
            <v>2.0936035853469019</v>
          </cell>
        </row>
        <row r="84">
          <cell r="AE84">
            <v>5761</v>
          </cell>
          <cell r="AF84">
            <v>2.0818612399072935</v>
          </cell>
        </row>
        <row r="85">
          <cell r="AE85">
            <v>5200</v>
          </cell>
          <cell r="AF85">
            <v>2.0552929706563217</v>
          </cell>
        </row>
        <row r="86">
          <cell r="AE86">
            <v>28192</v>
          </cell>
          <cell r="AF86">
            <v>2.0460537022602128</v>
          </cell>
        </row>
        <row r="87">
          <cell r="AE87">
            <v>10388</v>
          </cell>
          <cell r="AF87">
            <v>2.0201620857729337</v>
          </cell>
        </row>
        <row r="88">
          <cell r="AE88">
            <v>3490</v>
          </cell>
          <cell r="AF88">
            <v>1.997496041196013</v>
          </cell>
        </row>
        <row r="89">
          <cell r="AE89">
            <v>11263</v>
          </cell>
          <cell r="AF89">
            <v>1.9714524796701289</v>
          </cell>
        </row>
        <row r="90">
          <cell r="AE90">
            <v>7159</v>
          </cell>
          <cell r="AF90">
            <v>1.9550821431245291</v>
          </cell>
        </row>
        <row r="91">
          <cell r="AE91">
            <v>1976</v>
          </cell>
          <cell r="AF91">
            <v>1.9250144965567384</v>
          </cell>
        </row>
        <row r="92">
          <cell r="AE92">
            <v>7121</v>
          </cell>
          <cell r="AF92">
            <v>1.9156932698313198</v>
          </cell>
        </row>
        <row r="93">
          <cell r="AE93">
            <v>83573</v>
          </cell>
          <cell r="AF93">
            <v>1.8764151065822812</v>
          </cell>
        </row>
        <row r="94">
          <cell r="AE94">
            <v>25011</v>
          </cell>
          <cell r="AF94">
            <v>1.8264352029902806</v>
          </cell>
        </row>
        <row r="95">
          <cell r="AE95">
            <v>61796</v>
          </cell>
          <cell r="AF95">
            <v>1.8200734790868898</v>
          </cell>
        </row>
        <row r="96">
          <cell r="AE96">
            <v>1210</v>
          </cell>
          <cell r="AF96">
            <v>1.7873746155131922</v>
          </cell>
        </row>
        <row r="97">
          <cell r="AE97">
            <v>1740</v>
          </cell>
          <cell r="AF97">
            <v>1.7606134740583981</v>
          </cell>
        </row>
        <row r="98">
          <cell r="AE98">
            <v>4484</v>
          </cell>
          <cell r="AF98">
            <v>1.7521770075409993</v>
          </cell>
        </row>
        <row r="99">
          <cell r="AE99">
            <v>203153</v>
          </cell>
          <cell r="AF99">
            <v>1.7059132490560354</v>
          </cell>
        </row>
        <row r="100">
          <cell r="AE100">
            <v>133757</v>
          </cell>
          <cell r="AF100">
            <v>1.7009455084650571</v>
          </cell>
        </row>
        <row r="101">
          <cell r="AE101">
            <v>2299</v>
          </cell>
          <cell r="AF101">
            <v>1.6946771270914025</v>
          </cell>
        </row>
        <row r="102">
          <cell r="AE102">
            <v>6366</v>
          </cell>
          <cell r="AF102">
            <v>1.6925401200900227</v>
          </cell>
        </row>
        <row r="103">
          <cell r="AE103">
            <v>1729</v>
          </cell>
          <cell r="AF103">
            <v>1.6866213203537088</v>
          </cell>
        </row>
        <row r="104">
          <cell r="AE104">
            <v>7225</v>
          </cell>
          <cell r="AF104">
            <v>1.6821743244484542</v>
          </cell>
        </row>
        <row r="105">
          <cell r="AE105">
            <v>3806</v>
          </cell>
          <cell r="AF105">
            <v>1.6783617787838869</v>
          </cell>
        </row>
        <row r="106">
          <cell r="AE106">
            <v>1978</v>
          </cell>
          <cell r="AF106">
            <v>1.6572260902526359</v>
          </cell>
        </row>
        <row r="107">
          <cell r="AE107">
            <v>35463</v>
          </cell>
          <cell r="AF107">
            <v>1.6543677897024214</v>
          </cell>
        </row>
        <row r="108">
          <cell r="AE108">
            <v>6371</v>
          </cell>
          <cell r="AF108">
            <v>1.6459213076958508</v>
          </cell>
        </row>
        <row r="109">
          <cell r="AE109">
            <v>18599</v>
          </cell>
          <cell r="AF109">
            <v>1.6423741991577645</v>
          </cell>
        </row>
        <row r="110">
          <cell r="AE110">
            <v>32080</v>
          </cell>
          <cell r="AF110">
            <v>1.6043470052327604</v>
          </cell>
        </row>
        <row r="111">
          <cell r="AE111">
            <v>28710</v>
          </cell>
          <cell r="AF111">
            <v>1.6021724777628874</v>
          </cell>
        </row>
        <row r="112">
          <cell r="AE112">
            <v>7836</v>
          </cell>
          <cell r="AF112">
            <v>1.6001492176517311</v>
          </cell>
        </row>
        <row r="113">
          <cell r="AE113">
            <v>41007</v>
          </cell>
          <cell r="AF113">
            <v>1.5838627971930814</v>
          </cell>
        </row>
        <row r="114">
          <cell r="AE114">
            <v>35245</v>
          </cell>
          <cell r="AF114">
            <v>1.5767210236516531</v>
          </cell>
        </row>
        <row r="115">
          <cell r="AE115">
            <v>18730</v>
          </cell>
          <cell r="AF115">
            <v>1.572613257339702</v>
          </cell>
        </row>
        <row r="116">
          <cell r="AE116">
            <v>64000</v>
          </cell>
          <cell r="AF116">
            <v>1.533974182650411</v>
          </cell>
        </row>
        <row r="117">
          <cell r="AE117">
            <v>7689</v>
          </cell>
          <cell r="AF117">
            <v>1.5173024716819858</v>
          </cell>
        </row>
        <row r="118">
          <cell r="AE118">
            <v>14779</v>
          </cell>
          <cell r="AF118">
            <v>1.4270080613527298</v>
          </cell>
        </row>
        <row r="119">
          <cell r="AE119">
            <v>17005</v>
          </cell>
          <cell r="AF119">
            <v>1.406932419456298</v>
          </cell>
        </row>
        <row r="120">
          <cell r="AE120">
            <v>34956</v>
          </cell>
          <cell r="AF120">
            <v>1.3881093165017058</v>
          </cell>
        </row>
        <row r="121">
          <cell r="AE121">
            <v>46070</v>
          </cell>
          <cell r="AF121">
            <v>1.3762385737127742</v>
          </cell>
        </row>
        <row r="122">
          <cell r="AE122">
            <v>17691</v>
          </cell>
          <cell r="AF122">
            <v>1.3634380479892916</v>
          </cell>
        </row>
        <row r="123">
          <cell r="AE123">
            <v>3153</v>
          </cell>
          <cell r="AF123">
            <v>1.3619820727685532</v>
          </cell>
        </row>
        <row r="124">
          <cell r="AE124">
            <v>24841</v>
          </cell>
          <cell r="AF124">
            <v>1.3618307489795425</v>
          </cell>
        </row>
        <row r="125">
          <cell r="AE125">
            <v>12852</v>
          </cell>
          <cell r="AF125">
            <v>1.3574113128549488</v>
          </cell>
        </row>
        <row r="126">
          <cell r="AE126">
            <v>26290</v>
          </cell>
          <cell r="AF126">
            <v>1.3528981119305004</v>
          </cell>
        </row>
        <row r="127">
          <cell r="AE127">
            <v>27206</v>
          </cell>
          <cell r="AF127">
            <v>1.3397875435904623</v>
          </cell>
        </row>
        <row r="128">
          <cell r="AE128">
            <v>28527</v>
          </cell>
          <cell r="AF128">
            <v>1.3279559515110844</v>
          </cell>
        </row>
        <row r="129">
          <cell r="AE129">
            <v>6515</v>
          </cell>
          <cell r="AF129">
            <v>1.3214241690033868</v>
          </cell>
        </row>
        <row r="130">
          <cell r="AE130">
            <v>26393</v>
          </cell>
          <cell r="AF130">
            <v>1.3119676600055623</v>
          </cell>
        </row>
        <row r="131">
          <cell r="AE131">
            <v>34472</v>
          </cell>
          <cell r="AF131">
            <v>1.3063057454075422</v>
          </cell>
        </row>
        <row r="132">
          <cell r="AE132">
            <v>33348</v>
          </cell>
          <cell r="AF132">
            <v>1.3033689723359356</v>
          </cell>
        </row>
        <row r="133">
          <cell r="AE133">
            <v>17956</v>
          </cell>
          <cell r="AF133">
            <v>1.2910335965497377</v>
          </cell>
        </row>
        <row r="134">
          <cell r="AE134">
            <v>7330</v>
          </cell>
          <cell r="AF134">
            <v>1.2779308124392805</v>
          </cell>
        </row>
        <row r="135">
          <cell r="AE135">
            <v>14774</v>
          </cell>
          <cell r="AF135">
            <v>1.2657199589480206</v>
          </cell>
        </row>
        <row r="136">
          <cell r="AE136">
            <v>438886</v>
          </cell>
          <cell r="AF136">
            <v>1.2426429099776084</v>
          </cell>
        </row>
        <row r="137">
          <cell r="AE137">
            <v>903771</v>
          </cell>
          <cell r="AF137">
            <v>1.2378298558355545</v>
          </cell>
        </row>
        <row r="138">
          <cell r="AE138">
            <v>32819</v>
          </cell>
          <cell r="AF138">
            <v>1.2363623055103929</v>
          </cell>
        </row>
        <row r="139">
          <cell r="AE139">
            <v>116270</v>
          </cell>
          <cell r="AF139">
            <v>1.230683166197736</v>
          </cell>
        </row>
        <row r="140">
          <cell r="AE140">
            <v>53258</v>
          </cell>
          <cell r="AF140">
            <v>1.2294693815649573</v>
          </cell>
        </row>
        <row r="141">
          <cell r="AE141">
            <v>31391</v>
          </cell>
          <cell r="AF141">
            <v>1.2213945976304854</v>
          </cell>
        </row>
        <row r="142">
          <cell r="AE142">
            <v>20746</v>
          </cell>
          <cell r="AF142">
            <v>1.2079700848754755</v>
          </cell>
        </row>
        <row r="143">
          <cell r="AE143">
            <v>141331</v>
          </cell>
          <cell r="AF143">
            <v>1.1683426864221627</v>
          </cell>
        </row>
        <row r="144">
          <cell r="AE144">
            <v>134537</v>
          </cell>
          <cell r="AF144">
            <v>1.1502823237195279</v>
          </cell>
        </row>
        <row r="145">
          <cell r="AE145">
            <v>35192</v>
          </cell>
          <cell r="AF145">
            <v>1.1352252492991477</v>
          </cell>
        </row>
        <row r="146">
          <cell r="AE146">
            <v>58675</v>
          </cell>
          <cell r="AF146">
            <v>1.1300940048320911</v>
          </cell>
        </row>
        <row r="147">
          <cell r="AE147">
            <v>72553</v>
          </cell>
          <cell r="AF147">
            <v>1.1096898665369708</v>
          </cell>
        </row>
        <row r="148">
          <cell r="AE148">
            <v>197570</v>
          </cell>
          <cell r="AF148">
            <v>1.0698140127775178</v>
          </cell>
        </row>
        <row r="149">
          <cell r="AE149">
            <v>8128426</v>
          </cell>
          <cell r="AF149">
            <v>1.0385216232762262</v>
          </cell>
        </row>
        <row r="150">
          <cell r="AE150">
            <v>448600</v>
          </cell>
          <cell r="AF150">
            <v>1.0205470825542871</v>
          </cell>
        </row>
        <row r="151">
          <cell r="AE151">
            <v>915947</v>
          </cell>
          <cell r="AF151">
            <v>1.0070844068923528</v>
          </cell>
        </row>
        <row r="152">
          <cell r="AE152">
            <v>637911</v>
          </cell>
          <cell r="AF152">
            <v>1.0014987100213704</v>
          </cell>
        </row>
        <row r="153">
          <cell r="AE153">
            <v>306315</v>
          </cell>
          <cell r="AF153">
            <v>0.9988515266945549</v>
          </cell>
        </row>
        <row r="154">
          <cell r="AE154">
            <v>158454</v>
          </cell>
          <cell r="AF154">
            <v>0.70457048642304421</v>
          </cell>
        </row>
        <row r="155">
          <cell r="AE155">
            <v>48231</v>
          </cell>
          <cell r="AF155">
            <v>0.68677339937170523</v>
          </cell>
        </row>
        <row r="156">
          <cell r="AE156">
            <v>101746</v>
          </cell>
          <cell r="AF156">
            <v>0.66839603988496987</v>
          </cell>
        </row>
        <row r="157">
          <cell r="AE157">
            <v>84825</v>
          </cell>
          <cell r="AF157">
            <v>0.66741553859936531</v>
          </cell>
        </row>
        <row r="158">
          <cell r="AE158">
            <v>36603</v>
          </cell>
          <cell r="AF158">
            <v>0.66439400075732202</v>
          </cell>
        </row>
        <row r="159">
          <cell r="AE159">
            <v>26243</v>
          </cell>
          <cell r="AF159">
            <v>0.66332279197902233</v>
          </cell>
        </row>
        <row r="160">
          <cell r="AE160">
            <v>61582</v>
          </cell>
          <cell r="AF160">
            <v>0.65406474204863474</v>
          </cell>
        </row>
        <row r="161">
          <cell r="AE161">
            <v>101025</v>
          </cell>
          <cell r="AF161">
            <v>0.64535859936586415</v>
          </cell>
        </row>
        <row r="162">
          <cell r="AE162">
            <v>38713</v>
          </cell>
          <cell r="AF162">
            <v>0.64425317714738695</v>
          </cell>
        </row>
        <row r="163">
          <cell r="AE163">
            <v>15312</v>
          </cell>
          <cell r="AF163">
            <v>0.640143965269937</v>
          </cell>
        </row>
        <row r="164">
          <cell r="AE164">
            <v>30807</v>
          </cell>
          <cell r="AF164">
            <v>0.6371314447099572</v>
          </cell>
        </row>
        <row r="165">
          <cell r="AE165">
            <v>10792</v>
          </cell>
          <cell r="AF165">
            <v>0.63283439948996567</v>
          </cell>
        </row>
        <row r="166">
          <cell r="AE166">
            <v>78694</v>
          </cell>
          <cell r="AF166">
            <v>0.63159833235610285</v>
          </cell>
        </row>
        <row r="167">
          <cell r="AE167">
            <v>443982</v>
          </cell>
          <cell r="AF167">
            <v>0.60877609162326329</v>
          </cell>
        </row>
        <row r="168">
          <cell r="AE168">
            <v>67024</v>
          </cell>
          <cell r="AF168">
            <v>0.60167115905859159</v>
          </cell>
        </row>
        <row r="169">
          <cell r="AE169">
            <v>109487</v>
          </cell>
          <cell r="AF169">
            <v>0.59957834821358147</v>
          </cell>
        </row>
        <row r="170">
          <cell r="AE170">
            <v>84399</v>
          </cell>
          <cell r="AF170">
            <v>0.5965656391604498</v>
          </cell>
        </row>
        <row r="171">
          <cell r="AE171">
            <v>26830</v>
          </cell>
          <cell r="AF171">
            <v>0.59414567848308453</v>
          </cell>
        </row>
        <row r="172">
          <cell r="AE172">
            <v>6091</v>
          </cell>
          <cell r="AF172">
            <v>0.59371481815450411</v>
          </cell>
        </row>
        <row r="173">
          <cell r="AE173">
            <v>5833</v>
          </cell>
          <cell r="AF173">
            <v>0.59163134491761826</v>
          </cell>
        </row>
        <row r="174">
          <cell r="AE174">
            <v>48148</v>
          </cell>
          <cell r="AF174">
            <v>0.58813602749644067</v>
          </cell>
        </row>
        <row r="175">
          <cell r="AE175">
            <v>55692</v>
          </cell>
          <cell r="AF175">
            <v>0.58722077173926457</v>
          </cell>
        </row>
        <row r="176">
          <cell r="AE176">
            <v>16024</v>
          </cell>
          <cell r="AF176">
            <v>0.57120361156987498</v>
          </cell>
        </row>
        <row r="177">
          <cell r="AE177">
            <v>54837</v>
          </cell>
          <cell r="AF177">
            <v>0.56235327069286634</v>
          </cell>
        </row>
        <row r="178">
          <cell r="AE178">
            <v>21848</v>
          </cell>
          <cell r="AF178">
            <v>0.55745193610188915</v>
          </cell>
        </row>
        <row r="179">
          <cell r="AE179">
            <v>84585</v>
          </cell>
          <cell r="AF179">
            <v>0.55554624953229659</v>
          </cell>
        </row>
        <row r="180">
          <cell r="AE180">
            <v>9519</v>
          </cell>
          <cell r="AF180">
            <v>0.55540763768721246</v>
          </cell>
        </row>
        <row r="181">
          <cell r="AE181">
            <v>12009</v>
          </cell>
          <cell r="AF181">
            <v>0.55391744666452858</v>
          </cell>
        </row>
        <row r="182">
          <cell r="AE182">
            <v>67625</v>
          </cell>
          <cell r="AF182">
            <v>0.55229208977104249</v>
          </cell>
        </row>
        <row r="183">
          <cell r="AE183">
            <v>31221</v>
          </cell>
          <cell r="AF183">
            <v>0.54961202149534716</v>
          </cell>
        </row>
        <row r="184">
          <cell r="AE184">
            <v>27391</v>
          </cell>
          <cell r="AF184">
            <v>0.54743080463563298</v>
          </cell>
        </row>
        <row r="185">
          <cell r="AE185">
            <v>36029</v>
          </cell>
          <cell r="AF185">
            <v>0.54682123847364139</v>
          </cell>
        </row>
        <row r="186">
          <cell r="AE186">
            <v>58418</v>
          </cell>
          <cell r="AF186">
            <v>0.54668000627303237</v>
          </cell>
        </row>
        <row r="187">
          <cell r="AE187">
            <v>10472</v>
          </cell>
          <cell r="AF187">
            <v>0.54506641699247937</v>
          </cell>
        </row>
        <row r="188">
          <cell r="AE188">
            <v>11855</v>
          </cell>
          <cell r="AF188">
            <v>0.54445592464352199</v>
          </cell>
        </row>
        <row r="189">
          <cell r="AE189">
            <v>6839</v>
          </cell>
          <cell r="AF189">
            <v>0.54232515755358457</v>
          </cell>
        </row>
        <row r="190">
          <cell r="AE190">
            <v>72346</v>
          </cell>
          <cell r="AF190">
            <v>0.54196469725931018</v>
          </cell>
        </row>
        <row r="191">
          <cell r="AE191">
            <v>29724</v>
          </cell>
          <cell r="AF191">
            <v>0.53947906320118522</v>
          </cell>
        </row>
        <row r="192">
          <cell r="AE192">
            <v>23767</v>
          </cell>
          <cell r="AF192">
            <v>0.53828222646655921</v>
          </cell>
        </row>
        <row r="193">
          <cell r="AE193">
            <v>238701</v>
          </cell>
          <cell r="AF193">
            <v>0.52935029402882661</v>
          </cell>
        </row>
        <row r="194">
          <cell r="AE194">
            <v>68646</v>
          </cell>
          <cell r="AF194">
            <v>0.52619887794670939</v>
          </cell>
        </row>
        <row r="195">
          <cell r="AE195">
            <v>84972</v>
          </cell>
          <cell r="AF195">
            <v>0.52490352877556423</v>
          </cell>
        </row>
        <row r="196">
          <cell r="AE196">
            <v>11968</v>
          </cell>
          <cell r="AF196">
            <v>0.52393123079360993</v>
          </cell>
        </row>
        <row r="197">
          <cell r="AE197">
            <v>91574</v>
          </cell>
          <cell r="AF197">
            <v>0.51838107638000674</v>
          </cell>
        </row>
        <row r="198">
          <cell r="AE198">
            <v>3453</v>
          </cell>
          <cell r="AF198">
            <v>0.51638278758591105</v>
          </cell>
        </row>
        <row r="199">
          <cell r="AE199">
            <v>20587</v>
          </cell>
          <cell r="AF199">
            <v>0.51252945530789373</v>
          </cell>
        </row>
        <row r="200">
          <cell r="AE200">
            <v>21249</v>
          </cell>
          <cell r="AF200">
            <v>0.51222994946381328</v>
          </cell>
        </row>
        <row r="201">
          <cell r="AE201">
            <v>16103</v>
          </cell>
          <cell r="AF201">
            <v>0.5098970976718914</v>
          </cell>
        </row>
        <row r="202">
          <cell r="AE202">
            <v>12018</v>
          </cell>
          <cell r="AF202">
            <v>0.50900327945301493</v>
          </cell>
        </row>
        <row r="203">
          <cell r="AE203">
            <v>22257</v>
          </cell>
          <cell r="AF203">
            <v>0.50612644152550923</v>
          </cell>
        </row>
        <row r="204">
          <cell r="AE204">
            <v>31381</v>
          </cell>
          <cell r="AF204">
            <v>0.50534796671063242</v>
          </cell>
        </row>
        <row r="205">
          <cell r="AE205">
            <v>11035</v>
          </cell>
          <cell r="AF205">
            <v>0.50534661386328583</v>
          </cell>
        </row>
        <row r="206">
          <cell r="AE206">
            <v>26850</v>
          </cell>
          <cell r="AF206">
            <v>0.50492271712590064</v>
          </cell>
        </row>
        <row r="207">
          <cell r="AE207">
            <v>20609</v>
          </cell>
          <cell r="AF207">
            <v>0.50394567316241379</v>
          </cell>
        </row>
        <row r="208">
          <cell r="AE208">
            <v>13787</v>
          </cell>
          <cell r="AF208">
            <v>0.50171589404603567</v>
          </cell>
        </row>
        <row r="209">
          <cell r="AE209">
            <v>29621</v>
          </cell>
          <cell r="AF209">
            <v>0.50057634553698871</v>
          </cell>
        </row>
        <row r="210">
          <cell r="AE210">
            <v>19603</v>
          </cell>
          <cell r="AF210">
            <v>0.49910497828413175</v>
          </cell>
        </row>
        <row r="211">
          <cell r="AE211">
            <v>20150</v>
          </cell>
          <cell r="AF211">
            <v>0.49778322851779772</v>
          </cell>
        </row>
        <row r="212">
          <cell r="AE212">
            <v>39526</v>
          </cell>
          <cell r="AF212">
            <v>0.49638945490302616</v>
          </cell>
        </row>
        <row r="213">
          <cell r="AE213">
            <v>86853</v>
          </cell>
          <cell r="AF213">
            <v>0.49570938566756445</v>
          </cell>
        </row>
        <row r="214">
          <cell r="AE214">
            <v>10701</v>
          </cell>
          <cell r="AF214">
            <v>0.49259485763054595</v>
          </cell>
        </row>
        <row r="215">
          <cell r="AE215">
            <v>17496</v>
          </cell>
          <cell r="AF215">
            <v>0.49238155444082354</v>
          </cell>
        </row>
        <row r="216">
          <cell r="AE216">
            <v>21953</v>
          </cell>
          <cell r="AF216">
            <v>0.49223162010214455</v>
          </cell>
        </row>
        <row r="217">
          <cell r="AE217">
            <v>16218</v>
          </cell>
          <cell r="AF217">
            <v>0.49064183065613892</v>
          </cell>
        </row>
        <row r="218">
          <cell r="AE218">
            <v>180394</v>
          </cell>
          <cell r="AF218">
            <v>0.48843830047739034</v>
          </cell>
        </row>
        <row r="219">
          <cell r="AE219">
            <v>8103</v>
          </cell>
          <cell r="AF219">
            <v>0.48680323535125947</v>
          </cell>
        </row>
        <row r="220">
          <cell r="AE220">
            <v>2186</v>
          </cell>
          <cell r="AF220">
            <v>0.48585730972052921</v>
          </cell>
        </row>
        <row r="221">
          <cell r="AE221">
            <v>2623</v>
          </cell>
          <cell r="AF221">
            <v>0.48568354101175937</v>
          </cell>
        </row>
        <row r="222">
          <cell r="AE222">
            <v>78809</v>
          </cell>
          <cell r="AF222">
            <v>0.48526611789586793</v>
          </cell>
        </row>
        <row r="223">
          <cell r="AE223">
            <v>16559</v>
          </cell>
          <cell r="AF223">
            <v>0.48394158966126888</v>
          </cell>
        </row>
        <row r="224">
          <cell r="AE224">
            <v>26146</v>
          </cell>
          <cell r="AF224">
            <v>0.4810298167448786</v>
          </cell>
        </row>
        <row r="225">
          <cell r="AE225">
            <v>13294</v>
          </cell>
          <cell r="AF225">
            <v>0.48086872387994239</v>
          </cell>
        </row>
        <row r="226">
          <cell r="AE226">
            <v>97569</v>
          </cell>
          <cell r="AF226">
            <v>0.48066640286685614</v>
          </cell>
        </row>
        <row r="227">
          <cell r="AE227">
            <v>18043</v>
          </cell>
          <cell r="AF227">
            <v>0.48004262023915473</v>
          </cell>
        </row>
        <row r="228">
          <cell r="AE228">
            <v>103627</v>
          </cell>
          <cell r="AF228">
            <v>0.47870552478502126</v>
          </cell>
        </row>
        <row r="229">
          <cell r="AE229">
            <v>46467</v>
          </cell>
          <cell r="AF229">
            <v>0.47379119181950274</v>
          </cell>
        </row>
        <row r="230">
          <cell r="AE230">
            <v>49780</v>
          </cell>
          <cell r="AF230">
            <v>0.4737120869775146</v>
          </cell>
        </row>
        <row r="231">
          <cell r="AE231">
            <v>2878</v>
          </cell>
          <cell r="AF231">
            <v>0.47233355781517766</v>
          </cell>
        </row>
        <row r="232">
          <cell r="AE232">
            <v>13597</v>
          </cell>
          <cell r="AF232">
            <v>0.47071861853533103</v>
          </cell>
        </row>
        <row r="233">
          <cell r="AE233">
            <v>16441</v>
          </cell>
          <cell r="AF233">
            <v>0.468928320257262</v>
          </cell>
        </row>
        <row r="234">
          <cell r="AE234">
            <v>62137</v>
          </cell>
          <cell r="AF234">
            <v>0.46850718877021297</v>
          </cell>
        </row>
        <row r="235">
          <cell r="AE235">
            <v>44218</v>
          </cell>
          <cell r="AF235">
            <v>0.4680379346908507</v>
          </cell>
        </row>
        <row r="236">
          <cell r="AE236">
            <v>39864</v>
          </cell>
          <cell r="AF236">
            <v>0.46547766460419693</v>
          </cell>
        </row>
        <row r="237">
          <cell r="AE237">
            <v>22406</v>
          </cell>
          <cell r="AF237">
            <v>0.46530864710033076</v>
          </cell>
        </row>
        <row r="238">
          <cell r="AE238">
            <v>56267</v>
          </cell>
          <cell r="AF238">
            <v>0.46263657634396144</v>
          </cell>
        </row>
        <row r="239">
          <cell r="AE239">
            <v>38971</v>
          </cell>
          <cell r="AF239">
            <v>0.46263592276844384</v>
          </cell>
        </row>
        <row r="240">
          <cell r="AE240">
            <v>52251</v>
          </cell>
          <cell r="AF240">
            <v>0.46217959148672688</v>
          </cell>
        </row>
        <row r="241">
          <cell r="AE241">
            <v>14176</v>
          </cell>
          <cell r="AF241">
            <v>0.46160515364674359</v>
          </cell>
        </row>
        <row r="242">
          <cell r="AE242">
            <v>78940</v>
          </cell>
          <cell r="AF242">
            <v>0.46106722968202152</v>
          </cell>
        </row>
        <row r="243">
          <cell r="AE243">
            <v>17456</v>
          </cell>
          <cell r="AF243">
            <v>0.46039475188514611</v>
          </cell>
        </row>
        <row r="244">
          <cell r="AE244">
            <v>3856</v>
          </cell>
          <cell r="AF244">
            <v>0.45693084195814576</v>
          </cell>
        </row>
        <row r="245">
          <cell r="AE245">
            <v>44151</v>
          </cell>
          <cell r="AF245">
            <v>0.45257072910508334</v>
          </cell>
        </row>
        <row r="246">
          <cell r="AE246">
            <v>68056</v>
          </cell>
          <cell r="AF246">
            <v>0.44942722904367327</v>
          </cell>
        </row>
        <row r="247">
          <cell r="AE247">
            <v>12335</v>
          </cell>
          <cell r="AF247">
            <v>0.44877768102095483</v>
          </cell>
        </row>
        <row r="248">
          <cell r="AE248">
            <v>176472</v>
          </cell>
          <cell r="AF248">
            <v>0.44646074158222798</v>
          </cell>
        </row>
        <row r="249">
          <cell r="AE249">
            <v>5116</v>
          </cell>
          <cell r="AF249">
            <v>0.44602529727130874</v>
          </cell>
        </row>
        <row r="250">
          <cell r="AE250">
            <v>21018</v>
          </cell>
          <cell r="AF250">
            <v>0.44531438762874792</v>
          </cell>
        </row>
        <row r="251">
          <cell r="AE251">
            <v>46213</v>
          </cell>
          <cell r="AF251">
            <v>0.4439903565219202</v>
          </cell>
        </row>
        <row r="252">
          <cell r="AE252">
            <v>16052</v>
          </cell>
          <cell r="AF252">
            <v>0.4414666826531497</v>
          </cell>
        </row>
        <row r="253">
          <cell r="AE253">
            <v>18752</v>
          </cell>
          <cell r="AF253">
            <v>0.44141132030611135</v>
          </cell>
        </row>
        <row r="254">
          <cell r="AE254">
            <v>32014</v>
          </cell>
          <cell r="AF254">
            <v>0.44101260703626494</v>
          </cell>
        </row>
        <row r="255">
          <cell r="AE255">
            <v>11626</v>
          </cell>
          <cell r="AF255">
            <v>0.44058941603341556</v>
          </cell>
        </row>
        <row r="256">
          <cell r="AE256">
            <v>24585</v>
          </cell>
          <cell r="AF256">
            <v>0.439694680595548</v>
          </cell>
        </row>
        <row r="257">
          <cell r="AE257">
            <v>5724</v>
          </cell>
          <cell r="AF257">
            <v>0.43818726429208094</v>
          </cell>
        </row>
        <row r="258">
          <cell r="AE258">
            <v>12014</v>
          </cell>
          <cell r="AF258">
            <v>0.43699916121994514</v>
          </cell>
        </row>
        <row r="259">
          <cell r="AE259">
            <v>66108</v>
          </cell>
          <cell r="AF259">
            <v>0.43230661328248565</v>
          </cell>
        </row>
        <row r="260">
          <cell r="AE260">
            <v>22023</v>
          </cell>
          <cell r="AF260">
            <v>0.43082661800068422</v>
          </cell>
        </row>
        <row r="261">
          <cell r="AE261">
            <v>15557</v>
          </cell>
          <cell r="AF261">
            <v>0.42825974919894633</v>
          </cell>
        </row>
        <row r="262">
          <cell r="AE262">
            <v>96772</v>
          </cell>
          <cell r="AF262">
            <v>0.42711658049707374</v>
          </cell>
        </row>
        <row r="263">
          <cell r="AE263">
            <v>10009</v>
          </cell>
          <cell r="AF263">
            <v>0.42675273659215068</v>
          </cell>
        </row>
        <row r="264">
          <cell r="AE264">
            <v>10566</v>
          </cell>
          <cell r="AF264">
            <v>0.42387690270302064</v>
          </cell>
        </row>
        <row r="265">
          <cell r="AE265">
            <v>9834</v>
          </cell>
          <cell r="AF265">
            <v>0.42330371969837993</v>
          </cell>
        </row>
        <row r="266">
          <cell r="AE266">
            <v>31126</v>
          </cell>
          <cell r="AF266">
            <v>0.41609737186304863</v>
          </cell>
        </row>
        <row r="267">
          <cell r="AE267">
            <v>6117</v>
          </cell>
          <cell r="AF267">
            <v>0.41564243430431064</v>
          </cell>
        </row>
        <row r="268">
          <cell r="AE268">
            <v>41863</v>
          </cell>
          <cell r="AF268">
            <v>0.41401126756087525</v>
          </cell>
        </row>
        <row r="269">
          <cell r="AE269">
            <v>4816</v>
          </cell>
          <cell r="AF269">
            <v>0.4098955598868475</v>
          </cell>
        </row>
        <row r="270">
          <cell r="AE270">
            <v>9773</v>
          </cell>
          <cell r="AF270">
            <v>0.40900061953084921</v>
          </cell>
        </row>
        <row r="271">
          <cell r="AE271">
            <v>17557</v>
          </cell>
          <cell r="AF271">
            <v>0.40736719732586235</v>
          </cell>
        </row>
        <row r="272">
          <cell r="AE272">
            <v>282752</v>
          </cell>
          <cell r="AF272">
            <v>0.40654988832070071</v>
          </cell>
        </row>
        <row r="273">
          <cell r="AE273">
            <v>19927</v>
          </cell>
          <cell r="AF273">
            <v>0.40564551977602759</v>
          </cell>
        </row>
        <row r="274">
          <cell r="AE274">
            <v>27861</v>
          </cell>
          <cell r="AF274">
            <v>0.40481244017971574</v>
          </cell>
        </row>
        <row r="275">
          <cell r="AE275">
            <v>15051</v>
          </cell>
          <cell r="AF275">
            <v>0.40055022098184373</v>
          </cell>
        </row>
        <row r="276">
          <cell r="AE276">
            <v>16432</v>
          </cell>
          <cell r="AF276">
            <v>0.40052704165536579</v>
          </cell>
        </row>
        <row r="277">
          <cell r="AE277">
            <v>45925</v>
          </cell>
          <cell r="AF277">
            <v>0.39909304147108865</v>
          </cell>
        </row>
        <row r="278">
          <cell r="AE278">
            <v>17079</v>
          </cell>
          <cell r="AF278">
            <v>0.39815314898317711</v>
          </cell>
        </row>
        <row r="279">
          <cell r="AE279">
            <v>35587</v>
          </cell>
          <cell r="AF279">
            <v>0.39585074555568756</v>
          </cell>
        </row>
        <row r="280">
          <cell r="AE280">
            <v>2021</v>
          </cell>
          <cell r="AF280">
            <v>0.39130325073586175</v>
          </cell>
        </row>
        <row r="281">
          <cell r="AE281">
            <v>16472</v>
          </cell>
          <cell r="AF281">
            <v>0.38945454414912223</v>
          </cell>
        </row>
        <row r="282">
          <cell r="AE282">
            <v>54166</v>
          </cell>
          <cell r="AF282">
            <v>0.3888409209489565</v>
          </cell>
        </row>
        <row r="283">
          <cell r="AE283">
            <v>15345</v>
          </cell>
          <cell r="AF283">
            <v>0.3887767239470743</v>
          </cell>
        </row>
        <row r="284">
          <cell r="AE284">
            <v>55080</v>
          </cell>
          <cell r="AF284">
            <v>0.3839890871079919</v>
          </cell>
        </row>
        <row r="285">
          <cell r="AE285">
            <v>10455</v>
          </cell>
          <cell r="AF285">
            <v>0.38175090391143818</v>
          </cell>
        </row>
        <row r="286">
          <cell r="AE286">
            <v>17468</v>
          </cell>
          <cell r="AF286">
            <v>0.38010895320978605</v>
          </cell>
        </row>
        <row r="287">
          <cell r="AE287">
            <v>34203</v>
          </cell>
          <cell r="AF287">
            <v>0.37989297379765946</v>
          </cell>
        </row>
        <row r="288">
          <cell r="AE288">
            <v>119674</v>
          </cell>
          <cell r="AF288">
            <v>0.37131992058613428</v>
          </cell>
        </row>
        <row r="289">
          <cell r="AE289">
            <v>6767</v>
          </cell>
          <cell r="AF289">
            <v>0.37061816571883843</v>
          </cell>
        </row>
        <row r="290">
          <cell r="AE290">
            <v>17209</v>
          </cell>
          <cell r="AF290">
            <v>0.36964360331644808</v>
          </cell>
        </row>
        <row r="291">
          <cell r="AE291">
            <v>17009</v>
          </cell>
          <cell r="AF291">
            <v>0.36951781000577227</v>
          </cell>
        </row>
        <row r="292">
          <cell r="AE292">
            <v>7725</v>
          </cell>
          <cell r="AF292">
            <v>0.36351667180530201</v>
          </cell>
        </row>
        <row r="293">
          <cell r="AE293">
            <v>7616</v>
          </cell>
          <cell r="AF293">
            <v>0.36228142919292078</v>
          </cell>
        </row>
        <row r="294">
          <cell r="AE294">
            <v>21735</v>
          </cell>
          <cell r="AF294">
            <v>0.35943115913942847</v>
          </cell>
        </row>
        <row r="295">
          <cell r="AE295">
            <v>15618</v>
          </cell>
          <cell r="AF295">
            <v>0.35634628673676688</v>
          </cell>
        </row>
        <row r="296">
          <cell r="AE296">
            <v>12428</v>
          </cell>
          <cell r="AF296">
            <v>0.35547730053819837</v>
          </cell>
        </row>
        <row r="297">
          <cell r="AE297">
            <v>3080</v>
          </cell>
          <cell r="AF297">
            <v>0.35336167461096524</v>
          </cell>
        </row>
        <row r="298">
          <cell r="AE298">
            <v>9405</v>
          </cell>
          <cell r="AF298">
            <v>0.35031665677607016</v>
          </cell>
        </row>
        <row r="299">
          <cell r="AE299">
            <v>6654</v>
          </cell>
          <cell r="AF299">
            <v>0.34976944664374715</v>
          </cell>
        </row>
        <row r="300">
          <cell r="AE300">
            <v>22538</v>
          </cell>
          <cell r="AF300">
            <v>0.34813107051955949</v>
          </cell>
        </row>
        <row r="301">
          <cell r="AE301">
            <v>4904</v>
          </cell>
          <cell r="AF301">
            <v>0.34073003575282257</v>
          </cell>
        </row>
        <row r="302">
          <cell r="AE302">
            <v>13397</v>
          </cell>
          <cell r="AF302">
            <v>0.33882862580946532</v>
          </cell>
        </row>
        <row r="303">
          <cell r="AE303">
            <v>3343</v>
          </cell>
          <cell r="AF303">
            <v>0.33787605029777024</v>
          </cell>
        </row>
        <row r="304">
          <cell r="AE304">
            <v>2829</v>
          </cell>
          <cell r="AF304">
            <v>0.33741927651332254</v>
          </cell>
        </row>
        <row r="305">
          <cell r="AE305">
            <v>13852</v>
          </cell>
          <cell r="AF305">
            <v>0.33366091710756685</v>
          </cell>
        </row>
        <row r="306">
          <cell r="AE306">
            <v>13527</v>
          </cell>
          <cell r="AF306">
            <v>0.33347138444897551</v>
          </cell>
        </row>
        <row r="307">
          <cell r="AE307">
            <v>6282</v>
          </cell>
          <cell r="AF307">
            <v>0.33306915540069432</v>
          </cell>
        </row>
        <row r="308">
          <cell r="AE308">
            <v>8153</v>
          </cell>
          <cell r="AF308">
            <v>0.33057654147977789</v>
          </cell>
        </row>
        <row r="309">
          <cell r="AE309">
            <v>16770</v>
          </cell>
          <cell r="AF309">
            <v>0.33009355681948915</v>
          </cell>
        </row>
        <row r="310">
          <cell r="AE310">
            <v>11219</v>
          </cell>
          <cell r="AF310">
            <v>0.3294073900309275</v>
          </cell>
        </row>
        <row r="311">
          <cell r="AE311">
            <v>16304</v>
          </cell>
          <cell r="AF311">
            <v>0.32846674310961638</v>
          </cell>
        </row>
        <row r="312">
          <cell r="AE312">
            <v>72307</v>
          </cell>
          <cell r="AF312">
            <v>0.32573624858024913</v>
          </cell>
        </row>
        <row r="313">
          <cell r="AE313">
            <v>10701</v>
          </cell>
          <cell r="AF313">
            <v>0.32504550483907058</v>
          </cell>
        </row>
        <row r="314">
          <cell r="AE314">
            <v>11819</v>
          </cell>
          <cell r="AF314">
            <v>0.32365966696269061</v>
          </cell>
        </row>
        <row r="315">
          <cell r="AE315">
            <v>43407</v>
          </cell>
          <cell r="AF315">
            <v>0.32190685172087041</v>
          </cell>
        </row>
        <row r="316">
          <cell r="AE316">
            <v>39971</v>
          </cell>
          <cell r="AF316">
            <v>0.31679575331481458</v>
          </cell>
        </row>
        <row r="317">
          <cell r="AE317">
            <v>12181</v>
          </cell>
          <cell r="AF317">
            <v>0.31622917953124602</v>
          </cell>
        </row>
        <row r="318">
          <cell r="AE318">
            <v>3399</v>
          </cell>
          <cell r="AF318">
            <v>0.31365582291721694</v>
          </cell>
        </row>
        <row r="319">
          <cell r="AE319">
            <v>1683</v>
          </cell>
          <cell r="AF319">
            <v>0.30992103308517738</v>
          </cell>
        </row>
        <row r="320">
          <cell r="AE320">
            <v>8065</v>
          </cell>
          <cell r="AF320">
            <v>0.30338837604338731</v>
          </cell>
        </row>
        <row r="321">
          <cell r="AE321">
            <v>13621</v>
          </cell>
          <cell r="AF321">
            <v>0.30303759558018034</v>
          </cell>
        </row>
        <row r="322">
          <cell r="AE322">
            <v>22379</v>
          </cell>
          <cell r="AF322">
            <v>0.30248768241950041</v>
          </cell>
        </row>
        <row r="323">
          <cell r="AE323">
            <v>956</v>
          </cell>
          <cell r="AF323">
            <v>0.29997698560095137</v>
          </cell>
        </row>
        <row r="324">
          <cell r="AE324">
            <v>2010</v>
          </cell>
          <cell r="AF324">
            <v>0.29870871293263079</v>
          </cell>
        </row>
        <row r="325">
          <cell r="AE325">
            <v>10886</v>
          </cell>
          <cell r="AF325">
            <v>0.29325976955884836</v>
          </cell>
        </row>
        <row r="326">
          <cell r="AE326">
            <v>7181</v>
          </cell>
          <cell r="AF326">
            <v>0.2928299723150814</v>
          </cell>
        </row>
        <row r="327">
          <cell r="AE327">
            <v>4319</v>
          </cell>
          <cell r="AF327">
            <v>0.28819920950119982</v>
          </cell>
        </row>
        <row r="328">
          <cell r="AE328">
            <v>1929</v>
          </cell>
          <cell r="AF328">
            <v>0.2868406240639319</v>
          </cell>
        </row>
        <row r="329">
          <cell r="AE329">
            <v>12561</v>
          </cell>
          <cell r="AF329">
            <v>0.28547716440762755</v>
          </cell>
        </row>
        <row r="330">
          <cell r="AE330">
            <v>7782</v>
          </cell>
          <cell r="AF330">
            <v>0.2824776685855645</v>
          </cell>
        </row>
        <row r="331">
          <cell r="AE331">
            <v>17583</v>
          </cell>
          <cell r="AF331">
            <v>0.2763801863431336</v>
          </cell>
        </row>
        <row r="332">
          <cell r="AE332">
            <v>633</v>
          </cell>
          <cell r="AF332">
            <v>0.27438363981496622</v>
          </cell>
        </row>
        <row r="333">
          <cell r="AE333">
            <v>18521</v>
          </cell>
          <cell r="AF333">
            <v>0.27209968918550442</v>
          </cell>
        </row>
        <row r="334">
          <cell r="AE334">
            <v>29695</v>
          </cell>
          <cell r="AF334">
            <v>0.2705716587492365</v>
          </cell>
        </row>
        <row r="335">
          <cell r="AE335">
            <v>6479</v>
          </cell>
          <cell r="AF335">
            <v>0.27042732153724852</v>
          </cell>
        </row>
        <row r="336">
          <cell r="AE336">
            <v>5081</v>
          </cell>
          <cell r="AF336">
            <v>0.26771622464900968</v>
          </cell>
        </row>
        <row r="337">
          <cell r="AE337">
            <v>22243</v>
          </cell>
          <cell r="AF337">
            <v>0.26577247661076464</v>
          </cell>
        </row>
        <row r="338">
          <cell r="AE338">
            <v>17325</v>
          </cell>
          <cell r="AF338">
            <v>0.26152190669863962</v>
          </cell>
        </row>
        <row r="339">
          <cell r="AE339">
            <v>19558</v>
          </cell>
          <cell r="AF339">
            <v>0.25741299759747827</v>
          </cell>
        </row>
        <row r="340">
          <cell r="AE340">
            <v>1488</v>
          </cell>
          <cell r="AF340">
            <v>0.25618472492927968</v>
          </cell>
        </row>
        <row r="341">
          <cell r="AE341">
            <v>8681</v>
          </cell>
          <cell r="AF341">
            <v>0.25615099866217467</v>
          </cell>
        </row>
        <row r="342">
          <cell r="AE342">
            <v>4231</v>
          </cell>
          <cell r="AF342">
            <v>0.25570044378574608</v>
          </cell>
        </row>
        <row r="343">
          <cell r="AE343">
            <v>5449</v>
          </cell>
          <cell r="AF343">
            <v>0.25141376018378775</v>
          </cell>
        </row>
        <row r="344">
          <cell r="AE344">
            <v>35145</v>
          </cell>
          <cell r="AF344">
            <v>0.2415529237346942</v>
          </cell>
        </row>
        <row r="345">
          <cell r="AE345">
            <v>1749</v>
          </cell>
          <cell r="AF345">
            <v>0.23809914525486808</v>
          </cell>
        </row>
        <row r="346">
          <cell r="AE346">
            <v>8032</v>
          </cell>
          <cell r="AF346">
            <v>0.22799937208833729</v>
          </cell>
        </row>
        <row r="347">
          <cell r="AE347">
            <v>20994</v>
          </cell>
          <cell r="AF347">
            <v>0.22160629965383716</v>
          </cell>
        </row>
        <row r="348">
          <cell r="AE348">
            <v>14740</v>
          </cell>
          <cell r="AF348">
            <v>0.21820832707810875</v>
          </cell>
        </row>
        <row r="349">
          <cell r="AE349">
            <v>54026</v>
          </cell>
          <cell r="AF349">
            <v>0.20704659686649304</v>
          </cell>
        </row>
        <row r="350">
          <cell r="AE350">
            <v>11623</v>
          </cell>
          <cell r="AF350">
            <v>0.19824575646877854</v>
          </cell>
        </row>
        <row r="351">
          <cell r="AE351">
            <v>1964</v>
          </cell>
          <cell r="AF351">
            <v>0.18426312893565819</v>
          </cell>
        </row>
        <row r="352">
          <cell r="AE352">
            <v>4073</v>
          </cell>
          <cell r="AF352">
            <v>0.17758730662259026</v>
          </cell>
        </row>
        <row r="353">
          <cell r="AE353">
            <v>2977</v>
          </cell>
          <cell r="AF353">
            <v>0.16225032578854379</v>
          </cell>
        </row>
        <row r="354">
          <cell r="AE354">
            <v>7294</v>
          </cell>
          <cell r="AF354">
            <v>0.13652098354154002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54"/>
  <sheetViews>
    <sheetView tabSelected="1" topLeftCell="H1" workbookViewId="0">
      <selection activeCell="U8" sqref="U8"/>
    </sheetView>
  </sheetViews>
  <sheetFormatPr defaultRowHeight="15"/>
  <sheetData>
    <row r="1" spans="1:17" ht="135">
      <c r="A1" s="3" t="s">
        <v>638</v>
      </c>
      <c r="B1" s="3" t="s">
        <v>639</v>
      </c>
      <c r="C1" s="3" t="s">
        <v>640</v>
      </c>
      <c r="D1" s="3" t="s">
        <v>641</v>
      </c>
      <c r="E1" s="3" t="s">
        <v>642</v>
      </c>
      <c r="F1" s="3" t="s">
        <v>643</v>
      </c>
      <c r="G1" s="3" t="s">
        <v>644</v>
      </c>
      <c r="H1" s="3" t="s">
        <v>645</v>
      </c>
      <c r="I1" s="4" t="s">
        <v>1</v>
      </c>
      <c r="J1" s="4" t="s">
        <v>646</v>
      </c>
      <c r="K1" s="5" t="s">
        <v>3</v>
      </c>
      <c r="L1" s="6" t="s">
        <v>4</v>
      </c>
      <c r="M1" s="5" t="s">
        <v>5</v>
      </c>
      <c r="N1" s="5" t="s">
        <v>6</v>
      </c>
      <c r="O1" s="5" t="s">
        <v>0</v>
      </c>
      <c r="P1" s="5" t="s">
        <v>7</v>
      </c>
      <c r="Q1" s="6" t="s">
        <v>2</v>
      </c>
    </row>
    <row r="2" spans="1:17">
      <c r="A2" s="7" t="s">
        <v>298</v>
      </c>
      <c r="B2" s="7">
        <v>9.5334851124562192E-12</v>
      </c>
      <c r="C2" s="7">
        <v>19</v>
      </c>
      <c r="D2" s="7">
        <v>81</v>
      </c>
      <c r="E2" s="7">
        <v>0.91019159072630107</v>
      </c>
      <c r="F2" s="7">
        <v>760</v>
      </c>
      <c r="G2" s="7">
        <v>3375</v>
      </c>
      <c r="H2" s="7">
        <v>68.010011505088613</v>
      </c>
      <c r="I2" s="2">
        <f t="shared" ref="I2:I65" si="0">SUM(D2,G2)</f>
        <v>3456</v>
      </c>
      <c r="J2" s="2">
        <f t="shared" ref="J2:J65" si="1">H2/E2</f>
        <v>74.720544771039911</v>
      </c>
      <c r="K2" s="8" t="s">
        <v>299</v>
      </c>
      <c r="L2" t="s">
        <v>21</v>
      </c>
      <c r="M2" t="str">
        <f>HYPERLINK(".\links\NR-LIGHT\ab-tri_asb-2776-NR-LIGHT.txt","NR-LIGHT")</f>
        <v>NR-LIGHT</v>
      </c>
      <c r="N2">
        <v>0</v>
      </c>
      <c r="O2">
        <v>100</v>
      </c>
      <c r="P2" s="9" t="str">
        <f>HYPERLINK(".\links\NR-LIGHT\ab-tri_asb-2776-NR-LIGHT.txt","alkaline phosphatase")</f>
        <v>alkaline phosphatase</v>
      </c>
      <c r="Q2" t="str">
        <f>HYPERLINK("http://www.ncbi.nlm.nih.gov/sutils/blink.cgi?pid=289740595","0.0")</f>
        <v>0.0</v>
      </c>
    </row>
    <row r="3" spans="1:17">
      <c r="A3" s="7" t="s">
        <v>601</v>
      </c>
      <c r="B3" s="7">
        <v>0</v>
      </c>
      <c r="C3" s="7">
        <v>239</v>
      </c>
      <c r="D3" s="7">
        <v>242</v>
      </c>
      <c r="E3" s="7">
        <v>4.6461829362803311</v>
      </c>
      <c r="F3" s="7">
        <v>6125</v>
      </c>
      <c r="G3" s="7">
        <v>6127</v>
      </c>
      <c r="H3" s="7">
        <v>210.95027268912034</v>
      </c>
      <c r="I3" s="2">
        <f t="shared" si="0"/>
        <v>6369</v>
      </c>
      <c r="J3" s="2">
        <f t="shared" si="1"/>
        <v>45.402920113602796</v>
      </c>
      <c r="K3" s="8" t="s">
        <v>25</v>
      </c>
      <c r="L3" t="s">
        <v>23</v>
      </c>
      <c r="M3" t="str">
        <f>HYPERLINK(".\links\DIPTERA\ab-tri_asb-6886-DIPTERA.txt","DIPTERA")</f>
        <v>DIPTERA</v>
      </c>
      <c r="N3" s="1">
        <v>8.0000000000000001E-35</v>
      </c>
      <c r="O3">
        <v>79.900000000000006</v>
      </c>
      <c r="P3" s="9" t="str">
        <f>HYPERLINK(".\links\NR-LIGHT\ab-tri_asb-6886-NR-LIGHT.txt","hypothetical conserved protein")</f>
        <v>hypothetical conserved protein</v>
      </c>
      <c r="Q3" t="str">
        <f>HYPERLINK("http://www.ncbi.nlm.nih.gov/sutils/blink.cgi?pid=289739719","3E-034")</f>
        <v>3E-034</v>
      </c>
    </row>
    <row r="4" spans="1:17">
      <c r="A4" s="7" t="s">
        <v>467</v>
      </c>
      <c r="B4" s="7">
        <v>0</v>
      </c>
      <c r="C4" s="7">
        <v>5615</v>
      </c>
      <c r="D4" s="7">
        <v>6055</v>
      </c>
      <c r="E4" s="7">
        <v>240.75561611110791</v>
      </c>
      <c r="F4" s="7">
        <v>141933</v>
      </c>
      <c r="G4" s="7">
        <v>148281</v>
      </c>
      <c r="H4" s="7">
        <v>10573.020073740354</v>
      </c>
      <c r="I4" s="2">
        <f t="shared" si="0"/>
        <v>154336</v>
      </c>
      <c r="J4" s="2">
        <f t="shared" si="1"/>
        <v>43.915985199119675</v>
      </c>
      <c r="K4" s="8" t="s">
        <v>468</v>
      </c>
      <c r="L4" t="s">
        <v>28</v>
      </c>
      <c r="M4" t="str">
        <f>HYPERLINK(".\links\RRNA\ab-tri_asb-55068-RRNA.txt","RRNA")</f>
        <v>RRNA</v>
      </c>
      <c r="N4">
        <v>0</v>
      </c>
      <c r="O4">
        <v>20.8</v>
      </c>
      <c r="P4" s="9" t="str">
        <f>HYPERLINK(".\links\NR-LIGHT\ab-tri_asb-55068-NR-LIGHT.txt","hypothetical protein IscW_ISCW024385")</f>
        <v>hypothetical protein IscW_ISCW024385</v>
      </c>
      <c r="Q4" t="str">
        <f>HYPERLINK("http://www.ncbi.nlm.nih.gov/sutils/blink.cgi?pid=242002550","2E-025")</f>
        <v>2E-025</v>
      </c>
    </row>
    <row r="5" spans="1:17">
      <c r="A5" s="7" t="s">
        <v>183</v>
      </c>
      <c r="B5" s="7">
        <v>4.7667425562281096E-11</v>
      </c>
      <c r="C5" s="7">
        <v>132</v>
      </c>
      <c r="D5" s="7">
        <v>132</v>
      </c>
      <c r="E5" s="7">
        <v>1.8111251874683179</v>
      </c>
      <c r="F5" s="7">
        <v>3015</v>
      </c>
      <c r="G5" s="7">
        <v>3015</v>
      </c>
      <c r="H5" s="7">
        <v>74.184491977890218</v>
      </c>
      <c r="I5" s="2">
        <f t="shared" si="0"/>
        <v>3147</v>
      </c>
      <c r="J5" s="2">
        <f t="shared" si="1"/>
        <v>40.960444088124603</v>
      </c>
      <c r="K5" s="8" t="s">
        <v>184</v>
      </c>
      <c r="L5" t="s">
        <v>21</v>
      </c>
      <c r="M5" t="str">
        <f>HYPERLINK(".\links\KOG\ab-tri_asb-16964-KOG.txt","KOG")</f>
        <v>KOG</v>
      </c>
      <c r="N5" s="1">
        <v>9.0000000000000001E-92</v>
      </c>
      <c r="O5">
        <v>90.9</v>
      </c>
      <c r="P5" s="9" t="str">
        <f>HYPERLINK(".\links\NR-LIGHT\ab-tri_asb-16964-NR-LIGHT.txt","RH25769p")</f>
        <v>RH25769p</v>
      </c>
      <c r="Q5" t="str">
        <f>HYPERLINK("http://www.ncbi.nlm.nih.gov/sutils/blink.cgi?pid=261338777","1E-086")</f>
        <v>1E-086</v>
      </c>
    </row>
    <row r="6" spans="1:17">
      <c r="A6" s="7" t="s">
        <v>636</v>
      </c>
      <c r="B6" s="7">
        <v>5.7200910674737315E-11</v>
      </c>
      <c r="C6" s="7">
        <v>71</v>
      </c>
      <c r="D6" s="7">
        <v>72</v>
      </c>
      <c r="E6" s="7">
        <v>2.087669457046446</v>
      </c>
      <c r="F6" s="7">
        <v>1457</v>
      </c>
      <c r="G6" s="7">
        <v>1608</v>
      </c>
      <c r="H6" s="7">
        <v>83.611604334951139</v>
      </c>
      <c r="I6" s="2">
        <f t="shared" si="0"/>
        <v>1680</v>
      </c>
      <c r="J6" s="2">
        <f t="shared" si="1"/>
        <v>40.050211997277387</v>
      </c>
      <c r="K6" s="8" t="s">
        <v>637</v>
      </c>
      <c r="L6" t="s">
        <v>42</v>
      </c>
      <c r="M6" t="str">
        <f>HYPERLINK(".\links\DIPTERA\ab-tri_asb-9757-DIPTERA.txt","DIPTERA")</f>
        <v>DIPTERA</v>
      </c>
      <c r="N6">
        <v>2.0000000000000001E-9</v>
      </c>
      <c r="O6">
        <v>11.5</v>
      </c>
      <c r="P6" s="9" t="str">
        <f>HYPERLINK(".\links\NR-LIGHT\ab-tri_asb-9757-NR-LIGHT.txt","uncharacterized conserved protein")</f>
        <v>uncharacterized conserved protein</v>
      </c>
      <c r="Q6" t="str">
        <f>HYPERLINK("http://www.ncbi.nlm.nih.gov/sutils/blink.cgi?pid=289741461","4E-028")</f>
        <v>4E-028</v>
      </c>
    </row>
    <row r="7" spans="1:17">
      <c r="A7" s="7" t="s">
        <v>466</v>
      </c>
      <c r="B7" s="7">
        <v>0</v>
      </c>
      <c r="C7" s="7">
        <v>5474</v>
      </c>
      <c r="D7" s="7">
        <v>5831</v>
      </c>
      <c r="E7" s="7">
        <v>146.88843278068134</v>
      </c>
      <c r="F7" s="7">
        <v>123524</v>
      </c>
      <c r="G7" s="7">
        <v>128714</v>
      </c>
      <c r="H7" s="7">
        <v>5814.6236981808224</v>
      </c>
      <c r="I7" s="2">
        <f t="shared" si="0"/>
        <v>134545</v>
      </c>
      <c r="J7" s="2">
        <f t="shared" si="1"/>
        <v>39.585306944234468</v>
      </c>
      <c r="K7" s="8" t="s">
        <v>439</v>
      </c>
      <c r="L7" t="s">
        <v>28</v>
      </c>
      <c r="M7" t="str">
        <f>HYPERLINK(".\links\RRNA\ab-tri_asb-55067-RRNA.txt","RRNA")</f>
        <v>RRNA</v>
      </c>
      <c r="N7">
        <v>0</v>
      </c>
      <c r="O7">
        <v>55.7</v>
      </c>
      <c r="P7" s="9" t="str">
        <f>HYPERLINK(".\links\NR-LIGHT\ab-tri_asb-55067-NR-LIGHT.txt","hypothetical protein HMPREF9439_05376")</f>
        <v>hypothetical protein HMPREF9439_05376</v>
      </c>
      <c r="Q7" t="str">
        <f>HYPERLINK("http://www.ncbi.nlm.nih.gov/sutils/blink.cgi?pid=342926033","6E-037")</f>
        <v>6E-037</v>
      </c>
    </row>
    <row r="8" spans="1:17">
      <c r="A8" s="7" t="s">
        <v>91</v>
      </c>
      <c r="B8" s="7">
        <v>1.2393530646193085E-10</v>
      </c>
      <c r="C8" s="7">
        <v>68</v>
      </c>
      <c r="D8" s="7">
        <v>68</v>
      </c>
      <c r="E8" s="7">
        <v>2.2398953549560825</v>
      </c>
      <c r="F8" s="7">
        <v>1327</v>
      </c>
      <c r="G8" s="7">
        <v>1327</v>
      </c>
      <c r="H8" s="7">
        <v>78.386452563278212</v>
      </c>
      <c r="I8" s="2">
        <f t="shared" si="0"/>
        <v>1395</v>
      </c>
      <c r="J8" s="2">
        <f t="shared" si="1"/>
        <v>34.995586909824695</v>
      </c>
      <c r="K8" s="8" t="s">
        <v>8</v>
      </c>
      <c r="L8" t="s">
        <v>9</v>
      </c>
      <c r="P8" s="9" t="str">
        <f>HYPERLINK(".\links\NR-LIGHT\ab-tri_asb-11537-NR-LIGHT.txt","Centromeric protein E, putative")</f>
        <v>Centromeric protein E, putative</v>
      </c>
      <c r="Q8" t="str">
        <f>HYPERLINK("http://www.ncbi.nlm.nih.gov/sutils/blink.cgi?pid=242013886","7E-006")</f>
        <v>7E-006</v>
      </c>
    </row>
    <row r="9" spans="1:17">
      <c r="A9" s="7" t="s">
        <v>629</v>
      </c>
      <c r="B9" s="7">
        <v>4.8105965877454082E-8</v>
      </c>
      <c r="C9" s="7">
        <v>144</v>
      </c>
      <c r="D9" s="7">
        <v>144</v>
      </c>
      <c r="E9" s="7">
        <v>1.6283294797493102</v>
      </c>
      <c r="F9" s="7">
        <v>2602</v>
      </c>
      <c r="G9" s="7">
        <v>2602</v>
      </c>
      <c r="H9" s="7">
        <v>52.764078399163267</v>
      </c>
      <c r="I9" s="2">
        <f t="shared" si="0"/>
        <v>2746</v>
      </c>
      <c r="J9" s="2">
        <f t="shared" si="1"/>
        <v>32.403809582374308</v>
      </c>
      <c r="K9" s="8" t="s">
        <v>134</v>
      </c>
      <c r="L9" t="s">
        <v>42</v>
      </c>
      <c r="M9" t="str">
        <f>HYPERLINK(".\links\KOG\ab-tri_asb-9256-KOG.txt","KOG")</f>
        <v>KOG</v>
      </c>
      <c r="N9">
        <v>0</v>
      </c>
      <c r="O9">
        <v>93.5</v>
      </c>
      <c r="P9" s="9" t="str">
        <f>HYPERLINK(".\links\NR-LIGHT\ab-tri_asb-9256-NR-LIGHT.txt","CG31871")</f>
        <v>CG31871</v>
      </c>
      <c r="Q9" t="str">
        <f>HYPERLINK("http://www.ncbi.nlm.nih.gov/sutils/blink.cgi?pid=24583491","0.0")</f>
        <v>0.0</v>
      </c>
    </row>
    <row r="10" spans="1:17">
      <c r="A10" s="7" t="s">
        <v>421</v>
      </c>
      <c r="B10" s="7">
        <v>0</v>
      </c>
      <c r="C10" s="7">
        <v>56</v>
      </c>
      <c r="D10" s="7">
        <v>113</v>
      </c>
      <c r="E10" s="7">
        <v>4.4211034953718311</v>
      </c>
      <c r="F10" s="7">
        <v>520</v>
      </c>
      <c r="G10" s="7">
        <v>1696</v>
      </c>
      <c r="H10" s="7">
        <v>118.99517644906426</v>
      </c>
      <c r="I10" s="2">
        <f t="shared" si="0"/>
        <v>1809</v>
      </c>
      <c r="J10" s="2">
        <f t="shared" si="1"/>
        <v>26.915265967791221</v>
      </c>
      <c r="K10" s="8" t="s">
        <v>113</v>
      </c>
      <c r="L10" t="s">
        <v>28</v>
      </c>
      <c r="M10" t="str">
        <f>HYPERLINK(".\links\RRNA\ab-tri_asb-54009-RRNA.txt","RRNA")</f>
        <v>RRNA</v>
      </c>
      <c r="N10" s="1">
        <v>1E-87</v>
      </c>
      <c r="O10">
        <v>4.3</v>
      </c>
      <c r="P10" s="9" t="str">
        <f>HYPERLINK(".\links\NR-LIGHT\ab-tri_asb-54009-NR-LIGHT.txt","unspecific monooxygenase")</f>
        <v>unspecific monooxygenase</v>
      </c>
      <c r="Q10" t="str">
        <f>HYPERLINK("http://www.ncbi.nlm.nih.gov/sutils/blink.cgi?pid=170576227","2E-014")</f>
        <v>2E-014</v>
      </c>
    </row>
    <row r="11" spans="1:17">
      <c r="A11" s="7" t="s">
        <v>609</v>
      </c>
      <c r="B11" s="7">
        <v>0</v>
      </c>
      <c r="C11" s="7">
        <v>15543</v>
      </c>
      <c r="D11" s="7">
        <v>15843</v>
      </c>
      <c r="E11" s="7">
        <v>146.13587690556986</v>
      </c>
      <c r="F11" s="7">
        <v>219497</v>
      </c>
      <c r="G11" s="7">
        <v>222277</v>
      </c>
      <c r="H11" s="7">
        <v>3676.7595205715711</v>
      </c>
      <c r="I11" s="2">
        <f t="shared" si="0"/>
        <v>238120</v>
      </c>
      <c r="J11" s="2">
        <f t="shared" si="1"/>
        <v>25.159869009766993</v>
      </c>
      <c r="K11" s="8" t="s">
        <v>610</v>
      </c>
      <c r="L11" t="s">
        <v>28</v>
      </c>
      <c r="M11" t="str">
        <f>HYPERLINK(".\links\RRNA\ab-tri_asb-7799-RRNA.txt","RRNA")</f>
        <v>RRNA</v>
      </c>
      <c r="N11">
        <v>0</v>
      </c>
      <c r="O11">
        <v>44.6</v>
      </c>
      <c r="P11" s="9" t="str">
        <f>HYPERLINK(".\links\NR-LIGHT\ab-tri_asb-7799-NR-LIGHT.txt","hypothetical protein HMPREF9553_00243")</f>
        <v>hypothetical protein HMPREF9553_00243</v>
      </c>
      <c r="Q11" t="str">
        <f>HYPERLINK("http://www.ncbi.nlm.nih.gov/sutils/blink.cgi?pid=300973359","2E-057")</f>
        <v>2E-057</v>
      </c>
    </row>
    <row r="12" spans="1:17">
      <c r="A12" s="7" t="s">
        <v>320</v>
      </c>
      <c r="B12" s="7">
        <v>1.3156209455189583E-9</v>
      </c>
      <c r="C12" s="7">
        <v>844</v>
      </c>
      <c r="D12" s="7">
        <v>1697</v>
      </c>
      <c r="E12" s="7">
        <v>24.938889561687077</v>
      </c>
      <c r="F12" s="7">
        <v>12285</v>
      </c>
      <c r="G12" s="7">
        <v>22795</v>
      </c>
      <c r="H12" s="7">
        <v>600.73942915129817</v>
      </c>
      <c r="I12" s="2">
        <f t="shared" si="0"/>
        <v>24492</v>
      </c>
      <c r="J12" s="2">
        <f t="shared" si="1"/>
        <v>24.088459418586041</v>
      </c>
      <c r="K12" s="8" t="s">
        <v>25</v>
      </c>
      <c r="L12" t="s">
        <v>23</v>
      </c>
      <c r="M12" t="str">
        <f>HYPERLINK(".\links\NR-LIGHT\ab-tri_asb-31696-NR-LIGHT.txt","NR-LIGHT")</f>
        <v>NR-LIGHT</v>
      </c>
      <c r="N12">
        <v>0</v>
      </c>
      <c r="O12">
        <v>82.3</v>
      </c>
      <c r="P12" s="9" t="str">
        <f>HYPERLINK(".\links\NR-LIGHT\ab-tri_asb-31696-NR-LIGHT.txt","hypothetical conserved protein")</f>
        <v>hypothetical conserved protein</v>
      </c>
      <c r="Q12" t="str">
        <f>HYPERLINK("http://www.ncbi.nlm.nih.gov/sutils/blink.cgi?pid=289739719","1E-121")</f>
        <v>1E-121</v>
      </c>
    </row>
    <row r="13" spans="1:17">
      <c r="A13" s="7" t="s">
        <v>465</v>
      </c>
      <c r="B13" s="7">
        <v>0</v>
      </c>
      <c r="C13" s="7">
        <v>7568</v>
      </c>
      <c r="D13" s="7">
        <v>9333</v>
      </c>
      <c r="E13" s="7">
        <v>518.30438052409386</v>
      </c>
      <c r="F13" s="7">
        <v>86975</v>
      </c>
      <c r="G13" s="7">
        <v>117375</v>
      </c>
      <c r="H13" s="7">
        <v>11689.353437514652</v>
      </c>
      <c r="I13" s="2">
        <f t="shared" si="0"/>
        <v>126708</v>
      </c>
      <c r="J13" s="2">
        <f t="shared" si="1"/>
        <v>22.553067033110406</v>
      </c>
      <c r="K13" s="8" t="s">
        <v>113</v>
      </c>
      <c r="L13" t="s">
        <v>28</v>
      </c>
      <c r="M13" t="str">
        <f>HYPERLINK(".\links\RRNA\ab-tri_asb-55048-RRNA.txt","RRNA")</f>
        <v>RRNA</v>
      </c>
      <c r="N13" s="1">
        <v>1E-62</v>
      </c>
      <c r="O13">
        <v>4.0999999999999996</v>
      </c>
      <c r="P13" s="9" t="str">
        <f>HYPERLINK(".\links\NR-LIGHT\ab-tri_asb-55048-NR-LIGHT.txt","hypothetical protein BRAFLDRAFT_118873")</f>
        <v>hypothetical protein BRAFLDRAFT_118873</v>
      </c>
      <c r="Q13" t="str">
        <f>HYPERLINK("http://www.ncbi.nlm.nih.gov/sutils/blink.cgi?pid=260786202","0.32")</f>
        <v>0.32</v>
      </c>
    </row>
    <row r="14" spans="1:17">
      <c r="A14" s="7" t="s">
        <v>623</v>
      </c>
      <c r="B14" s="7">
        <v>1.3836415991175244E-4</v>
      </c>
      <c r="C14" s="7">
        <v>245</v>
      </c>
      <c r="D14" s="7">
        <v>246</v>
      </c>
      <c r="E14" s="7">
        <v>2.1601342985398091</v>
      </c>
      <c r="F14" s="7">
        <v>2476</v>
      </c>
      <c r="G14" s="7">
        <v>2481</v>
      </c>
      <c r="H14" s="7">
        <v>39.06822508234265</v>
      </c>
      <c r="I14" s="2">
        <f t="shared" si="0"/>
        <v>2727</v>
      </c>
      <c r="J14" s="2">
        <f t="shared" si="1"/>
        <v>18.086016739214635</v>
      </c>
      <c r="K14" s="8" t="s">
        <v>596</v>
      </c>
      <c r="L14" t="s">
        <v>85</v>
      </c>
      <c r="M14" t="str">
        <f>HYPERLINK(".\links\NR-LIGHT\ab-tri_asb-8609-NR-LIGHT.txt","NR-LIGHT")</f>
        <v>NR-LIGHT</v>
      </c>
      <c r="N14" s="1">
        <v>9.9999999999999992E-25</v>
      </c>
      <c r="O14">
        <v>39</v>
      </c>
      <c r="P14" s="9" t="str">
        <f>HYPERLINK(".\links\NR-LIGHT\ab-tri_asb-8609-NR-LIGHT.txt","RNA-dependent RNA polymerase")</f>
        <v>RNA-dependent RNA polymerase</v>
      </c>
      <c r="Q14" t="str">
        <f>HYPERLINK("http://www.ncbi.nlm.nih.gov/sutils/blink.cgi?pid=110645393","1E-024")</f>
        <v>1E-024</v>
      </c>
    </row>
    <row r="15" spans="1:17">
      <c r="A15" s="7" t="s">
        <v>607</v>
      </c>
      <c r="B15" s="7">
        <v>0</v>
      </c>
      <c r="C15" s="7">
        <v>659</v>
      </c>
      <c r="D15" s="7">
        <v>660</v>
      </c>
      <c r="E15" s="7">
        <v>15.359282433984566</v>
      </c>
      <c r="F15" s="7">
        <v>6023</v>
      </c>
      <c r="G15" s="7">
        <v>6031</v>
      </c>
      <c r="H15" s="7">
        <v>251.69094461931238</v>
      </c>
      <c r="I15" s="2">
        <f t="shared" si="0"/>
        <v>6691</v>
      </c>
      <c r="J15" s="2">
        <f t="shared" si="1"/>
        <v>16.386894745968789</v>
      </c>
      <c r="K15" s="8" t="s">
        <v>608</v>
      </c>
      <c r="L15" t="s">
        <v>28</v>
      </c>
      <c r="M15" t="str">
        <f>HYPERLINK(".\links\RRNA\ab-tri_asb-7798-RRNA.txt","RRNA")</f>
        <v>RRNA</v>
      </c>
      <c r="N15">
        <v>0</v>
      </c>
      <c r="O15">
        <v>15</v>
      </c>
      <c r="P15" s="9" t="str">
        <f>HYPERLINK(".\links\NR-LIGHT\ab-tri_asb-7798-NR-LIGHT.txt","hypothetical protein HMPREF0485_05014")</f>
        <v>hypothetical protein HMPREF0485_05014</v>
      </c>
      <c r="Q15" t="str">
        <f>HYPERLINK("http://www.ncbi.nlm.nih.gov/sutils/blink.cgi?pid=290513257","8E-044")</f>
        <v>8E-044</v>
      </c>
    </row>
    <row r="16" spans="1:17">
      <c r="A16" s="7" t="s">
        <v>420</v>
      </c>
      <c r="B16" s="7">
        <v>0</v>
      </c>
      <c r="C16" s="7">
        <v>88</v>
      </c>
      <c r="D16" s="7">
        <v>90</v>
      </c>
      <c r="E16" s="7">
        <v>10.703924705099864</v>
      </c>
      <c r="F16" s="7">
        <v>732</v>
      </c>
      <c r="G16" s="7">
        <v>748</v>
      </c>
      <c r="H16" s="7">
        <v>159.53405538523583</v>
      </c>
      <c r="I16" s="2">
        <f t="shared" si="0"/>
        <v>838</v>
      </c>
      <c r="J16" s="2">
        <f t="shared" si="1"/>
        <v>14.90425799699676</v>
      </c>
      <c r="K16" s="8" t="s">
        <v>113</v>
      </c>
      <c r="L16" t="s">
        <v>28</v>
      </c>
      <c r="M16" t="str">
        <f>HYPERLINK(".\links\RRNA\ab-tri_asb-53905-RRNA.txt","RRNA")</f>
        <v>RRNA</v>
      </c>
      <c r="N16" s="1">
        <v>5.0000000000000002E-26</v>
      </c>
      <c r="O16">
        <v>1.6</v>
      </c>
      <c r="P16" s="9" t="str">
        <f>HYPERLINK(".\links\NR-LIGHT\ab-tri_asb-53905-NR-LIGHT.txt","hypothetical protein DAPPUDRAFT_346895")</f>
        <v>hypothetical protein DAPPUDRAFT_346895</v>
      </c>
      <c r="Q16" t="str">
        <f>HYPERLINK("http://www.ncbi.nlm.nih.gov/sutils/blink.cgi?pid=321478808","34")</f>
        <v>34</v>
      </c>
    </row>
    <row r="17" spans="1:17">
      <c r="A17" s="7" t="s">
        <v>536</v>
      </c>
      <c r="B17" s="7">
        <v>0</v>
      </c>
      <c r="C17" s="7">
        <v>173</v>
      </c>
      <c r="D17" s="7">
        <v>193</v>
      </c>
      <c r="E17" s="7">
        <v>31.825752405388265</v>
      </c>
      <c r="F17" s="7">
        <v>1397</v>
      </c>
      <c r="G17" s="7">
        <v>1561</v>
      </c>
      <c r="H17" s="7">
        <v>461.61035778957222</v>
      </c>
      <c r="I17" s="2">
        <f t="shared" si="0"/>
        <v>1754</v>
      </c>
      <c r="J17" s="2">
        <f t="shared" si="1"/>
        <v>14.504303053379477</v>
      </c>
      <c r="K17" s="8" t="s">
        <v>381</v>
      </c>
      <c r="L17" t="s">
        <v>28</v>
      </c>
      <c r="M17" t="str">
        <f>HYPERLINK(".\links\RRNA\ab-tri_asb-56108-RRNA.txt","RRNA")</f>
        <v>RRNA</v>
      </c>
      <c r="N17" s="1">
        <v>5.0000000000000004E-19</v>
      </c>
      <c r="O17">
        <v>24.2</v>
      </c>
      <c r="P17" s="9" t="str">
        <f>HYPERLINK(".\links\NR-LIGHT\ab-tri_asb-56108-NR-LIGHT.txt","leucine rich protein")</f>
        <v>leucine rich protein</v>
      </c>
      <c r="Q17" t="str">
        <f>HYPERLINK("http://www.ncbi.nlm.nih.gov/sutils/blink.cgi?pid=237702458","4E-013")</f>
        <v>4E-013</v>
      </c>
    </row>
    <row r="18" spans="1:17">
      <c r="A18" s="7" t="s">
        <v>193</v>
      </c>
      <c r="B18" s="7">
        <v>0</v>
      </c>
      <c r="C18" s="7">
        <v>727</v>
      </c>
      <c r="D18" s="7">
        <v>727</v>
      </c>
      <c r="E18" s="7">
        <v>10.031235665624674</v>
      </c>
      <c r="F18" s="7">
        <v>5684</v>
      </c>
      <c r="G18" s="7">
        <v>5684</v>
      </c>
      <c r="H18" s="7">
        <v>140.64534515243096</v>
      </c>
      <c r="I18" s="2">
        <f t="shared" si="0"/>
        <v>6411</v>
      </c>
      <c r="J18" s="2">
        <f t="shared" si="1"/>
        <v>14.020739801218953</v>
      </c>
      <c r="K18" s="8" t="s">
        <v>79</v>
      </c>
      <c r="L18" t="s">
        <v>48</v>
      </c>
      <c r="M18" t="str">
        <f>HYPERLINK(".\links\NR-LIGHT\ab-tri_asb-17192-NR-LIGHT.txt","NR-LIGHT")</f>
        <v>NR-LIGHT</v>
      </c>
      <c r="N18">
        <v>0</v>
      </c>
      <c r="O18">
        <v>100</v>
      </c>
      <c r="P18" s="9" t="str">
        <f>HYPERLINK(".\links\NR-LIGHT\ab-tri_asb-17192-NR-LIGHT.txt","hypothetical secreted conserved protein")</f>
        <v>hypothetical secreted conserved protein</v>
      </c>
      <c r="Q18" t="str">
        <f>HYPERLINK("http://www.ncbi.nlm.nih.gov/sutils/blink.cgi?pid=289739385","0.0")</f>
        <v>0.0</v>
      </c>
    </row>
    <row r="19" spans="1:17">
      <c r="A19" s="7" t="s">
        <v>175</v>
      </c>
      <c r="B19" s="7">
        <v>0</v>
      </c>
      <c r="C19" s="7">
        <v>1726</v>
      </c>
      <c r="D19" s="7">
        <v>1764</v>
      </c>
      <c r="E19" s="7">
        <v>27.422848394280134</v>
      </c>
      <c r="F19" s="7">
        <v>13398</v>
      </c>
      <c r="G19" s="7">
        <v>13727</v>
      </c>
      <c r="H19" s="7">
        <v>382.6845129249449</v>
      </c>
      <c r="I19" s="2">
        <f t="shared" si="0"/>
        <v>15491</v>
      </c>
      <c r="J19" s="2">
        <f t="shared" si="1"/>
        <v>13.954951266286596</v>
      </c>
      <c r="K19" s="8" t="s">
        <v>174</v>
      </c>
      <c r="L19" t="s">
        <v>28</v>
      </c>
      <c r="M19" t="str">
        <f>HYPERLINK(".\links\RRNA\ab-tri_asb-16406-RRNA.txt","RRNA")</f>
        <v>RRNA</v>
      </c>
      <c r="N19" s="1">
        <v>3.0000000000000002E-87</v>
      </c>
      <c r="O19">
        <v>13</v>
      </c>
      <c r="P19" s="9" t="str">
        <f>HYPERLINK(".\links\NR-LIGHT\ab-tri_asb-16406-NR-LIGHT.txt","conserved hypothetical protein")</f>
        <v>conserved hypothetical protein</v>
      </c>
      <c r="Q19" t="str">
        <f>HYPERLINK("http://www.ncbi.nlm.nih.gov/sutils/blink.cgi?pid=115515395","2E-077")</f>
        <v>2E-077</v>
      </c>
    </row>
    <row r="20" spans="1:17">
      <c r="A20" s="7" t="s">
        <v>300</v>
      </c>
      <c r="B20" s="7">
        <v>8.0583933667277563E-4</v>
      </c>
      <c r="C20" s="7">
        <v>59</v>
      </c>
      <c r="D20" s="7">
        <v>256</v>
      </c>
      <c r="E20" s="7">
        <v>2.7612193139747534</v>
      </c>
      <c r="F20" s="7">
        <v>438</v>
      </c>
      <c r="G20" s="7">
        <v>1922</v>
      </c>
      <c r="H20" s="7">
        <v>37.176251011684265</v>
      </c>
      <c r="I20" s="2">
        <f t="shared" si="0"/>
        <v>2178</v>
      </c>
      <c r="J20" s="2">
        <f t="shared" si="1"/>
        <v>13.463708160931754</v>
      </c>
      <c r="K20" s="8" t="s">
        <v>299</v>
      </c>
      <c r="L20" t="s">
        <v>21</v>
      </c>
      <c r="M20" t="str">
        <f>HYPERLINK(".\links\NR-LIGHT\ab-tri_asb-2777-NR-LIGHT.txt","NR-LIGHT")</f>
        <v>NR-LIGHT</v>
      </c>
      <c r="N20">
        <v>0</v>
      </c>
      <c r="O20">
        <v>74.400000000000006</v>
      </c>
      <c r="P20" s="9" t="str">
        <f>HYPERLINK(".\links\NR-LIGHT\ab-tri_asb-2777-NR-LIGHT.txt","alkaline phosphatase")</f>
        <v>alkaline phosphatase</v>
      </c>
      <c r="Q20" t="str">
        <f>HYPERLINK("http://www.ncbi.nlm.nih.gov/sutils/blink.cgi?pid=289740595","0.0")</f>
        <v>0.0</v>
      </c>
    </row>
    <row r="21" spans="1:17">
      <c r="A21" s="7" t="s">
        <v>179</v>
      </c>
      <c r="B21" s="7">
        <v>0</v>
      </c>
      <c r="C21" s="7">
        <v>257</v>
      </c>
      <c r="D21" s="7">
        <v>257</v>
      </c>
      <c r="E21" s="7">
        <v>8.0230398079960032</v>
      </c>
      <c r="F21" s="7">
        <v>1799</v>
      </c>
      <c r="G21" s="7">
        <v>1799</v>
      </c>
      <c r="H21" s="7">
        <v>100.71363206909773</v>
      </c>
      <c r="I21" s="2">
        <f t="shared" si="0"/>
        <v>2056</v>
      </c>
      <c r="J21" s="2">
        <f t="shared" si="1"/>
        <v>12.553051521534703</v>
      </c>
      <c r="K21" s="8" t="s">
        <v>180</v>
      </c>
      <c r="L21" t="s">
        <v>21</v>
      </c>
      <c r="M21" t="str">
        <f>HYPERLINK(".\links\NR-LIGHT\ab-tri_asb-16659-NR-LIGHT.txt","NR-LIGHT")</f>
        <v>NR-LIGHT</v>
      </c>
      <c r="N21">
        <v>0</v>
      </c>
      <c r="O21">
        <v>100</v>
      </c>
      <c r="P21" s="9" t="str">
        <f>HYPERLINK(".\links\NR-LIGHT\ab-tri_asb-16659-NR-LIGHT.txt","tetraspanin 42Ek")</f>
        <v>tetraspanin 42Ek</v>
      </c>
      <c r="Q21" t="str">
        <f>HYPERLINK("http://www.ncbi.nlm.nih.gov/sutils/blink.cgi?pid=289742569","1E-117")</f>
        <v>1E-117</v>
      </c>
    </row>
    <row r="22" spans="1:17">
      <c r="A22" s="7" t="s">
        <v>389</v>
      </c>
      <c r="B22" s="7">
        <v>7.6267880899649754E-11</v>
      </c>
      <c r="C22" s="7">
        <v>705</v>
      </c>
      <c r="D22" s="7">
        <v>719</v>
      </c>
      <c r="E22" s="7">
        <v>11.242476511088469</v>
      </c>
      <c r="F22" s="7">
        <v>4535</v>
      </c>
      <c r="G22" s="7">
        <v>4634</v>
      </c>
      <c r="H22" s="7">
        <v>129.9392630182883</v>
      </c>
      <c r="I22" s="2">
        <f t="shared" si="0"/>
        <v>5353</v>
      </c>
      <c r="J22" s="2">
        <f t="shared" si="1"/>
        <v>11.557886101885918</v>
      </c>
      <c r="K22" s="8" t="s">
        <v>174</v>
      </c>
      <c r="L22" t="s">
        <v>28</v>
      </c>
      <c r="M22" t="str">
        <f>HYPERLINK(".\links\RRNA\ab-tri_asb-50907-RRNA.txt","RRNA")</f>
        <v>RRNA</v>
      </c>
      <c r="N22">
        <v>0</v>
      </c>
      <c r="O22">
        <v>18.100000000000001</v>
      </c>
      <c r="P22" s="9" t="str">
        <f>HYPERLINK(".\links\NR-LIGHT\ab-tri_asb-50907-NR-LIGHT.txt","cell wall-associated hydrolase")</f>
        <v>cell wall-associated hydrolase</v>
      </c>
      <c r="Q22" t="str">
        <f>HYPERLINK("http://www.ncbi.nlm.nih.gov/sutils/blink.cgi?pid=294629690","3E-049")</f>
        <v>3E-049</v>
      </c>
    </row>
    <row r="23" spans="1:17">
      <c r="A23" s="7" t="s">
        <v>124</v>
      </c>
      <c r="B23" s="7">
        <v>0</v>
      </c>
      <c r="C23" s="7">
        <v>4158</v>
      </c>
      <c r="D23" s="7">
        <v>4158</v>
      </c>
      <c r="E23" s="7">
        <v>25.291201319504118</v>
      </c>
      <c r="F23" s="7">
        <v>26268</v>
      </c>
      <c r="G23" s="7">
        <v>26273</v>
      </c>
      <c r="H23" s="7">
        <v>286.58002136883511</v>
      </c>
      <c r="I23" s="2">
        <f t="shared" si="0"/>
        <v>30431</v>
      </c>
      <c r="J23" s="2">
        <f t="shared" si="1"/>
        <v>11.331214272840008</v>
      </c>
      <c r="K23" s="8" t="s">
        <v>125</v>
      </c>
      <c r="L23" t="s">
        <v>42</v>
      </c>
      <c r="M23" t="str">
        <f>HYPERLINK(".\links\KOG\ab-tri_asb-13713-KOG.txt","KOG")</f>
        <v>KOG</v>
      </c>
      <c r="N23">
        <v>0</v>
      </c>
      <c r="O23">
        <v>89.9</v>
      </c>
      <c r="P23" s="9" t="str">
        <f>HYPERLINK(".\links\NR-LIGHT\ab-tri_asb-13713-NR-LIGHT.txt","CTP:phosphocholine cytidylyltransferase 1, isoform A")</f>
        <v>CTP:phosphocholine cytidylyltransferase 1, isoform A</v>
      </c>
      <c r="Q23" t="str">
        <f>HYPERLINK("http://www.ncbi.nlm.nih.gov/sutils/blink.cgi?pid=21357575","1E-157")</f>
        <v>1E-157</v>
      </c>
    </row>
    <row r="24" spans="1:17">
      <c r="A24" s="7" t="s">
        <v>384</v>
      </c>
      <c r="B24" s="7">
        <v>0</v>
      </c>
      <c r="C24" s="7">
        <v>430369</v>
      </c>
      <c r="D24" s="7">
        <v>556109</v>
      </c>
      <c r="E24" s="7">
        <v>1791.6231081614844</v>
      </c>
      <c r="F24" s="7">
        <v>2723758</v>
      </c>
      <c r="G24" s="7">
        <v>3436638</v>
      </c>
      <c r="H24" s="7">
        <v>19855.08683654352</v>
      </c>
      <c r="I24" s="2">
        <f t="shared" si="0"/>
        <v>3992747</v>
      </c>
      <c r="J24" s="2">
        <f t="shared" si="1"/>
        <v>11.082178358883905</v>
      </c>
      <c r="K24" s="8" t="s">
        <v>385</v>
      </c>
      <c r="L24" t="s">
        <v>28</v>
      </c>
      <c r="M24" t="str">
        <f>HYPERLINK(".\links\RRNA\ab-tri_asb-5023-RRNA.txt","RRNA")</f>
        <v>RRNA</v>
      </c>
      <c r="N24">
        <v>0</v>
      </c>
      <c r="O24">
        <v>100.3</v>
      </c>
      <c r="P24" s="9" t="str">
        <f>HYPERLINK(".\links\NR-LIGHT\ab-tri_asb-5023-NR-LIGHT.txt","conserved hypothetical protein")</f>
        <v>conserved hypothetical protein</v>
      </c>
      <c r="Q24" t="str">
        <f>HYPERLINK("http://www.ncbi.nlm.nih.gov/sutils/blink.cgi?pid=242012026","4E-047")</f>
        <v>4E-047</v>
      </c>
    </row>
    <row r="25" spans="1:17">
      <c r="A25" s="7" t="s">
        <v>173</v>
      </c>
      <c r="B25" s="7">
        <v>7.8174577922140998E-10</v>
      </c>
      <c r="C25" s="7">
        <v>1475</v>
      </c>
      <c r="D25" s="7">
        <v>1514</v>
      </c>
      <c r="E25" s="7">
        <v>32.477588833872389</v>
      </c>
      <c r="F25" s="7">
        <v>9021</v>
      </c>
      <c r="G25" s="7">
        <v>9309</v>
      </c>
      <c r="H25" s="7">
        <v>358.10650148450372</v>
      </c>
      <c r="I25" s="2">
        <f t="shared" si="0"/>
        <v>10823</v>
      </c>
      <c r="J25" s="2">
        <f t="shared" si="1"/>
        <v>11.026265013584315</v>
      </c>
      <c r="K25" s="8" t="s">
        <v>174</v>
      </c>
      <c r="L25" t="s">
        <v>28</v>
      </c>
      <c r="M25" t="str">
        <f>HYPERLINK(".\links\RRNA\ab-tri_asb-16405-RRNA.txt","RRNA")</f>
        <v>RRNA</v>
      </c>
      <c r="N25">
        <v>0</v>
      </c>
      <c r="O25">
        <v>18.5</v>
      </c>
      <c r="P25" s="9" t="str">
        <f>HYPERLINK(".\links\NR-LIGHT\ab-tri_asb-16405-NR-LIGHT.txt","conserved hypothetical protein")</f>
        <v>conserved hypothetical protein</v>
      </c>
      <c r="Q25" t="str">
        <f>HYPERLINK("http://www.ncbi.nlm.nih.gov/sutils/blink.cgi?pid=115515395","2E-067")</f>
        <v>2E-067</v>
      </c>
    </row>
    <row r="26" spans="1:17">
      <c r="A26" s="7" t="s">
        <v>619</v>
      </c>
      <c r="B26" s="7">
        <v>0</v>
      </c>
      <c r="C26" s="7">
        <v>196</v>
      </c>
      <c r="D26" s="7">
        <v>1378</v>
      </c>
      <c r="E26" s="7">
        <v>9.2343329816888016</v>
      </c>
      <c r="F26" s="7">
        <v>1221</v>
      </c>
      <c r="G26" s="7">
        <v>7920</v>
      </c>
      <c r="H26" s="7">
        <v>95.177165340481224</v>
      </c>
      <c r="I26" s="2">
        <f t="shared" si="0"/>
        <v>9298</v>
      </c>
      <c r="J26" s="2">
        <f t="shared" si="1"/>
        <v>10.306880370159117</v>
      </c>
      <c r="K26" s="8" t="s">
        <v>618</v>
      </c>
      <c r="L26" t="s">
        <v>21</v>
      </c>
      <c r="M26" t="str">
        <f>HYPERLINK(".\links\GO\ab-tri_asb-8565-GO.txt","GO")</f>
        <v>GO</v>
      </c>
      <c r="N26" s="1">
        <v>2E-73</v>
      </c>
      <c r="O26">
        <v>31</v>
      </c>
      <c r="P26" s="9" t="str">
        <f>HYPERLINK(".\links\NR-LIGHT\ab-tri_asb-8565-NR-LIGHT.txt","activin-like protein at 23B")</f>
        <v>activin-like protein at 23B</v>
      </c>
      <c r="Q26" t="str">
        <f>HYPERLINK("http://www.ncbi.nlm.nih.gov/sutils/blink.cgi?pid=289740031","0.0")</f>
        <v>0.0</v>
      </c>
    </row>
    <row r="27" spans="1:17">
      <c r="A27" s="7" t="s">
        <v>120</v>
      </c>
      <c r="B27" s="7">
        <v>5.1719156735074989E-7</v>
      </c>
      <c r="C27" s="7">
        <v>496</v>
      </c>
      <c r="D27" s="7">
        <v>496</v>
      </c>
      <c r="E27" s="7">
        <v>5.7120210594252798</v>
      </c>
      <c r="F27" s="7">
        <v>2794</v>
      </c>
      <c r="G27" s="7">
        <v>2794</v>
      </c>
      <c r="H27" s="7">
        <v>57.701326398344655</v>
      </c>
      <c r="I27" s="2">
        <f t="shared" si="0"/>
        <v>3290</v>
      </c>
      <c r="J27" s="2">
        <f t="shared" si="1"/>
        <v>10.101735585013815</v>
      </c>
      <c r="K27" s="8" t="s">
        <v>61</v>
      </c>
      <c r="L27" t="s">
        <v>18</v>
      </c>
      <c r="M27" t="str">
        <f>HYPERLINK(".\links\KOG\ab-tri_asb-13448-KOG.txt","KOG")</f>
        <v>KOG</v>
      </c>
      <c r="N27">
        <v>0</v>
      </c>
      <c r="O27">
        <v>97.2</v>
      </c>
      <c r="P27" s="9" t="str">
        <f>HYPERLINK(".\links\NR-LIGHT\ab-tri_asb-13448-NR-LIGHT.txt","minidiscs, isoform A")</f>
        <v>minidiscs, isoform A</v>
      </c>
      <c r="Q27" t="str">
        <f>HYPERLINK("http://www.ncbi.nlm.nih.gov/sutils/blink.cgi?pid=17647653","0.0")</f>
        <v>0.0</v>
      </c>
    </row>
    <row r="28" spans="1:17">
      <c r="A28" s="7" t="s">
        <v>617</v>
      </c>
      <c r="B28" s="7">
        <v>2.0299054007133499E-4</v>
      </c>
      <c r="C28" s="7">
        <v>69</v>
      </c>
      <c r="D28" s="7">
        <v>584</v>
      </c>
      <c r="E28" s="7">
        <v>4.8150879286908665</v>
      </c>
      <c r="F28" s="7">
        <v>400</v>
      </c>
      <c r="G28" s="7">
        <v>2997</v>
      </c>
      <c r="H28" s="7">
        <v>44.312820060709413</v>
      </c>
      <c r="I28" s="2">
        <f t="shared" si="0"/>
        <v>3581</v>
      </c>
      <c r="J28" s="2">
        <f t="shared" si="1"/>
        <v>9.2029098361153405</v>
      </c>
      <c r="K28" s="8" t="s">
        <v>618</v>
      </c>
      <c r="L28" t="s">
        <v>21</v>
      </c>
      <c r="M28" t="str">
        <f>HYPERLINK(".\links\GO\ab-tri_asb-8564-GO.txt","GO")</f>
        <v>GO</v>
      </c>
      <c r="N28" s="1">
        <v>0</v>
      </c>
      <c r="O28">
        <v>100</v>
      </c>
      <c r="P28" s="9" t="str">
        <f>HYPERLINK(".\links\NR-LIGHT\ab-tri_asb-8564-NR-LIGHT.txt","activin-like protein at 23B")</f>
        <v>activin-like protein at 23B</v>
      </c>
      <c r="Q28" t="str">
        <f>HYPERLINK("http://www.ncbi.nlm.nih.gov/sutils/blink.cgi?pid=289740031","0.0")</f>
        <v>0.0</v>
      </c>
    </row>
    <row r="29" spans="1:17">
      <c r="A29" s="7" t="s">
        <v>459</v>
      </c>
      <c r="B29" s="7">
        <v>4.8486240773004674E-3</v>
      </c>
      <c r="C29" s="7">
        <v>70</v>
      </c>
      <c r="D29" s="7">
        <v>70</v>
      </c>
      <c r="E29" s="7">
        <v>3.9778268460108017</v>
      </c>
      <c r="F29" s="7">
        <v>357</v>
      </c>
      <c r="G29" s="7">
        <v>357</v>
      </c>
      <c r="H29" s="7">
        <v>36.380387606108457</v>
      </c>
      <c r="I29" s="2">
        <f t="shared" si="0"/>
        <v>427</v>
      </c>
      <c r="J29" s="2">
        <f t="shared" si="1"/>
        <v>9.1457946799752854</v>
      </c>
      <c r="K29" s="8" t="s">
        <v>8</v>
      </c>
      <c r="L29" t="s">
        <v>9</v>
      </c>
      <c r="P29" s="9" t="str">
        <f>HYPERLINK(".\links\NR-LIGHT\ab-tri_asb-54906-NR-LIGHT.txt","transferrin")</f>
        <v>transferrin</v>
      </c>
      <c r="Q29" t="str">
        <f>HYPERLINK("http://www.ncbi.nlm.nih.gov/sutils/blink.cgi?pid=83745530","4E-005")</f>
        <v>4E-005</v>
      </c>
    </row>
    <row r="30" spans="1:17">
      <c r="A30" s="7" t="s">
        <v>362</v>
      </c>
      <c r="B30" s="7">
        <v>0</v>
      </c>
      <c r="C30" s="7">
        <v>1220</v>
      </c>
      <c r="D30" s="7">
        <v>1533</v>
      </c>
      <c r="E30" s="7">
        <v>188.15120981631094</v>
      </c>
      <c r="F30" s="7">
        <v>6453</v>
      </c>
      <c r="G30" s="7">
        <v>7613</v>
      </c>
      <c r="H30" s="7">
        <v>1675.6062106829954</v>
      </c>
      <c r="I30" s="2">
        <f t="shared" si="0"/>
        <v>9146</v>
      </c>
      <c r="J30" s="2">
        <f t="shared" si="1"/>
        <v>8.9056361227698897</v>
      </c>
      <c r="K30" s="8" t="s">
        <v>8</v>
      </c>
      <c r="L30" t="s">
        <v>9</v>
      </c>
      <c r="P30" s="9" t="str">
        <f>HYPERLINK(".\links\NR-LIGHT\ab-tri_asb-40527-NR-LIGHT.txt","CG18542")</f>
        <v>CG18542</v>
      </c>
      <c r="Q30" t="str">
        <f>HYPERLINK("http://www.ncbi.nlm.nih.gov/sutils/blink.cgi?pid=21355977","1.8")</f>
        <v>1.8</v>
      </c>
    </row>
    <row r="31" spans="1:17">
      <c r="A31" s="7" t="s">
        <v>569</v>
      </c>
      <c r="B31" s="7">
        <v>8.009462182378968E-7</v>
      </c>
      <c r="C31" s="7">
        <v>841</v>
      </c>
      <c r="D31" s="7">
        <v>841</v>
      </c>
      <c r="E31" s="7">
        <v>7.1084980887474165</v>
      </c>
      <c r="F31" s="7">
        <v>3946</v>
      </c>
      <c r="G31" s="7">
        <v>3947</v>
      </c>
      <c r="H31" s="7">
        <v>59.82741699157873</v>
      </c>
      <c r="I31" s="2">
        <f t="shared" si="0"/>
        <v>4788</v>
      </c>
      <c r="J31" s="2">
        <f t="shared" si="1"/>
        <v>8.416323145149903</v>
      </c>
      <c r="K31" s="8" t="s">
        <v>8</v>
      </c>
      <c r="L31" t="s">
        <v>9</v>
      </c>
      <c r="P31" s="9" t="str">
        <f>HYPERLINK(".\links\NR-LIGHT\ab-tri_asb-57003-NR-LIGHT.txt","ATP-dependent dsDNA exonuclease")</f>
        <v>ATP-dependent dsDNA exonuclease</v>
      </c>
      <c r="Q31" t="str">
        <f>HYPERLINK("http://www.ncbi.nlm.nih.gov/sutils/blink.cgi?pid=339291690","0.053")</f>
        <v>0.053</v>
      </c>
    </row>
    <row r="32" spans="1:17">
      <c r="A32" s="7" t="s">
        <v>438</v>
      </c>
      <c r="B32" s="7">
        <v>8.5801366012105973E-10</v>
      </c>
      <c r="C32" s="7">
        <v>937</v>
      </c>
      <c r="D32" s="7">
        <v>973</v>
      </c>
      <c r="E32" s="7">
        <v>61.105182627259857</v>
      </c>
      <c r="F32" s="7">
        <v>3693</v>
      </c>
      <c r="G32" s="7">
        <v>3846</v>
      </c>
      <c r="H32" s="7">
        <v>433.13747190209853</v>
      </c>
      <c r="I32" s="2">
        <f t="shared" si="0"/>
        <v>4819</v>
      </c>
      <c r="J32" s="2">
        <f t="shared" si="1"/>
        <v>7.0883917415684143</v>
      </c>
      <c r="K32" s="8" t="s">
        <v>439</v>
      </c>
      <c r="L32" t="s">
        <v>28</v>
      </c>
      <c r="M32" t="str">
        <f>HYPERLINK(".\links\RRNA\ab-tri_asb-54511-RRNA.txt","RRNA")</f>
        <v>RRNA</v>
      </c>
      <c r="N32">
        <v>0</v>
      </c>
      <c r="O32">
        <v>28.6</v>
      </c>
      <c r="P32" s="9" t="str">
        <f>HYPERLINK(".\links\NR-LIGHT\ab-tri_asb-54511-NR-LIGHT.txt","conserved hypothetical protein")</f>
        <v>conserved hypothetical protein</v>
      </c>
      <c r="Q32" t="str">
        <f>HYPERLINK("http://www.ncbi.nlm.nih.gov/sutils/blink.cgi?pid=237702463","3E-031")</f>
        <v>3E-031</v>
      </c>
    </row>
    <row r="33" spans="1:17">
      <c r="A33" s="7" t="s">
        <v>504</v>
      </c>
      <c r="B33" s="7">
        <v>4.4419367184467262E-7</v>
      </c>
      <c r="C33" s="7">
        <v>147</v>
      </c>
      <c r="D33" s="7">
        <v>147</v>
      </c>
      <c r="E33" s="7">
        <v>9.4752407821163782</v>
      </c>
      <c r="F33" s="7">
        <v>569</v>
      </c>
      <c r="G33" s="7">
        <v>569</v>
      </c>
      <c r="H33" s="7">
        <v>65.77130483274027</v>
      </c>
      <c r="I33" s="2">
        <f t="shared" si="0"/>
        <v>716</v>
      </c>
      <c r="J33" s="2">
        <f t="shared" si="1"/>
        <v>6.9413861183219101</v>
      </c>
      <c r="K33" s="8" t="s">
        <v>8</v>
      </c>
      <c r="L33" t="s">
        <v>9</v>
      </c>
      <c r="P33" s="9" t="str">
        <f>HYPERLINK(".\links\NR-LIGHT\ab-tri_asb-55848-NR-LIGHT.txt","hypothetical protein CpipJ_CPIJ010444")</f>
        <v>hypothetical protein CpipJ_CPIJ010444</v>
      </c>
      <c r="Q33" t="str">
        <f>HYPERLINK("http://www.ncbi.nlm.nih.gov/sutils/blink.cgi?pid=170048806","4E-004")</f>
        <v>4E-004</v>
      </c>
    </row>
    <row r="34" spans="1:17">
      <c r="A34" s="7" t="s">
        <v>632</v>
      </c>
      <c r="B34" s="7">
        <v>1.9066970224912438E-9</v>
      </c>
      <c r="C34" s="7">
        <v>788</v>
      </c>
      <c r="D34" s="7">
        <v>789</v>
      </c>
      <c r="E34" s="7">
        <v>12.195128936586652</v>
      </c>
      <c r="F34" s="7">
        <v>2960</v>
      </c>
      <c r="G34" s="7">
        <v>2960</v>
      </c>
      <c r="H34" s="7">
        <v>82.04504839472817</v>
      </c>
      <c r="I34" s="2">
        <f t="shared" si="0"/>
        <v>3749</v>
      </c>
      <c r="J34" s="2">
        <f t="shared" si="1"/>
        <v>6.7276901147461023</v>
      </c>
      <c r="K34" s="8" t="s">
        <v>71</v>
      </c>
      <c r="L34" t="s">
        <v>18</v>
      </c>
      <c r="M34" t="str">
        <f>HYPERLINK(".\links\KOG\ab-tri_asb-9659-KOG.txt","KOG")</f>
        <v>KOG</v>
      </c>
      <c r="N34">
        <v>0</v>
      </c>
      <c r="O34">
        <v>99.4</v>
      </c>
      <c r="P34" s="9" t="str">
        <f>HYPERLINK(".\links\NR-LIGHT\ab-tri_asb-9659-NR-LIGHT.txt","CG16727")</f>
        <v>CG16727</v>
      </c>
      <c r="Q34" t="str">
        <f>HYPERLINK("http://www.ncbi.nlm.nih.gov/sutils/blink.cgi?pid=24648216","0.0")</f>
        <v>0.0</v>
      </c>
    </row>
    <row r="35" spans="1:17">
      <c r="A35" s="7" t="s">
        <v>267</v>
      </c>
      <c r="B35" s="7">
        <v>6.5600908261354007E-4</v>
      </c>
      <c r="C35" s="7">
        <v>373</v>
      </c>
      <c r="D35" s="7">
        <v>374</v>
      </c>
      <c r="E35" s="7">
        <v>8.5920088487546131</v>
      </c>
      <c r="F35" s="7">
        <v>1203</v>
      </c>
      <c r="G35" s="7">
        <v>1203</v>
      </c>
      <c r="H35" s="7">
        <v>49.560994458187238</v>
      </c>
      <c r="I35" s="2">
        <f t="shared" si="0"/>
        <v>1577</v>
      </c>
      <c r="J35" s="2">
        <f t="shared" si="1"/>
        <v>5.7682662262819901</v>
      </c>
      <c r="K35" s="8" t="s">
        <v>268</v>
      </c>
      <c r="L35" t="s">
        <v>26</v>
      </c>
      <c r="M35" t="str">
        <f>HYPERLINK(".\links\SWISSP\ab-tri_asb-24080-SWISSP.txt","SWISSP")</f>
        <v>SWISSP</v>
      </c>
      <c r="N35">
        <v>2E-14</v>
      </c>
      <c r="O35">
        <v>24.8</v>
      </c>
      <c r="P35" s="9" t="str">
        <f>HYPERLINK(".\links\NR-LIGHT\ab-tri_asb-24080-NR-LIGHT.txt","Nahoda protein")</f>
        <v>Nahoda protein</v>
      </c>
      <c r="Q35" t="str">
        <f>HYPERLINK("http://www.ncbi.nlm.nih.gov/sutils/blink.cgi?pid=12053779","1E-146")</f>
        <v>1E-146</v>
      </c>
    </row>
    <row r="36" spans="1:17">
      <c r="A36" s="7" t="s">
        <v>233</v>
      </c>
      <c r="B36" s="7">
        <v>4.6077716919779022E-6</v>
      </c>
      <c r="C36" s="7">
        <v>1267</v>
      </c>
      <c r="D36" s="7">
        <v>1267</v>
      </c>
      <c r="E36" s="7">
        <v>11.332901489767814</v>
      </c>
      <c r="F36" s="7">
        <v>4035</v>
      </c>
      <c r="G36" s="7">
        <v>4035</v>
      </c>
      <c r="H36" s="7">
        <v>64.723099845333707</v>
      </c>
      <c r="I36" s="2">
        <f t="shared" si="0"/>
        <v>5302</v>
      </c>
      <c r="J36" s="2">
        <f t="shared" si="1"/>
        <v>5.7110793651361513</v>
      </c>
      <c r="K36" s="8" t="s">
        <v>68</v>
      </c>
      <c r="L36" t="s">
        <v>21</v>
      </c>
      <c r="M36" t="str">
        <f>HYPERLINK(".\links\KOG\ab-tri_asb-2107-KOG.txt","KOG")</f>
        <v>KOG</v>
      </c>
      <c r="N36" s="1">
        <v>5.9999999999999998E-56</v>
      </c>
      <c r="O36">
        <v>94.9</v>
      </c>
      <c r="P36" s="9" t="str">
        <f>HYPERLINK(".\links\NR-LIGHT\ab-tri_asb-2107-NR-LIGHT.txt","RE41788p")</f>
        <v>RE41788p</v>
      </c>
      <c r="Q36" t="str">
        <f>HYPERLINK("http://www.ncbi.nlm.nih.gov/sutils/blink.cgi?pid=25012605","0.0")</f>
        <v>0.0</v>
      </c>
    </row>
    <row r="37" spans="1:17">
      <c r="A37" s="7" t="s">
        <v>292</v>
      </c>
      <c r="B37" s="7">
        <v>0</v>
      </c>
      <c r="C37" s="7">
        <v>1675</v>
      </c>
      <c r="D37" s="7">
        <v>1675</v>
      </c>
      <c r="E37" s="7">
        <v>18.519908117900972</v>
      </c>
      <c r="F37" s="7">
        <v>5255</v>
      </c>
      <c r="G37" s="7">
        <v>5255</v>
      </c>
      <c r="H37" s="7">
        <v>104.19527086472613</v>
      </c>
      <c r="I37" s="2">
        <f t="shared" si="0"/>
        <v>6930</v>
      </c>
      <c r="J37" s="2">
        <f t="shared" si="1"/>
        <v>5.6261224516558519</v>
      </c>
      <c r="K37" s="8" t="s">
        <v>259</v>
      </c>
      <c r="L37" t="s">
        <v>42</v>
      </c>
      <c r="M37" t="str">
        <f>HYPERLINK(".\links\KOG\ab-tri_asb-26965-KOG.txt","KOG")</f>
        <v>KOG</v>
      </c>
      <c r="N37">
        <v>0</v>
      </c>
      <c r="O37">
        <v>99</v>
      </c>
      <c r="P37" s="9" t="str">
        <f>HYPERLINK(".\links\NR-LIGHT\ab-tri_asb-26965-NR-LIGHT.txt","inos")</f>
        <v>inos</v>
      </c>
      <c r="Q37" t="str">
        <f>HYPERLINK("http://www.ncbi.nlm.nih.gov/sutils/blink.cgi?pid=17137626","0.0")</f>
        <v>0.0</v>
      </c>
    </row>
    <row r="38" spans="1:17">
      <c r="A38" s="7" t="s">
        <v>122</v>
      </c>
      <c r="B38" s="7">
        <v>9.8177736385096637E-7</v>
      </c>
      <c r="C38" s="7">
        <v>2047</v>
      </c>
      <c r="D38" s="7">
        <v>2047</v>
      </c>
      <c r="E38" s="7">
        <v>12.840324270511367</v>
      </c>
      <c r="F38" s="7">
        <v>6288</v>
      </c>
      <c r="G38" s="7">
        <v>6288</v>
      </c>
      <c r="H38" s="7">
        <v>70.732979645228667</v>
      </c>
      <c r="I38" s="2">
        <f t="shared" si="0"/>
        <v>8335</v>
      </c>
      <c r="J38" s="2">
        <f t="shared" si="1"/>
        <v>5.5086599181666713</v>
      </c>
      <c r="K38" s="8" t="s">
        <v>123</v>
      </c>
      <c r="L38" t="s">
        <v>23</v>
      </c>
      <c r="M38" t="str">
        <f>HYPERLINK(".\links\NR-LIGHT\ab-tri_asb-1367-NR-LIGHT.txt","NR-LIGHT")</f>
        <v>NR-LIGHT</v>
      </c>
      <c r="N38">
        <v>0</v>
      </c>
      <c r="O38">
        <v>103</v>
      </c>
      <c r="P38" s="9" t="str">
        <f>HYPERLINK(".\links\NR-LIGHT\ab-tri_asb-1367-NR-LIGHT.txt","CG10383")</f>
        <v>CG10383</v>
      </c>
      <c r="Q38" t="str">
        <f>HYPERLINK("http://www.ncbi.nlm.nih.gov/sutils/blink.cgi?pid=20129595","0.0")</f>
        <v>0.0</v>
      </c>
    </row>
    <row r="39" spans="1:17">
      <c r="A39" s="7" t="s">
        <v>290</v>
      </c>
      <c r="B39" s="7">
        <v>4.8239434669028469E-8</v>
      </c>
      <c r="C39" s="7">
        <v>413</v>
      </c>
      <c r="D39" s="7">
        <v>419</v>
      </c>
      <c r="E39" s="7">
        <v>15.198642165612933</v>
      </c>
      <c r="F39" s="7">
        <v>1191</v>
      </c>
      <c r="G39" s="7">
        <v>1250</v>
      </c>
      <c r="H39" s="7">
        <v>81.311514729930494</v>
      </c>
      <c r="I39" s="2">
        <f t="shared" si="0"/>
        <v>1669</v>
      </c>
      <c r="J39" s="2">
        <f t="shared" si="1"/>
        <v>5.3499196733441456</v>
      </c>
      <c r="K39" s="8" t="s">
        <v>8</v>
      </c>
      <c r="L39" t="s">
        <v>9</v>
      </c>
      <c r="P39" s="9" t="str">
        <f>HYPERLINK(".\links\NR-LIGHT\ab-tri_asb-26847-NR-LIGHT.txt","hypothetical protein LOC100503123, partial")</f>
        <v>hypothetical protein LOC100503123, partial</v>
      </c>
      <c r="Q39" t="str">
        <f>HYPERLINK("http://www.ncbi.nlm.nih.gov/sutils/blink.cgi?pid=309262440","13")</f>
        <v>13</v>
      </c>
    </row>
    <row r="40" spans="1:17">
      <c r="A40" s="7" t="s">
        <v>188</v>
      </c>
      <c r="B40" s="7">
        <v>7.6267880899649754E-11</v>
      </c>
      <c r="C40" s="7">
        <v>3166</v>
      </c>
      <c r="D40" s="7">
        <v>3166</v>
      </c>
      <c r="E40" s="7">
        <v>40.503619383860773</v>
      </c>
      <c r="F40" s="7">
        <v>9026</v>
      </c>
      <c r="G40" s="7">
        <v>9026</v>
      </c>
      <c r="H40" s="7">
        <v>207.07588362748913</v>
      </c>
      <c r="I40" s="2">
        <f t="shared" si="0"/>
        <v>12192</v>
      </c>
      <c r="J40" s="2">
        <f t="shared" si="1"/>
        <v>5.1125278870757258</v>
      </c>
      <c r="K40" s="8" t="s">
        <v>189</v>
      </c>
      <c r="L40" t="s">
        <v>40</v>
      </c>
      <c r="M40" t="str">
        <f>HYPERLINK(".\links\NR-LIGHT\ab-tri_asb-1704-NR-LIGHT.txt","NR-LIGHT")</f>
        <v>NR-LIGHT</v>
      </c>
      <c r="N40">
        <v>0</v>
      </c>
      <c r="O40">
        <v>100</v>
      </c>
      <c r="P40" s="9" t="str">
        <f>HYPERLINK(".\links\NR-LIGHT\ab-tri_asb-1704-NR-LIGHT.txt","GroEL-like protein")</f>
        <v>GroEL-like protein</v>
      </c>
      <c r="Q40" t="str">
        <f>HYPERLINK("http://www.ncbi.nlm.nih.gov/sutils/blink.cgi?pid=15824533","0.0")</f>
        <v>0.0</v>
      </c>
    </row>
    <row r="41" spans="1:17">
      <c r="A41" s="7" t="s">
        <v>580</v>
      </c>
      <c r="B41" s="7">
        <v>3.0659688121659201E-8</v>
      </c>
      <c r="C41" s="7">
        <v>871</v>
      </c>
      <c r="D41" s="7">
        <v>2679</v>
      </c>
      <c r="E41" s="7">
        <v>18.708276401955871</v>
      </c>
      <c r="F41" s="7">
        <v>2676</v>
      </c>
      <c r="G41" s="7">
        <v>7090</v>
      </c>
      <c r="H41" s="7">
        <v>88.788878528758346</v>
      </c>
      <c r="I41" s="2">
        <f t="shared" si="0"/>
        <v>9769</v>
      </c>
      <c r="J41" s="2">
        <f t="shared" si="1"/>
        <v>4.7459678604853117</v>
      </c>
      <c r="K41" s="8" t="s">
        <v>71</v>
      </c>
      <c r="L41" t="s">
        <v>18</v>
      </c>
      <c r="M41" t="str">
        <f>HYPERLINK(".\links\KOG\ab-tri_asb-57928-KOG.txt","KOG")</f>
        <v>KOG</v>
      </c>
      <c r="N41" s="1">
        <v>1.9999999999999999E-77</v>
      </c>
      <c r="O41">
        <v>106.1</v>
      </c>
      <c r="P41" s="9" t="str">
        <f>HYPERLINK(".\links\NR-LIGHT\ab-tri_asb-57928-NR-LIGHT.txt","CG6356")</f>
        <v>CG6356</v>
      </c>
      <c r="Q41" t="str">
        <f>HYPERLINK("http://www.ncbi.nlm.nih.gov/sutils/blink.cgi?pid=24649622","0.0")</f>
        <v>0.0</v>
      </c>
    </row>
    <row r="42" spans="1:17">
      <c r="A42" s="7" t="s">
        <v>570</v>
      </c>
      <c r="B42" s="7">
        <v>3.4929705024366875E-3</v>
      </c>
      <c r="C42" s="7">
        <v>655</v>
      </c>
      <c r="D42" s="7">
        <v>655</v>
      </c>
      <c r="E42" s="7">
        <v>10.460830356479388</v>
      </c>
      <c r="F42" s="7">
        <v>1731</v>
      </c>
      <c r="G42" s="7">
        <v>1731</v>
      </c>
      <c r="H42" s="7">
        <v>49.576195798053327</v>
      </c>
      <c r="I42" s="2">
        <f t="shared" si="0"/>
        <v>2386</v>
      </c>
      <c r="J42" s="2">
        <f t="shared" si="1"/>
        <v>4.7392218503329486</v>
      </c>
      <c r="K42" s="8" t="s">
        <v>31</v>
      </c>
      <c r="L42" t="s">
        <v>22</v>
      </c>
      <c r="M42" t="str">
        <f>HYPERLINK(".\links\KOG\ab-tri_asb-57073-KOG.txt","KOG")</f>
        <v>KOG</v>
      </c>
      <c r="N42" s="1">
        <v>1E-99</v>
      </c>
      <c r="O42">
        <v>97.3</v>
      </c>
      <c r="P42" s="9" t="str">
        <f>HYPERLINK(".\links\NR-LIGHT\ab-tri_asb-57073-NR-LIGHT.txt","CG14291")</f>
        <v>CG14291</v>
      </c>
      <c r="Q42" t="str">
        <f>HYPERLINK("http://www.ncbi.nlm.nih.gov/sutils/blink.cgi?pid=21356831","0.0")</f>
        <v>0.0</v>
      </c>
    </row>
    <row r="43" spans="1:17">
      <c r="A43" s="7" t="s">
        <v>574</v>
      </c>
      <c r="B43" s="7">
        <v>3.2797381488425259E-4</v>
      </c>
      <c r="C43" s="7">
        <v>1722</v>
      </c>
      <c r="D43" s="7">
        <v>1722</v>
      </c>
      <c r="E43" s="7">
        <v>12.365802194713462</v>
      </c>
      <c r="F43" s="7">
        <v>4498</v>
      </c>
      <c r="G43" s="7">
        <v>4500</v>
      </c>
      <c r="H43" s="7">
        <v>57.949932325290568</v>
      </c>
      <c r="I43" s="2">
        <f t="shared" si="0"/>
        <v>6222</v>
      </c>
      <c r="J43" s="2">
        <f t="shared" si="1"/>
        <v>4.6863059438282866</v>
      </c>
      <c r="K43" s="8" t="s">
        <v>187</v>
      </c>
      <c r="L43" t="s">
        <v>18</v>
      </c>
      <c r="M43" t="str">
        <f>HYPERLINK(".\links\KOG\ab-tri_asb-5748-KOG.txt","KOG")</f>
        <v>KOG</v>
      </c>
      <c r="N43">
        <v>0</v>
      </c>
      <c r="O43">
        <v>84.5</v>
      </c>
      <c r="P43" s="9" t="str">
        <f>HYPERLINK(".\links\NR-LIGHT\ab-tri_asb-5748-NR-LIGHT.txt","spinster, isoform C")</f>
        <v>spinster, isoform C</v>
      </c>
      <c r="Q43" t="str">
        <f>HYPERLINK("http://www.ncbi.nlm.nih.gov/sutils/blink.cgi?pid=24654037","0.0")</f>
        <v>0.0</v>
      </c>
    </row>
    <row r="44" spans="1:17">
      <c r="A44" s="7" t="s">
        <v>627</v>
      </c>
      <c r="B44" s="7">
        <v>1.8897274189910718E-7</v>
      </c>
      <c r="C44" s="7">
        <v>2678</v>
      </c>
      <c r="D44" s="7">
        <v>2678</v>
      </c>
      <c r="E44" s="7">
        <v>17.986326118657839</v>
      </c>
      <c r="F44" s="7">
        <v>6944</v>
      </c>
      <c r="G44" s="7">
        <v>6944</v>
      </c>
      <c r="H44" s="7">
        <v>83.635926894336095</v>
      </c>
      <c r="I44" s="2">
        <f t="shared" si="0"/>
        <v>9622</v>
      </c>
      <c r="J44" s="2">
        <f t="shared" si="1"/>
        <v>4.6499727816887324</v>
      </c>
      <c r="K44" s="8" t="s">
        <v>89</v>
      </c>
      <c r="L44" t="s">
        <v>35</v>
      </c>
      <c r="M44" t="str">
        <f>HYPERLINK(".\links\KOG\ab-tri_asb-9-KOG.txt","KOG")</f>
        <v>KOG</v>
      </c>
      <c r="N44">
        <v>0</v>
      </c>
      <c r="O44">
        <v>102.1</v>
      </c>
      <c r="P44" s="9" t="str">
        <f>HYPERLINK(".\links\NR-LIGHT\ab-tri_asb-9-NR-LIGHT.txt","RE51958p")</f>
        <v>RE51958p</v>
      </c>
      <c r="Q44" t="str">
        <f>HYPERLINK("http://www.ncbi.nlm.nih.gov/sutils/blink.cgi?pid=28380940","0.0")</f>
        <v>0.0</v>
      </c>
    </row>
    <row r="45" spans="1:17">
      <c r="A45" s="7" t="s">
        <v>418</v>
      </c>
      <c r="B45" s="7">
        <v>4.1947334494807365E-10</v>
      </c>
      <c r="C45" s="7">
        <v>1354</v>
      </c>
      <c r="D45" s="7">
        <v>1356</v>
      </c>
      <c r="E45" s="7">
        <v>123.13370681028843</v>
      </c>
      <c r="F45" s="7">
        <v>3507</v>
      </c>
      <c r="G45" s="7">
        <v>3507</v>
      </c>
      <c r="H45" s="7">
        <v>571.08966561886189</v>
      </c>
      <c r="I45" s="2">
        <f t="shared" si="0"/>
        <v>4863</v>
      </c>
      <c r="J45" s="2">
        <f t="shared" si="1"/>
        <v>4.6379637258767596</v>
      </c>
      <c r="K45" s="8" t="s">
        <v>419</v>
      </c>
      <c r="L45" t="s">
        <v>23</v>
      </c>
      <c r="M45" t="str">
        <f>HYPERLINK(".\links\DIPTERA\ab-tri_asb-53782-DIPTERA.txt","DIPTERA")</f>
        <v>DIPTERA</v>
      </c>
      <c r="N45">
        <v>1E-13</v>
      </c>
      <c r="O45">
        <v>36.700000000000003</v>
      </c>
      <c r="P45" s="9" t="str">
        <f>HYPERLINK(".\links\NR-LIGHT\ab-tri_asb-53782-NR-LIGHT.txt","hypothetical protein CpipJ_CPIJ007388")</f>
        <v>hypothetical protein CpipJ_CPIJ007388</v>
      </c>
      <c r="Q45" t="str">
        <f>HYPERLINK("http://www.ncbi.nlm.nih.gov/sutils/blink.cgi?pid=170042229","0.007")</f>
        <v>0.007</v>
      </c>
    </row>
    <row r="46" spans="1:17">
      <c r="A46" s="7" t="s">
        <v>285</v>
      </c>
      <c r="B46" s="7">
        <v>2.7153956801528878E-4</v>
      </c>
      <c r="C46" s="7">
        <v>1152</v>
      </c>
      <c r="D46" s="7">
        <v>1152</v>
      </c>
      <c r="E46" s="7">
        <v>13.22696001149632</v>
      </c>
      <c r="F46" s="7">
        <v>2909</v>
      </c>
      <c r="G46" s="7">
        <v>2910</v>
      </c>
      <c r="H46" s="7">
        <v>59.917242999503266</v>
      </c>
      <c r="I46" s="2">
        <f t="shared" si="0"/>
        <v>4062</v>
      </c>
      <c r="J46" s="2">
        <f t="shared" si="1"/>
        <v>4.5299330267442937</v>
      </c>
      <c r="K46" s="8" t="s">
        <v>286</v>
      </c>
      <c r="L46" t="s">
        <v>21</v>
      </c>
      <c r="M46" t="str">
        <f>HYPERLINK(".\links\SMART\ab-tri_asb-25872-SMART.txt","SMART")</f>
        <v>SMART</v>
      </c>
      <c r="N46" s="1">
        <v>9.0000000000000001E-32</v>
      </c>
      <c r="O46">
        <v>104</v>
      </c>
      <c r="P46" s="9" t="str">
        <f>HYPERLINK(".\links\NR-LIGHT\ab-tri_asb-25872-NR-LIGHT.txt","Nahoda protein")</f>
        <v>Nahoda protein</v>
      </c>
      <c r="Q46" t="str">
        <f>HYPERLINK("http://www.ncbi.nlm.nih.gov/sutils/blink.cgi?pid=12053779","0.0")</f>
        <v>0.0</v>
      </c>
    </row>
    <row r="47" spans="1:17">
      <c r="A47" s="7" t="s">
        <v>102</v>
      </c>
      <c r="B47" s="7">
        <v>0</v>
      </c>
      <c r="C47" s="7">
        <v>785</v>
      </c>
      <c r="D47" s="7">
        <v>786</v>
      </c>
      <c r="E47" s="7">
        <v>39.637322679072739</v>
      </c>
      <c r="F47" s="7">
        <v>1840</v>
      </c>
      <c r="G47" s="7">
        <v>1840</v>
      </c>
      <c r="H47" s="7">
        <v>166.39905687561193</v>
      </c>
      <c r="I47" s="2">
        <f t="shared" si="0"/>
        <v>2626</v>
      </c>
      <c r="J47" s="2">
        <f t="shared" si="1"/>
        <v>4.19803976728896</v>
      </c>
      <c r="K47" s="8" t="s">
        <v>8</v>
      </c>
      <c r="L47" t="s">
        <v>9</v>
      </c>
      <c r="P47" s="9" t="str">
        <f>HYPERLINK(".\links\NR-LIGHT\ab-tri_asb-12363-NR-LIGHT.txt","predicted protein")</f>
        <v>predicted protein</v>
      </c>
      <c r="Q47" t="str">
        <f>HYPERLINK("http://www.ncbi.nlm.nih.gov/sutils/blink.cgi?pid=302526496","8.2")</f>
        <v>8.2</v>
      </c>
    </row>
    <row r="48" spans="1:17">
      <c r="A48" s="7" t="s">
        <v>164</v>
      </c>
      <c r="B48" s="7">
        <v>0</v>
      </c>
      <c r="C48" s="7">
        <v>1435</v>
      </c>
      <c r="D48" s="7">
        <v>1435</v>
      </c>
      <c r="E48" s="7">
        <v>37.593565314175187</v>
      </c>
      <c r="F48" s="7">
        <v>3265</v>
      </c>
      <c r="G48" s="7">
        <v>3265</v>
      </c>
      <c r="H48" s="7">
        <v>153.38965523164001</v>
      </c>
      <c r="I48" s="2">
        <f t="shared" si="0"/>
        <v>4700</v>
      </c>
      <c r="J48" s="2">
        <f t="shared" si="1"/>
        <v>4.0802103750931611</v>
      </c>
      <c r="K48" s="8" t="s">
        <v>121</v>
      </c>
      <c r="L48" t="s">
        <v>42</v>
      </c>
      <c r="M48" t="str">
        <f>HYPERLINK(".\links\KOG\ab-tri_asb-16006-KOG.txt","KOG")</f>
        <v>KOG</v>
      </c>
      <c r="N48" s="1">
        <v>9.9999999999999999E-93</v>
      </c>
      <c r="O48">
        <v>100</v>
      </c>
      <c r="P48" s="9" t="str">
        <f>HYPERLINK(".\links\NR-LIGHT\ab-tri_asb-16006-NR-LIGHT.txt","peroxisomal phytanoyl-CoA hydroxylase")</f>
        <v>peroxisomal phytanoyl-CoA hydroxylase</v>
      </c>
      <c r="Q48" t="str">
        <f>HYPERLINK("http://www.ncbi.nlm.nih.gov/sutils/blink.cgi?pid=289742021","1E-169")</f>
        <v>1E-169</v>
      </c>
    </row>
    <row r="49" spans="1:17">
      <c r="A49" s="7" t="s">
        <v>204</v>
      </c>
      <c r="B49" s="7">
        <v>2.9010589298961165E-3</v>
      </c>
      <c r="C49" s="7">
        <v>668</v>
      </c>
      <c r="D49" s="7">
        <v>668</v>
      </c>
      <c r="E49" s="7">
        <v>13.612586175381317</v>
      </c>
      <c r="F49" s="7">
        <v>1518</v>
      </c>
      <c r="G49" s="7">
        <v>1518</v>
      </c>
      <c r="H49" s="7">
        <v>55.473711360597761</v>
      </c>
      <c r="I49" s="2">
        <f t="shared" si="0"/>
        <v>2186</v>
      </c>
      <c r="J49" s="2">
        <f t="shared" si="1"/>
        <v>4.0751779746983914</v>
      </c>
      <c r="K49" s="8" t="s">
        <v>64</v>
      </c>
      <c r="L49" t="s">
        <v>23</v>
      </c>
      <c r="M49" t="str">
        <f>HYPERLINK(".\links\NR-LIGHT\ab-tri_asb-17528-NR-LIGHT.txt","NR-LIGHT")</f>
        <v>NR-LIGHT</v>
      </c>
      <c r="N49">
        <v>0</v>
      </c>
      <c r="O49">
        <v>100</v>
      </c>
      <c r="P49" s="9" t="str">
        <f>HYPERLINK(".\links\NR-LIGHT\ab-tri_asb-17528-NR-LIGHT.txt","putative membrane protein")</f>
        <v>putative membrane protein</v>
      </c>
      <c r="Q49" t="str">
        <f>HYPERLINK("http://www.ncbi.nlm.nih.gov/sutils/blink.cgi?pid=289741717","0.0")</f>
        <v>0.0</v>
      </c>
    </row>
    <row r="50" spans="1:17">
      <c r="A50" s="7" t="s">
        <v>314</v>
      </c>
      <c r="B50" s="7">
        <v>1.5232780979523852E-3</v>
      </c>
      <c r="C50" s="7">
        <v>172</v>
      </c>
      <c r="D50" s="7">
        <v>175</v>
      </c>
      <c r="E50" s="7">
        <v>14.517840263604239</v>
      </c>
      <c r="F50" s="7">
        <v>381</v>
      </c>
      <c r="G50" s="7">
        <v>393</v>
      </c>
      <c r="H50" s="7">
        <v>58.466592935919138</v>
      </c>
      <c r="I50" s="2">
        <f t="shared" si="0"/>
        <v>568</v>
      </c>
      <c r="J50" s="2">
        <f t="shared" si="1"/>
        <v>4.0272238758882768</v>
      </c>
      <c r="K50" s="8" t="s">
        <v>8</v>
      </c>
      <c r="L50" t="s">
        <v>9</v>
      </c>
      <c r="P50" s="9" t="str">
        <f>HYPERLINK(".\links\NR-LIGHT\ab-tri_asb-30500-NR-LIGHT.txt","hypothetical protein")</f>
        <v>hypothetical protein</v>
      </c>
      <c r="Q50" t="str">
        <f>HYPERLINK("http://www.ncbi.nlm.nih.gov/sutils/blink.cgi?pid=76363804","0.001")</f>
        <v>0.001</v>
      </c>
    </row>
    <row r="51" spans="1:17">
      <c r="A51" s="7" t="s">
        <v>605</v>
      </c>
      <c r="B51" s="7">
        <v>4.0993985983561743E-10</v>
      </c>
      <c r="C51" s="7">
        <v>3163</v>
      </c>
      <c r="D51" s="7">
        <v>3163</v>
      </c>
      <c r="E51" s="7">
        <v>29.075741481776014</v>
      </c>
      <c r="F51" s="7">
        <v>7031</v>
      </c>
      <c r="G51" s="7">
        <v>7031</v>
      </c>
      <c r="H51" s="7">
        <v>115.90441414747215</v>
      </c>
      <c r="I51" s="2">
        <f t="shared" si="0"/>
        <v>10194</v>
      </c>
      <c r="J51" s="2">
        <f t="shared" si="1"/>
        <v>3.9862926357396007</v>
      </c>
      <c r="K51" s="8" t="s">
        <v>100</v>
      </c>
      <c r="L51" t="s">
        <v>42</v>
      </c>
      <c r="M51" t="str">
        <f>HYPERLINK(".\links\KOG\ab-tri_asb-7652-KOG.txt","KOG")</f>
        <v>KOG</v>
      </c>
      <c r="N51">
        <v>0</v>
      </c>
      <c r="O51">
        <v>100.1</v>
      </c>
      <c r="P51" s="9" t="str">
        <f>HYPERLINK(".\links\NR-LIGHT\ab-tri_asb-7652-NR-LIGHT.txt","SD01502p")</f>
        <v>SD01502p</v>
      </c>
      <c r="Q51" t="str">
        <f>HYPERLINK("http://www.ncbi.nlm.nih.gov/sutils/blink.cgi?pid=15150407","0.0")</f>
        <v>0.0</v>
      </c>
    </row>
    <row r="52" spans="1:17">
      <c r="A52" s="7" t="s">
        <v>442</v>
      </c>
      <c r="B52" s="7">
        <v>5.7200910674737315E-11</v>
      </c>
      <c r="C52" s="7">
        <v>3503</v>
      </c>
      <c r="D52" s="7">
        <v>3507</v>
      </c>
      <c r="E52" s="7">
        <v>49.326926278373506</v>
      </c>
      <c r="F52" s="7">
        <v>7751</v>
      </c>
      <c r="G52" s="7">
        <v>7756</v>
      </c>
      <c r="H52" s="7">
        <v>195.63085806794251</v>
      </c>
      <c r="I52" s="2">
        <f t="shared" si="0"/>
        <v>11263</v>
      </c>
      <c r="J52" s="2">
        <f t="shared" si="1"/>
        <v>3.9660054422185498</v>
      </c>
      <c r="K52" s="8" t="s">
        <v>181</v>
      </c>
      <c r="L52" t="s">
        <v>11</v>
      </c>
      <c r="M52" t="str">
        <f>HYPERLINK(".\links\KOG\ab-tri_asb-54569-KOG.txt","KOG")</f>
        <v>KOG</v>
      </c>
      <c r="N52" s="1">
        <v>2.9999999999999999E-78</v>
      </c>
      <c r="O52">
        <v>90.4</v>
      </c>
      <c r="P52" s="9" t="str">
        <f>HYPERLINK(".\links\NR-LIGHT\ab-tri_asb-54569-NR-LIGHT.txt","CG9331, isoform E")</f>
        <v>CG9331, isoform E</v>
      </c>
      <c r="Q52" t="str">
        <f>HYPERLINK("http://www.ncbi.nlm.nih.gov/sutils/blink.cgi?pid=45552429","1E-123")</f>
        <v>1E-123</v>
      </c>
    </row>
    <row r="53" spans="1:17">
      <c r="A53" s="7" t="s">
        <v>143</v>
      </c>
      <c r="B53" s="7">
        <v>1.4549693996346313E-3</v>
      </c>
      <c r="C53" s="7">
        <v>889</v>
      </c>
      <c r="D53" s="7">
        <v>889</v>
      </c>
      <c r="E53" s="7">
        <v>15.577055832249993</v>
      </c>
      <c r="F53" s="7">
        <v>1924</v>
      </c>
      <c r="G53" s="7">
        <v>1924</v>
      </c>
      <c r="H53" s="7">
        <v>60.456075914589952</v>
      </c>
      <c r="I53" s="2">
        <f t="shared" si="0"/>
        <v>2813</v>
      </c>
      <c r="J53" s="2">
        <f t="shared" si="1"/>
        <v>3.881097722550662</v>
      </c>
      <c r="K53" s="8" t="s">
        <v>144</v>
      </c>
      <c r="L53" t="s">
        <v>12</v>
      </c>
      <c r="M53" t="str">
        <f>HYPERLINK(".\links\GO\ab-tri_asb-14478-GO.txt","GO")</f>
        <v>GO</v>
      </c>
      <c r="N53">
        <v>0</v>
      </c>
      <c r="O53">
        <v>92.6</v>
      </c>
      <c r="P53" s="9" t="str">
        <f>HYPERLINK(".\links\NR-LIGHT\ab-tri_asb-14478-NR-LIGHT.txt","wurst")</f>
        <v>wurst</v>
      </c>
      <c r="Q53" t="str">
        <f>HYPERLINK("http://www.ncbi.nlm.nih.gov/sutils/blink.cgi?pid=18859971","1E-158")</f>
        <v>1E-158</v>
      </c>
    </row>
    <row r="54" spans="1:17">
      <c r="A54" s="7" t="s">
        <v>579</v>
      </c>
      <c r="B54" s="7">
        <v>9.5334851124562192E-12</v>
      </c>
      <c r="C54" s="7">
        <v>491</v>
      </c>
      <c r="D54" s="7">
        <v>2760</v>
      </c>
      <c r="E54" s="7">
        <v>44.000791314439773</v>
      </c>
      <c r="F54" s="7">
        <v>1170</v>
      </c>
      <c r="G54" s="7">
        <v>5726</v>
      </c>
      <c r="H54" s="7">
        <v>163.70201300478971</v>
      </c>
      <c r="I54" s="2">
        <f t="shared" si="0"/>
        <v>8486</v>
      </c>
      <c r="J54" s="2">
        <f t="shared" si="1"/>
        <v>3.720433385730213</v>
      </c>
      <c r="K54" s="8" t="s">
        <v>71</v>
      </c>
      <c r="L54" t="s">
        <v>18</v>
      </c>
      <c r="M54" t="str">
        <f>HYPERLINK(".\links\KOG\ab-tri_asb-57927-KOG.txt","KOG")</f>
        <v>KOG</v>
      </c>
      <c r="N54" s="1">
        <v>5.9999999999999998E-78</v>
      </c>
      <c r="O54">
        <v>87.7</v>
      </c>
      <c r="P54" s="9" t="str">
        <f>HYPERLINK(".\links\NR-LIGHT\ab-tri_asb-57927-NR-LIGHT.txt","CG6356")</f>
        <v>CG6356</v>
      </c>
      <c r="Q54" t="str">
        <f>HYPERLINK("http://www.ncbi.nlm.nih.gov/sutils/blink.cgi?pid=24649622","0.0")</f>
        <v>0.0</v>
      </c>
    </row>
    <row r="55" spans="1:17">
      <c r="A55" s="7" t="s">
        <v>191</v>
      </c>
      <c r="B55" s="7">
        <v>0</v>
      </c>
      <c r="C55" s="7">
        <v>3225</v>
      </c>
      <c r="D55" s="7">
        <v>3227</v>
      </c>
      <c r="E55" s="7">
        <v>44.779405124067807</v>
      </c>
      <c r="F55" s="7">
        <v>6688</v>
      </c>
      <c r="G55" s="7">
        <v>6691</v>
      </c>
      <c r="H55" s="7">
        <v>166.50284385666581</v>
      </c>
      <c r="I55" s="2">
        <f t="shared" si="0"/>
        <v>9918</v>
      </c>
      <c r="J55" s="2">
        <f t="shared" si="1"/>
        <v>3.7182906605245343</v>
      </c>
      <c r="K55" s="8" t="s">
        <v>146</v>
      </c>
      <c r="L55" t="s">
        <v>34</v>
      </c>
      <c r="M55" t="str">
        <f>HYPERLINK(".\links\KOG\ab-tri_asb-17088-KOG.txt","KOG")</f>
        <v>KOG</v>
      </c>
      <c r="N55" s="1">
        <v>9.0000000000000006E-80</v>
      </c>
      <c r="O55">
        <v>31.9</v>
      </c>
      <c r="P55" s="9" t="str">
        <f>HYPERLINK(".\links\NR-LIGHT\ab-tri_asb-17088-NR-LIGHT.txt","methylenetetrahydrofolate dehydrogenase")</f>
        <v>methylenetetrahydrofolate dehydrogenase</v>
      </c>
      <c r="Q55" t="str">
        <f>HYPERLINK("http://www.ncbi.nlm.nih.gov/sutils/blink.cgi?pid=289741711","1E-170")</f>
        <v>1E-170</v>
      </c>
    </row>
    <row r="56" spans="1:17">
      <c r="A56" s="7" t="s">
        <v>398</v>
      </c>
      <c r="B56" s="7">
        <v>0</v>
      </c>
      <c r="C56" s="7">
        <v>1267</v>
      </c>
      <c r="D56" s="7">
        <v>1292</v>
      </c>
      <c r="E56" s="7">
        <v>89.503447379482225</v>
      </c>
      <c r="F56" s="7">
        <v>2544</v>
      </c>
      <c r="G56" s="7">
        <v>2588</v>
      </c>
      <c r="H56" s="7">
        <v>321.50874698908365</v>
      </c>
      <c r="I56" s="2">
        <f t="shared" si="0"/>
        <v>3880</v>
      </c>
      <c r="J56" s="2">
        <f t="shared" si="1"/>
        <v>3.5921381399526555</v>
      </c>
      <c r="K56" s="8" t="s">
        <v>399</v>
      </c>
      <c r="L56" t="s">
        <v>28</v>
      </c>
      <c r="M56" t="str">
        <f>HYPERLINK(".\links\RRNA\ab-tri_asb-51462-RRNA.txt","RRNA")</f>
        <v>RRNA</v>
      </c>
      <c r="N56">
        <v>0</v>
      </c>
      <c r="O56">
        <v>25.1</v>
      </c>
      <c r="P56" s="9" t="str">
        <f>HYPERLINK(".\links\NR-LIGHT\ab-tri_asb-51462-NR-LIGHT.txt","hypothetical protein HMPREF9553_00243")</f>
        <v>hypothetical protein HMPREF9553_00243</v>
      </c>
      <c r="Q56" t="str">
        <f>HYPERLINK("http://www.ncbi.nlm.nih.gov/sutils/blink.cgi?pid=300973359","5E-046")</f>
        <v>5E-046</v>
      </c>
    </row>
    <row r="57" spans="1:17">
      <c r="A57" s="7" t="s">
        <v>595</v>
      </c>
      <c r="B57" s="7">
        <v>2.0372317124195405E-3</v>
      </c>
      <c r="C57" s="7">
        <v>562</v>
      </c>
      <c r="D57" s="7">
        <v>562</v>
      </c>
      <c r="E57" s="7">
        <v>17.91916283964866</v>
      </c>
      <c r="F57" s="7">
        <v>1111</v>
      </c>
      <c r="G57" s="7">
        <v>1111</v>
      </c>
      <c r="H57" s="7">
        <v>63.525300890087799</v>
      </c>
      <c r="I57" s="2">
        <f t="shared" si="0"/>
        <v>1673</v>
      </c>
      <c r="J57" s="2">
        <f t="shared" si="1"/>
        <v>3.5451042807384487</v>
      </c>
      <c r="K57" s="8" t="s">
        <v>95</v>
      </c>
      <c r="L57" t="s">
        <v>48</v>
      </c>
      <c r="M57" t="str">
        <f>HYPERLINK(".\links\PFAM\ab-tri_asb-6492-PFAM.txt","PFAM")</f>
        <v>PFAM</v>
      </c>
      <c r="N57" s="1">
        <v>8.9999999999999994E-55</v>
      </c>
      <c r="O57">
        <v>102.2</v>
      </c>
      <c r="P57" s="9" t="str">
        <f>HYPERLINK(".\links\NR-LIGHT\ab-tri_asb-6492-NR-LIGHT.txt","takeout precursor")</f>
        <v>takeout precursor</v>
      </c>
      <c r="Q57" t="str">
        <f>HYPERLINK("http://www.ncbi.nlm.nih.gov/sutils/blink.cgi?pid=289742477","3E-092")</f>
        <v>3E-092</v>
      </c>
    </row>
    <row r="58" spans="1:17">
      <c r="A58" s="7" t="s">
        <v>510</v>
      </c>
      <c r="B58" s="7">
        <v>2.4713529159441361E-2</v>
      </c>
      <c r="C58" s="7">
        <v>318</v>
      </c>
      <c r="D58" s="7">
        <v>775</v>
      </c>
      <c r="E58" s="7">
        <v>17.402695740260292</v>
      </c>
      <c r="F58" s="7">
        <v>656</v>
      </c>
      <c r="G58" s="7">
        <v>1421</v>
      </c>
      <c r="H58" s="7">
        <v>57.221623299276423</v>
      </c>
      <c r="I58" s="2">
        <f t="shared" si="0"/>
        <v>2196</v>
      </c>
      <c r="J58" s="2">
        <f t="shared" si="1"/>
        <v>3.2880896243503801</v>
      </c>
      <c r="K58" s="8" t="s">
        <v>372</v>
      </c>
      <c r="L58" t="s">
        <v>28</v>
      </c>
      <c r="M58" t="str">
        <f>HYPERLINK(".\links\DIPTERA\ab-tri_asb-55873-DIPTERA.txt","DIPTERA")</f>
        <v>DIPTERA</v>
      </c>
      <c r="N58" s="1">
        <v>3.0000000000000001E-59</v>
      </c>
      <c r="O58">
        <v>50.2</v>
      </c>
      <c r="P58" s="9" t="str">
        <f>HYPERLINK(".\links\NR-LIGHT\ab-tri_asb-55873-NR-LIGHT.txt","60s ribosomal protein L10")</f>
        <v>60s ribosomal protein L10</v>
      </c>
      <c r="Q58" t="str">
        <f>HYPERLINK("http://www.ncbi.nlm.nih.gov/sutils/blink.cgi?pid=289739749","9E-059")</f>
        <v>9E-059</v>
      </c>
    </row>
    <row r="59" spans="1:17">
      <c r="A59" s="7" t="s">
        <v>388</v>
      </c>
      <c r="B59" s="7">
        <v>9.3428154102070948E-10</v>
      </c>
      <c r="C59" s="7">
        <v>7676</v>
      </c>
      <c r="D59" s="7">
        <v>7676</v>
      </c>
      <c r="E59" s="7">
        <v>261.16612776672741</v>
      </c>
      <c r="F59" s="7">
        <v>14062</v>
      </c>
      <c r="G59" s="7">
        <v>14063</v>
      </c>
      <c r="H59" s="7">
        <v>858.04710810170775</v>
      </c>
      <c r="I59" s="2">
        <f t="shared" si="0"/>
        <v>21739</v>
      </c>
      <c r="J59" s="2">
        <f t="shared" si="1"/>
        <v>3.2854456105736349</v>
      </c>
      <c r="K59" s="8" t="s">
        <v>8</v>
      </c>
      <c r="L59" t="s">
        <v>9</v>
      </c>
      <c r="P59" s="9" t="str">
        <f>HYPERLINK(".\links\NR-LIGHT\ab-tri_asb-50760-NR-LIGHT.txt","neurofilament medium polypeptide-like isoform 1")</f>
        <v>neurofilament medium polypeptide-like isoform 1</v>
      </c>
      <c r="Q59" t="str">
        <f>HYPERLINK("http://www.ncbi.nlm.nih.gov/sutils/blink.cgi?pid=350592300","2E-004")</f>
        <v>2E-004</v>
      </c>
    </row>
    <row r="60" spans="1:17">
      <c r="A60" s="7" t="s">
        <v>203</v>
      </c>
      <c r="B60" s="7">
        <v>9.5334851124562192E-11</v>
      </c>
      <c r="C60" s="7">
        <v>321</v>
      </c>
      <c r="D60" s="7">
        <v>2784</v>
      </c>
      <c r="E60" s="7">
        <v>80.636232778418972</v>
      </c>
      <c r="F60" s="7">
        <v>558</v>
      </c>
      <c r="G60" s="7">
        <v>5091</v>
      </c>
      <c r="H60" s="7">
        <v>264.43282657254002</v>
      </c>
      <c r="I60" s="2">
        <f t="shared" si="0"/>
        <v>7875</v>
      </c>
      <c r="J60" s="2">
        <f t="shared" si="1"/>
        <v>3.2793301157703802</v>
      </c>
      <c r="K60" s="8" t="s">
        <v>202</v>
      </c>
      <c r="L60" t="s">
        <v>63</v>
      </c>
      <c r="M60" t="str">
        <f>HYPERLINK(".\links\GO\ab-tri_asb-17451-GO.txt","GO")</f>
        <v>GO</v>
      </c>
      <c r="N60" s="1">
        <v>0</v>
      </c>
      <c r="O60">
        <v>100</v>
      </c>
      <c r="P60" s="9" t="str">
        <f>HYPERLINK(".\links\NR-LIGHT\ab-tri_asb-17451-NR-LIGHT.txt","putative peroxiredoxin")</f>
        <v>putative peroxiredoxin</v>
      </c>
      <c r="Q60" t="str">
        <f>HYPERLINK("http://www.ncbi.nlm.nih.gov/sutils/blink.cgi?pid=50897519","1E-126")</f>
        <v>1E-126</v>
      </c>
    </row>
    <row r="61" spans="1:17">
      <c r="A61" s="7" t="s">
        <v>576</v>
      </c>
      <c r="B61" s="7">
        <v>2.471968205166597E-3</v>
      </c>
      <c r="C61" s="7">
        <v>1352</v>
      </c>
      <c r="D61" s="7">
        <v>1357</v>
      </c>
      <c r="E61" s="7">
        <v>21.840991592877153</v>
      </c>
      <c r="F61" s="7">
        <v>2389</v>
      </c>
      <c r="G61" s="7">
        <v>2409</v>
      </c>
      <c r="H61" s="7">
        <v>69.531336185601106</v>
      </c>
      <c r="I61" s="2">
        <f t="shared" si="0"/>
        <v>3766</v>
      </c>
      <c r="J61" s="2">
        <f t="shared" si="1"/>
        <v>3.1835246989553747</v>
      </c>
      <c r="K61" s="8" t="s">
        <v>224</v>
      </c>
      <c r="L61" t="s">
        <v>33</v>
      </c>
      <c r="M61" t="str">
        <f>HYPERLINK(".\links\KOG\ab-tri_asb-57881-KOG.txt","KOG")</f>
        <v>KOG</v>
      </c>
      <c r="N61" s="1">
        <v>6.0000000000000005E-97</v>
      </c>
      <c r="O61">
        <v>101.5</v>
      </c>
      <c r="P61" s="9" t="str">
        <f>HYPERLINK(".\links\NR-LIGHT\ab-tri_asb-57881-NR-LIGHT.txt","homocysteine S-methyltransferase")</f>
        <v>homocysteine S-methyltransferase</v>
      </c>
      <c r="Q61" t="str">
        <f>HYPERLINK("http://www.ncbi.nlm.nih.gov/sutils/blink.cgi?pid=289741865","0.0")</f>
        <v>0.0</v>
      </c>
    </row>
    <row r="62" spans="1:17">
      <c r="A62" s="7" t="s">
        <v>586</v>
      </c>
      <c r="B62" s="7">
        <v>4.3775856939376467E-7</v>
      </c>
      <c r="C62" s="7">
        <v>4207</v>
      </c>
      <c r="D62" s="7">
        <v>4207</v>
      </c>
      <c r="E62" s="7">
        <v>37.945931912618413</v>
      </c>
      <c r="F62" s="7">
        <v>7100</v>
      </c>
      <c r="G62" s="7">
        <v>7100</v>
      </c>
      <c r="H62" s="7">
        <v>114.84241883104359</v>
      </c>
      <c r="I62" s="2">
        <f t="shared" si="0"/>
        <v>11307</v>
      </c>
      <c r="J62" s="2">
        <f t="shared" si="1"/>
        <v>3.0264751197968147</v>
      </c>
      <c r="K62" s="8" t="s">
        <v>44</v>
      </c>
      <c r="L62" t="s">
        <v>23</v>
      </c>
      <c r="M62" t="str">
        <f>HYPERLINK(".\links\NR-LIGHT\ab-tri_asb-5889-NR-LIGHT.txt","NR-LIGHT")</f>
        <v>NR-LIGHT</v>
      </c>
      <c r="N62">
        <v>0</v>
      </c>
      <c r="O62">
        <v>100</v>
      </c>
      <c r="P62" s="9" t="str">
        <f>HYPERLINK(".\links\NR-LIGHT\ab-tri_asb-5889-NR-LIGHT.txt","uncharacterized conserved protein")</f>
        <v>uncharacterized conserved protein</v>
      </c>
      <c r="Q62" t="str">
        <f>HYPERLINK("http://www.ncbi.nlm.nih.gov/sutils/blink.cgi?pid=289740729","1E-165")</f>
        <v>1E-165</v>
      </c>
    </row>
    <row r="63" spans="1:17">
      <c r="A63" s="7" t="s">
        <v>271</v>
      </c>
      <c r="B63" s="7">
        <v>9.9579324579268658E-4</v>
      </c>
      <c r="C63" s="7">
        <v>1165</v>
      </c>
      <c r="D63" s="7">
        <v>1165</v>
      </c>
      <c r="E63" s="7">
        <v>30.109362559890418</v>
      </c>
      <c r="F63" s="7">
        <v>1821</v>
      </c>
      <c r="G63" s="7">
        <v>1821</v>
      </c>
      <c r="H63" s="7">
        <v>84.398912944225955</v>
      </c>
      <c r="I63" s="2">
        <f t="shared" si="0"/>
        <v>2986</v>
      </c>
      <c r="J63" s="2">
        <f t="shared" si="1"/>
        <v>2.8030787027240582</v>
      </c>
      <c r="K63" s="8" t="s">
        <v>212</v>
      </c>
      <c r="L63" t="s">
        <v>12</v>
      </c>
      <c r="M63" t="str">
        <f>HYPERLINK(".\links\KOG\ab-tri_asb-24785-KOG.txt","KOG")</f>
        <v>KOG</v>
      </c>
      <c r="N63" s="1">
        <v>9.9999999999999997E-65</v>
      </c>
      <c r="O63">
        <v>88.1</v>
      </c>
      <c r="P63" s="9" t="str">
        <f>HYPERLINK(".\links\NR-LIGHT\ab-tri_asb-24785-NR-LIGHT.txt","logjam, isoform D")</f>
        <v>logjam, isoform D</v>
      </c>
      <c r="Q63" t="str">
        <f>HYPERLINK("http://www.ncbi.nlm.nih.gov/sutils/blink.cgi?pid=281365700","1E-102")</f>
        <v>1E-102</v>
      </c>
    </row>
    <row r="64" spans="1:17">
      <c r="A64" s="7" t="s">
        <v>457</v>
      </c>
      <c r="B64" s="7">
        <v>0</v>
      </c>
      <c r="C64" s="7">
        <v>638</v>
      </c>
      <c r="D64" s="7">
        <v>964</v>
      </c>
      <c r="E64" s="7">
        <v>140.82124709854327</v>
      </c>
      <c r="F64" s="7">
        <v>1163</v>
      </c>
      <c r="G64" s="7">
        <v>1500</v>
      </c>
      <c r="H64" s="7">
        <v>392.94673314051198</v>
      </c>
      <c r="I64" s="2">
        <f t="shared" si="0"/>
        <v>2464</v>
      </c>
      <c r="J64" s="2">
        <f t="shared" si="1"/>
        <v>2.7903937881301211</v>
      </c>
      <c r="K64" s="8" t="s">
        <v>458</v>
      </c>
      <c r="L64" t="s">
        <v>43</v>
      </c>
      <c r="M64" t="str">
        <f>HYPERLINK(".\links\DIPTERA\ab-tri_asb-54903-DIPTERA.txt","DIPTERA")</f>
        <v>DIPTERA</v>
      </c>
      <c r="N64" s="1">
        <v>4.0000000000000003E-18</v>
      </c>
      <c r="O64">
        <v>16.899999999999999</v>
      </c>
      <c r="P64" s="9" t="str">
        <f>HYPERLINK(".\links\NR-LIGHT\ab-tri_asb-54903-NR-LIGHT.txt","putative zinc-metalloproteinase precursor")</f>
        <v>putative zinc-metalloproteinase precursor</v>
      </c>
      <c r="Q64" t="str">
        <f>HYPERLINK("http://www.ncbi.nlm.nih.gov/sutils/blink.cgi?pid=13775610","1E-017")</f>
        <v>1E-017</v>
      </c>
    </row>
    <row r="65" spans="1:17">
      <c r="A65" s="7" t="s">
        <v>293</v>
      </c>
      <c r="B65" s="7">
        <v>3.3216360426835401E-3</v>
      </c>
      <c r="C65" s="7">
        <v>2563</v>
      </c>
      <c r="D65" s="7">
        <v>2563</v>
      </c>
      <c r="E65" s="7">
        <v>28.957638308965645</v>
      </c>
      <c r="F65" s="7">
        <v>3935</v>
      </c>
      <c r="G65" s="7">
        <v>3935</v>
      </c>
      <c r="H65" s="7">
        <v>79.727939656173817</v>
      </c>
      <c r="I65" s="2">
        <f t="shared" si="0"/>
        <v>6498</v>
      </c>
      <c r="J65" s="2">
        <f t="shared" si="1"/>
        <v>2.7532611190702334</v>
      </c>
      <c r="K65" s="8" t="s">
        <v>294</v>
      </c>
      <c r="L65" t="s">
        <v>12</v>
      </c>
      <c r="M65" t="str">
        <f>HYPERLINK(".\links\KOG\ab-tri_asb-2735-KOG.txt","KOG")</f>
        <v>KOG</v>
      </c>
      <c r="N65">
        <v>0</v>
      </c>
      <c r="O65">
        <v>99.1</v>
      </c>
      <c r="P65" s="9" t="str">
        <f>HYPERLINK(".\links\NR-LIGHT\ab-tri_asb-2735-NR-LIGHT.txt","brummer, isoform B")</f>
        <v>brummer, isoform B</v>
      </c>
      <c r="Q65" t="str">
        <f>HYPERLINK("http://www.ncbi.nlm.nih.gov/sutils/blink.cgi?pid=281366229","0.0")</f>
        <v>0.0</v>
      </c>
    </row>
    <row r="66" spans="1:17">
      <c r="A66" s="7" t="s">
        <v>621</v>
      </c>
      <c r="B66" s="7">
        <v>4.3282022410551235E-9</v>
      </c>
      <c r="C66" s="7">
        <v>4077</v>
      </c>
      <c r="D66" s="7">
        <v>4083</v>
      </c>
      <c r="E66" s="7">
        <v>56.804302697426614</v>
      </c>
      <c r="F66" s="7">
        <v>6195</v>
      </c>
      <c r="G66" s="7">
        <v>6199</v>
      </c>
      <c r="H66" s="7">
        <v>154.65884436431961</v>
      </c>
      <c r="I66" s="2">
        <f t="shared" ref="I66:I129" si="2">SUM(D66,G66)</f>
        <v>10282</v>
      </c>
      <c r="J66" s="2">
        <f t="shared" ref="J66:J129" si="3">H66/E66</f>
        <v>2.7226607320245488</v>
      </c>
      <c r="K66" s="8" t="s">
        <v>622</v>
      </c>
      <c r="L66" t="s">
        <v>21</v>
      </c>
      <c r="M66" t="str">
        <f>HYPERLINK(".\links\NR-LIGHT\ab-tri_asb-8608-NR-LIGHT.txt","NR-LIGHT")</f>
        <v>NR-LIGHT</v>
      </c>
      <c r="N66">
        <v>0</v>
      </c>
      <c r="O66">
        <v>91.8</v>
      </c>
      <c r="P66" s="9" t="str">
        <f>HYPERLINK(".\links\NR-LIGHT\ab-tri_asb-8608-NR-LIGHT.txt","putative membrane protein")</f>
        <v>putative membrane protein</v>
      </c>
      <c r="Q66" t="str">
        <f>HYPERLINK("http://www.ncbi.nlm.nih.gov/sutils/blink.cgi?pid=289739833","0.0")</f>
        <v>0.0</v>
      </c>
    </row>
    <row r="67" spans="1:17">
      <c r="A67" s="7" t="s">
        <v>379</v>
      </c>
      <c r="B67" s="7">
        <v>9.9709318415519554E-3</v>
      </c>
      <c r="C67" s="7">
        <v>2003</v>
      </c>
      <c r="D67" s="7">
        <v>2110</v>
      </c>
      <c r="E67" s="7">
        <v>27.665439213408785</v>
      </c>
      <c r="F67" s="7">
        <v>2796</v>
      </c>
      <c r="G67" s="7">
        <v>3194</v>
      </c>
      <c r="H67" s="7">
        <v>75.100235212925625</v>
      </c>
      <c r="I67" s="2">
        <f t="shared" si="2"/>
        <v>5304</v>
      </c>
      <c r="J67" s="2">
        <f t="shared" si="3"/>
        <v>2.7145867677577415</v>
      </c>
      <c r="K67" s="8" t="s">
        <v>380</v>
      </c>
      <c r="L67" t="s">
        <v>23</v>
      </c>
      <c r="M67" t="str">
        <f>HYPERLINK(".\links\CDD\ab-tri_asb-4745-CDD.txt","CDD")</f>
        <v>CDD</v>
      </c>
      <c r="N67" s="1">
        <v>9.0000000000000001E-32</v>
      </c>
      <c r="O67">
        <v>32.200000000000003</v>
      </c>
      <c r="P67" s="9" t="str">
        <f>HYPERLINK(".\links\NR-LIGHT\ab-tri_asb-4745-NR-LIGHT.txt","hypothetical protein LOC557772")</f>
        <v>hypothetical protein LOC557772</v>
      </c>
      <c r="Q67" t="str">
        <f>HYPERLINK("http://www.ncbi.nlm.nih.gov/sutils/blink.cgi?pid=326676757","2E-028")</f>
        <v>2E-028</v>
      </c>
    </row>
    <row r="68" spans="1:17">
      <c r="A68" s="7" t="s">
        <v>395</v>
      </c>
      <c r="B68" s="7">
        <v>0</v>
      </c>
      <c r="C68" s="7">
        <v>1797</v>
      </c>
      <c r="D68" s="7">
        <v>1798</v>
      </c>
      <c r="E68" s="7">
        <v>180.32829171094193</v>
      </c>
      <c r="F68" s="7">
        <v>2667</v>
      </c>
      <c r="G68" s="7">
        <v>2669</v>
      </c>
      <c r="H68" s="7">
        <v>480.03624094122603</v>
      </c>
      <c r="I68" s="2">
        <f t="shared" si="2"/>
        <v>4467</v>
      </c>
      <c r="J68" s="2">
        <f t="shared" si="3"/>
        <v>2.6620129120432323</v>
      </c>
      <c r="K68" s="8" t="s">
        <v>8</v>
      </c>
      <c r="L68" t="s">
        <v>9</v>
      </c>
      <c r="P68" s="9" t="str">
        <f>HYPERLINK(".\links\NR-LIGHT\ab-tri_asb-51071-NR-LIGHT.txt","CG5255")</f>
        <v>CG5255</v>
      </c>
      <c r="Q68" t="str">
        <f>HYPERLINK("http://www.ncbi.nlm.nih.gov/sutils/blink.cgi?pid=24647632","3E-006")</f>
        <v>3E-006</v>
      </c>
    </row>
    <row r="69" spans="1:17">
      <c r="A69" s="7" t="s">
        <v>462</v>
      </c>
      <c r="B69" s="7">
        <v>1.1947706748394182E-5</v>
      </c>
      <c r="C69" s="7">
        <v>492</v>
      </c>
      <c r="D69" s="7">
        <v>492</v>
      </c>
      <c r="E69" s="7">
        <v>45.758969465954017</v>
      </c>
      <c r="F69" s="7">
        <v>711</v>
      </c>
      <c r="G69" s="7">
        <v>711</v>
      </c>
      <c r="H69" s="7">
        <v>118.58561341724185</v>
      </c>
      <c r="I69" s="2">
        <f t="shared" si="2"/>
        <v>1203</v>
      </c>
      <c r="J69" s="2">
        <f t="shared" si="3"/>
        <v>2.5915271869370429</v>
      </c>
      <c r="K69" s="8" t="s">
        <v>419</v>
      </c>
      <c r="L69" t="s">
        <v>23</v>
      </c>
      <c r="M69" t="str">
        <f>HYPERLINK(".\links\DIPTERA\ab-tri_asb-55001-DIPTERA.txt","DIPTERA")</f>
        <v>DIPTERA</v>
      </c>
      <c r="N69" s="1">
        <v>5.0000000000000004E-31</v>
      </c>
      <c r="O69">
        <v>91.8</v>
      </c>
      <c r="P69" s="9" t="str">
        <f>HYPERLINK(".\links\NR-LIGHT\ab-tri_asb-55001-NR-LIGHT.txt","hypothetical protein CpipJ_CPIJ007388")</f>
        <v>hypothetical protein CpipJ_CPIJ007388</v>
      </c>
      <c r="Q69" t="str">
        <f>HYPERLINK("http://www.ncbi.nlm.nih.gov/sutils/blink.cgi?pid=170042229","0.011")</f>
        <v>0.011</v>
      </c>
    </row>
    <row r="70" spans="1:17">
      <c r="A70" s="7" t="s">
        <v>161</v>
      </c>
      <c r="B70" s="7">
        <v>1.7762512990460166E-5</v>
      </c>
      <c r="C70" s="7">
        <v>4790</v>
      </c>
      <c r="D70" s="7">
        <v>4790</v>
      </c>
      <c r="E70" s="7">
        <v>45.430199365870017</v>
      </c>
      <c r="F70" s="7">
        <v>6886</v>
      </c>
      <c r="G70" s="7">
        <v>6886</v>
      </c>
      <c r="H70" s="7">
        <v>117.11901708083369</v>
      </c>
      <c r="I70" s="2">
        <f t="shared" si="2"/>
        <v>11676</v>
      </c>
      <c r="J70" s="2">
        <f t="shared" si="3"/>
        <v>2.5779991881087971</v>
      </c>
      <c r="K70" s="8" t="s">
        <v>162</v>
      </c>
      <c r="L70" t="s">
        <v>15</v>
      </c>
      <c r="M70" t="str">
        <f>HYPERLINK(".\links\GO\ab-tri_asb-15754-GO.txt","GO")</f>
        <v>GO</v>
      </c>
      <c r="N70">
        <v>0</v>
      </c>
      <c r="O70">
        <v>83.7</v>
      </c>
      <c r="P70" s="9" t="str">
        <f>HYPERLINK(".\links\NR-LIGHT\ab-tri_asb-15754-NR-LIGHT.txt","hypothetical conserved protein")</f>
        <v>hypothetical conserved protein</v>
      </c>
      <c r="Q70" t="str">
        <f>HYPERLINK("http://www.ncbi.nlm.nih.gov/sutils/blink.cgi?pid=289739537","0.0")</f>
        <v>0.0</v>
      </c>
    </row>
    <row r="71" spans="1:17">
      <c r="A71" s="7" t="s">
        <v>350</v>
      </c>
      <c r="B71" s="7">
        <v>9.5334851124562192E-12</v>
      </c>
      <c r="C71" s="7">
        <v>3258</v>
      </c>
      <c r="D71" s="7">
        <v>3339</v>
      </c>
      <c r="E71" s="7">
        <v>130.06974939475407</v>
      </c>
      <c r="F71" s="7">
        <v>4623</v>
      </c>
      <c r="G71" s="7">
        <v>4744</v>
      </c>
      <c r="H71" s="7">
        <v>331.40254258108246</v>
      </c>
      <c r="I71" s="2">
        <f t="shared" si="2"/>
        <v>8083</v>
      </c>
      <c r="J71" s="2">
        <f t="shared" si="3"/>
        <v>2.5478833020220186</v>
      </c>
      <c r="K71" s="8" t="s">
        <v>112</v>
      </c>
      <c r="L71" t="s">
        <v>43</v>
      </c>
      <c r="M71" t="str">
        <f>HYPERLINK(".\links\GO\ab-tri_asb-39698-GO.txt","GO")</f>
        <v>GO</v>
      </c>
      <c r="N71" s="1">
        <v>8.9999999999999997E-54</v>
      </c>
      <c r="O71">
        <v>76.099999999999994</v>
      </c>
      <c r="P71" s="9" t="str">
        <f>HYPERLINK(".\links\NR-LIGHT\ab-tri_asb-39698-NR-LIGHT.txt","CG31269")</f>
        <v>CG31269</v>
      </c>
      <c r="Q71" t="str">
        <f>HYPERLINK("http://www.ncbi.nlm.nih.gov/sutils/blink.cgi?pid=161078358","5E-053")</f>
        <v>5E-053</v>
      </c>
    </row>
    <row r="72" spans="1:17">
      <c r="A72" s="7" t="s">
        <v>449</v>
      </c>
      <c r="B72" s="7">
        <v>9.6001308468318669E-4</v>
      </c>
      <c r="C72" s="7">
        <v>443</v>
      </c>
      <c r="D72" s="7">
        <v>538</v>
      </c>
      <c r="E72" s="7">
        <v>40.734547638299915</v>
      </c>
      <c r="F72" s="7">
        <v>609</v>
      </c>
      <c r="G72" s="7">
        <v>737</v>
      </c>
      <c r="H72" s="7">
        <v>100.06895885017568</v>
      </c>
      <c r="I72" s="2">
        <f t="shared" si="2"/>
        <v>1275</v>
      </c>
      <c r="J72" s="2">
        <f t="shared" si="3"/>
        <v>2.4566115165616242</v>
      </c>
      <c r="K72" s="8" t="s">
        <v>8</v>
      </c>
      <c r="L72" t="s">
        <v>9</v>
      </c>
      <c r="P72" s="9" t="str">
        <f>HYPERLINK(".\links\NR-LIGHT\ab-tri_asb-54787-NR-LIGHT.txt","hypothetical secreted protein")</f>
        <v>hypothetical secreted protein</v>
      </c>
      <c r="Q72" t="str">
        <f>HYPERLINK("http://www.ncbi.nlm.nih.gov/sutils/blink.cgi?pid=289741827","0.002")</f>
        <v>0.002</v>
      </c>
    </row>
    <row r="73" spans="1:17">
      <c r="A73" s="7" t="s">
        <v>416</v>
      </c>
      <c r="B73" s="7">
        <v>0</v>
      </c>
      <c r="C73" s="7">
        <v>7950</v>
      </c>
      <c r="D73" s="7">
        <v>7951</v>
      </c>
      <c r="E73" s="7">
        <v>332.36842240601828</v>
      </c>
      <c r="F73" s="7">
        <v>10786</v>
      </c>
      <c r="G73" s="7">
        <v>10788</v>
      </c>
      <c r="H73" s="7">
        <v>808.70515470197108</v>
      </c>
      <c r="I73" s="2">
        <f t="shared" si="2"/>
        <v>18739</v>
      </c>
      <c r="J73" s="2">
        <f t="shared" si="3"/>
        <v>2.4331588086730576</v>
      </c>
      <c r="K73" s="8" t="s">
        <v>25</v>
      </c>
      <c r="L73" t="s">
        <v>23</v>
      </c>
      <c r="M73" t="str">
        <f>HYPERLINK(".\links\DIPTERA\ab-tri_asb-53541-DIPTERA.txt","DIPTERA")</f>
        <v>DIPTERA</v>
      </c>
      <c r="N73" s="1">
        <v>1.9999999999999999E-34</v>
      </c>
      <c r="O73">
        <v>100</v>
      </c>
      <c r="P73" s="9" t="str">
        <f>HYPERLINK(".\links\NR-LIGHT\ab-tri_asb-53541-NR-LIGHT.txt","hypothetical conserved protein")</f>
        <v>hypothetical conserved protein</v>
      </c>
      <c r="Q73" t="str">
        <f>HYPERLINK("http://www.ncbi.nlm.nih.gov/sutils/blink.cgi?pid=289739907","5E-034")</f>
        <v>5E-034</v>
      </c>
    </row>
    <row r="74" spans="1:17">
      <c r="A74" s="7" t="s">
        <v>262</v>
      </c>
      <c r="B74" s="7">
        <v>2.955380384861428E-10</v>
      </c>
      <c r="C74" s="7">
        <v>6881</v>
      </c>
      <c r="D74" s="7">
        <v>6883</v>
      </c>
      <c r="E74" s="7">
        <v>85.256404026706264</v>
      </c>
      <c r="F74" s="7">
        <v>9165</v>
      </c>
      <c r="G74" s="7">
        <v>9165</v>
      </c>
      <c r="H74" s="7">
        <v>203.57900242667702</v>
      </c>
      <c r="I74" s="2">
        <f t="shared" si="2"/>
        <v>16048</v>
      </c>
      <c r="J74" s="2">
        <f t="shared" si="3"/>
        <v>2.3878441127179917</v>
      </c>
      <c r="K74" s="8" t="s">
        <v>263</v>
      </c>
      <c r="L74" t="s">
        <v>16</v>
      </c>
      <c r="M74" t="str">
        <f>HYPERLINK(".\links\GO\ab-tri_asb-23689-GO.txt","GO")</f>
        <v>GO</v>
      </c>
      <c r="N74" s="1">
        <v>4.0000000000000001E-59</v>
      </c>
      <c r="O74">
        <v>57.3</v>
      </c>
      <c r="P74" s="9" t="str">
        <f>HYPERLINK(".\links\NR-LIGHT\ab-tri_asb-23689-NR-LIGHT.txt","CG11347, isoform A")</f>
        <v>CG11347, isoform A</v>
      </c>
      <c r="Q74" t="str">
        <f>HYPERLINK("http://www.ncbi.nlm.nih.gov/sutils/blink.cgi?pid=24657619","2E-058")</f>
        <v>2E-058</v>
      </c>
    </row>
    <row r="75" spans="1:17">
      <c r="A75" s="7" t="s">
        <v>513</v>
      </c>
      <c r="B75" s="7">
        <v>7.3289520430264155E-3</v>
      </c>
      <c r="C75" s="7">
        <v>862</v>
      </c>
      <c r="D75" s="7">
        <v>866</v>
      </c>
      <c r="E75" s="7">
        <v>38.666100546019287</v>
      </c>
      <c r="F75" s="7">
        <v>1138</v>
      </c>
      <c r="G75" s="7">
        <v>1147</v>
      </c>
      <c r="H75" s="7">
        <v>91.839005687529095</v>
      </c>
      <c r="I75" s="2">
        <f t="shared" si="2"/>
        <v>2013</v>
      </c>
      <c r="J75" s="2">
        <f t="shared" si="3"/>
        <v>2.3751814739690373</v>
      </c>
      <c r="K75" s="8" t="s">
        <v>8</v>
      </c>
      <c r="L75" t="s">
        <v>9</v>
      </c>
      <c r="P75" s="9" t="str">
        <f>HYPERLINK(".\links\NR-LIGHT\ab-tri_asb-55889-NR-LIGHT.txt","hypothetical protein IscW_ISCW015670")</f>
        <v>hypothetical protein IscW_ISCW015670</v>
      </c>
      <c r="Q75" t="str">
        <f>HYPERLINK("http://www.ncbi.nlm.nih.gov/sutils/blink.cgi?pid=241082071","32")</f>
        <v>32</v>
      </c>
    </row>
    <row r="76" spans="1:17">
      <c r="A76" s="7" t="s">
        <v>156</v>
      </c>
      <c r="B76" s="7">
        <v>8.5776976687812478E-3</v>
      </c>
      <c r="C76" s="7">
        <v>818</v>
      </c>
      <c r="D76" s="7">
        <v>822</v>
      </c>
      <c r="E76" s="7">
        <v>46.711052391726845</v>
      </c>
      <c r="F76" s="7">
        <v>995</v>
      </c>
      <c r="G76" s="7">
        <v>1007</v>
      </c>
      <c r="H76" s="7">
        <v>102.61918856961125</v>
      </c>
      <c r="I76" s="2">
        <f t="shared" si="2"/>
        <v>1829</v>
      </c>
      <c r="J76" s="2">
        <f t="shared" si="3"/>
        <v>2.1968930973558303</v>
      </c>
      <c r="K76" s="8" t="s">
        <v>8</v>
      </c>
      <c r="L76" t="s">
        <v>9</v>
      </c>
      <c r="P76" s="9" t="str">
        <f>HYPERLINK(".\links\NR-LIGHT\ab-tri_asb-1511-NR-LIGHT.txt","Retrovirus-related Pol polyprotein from transposon 412; Includes: RecName:")</f>
        <v>Retrovirus-related Pol polyprotein from transposon 412; Includes: RecName:</v>
      </c>
      <c r="Q76" t="str">
        <f>HYPERLINK("http://www.ncbi.nlm.nih.gov/sutils/blink.cgi?pid=130407","3E-007")</f>
        <v>3E-007</v>
      </c>
    </row>
    <row r="77" spans="1:17">
      <c r="A77" s="7" t="s">
        <v>238</v>
      </c>
      <c r="B77" s="7">
        <v>1.1708130648857562E-3</v>
      </c>
      <c r="C77" s="7">
        <v>2199</v>
      </c>
      <c r="D77" s="7">
        <v>2199</v>
      </c>
      <c r="E77" s="7">
        <v>56.723952616680521</v>
      </c>
      <c r="F77" s="7">
        <v>2633</v>
      </c>
      <c r="G77" s="7">
        <v>2634</v>
      </c>
      <c r="H77" s="7">
        <v>121.84516436145104</v>
      </c>
      <c r="I77" s="2">
        <f t="shared" si="2"/>
        <v>4833</v>
      </c>
      <c r="J77" s="2">
        <f t="shared" si="3"/>
        <v>2.1480372706894313</v>
      </c>
      <c r="K77" s="8" t="s">
        <v>239</v>
      </c>
      <c r="L77" t="s">
        <v>40</v>
      </c>
      <c r="M77" t="str">
        <f>HYPERLINK(".\links\GO\ab-tri_asb-2241-GO.txt","GO")</f>
        <v>GO</v>
      </c>
      <c r="N77" s="1">
        <v>2E-99</v>
      </c>
      <c r="O77">
        <v>85.1</v>
      </c>
      <c r="P77" s="9" t="str">
        <f>HYPERLINK(".\links\NR-LIGHT\ab-tri_asb-2241-NR-LIGHT.txt","FKBP-type peptidyl-prolyl cis-trans isomerase")</f>
        <v>FKBP-type peptidyl-prolyl cis-trans isomerase</v>
      </c>
      <c r="Q77" t="str">
        <f>HYPERLINK("http://www.ncbi.nlm.nih.gov/sutils/blink.cgi?pid=289743745","1E-117")</f>
        <v>1E-117</v>
      </c>
    </row>
    <row r="78" spans="1:17">
      <c r="A78" s="7" t="s">
        <v>612</v>
      </c>
      <c r="B78" s="7">
        <v>0</v>
      </c>
      <c r="C78" s="7">
        <v>18716</v>
      </c>
      <c r="D78" s="7">
        <v>18716</v>
      </c>
      <c r="E78" s="7">
        <v>293.67342531249062</v>
      </c>
      <c r="F78" s="7">
        <v>22261</v>
      </c>
      <c r="G78" s="7">
        <v>22261</v>
      </c>
      <c r="H78" s="7">
        <v>626.39394810863291</v>
      </c>
      <c r="I78" s="2">
        <f t="shared" si="2"/>
        <v>40977</v>
      </c>
      <c r="J78" s="2">
        <f t="shared" si="3"/>
        <v>2.1329609495380883</v>
      </c>
      <c r="K78" s="8" t="s">
        <v>613</v>
      </c>
      <c r="L78" t="s">
        <v>33</v>
      </c>
      <c r="M78" t="str">
        <f>HYPERLINK(".\links\CDD\ab-tri_asb-8302-CDD.txt","CDD")</f>
        <v>CDD</v>
      </c>
      <c r="N78">
        <v>0</v>
      </c>
      <c r="O78">
        <v>100.2</v>
      </c>
      <c r="P78" s="9" t="str">
        <f>HYPERLINK(".\links\NR-LIGHT\ab-tri_asb-8302-NR-LIGHT.txt","CG3734")</f>
        <v>CG3734</v>
      </c>
      <c r="Q78" t="str">
        <f>HYPERLINK("http://www.ncbi.nlm.nih.gov/sutils/blink.cgi?pid=24648175","1E-162")</f>
        <v>1E-162</v>
      </c>
    </row>
    <row r="79" spans="1:17">
      <c r="A79" s="7" t="s">
        <v>139</v>
      </c>
      <c r="B79" s="7">
        <v>1.9066970224912438E-11</v>
      </c>
      <c r="C79" s="7">
        <v>5623</v>
      </c>
      <c r="D79" s="7">
        <v>5623</v>
      </c>
      <c r="E79" s="7">
        <v>123.88457292706281</v>
      </c>
      <c r="F79" s="7">
        <v>6681</v>
      </c>
      <c r="G79" s="7">
        <v>6681</v>
      </c>
      <c r="H79" s="7">
        <v>263.96229007462512</v>
      </c>
      <c r="I79" s="2">
        <f t="shared" si="2"/>
        <v>12304</v>
      </c>
      <c r="J79" s="2">
        <f t="shared" si="3"/>
        <v>2.1307115473533029</v>
      </c>
      <c r="K79" s="8" t="s">
        <v>140</v>
      </c>
      <c r="L79" t="s">
        <v>10</v>
      </c>
      <c r="M79" t="str">
        <f>HYPERLINK(".\links\GO\ab-tri_asb-14294-GO.txt","GO")</f>
        <v>GO</v>
      </c>
      <c r="N79" s="1">
        <v>4.9999999999999995E-94</v>
      </c>
      <c r="O79">
        <v>100.4</v>
      </c>
      <c r="P79" s="9" t="str">
        <f>HYPERLINK(".\links\NR-LIGHT\ab-tri_asb-14294-NR-LIGHT.txt","peptidyl-prolyl cis-trans isomerase")</f>
        <v>peptidyl-prolyl cis-trans isomerase</v>
      </c>
      <c r="Q79" t="str">
        <f>HYPERLINK("http://www.ncbi.nlm.nih.gov/sutils/blink.cgi?pid=289740317","1E-116")</f>
        <v>1E-116</v>
      </c>
    </row>
    <row r="80" spans="1:17">
      <c r="A80" s="7" t="s">
        <v>167</v>
      </c>
      <c r="B80" s="7">
        <v>2.2826890055751559E-2</v>
      </c>
      <c r="C80" s="7">
        <v>1170</v>
      </c>
      <c r="D80" s="7">
        <v>1171</v>
      </c>
      <c r="E80" s="7">
        <v>47.617261010352301</v>
      </c>
      <c r="F80" s="7">
        <v>1386</v>
      </c>
      <c r="G80" s="7">
        <v>1386</v>
      </c>
      <c r="H80" s="7">
        <v>101.06994218096412</v>
      </c>
      <c r="I80" s="2">
        <f t="shared" si="2"/>
        <v>2557</v>
      </c>
      <c r="J80" s="2">
        <f t="shared" si="3"/>
        <v>2.1225484212330241</v>
      </c>
      <c r="K80" s="8" t="s">
        <v>168</v>
      </c>
      <c r="L80" t="s">
        <v>48</v>
      </c>
      <c r="M80" t="str">
        <f>HYPERLINK(".\links\DIPTERA\ab-tri_asb-16221-DIPTERA.txt","DIPTERA")</f>
        <v>DIPTERA</v>
      </c>
      <c r="N80" s="1">
        <v>2E-91</v>
      </c>
      <c r="O80">
        <v>100</v>
      </c>
      <c r="P80" s="9" t="str">
        <f>HYPERLINK(".\links\NR-LIGHT\ab-tri_asb-16221-NR-LIGHT.txt","odorant binding protein 2")</f>
        <v>odorant binding protein 2</v>
      </c>
      <c r="Q80" t="str">
        <f>HYPERLINK("http://www.ncbi.nlm.nih.gov/sutils/blink.cgi?pid=281426799","7E-091")</f>
        <v>7E-091</v>
      </c>
    </row>
    <row r="81" spans="1:17">
      <c r="A81" s="7" t="s">
        <v>599</v>
      </c>
      <c r="B81" s="7">
        <v>5.6704216100378346E-7</v>
      </c>
      <c r="C81" s="7">
        <v>657</v>
      </c>
      <c r="D81" s="7">
        <v>2822</v>
      </c>
      <c r="E81" s="7">
        <v>88.199786395619512</v>
      </c>
      <c r="F81" s="7">
        <v>655</v>
      </c>
      <c r="G81" s="7">
        <v>3320</v>
      </c>
      <c r="H81" s="7">
        <v>186.08007778362477</v>
      </c>
      <c r="I81" s="2">
        <f t="shared" si="2"/>
        <v>6142</v>
      </c>
      <c r="J81" s="2">
        <f t="shared" si="3"/>
        <v>2.1097565582411266</v>
      </c>
      <c r="K81" s="8" t="s">
        <v>600</v>
      </c>
      <c r="L81" t="s">
        <v>20</v>
      </c>
      <c r="M81" t="str">
        <f>HYPERLINK(".\links\GO\ab-tri_asb-6833-GO.txt","GO")</f>
        <v>GO</v>
      </c>
      <c r="N81" s="1">
        <v>5.0000000000000002E-11</v>
      </c>
      <c r="O81">
        <v>96.1</v>
      </c>
      <c r="P81" s="9" t="str">
        <f>HYPERLINK(".\links\NR-LIGHT\ab-tri_asb-6833-NR-LIGHT.txt","death-associated protein 1")</f>
        <v>death-associated protein 1</v>
      </c>
      <c r="Q81" t="str">
        <f>HYPERLINK("http://www.ncbi.nlm.nih.gov/sutils/blink.cgi?pid=289740609","3E-049")</f>
        <v>3E-049</v>
      </c>
    </row>
    <row r="82" spans="1:17">
      <c r="A82" s="7" t="s">
        <v>152</v>
      </c>
      <c r="B82" s="7">
        <v>7.4999641375139703E-6</v>
      </c>
      <c r="C82" s="7">
        <v>532</v>
      </c>
      <c r="D82" s="7">
        <v>612</v>
      </c>
      <c r="E82" s="7">
        <v>78.33234041332129</v>
      </c>
      <c r="F82" s="7">
        <v>638</v>
      </c>
      <c r="G82" s="7">
        <v>720</v>
      </c>
      <c r="H82" s="7">
        <v>165.26216890938102</v>
      </c>
      <c r="I82" s="2">
        <f t="shared" si="2"/>
        <v>1332</v>
      </c>
      <c r="J82" s="2">
        <f t="shared" si="3"/>
        <v>2.1097565582411262</v>
      </c>
      <c r="K82" s="8" t="s">
        <v>38</v>
      </c>
      <c r="L82" t="s">
        <v>19</v>
      </c>
      <c r="M82" t="str">
        <f>HYPERLINK(".\links\KOG\ab-tri_asb-1488-KOG.txt","KOG")</f>
        <v>KOG</v>
      </c>
      <c r="N82">
        <v>3.0000000000000001E-6</v>
      </c>
      <c r="O82">
        <v>6.1</v>
      </c>
      <c r="P82" s="9" t="str">
        <f>HYPERLINK(".\links\NR-LIGHT\ab-tri_asb-1488-NR-LIGHT.txt","conserved Plasmodium protein, unknown function")</f>
        <v>conserved Plasmodium protein, unknown function</v>
      </c>
      <c r="Q82" t="str">
        <f>HYPERLINK("http://www.ncbi.nlm.nih.gov/sutils/blink.cgi?pid=124505227","4E-009")</f>
        <v>4E-009</v>
      </c>
    </row>
    <row r="83" spans="1:17">
      <c r="A83" s="7" t="s">
        <v>484</v>
      </c>
      <c r="B83" s="7">
        <v>0</v>
      </c>
      <c r="C83" s="7">
        <v>19878</v>
      </c>
      <c r="D83" s="7">
        <v>19879</v>
      </c>
      <c r="E83" s="7">
        <v>378.9521681801869</v>
      </c>
      <c r="F83" s="7">
        <v>23208</v>
      </c>
      <c r="G83" s="7">
        <v>23208</v>
      </c>
      <c r="H83" s="7">
        <v>793.37561797702142</v>
      </c>
      <c r="I83" s="2">
        <f t="shared" si="2"/>
        <v>43087</v>
      </c>
      <c r="J83" s="2">
        <f t="shared" si="3"/>
        <v>2.0936035853469019</v>
      </c>
      <c r="K83" s="8" t="s">
        <v>485</v>
      </c>
      <c r="L83" t="s">
        <v>43</v>
      </c>
      <c r="M83" t="str">
        <f>HYPERLINK(".\links\NR-LIGHT\ab-tri_asb-55634-NR-LIGHT.txt","NR-LIGHT")</f>
        <v>NR-LIGHT</v>
      </c>
      <c r="N83">
        <v>0</v>
      </c>
      <c r="O83">
        <v>100</v>
      </c>
      <c r="P83" s="9" t="str">
        <f>HYPERLINK(".\links\NR-LIGHT\ab-tri_asb-55634-NR-LIGHT.txt","fat body trypsin")</f>
        <v>fat body trypsin</v>
      </c>
      <c r="Q83" t="str">
        <f>HYPERLINK("http://www.ncbi.nlm.nih.gov/sutils/blink.cgi?pid=289739895","1E-147")</f>
        <v>1E-147</v>
      </c>
    </row>
    <row r="84" spans="1:17">
      <c r="A84" s="7" t="s">
        <v>240</v>
      </c>
      <c r="B84" s="7">
        <v>3.5389068739994922E-2</v>
      </c>
      <c r="C84" s="7">
        <v>2666</v>
      </c>
      <c r="D84" s="7">
        <v>2666</v>
      </c>
      <c r="E84" s="7">
        <v>48.483580646654254</v>
      </c>
      <c r="F84" s="7">
        <v>3094</v>
      </c>
      <c r="G84" s="7">
        <v>3095</v>
      </c>
      <c r="H84" s="7">
        <v>100.93608732018888</v>
      </c>
      <c r="I84" s="2">
        <f t="shared" si="2"/>
        <v>5761</v>
      </c>
      <c r="J84" s="2">
        <f t="shared" si="3"/>
        <v>2.0818612399072935</v>
      </c>
      <c r="K84" s="8" t="s">
        <v>241</v>
      </c>
      <c r="L84" t="s">
        <v>10</v>
      </c>
      <c r="M84" t="str">
        <f>HYPERLINK(".\links\GO\ab-tri_asb-22429-GO.txt","GO")</f>
        <v>GO</v>
      </c>
      <c r="N84" s="1">
        <v>9.9999999999999997E-61</v>
      </c>
      <c r="O84">
        <v>100.5</v>
      </c>
      <c r="P84" s="9" t="str">
        <f>HYPERLINK(".\links\NR-LIGHT\ab-tri_asb-22429-NR-LIGHT.txt","flightin")</f>
        <v>flightin</v>
      </c>
      <c r="Q84" t="str">
        <f>HYPERLINK("http://www.ncbi.nlm.nih.gov/sutils/blink.cgi?pid=17737667","8E-060")</f>
        <v>8E-060</v>
      </c>
    </row>
    <row r="85" spans="1:17">
      <c r="A85" s="7" t="s">
        <v>634</v>
      </c>
      <c r="B85" s="7">
        <v>4.0060562456201154E-6</v>
      </c>
      <c r="C85" s="7">
        <v>2423</v>
      </c>
      <c r="D85" s="7">
        <v>2423</v>
      </c>
      <c r="E85" s="7">
        <v>86.836263120937403</v>
      </c>
      <c r="F85" s="7">
        <v>2777</v>
      </c>
      <c r="G85" s="7">
        <v>2777</v>
      </c>
      <c r="H85" s="7">
        <v>178.47396119052544</v>
      </c>
      <c r="I85" s="2">
        <f t="shared" si="2"/>
        <v>5200</v>
      </c>
      <c r="J85" s="2">
        <f t="shared" si="3"/>
        <v>2.0552929706563217</v>
      </c>
      <c r="K85" s="8" t="s">
        <v>635</v>
      </c>
      <c r="L85" t="s">
        <v>12</v>
      </c>
      <c r="M85" t="str">
        <f>HYPERLINK(".\links\DIPTERA\ab-tri_asb-9739-DIPTERA.txt","DIPTERA")</f>
        <v>DIPTERA</v>
      </c>
      <c r="N85" s="1">
        <v>2E-91</v>
      </c>
      <c r="O85">
        <v>100</v>
      </c>
      <c r="P85" s="9" t="str">
        <f>HYPERLINK(".\links\NR-LIGHT\ab-tri_asb-9739-NR-LIGHT.txt","translocon-associated complex TRAP delta subunit")</f>
        <v>translocon-associated complex TRAP delta subunit</v>
      </c>
      <c r="Q85" t="str">
        <f>HYPERLINK("http://www.ncbi.nlm.nih.gov/sutils/blink.cgi?pid=289741067","7E-091")</f>
        <v>7E-091</v>
      </c>
    </row>
    <row r="86" spans="1:17">
      <c r="A86" s="7" t="s">
        <v>321</v>
      </c>
      <c r="B86" s="7">
        <v>1.4953218897985066E-2</v>
      </c>
      <c r="C86" s="7">
        <v>10530</v>
      </c>
      <c r="D86" s="7">
        <v>13168</v>
      </c>
      <c r="E86" s="7">
        <v>54.485730358488354</v>
      </c>
      <c r="F86" s="7">
        <v>12373</v>
      </c>
      <c r="G86" s="7">
        <v>15024</v>
      </c>
      <c r="H86" s="7">
        <v>111.48073032033678</v>
      </c>
      <c r="I86" s="2">
        <f t="shared" si="2"/>
        <v>28192</v>
      </c>
      <c r="J86" s="2">
        <f t="shared" si="3"/>
        <v>2.0460537022602128</v>
      </c>
      <c r="K86" s="8" t="s">
        <v>75</v>
      </c>
      <c r="L86" t="s">
        <v>10</v>
      </c>
      <c r="M86" t="str">
        <f>HYPERLINK(".\links\GO\ab-tri_asb-3170-GO.txt","GO")</f>
        <v>GO</v>
      </c>
      <c r="N86" s="1">
        <v>0</v>
      </c>
      <c r="O86">
        <v>20.3</v>
      </c>
      <c r="P86" s="9" t="str">
        <f>HYPERLINK(".\links\NR-LIGHT\ab-tri_asb-3170-NR-LIGHT.txt","Stretchin-Mlck, isoform H")</f>
        <v>Stretchin-Mlck, isoform H</v>
      </c>
      <c r="Q86" t="str">
        <f>HYPERLINK("http://www.ncbi.nlm.nih.gov/sutils/blink.cgi?pid=320544010","0.0")</f>
        <v>0.0</v>
      </c>
    </row>
    <row r="87" spans="1:17">
      <c r="A87" s="7" t="s">
        <v>443</v>
      </c>
      <c r="B87" s="7">
        <v>4.1809098960676749E-7</v>
      </c>
      <c r="C87" s="7">
        <v>4885</v>
      </c>
      <c r="D87" s="7">
        <v>4885</v>
      </c>
      <c r="E87" s="7">
        <v>100.92441637780597</v>
      </c>
      <c r="F87" s="7">
        <v>5503</v>
      </c>
      <c r="G87" s="7">
        <v>5503</v>
      </c>
      <c r="H87" s="7">
        <v>203.88367949520455</v>
      </c>
      <c r="I87" s="2">
        <f t="shared" si="2"/>
        <v>10388</v>
      </c>
      <c r="J87" s="2">
        <f t="shared" si="3"/>
        <v>2.0201620857729337</v>
      </c>
      <c r="K87" s="8" t="s">
        <v>444</v>
      </c>
      <c r="L87" t="s">
        <v>43</v>
      </c>
      <c r="M87" t="str">
        <f>HYPERLINK(".\links\NR-LIGHT\ab-tri_asb-54668-NR-LIGHT.txt","NR-LIGHT")</f>
        <v>NR-LIGHT</v>
      </c>
      <c r="N87">
        <v>0</v>
      </c>
      <c r="O87">
        <v>100</v>
      </c>
      <c r="P87" s="9" t="str">
        <f>HYPERLINK(".\links\NR-LIGHT\ab-tri_asb-54668-NR-LIGHT.txt","midgut zinc carboxypeptidase")</f>
        <v>midgut zinc carboxypeptidase</v>
      </c>
      <c r="Q87" t="str">
        <f>HYPERLINK("http://www.ncbi.nlm.nih.gov/sutils/blink.cgi?pid=289740757","0.0")</f>
        <v>0.0</v>
      </c>
    </row>
    <row r="88" spans="1:17">
      <c r="A88" s="7" t="s">
        <v>413</v>
      </c>
      <c r="B88" s="7">
        <v>3.2179325648584722E-7</v>
      </c>
      <c r="C88" s="7">
        <v>1510</v>
      </c>
      <c r="D88" s="7">
        <v>1651</v>
      </c>
      <c r="E88" s="7">
        <v>105.40809209593802</v>
      </c>
      <c r="F88" s="7">
        <v>1676</v>
      </c>
      <c r="G88" s="7">
        <v>1839</v>
      </c>
      <c r="H88" s="7">
        <v>210.55224667166092</v>
      </c>
      <c r="I88" s="2">
        <f t="shared" si="2"/>
        <v>3490</v>
      </c>
      <c r="J88" s="2">
        <f t="shared" si="3"/>
        <v>1.997496041196013</v>
      </c>
      <c r="K88" s="8" t="s">
        <v>51</v>
      </c>
      <c r="L88" t="s">
        <v>13</v>
      </c>
      <c r="M88" t="str">
        <f>HYPERLINK(".\links\KOG\ab-tri_asb-53401-KOG.txt","KOG")</f>
        <v>KOG</v>
      </c>
      <c r="N88">
        <v>1.9999999999999999E-11</v>
      </c>
      <c r="O88">
        <v>7.6</v>
      </c>
      <c r="P88" s="9" t="str">
        <f>HYPERLINK(".\links\NR-LIGHT\ab-tri_asb-53401-NR-LIGHT.txt","lethal (2) 01289, isoform G")</f>
        <v>lethal (2) 01289, isoform G</v>
      </c>
      <c r="Q88" t="str">
        <f>HYPERLINK("http://www.ncbi.nlm.nih.gov/sutils/blink.cgi?pid=281360222","5E-022")</f>
        <v>5E-022</v>
      </c>
    </row>
    <row r="89" spans="1:17">
      <c r="A89" s="7" t="s">
        <v>355</v>
      </c>
      <c r="B89" s="7">
        <v>0</v>
      </c>
      <c r="C89" s="7">
        <v>5230</v>
      </c>
      <c r="D89" s="7">
        <v>5365</v>
      </c>
      <c r="E89" s="7">
        <v>196.19654823411236</v>
      </c>
      <c r="F89" s="7">
        <v>5766</v>
      </c>
      <c r="G89" s="7">
        <v>5898</v>
      </c>
      <c r="H89" s="7">
        <v>386.79217151886087</v>
      </c>
      <c r="I89" s="2">
        <f t="shared" si="2"/>
        <v>11263</v>
      </c>
      <c r="J89" s="2">
        <f t="shared" si="3"/>
        <v>1.9714524796701289</v>
      </c>
      <c r="K89" s="8" t="s">
        <v>148</v>
      </c>
      <c r="L89" t="s">
        <v>43</v>
      </c>
      <c r="M89" t="str">
        <f>HYPERLINK(".\links\SMART\ab-tri_asb-39791-SMART.txt","SMART")</f>
        <v>SMART</v>
      </c>
      <c r="N89" s="1">
        <v>3.0000000000000001E-54</v>
      </c>
      <c r="O89">
        <v>90.8</v>
      </c>
      <c r="P89" s="9" t="str">
        <f>HYPERLINK(".\links\NR-LIGHT\ab-tri_asb-39791-NR-LIGHT.txt","IP08381p")</f>
        <v>IP08381p</v>
      </c>
      <c r="Q89" t="str">
        <f>HYPERLINK("http://www.ncbi.nlm.nih.gov/sutils/blink.cgi?pid=66772069","1E-051")</f>
        <v>1E-051</v>
      </c>
    </row>
    <row r="90" spans="1:17">
      <c r="A90" s="7" t="s">
        <v>296</v>
      </c>
      <c r="B90" s="7">
        <v>9.9339285533694976E-3</v>
      </c>
      <c r="C90" s="7">
        <v>3425</v>
      </c>
      <c r="D90" s="7">
        <v>3425</v>
      </c>
      <c r="E90" s="7">
        <v>64.019262231359519</v>
      </c>
      <c r="F90" s="7">
        <v>3734</v>
      </c>
      <c r="G90" s="7">
        <v>3734</v>
      </c>
      <c r="H90" s="7">
        <v>125.1629164045376</v>
      </c>
      <c r="I90" s="2">
        <f t="shared" si="2"/>
        <v>7159</v>
      </c>
      <c r="J90" s="2">
        <f t="shared" si="3"/>
        <v>1.9550821431245291</v>
      </c>
      <c r="K90" s="8" t="s">
        <v>297</v>
      </c>
      <c r="L90" t="s">
        <v>12</v>
      </c>
      <c r="M90" t="str">
        <f>HYPERLINK(".\links\KOG\ab-tri_asb-27573-KOG.txt","KOG")</f>
        <v>KOG</v>
      </c>
      <c r="N90" s="1">
        <v>2E-90</v>
      </c>
      <c r="O90">
        <v>110.7</v>
      </c>
      <c r="P90" s="9" t="str">
        <f>HYPERLINK(".\links\NR-LIGHT\ab-tri_asb-27573-NR-LIGHT.txt","translocon-associated complex TRAP alpha subunit")</f>
        <v>translocon-associated complex TRAP alpha subunit</v>
      </c>
      <c r="Q90" t="str">
        <f>HYPERLINK("http://www.ncbi.nlm.nih.gov/sutils/blink.cgi?pid=289742659","1E-168")</f>
        <v>1E-168</v>
      </c>
    </row>
    <row r="91" spans="1:17">
      <c r="A91" s="7" t="s">
        <v>432</v>
      </c>
      <c r="B91" s="7">
        <v>3.6882193854559375E-7</v>
      </c>
      <c r="C91" s="7">
        <v>933</v>
      </c>
      <c r="D91" s="7">
        <v>953</v>
      </c>
      <c r="E91" s="7">
        <v>116.96549442592584</v>
      </c>
      <c r="F91" s="7">
        <v>1011</v>
      </c>
      <c r="G91" s="7">
        <v>1023</v>
      </c>
      <c r="H91" s="7">
        <v>225.16027236683362</v>
      </c>
      <c r="I91" s="2">
        <f t="shared" si="2"/>
        <v>1976</v>
      </c>
      <c r="J91" s="2">
        <f t="shared" si="3"/>
        <v>1.9250144965567384</v>
      </c>
      <c r="K91" s="8" t="s">
        <v>433</v>
      </c>
      <c r="L91" t="s">
        <v>19</v>
      </c>
      <c r="M91" t="str">
        <f>HYPERLINK(".\links\SWISSP\ab-tri_asb-54422-SWISSP.txt","SWISSP")</f>
        <v>SWISSP</v>
      </c>
      <c r="N91">
        <v>2E-8</v>
      </c>
      <c r="O91">
        <v>10.199999999999999</v>
      </c>
      <c r="P91" s="9" t="str">
        <f>HYPERLINK(".\links\NR-LIGHT\ab-tri_asb-54422-NR-LIGHT.txt","mature parasite-infected erythrocyte surface antigen")</f>
        <v>mature parasite-infected erythrocyte surface antigen</v>
      </c>
      <c r="Q91" t="str">
        <f>HYPERLINK("http://www.ncbi.nlm.nih.gov/sutils/blink.cgi?pid=82540741","3E-010")</f>
        <v>3E-010</v>
      </c>
    </row>
    <row r="92" spans="1:17">
      <c r="A92" s="7" t="s">
        <v>69</v>
      </c>
      <c r="B92" s="7">
        <v>4.0978732407381813E-7</v>
      </c>
      <c r="C92" s="7">
        <v>3443</v>
      </c>
      <c r="D92" s="7">
        <v>3443</v>
      </c>
      <c r="E92" s="7">
        <v>118.19095336572862</v>
      </c>
      <c r="F92" s="7">
        <v>3678</v>
      </c>
      <c r="G92" s="7">
        <v>3678</v>
      </c>
      <c r="H92" s="7">
        <v>226.41761391767369</v>
      </c>
      <c r="I92" s="2">
        <f t="shared" si="2"/>
        <v>7121</v>
      </c>
      <c r="J92" s="2">
        <f t="shared" si="3"/>
        <v>1.9156932698313198</v>
      </c>
      <c r="K92" s="8" t="s">
        <v>25</v>
      </c>
      <c r="L92" t="s">
        <v>23</v>
      </c>
      <c r="M92" t="str">
        <f>HYPERLINK(".\links\DIPTERA\ab-tri_asb-10728-DIPTERA.txt","DIPTERA")</f>
        <v>DIPTERA</v>
      </c>
      <c r="N92" s="1">
        <v>5.9999999999999998E-30</v>
      </c>
      <c r="O92">
        <v>99</v>
      </c>
      <c r="P92" s="9" t="str">
        <f>HYPERLINK(".\links\NR-LIGHT\ab-tri_asb-10728-NR-LIGHT.txt","hypothetical conserved protein")</f>
        <v>hypothetical conserved protein</v>
      </c>
      <c r="Q92" t="str">
        <f>HYPERLINK("http://www.ncbi.nlm.nih.gov/sutils/blink.cgi?pid=289742413","2E-029")</f>
        <v>2E-029</v>
      </c>
    </row>
    <row r="93" spans="1:17">
      <c r="A93" s="7" t="s">
        <v>543</v>
      </c>
      <c r="B93" s="7">
        <v>4.957412258477234E-10</v>
      </c>
      <c r="C93" s="7">
        <v>40840</v>
      </c>
      <c r="D93" s="7">
        <v>40840</v>
      </c>
      <c r="E93" s="7">
        <v>721.24041758007684</v>
      </c>
      <c r="F93" s="7">
        <v>42733</v>
      </c>
      <c r="G93" s="7">
        <v>42733</v>
      </c>
      <c r="H93" s="7">
        <v>1353.3464150249688</v>
      </c>
      <c r="I93" s="2">
        <f t="shared" si="2"/>
        <v>83573</v>
      </c>
      <c r="J93" s="2">
        <f t="shared" si="3"/>
        <v>1.8764151065822812</v>
      </c>
      <c r="K93" s="8" t="s">
        <v>544</v>
      </c>
      <c r="L93" t="s">
        <v>43</v>
      </c>
      <c r="M93" t="str">
        <f>HYPERLINK(".\links\NR-LIGHT\ab-tri_asb-56204-NR-LIGHT.txt","NR-LIGHT")</f>
        <v>NR-LIGHT</v>
      </c>
      <c r="N93">
        <v>0</v>
      </c>
      <c r="O93">
        <v>100</v>
      </c>
      <c r="P93" s="9" t="str">
        <f>HYPERLINK(".\links\NR-LIGHT\ab-tri_asb-56204-NR-LIGHT.txt","zinc carboxypeptidase")</f>
        <v>zinc carboxypeptidase</v>
      </c>
      <c r="Q93" t="str">
        <f>HYPERLINK("http://www.ncbi.nlm.nih.gov/sutils/blink.cgi?pid=289740753","0.0")</f>
        <v>0.0</v>
      </c>
    </row>
    <row r="94" spans="1:17">
      <c r="A94" s="7" t="s">
        <v>374</v>
      </c>
      <c r="B94" s="7">
        <v>0</v>
      </c>
      <c r="C94" s="7">
        <v>12332</v>
      </c>
      <c r="D94" s="7">
        <v>12391</v>
      </c>
      <c r="E94" s="7">
        <v>257.38370952019307</v>
      </c>
      <c r="F94" s="7">
        <v>12594</v>
      </c>
      <c r="G94" s="7">
        <v>12620</v>
      </c>
      <c r="H94" s="7">
        <v>470.09466774390523</v>
      </c>
      <c r="I94" s="2">
        <f t="shared" si="2"/>
        <v>25011</v>
      </c>
      <c r="J94" s="2">
        <f t="shared" si="3"/>
        <v>1.8264352029902806</v>
      </c>
      <c r="K94" s="8" t="s">
        <v>358</v>
      </c>
      <c r="L94" t="s">
        <v>28</v>
      </c>
      <c r="M94" t="str">
        <f>HYPERLINK(".\links\DIPTERA\ab-tri_asb-44933-DIPTERA.txt","DIPTERA")</f>
        <v>DIPTERA</v>
      </c>
      <c r="N94" s="1">
        <v>2.9999999999999999E-46</v>
      </c>
      <c r="O94">
        <v>100</v>
      </c>
      <c r="P94" s="9" t="str">
        <f>HYPERLINK(".\links\NR-LIGHT\ab-tri_asb-44933-NR-LIGHT.txt","60s ribosomal protein L37")</f>
        <v>60s ribosomal protein L37</v>
      </c>
      <c r="Q94" t="str">
        <f>HYPERLINK("http://www.ncbi.nlm.nih.gov/sutils/blink.cgi?pid=289742087","1E-045")</f>
        <v>1E-045</v>
      </c>
    </row>
    <row r="95" spans="1:17">
      <c r="A95" s="7" t="s">
        <v>494</v>
      </c>
      <c r="B95" s="7">
        <v>7.6267880899649754E-11</v>
      </c>
      <c r="C95" s="7">
        <v>29756</v>
      </c>
      <c r="D95" s="7">
        <v>30669</v>
      </c>
      <c r="E95" s="7">
        <v>266.00329386698195</v>
      </c>
      <c r="F95" s="7">
        <v>30564</v>
      </c>
      <c r="G95" s="7">
        <v>31127</v>
      </c>
      <c r="H95" s="7">
        <v>484.14554051705016</v>
      </c>
      <c r="I95" s="2">
        <f t="shared" si="2"/>
        <v>61796</v>
      </c>
      <c r="J95" s="2">
        <f t="shared" si="3"/>
        <v>1.8200734790868898</v>
      </c>
      <c r="K95" s="8" t="s">
        <v>70</v>
      </c>
      <c r="L95" t="s">
        <v>34</v>
      </c>
      <c r="M95" t="str">
        <f>HYPERLINK(".\links\KOG\ab-tri_asb-55776-KOG.txt","KOG")</f>
        <v>KOG</v>
      </c>
      <c r="N95">
        <v>0</v>
      </c>
      <c r="O95">
        <v>113</v>
      </c>
      <c r="P95" s="9" t="str">
        <f>HYPERLINK(".\links\NR-LIGHT\ab-tri_asb-55776-NR-LIGHT.txt","CG8032")</f>
        <v>CG8032</v>
      </c>
      <c r="Q95" t="str">
        <f>HYPERLINK("http://www.ncbi.nlm.nih.gov/sutils/blink.cgi?pid=21355313","0.0")</f>
        <v>0.0</v>
      </c>
    </row>
    <row r="96" spans="1:17">
      <c r="A96" s="7" t="s">
        <v>405</v>
      </c>
      <c r="B96" s="7">
        <v>5.7641799087293499E-4</v>
      </c>
      <c r="C96" s="7">
        <v>520</v>
      </c>
      <c r="D96" s="7">
        <v>606</v>
      </c>
      <c r="E96" s="7">
        <v>102.44351585685932</v>
      </c>
      <c r="F96" s="7">
        <v>519</v>
      </c>
      <c r="G96" s="7">
        <v>604</v>
      </c>
      <c r="H96" s="7">
        <v>183.10493976647354</v>
      </c>
      <c r="I96" s="2">
        <f t="shared" si="2"/>
        <v>1210</v>
      </c>
      <c r="J96" s="2">
        <f t="shared" si="3"/>
        <v>1.7873746155131922</v>
      </c>
      <c r="K96" s="8" t="s">
        <v>8</v>
      </c>
      <c r="L96" t="s">
        <v>9</v>
      </c>
      <c r="P96" s="9" t="str">
        <f>HYPERLINK(".\links\NR-LIGHT\ab-tri_asb-52337-NR-LIGHT.txt","conserved Plasmodium protein, unknown function")</f>
        <v>conserved Plasmodium protein, unknown function</v>
      </c>
      <c r="Q96" t="str">
        <f>HYPERLINK("http://www.ncbi.nlm.nih.gov/sutils/blink.cgi?pid=296004626","8E-007")</f>
        <v>8E-007</v>
      </c>
    </row>
    <row r="97" spans="1:17">
      <c r="A97" s="7" t="s">
        <v>361</v>
      </c>
      <c r="B97" s="7">
        <v>6.0543350555164466E-7</v>
      </c>
      <c r="C97" s="7">
        <v>852</v>
      </c>
      <c r="D97" s="7">
        <v>878</v>
      </c>
      <c r="E97" s="7">
        <v>152.25508038591798</v>
      </c>
      <c r="F97" s="7">
        <v>814</v>
      </c>
      <c r="G97" s="7">
        <v>862</v>
      </c>
      <c r="H97" s="7">
        <v>268.06234602129172</v>
      </c>
      <c r="I97" s="2">
        <f t="shared" si="2"/>
        <v>1740</v>
      </c>
      <c r="J97" s="2">
        <f t="shared" si="3"/>
        <v>1.7606134740583981</v>
      </c>
      <c r="K97" s="8" t="s">
        <v>8</v>
      </c>
      <c r="L97" t="s">
        <v>9</v>
      </c>
      <c r="P97" s="9" t="str">
        <f>HYPERLINK(".\links\NR-LIGHT\ab-tri_asb-40426-NR-LIGHT.txt","CG5255")</f>
        <v>CG5255</v>
      </c>
      <c r="Q97" t="str">
        <f>HYPERLINK("http://www.ncbi.nlm.nih.gov/sutils/blink.cgi?pid=24647632","1E-005")</f>
        <v>1E-005</v>
      </c>
    </row>
    <row r="98" spans="1:17">
      <c r="A98" s="7" t="s">
        <v>390</v>
      </c>
      <c r="B98" s="7">
        <v>1.7641933661427522E-3</v>
      </c>
      <c r="C98" s="7">
        <v>2252</v>
      </c>
      <c r="D98" s="7">
        <v>2268</v>
      </c>
      <c r="E98" s="7">
        <v>102.11221437267126</v>
      </c>
      <c r="F98" s="7">
        <v>2185</v>
      </c>
      <c r="G98" s="7">
        <v>2216</v>
      </c>
      <c r="H98" s="7">
        <v>178.91867421289214</v>
      </c>
      <c r="I98" s="2">
        <f t="shared" si="2"/>
        <v>4484</v>
      </c>
      <c r="J98" s="2">
        <f t="shared" si="3"/>
        <v>1.7521770075409993</v>
      </c>
      <c r="K98" s="8" t="s">
        <v>128</v>
      </c>
      <c r="L98" t="s">
        <v>23</v>
      </c>
      <c r="M98" t="str">
        <f>HYPERLINK(".\links\DIPTERA\ab-tri_asb-50910-DIPTERA.txt","DIPTERA")</f>
        <v>DIPTERA</v>
      </c>
      <c r="N98" s="1">
        <v>9.9999999999999998E-86</v>
      </c>
      <c r="O98">
        <v>78</v>
      </c>
      <c r="P98" s="9" t="str">
        <f>HYPERLINK(".\links\NR-LIGHT\ab-tri_asb-50910-NR-LIGHT.txt","gmfb8b")</f>
        <v>gmfb8b</v>
      </c>
      <c r="Q98" t="str">
        <f>HYPERLINK("http://www.ncbi.nlm.nih.gov/sutils/blink.cgi?pid=289741381","4E-085")</f>
        <v>4E-085</v>
      </c>
    </row>
    <row r="99" spans="1:17">
      <c r="A99" s="7" t="s">
        <v>455</v>
      </c>
      <c r="B99" s="7">
        <v>0</v>
      </c>
      <c r="C99" s="7">
        <v>103797</v>
      </c>
      <c r="D99" s="7">
        <v>104113</v>
      </c>
      <c r="E99" s="7">
        <v>649.4376191892577</v>
      </c>
      <c r="F99" s="7">
        <v>98875</v>
      </c>
      <c r="G99" s="7">
        <v>99040</v>
      </c>
      <c r="H99" s="7">
        <v>1107.8842390103628</v>
      </c>
      <c r="I99" s="2">
        <f t="shared" si="2"/>
        <v>203153</v>
      </c>
      <c r="J99" s="2">
        <f t="shared" si="3"/>
        <v>1.7059132490560354</v>
      </c>
      <c r="K99" s="8" t="s">
        <v>66</v>
      </c>
      <c r="L99" t="s">
        <v>85</v>
      </c>
      <c r="M99" t="str">
        <f>HYPERLINK(".\links\NR-LIGHT\ab-tri_asb-54815-NR-LIGHT.txt","NR-LIGHT")</f>
        <v>NR-LIGHT</v>
      </c>
      <c r="N99" s="1">
        <v>2.0000000000000001E-53</v>
      </c>
      <c r="O99">
        <v>21.2</v>
      </c>
      <c r="P99" s="9" t="str">
        <f>HYPERLINK(".\links\NR-LIGHT\ab-tri_asb-54815-NR-LIGHT.txt","polyprotein")</f>
        <v>polyprotein</v>
      </c>
      <c r="Q99" t="str">
        <f>HYPERLINK("http://www.ncbi.nlm.nih.gov/sutils/blink.cgi?pid=31540604","2E-053")</f>
        <v>2E-053</v>
      </c>
    </row>
    <row r="100" spans="1:17">
      <c r="A100" s="7" t="s">
        <v>507</v>
      </c>
      <c r="B100" s="7">
        <v>0</v>
      </c>
      <c r="C100" s="7">
        <v>68646</v>
      </c>
      <c r="D100" s="7">
        <v>68646</v>
      </c>
      <c r="E100" s="7">
        <v>1852.528392003798</v>
      </c>
      <c r="F100" s="7">
        <v>65086</v>
      </c>
      <c r="G100" s="7">
        <v>65111</v>
      </c>
      <c r="H100" s="7">
        <v>3151.0498476828548</v>
      </c>
      <c r="I100" s="2">
        <f t="shared" si="2"/>
        <v>133757</v>
      </c>
      <c r="J100" s="2">
        <f t="shared" si="3"/>
        <v>1.7009455084650571</v>
      </c>
      <c r="K100" s="8" t="s">
        <v>50</v>
      </c>
      <c r="L100" t="s">
        <v>33</v>
      </c>
      <c r="M100" t="str">
        <f>HYPERLINK(".\links\KOG\ab-tri_asb-55861-KOG.txt","KOG")</f>
        <v>KOG</v>
      </c>
      <c r="N100" s="1">
        <v>7.0000000000000001E-63</v>
      </c>
      <c r="O100">
        <v>100</v>
      </c>
      <c r="P100" s="9" t="str">
        <f>HYPERLINK(".\links\NR-LIGHT\ab-tri_asb-55861-NR-LIGHT.txt","midgut trypsin")</f>
        <v>midgut trypsin</v>
      </c>
      <c r="Q100" t="str">
        <f>HYPERLINK("http://www.ncbi.nlm.nih.gov/sutils/blink.cgi?pid=289739889","1E-165")</f>
        <v>1E-165</v>
      </c>
    </row>
    <row r="101" spans="1:17">
      <c r="A101" s="7" t="s">
        <v>441</v>
      </c>
      <c r="B101" s="7">
        <v>9.6765064561132874E-6</v>
      </c>
      <c r="C101" s="7">
        <v>1105</v>
      </c>
      <c r="D101" s="7">
        <v>1182</v>
      </c>
      <c r="E101" s="7">
        <v>153.4815251917733</v>
      </c>
      <c r="F101" s="7">
        <v>1037</v>
      </c>
      <c r="G101" s="7">
        <v>1117</v>
      </c>
      <c r="H101" s="7">
        <v>260.10163017360111</v>
      </c>
      <c r="I101" s="2">
        <f t="shared" si="2"/>
        <v>2299</v>
      </c>
      <c r="J101" s="2">
        <f t="shared" si="3"/>
        <v>1.6946771270914025</v>
      </c>
      <c r="K101" s="8" t="s">
        <v>8</v>
      </c>
      <c r="L101" t="s">
        <v>9</v>
      </c>
      <c r="P101" s="9" t="str">
        <f>HYPERLINK(".\links\NR-LIGHT\ab-tri_asb-54554-NR-LIGHT.txt","hypothetical protein KOX_26000")</f>
        <v>hypothetical protein KOX_26000</v>
      </c>
      <c r="Q101" t="str">
        <f>HYPERLINK("http://www.ncbi.nlm.nih.gov/sutils/blink.cgi?pid=365911458","16")</f>
        <v>16</v>
      </c>
    </row>
    <row r="102" spans="1:17">
      <c r="A102" s="7" t="s">
        <v>407</v>
      </c>
      <c r="B102" s="7">
        <v>0</v>
      </c>
      <c r="C102" s="7">
        <v>3265</v>
      </c>
      <c r="D102" s="7">
        <v>3275</v>
      </c>
      <c r="E102" s="7">
        <v>376.18755320416255</v>
      </c>
      <c r="F102" s="7">
        <v>3084</v>
      </c>
      <c r="G102" s="7">
        <v>3091</v>
      </c>
      <c r="H102" s="7">
        <v>636.71252647654512</v>
      </c>
      <c r="I102" s="2">
        <f t="shared" si="2"/>
        <v>6366</v>
      </c>
      <c r="J102" s="2">
        <f t="shared" si="3"/>
        <v>1.6925401200900227</v>
      </c>
      <c r="K102" s="8" t="s">
        <v>8</v>
      </c>
      <c r="L102" t="s">
        <v>9</v>
      </c>
      <c r="P102" s="9" t="str">
        <f>HYPERLINK(".\links\NR-LIGHT\ab-tri_asb-52478-NR-LIGHT.txt","G protein-coupled receptor")</f>
        <v>G protein-coupled receptor</v>
      </c>
      <c r="Q102" t="str">
        <f>HYPERLINK("http://www.ncbi.nlm.nih.gov/sutils/blink.cgi?pid=289742673","8E-004")</f>
        <v>8E-004</v>
      </c>
    </row>
    <row r="103" spans="1:17">
      <c r="A103" s="7" t="s">
        <v>533</v>
      </c>
      <c r="B103" s="7">
        <v>7.8597101982325057E-6</v>
      </c>
      <c r="C103" s="7">
        <v>635</v>
      </c>
      <c r="D103" s="7">
        <v>891</v>
      </c>
      <c r="E103" s="7">
        <v>157.55895483677918</v>
      </c>
      <c r="F103" s="7">
        <v>609</v>
      </c>
      <c r="G103" s="7">
        <v>838</v>
      </c>
      <c r="H103" s="7">
        <v>265.74229244035888</v>
      </c>
      <c r="I103" s="2">
        <f t="shared" si="2"/>
        <v>1729</v>
      </c>
      <c r="J103" s="2">
        <f t="shared" si="3"/>
        <v>1.6866213203537088</v>
      </c>
      <c r="K103" s="8" t="s">
        <v>471</v>
      </c>
      <c r="L103" t="s">
        <v>48</v>
      </c>
      <c r="M103" t="str">
        <f>HYPERLINK(".\links\DIPTERA\ab-tri_asb-56073-DIPTERA.txt","DIPTERA")</f>
        <v>DIPTERA</v>
      </c>
      <c r="N103" s="1">
        <v>9.9999999999999998E-20</v>
      </c>
      <c r="O103">
        <v>37.5</v>
      </c>
      <c r="P103" s="9" t="str">
        <f>HYPERLINK(".\links\NR-LIGHT\ab-tri_asb-56073-NR-LIGHT.txt","5' nucleotidase")</f>
        <v>5' nucleotidase</v>
      </c>
      <c r="Q103" t="str">
        <f>HYPERLINK("http://www.ncbi.nlm.nih.gov/sutils/blink.cgi?pid=126143295","4E-020")</f>
        <v>4E-020</v>
      </c>
    </row>
    <row r="104" spans="1:17">
      <c r="A104" s="7" t="s">
        <v>228</v>
      </c>
      <c r="B104" s="7">
        <v>2.5836290008238727E-2</v>
      </c>
      <c r="C104" s="7">
        <v>3728</v>
      </c>
      <c r="D104" s="7">
        <v>3728</v>
      </c>
      <c r="E104" s="7">
        <v>97.474667898166643</v>
      </c>
      <c r="F104" s="7">
        <v>3497</v>
      </c>
      <c r="G104" s="7">
        <v>3497</v>
      </c>
      <c r="H104" s="7">
        <v>163.96938362243588</v>
      </c>
      <c r="I104" s="2">
        <f t="shared" si="2"/>
        <v>7225</v>
      </c>
      <c r="J104" s="2">
        <f t="shared" si="3"/>
        <v>1.6821743244484542</v>
      </c>
      <c r="K104" s="8" t="s">
        <v>128</v>
      </c>
      <c r="L104" t="s">
        <v>23</v>
      </c>
      <c r="M104" t="str">
        <f>HYPERLINK(".\links\DIPTERA\ab-tri_asb-19767-DIPTERA.txt","DIPTERA")</f>
        <v>DIPTERA</v>
      </c>
      <c r="N104" s="1">
        <v>5.0000000000000002E-43</v>
      </c>
      <c r="O104">
        <v>103</v>
      </c>
      <c r="P104" s="9" t="str">
        <f>HYPERLINK(".\links\NR-LIGHT\ab-tri_asb-19767-NR-LIGHT.txt","gmfb8b")</f>
        <v>gmfb8b</v>
      </c>
      <c r="Q104" t="str">
        <f>HYPERLINK("http://www.ncbi.nlm.nih.gov/sutils/blink.cgi?pid=289741381","2E-042")</f>
        <v>2E-042</v>
      </c>
    </row>
    <row r="105" spans="1:17">
      <c r="A105" s="7" t="s">
        <v>281</v>
      </c>
      <c r="B105" s="7">
        <v>3.1574755876784266E-4</v>
      </c>
      <c r="C105" s="7">
        <v>1965</v>
      </c>
      <c r="D105" s="7">
        <v>1966</v>
      </c>
      <c r="E105" s="7">
        <v>131.77957908759078</v>
      </c>
      <c r="F105" s="7">
        <v>1840</v>
      </c>
      <c r="G105" s="7">
        <v>1840</v>
      </c>
      <c r="H105" s="7">
        <v>221.17380876484077</v>
      </c>
      <c r="I105" s="2">
        <f t="shared" si="2"/>
        <v>3806</v>
      </c>
      <c r="J105" s="2">
        <f t="shared" si="3"/>
        <v>1.6783617787838869</v>
      </c>
      <c r="K105" s="8" t="s">
        <v>8</v>
      </c>
      <c r="L105" t="s">
        <v>9</v>
      </c>
      <c r="P105" s="9" t="str">
        <f>HYPERLINK(".\links\NR-LIGHT\ab-tri_asb-25655-NR-LIGHT.txt","RE04676p")</f>
        <v>RE04676p</v>
      </c>
      <c r="Q105" t="str">
        <f>HYPERLINK("http://www.ncbi.nlm.nih.gov/sutils/blink.cgi?pid=21406635","3E-008")</f>
        <v>3E-008</v>
      </c>
    </row>
    <row r="106" spans="1:17">
      <c r="A106" s="7" t="s">
        <v>470</v>
      </c>
      <c r="B106" s="7">
        <v>4.3492045087578646E-6</v>
      </c>
      <c r="C106" s="7">
        <v>989</v>
      </c>
      <c r="D106" s="7">
        <v>1028</v>
      </c>
      <c r="E106" s="7">
        <v>172.69593186711396</v>
      </c>
      <c r="F106" s="7">
        <v>919</v>
      </c>
      <c r="G106" s="7">
        <v>950</v>
      </c>
      <c r="H106" s="7">
        <v>286.19620397067285</v>
      </c>
      <c r="I106" s="2">
        <f t="shared" si="2"/>
        <v>1978</v>
      </c>
      <c r="J106" s="2">
        <f t="shared" si="3"/>
        <v>1.6572260902526359</v>
      </c>
      <c r="K106" s="8" t="s">
        <v>471</v>
      </c>
      <c r="L106" t="s">
        <v>48</v>
      </c>
      <c r="M106" t="str">
        <f>HYPERLINK(".\links\DIPTERA\ab-tri_asb-55186-DIPTERA.txt","DIPTERA")</f>
        <v>DIPTERA</v>
      </c>
      <c r="N106" s="1">
        <v>4.0000000000000002E-22</v>
      </c>
      <c r="O106">
        <v>39</v>
      </c>
      <c r="P106" s="9" t="str">
        <f>HYPERLINK(".\links\NR-LIGHT\ab-tri_asb-55186-NR-LIGHT.txt","5' nucleotidase")</f>
        <v>5' nucleotidase</v>
      </c>
      <c r="Q106" t="str">
        <f>HYPERLINK("http://www.ncbi.nlm.nih.gov/sutils/blink.cgi?pid=126143295","4E-022")</f>
        <v>4E-022</v>
      </c>
    </row>
    <row r="107" spans="1:17">
      <c r="A107" s="7" t="s">
        <v>334</v>
      </c>
      <c r="B107" s="7">
        <v>0</v>
      </c>
      <c r="C107" s="7">
        <v>18442</v>
      </c>
      <c r="D107" s="7">
        <v>18446</v>
      </c>
      <c r="E107" s="7">
        <v>580.56828642885102</v>
      </c>
      <c r="F107" s="7">
        <v>17015</v>
      </c>
      <c r="G107" s="7">
        <v>17017</v>
      </c>
      <c r="H107" s="7">
        <v>960.47347279062058</v>
      </c>
      <c r="I107" s="2">
        <f t="shared" si="2"/>
        <v>35463</v>
      </c>
      <c r="J107" s="2">
        <f t="shared" si="3"/>
        <v>1.6543677897024214</v>
      </c>
      <c r="K107" s="8" t="s">
        <v>335</v>
      </c>
      <c r="L107" t="s">
        <v>23</v>
      </c>
      <c r="M107" t="str">
        <f>HYPERLINK(".\links\DIPTERA\ab-tri_asb-36071-DIPTERA.txt","DIPTERA")</f>
        <v>DIPTERA</v>
      </c>
      <c r="N107" s="1">
        <v>9.0000000000000003E-19</v>
      </c>
      <c r="O107">
        <v>82.4</v>
      </c>
      <c r="P107" s="9" t="str">
        <f>HYPERLINK(".\links\NR-LIGHT\ab-tri_asb-36071-NR-LIGHT.txt","CG5107")</f>
        <v>CG5107</v>
      </c>
      <c r="Q107" t="str">
        <f>HYPERLINK("http://www.ncbi.nlm.nih.gov/sutils/blink.cgi?pid=21356733","3E-013")</f>
        <v>3E-013</v>
      </c>
    </row>
    <row r="108" spans="1:17">
      <c r="A108" s="7" t="s">
        <v>307</v>
      </c>
      <c r="B108" s="7">
        <v>3.2278877160174524E-3</v>
      </c>
      <c r="C108" s="7">
        <v>3322</v>
      </c>
      <c r="D108" s="7">
        <v>3322</v>
      </c>
      <c r="E108" s="7">
        <v>122.48448344303056</v>
      </c>
      <c r="F108" s="7">
        <v>3049</v>
      </c>
      <c r="G108" s="7">
        <v>3049</v>
      </c>
      <c r="H108" s="7">
        <v>201.59982116100363</v>
      </c>
      <c r="I108" s="2">
        <f t="shared" si="2"/>
        <v>6371</v>
      </c>
      <c r="J108" s="2">
        <f t="shared" si="3"/>
        <v>1.6459213076958508</v>
      </c>
      <c r="K108" s="8" t="s">
        <v>308</v>
      </c>
      <c r="L108" t="s">
        <v>18</v>
      </c>
      <c r="M108" t="str">
        <f>HYPERLINK(".\links\GO\ab-tri_asb-28621-GO.txt","GO")</f>
        <v>GO</v>
      </c>
      <c r="N108" s="1">
        <v>3.0000000000000002E-44</v>
      </c>
      <c r="O108">
        <v>100</v>
      </c>
      <c r="P108" s="9" t="str">
        <f>HYPERLINK(".\links\NR-LIGHT\ab-tri_asb-28621-NR-LIGHT.txt","sec61 protein translocation complex beta subunit")</f>
        <v>sec61 protein translocation complex beta subunit</v>
      </c>
      <c r="Q108" t="str">
        <f>HYPERLINK("http://www.ncbi.nlm.nih.gov/sutils/blink.cgi?pid=289742355","2E-049")</f>
        <v>2E-049</v>
      </c>
    </row>
    <row r="109" spans="1:17">
      <c r="A109" s="7" t="s">
        <v>127</v>
      </c>
      <c r="B109" s="7">
        <v>6.3666901617409621E-6</v>
      </c>
      <c r="C109" s="7">
        <v>9707</v>
      </c>
      <c r="D109" s="7">
        <v>9708</v>
      </c>
      <c r="E109" s="7">
        <v>175.3621298864004</v>
      </c>
      <c r="F109" s="7">
        <v>8890</v>
      </c>
      <c r="G109" s="7">
        <v>8891</v>
      </c>
      <c r="H109" s="7">
        <v>288.01023763477673</v>
      </c>
      <c r="I109" s="2">
        <f t="shared" si="2"/>
        <v>18599</v>
      </c>
      <c r="J109" s="2">
        <f t="shared" si="3"/>
        <v>1.6423741991577645</v>
      </c>
      <c r="K109" s="8" t="s">
        <v>128</v>
      </c>
      <c r="L109" t="s">
        <v>23</v>
      </c>
      <c r="M109" t="str">
        <f>HYPERLINK(".\links\DIPTERA\ab-tri_asb-13926-DIPTERA.txt","DIPTERA")</f>
        <v>DIPTERA</v>
      </c>
      <c r="N109" s="1">
        <v>9.9999999999999995E-45</v>
      </c>
      <c r="O109">
        <v>104.8</v>
      </c>
      <c r="P109" s="9" t="str">
        <f>HYPERLINK(".\links\NR-LIGHT\ab-tri_asb-13926-NR-LIGHT.txt","gmfb8b")</f>
        <v>gmfb8b</v>
      </c>
      <c r="Q109" t="str">
        <f>HYPERLINK("http://www.ncbi.nlm.nih.gov/sutils/blink.cgi?pid=289741381","4E-044")</f>
        <v>4E-044</v>
      </c>
    </row>
    <row r="110" spans="1:17">
      <c r="A110" s="7" t="s">
        <v>410</v>
      </c>
      <c r="B110" s="7">
        <v>0</v>
      </c>
      <c r="C110" s="7">
        <v>16930</v>
      </c>
      <c r="D110" s="7">
        <v>16932</v>
      </c>
      <c r="E110" s="7">
        <v>496.84595829846796</v>
      </c>
      <c r="F110" s="7">
        <v>15146</v>
      </c>
      <c r="G110" s="7">
        <v>15148</v>
      </c>
      <c r="H110" s="7">
        <v>797.11332525814805</v>
      </c>
      <c r="I110" s="2">
        <f t="shared" si="2"/>
        <v>32080</v>
      </c>
      <c r="J110" s="2">
        <f t="shared" si="3"/>
        <v>1.6043470052327604</v>
      </c>
      <c r="K110" s="8" t="s">
        <v>53</v>
      </c>
      <c r="L110" t="s">
        <v>43</v>
      </c>
      <c r="M110" t="str">
        <f>HYPERLINK(".\links\NR-LIGHT\ab-tri_asb-52956-NR-LIGHT.txt","NR-LIGHT")</f>
        <v>NR-LIGHT</v>
      </c>
      <c r="N110">
        <v>0</v>
      </c>
      <c r="O110">
        <v>100</v>
      </c>
      <c r="P110" s="9" t="str">
        <f>HYPERLINK(".\links\NR-LIGHT\ab-tri_asb-52956-NR-LIGHT.txt","midgut trypsin")</f>
        <v>midgut trypsin</v>
      </c>
      <c r="Q110" t="str">
        <f>HYPERLINK("http://www.ncbi.nlm.nih.gov/sutils/blink.cgi?pid=289740185","1E-147")</f>
        <v>1E-147</v>
      </c>
    </row>
    <row r="111" spans="1:17">
      <c r="A111" s="7" t="s">
        <v>347</v>
      </c>
      <c r="B111" s="7">
        <v>0</v>
      </c>
      <c r="C111" s="7">
        <v>14485</v>
      </c>
      <c r="D111" s="7">
        <v>15163</v>
      </c>
      <c r="E111" s="7">
        <v>361.95594956162427</v>
      </c>
      <c r="F111" s="7">
        <v>12662</v>
      </c>
      <c r="G111" s="7">
        <v>13547</v>
      </c>
      <c r="H111" s="7">
        <v>579.91586055016626</v>
      </c>
      <c r="I111" s="2">
        <f t="shared" si="2"/>
        <v>28710</v>
      </c>
      <c r="J111" s="2">
        <f t="shared" si="3"/>
        <v>1.6021724777628874</v>
      </c>
      <c r="K111" s="8" t="s">
        <v>72</v>
      </c>
      <c r="L111" t="s">
        <v>21</v>
      </c>
      <c r="M111" t="str">
        <f>HYPERLINK(".\links\KOG\ab-tri_asb-38531-KOG.txt","KOG")</f>
        <v>KOG</v>
      </c>
      <c r="N111" s="1">
        <v>1E-35</v>
      </c>
      <c r="O111">
        <v>98.6</v>
      </c>
      <c r="P111" s="9" t="str">
        <f>HYPERLINK(".\links\NR-LIGHT\ab-tri_asb-38531-NR-LIGHT.txt","troponin C isoform 4, isoform A")</f>
        <v>troponin C isoform 4, isoform A</v>
      </c>
      <c r="Q111" t="str">
        <f>HYPERLINK("http://www.ncbi.nlm.nih.gov/sutils/blink.cgi?pid=24585851","1E-061")</f>
        <v>1E-061</v>
      </c>
    </row>
    <row r="112" spans="1:17">
      <c r="A112" s="7" t="s">
        <v>391</v>
      </c>
      <c r="B112" s="7">
        <v>9.5201382332987805E-8</v>
      </c>
      <c r="C112" s="7">
        <v>4083</v>
      </c>
      <c r="D112" s="7">
        <v>4141</v>
      </c>
      <c r="E112" s="7">
        <v>232.36926926613287</v>
      </c>
      <c r="F112" s="7">
        <v>3616</v>
      </c>
      <c r="G112" s="7">
        <v>3695</v>
      </c>
      <c r="H112" s="7">
        <v>371.82550442250698</v>
      </c>
      <c r="I112" s="2">
        <f t="shared" si="2"/>
        <v>7836</v>
      </c>
      <c r="J112" s="2">
        <f t="shared" si="3"/>
        <v>1.6001492176517311</v>
      </c>
      <c r="K112" s="8" t="s">
        <v>128</v>
      </c>
      <c r="L112" t="s">
        <v>23</v>
      </c>
      <c r="M112" t="str">
        <f>HYPERLINK(".\links\DIPTERA\ab-tri_asb-50911-DIPTERA.txt","DIPTERA")</f>
        <v>DIPTERA</v>
      </c>
      <c r="N112" s="1">
        <v>9.9999999999999994E-68</v>
      </c>
      <c r="O112">
        <v>77.5</v>
      </c>
      <c r="P112" s="9" t="str">
        <f>HYPERLINK(".\links\NR-LIGHT\ab-tri_asb-50911-NR-LIGHT.txt","gmfb8b")</f>
        <v>gmfb8b</v>
      </c>
      <c r="Q112" t="str">
        <f>HYPERLINK("http://www.ncbi.nlm.nih.gov/sutils/blink.cgi?pid=289741381","3E-067")</f>
        <v>3E-067</v>
      </c>
    </row>
    <row r="113" spans="1:17">
      <c r="A113" s="7" t="s">
        <v>450</v>
      </c>
      <c r="B113" s="7">
        <v>5.5294213652246071E-10</v>
      </c>
      <c r="C113" s="7">
        <v>21165</v>
      </c>
      <c r="D113" s="7">
        <v>21775</v>
      </c>
      <c r="E113" s="7">
        <v>2636.4173704956052</v>
      </c>
      <c r="F113" s="7">
        <v>18878</v>
      </c>
      <c r="G113" s="7">
        <v>19232</v>
      </c>
      <c r="H113" s="7">
        <v>4175.7233910015975</v>
      </c>
      <c r="I113" s="2">
        <f t="shared" si="2"/>
        <v>41007</v>
      </c>
      <c r="J113" s="2">
        <f t="shared" si="3"/>
        <v>1.5838627971930814</v>
      </c>
      <c r="K113" s="8" t="s">
        <v>101</v>
      </c>
      <c r="L113" t="s">
        <v>43</v>
      </c>
      <c r="M113" t="str">
        <f>HYPERLINK(".\links\DIPTERA\ab-tri_asb-54789-DIPTERA.txt","DIPTERA")</f>
        <v>DIPTERA</v>
      </c>
      <c r="N113" s="1">
        <v>9.9999999999999993E-35</v>
      </c>
      <c r="O113">
        <v>25.5</v>
      </c>
      <c r="P113" s="9" t="str">
        <f>HYPERLINK(".\links\NR-LIGHT\ab-tri_asb-54789-NR-LIGHT.txt","trypsin")</f>
        <v>trypsin</v>
      </c>
      <c r="Q113" t="str">
        <f>HYPERLINK("http://www.ncbi.nlm.nih.gov/sutils/blink.cgi?pid=289724696","4E-034")</f>
        <v>4E-034</v>
      </c>
    </row>
    <row r="114" spans="1:17">
      <c r="A114" s="7" t="s">
        <v>553</v>
      </c>
      <c r="B114" s="7">
        <v>1.035362223622549E-4</v>
      </c>
      <c r="C114" s="7">
        <v>5543</v>
      </c>
      <c r="D114" s="7">
        <v>18755</v>
      </c>
      <c r="E114" s="7">
        <v>178.13104190332717</v>
      </c>
      <c r="F114" s="7">
        <v>5420</v>
      </c>
      <c r="G114" s="7">
        <v>16490</v>
      </c>
      <c r="H114" s="7">
        <v>280.86295873394954</v>
      </c>
      <c r="I114" s="2">
        <f t="shared" si="2"/>
        <v>35245</v>
      </c>
      <c r="J114" s="2">
        <f t="shared" si="3"/>
        <v>1.5767210236516531</v>
      </c>
      <c r="K114" s="8" t="s">
        <v>83</v>
      </c>
      <c r="L114" t="s">
        <v>42</v>
      </c>
      <c r="M114" t="str">
        <f>HYPERLINK(".\links\KOG\ab-tri_asb-56398-KOG.txt","KOG")</f>
        <v>KOG</v>
      </c>
      <c r="N114">
        <v>0</v>
      </c>
      <c r="O114">
        <v>100.6</v>
      </c>
      <c r="P114" s="9" t="str">
        <f>HYPERLINK(".\links\NR-LIGHT\ab-tri_asb-56398-NR-LIGHT.txt","fatty acyl-CoA desaturase")</f>
        <v>fatty acyl-CoA desaturase</v>
      </c>
      <c r="Q114" t="str">
        <f>HYPERLINK("http://www.ncbi.nlm.nih.gov/sutils/blink.cgi?pid=289739861","0.0")</f>
        <v>0.0</v>
      </c>
    </row>
    <row r="115" spans="1:17">
      <c r="A115" s="7" t="s">
        <v>291</v>
      </c>
      <c r="B115" s="7">
        <v>1.0887670606880562E-2</v>
      </c>
      <c r="C115" s="7">
        <v>9978</v>
      </c>
      <c r="D115" s="7">
        <v>9979</v>
      </c>
      <c r="E115" s="7">
        <v>134.17858377452774</v>
      </c>
      <c r="F115" s="7">
        <v>8745</v>
      </c>
      <c r="G115" s="7">
        <v>8751</v>
      </c>
      <c r="H115" s="7">
        <v>211.01101969488815</v>
      </c>
      <c r="I115" s="2">
        <f t="shared" si="2"/>
        <v>18730</v>
      </c>
      <c r="J115" s="2">
        <f t="shared" si="3"/>
        <v>1.572613257339702</v>
      </c>
      <c r="K115" s="8" t="s">
        <v>182</v>
      </c>
      <c r="L115" t="s">
        <v>19</v>
      </c>
      <c r="M115" t="str">
        <f>HYPERLINK(".\links\NR-LIGHT\ab-tri_asb-26861-NR-LIGHT.txt","NR-LIGHT")</f>
        <v>NR-LIGHT</v>
      </c>
      <c r="N115">
        <v>0</v>
      </c>
      <c r="O115">
        <v>100</v>
      </c>
      <c r="P115" s="9" t="str">
        <f>HYPERLINK(".\links\NR-LIGHT\ab-tri_asb-26861-NR-LIGHT.txt","activating transcription factor 4")</f>
        <v>activating transcription factor 4</v>
      </c>
      <c r="Q115" t="str">
        <f>HYPERLINK("http://www.ncbi.nlm.nih.gov/sutils/blink.cgi?pid=289743577","0.0")</f>
        <v>0.0</v>
      </c>
    </row>
    <row r="116" spans="1:17">
      <c r="A116" s="7" t="s">
        <v>626</v>
      </c>
      <c r="B116" s="7">
        <v>0</v>
      </c>
      <c r="C116" s="7">
        <v>34490</v>
      </c>
      <c r="D116" s="7">
        <v>34494</v>
      </c>
      <c r="E116" s="7">
        <v>374.00379366125912</v>
      </c>
      <c r="F116" s="7">
        <v>29506</v>
      </c>
      <c r="G116" s="7">
        <v>29506</v>
      </c>
      <c r="H116" s="7">
        <v>573.71216368968294</v>
      </c>
      <c r="I116" s="2">
        <f t="shared" si="2"/>
        <v>64000</v>
      </c>
      <c r="J116" s="2">
        <f t="shared" si="3"/>
        <v>1.533974182650411</v>
      </c>
      <c r="K116" s="8" t="s">
        <v>107</v>
      </c>
      <c r="L116" t="s">
        <v>11</v>
      </c>
      <c r="M116" t="str">
        <f>HYPERLINK(".\links\KOG\ab-tri_asb-8833-KOG.txt","KOG")</f>
        <v>KOG</v>
      </c>
      <c r="N116">
        <v>0</v>
      </c>
      <c r="O116">
        <v>101.2</v>
      </c>
      <c r="P116" s="9" t="str">
        <f>HYPERLINK(".\links\NR-LIGHT\ab-tri_asb-8833-NR-LIGHT.txt","phosphoenolpyruvate carboxykinase")</f>
        <v>phosphoenolpyruvate carboxykinase</v>
      </c>
      <c r="Q116" t="str">
        <f>HYPERLINK("http://www.ncbi.nlm.nih.gov/sutils/blink.cgi?pid=289742649","0.0")</f>
        <v>0.0</v>
      </c>
    </row>
    <row r="117" spans="1:17">
      <c r="A117" s="7" t="s">
        <v>375</v>
      </c>
      <c r="B117" s="7">
        <v>1.757719157335913E-5</v>
      </c>
      <c r="C117" s="7">
        <v>4053</v>
      </c>
      <c r="D117" s="7">
        <v>4165</v>
      </c>
      <c r="E117" s="7">
        <v>228.46932620552042</v>
      </c>
      <c r="F117" s="7">
        <v>3467</v>
      </c>
      <c r="G117" s="7">
        <v>3524</v>
      </c>
      <c r="H117" s="7">
        <v>346.65707335515401</v>
      </c>
      <c r="I117" s="2">
        <f t="shared" si="2"/>
        <v>7689</v>
      </c>
      <c r="J117" s="2">
        <f t="shared" si="3"/>
        <v>1.5173024716819858</v>
      </c>
      <c r="K117" s="8" t="s">
        <v>128</v>
      </c>
      <c r="L117" t="s">
        <v>23</v>
      </c>
      <c r="M117" t="str">
        <f>HYPERLINK(".\links\DIPTERA\ab-tri_asb-45034-DIPTERA.txt","DIPTERA")</f>
        <v>DIPTERA</v>
      </c>
      <c r="N117" s="1">
        <v>3E-37</v>
      </c>
      <c r="O117">
        <v>36.5</v>
      </c>
      <c r="P117" s="9" t="str">
        <f>HYPERLINK(".\links\NR-LIGHT\ab-tri_asb-45034-NR-LIGHT.txt","gmfb8b")</f>
        <v>gmfb8b</v>
      </c>
      <c r="Q117" t="str">
        <f>HYPERLINK("http://www.ncbi.nlm.nih.gov/sutils/blink.cgi?pid=289741381","8E-037")</f>
        <v>8E-037</v>
      </c>
    </row>
    <row r="118" spans="1:17">
      <c r="A118" s="7" t="s">
        <v>340</v>
      </c>
      <c r="B118" s="7">
        <v>1.3346879157438707E-10</v>
      </c>
      <c r="C118" s="7">
        <v>8230</v>
      </c>
      <c r="D118" s="7">
        <v>8230</v>
      </c>
      <c r="E118" s="7">
        <v>482.99577566694916</v>
      </c>
      <c r="F118" s="7">
        <v>6547</v>
      </c>
      <c r="G118" s="7">
        <v>6549</v>
      </c>
      <c r="H118" s="7">
        <v>689.23886547605116</v>
      </c>
      <c r="I118" s="2">
        <f t="shared" si="2"/>
        <v>14779</v>
      </c>
      <c r="J118" s="2">
        <f t="shared" si="3"/>
        <v>1.4270080613527298</v>
      </c>
      <c r="K118" s="8" t="s">
        <v>145</v>
      </c>
      <c r="L118" t="s">
        <v>28</v>
      </c>
      <c r="M118" t="str">
        <f>HYPERLINK(".\links\KOG\ab-tri_asb-37748-KOG.txt","KOG")</f>
        <v>KOG</v>
      </c>
      <c r="N118" s="1">
        <v>5.0000000000000002E-23</v>
      </c>
      <c r="O118">
        <v>100</v>
      </c>
      <c r="P118" s="9" t="str">
        <f>HYPERLINK(".\links\NR-LIGHT\ab-tri_asb-37748-NR-LIGHT.txt","ribosomal protein L39, putative")</f>
        <v>ribosomal protein L39, putative</v>
      </c>
      <c r="Q118" t="str">
        <f>HYPERLINK("http://www.ncbi.nlm.nih.gov/sutils/blink.cgi?pid=241781184","2E-022")</f>
        <v>2E-022</v>
      </c>
    </row>
    <row r="119" spans="1:17">
      <c r="A119" s="7" t="s">
        <v>542</v>
      </c>
      <c r="B119" s="7">
        <v>4.3854031517298608E-10</v>
      </c>
      <c r="C119" s="7">
        <v>7718</v>
      </c>
      <c r="D119" s="7">
        <v>9529</v>
      </c>
      <c r="E119" s="7">
        <v>494.45473754540177</v>
      </c>
      <c r="F119" s="7">
        <v>5825</v>
      </c>
      <c r="G119" s="7">
        <v>7476</v>
      </c>
      <c r="H119" s="7">
        <v>695.66440020638095</v>
      </c>
      <c r="I119" s="2">
        <f t="shared" si="2"/>
        <v>17005</v>
      </c>
      <c r="J119" s="2">
        <f t="shared" si="3"/>
        <v>1.406932419456298</v>
      </c>
      <c r="K119" s="8" t="s">
        <v>53</v>
      </c>
      <c r="L119" t="s">
        <v>43</v>
      </c>
      <c r="M119" t="str">
        <f>HYPERLINK(".\links\DIPTERA\ab-tri_asb-56180-DIPTERA.txt","DIPTERA")</f>
        <v>DIPTERA</v>
      </c>
      <c r="N119" s="1">
        <v>7.0000000000000006E-83</v>
      </c>
      <c r="O119">
        <v>35</v>
      </c>
      <c r="P119" s="9" t="str">
        <f>HYPERLINK(".\links\NR-LIGHT\ab-tri_asb-56180-NR-LIGHT.txt","midgut trypsin")</f>
        <v>midgut trypsin</v>
      </c>
      <c r="Q119" t="str">
        <f>HYPERLINK("http://www.ncbi.nlm.nih.gov/sutils/blink.cgi?pid=289742837","2E-082")</f>
        <v>2E-082</v>
      </c>
    </row>
    <row r="120" spans="1:17">
      <c r="A120" s="7" t="s">
        <v>336</v>
      </c>
      <c r="B120" s="7">
        <v>2.5922381154064311E-4</v>
      </c>
      <c r="C120" s="7">
        <v>19695</v>
      </c>
      <c r="D120" s="7">
        <v>19704</v>
      </c>
      <c r="E120" s="7">
        <v>297.20470083538487</v>
      </c>
      <c r="F120" s="7">
        <v>15243</v>
      </c>
      <c r="G120" s="7">
        <v>15252</v>
      </c>
      <c r="H120" s="7">
        <v>412.55261413770006</v>
      </c>
      <c r="I120" s="2">
        <f t="shared" si="2"/>
        <v>34956</v>
      </c>
      <c r="J120" s="2">
        <f t="shared" si="3"/>
        <v>1.3881093165017058</v>
      </c>
      <c r="K120" s="8" t="s">
        <v>261</v>
      </c>
      <c r="L120" t="s">
        <v>28</v>
      </c>
      <c r="M120" t="str">
        <f>HYPERLINK(".\links\SWISSP\ab-tri_asb-36899-SWISSP.txt","SWISSP")</f>
        <v>SWISSP</v>
      </c>
      <c r="N120" s="1">
        <v>3.0000000000000001E-58</v>
      </c>
      <c r="O120">
        <v>92.3</v>
      </c>
      <c r="P120" s="9" t="str">
        <f>HYPERLINK(".\links\NR-LIGHT\ab-tri_asb-36899-NR-LIGHT.txt","GH04183p")</f>
        <v>GH04183p</v>
      </c>
      <c r="Q120" t="str">
        <f>HYPERLINK("http://www.ncbi.nlm.nih.gov/sutils/blink.cgi?pid=20976820","1E-057")</f>
        <v>1E-057</v>
      </c>
    </row>
    <row r="121" spans="1:17">
      <c r="A121" s="7" t="s">
        <v>351</v>
      </c>
      <c r="B121" s="7">
        <v>1.2298195795068523E-8</v>
      </c>
      <c r="C121" s="7">
        <v>26066</v>
      </c>
      <c r="D121" s="7">
        <v>26066</v>
      </c>
      <c r="E121" s="7">
        <v>488.91929369673619</v>
      </c>
      <c r="F121" s="7">
        <v>20003</v>
      </c>
      <c r="G121" s="7">
        <v>20004</v>
      </c>
      <c r="H121" s="7">
        <v>672.86959141785314</v>
      </c>
      <c r="I121" s="2">
        <f t="shared" si="2"/>
        <v>46070</v>
      </c>
      <c r="J121" s="2">
        <f t="shared" si="3"/>
        <v>1.3762385737127742</v>
      </c>
      <c r="K121" s="8" t="s">
        <v>352</v>
      </c>
      <c r="L121" t="s">
        <v>28</v>
      </c>
      <c r="M121" t="str">
        <f>HYPERLINK(".\links\NR-LIGHT\ab-tri_asb-39712-NR-LIGHT.txt","NR-LIGHT")</f>
        <v>NR-LIGHT</v>
      </c>
      <c r="N121">
        <v>0</v>
      </c>
      <c r="O121">
        <v>100</v>
      </c>
      <c r="P121" s="9" t="str">
        <f>HYPERLINK(".\links\NR-LIGHT\ab-tri_asb-39712-NR-LIGHT.txt","40S ribosomal protein S3A")</f>
        <v>40S ribosomal protein S3A</v>
      </c>
      <c r="Q121" t="str">
        <f>HYPERLINK("http://www.ncbi.nlm.nih.gov/sutils/blink.cgi?pid=289742521","1E-152")</f>
        <v>1E-152</v>
      </c>
    </row>
    <row r="122" spans="1:17">
      <c r="A122" s="7" t="s">
        <v>234</v>
      </c>
      <c r="B122" s="7">
        <v>1.3289460883303406E-4</v>
      </c>
      <c r="C122" s="7">
        <v>10049</v>
      </c>
      <c r="D122" s="7">
        <v>10050</v>
      </c>
      <c r="E122" s="7">
        <v>338.08683330125604</v>
      </c>
      <c r="F122" s="7">
        <v>7641</v>
      </c>
      <c r="G122" s="7">
        <v>7641</v>
      </c>
      <c r="H122" s="7">
        <v>460.96045204714557</v>
      </c>
      <c r="I122" s="2">
        <f t="shared" si="2"/>
        <v>17691</v>
      </c>
      <c r="J122" s="2">
        <f t="shared" si="3"/>
        <v>1.3634380479892916</v>
      </c>
      <c r="K122" s="8" t="s">
        <v>235</v>
      </c>
      <c r="L122" t="s">
        <v>28</v>
      </c>
      <c r="M122" t="str">
        <f>HYPERLINK(".\links\KOG\ab-tri_asb-21226-KOG.txt","KOG")</f>
        <v>KOG</v>
      </c>
      <c r="N122" s="1">
        <v>1E-62</v>
      </c>
      <c r="O122">
        <v>97.7</v>
      </c>
      <c r="P122" s="9" t="str">
        <f>HYPERLINK(".\links\NR-LIGHT\ab-tri_asb-21226-NR-LIGHT.txt","ribosomal protein S17")</f>
        <v>ribosomal protein S17</v>
      </c>
      <c r="Q122" t="str">
        <f>HYPERLINK("http://www.ncbi.nlm.nih.gov/sutils/blink.cgi?pid=17647889","2E-065")</f>
        <v>2E-065</v>
      </c>
    </row>
    <row r="123" spans="1:17">
      <c r="A123" s="7" t="s">
        <v>349</v>
      </c>
      <c r="B123" s="7">
        <v>3.5180431297421322E-3</v>
      </c>
      <c r="C123" s="7">
        <v>1578</v>
      </c>
      <c r="D123" s="7">
        <v>1792</v>
      </c>
      <c r="E123" s="7">
        <v>278.42028735824044</v>
      </c>
      <c r="F123" s="7">
        <v>1184</v>
      </c>
      <c r="G123" s="7">
        <v>1361</v>
      </c>
      <c r="H123" s="7">
        <v>379.20344007699254</v>
      </c>
      <c r="I123" s="2">
        <f t="shared" si="2"/>
        <v>3153</v>
      </c>
      <c r="J123" s="2">
        <f t="shared" si="3"/>
        <v>1.3619820727685532</v>
      </c>
      <c r="K123" s="8" t="s">
        <v>53</v>
      </c>
      <c r="L123" t="s">
        <v>43</v>
      </c>
      <c r="M123" t="str">
        <f>HYPERLINK(".\links\DIPTERA\ab-tri_asb-39616-DIPTERA.txt","DIPTERA")</f>
        <v>DIPTERA</v>
      </c>
      <c r="N123" s="1">
        <v>7.0000000000000003E-16</v>
      </c>
      <c r="O123">
        <v>16.399999999999999</v>
      </c>
      <c r="P123" s="9" t="str">
        <f>HYPERLINK(".\links\NR-LIGHT\ab-tri_asb-39616-NR-LIGHT.txt","midgut trypsin")</f>
        <v>midgut trypsin</v>
      </c>
      <c r="Q123" t="str">
        <f>HYPERLINK("http://www.ncbi.nlm.nih.gov/sutils/blink.cgi?pid=289742833","3E-015")</f>
        <v>3E-015</v>
      </c>
    </row>
    <row r="124" spans="1:17">
      <c r="A124" s="7" t="s">
        <v>253</v>
      </c>
      <c r="B124" s="7">
        <v>1.1390398275690217E-5</v>
      </c>
      <c r="C124" s="7">
        <v>14119</v>
      </c>
      <c r="D124" s="7">
        <v>14119</v>
      </c>
      <c r="E124" s="7">
        <v>386.45722016242274</v>
      </c>
      <c r="F124" s="7">
        <v>10722</v>
      </c>
      <c r="G124" s="7">
        <v>10722</v>
      </c>
      <c r="H124" s="7">
        <v>526.28932558234408</v>
      </c>
      <c r="I124" s="2">
        <f t="shared" si="2"/>
        <v>24841</v>
      </c>
      <c r="J124" s="2">
        <f t="shared" si="3"/>
        <v>1.3618307489795425</v>
      </c>
      <c r="K124" s="8" t="s">
        <v>254</v>
      </c>
      <c r="L124" t="s">
        <v>28</v>
      </c>
      <c r="M124" t="str">
        <f>HYPERLINK(".\links\KOG\ab-tri_asb-23203-KOG.txt","KOG")</f>
        <v>KOG</v>
      </c>
      <c r="N124" s="1">
        <v>2E-78</v>
      </c>
      <c r="O124">
        <v>93.4</v>
      </c>
      <c r="P124" s="9" t="str">
        <f>HYPERLINK(".\links\NR-LIGHT\ab-tri_asb-23203-NR-LIGHT.txt","ribosomal protein S15, isoform B")</f>
        <v>ribosomal protein S15, isoform B</v>
      </c>
      <c r="Q124" t="str">
        <f>HYPERLINK("http://www.ncbi.nlm.nih.gov/sutils/blink.cgi?pid=24654191","1E-074")</f>
        <v>1E-074</v>
      </c>
    </row>
    <row r="125" spans="1:17">
      <c r="A125" s="7" t="s">
        <v>130</v>
      </c>
      <c r="B125" s="7">
        <v>4.8017270145361834E-4</v>
      </c>
      <c r="C125" s="7">
        <v>7315</v>
      </c>
      <c r="D125" s="7">
        <v>7315</v>
      </c>
      <c r="E125" s="7">
        <v>321.27126512752437</v>
      </c>
      <c r="F125" s="7">
        <v>5537</v>
      </c>
      <c r="G125" s="7">
        <v>5537</v>
      </c>
      <c r="H125" s="7">
        <v>436.09724977932319</v>
      </c>
      <c r="I125" s="2">
        <f t="shared" si="2"/>
        <v>12852</v>
      </c>
      <c r="J125" s="2">
        <f t="shared" si="3"/>
        <v>1.3574113128549488</v>
      </c>
      <c r="K125" s="8" t="s">
        <v>131</v>
      </c>
      <c r="L125" t="s">
        <v>28</v>
      </c>
      <c r="M125" t="str">
        <f>HYPERLINK(".\links\PFAM\ab-tri_asb-14076-PFAM.txt","PFAM")</f>
        <v>PFAM</v>
      </c>
      <c r="N125" s="1">
        <v>2.0000000000000001E-33</v>
      </c>
      <c r="O125">
        <v>100</v>
      </c>
      <c r="P125" s="9" t="str">
        <f>HYPERLINK(".\links\NR-LIGHT\ab-tri_asb-14076-NR-LIGHT.txt","ribosomal protein L38")</f>
        <v>ribosomal protein L38</v>
      </c>
      <c r="Q125" t="str">
        <f>HYPERLINK("http://www.ncbi.nlm.nih.gov/sutils/blink.cgi?pid=116007488","4E-030")</f>
        <v>4E-030</v>
      </c>
    </row>
    <row r="126" spans="1:17">
      <c r="A126" s="7" t="s">
        <v>201</v>
      </c>
      <c r="B126" s="7">
        <v>0</v>
      </c>
      <c r="C126" s="7">
        <v>2563</v>
      </c>
      <c r="D126" s="7">
        <v>14985</v>
      </c>
      <c r="E126" s="7">
        <v>651.74430862168731</v>
      </c>
      <c r="F126" s="7">
        <v>2079</v>
      </c>
      <c r="G126" s="7">
        <v>11305</v>
      </c>
      <c r="H126" s="7">
        <v>881.74364459573007</v>
      </c>
      <c r="I126" s="2">
        <f t="shared" si="2"/>
        <v>26290</v>
      </c>
      <c r="J126" s="2">
        <f t="shared" si="3"/>
        <v>1.3528981119305004</v>
      </c>
      <c r="K126" s="8" t="s">
        <v>200</v>
      </c>
      <c r="L126" t="s">
        <v>28</v>
      </c>
      <c r="M126" t="str">
        <f>HYPERLINK(".\links\KOG\ab-tri_asb-17441-KOG.txt","KOG")</f>
        <v>KOG</v>
      </c>
      <c r="N126">
        <v>2.0000000000000001E-9</v>
      </c>
      <c r="O126">
        <v>100</v>
      </c>
      <c r="P126" s="9" t="str">
        <f>HYPERLINK(".\links\NR-LIGHT\ab-tri_asb-17441-NR-LIGHT.txt","hypothetical protein DAPPUDRAFT_312612")</f>
        <v>hypothetical protein DAPPUDRAFT_312612</v>
      </c>
      <c r="Q126" t="str">
        <f>HYPERLINK("http://www.ncbi.nlm.nih.gov/sutils/blink.cgi?pid=321476128","5E-006")</f>
        <v>5E-006</v>
      </c>
    </row>
    <row r="127" spans="1:17">
      <c r="A127" s="7" t="s">
        <v>274</v>
      </c>
      <c r="B127" s="7">
        <v>8.7641900647916771E-6</v>
      </c>
      <c r="C127" s="7">
        <v>15570</v>
      </c>
      <c r="D127" s="7">
        <v>15572</v>
      </c>
      <c r="E127" s="7">
        <v>426.66239103823995</v>
      </c>
      <c r="F127" s="7">
        <v>11634</v>
      </c>
      <c r="G127" s="7">
        <v>11634</v>
      </c>
      <c r="H127" s="7">
        <v>571.63695683155674</v>
      </c>
      <c r="I127" s="2">
        <f t="shared" si="2"/>
        <v>27206</v>
      </c>
      <c r="J127" s="2">
        <f t="shared" si="3"/>
        <v>1.3397875435904623</v>
      </c>
      <c r="K127" s="8" t="s">
        <v>275</v>
      </c>
      <c r="L127" t="s">
        <v>28</v>
      </c>
      <c r="M127" t="str">
        <f>HYPERLINK(".\links\KOG\ab-tri_asb-25326-KOG.txt","KOG")</f>
        <v>KOG</v>
      </c>
      <c r="N127" s="1">
        <v>1.9999999999999999E-74</v>
      </c>
      <c r="O127">
        <v>100</v>
      </c>
      <c r="P127" s="9" t="str">
        <f>HYPERLINK(".\links\NR-LIGHT\ab-tri_asb-25326-NR-LIGHT.txt","ribosomal protein S14b")</f>
        <v>ribosomal protein S14b</v>
      </c>
      <c r="Q127" t="str">
        <f>HYPERLINK("http://www.ncbi.nlm.nih.gov/sutils/blink.cgi?pid=289741361","4E-079")</f>
        <v>4E-079</v>
      </c>
    </row>
    <row r="128" spans="1:17">
      <c r="A128" s="7" t="s">
        <v>585</v>
      </c>
      <c r="B128" s="7">
        <v>1.5911520121481004E-5</v>
      </c>
      <c r="C128" s="7">
        <v>3615</v>
      </c>
      <c r="D128" s="7">
        <v>16390</v>
      </c>
      <c r="E128" s="7">
        <v>434.46017594946971</v>
      </c>
      <c r="F128" s="7">
        <v>2704</v>
      </c>
      <c r="G128" s="7">
        <v>12137</v>
      </c>
      <c r="H128" s="7">
        <v>576.9439763466512</v>
      </c>
      <c r="I128" s="2">
        <f t="shared" si="2"/>
        <v>28527</v>
      </c>
      <c r="J128" s="2">
        <f t="shared" si="3"/>
        <v>1.3279559515110844</v>
      </c>
      <c r="K128" s="8" t="s">
        <v>115</v>
      </c>
      <c r="L128" t="s">
        <v>28</v>
      </c>
      <c r="M128" t="str">
        <f>HYPERLINK(".\links\NR-LIGHT\ab-tri_asb-5819-NR-LIGHT.txt","NR-LIGHT")</f>
        <v>NR-LIGHT</v>
      </c>
      <c r="N128">
        <v>0</v>
      </c>
      <c r="O128">
        <v>100</v>
      </c>
      <c r="P128" s="9" t="str">
        <f>HYPERLINK(".\links\NR-LIGHT\ab-tri_asb-5819-NR-LIGHT.txt","ribosomal protein L22")</f>
        <v>ribosomal protein L22</v>
      </c>
      <c r="Q128" t="str">
        <f>HYPERLINK("http://www.ncbi.nlm.nih.gov/sutils/blink.cgi?pid=289739691","1E-157")</f>
        <v>1E-157</v>
      </c>
    </row>
    <row r="129" spans="1:17">
      <c r="A129" s="7" t="s">
        <v>397</v>
      </c>
      <c r="B129" s="7">
        <v>6.7857440333440877E-7</v>
      </c>
      <c r="C129" s="7">
        <v>3729</v>
      </c>
      <c r="D129" s="7">
        <v>3751</v>
      </c>
      <c r="E129" s="7">
        <v>517.03676778093939</v>
      </c>
      <c r="F129" s="7">
        <v>2735</v>
      </c>
      <c r="G129" s="7">
        <v>2764</v>
      </c>
      <c r="H129" s="7">
        <v>683.22488120912487</v>
      </c>
      <c r="I129" s="2">
        <f t="shared" si="2"/>
        <v>6515</v>
      </c>
      <c r="J129" s="2">
        <f t="shared" si="3"/>
        <v>1.3214241690033868</v>
      </c>
      <c r="K129" s="8" t="s">
        <v>53</v>
      </c>
      <c r="L129" t="s">
        <v>43</v>
      </c>
      <c r="M129" t="str">
        <f>HYPERLINK(".\links\DIPTERA\ab-tri_asb-51314-DIPTERA.txt","DIPTERA")</f>
        <v>DIPTERA</v>
      </c>
      <c r="N129" s="1">
        <v>6.0000000000000002E-27</v>
      </c>
      <c r="O129">
        <v>22.3</v>
      </c>
      <c r="P129" s="9" t="str">
        <f>HYPERLINK(".\links\NR-LIGHT\ab-tri_asb-51314-NR-LIGHT.txt","midgut trypsin")</f>
        <v>midgut trypsin</v>
      </c>
      <c r="Q129" t="str">
        <f>HYPERLINK("http://www.ncbi.nlm.nih.gov/sutils/blink.cgi?pid=289742833","2E-026")</f>
        <v>2E-026</v>
      </c>
    </row>
    <row r="130" spans="1:17">
      <c r="A130" s="7" t="s">
        <v>132</v>
      </c>
      <c r="B130" s="7">
        <v>2.0210988438407185E-8</v>
      </c>
      <c r="C130" s="7">
        <v>15238</v>
      </c>
      <c r="D130" s="7">
        <v>15242</v>
      </c>
      <c r="E130" s="7">
        <v>619.79700454294607</v>
      </c>
      <c r="F130" s="7">
        <v>11149</v>
      </c>
      <c r="G130" s="7">
        <v>11151</v>
      </c>
      <c r="H130" s="7">
        <v>813.15362572866582</v>
      </c>
      <c r="I130" s="2">
        <f t="shared" ref="I130:I193" si="4">SUM(D130,G130)</f>
        <v>26393</v>
      </c>
      <c r="J130" s="2">
        <f t="shared" ref="J130:J193" si="5">H130/E130</f>
        <v>1.3119676600055623</v>
      </c>
      <c r="K130" s="8" t="s">
        <v>133</v>
      </c>
      <c r="L130" t="s">
        <v>28</v>
      </c>
      <c r="M130" t="str">
        <f>HYPERLINK(".\links\DIPTERA\ab-tri_asb-14138-DIPTERA.txt","DIPTERA")</f>
        <v>DIPTERA</v>
      </c>
      <c r="N130" s="1">
        <v>4.9999999999999999E-29</v>
      </c>
      <c r="O130">
        <v>100</v>
      </c>
      <c r="P130" s="9" t="str">
        <f>HYPERLINK(".\links\NR-LIGHT\ab-tri_asb-14138-NR-LIGHT.txt","RH06643p")</f>
        <v>RH06643p</v>
      </c>
      <c r="Q130" t="str">
        <f>HYPERLINK("http://www.ncbi.nlm.nih.gov/sutils/blink.cgi?pid=28316886","1E-028")</f>
        <v>1E-028</v>
      </c>
    </row>
    <row r="131" spans="1:17">
      <c r="A131" s="7" t="s">
        <v>269</v>
      </c>
      <c r="B131" s="7">
        <v>3.3425161483080501E-6</v>
      </c>
      <c r="C131" s="7">
        <v>19944</v>
      </c>
      <c r="D131" s="7">
        <v>19944</v>
      </c>
      <c r="E131" s="7">
        <v>513.96900816004734</v>
      </c>
      <c r="F131" s="7">
        <v>14528</v>
      </c>
      <c r="G131" s="7">
        <v>14528</v>
      </c>
      <c r="H131" s="7">
        <v>671.40066832088576</v>
      </c>
      <c r="I131" s="2">
        <f t="shared" si="4"/>
        <v>34472</v>
      </c>
      <c r="J131" s="2">
        <f t="shared" si="5"/>
        <v>1.3063057454075422</v>
      </c>
      <c r="K131" s="8" t="s">
        <v>260</v>
      </c>
      <c r="L131" t="s">
        <v>28</v>
      </c>
      <c r="M131" t="str">
        <f>HYPERLINK(".\links\NR-LIGHT\ab-tri_asb-24332-NR-LIGHT.txt","NR-LIGHT")</f>
        <v>NR-LIGHT</v>
      </c>
      <c r="N131">
        <v>0</v>
      </c>
      <c r="O131">
        <v>98.4</v>
      </c>
      <c r="P131" s="9" t="str">
        <f>HYPERLINK(".\links\NR-LIGHT\ab-tri_asb-24332-NR-LIGHT.txt","ribosomal protein S3")</f>
        <v>ribosomal protein S3</v>
      </c>
      <c r="Q131" t="str">
        <f>HYPERLINK("http://www.ncbi.nlm.nih.gov/sutils/blink.cgi?pid=289743349","1E-140")</f>
        <v>1E-140</v>
      </c>
    </row>
    <row r="132" spans="1:17">
      <c r="A132" s="7" t="s">
        <v>498</v>
      </c>
      <c r="B132" s="7">
        <v>2.1355006651901931E-9</v>
      </c>
      <c r="C132" s="7">
        <v>19307</v>
      </c>
      <c r="D132" s="7">
        <v>19312</v>
      </c>
      <c r="E132" s="7">
        <v>697.69127572438492</v>
      </c>
      <c r="F132" s="7">
        <v>14035</v>
      </c>
      <c r="G132" s="7">
        <v>14036</v>
      </c>
      <c r="H132" s="7">
        <v>909.34916104863942</v>
      </c>
      <c r="I132" s="2">
        <f t="shared" si="4"/>
        <v>33348</v>
      </c>
      <c r="J132" s="2">
        <f t="shared" si="5"/>
        <v>1.3033689723359356</v>
      </c>
      <c r="K132" s="8" t="s">
        <v>116</v>
      </c>
      <c r="L132" t="s">
        <v>28</v>
      </c>
      <c r="M132" t="str">
        <f>HYPERLINK(".\links\KOG\ab-tri_asb-55791-KOG.txt","KOG")</f>
        <v>KOG</v>
      </c>
      <c r="N132" s="1">
        <v>9.0000000000000004E-73</v>
      </c>
      <c r="O132">
        <v>100</v>
      </c>
      <c r="P132" s="9" t="str">
        <f>HYPERLINK(".\links\NR-LIGHT\ab-tri_asb-55791-NR-LIGHT.txt","ribosomal protein L17")</f>
        <v>ribosomal protein L17</v>
      </c>
      <c r="Q132" t="str">
        <f>HYPERLINK("http://www.ncbi.nlm.nih.gov/sutils/blink.cgi?pid=289741183","1E-104")</f>
        <v>1E-104</v>
      </c>
    </row>
    <row r="133" spans="1:17">
      <c r="A133" s="7" t="s">
        <v>265</v>
      </c>
      <c r="B133" s="7">
        <v>4.137069402099236E-4</v>
      </c>
      <c r="C133" s="7">
        <v>10440</v>
      </c>
      <c r="D133" s="7">
        <v>10440</v>
      </c>
      <c r="E133" s="7">
        <v>427.76538120258846</v>
      </c>
      <c r="F133" s="7">
        <v>7515</v>
      </c>
      <c r="G133" s="7">
        <v>7516</v>
      </c>
      <c r="H133" s="7">
        <v>552.25947857344738</v>
      </c>
      <c r="I133" s="2">
        <f t="shared" si="4"/>
        <v>17956</v>
      </c>
      <c r="J133" s="2">
        <f t="shared" si="5"/>
        <v>1.2910335965497377</v>
      </c>
      <c r="K133" s="8" t="s">
        <v>266</v>
      </c>
      <c r="L133" t="s">
        <v>28</v>
      </c>
      <c r="M133" t="str">
        <f>HYPERLINK(".\links\DIPTERA\ab-tri_asb-2400-DIPTERA.txt","DIPTERA")</f>
        <v>DIPTERA</v>
      </c>
      <c r="N133" s="1">
        <v>3.9999999999999999E-69</v>
      </c>
      <c r="O133">
        <v>100</v>
      </c>
      <c r="P133" s="9" t="str">
        <f>HYPERLINK(".\links\NR-LIGHT\ab-tri_asb-2400-NR-LIGHT.txt","ubiquitin-like/40S ribosomal S30 fusion protein")</f>
        <v>ubiquitin-like/40S ribosomal S30 fusion protein</v>
      </c>
      <c r="Q133" t="str">
        <f>HYPERLINK("http://www.ncbi.nlm.nih.gov/sutils/blink.cgi?pid=289742151","1E-068")</f>
        <v>1E-068</v>
      </c>
    </row>
    <row r="134" spans="1:17">
      <c r="A134" s="7" t="s">
        <v>486</v>
      </c>
      <c r="B134" s="7">
        <v>2.509962613528316E-5</v>
      </c>
      <c r="C134" s="7">
        <v>3950</v>
      </c>
      <c r="D134" s="7">
        <v>4280</v>
      </c>
      <c r="E134" s="7">
        <v>530.14297433430602</v>
      </c>
      <c r="F134" s="7">
        <v>2813</v>
      </c>
      <c r="G134" s="7">
        <v>3050</v>
      </c>
      <c r="H134" s="7">
        <v>677.48604190001629</v>
      </c>
      <c r="I134" s="2">
        <f t="shared" si="4"/>
        <v>7330</v>
      </c>
      <c r="J134" s="2">
        <f t="shared" si="5"/>
        <v>1.2779308124392805</v>
      </c>
      <c r="K134" s="8" t="s">
        <v>8</v>
      </c>
      <c r="L134" t="s">
        <v>9</v>
      </c>
      <c r="P134" s="9" t="str">
        <f>HYPERLINK(".\links\NR-LIGHT\ab-tri_asb-55640-NR-LIGHT.txt","hypothetical protein TcasGA2_TC003960")</f>
        <v>hypothetical protein TcasGA2_TC003960</v>
      </c>
      <c r="Q134" t="str">
        <f>HYPERLINK("http://www.ncbi.nlm.nih.gov/sutils/blink.cgi?pid=270004596","3E-005")</f>
        <v>3E-005</v>
      </c>
    </row>
    <row r="135" spans="1:17">
      <c r="A135" s="7" t="s">
        <v>135</v>
      </c>
      <c r="B135" s="7">
        <v>3.8805095513705368E-2</v>
      </c>
      <c r="C135" s="7">
        <v>8661</v>
      </c>
      <c r="D135" s="7">
        <v>8661</v>
      </c>
      <c r="E135" s="7">
        <v>353.79453500196894</v>
      </c>
      <c r="F135" s="7">
        <v>6112</v>
      </c>
      <c r="G135" s="7">
        <v>6113</v>
      </c>
      <c r="H135" s="7">
        <v>447.80480431872616</v>
      </c>
      <c r="I135" s="2">
        <f t="shared" si="4"/>
        <v>14774</v>
      </c>
      <c r="J135" s="2">
        <f t="shared" si="5"/>
        <v>1.2657199589480206</v>
      </c>
      <c r="K135" s="8" t="s">
        <v>136</v>
      </c>
      <c r="L135" t="s">
        <v>28</v>
      </c>
      <c r="M135" t="str">
        <f>HYPERLINK(".\links\KOG\ab-tri_asb-14199-KOG.txt","KOG")</f>
        <v>KOG</v>
      </c>
      <c r="N135" s="1">
        <v>1E-58</v>
      </c>
      <c r="O135">
        <v>97.2</v>
      </c>
      <c r="P135" s="9" t="str">
        <f>HYPERLINK(".\links\NR-LIGHT\ab-tri_asb-14199-NR-LIGHT.txt","ribosomal protein L23")</f>
        <v>ribosomal protein L23</v>
      </c>
      <c r="Q135" t="str">
        <f>HYPERLINK("http://www.ncbi.nlm.nih.gov/sutils/blink.cgi?pid=17647883","2E-072")</f>
        <v>2E-072</v>
      </c>
    </row>
    <row r="136" spans="1:17">
      <c r="A136" s="7" t="s">
        <v>435</v>
      </c>
      <c r="B136" s="7">
        <v>0</v>
      </c>
      <c r="C136" s="7">
        <v>246545</v>
      </c>
      <c r="D136" s="7">
        <v>259245</v>
      </c>
      <c r="E136" s="7">
        <v>5247.123535803521</v>
      </c>
      <c r="F136" s="7">
        <v>170240</v>
      </c>
      <c r="G136" s="7">
        <v>179641</v>
      </c>
      <c r="H136" s="7">
        <v>6520.3008595428846</v>
      </c>
      <c r="I136" s="2">
        <f t="shared" si="4"/>
        <v>438886</v>
      </c>
      <c r="J136" s="2">
        <f t="shared" si="5"/>
        <v>1.2426429099776084</v>
      </c>
      <c r="K136" s="8" t="s">
        <v>101</v>
      </c>
      <c r="L136" t="s">
        <v>43</v>
      </c>
      <c r="M136" t="str">
        <f>HYPERLINK(".\links\NR-LIGHT\ab-tri_asb-54448-NR-LIGHT.txt","NR-LIGHT")</f>
        <v>NR-LIGHT</v>
      </c>
      <c r="N136">
        <v>0</v>
      </c>
      <c r="O136">
        <v>106.5</v>
      </c>
      <c r="P136" s="9" t="str">
        <f>HYPERLINK(".\links\NR-LIGHT\ab-tri_asb-54448-NR-LIGHT.txt","trypsin")</f>
        <v>trypsin</v>
      </c>
      <c r="Q136" t="str">
        <f>HYPERLINK("http://www.ncbi.nlm.nih.gov/sutils/blink.cgi?pid=289724696","1E-146")</f>
        <v>1E-146</v>
      </c>
    </row>
    <row r="137" spans="1:17">
      <c r="A137" s="7" t="s">
        <v>448</v>
      </c>
      <c r="B137" s="7">
        <v>0</v>
      </c>
      <c r="C137" s="7">
        <v>533579</v>
      </c>
      <c r="D137" s="7">
        <v>534695</v>
      </c>
      <c r="E137" s="7">
        <v>2149.2343594764334</v>
      </c>
      <c r="F137" s="7">
        <v>368586</v>
      </c>
      <c r="G137" s="7">
        <v>369076</v>
      </c>
      <c r="H137" s="7">
        <v>2660.3864573475339</v>
      </c>
      <c r="I137" s="2">
        <f t="shared" si="4"/>
        <v>903771</v>
      </c>
      <c r="J137" s="2">
        <f t="shared" si="5"/>
        <v>1.2378298558355545</v>
      </c>
      <c r="K137" s="8" t="s">
        <v>66</v>
      </c>
      <c r="L137" t="s">
        <v>27</v>
      </c>
      <c r="M137" t="str">
        <f>HYPERLINK(".\links\NR-LIGHT\ab-tri_asb-54777-NR-LIGHT.txt","NR-LIGHT")</f>
        <v>NR-LIGHT</v>
      </c>
      <c r="N137">
        <v>0</v>
      </c>
      <c r="O137">
        <v>100</v>
      </c>
      <c r="P137" s="9" t="str">
        <f>HYPERLINK(".\links\NR-LIGHT\ab-tri_asb-54777-NR-LIGHT.txt","polyprotein")</f>
        <v>polyprotein</v>
      </c>
      <c r="Q137" t="str">
        <f>HYPERLINK("http://www.ncbi.nlm.nih.gov/sutils/blink.cgi?pid=289739999","0.0")</f>
        <v>0.0</v>
      </c>
    </row>
    <row r="138" spans="1:17">
      <c r="A138" s="7" t="s">
        <v>230</v>
      </c>
      <c r="B138" s="7">
        <v>3.841368913026777E-4</v>
      </c>
      <c r="C138" s="7">
        <v>19426</v>
      </c>
      <c r="D138" s="7">
        <v>19426</v>
      </c>
      <c r="E138" s="7">
        <v>562.65785127642494</v>
      </c>
      <c r="F138" s="7">
        <v>13393</v>
      </c>
      <c r="G138" s="7">
        <v>13393</v>
      </c>
      <c r="H138" s="7">
        <v>695.64895821764458</v>
      </c>
      <c r="I138" s="2">
        <f t="shared" si="4"/>
        <v>32819</v>
      </c>
      <c r="J138" s="2">
        <f t="shared" si="5"/>
        <v>1.2363623055103929</v>
      </c>
      <c r="K138" s="8" t="s">
        <v>231</v>
      </c>
      <c r="L138" t="s">
        <v>28</v>
      </c>
      <c r="M138" t="str">
        <f>HYPERLINK(".\links\NR-LIGHT\ab-tri_asb-20465-NR-LIGHT.txt","NR-LIGHT")</f>
        <v>NR-LIGHT</v>
      </c>
      <c r="N138">
        <v>0</v>
      </c>
      <c r="O138">
        <v>100</v>
      </c>
      <c r="P138" s="9" t="str">
        <f>HYPERLINK(".\links\NR-LIGHT\ab-tri_asb-20465-NR-LIGHT.txt","40S ribosomal protein S6 gi|83595301|gb|ABC25102.1| ribosomal protein S6")</f>
        <v>40S ribosomal protein S6 gi|83595301|gb|ABC25102.1| ribosomal protein S6</v>
      </c>
      <c r="Q138" t="str">
        <f>HYPERLINK("http://www.ncbi.nlm.nih.gov/sutils/blink.cgi?pid=122001611","1E-136")</f>
        <v>1E-136</v>
      </c>
    </row>
    <row r="139" spans="1:17">
      <c r="A139" s="7" t="s">
        <v>545</v>
      </c>
      <c r="B139" s="7">
        <v>2.6693758314877414E-10</v>
      </c>
      <c r="C139" s="7">
        <v>68915</v>
      </c>
      <c r="D139" s="7">
        <v>68951</v>
      </c>
      <c r="E139" s="7">
        <v>1066.3499973733728</v>
      </c>
      <c r="F139" s="7">
        <v>47297</v>
      </c>
      <c r="G139" s="7">
        <v>47319</v>
      </c>
      <c r="H139" s="7">
        <v>1312.33899104241</v>
      </c>
      <c r="I139" s="2">
        <f t="shared" si="4"/>
        <v>116270</v>
      </c>
      <c r="J139" s="2">
        <f t="shared" si="5"/>
        <v>1.230683166197736</v>
      </c>
      <c r="K139" s="8" t="s">
        <v>74</v>
      </c>
      <c r="L139" t="s">
        <v>11</v>
      </c>
      <c r="M139" t="str">
        <f>HYPERLINK(".\links\KOG\ab-tri_asb-56216-KOG.txt","KOG")</f>
        <v>KOG</v>
      </c>
      <c r="N139">
        <v>0</v>
      </c>
      <c r="O139">
        <v>99.1</v>
      </c>
      <c r="P139" s="9" t="str">
        <f>HYPERLINK(".\links\NR-LIGHT\ab-tri_asb-56216-NR-LIGHT.txt","NADH dehydrogenase subunit 4")</f>
        <v>NADH dehydrogenase subunit 4</v>
      </c>
      <c r="Q139" t="str">
        <f>HYPERLINK("http://www.ncbi.nlm.nih.gov/sutils/blink.cgi?pid=289724930","0.0")</f>
        <v>0.0</v>
      </c>
    </row>
    <row r="140" spans="1:17">
      <c r="A140" s="7" t="s">
        <v>356</v>
      </c>
      <c r="B140" s="7">
        <v>1.4918100618146468E-2</v>
      </c>
      <c r="C140" s="7">
        <v>31593</v>
      </c>
      <c r="D140" s="7">
        <v>31596</v>
      </c>
      <c r="E140" s="7">
        <v>458.56414882414072</v>
      </c>
      <c r="F140" s="7">
        <v>21662</v>
      </c>
      <c r="G140" s="7">
        <v>21662</v>
      </c>
      <c r="H140" s="7">
        <v>563.79058046267733</v>
      </c>
      <c r="I140" s="2">
        <f t="shared" si="4"/>
        <v>53258</v>
      </c>
      <c r="J140" s="2">
        <f t="shared" si="5"/>
        <v>1.2294693815649573</v>
      </c>
      <c r="K140" s="8" t="s">
        <v>215</v>
      </c>
      <c r="L140" t="s">
        <v>28</v>
      </c>
      <c r="M140" t="str">
        <f>HYPERLINK(".\links\KOG\ab-tri_asb-39842-KOG.txt","KOG")</f>
        <v>KOG</v>
      </c>
      <c r="N140" s="1">
        <v>6.9999999999999997E-90</v>
      </c>
      <c r="O140">
        <v>104</v>
      </c>
      <c r="P140" s="9" t="str">
        <f>HYPERLINK(".\links\NR-LIGHT\ab-tri_asb-39842-NR-LIGHT.txt","40S ribosomal protein S8")</f>
        <v>40S ribosomal protein S8</v>
      </c>
      <c r="Q140" t="str">
        <f>HYPERLINK("http://www.ncbi.nlm.nih.gov/sutils/blink.cgi?pid=289724712","1E-114")</f>
        <v>1E-114</v>
      </c>
    </row>
    <row r="141" spans="1:17">
      <c r="A141" s="7" t="s">
        <v>548</v>
      </c>
      <c r="B141" s="7">
        <v>9.1712126781828829E-8</v>
      </c>
      <c r="C141" s="7">
        <v>18668</v>
      </c>
      <c r="D141" s="7">
        <v>18673</v>
      </c>
      <c r="E141" s="7">
        <v>910.90161807103289</v>
      </c>
      <c r="F141" s="7">
        <v>12717</v>
      </c>
      <c r="G141" s="7">
        <v>12718</v>
      </c>
      <c r="H141" s="7">
        <v>1112.5703152848273</v>
      </c>
      <c r="I141" s="2">
        <f t="shared" si="4"/>
        <v>31391</v>
      </c>
      <c r="J141" s="2">
        <f t="shared" si="5"/>
        <v>1.2213945976304854</v>
      </c>
      <c r="K141" s="8" t="s">
        <v>549</v>
      </c>
      <c r="L141" t="s">
        <v>28</v>
      </c>
      <c r="M141" t="str">
        <f>HYPERLINK(".\links\DIPTERA\ab-tri_asb-56267-DIPTERA.txt","DIPTERA")</f>
        <v>DIPTERA</v>
      </c>
      <c r="N141" s="1">
        <v>2.9999999999999999E-35</v>
      </c>
      <c r="O141">
        <v>85.9</v>
      </c>
      <c r="P141" s="9" t="str">
        <f>HYPERLINK(".\links\NR-LIGHT\ab-tri_asb-56267-NR-LIGHT.txt","ribosomal protein P2")</f>
        <v>ribosomal protein P2</v>
      </c>
      <c r="Q141" t="str">
        <f>HYPERLINK("http://www.ncbi.nlm.nih.gov/sutils/blink.cgi?pid=4239711","1E-032")</f>
        <v>1E-032</v>
      </c>
    </row>
    <row r="142" spans="1:17">
      <c r="A142" s="7" t="s">
        <v>454</v>
      </c>
      <c r="B142" s="7">
        <v>2.2489297316661272E-2</v>
      </c>
      <c r="C142" s="7">
        <v>9869</v>
      </c>
      <c r="D142" s="7">
        <v>12396</v>
      </c>
      <c r="E142" s="7">
        <v>501.79053289220963</v>
      </c>
      <c r="F142" s="7">
        <v>6444</v>
      </c>
      <c r="G142" s="7">
        <v>8350</v>
      </c>
      <c r="H142" s="7">
        <v>606.14795260751259</v>
      </c>
      <c r="I142" s="2">
        <f t="shared" si="4"/>
        <v>20746</v>
      </c>
      <c r="J142" s="2">
        <f t="shared" si="5"/>
        <v>1.2079700848754755</v>
      </c>
      <c r="K142" s="8" t="s">
        <v>60</v>
      </c>
      <c r="L142" t="s">
        <v>28</v>
      </c>
      <c r="M142" t="str">
        <f>HYPERLINK(".\links\KOG\ab-tri_asb-54809-KOG.txt","KOG")</f>
        <v>KOG</v>
      </c>
      <c r="N142" s="1">
        <v>3.0000000000000001E-72</v>
      </c>
      <c r="O142">
        <v>100</v>
      </c>
      <c r="P142" s="9" t="str">
        <f>HYPERLINK(".\links\NR-LIGHT\ab-tri_asb-54809-NR-LIGHT.txt","ribosomal protein S27A")</f>
        <v>ribosomal protein S27A</v>
      </c>
      <c r="Q142" t="str">
        <f>HYPERLINK("http://www.ncbi.nlm.nih.gov/sutils/blink.cgi?pid=17136574","1E-084")</f>
        <v>1E-084</v>
      </c>
    </row>
    <row r="143" spans="1:17">
      <c r="A143" s="7" t="s">
        <v>445</v>
      </c>
      <c r="B143" s="7">
        <v>6.0125574170566409E-5</v>
      </c>
      <c r="C143" s="7">
        <v>85572</v>
      </c>
      <c r="D143" s="7">
        <v>85577</v>
      </c>
      <c r="E143" s="7">
        <v>937.32774958961693</v>
      </c>
      <c r="F143" s="7">
        <v>55752</v>
      </c>
      <c r="G143" s="7">
        <v>55754</v>
      </c>
      <c r="H143" s="7">
        <v>1095.1200210135733</v>
      </c>
      <c r="I143" s="2">
        <f t="shared" si="4"/>
        <v>141331</v>
      </c>
      <c r="J143" s="2">
        <f t="shared" si="5"/>
        <v>1.1683426864221627</v>
      </c>
      <c r="K143" s="8" t="s">
        <v>446</v>
      </c>
      <c r="L143" t="s">
        <v>43</v>
      </c>
      <c r="M143" t="str">
        <f>HYPERLINK(".\links\NR-LIGHT\ab-tri_asb-54669-NR-LIGHT.txt","NR-LIGHT")</f>
        <v>NR-LIGHT</v>
      </c>
      <c r="N143">
        <v>0</v>
      </c>
      <c r="O143">
        <v>98</v>
      </c>
      <c r="P143" s="9" t="str">
        <f>HYPERLINK(".\links\NR-LIGHT\ab-tri_asb-54669-NR-LIGHT.txt","FI04406p")</f>
        <v>FI04406p</v>
      </c>
      <c r="Q143" t="str">
        <f>HYPERLINK("http://www.ncbi.nlm.nih.gov/sutils/blink.cgi?pid=206725560","1E-160")</f>
        <v>1E-160</v>
      </c>
    </row>
    <row r="144" spans="1:17">
      <c r="A144" s="7" t="s">
        <v>428</v>
      </c>
      <c r="B144" s="7">
        <v>1.7160273202421195E-10</v>
      </c>
      <c r="C144" s="7">
        <v>81959</v>
      </c>
      <c r="D144" s="7">
        <v>81963</v>
      </c>
      <c r="E144" s="7">
        <v>2278.2445871139448</v>
      </c>
      <c r="F144" s="7">
        <v>52571</v>
      </c>
      <c r="G144" s="7">
        <v>52574</v>
      </c>
      <c r="H144" s="7">
        <v>2620.6244776668645</v>
      </c>
      <c r="I144" s="2">
        <f t="shared" si="4"/>
        <v>134537</v>
      </c>
      <c r="J144" s="2">
        <f t="shared" si="5"/>
        <v>1.1502823237195279</v>
      </c>
      <c r="K144" s="8" t="s">
        <v>53</v>
      </c>
      <c r="L144" t="s">
        <v>43</v>
      </c>
      <c r="M144" t="str">
        <f>HYPERLINK(".\links\DIPTERA\ab-tri_asb-54343-DIPTERA.txt","DIPTERA")</f>
        <v>DIPTERA</v>
      </c>
      <c r="N144" s="1">
        <v>6.0000000000000003E-73</v>
      </c>
      <c r="O144">
        <v>92</v>
      </c>
      <c r="P144" s="9" t="str">
        <f>HYPERLINK(".\links\NR-LIGHT\ab-tri_asb-54343-NR-LIGHT.txt","midgut trypsin")</f>
        <v>midgut trypsin</v>
      </c>
      <c r="Q144" t="str">
        <f>HYPERLINK("http://www.ncbi.nlm.nih.gov/sutils/blink.cgi?pid=289740181","2E-072")</f>
        <v>2E-072</v>
      </c>
    </row>
    <row r="145" spans="1:17">
      <c r="A145" s="7" t="s">
        <v>426</v>
      </c>
      <c r="B145" s="7">
        <v>4.4169065532839724E-5</v>
      </c>
      <c r="C145" s="7">
        <v>21546</v>
      </c>
      <c r="D145" s="7">
        <v>21550</v>
      </c>
      <c r="E145" s="7">
        <v>1209.262920233075</v>
      </c>
      <c r="F145" s="7">
        <v>13638</v>
      </c>
      <c r="G145" s="7">
        <v>13642</v>
      </c>
      <c r="H145" s="7">
        <v>1372.7858000898079</v>
      </c>
      <c r="I145" s="2">
        <f t="shared" si="4"/>
        <v>35192</v>
      </c>
      <c r="J145" s="2">
        <f t="shared" si="5"/>
        <v>1.1352252492991477</v>
      </c>
      <c r="K145" s="8" t="s">
        <v>17</v>
      </c>
      <c r="L145" t="s">
        <v>23</v>
      </c>
      <c r="M145" t="str">
        <f>HYPERLINK(".\links\DIPTERA\ab-tri_asb-54185-DIPTERA.txt","DIPTERA")</f>
        <v>DIPTERA</v>
      </c>
      <c r="N145" s="1">
        <v>4.0000000000000002E-33</v>
      </c>
      <c r="O145">
        <v>100</v>
      </c>
      <c r="P145" s="9" t="str">
        <f>HYPERLINK(".\links\NR-LIGHT\ab-tri_asb-54185-NR-LIGHT.txt","hypothetical protein")</f>
        <v>hypothetical protein</v>
      </c>
      <c r="Q145" t="str">
        <f>HYPERLINK("http://www.ncbi.nlm.nih.gov/sutils/blink.cgi?pid=289739627","1E-032")</f>
        <v>1E-032</v>
      </c>
    </row>
    <row r="146" spans="1:17">
      <c r="A146" s="7" t="s">
        <v>551</v>
      </c>
      <c r="B146" s="7">
        <v>1.7213062397525292E-2</v>
      </c>
      <c r="C146" s="7">
        <v>35991</v>
      </c>
      <c r="D146" s="7">
        <v>35993</v>
      </c>
      <c r="E146" s="7">
        <v>869.2242966138466</v>
      </c>
      <c r="F146" s="7">
        <v>22682</v>
      </c>
      <c r="G146" s="7">
        <v>22682</v>
      </c>
      <c r="H146" s="7">
        <v>982.30516645769933</v>
      </c>
      <c r="I146" s="2">
        <f t="shared" si="4"/>
        <v>58675</v>
      </c>
      <c r="J146" s="2">
        <f t="shared" si="5"/>
        <v>1.1300940048320911</v>
      </c>
      <c r="K146" s="8" t="s">
        <v>219</v>
      </c>
      <c r="L146" t="s">
        <v>13</v>
      </c>
      <c r="M146" t="str">
        <f>HYPERLINK(".\links\KOG\ab-tri_asb-56299-KOG.txt","KOG")</f>
        <v>KOG</v>
      </c>
      <c r="N146">
        <v>3.9999999999999998E-6</v>
      </c>
      <c r="O146">
        <v>15.7</v>
      </c>
      <c r="P146" s="9" t="str">
        <f>HYPERLINK(".\links\NR-LIGHT\ab-tri_asb-56299-NR-LIGHT.txt","hypothetical protein")</f>
        <v>hypothetical protein</v>
      </c>
      <c r="Q146" t="str">
        <f>HYPERLINK("http://www.ncbi.nlm.nih.gov/sutils/blink.cgi?pid=289743015","1E-124")</f>
        <v>1E-124</v>
      </c>
    </row>
    <row r="147" spans="1:17">
      <c r="A147" s="7" t="s">
        <v>427</v>
      </c>
      <c r="B147" s="7">
        <v>2.4260951569186062E-2</v>
      </c>
      <c r="C147" s="7">
        <v>44812</v>
      </c>
      <c r="D147" s="7">
        <v>44819</v>
      </c>
      <c r="E147" s="7">
        <v>1002.2283186067554</v>
      </c>
      <c r="F147" s="7">
        <v>27730</v>
      </c>
      <c r="G147" s="7">
        <v>27734</v>
      </c>
      <c r="H147" s="7">
        <v>1112.162609114303</v>
      </c>
      <c r="I147" s="2">
        <f t="shared" si="4"/>
        <v>72553</v>
      </c>
      <c r="J147" s="2">
        <f t="shared" si="5"/>
        <v>1.1096898665369708</v>
      </c>
      <c r="K147" s="8" t="s">
        <v>210</v>
      </c>
      <c r="L147" t="s">
        <v>48</v>
      </c>
      <c r="M147" t="str">
        <f>HYPERLINK(".\links\SMART\ab-tri_asb-54266-SMART.txt","SMART")</f>
        <v>SMART</v>
      </c>
      <c r="N147" s="1">
        <v>7.9999999999999997E-38</v>
      </c>
      <c r="O147">
        <v>96.4</v>
      </c>
      <c r="P147" s="9" t="str">
        <f>HYPERLINK(".\links\NR-LIGHT\ab-tri_asb-54266-NR-LIGHT.txt","CG7953")</f>
        <v>CG7953</v>
      </c>
      <c r="Q147" t="str">
        <f>HYPERLINK("http://www.ncbi.nlm.nih.gov/sutils/blink.cgi?pid=116806264","5E-083")</f>
        <v>5E-083</v>
      </c>
    </row>
    <row r="148" spans="1:17">
      <c r="A148" s="7" t="s">
        <v>541</v>
      </c>
      <c r="B148" s="7">
        <v>4.5426775323043067E-3</v>
      </c>
      <c r="C148" s="7">
        <v>123632</v>
      </c>
      <c r="D148" s="7">
        <v>123747</v>
      </c>
      <c r="E148" s="7">
        <v>1662.2508575097472</v>
      </c>
      <c r="F148" s="7">
        <v>73730</v>
      </c>
      <c r="G148" s="7">
        <v>73823</v>
      </c>
      <c r="H148" s="7">
        <v>1778.2992601153726</v>
      </c>
      <c r="I148" s="2">
        <f t="shared" si="4"/>
        <v>197570</v>
      </c>
      <c r="J148" s="2">
        <f t="shared" si="5"/>
        <v>1.0698140127775178</v>
      </c>
      <c r="K148" s="8" t="s">
        <v>303</v>
      </c>
      <c r="L148" t="s">
        <v>43</v>
      </c>
      <c r="M148" t="str">
        <f>HYPERLINK(".\links\NR-LIGHT\ab-tri_asb-56175-NR-LIGHT.txt","NR-LIGHT")</f>
        <v>NR-LIGHT</v>
      </c>
      <c r="N148">
        <v>0</v>
      </c>
      <c r="O148">
        <v>100</v>
      </c>
      <c r="P148" s="9" t="str">
        <f>HYPERLINK(".\links\NR-LIGHT\ab-tri_asb-56175-NR-LIGHT.txt","chymotrypsin-like serine protease precursor")</f>
        <v>chymotrypsin-like serine protease precursor</v>
      </c>
      <c r="Q148" t="str">
        <f>HYPERLINK("http://www.ncbi.nlm.nih.gov/sutils/blink.cgi?pid=289724637","1E-159")</f>
        <v>1E-159</v>
      </c>
    </row>
    <row r="149" spans="1:17">
      <c r="A149" s="7" t="s">
        <v>552</v>
      </c>
      <c r="B149" s="7">
        <v>0</v>
      </c>
      <c r="C149" s="7">
        <v>3731962</v>
      </c>
      <c r="D149" s="7">
        <v>5147459</v>
      </c>
      <c r="E149" s="7">
        <v>93421.494967672232</v>
      </c>
      <c r="F149" s="7">
        <v>2118831</v>
      </c>
      <c r="G149" s="7">
        <v>2980967</v>
      </c>
      <c r="H149" s="7">
        <v>97020.242602718761</v>
      </c>
      <c r="I149" s="2">
        <f t="shared" si="4"/>
        <v>8128426</v>
      </c>
      <c r="J149" s="2">
        <f t="shared" si="5"/>
        <v>1.0385216232762262</v>
      </c>
      <c r="K149" s="8" t="s">
        <v>86</v>
      </c>
      <c r="L149" t="s">
        <v>28</v>
      </c>
      <c r="M149" t="str">
        <f>HYPERLINK(".\links\RRNA\ab-tri_asb-56386-RRNA.txt","RRNA")</f>
        <v>RRNA</v>
      </c>
      <c r="N149">
        <v>0</v>
      </c>
      <c r="O149">
        <v>22.5</v>
      </c>
      <c r="P149" s="9" t="str">
        <f>HYPERLINK(".\links\NR-LIGHT\ab-tri_asb-56386-NR-LIGHT.txt","hypothetical protein BSPA14S_D0022")</f>
        <v>hypothetical protein BSPA14S_D0022</v>
      </c>
      <c r="Q149" t="str">
        <f>HYPERLINK("http://www.ncbi.nlm.nih.gov/sutils/blink.cgi?pid=224985579","0.002")</f>
        <v>0.002</v>
      </c>
    </row>
    <row r="150" spans="1:17">
      <c r="A150" s="7" t="s">
        <v>344</v>
      </c>
      <c r="B150" s="7">
        <v>3.5201821768637842E-6</v>
      </c>
      <c r="C150" s="7">
        <v>194948</v>
      </c>
      <c r="D150" s="7">
        <v>285898</v>
      </c>
      <c r="E150" s="7">
        <v>4618.1365542637077</v>
      </c>
      <c r="F150" s="7">
        <v>123332</v>
      </c>
      <c r="G150" s="7">
        <v>162702</v>
      </c>
      <c r="H150" s="7">
        <v>4713.0257872911352</v>
      </c>
      <c r="I150" s="2">
        <f t="shared" si="4"/>
        <v>448600</v>
      </c>
      <c r="J150" s="2">
        <f t="shared" si="5"/>
        <v>1.0205470825542871</v>
      </c>
      <c r="K150" s="8" t="s">
        <v>82</v>
      </c>
      <c r="L150" t="s">
        <v>11</v>
      </c>
      <c r="M150" t="str">
        <f>HYPERLINK(".\links\KOG\ab-tri_asb-38520-KOG.txt","KOG")</f>
        <v>KOG</v>
      </c>
      <c r="N150" s="1">
        <v>8.0000000000000003E-61</v>
      </c>
      <c r="O150">
        <v>92.8</v>
      </c>
      <c r="P150" s="9" t="str">
        <f>HYPERLINK(".\links\NR-LIGHT\ab-tri_asb-38520-NR-LIGHT.txt","cytochrome c oxidase subunit III")</f>
        <v>cytochrome c oxidase subunit III</v>
      </c>
      <c r="Q150" t="str">
        <f>HYPERLINK("http://www.ncbi.nlm.nih.gov/sutils/blink.cgi?pid=208612548","1E-127")</f>
        <v>1E-127</v>
      </c>
    </row>
    <row r="151" spans="1:17">
      <c r="A151" s="7" t="s">
        <v>511</v>
      </c>
      <c r="B151" s="7">
        <v>1.893159473631556E-7</v>
      </c>
      <c r="C151" s="7">
        <v>566769</v>
      </c>
      <c r="D151" s="7">
        <v>586550</v>
      </c>
      <c r="E151" s="7">
        <v>6485.2848397342177</v>
      </c>
      <c r="F151" s="7">
        <v>318399</v>
      </c>
      <c r="G151" s="7">
        <v>329397</v>
      </c>
      <c r="H151" s="7">
        <v>6531.2292363517017</v>
      </c>
      <c r="I151" s="2">
        <f t="shared" si="4"/>
        <v>915947</v>
      </c>
      <c r="J151" s="2">
        <f t="shared" si="5"/>
        <v>1.0070844068923528</v>
      </c>
      <c r="K151" s="8" t="s">
        <v>512</v>
      </c>
      <c r="L151" t="s">
        <v>11</v>
      </c>
      <c r="M151" t="str">
        <f>HYPERLINK(".\links\KOG\ab-tri_asb-55887-KOG.txt","KOG")</f>
        <v>KOG</v>
      </c>
      <c r="N151" s="1">
        <v>9E-68</v>
      </c>
      <c r="O151">
        <v>115.3</v>
      </c>
      <c r="P151" s="9" t="str">
        <f>HYPERLINK(".\links\NR-LIGHT\ab-tri_asb-55887-NR-LIGHT.txt","cytochrome c oxidase subunit I")</f>
        <v>cytochrome c oxidase subunit I</v>
      </c>
      <c r="Q151" t="str">
        <f>HYPERLINK("http://www.ncbi.nlm.nih.gov/sutils/blink.cgi?pid=5835235","0.0")</f>
        <v>0.0</v>
      </c>
    </row>
    <row r="152" spans="1:17">
      <c r="A152" s="7" t="s">
        <v>302</v>
      </c>
      <c r="B152" s="7">
        <v>1.1440182134947463E-10</v>
      </c>
      <c r="C152" s="7">
        <v>386322</v>
      </c>
      <c r="D152" s="7">
        <v>409319</v>
      </c>
      <c r="E152" s="7">
        <v>9770.8532162906085</v>
      </c>
      <c r="F152" s="7">
        <v>214341</v>
      </c>
      <c r="G152" s="7">
        <v>228592</v>
      </c>
      <c r="H152" s="7">
        <v>9785.4968919232015</v>
      </c>
      <c r="I152" s="2">
        <f t="shared" si="4"/>
        <v>637911</v>
      </c>
      <c r="J152" s="2">
        <f t="shared" si="5"/>
        <v>1.0014987100213704</v>
      </c>
      <c r="K152" s="8" t="s">
        <v>303</v>
      </c>
      <c r="L152" t="s">
        <v>43</v>
      </c>
      <c r="M152" t="str">
        <f>HYPERLINK(".\links\NR-LIGHT\ab-tri_asb-2792-NR-LIGHT.txt","NR-LIGHT")</f>
        <v>NR-LIGHT</v>
      </c>
      <c r="N152">
        <v>0</v>
      </c>
      <c r="O152">
        <v>73.900000000000006</v>
      </c>
      <c r="P152" s="9" t="str">
        <f>HYPERLINK(".\links\NR-LIGHT\ab-tri_asb-2792-NR-LIGHT.txt","chymotrypsin-like serine protease precursor")</f>
        <v>chymotrypsin-like serine protease precursor</v>
      </c>
      <c r="Q152" t="str">
        <f>HYPERLINK("http://www.ncbi.nlm.nih.gov/sutils/blink.cgi?pid=9651984","1E-117")</f>
        <v>1E-117</v>
      </c>
    </row>
    <row r="153" spans="1:17">
      <c r="A153" s="7" t="s">
        <v>546</v>
      </c>
      <c r="B153" s="7">
        <v>2.267257242838383E-5</v>
      </c>
      <c r="C153" s="7">
        <v>166972</v>
      </c>
      <c r="D153" s="7">
        <v>196735</v>
      </c>
      <c r="E153" s="7">
        <v>6036.517981606642</v>
      </c>
      <c r="F153" s="7">
        <v>90172</v>
      </c>
      <c r="G153" s="7">
        <v>109580</v>
      </c>
      <c r="H153" s="7">
        <v>6029.5852018469277</v>
      </c>
      <c r="I153" s="2">
        <f t="shared" si="4"/>
        <v>306315</v>
      </c>
      <c r="J153" s="2">
        <f t="shared" si="5"/>
        <v>0.9988515266945549</v>
      </c>
      <c r="K153" s="8" t="s">
        <v>209</v>
      </c>
      <c r="L153" t="s">
        <v>43</v>
      </c>
      <c r="M153" t="str">
        <f>HYPERLINK(".\links\NR-LIGHT\ab-tri_asb-56229-NR-LIGHT.txt","NR-LIGHT")</f>
        <v>NR-LIGHT</v>
      </c>
      <c r="N153">
        <v>0</v>
      </c>
      <c r="O153">
        <v>79.599999999999994</v>
      </c>
      <c r="P153" s="9" t="str">
        <f>HYPERLINK(".\links\NR-LIGHT\ab-tri_asb-56229-NR-LIGHT.txt","trypsin-like serine protease precursor")</f>
        <v>trypsin-like serine protease precursor</v>
      </c>
      <c r="Q153" t="str">
        <f>HYPERLINK("http://www.ncbi.nlm.nih.gov/sutils/blink.cgi?pid=9651986","1E-135")</f>
        <v>1E-135</v>
      </c>
    </row>
    <row r="154" spans="1:17">
      <c r="A154" s="7" t="s">
        <v>534</v>
      </c>
      <c r="B154" s="7">
        <v>2.2880364269894926E-10</v>
      </c>
      <c r="C154" s="7">
        <v>113581</v>
      </c>
      <c r="D154" s="7">
        <v>113759</v>
      </c>
      <c r="E154" s="7">
        <v>12379.348454305215</v>
      </c>
      <c r="F154" s="7">
        <v>44668</v>
      </c>
      <c r="G154" s="7">
        <v>44695</v>
      </c>
      <c r="H154" s="7">
        <v>8722.1235620501848</v>
      </c>
      <c r="I154" s="2">
        <f t="shared" si="4"/>
        <v>158454</v>
      </c>
      <c r="J154" s="2">
        <f t="shared" si="5"/>
        <v>0.70457048642304421</v>
      </c>
      <c r="K154" s="8" t="s">
        <v>8</v>
      </c>
      <c r="L154" t="s">
        <v>9</v>
      </c>
      <c r="P154" s="9" t="str">
        <f>HYPERLINK(".\links\NR-LIGHT\ab-tri_asb-56100-NR-LIGHT.txt","hypothetical protein BRAFLDRAFT_108419")</f>
        <v>hypothetical protein BRAFLDRAFT_108419</v>
      </c>
      <c r="Q154" t="str">
        <f>HYPERLINK("http://www.ncbi.nlm.nih.gov/sutils/blink.cgi?pid=260795102","15")</f>
        <v>15</v>
      </c>
    </row>
    <row r="155" spans="1:17">
      <c r="A155" s="7" t="s">
        <v>451</v>
      </c>
      <c r="B155" s="7">
        <v>4.958063586180117E-4</v>
      </c>
      <c r="C155" s="7">
        <v>34842</v>
      </c>
      <c r="D155" s="7">
        <v>34875</v>
      </c>
      <c r="E155" s="7">
        <v>1138.9990352966227</v>
      </c>
      <c r="F155" s="7">
        <v>13348</v>
      </c>
      <c r="G155" s="7">
        <v>13356</v>
      </c>
      <c r="H155" s="7">
        <v>782.23423935175435</v>
      </c>
      <c r="I155" s="2">
        <f t="shared" si="4"/>
        <v>48231</v>
      </c>
      <c r="J155" s="2">
        <f t="shared" si="5"/>
        <v>0.68677339937170523</v>
      </c>
      <c r="K155" s="8" t="s">
        <v>342</v>
      </c>
      <c r="L155" t="s">
        <v>28</v>
      </c>
      <c r="M155" t="str">
        <f>HYPERLINK(".\links\KOG\ab-tri_asb-54793-KOG.txt","KOG")</f>
        <v>KOG</v>
      </c>
      <c r="N155" s="1">
        <v>2.0000000000000001E-97</v>
      </c>
      <c r="O155">
        <v>89.6</v>
      </c>
      <c r="P155" s="9" t="str">
        <f>HYPERLINK(".\links\NR-LIGHT\ab-tri_asb-54793-NR-LIGHT.txt","40S ribosomal protein S2")</f>
        <v>40S ribosomal protein S2</v>
      </c>
      <c r="Q155" t="str">
        <f>HYPERLINK("http://www.ncbi.nlm.nih.gov/sutils/blink.cgi?pid=289742439","1E-128")</f>
        <v>1E-128</v>
      </c>
    </row>
    <row r="156" spans="1:17">
      <c r="A156" s="7" t="s">
        <v>359</v>
      </c>
      <c r="B156" s="7">
        <v>6.6734395787193534E-11</v>
      </c>
      <c r="C156" s="7">
        <v>74079</v>
      </c>
      <c r="D156" s="7">
        <v>74120</v>
      </c>
      <c r="E156" s="7">
        <v>3563.9580044939858</v>
      </c>
      <c r="F156" s="7">
        <v>27617</v>
      </c>
      <c r="G156" s="7">
        <v>27626</v>
      </c>
      <c r="H156" s="7">
        <v>2382.1354165201196</v>
      </c>
      <c r="I156" s="2">
        <f t="shared" si="4"/>
        <v>101746</v>
      </c>
      <c r="J156" s="2">
        <f t="shared" si="5"/>
        <v>0.66839603988496987</v>
      </c>
      <c r="K156" s="8" t="s">
        <v>360</v>
      </c>
      <c r="L156" t="s">
        <v>30</v>
      </c>
      <c r="M156" t="str">
        <f>HYPERLINK(".\links\DIPTERA\ab-tri_asb-40423-DIPTERA.txt","DIPTERA")</f>
        <v>DIPTERA</v>
      </c>
      <c r="N156" s="1">
        <v>1.9999999999999999E-23</v>
      </c>
      <c r="O156">
        <v>100</v>
      </c>
      <c r="P156" s="9" t="str">
        <f>HYPERLINK(".\links\NR-LIGHT\ab-tri_asb-40423-NR-LIGHT.txt","Pro2")</f>
        <v>Pro2</v>
      </c>
      <c r="Q156" t="str">
        <f>HYPERLINK("http://www.ncbi.nlm.nih.gov/sutils/blink.cgi?pid=24266649","2E-054")</f>
        <v>2E-054</v>
      </c>
    </row>
    <row r="157" spans="1:17">
      <c r="A157" s="7" t="s">
        <v>453</v>
      </c>
      <c r="B157" s="7">
        <v>9.1912260708421067E-3</v>
      </c>
      <c r="C157" s="7">
        <v>61771</v>
      </c>
      <c r="D157" s="7">
        <v>61818</v>
      </c>
      <c r="E157" s="7">
        <v>777.17035202624004</v>
      </c>
      <c r="F157" s="7">
        <v>22978</v>
      </c>
      <c r="G157" s="7">
        <v>23007</v>
      </c>
      <c r="H157" s="7">
        <v>518.6955690810513</v>
      </c>
      <c r="I157" s="2">
        <f t="shared" si="4"/>
        <v>84825</v>
      </c>
      <c r="J157" s="2">
        <f t="shared" si="5"/>
        <v>0.66741553859936531</v>
      </c>
      <c r="K157" s="8" t="s">
        <v>165</v>
      </c>
      <c r="L157" t="s">
        <v>11</v>
      </c>
      <c r="M157" t="str">
        <f>HYPERLINK(".\links\KOG\ab-tri_asb-54803-KOG.txt","KOG")</f>
        <v>KOG</v>
      </c>
      <c r="N157">
        <v>0</v>
      </c>
      <c r="O157">
        <v>97.3</v>
      </c>
      <c r="P157" s="9" t="str">
        <f>HYPERLINK(".\links\NR-LIGHT\ab-tri_asb-54803-NR-LIGHT.txt","F0F1-type ATP synthase beta subunit")</f>
        <v>F0F1-type ATP synthase beta subunit</v>
      </c>
      <c r="Q157" t="str">
        <f>HYPERLINK("http://www.ncbi.nlm.nih.gov/sutils/blink.cgi?pid=289743389","0.0")</f>
        <v>0.0</v>
      </c>
    </row>
    <row r="158" spans="1:17">
      <c r="A158" s="7" t="s">
        <v>317</v>
      </c>
      <c r="B158" s="7">
        <v>1.9616653339549206E-4</v>
      </c>
      <c r="C158" s="7">
        <v>20093</v>
      </c>
      <c r="D158" s="7">
        <v>26708</v>
      </c>
      <c r="E158" s="7">
        <v>963.593961989268</v>
      </c>
      <c r="F158" s="7">
        <v>7535</v>
      </c>
      <c r="G158" s="7">
        <v>9895</v>
      </c>
      <c r="H158" s="7">
        <v>640.20604751164865</v>
      </c>
      <c r="I158" s="2">
        <f t="shared" si="4"/>
        <v>36603</v>
      </c>
      <c r="J158" s="2">
        <f t="shared" si="5"/>
        <v>0.66439400075732202</v>
      </c>
      <c r="K158" s="8" t="s">
        <v>176</v>
      </c>
      <c r="L158" t="s">
        <v>13</v>
      </c>
      <c r="M158" t="str">
        <f>HYPERLINK(".\links\KOG\ab-tri_asb-31145-KOG.txt","KOG")</f>
        <v>KOG</v>
      </c>
      <c r="N158" s="1">
        <v>4.0000000000000001E-54</v>
      </c>
      <c r="O158">
        <v>100</v>
      </c>
      <c r="P158" s="9" t="str">
        <f>HYPERLINK(".\links\NR-LIGHT\ab-tri_asb-31145-NR-LIGHT.txt","histone 1, H4e")</f>
        <v>histone 1, H4e</v>
      </c>
      <c r="Q158" t="str">
        <f>HYPERLINK("http://www.ncbi.nlm.nih.gov/sutils/blink.cgi?pid=119575948","2E-053")</f>
        <v>2E-053</v>
      </c>
    </row>
    <row r="159" spans="1:17">
      <c r="A159" s="7" t="s">
        <v>425</v>
      </c>
      <c r="B159" s="7">
        <v>4.0025224210260557E-4</v>
      </c>
      <c r="C159" s="7">
        <v>18961</v>
      </c>
      <c r="D159" s="7">
        <v>19157</v>
      </c>
      <c r="E159" s="7">
        <v>916.22082522904634</v>
      </c>
      <c r="F159" s="7">
        <v>7047</v>
      </c>
      <c r="G159" s="7">
        <v>7086</v>
      </c>
      <c r="H159" s="7">
        <v>607.75015586025484</v>
      </c>
      <c r="I159" s="2">
        <f t="shared" si="4"/>
        <v>26243</v>
      </c>
      <c r="J159" s="2">
        <f t="shared" si="5"/>
        <v>0.66332279197902233</v>
      </c>
      <c r="K159" s="8" t="s">
        <v>8</v>
      </c>
      <c r="L159" t="s">
        <v>9</v>
      </c>
      <c r="P159" s="9" t="str">
        <f>HYPERLINK(".\links\NR-LIGHT\ab-tri_asb-54171-NR-LIGHT.txt","T-cell receptor beta chain ANA 11")</f>
        <v>T-cell receptor beta chain ANA 11</v>
      </c>
      <c r="Q159" t="str">
        <f>HYPERLINK("http://www.ncbi.nlm.nih.gov/sutils/blink.cgi?pid=170577748","6E-007")</f>
        <v>6E-007</v>
      </c>
    </row>
    <row r="160" spans="1:17">
      <c r="A160" s="7" t="s">
        <v>430</v>
      </c>
      <c r="B160" s="7">
        <v>1.2393530646193085E-10</v>
      </c>
      <c r="C160" s="7">
        <v>45124</v>
      </c>
      <c r="D160" s="7">
        <v>45124</v>
      </c>
      <c r="E160" s="7">
        <v>2197.2399564573539</v>
      </c>
      <c r="F160" s="7">
        <v>16457</v>
      </c>
      <c r="G160" s="7">
        <v>16458</v>
      </c>
      <c r="H160" s="7">
        <v>1437.1371853392325</v>
      </c>
      <c r="I160" s="2">
        <f t="shared" si="4"/>
        <v>61582</v>
      </c>
      <c r="J160" s="2">
        <f t="shared" si="5"/>
        <v>0.65406474204863474</v>
      </c>
      <c r="K160" s="8" t="s">
        <v>186</v>
      </c>
      <c r="L160" t="s">
        <v>47</v>
      </c>
      <c r="M160" t="str">
        <f>HYPERLINK(".\links\SMART\ab-tri_asb-54403-SMART.txt","SMART")</f>
        <v>SMART</v>
      </c>
      <c r="N160">
        <v>9.9999999999999998E-13</v>
      </c>
      <c r="O160">
        <v>100</v>
      </c>
      <c r="P160" s="9" t="str">
        <f>HYPERLINK(".\links\NR-LIGHT\ab-tri_asb-54403-NR-LIGHT.txt","uncharacterized conserved protein")</f>
        <v>uncharacterized conserved protein</v>
      </c>
      <c r="Q160" t="str">
        <f>HYPERLINK("http://www.ncbi.nlm.nih.gov/sutils/blink.cgi?pid=289741691","2E-042")</f>
        <v>2E-042</v>
      </c>
    </row>
    <row r="161" spans="1:17">
      <c r="A161" s="7" t="s">
        <v>495</v>
      </c>
      <c r="B161" s="7">
        <v>5.4828118228378298E-4</v>
      </c>
      <c r="C161" s="7">
        <v>74290</v>
      </c>
      <c r="D161" s="7">
        <v>74290</v>
      </c>
      <c r="E161" s="7">
        <v>763.89514576750128</v>
      </c>
      <c r="F161" s="7">
        <v>26734</v>
      </c>
      <c r="G161" s="7">
        <v>26735</v>
      </c>
      <c r="H161" s="7">
        <v>492.98630133489723</v>
      </c>
      <c r="I161" s="2">
        <f t="shared" si="4"/>
        <v>101025</v>
      </c>
      <c r="J161" s="2">
        <f t="shared" si="5"/>
        <v>0.64535859936586415</v>
      </c>
      <c r="K161" s="8" t="s">
        <v>496</v>
      </c>
      <c r="L161" t="s">
        <v>11</v>
      </c>
      <c r="M161" t="str">
        <f>HYPERLINK(".\links\KOG\ab-tri_asb-55784-KOG.txt","KOG")</f>
        <v>KOG</v>
      </c>
      <c r="N161">
        <v>0</v>
      </c>
      <c r="O161">
        <v>82.9</v>
      </c>
      <c r="P161" s="9" t="str">
        <f>HYPERLINK(".\links\NR-LIGHT\ab-tri_asb-55784-NR-LIGHT.txt","F0F1-type ATP synthase alpha subunit")</f>
        <v>F0F1-type ATP synthase alpha subunit</v>
      </c>
      <c r="Q161" t="str">
        <f>HYPERLINK("http://www.ncbi.nlm.nih.gov/sutils/blink.cgi?pid=289742845","0.0")</f>
        <v>0.0</v>
      </c>
    </row>
    <row r="162" spans="1:17">
      <c r="A162" s="7" t="s">
        <v>568</v>
      </c>
      <c r="B162" s="7">
        <v>1.1728589126569489E-5</v>
      </c>
      <c r="C162" s="7">
        <v>28171</v>
      </c>
      <c r="D162" s="7">
        <v>28481</v>
      </c>
      <c r="E162" s="7">
        <v>932.44033526680903</v>
      </c>
      <c r="F162" s="7">
        <v>10145</v>
      </c>
      <c r="G162" s="7">
        <v>10232</v>
      </c>
      <c r="H162" s="7">
        <v>600.7276484960164</v>
      </c>
      <c r="I162" s="2">
        <f t="shared" si="4"/>
        <v>38713</v>
      </c>
      <c r="J162" s="2">
        <f t="shared" si="5"/>
        <v>0.64425317714738695</v>
      </c>
      <c r="K162" s="8" t="s">
        <v>408</v>
      </c>
      <c r="L162" t="s">
        <v>30</v>
      </c>
      <c r="M162" t="str">
        <f>HYPERLINK(".\links\GO\ab-tri_asb-56948-GO.txt","GO")</f>
        <v>GO</v>
      </c>
      <c r="N162" s="1">
        <v>3.0000000000000001E-45</v>
      </c>
      <c r="O162">
        <v>5.4</v>
      </c>
      <c r="P162" s="9" t="str">
        <f>HYPERLINK(".\links\NR-LIGHT\ab-tri_asb-56948-NR-LIGHT.txt","hypothetical protein, partial")</f>
        <v>hypothetical protein, partial</v>
      </c>
      <c r="Q162" t="str">
        <f>HYPERLINK("http://www.ncbi.nlm.nih.gov/sutils/blink.cgi?pid=115903976","9E-045")</f>
        <v>9E-045</v>
      </c>
    </row>
    <row r="163" spans="1:17">
      <c r="A163" s="7" t="s">
        <v>218</v>
      </c>
      <c r="B163" s="7">
        <v>9.4151271712561435E-3</v>
      </c>
      <c r="C163" s="7">
        <v>7723</v>
      </c>
      <c r="D163" s="7">
        <v>11284</v>
      </c>
      <c r="E163" s="7">
        <v>606.59950044778645</v>
      </c>
      <c r="F163" s="7">
        <v>2978</v>
      </c>
      <c r="G163" s="7">
        <v>4028</v>
      </c>
      <c r="H163" s="7">
        <v>388.31100954740896</v>
      </c>
      <c r="I163" s="2">
        <f t="shared" si="4"/>
        <v>15312</v>
      </c>
      <c r="J163" s="2">
        <f t="shared" si="5"/>
        <v>0.640143965269937</v>
      </c>
      <c r="K163" s="8" t="s">
        <v>59</v>
      </c>
      <c r="L163" t="s">
        <v>21</v>
      </c>
      <c r="M163" t="str">
        <f>HYPERLINK(".\links\DIPTERA\ab-tri_asb-18212-DIPTERA.txt","DIPTERA")</f>
        <v>DIPTERA</v>
      </c>
      <c r="N163" s="1">
        <v>2.0000000000000001E-62</v>
      </c>
      <c r="O163">
        <v>39.799999999999997</v>
      </c>
      <c r="P163" s="9" t="str">
        <f>HYPERLINK(".\links\NR-LIGHT\ab-tri_asb-18212-NR-LIGHT.txt","G protein-coupled receptor")</f>
        <v>G protein-coupled receptor</v>
      </c>
      <c r="Q163" t="str">
        <f>HYPERLINK("http://www.ncbi.nlm.nih.gov/sutils/blink.cgi?pid=289742673","6E-062")</f>
        <v>6E-062</v>
      </c>
    </row>
    <row r="164" spans="1:17">
      <c r="A164" s="7" t="s">
        <v>525</v>
      </c>
      <c r="B164" s="7">
        <v>7.0547463834652602E-3</v>
      </c>
      <c r="C164" s="7">
        <v>22721</v>
      </c>
      <c r="D164" s="7">
        <v>22731</v>
      </c>
      <c r="E164" s="7">
        <v>603.13991684311998</v>
      </c>
      <c r="F164" s="7">
        <v>8070</v>
      </c>
      <c r="G164" s="7">
        <v>8076</v>
      </c>
      <c r="H164" s="7">
        <v>384.27940658050051</v>
      </c>
      <c r="I164" s="2">
        <f t="shared" si="4"/>
        <v>30807</v>
      </c>
      <c r="J164" s="2">
        <f t="shared" si="5"/>
        <v>0.6371314447099572</v>
      </c>
      <c r="K164" s="8" t="s">
        <v>383</v>
      </c>
      <c r="L164" t="s">
        <v>16</v>
      </c>
      <c r="M164" t="str">
        <f>HYPERLINK(".\links\KOG\ab-tri_asb-56024-KOG.txt","KOG")</f>
        <v>KOG</v>
      </c>
      <c r="N164">
        <v>3E-9</v>
      </c>
      <c r="O164">
        <v>51.4</v>
      </c>
      <c r="P164" s="9" t="str">
        <f>HYPERLINK(".\links\NR-LIGHT\ab-tri_asb-56024-NR-LIGHT.txt","DNA-binding nuclear protein p8")</f>
        <v>DNA-binding nuclear protein p8</v>
      </c>
      <c r="Q164" t="str">
        <f>HYPERLINK("http://www.ncbi.nlm.nih.gov/sutils/blink.cgi?pid=289742343","7E-030")</f>
        <v>7E-030</v>
      </c>
    </row>
    <row r="165" spans="1:17">
      <c r="A165" s="7" t="s">
        <v>550</v>
      </c>
      <c r="B165" s="7">
        <v>8.1034623455877863E-11</v>
      </c>
      <c r="C165" s="7">
        <v>7586</v>
      </c>
      <c r="D165" s="7">
        <v>7977</v>
      </c>
      <c r="E165" s="7">
        <v>1331.749956259727</v>
      </c>
      <c r="F165" s="7">
        <v>2709</v>
      </c>
      <c r="G165" s="7">
        <v>2815</v>
      </c>
      <c r="H165" s="7">
        <v>842.77718384041236</v>
      </c>
      <c r="I165" s="2">
        <f t="shared" si="4"/>
        <v>10792</v>
      </c>
      <c r="J165" s="2">
        <f t="shared" si="5"/>
        <v>0.63283439948996567</v>
      </c>
      <c r="K165" s="8" t="s">
        <v>8</v>
      </c>
      <c r="L165" t="s">
        <v>9</v>
      </c>
      <c r="P165" s="9" t="str">
        <f>HYPERLINK(".\links\NR-LIGHT\ab-tri_asb-56268-NR-LIGHT.txt","hypothetical protein LOC100678605")</f>
        <v>hypothetical protein LOC100678605</v>
      </c>
      <c r="Q165" t="str">
        <f>HYPERLINK("http://www.ncbi.nlm.nih.gov/sutils/blink.cgi?pid=345486176","2.4")</f>
        <v>2.4</v>
      </c>
    </row>
    <row r="166" spans="1:17">
      <c r="A166" s="7" t="s">
        <v>392</v>
      </c>
      <c r="B166" s="7">
        <v>0</v>
      </c>
      <c r="C166" s="7">
        <v>56421</v>
      </c>
      <c r="D166" s="7">
        <v>58197</v>
      </c>
      <c r="E166" s="7">
        <v>3571.3750677364146</v>
      </c>
      <c r="F166" s="7">
        <v>19961</v>
      </c>
      <c r="G166" s="7">
        <v>20497</v>
      </c>
      <c r="H166" s="7">
        <v>2255.6745370004833</v>
      </c>
      <c r="I166" s="2">
        <f t="shared" si="4"/>
        <v>78694</v>
      </c>
      <c r="J166" s="2">
        <f t="shared" si="5"/>
        <v>0.63159833235610285</v>
      </c>
      <c r="K166" s="8" t="s">
        <v>393</v>
      </c>
      <c r="L166" t="s">
        <v>28</v>
      </c>
      <c r="M166" t="str">
        <f>HYPERLINK(".\links\GO\ab-tri_asb-50933-GO.txt","GO")</f>
        <v>GO</v>
      </c>
      <c r="N166" s="1">
        <v>9.9999999999999993E-77</v>
      </c>
      <c r="O166">
        <v>19.8</v>
      </c>
      <c r="P166" s="9" t="str">
        <f>HYPERLINK(".\links\NR-LIGHT\ab-tri_asb-50933-NR-LIGHT.txt","putative ubiquitin (ribosomal protein L40)")</f>
        <v>putative ubiquitin (ribosomal protein L40)</v>
      </c>
      <c r="Q166" t="str">
        <f>HYPERLINK("http://www.ncbi.nlm.nih.gov/sutils/blink.cgi?pid=353231251","6E-076")</f>
        <v>6E-076</v>
      </c>
    </row>
    <row r="167" spans="1:17">
      <c r="A167" s="7" t="s">
        <v>577</v>
      </c>
      <c r="B167" s="7">
        <v>4.1470660239184554E-10</v>
      </c>
      <c r="C167" s="7">
        <v>330085</v>
      </c>
      <c r="D167" s="7">
        <v>331460</v>
      </c>
      <c r="E167" s="7">
        <v>10695.352427664966</v>
      </c>
      <c r="F167" s="7">
        <v>112071</v>
      </c>
      <c r="G167" s="7">
        <v>112522</v>
      </c>
      <c r="H167" s="7">
        <v>6511.0748494472591</v>
      </c>
      <c r="I167" s="2">
        <f t="shared" si="4"/>
        <v>443982</v>
      </c>
      <c r="J167" s="2">
        <f t="shared" si="5"/>
        <v>0.60877609162326329</v>
      </c>
      <c r="K167" s="8" t="s">
        <v>578</v>
      </c>
      <c r="L167" t="s">
        <v>23</v>
      </c>
      <c r="M167" t="str">
        <f>HYPERLINK(".\links\DIPTERA\ab-tri_asb-57915-DIPTERA.txt","DIPTERA")</f>
        <v>DIPTERA</v>
      </c>
      <c r="N167" s="1">
        <v>3E-23</v>
      </c>
      <c r="O167">
        <v>97</v>
      </c>
      <c r="P167" s="9" t="str">
        <f>HYPERLINK(".\links\NR-LIGHT\ab-tri_asb-57915-NR-LIGHT.txt","LP20351p")</f>
        <v>LP20351p</v>
      </c>
      <c r="Q167" t="str">
        <f>HYPERLINK("http://www.ncbi.nlm.nih.gov/sutils/blink.cgi?pid=223364424","1E-021")</f>
        <v>1E-021</v>
      </c>
    </row>
    <row r="168" spans="1:17">
      <c r="A168" s="7" t="s">
        <v>529</v>
      </c>
      <c r="B168" s="7">
        <v>1.9624679103991127E-8</v>
      </c>
      <c r="C168" s="7">
        <v>26943</v>
      </c>
      <c r="D168" s="7">
        <v>50186</v>
      </c>
      <c r="E168" s="7">
        <v>867.48338225460543</v>
      </c>
      <c r="F168" s="7">
        <v>10220</v>
      </c>
      <c r="G168" s="7">
        <v>16838</v>
      </c>
      <c r="H168" s="7">
        <v>521.9397320651957</v>
      </c>
      <c r="I168" s="2">
        <f t="shared" si="4"/>
        <v>67024</v>
      </c>
      <c r="J168" s="2">
        <f t="shared" si="5"/>
        <v>0.60167115905859159</v>
      </c>
      <c r="K168" s="8" t="s">
        <v>530</v>
      </c>
      <c r="L168" t="s">
        <v>11</v>
      </c>
      <c r="M168" t="str">
        <f>HYPERLINK(".\links\KOG\ab-tri_asb-56047-KOG.txt","KOG")</f>
        <v>KOG</v>
      </c>
      <c r="N168" s="1">
        <v>5.0000000000000002E-55</v>
      </c>
      <c r="O168">
        <v>100.7</v>
      </c>
      <c r="P168" s="9" t="str">
        <f>HYPERLINK(".\links\NR-LIGHT\ab-tri_asb-56047-NR-LIGHT.txt","mitochondrial ATP synthase lipid binding protein precursor")</f>
        <v>mitochondrial ATP synthase lipid binding protein precursor</v>
      </c>
      <c r="Q168" t="str">
        <f>HYPERLINK("http://www.ncbi.nlm.nih.gov/sutils/blink.cgi?pid=289743209","3E-068")</f>
        <v>3E-068</v>
      </c>
    </row>
    <row r="169" spans="1:17">
      <c r="A169" s="7" t="s">
        <v>633</v>
      </c>
      <c r="B169" s="7">
        <v>4.6684189575207924E-6</v>
      </c>
      <c r="C169" s="7">
        <v>81948</v>
      </c>
      <c r="D169" s="7">
        <v>82053</v>
      </c>
      <c r="E169" s="7">
        <v>679.02758704511621</v>
      </c>
      <c r="F169" s="7">
        <v>27410</v>
      </c>
      <c r="G169" s="7">
        <v>27434</v>
      </c>
      <c r="H169" s="7">
        <v>407.13023903196472</v>
      </c>
      <c r="I169" s="2">
        <f t="shared" si="4"/>
        <v>109487</v>
      </c>
      <c r="J169" s="2">
        <f t="shared" si="5"/>
        <v>0.59957834821358147</v>
      </c>
      <c r="K169" s="8" t="s">
        <v>39</v>
      </c>
      <c r="L169" t="s">
        <v>10</v>
      </c>
      <c r="M169" t="str">
        <f>HYPERLINK(".\links\KOG\ab-tri_asb-9738-KOG.txt","KOG")</f>
        <v>KOG</v>
      </c>
      <c r="N169">
        <v>0</v>
      </c>
      <c r="O169">
        <v>35.5</v>
      </c>
      <c r="P169" s="9" t="str">
        <f>HYPERLINK(".\links\NR-LIGHT\ab-tri_asb-9738-NR-LIGHT.txt","myosin heavy chain")</f>
        <v>myosin heavy chain</v>
      </c>
      <c r="Q169" t="str">
        <f>HYPERLINK("http://www.ncbi.nlm.nih.gov/sutils/blink.cgi?pid=289742061","0.0")</f>
        <v>0.0</v>
      </c>
    </row>
    <row r="170" spans="1:17">
      <c r="A170" s="7" t="s">
        <v>499</v>
      </c>
      <c r="B170" s="7">
        <v>0</v>
      </c>
      <c r="C170" s="7">
        <v>63330</v>
      </c>
      <c r="D170" s="7">
        <v>63331</v>
      </c>
      <c r="E170" s="7">
        <v>1660.7392709235942</v>
      </c>
      <c r="F170" s="7">
        <v>21067</v>
      </c>
      <c r="G170" s="7">
        <v>21068</v>
      </c>
      <c r="H170" s="7">
        <v>990.73998463739338</v>
      </c>
      <c r="I170" s="2">
        <f t="shared" si="4"/>
        <v>84399</v>
      </c>
      <c r="J170" s="2">
        <f t="shared" si="5"/>
        <v>0.5965656391604498</v>
      </c>
      <c r="K170" s="8" t="s">
        <v>53</v>
      </c>
      <c r="L170" t="s">
        <v>43</v>
      </c>
      <c r="M170" t="str">
        <f>HYPERLINK(".\links\NR-LIGHT\ab-tri_asb-55793-NR-LIGHT.txt","NR-LIGHT")</f>
        <v>NR-LIGHT</v>
      </c>
      <c r="N170">
        <v>0</v>
      </c>
      <c r="O170">
        <v>100</v>
      </c>
      <c r="P170" s="9" t="str">
        <f>HYPERLINK(".\links\NR-LIGHT\ab-tri_asb-55793-NR-LIGHT.txt","midgut trypsin")</f>
        <v>midgut trypsin</v>
      </c>
      <c r="Q170" t="str">
        <f>HYPERLINK("http://www.ncbi.nlm.nih.gov/sutils/blink.cgi?pid=289724678","1E-144")</f>
        <v>1E-144</v>
      </c>
    </row>
    <row r="171" spans="1:17">
      <c r="A171" s="7" t="s">
        <v>590</v>
      </c>
      <c r="B171" s="7">
        <v>3.9088922661980052E-2</v>
      </c>
      <c r="C171" s="7">
        <v>20153</v>
      </c>
      <c r="D171" s="7">
        <v>20153</v>
      </c>
      <c r="E171" s="7">
        <v>377.48246206352553</v>
      </c>
      <c r="F171" s="7">
        <v>6677</v>
      </c>
      <c r="G171" s="7">
        <v>6677</v>
      </c>
      <c r="H171" s="7">
        <v>224.2795735381986</v>
      </c>
      <c r="I171" s="2">
        <f t="shared" si="4"/>
        <v>26830</v>
      </c>
      <c r="J171" s="2">
        <f t="shared" si="5"/>
        <v>0.59414567848308453</v>
      </c>
      <c r="K171" s="8" t="s">
        <v>14</v>
      </c>
      <c r="L171" t="s">
        <v>15</v>
      </c>
      <c r="M171" t="str">
        <f>HYPERLINK(".\links\KOG\ab-tri_asb-6029-KOG.txt","KOG")</f>
        <v>KOG</v>
      </c>
      <c r="N171" s="1">
        <v>6.0000000000000003E-72</v>
      </c>
      <c r="O171">
        <v>60</v>
      </c>
      <c r="P171" s="9" t="str">
        <f>HYPERLINK(".\links\NR-LIGHT\ab-tri_asb-6029-NR-LIGHT.txt","Glyceraldehyde-3-phosphate dehydrogenase; Short=GAPDH gi|64175015|gb|AAY41178.1|")</f>
        <v>Glyceraldehyde-3-phosphate dehydrogenase; Short=GAPDH gi|64175015|gb|AAY41178.1|</v>
      </c>
      <c r="Q171" t="str">
        <f>HYPERLINK("http://www.ncbi.nlm.nih.gov/sutils/blink.cgi?pid=74950265","0.0")</f>
        <v>0.0</v>
      </c>
    </row>
    <row r="172" spans="1:17">
      <c r="A172" s="7" t="s">
        <v>422</v>
      </c>
      <c r="B172" s="7">
        <v>4.8860702811910905E-2</v>
      </c>
      <c r="C172" s="7">
        <v>4572</v>
      </c>
      <c r="D172" s="7">
        <v>4576</v>
      </c>
      <c r="E172" s="7">
        <v>369.36076195600123</v>
      </c>
      <c r="F172" s="7">
        <v>1515</v>
      </c>
      <c r="G172" s="7">
        <v>1515</v>
      </c>
      <c r="H172" s="7">
        <v>219.29495761811634</v>
      </c>
      <c r="I172" s="2">
        <f t="shared" si="4"/>
        <v>6091</v>
      </c>
      <c r="J172" s="2">
        <f t="shared" si="5"/>
        <v>0.59371481815450411</v>
      </c>
      <c r="K172" s="8" t="s">
        <v>226</v>
      </c>
      <c r="L172" t="s">
        <v>40</v>
      </c>
      <c r="M172" t="str">
        <f>HYPERLINK(".\links\GO\ab-tri_asb-54063-GO.txt","GO")</f>
        <v>GO</v>
      </c>
      <c r="N172">
        <v>3.0000000000000001E-6</v>
      </c>
      <c r="O172">
        <v>5.7</v>
      </c>
      <c r="P172" s="9" t="str">
        <f>HYPERLINK(".\links\NR-LIGHT\ab-tri_asb-54063-NR-LIGHT.txt","hypothetical protein")</f>
        <v>hypothetical protein</v>
      </c>
      <c r="Q172" t="str">
        <f>HYPERLINK("http://www.ncbi.nlm.nih.gov/sutils/blink.cgi?pid=71749282","2E-007")</f>
        <v>2E-007</v>
      </c>
    </row>
    <row r="173" spans="1:17">
      <c r="A173" s="7" t="s">
        <v>461</v>
      </c>
      <c r="B173" s="7">
        <v>3.989369424355349E-3</v>
      </c>
      <c r="C173" s="7">
        <v>4380</v>
      </c>
      <c r="D173" s="7">
        <v>4386</v>
      </c>
      <c r="E173" s="7">
        <v>438.25342870650013</v>
      </c>
      <c r="F173" s="7">
        <v>1446</v>
      </c>
      <c r="G173" s="7">
        <v>1447</v>
      </c>
      <c r="H173" s="7">
        <v>259.28446544038422</v>
      </c>
      <c r="I173" s="2">
        <f t="shared" si="4"/>
        <v>5833</v>
      </c>
      <c r="J173" s="2">
        <f t="shared" si="5"/>
        <v>0.59163134491761826</v>
      </c>
      <c r="K173" s="8" t="s">
        <v>8</v>
      </c>
      <c r="L173" t="s">
        <v>9</v>
      </c>
      <c r="P173" s="9" t="str">
        <f>HYPERLINK(".\links\NR-LIGHT\ab-tri_asb-54989-NR-LIGHT.txt","mushroom body defect protein")</f>
        <v>mushroom body defect protein</v>
      </c>
      <c r="Q173" t="str">
        <f>HYPERLINK("http://www.ncbi.nlm.nih.gov/sutils/blink.cgi?pid=170064637","9.2")</f>
        <v>9.2</v>
      </c>
    </row>
    <row r="174" spans="1:17">
      <c r="A174" s="7" t="s">
        <v>401</v>
      </c>
      <c r="B174" s="7">
        <v>8.6265170062826968E-7</v>
      </c>
      <c r="C174" s="7">
        <v>36255</v>
      </c>
      <c r="D174" s="7">
        <v>36257</v>
      </c>
      <c r="E174" s="7">
        <v>673.49179724651844</v>
      </c>
      <c r="F174" s="7">
        <v>11891</v>
      </c>
      <c r="G174" s="7">
        <v>11891</v>
      </c>
      <c r="H174" s="7">
        <v>396.10479018400565</v>
      </c>
      <c r="I174" s="2">
        <f t="shared" si="4"/>
        <v>48148</v>
      </c>
      <c r="J174" s="2">
        <f t="shared" si="5"/>
        <v>0.58813602749644067</v>
      </c>
      <c r="K174" s="8" t="s">
        <v>402</v>
      </c>
      <c r="L174" t="s">
        <v>33</v>
      </c>
      <c r="M174" t="str">
        <f>HYPERLINK(".\links\NR-LIGHT\ab-tri_asb-51699-NR-LIGHT.txt","NR-LIGHT")</f>
        <v>NR-LIGHT</v>
      </c>
      <c r="N174" s="1">
        <v>5.0000000000000003E-38</v>
      </c>
      <c r="O174">
        <v>98</v>
      </c>
      <c r="P174" s="9" t="str">
        <f>HYPERLINK(".\links\NR-LIGHT\ab-tri_asb-51699-NR-LIGHT.txt","uncharacterized conserved protein")</f>
        <v>uncharacterized conserved protein</v>
      </c>
      <c r="Q174" t="str">
        <f>HYPERLINK("http://www.ncbi.nlm.nih.gov/sutils/blink.cgi?pid=289743309","2E-080")</f>
        <v>2E-080</v>
      </c>
    </row>
    <row r="175" spans="1:17">
      <c r="A175" s="7" t="s">
        <v>283</v>
      </c>
      <c r="B175" s="7">
        <v>1.4166878045673847E-5</v>
      </c>
      <c r="C175" s="7">
        <v>41731</v>
      </c>
      <c r="D175" s="7">
        <v>41954</v>
      </c>
      <c r="E175" s="7">
        <v>587.63462045957783</v>
      </c>
      <c r="F175" s="7">
        <v>13670</v>
      </c>
      <c r="G175" s="7">
        <v>13738</v>
      </c>
      <c r="H175" s="7">
        <v>345.07125532698313</v>
      </c>
      <c r="I175" s="2">
        <f t="shared" si="4"/>
        <v>55692</v>
      </c>
      <c r="J175" s="2">
        <f t="shared" si="5"/>
        <v>0.58722077173926457</v>
      </c>
      <c r="K175" s="8" t="s">
        <v>284</v>
      </c>
      <c r="L175" t="s">
        <v>28</v>
      </c>
      <c r="M175" t="str">
        <f>HYPERLINK(".\links\NR-LIGHT\ab-tri_asb-2566-NR-LIGHT.txt","NR-LIGHT")</f>
        <v>NR-LIGHT</v>
      </c>
      <c r="N175">
        <v>0</v>
      </c>
      <c r="O175">
        <v>100</v>
      </c>
      <c r="P175" s="9" t="str">
        <f>HYPERLINK(".\links\NR-LIGHT\ab-tri_asb-2566-NR-LIGHT.txt","60s acidic ribosomal protein P0")</f>
        <v>60s acidic ribosomal protein P0</v>
      </c>
      <c r="Q175" t="str">
        <f>HYPERLINK("http://www.ncbi.nlm.nih.gov/sutils/blink.cgi?pid=289742497","1E-172")</f>
        <v>1E-172</v>
      </c>
    </row>
    <row r="176" spans="1:17">
      <c r="A176" s="7" t="s">
        <v>325</v>
      </c>
      <c r="B176" s="7">
        <v>6.009295535125414E-4</v>
      </c>
      <c r="C176" s="7">
        <v>12153</v>
      </c>
      <c r="D176" s="7">
        <v>12153</v>
      </c>
      <c r="E176" s="7">
        <v>427.56201437876342</v>
      </c>
      <c r="F176" s="7">
        <v>3871</v>
      </c>
      <c r="G176" s="7">
        <v>3871</v>
      </c>
      <c r="H176" s="7">
        <v>244.22496678324049</v>
      </c>
      <c r="I176" s="2">
        <f t="shared" si="4"/>
        <v>16024</v>
      </c>
      <c r="J176" s="2">
        <f t="shared" si="5"/>
        <v>0.57120361156987498</v>
      </c>
      <c r="K176" s="8" t="s">
        <v>326</v>
      </c>
      <c r="L176" t="s">
        <v>23</v>
      </c>
      <c r="M176" t="str">
        <f>HYPERLINK(".\links\DIPTERA\ab-tri_asb-33216-DIPTERA.txt","DIPTERA")</f>
        <v>DIPTERA</v>
      </c>
      <c r="N176" s="1">
        <v>4E-52</v>
      </c>
      <c r="O176">
        <v>100</v>
      </c>
      <c r="P176" s="9" t="str">
        <f>HYPERLINK(".\links\NR-LIGHT\ab-tri_asb-33216-NR-LIGHT.txt","Pro1")</f>
        <v>Pro1</v>
      </c>
      <c r="Q176" t="str">
        <f>HYPERLINK("http://www.ncbi.nlm.nih.gov/sutils/blink.cgi?pid=24266646","1E-051")</f>
        <v>1E-051</v>
      </c>
    </row>
    <row r="177" spans="1:17">
      <c r="A177" s="7" t="s">
        <v>572</v>
      </c>
      <c r="B177" s="7">
        <v>4.023617878545771E-5</v>
      </c>
      <c r="C177" s="7">
        <v>41744</v>
      </c>
      <c r="D177" s="7">
        <v>41746</v>
      </c>
      <c r="E177" s="7">
        <v>468.31388057427358</v>
      </c>
      <c r="F177" s="7">
        <v>13091</v>
      </c>
      <c r="G177" s="7">
        <v>13091</v>
      </c>
      <c r="H177" s="7">
        <v>263.35784245181117</v>
      </c>
      <c r="I177" s="2">
        <f t="shared" si="4"/>
        <v>54837</v>
      </c>
      <c r="J177" s="2">
        <f t="shared" si="5"/>
        <v>0.56235327069286634</v>
      </c>
      <c r="K177" s="8" t="s">
        <v>114</v>
      </c>
      <c r="L177" t="s">
        <v>11</v>
      </c>
      <c r="M177" t="str">
        <f>HYPERLINK(".\links\KOG\ab-tri_asb-57168-KOG.txt","KOG")</f>
        <v>KOG</v>
      </c>
      <c r="N177">
        <v>0</v>
      </c>
      <c r="O177">
        <v>95.3</v>
      </c>
      <c r="P177" s="9" t="str">
        <f>HYPERLINK(".\links\NR-LIGHT\ab-tri_asb-57168-NR-LIGHT.txt","arginine kinase, isoform A")</f>
        <v>arginine kinase, isoform A</v>
      </c>
      <c r="Q177" t="str">
        <f>HYPERLINK("http://www.ncbi.nlm.nih.gov/sutils/blink.cgi?pid=24661336","0.0")</f>
        <v>0.0</v>
      </c>
    </row>
    <row r="178" spans="1:17">
      <c r="A178" s="7" t="s">
        <v>483</v>
      </c>
      <c r="B178" s="7">
        <v>4.3912176242999479E-5</v>
      </c>
      <c r="C178" s="7">
        <v>16666</v>
      </c>
      <c r="D178" s="7">
        <v>16667</v>
      </c>
      <c r="E178" s="7">
        <v>451.146052943239</v>
      </c>
      <c r="F178" s="7">
        <v>5180</v>
      </c>
      <c r="G178" s="7">
        <v>5181</v>
      </c>
      <c r="H178" s="7">
        <v>251.49224067793395</v>
      </c>
      <c r="I178" s="2">
        <f t="shared" si="4"/>
        <v>21848</v>
      </c>
      <c r="J178" s="2">
        <f t="shared" si="5"/>
        <v>0.55745193610188915</v>
      </c>
      <c r="K178" s="8" t="s">
        <v>101</v>
      </c>
      <c r="L178" t="s">
        <v>43</v>
      </c>
      <c r="M178" t="str">
        <f>HYPERLINK(".\links\NR-LIGHT\ab-tri_asb-55610-NR-LIGHT.txt","NR-LIGHT")</f>
        <v>NR-LIGHT</v>
      </c>
      <c r="N178">
        <v>0</v>
      </c>
      <c r="O178">
        <v>100</v>
      </c>
      <c r="P178" s="9" t="str">
        <f>HYPERLINK(".\links\NR-LIGHT\ab-tri_asb-55610-NR-LIGHT.txt","trypsin")</f>
        <v>trypsin</v>
      </c>
      <c r="Q178" t="str">
        <f>HYPERLINK("http://www.ncbi.nlm.nih.gov/sutils/blink.cgi?pid=289740257","1E-163")</f>
        <v>1E-163</v>
      </c>
    </row>
    <row r="179" spans="1:17">
      <c r="A179" s="7" t="s">
        <v>500</v>
      </c>
      <c r="B179" s="7">
        <v>1.3351645899994935E-8</v>
      </c>
      <c r="C179" s="7">
        <v>64575</v>
      </c>
      <c r="D179" s="7">
        <v>64579</v>
      </c>
      <c r="E179" s="7">
        <v>634.43071108644233</v>
      </c>
      <c r="F179" s="7">
        <v>20004</v>
      </c>
      <c r="G179" s="7">
        <v>20006</v>
      </c>
      <c r="H179" s="7">
        <v>352.45560213218107</v>
      </c>
      <c r="I179" s="2">
        <f t="shared" si="4"/>
        <v>84585</v>
      </c>
      <c r="J179" s="2">
        <f t="shared" si="5"/>
        <v>0.55554624953229659</v>
      </c>
      <c r="K179" s="8" t="s">
        <v>501</v>
      </c>
      <c r="L179" t="s">
        <v>46</v>
      </c>
      <c r="M179" t="str">
        <f>HYPERLINK(".\links\NR-LIGHT\ab-tri_asb-55796-NR-LIGHT.txt","NR-LIGHT")</f>
        <v>NR-LIGHT</v>
      </c>
      <c r="N179">
        <v>0</v>
      </c>
      <c r="O179">
        <v>100</v>
      </c>
      <c r="P179" s="9" t="str">
        <f>HYPERLINK(".\links\NR-LIGHT\ab-tri_asb-55796-NR-LIGHT.txt","ferritin light-chain")</f>
        <v>ferritin light-chain</v>
      </c>
      <c r="Q179" t="str">
        <f>HYPERLINK("http://www.ncbi.nlm.nih.gov/sutils/blink.cgi?pid=82408370","1E-122")</f>
        <v>1E-122</v>
      </c>
    </row>
    <row r="180" spans="1:17">
      <c r="A180" s="7" t="s">
        <v>331</v>
      </c>
      <c r="B180" s="7">
        <v>4.6417636048506905E-3</v>
      </c>
      <c r="C180" s="7">
        <v>7266</v>
      </c>
      <c r="D180" s="7">
        <v>7268</v>
      </c>
      <c r="E180" s="7">
        <v>336.81847116870637</v>
      </c>
      <c r="F180" s="7">
        <v>2251</v>
      </c>
      <c r="G180" s="7">
        <v>2251</v>
      </c>
      <c r="H180" s="7">
        <v>187.07155140122967</v>
      </c>
      <c r="I180" s="2">
        <f t="shared" si="4"/>
        <v>9519</v>
      </c>
      <c r="J180" s="2">
        <f t="shared" si="5"/>
        <v>0.55540763768721246</v>
      </c>
      <c r="K180" s="8" t="s">
        <v>332</v>
      </c>
      <c r="L180" t="s">
        <v>23</v>
      </c>
      <c r="M180" t="str">
        <f>HYPERLINK(".\links\DIPTERA\ab-tri_asb-35096-DIPTERA.txt","DIPTERA")</f>
        <v>DIPTERA</v>
      </c>
      <c r="N180" s="1">
        <v>4.9999999999999997E-21</v>
      </c>
      <c r="O180">
        <v>99.3</v>
      </c>
      <c r="P180" s="9" t="str">
        <f>HYPERLINK(".\links\NR-LIGHT\ab-tri_asb-35096-NR-LIGHT.txt","CG13102")</f>
        <v>CG13102</v>
      </c>
      <c r="Q180" t="str">
        <f>HYPERLINK("http://www.ncbi.nlm.nih.gov/sutils/blink.cgi?pid=28574096","4E-018")</f>
        <v>4E-018</v>
      </c>
    </row>
    <row r="181" spans="1:17">
      <c r="A181" s="7" t="s">
        <v>593</v>
      </c>
      <c r="B181" s="7">
        <v>8.4700308685575765E-3</v>
      </c>
      <c r="C181" s="7">
        <v>9175</v>
      </c>
      <c r="D181" s="7">
        <v>9175</v>
      </c>
      <c r="E181" s="7">
        <v>319.44621577806305</v>
      </c>
      <c r="F181" s="7">
        <v>2834</v>
      </c>
      <c r="G181" s="7">
        <v>2834</v>
      </c>
      <c r="H181" s="7">
        <v>176.94683219043074</v>
      </c>
      <c r="I181" s="2">
        <f t="shared" si="4"/>
        <v>12009</v>
      </c>
      <c r="J181" s="2">
        <f t="shared" si="5"/>
        <v>0.55391744666452858</v>
      </c>
      <c r="K181" s="8" t="s">
        <v>8</v>
      </c>
      <c r="L181" t="s">
        <v>9</v>
      </c>
      <c r="P181" s="9" t="str">
        <f>HYPERLINK(".\links\NR-LIGHT\ab-tri_asb-6412-NR-LIGHT.txt","tubulin")</f>
        <v>tubulin</v>
      </c>
      <c r="Q181" t="str">
        <f>HYPERLINK("http://www.ncbi.nlm.nih.gov/sutils/blink.cgi?pid=221059725","2.2")</f>
        <v>2.2</v>
      </c>
    </row>
    <row r="182" spans="1:17">
      <c r="A182" s="7" t="s">
        <v>491</v>
      </c>
      <c r="B182" s="7">
        <v>3.4012307857489432E-4</v>
      </c>
      <c r="C182" s="7">
        <v>51698</v>
      </c>
      <c r="D182" s="7">
        <v>51702</v>
      </c>
      <c r="E182" s="7">
        <v>389.04950607594418</v>
      </c>
      <c r="F182" s="7">
        <v>15923</v>
      </c>
      <c r="G182" s="7">
        <v>15923</v>
      </c>
      <c r="H182" s="7">
        <v>214.86896473507511</v>
      </c>
      <c r="I182" s="2">
        <f t="shared" si="4"/>
        <v>67625</v>
      </c>
      <c r="J182" s="2">
        <f t="shared" si="5"/>
        <v>0.55229208977104249</v>
      </c>
      <c r="K182" s="8" t="s">
        <v>492</v>
      </c>
      <c r="L182" t="s">
        <v>18</v>
      </c>
      <c r="M182" t="str">
        <f>HYPERLINK(".\links\SWISSP\ab-tri_asb-55753-SWISSP.txt","SWISSP")</f>
        <v>SWISSP</v>
      </c>
      <c r="N182">
        <v>0</v>
      </c>
      <c r="O182">
        <v>99.6</v>
      </c>
      <c r="P182" s="9" t="str">
        <f>HYPERLINK(".\links\NR-LIGHT\ab-tri_asb-55753-NR-LIGHT.txt","calcium ATPase at 60A, isoform B")</f>
        <v>calcium ATPase at 60A, isoform B</v>
      </c>
      <c r="Q182" t="str">
        <f>HYPERLINK("http://www.ncbi.nlm.nih.gov/sutils/blink.cgi?pid=24762445","0.0")</f>
        <v>0.0</v>
      </c>
    </row>
    <row r="183" spans="1:17">
      <c r="A183" s="7" t="s">
        <v>409</v>
      </c>
      <c r="B183" s="7">
        <v>0</v>
      </c>
      <c r="C183" s="7">
        <v>23886</v>
      </c>
      <c r="D183" s="7">
        <v>23897</v>
      </c>
      <c r="E183" s="7">
        <v>943.20315942529521</v>
      </c>
      <c r="F183" s="7">
        <v>7322</v>
      </c>
      <c r="G183" s="7">
        <v>7324</v>
      </c>
      <c r="H183" s="7">
        <v>518.39579513253466</v>
      </c>
      <c r="I183" s="2">
        <f t="shared" si="4"/>
        <v>31221</v>
      </c>
      <c r="J183" s="2">
        <f t="shared" si="5"/>
        <v>0.54961202149534716</v>
      </c>
      <c r="K183" s="8" t="s">
        <v>25</v>
      </c>
      <c r="L183" t="s">
        <v>23</v>
      </c>
      <c r="M183" t="str">
        <f>HYPERLINK(".\links\DIPTERA\ab-tri_asb-52799-DIPTERA.txt","DIPTERA")</f>
        <v>DIPTERA</v>
      </c>
      <c r="N183" s="1">
        <v>5.0000000000000003E-34</v>
      </c>
      <c r="O183">
        <v>100</v>
      </c>
      <c r="P183" s="9" t="str">
        <f>HYPERLINK(".\links\NR-LIGHT\ab-tri_asb-52799-NR-LIGHT.txt","hypothetical conserved protein")</f>
        <v>hypothetical conserved protein</v>
      </c>
      <c r="Q183" t="str">
        <f>HYPERLINK("http://www.ncbi.nlm.nih.gov/sutils/blink.cgi?pid=289742239","2E-033")</f>
        <v>2E-033</v>
      </c>
    </row>
    <row r="184" spans="1:17">
      <c r="A184" s="7" t="s">
        <v>604</v>
      </c>
      <c r="B184" s="7">
        <v>2.0996283767706347E-2</v>
      </c>
      <c r="C184" s="7">
        <v>20945</v>
      </c>
      <c r="D184" s="7">
        <v>20985</v>
      </c>
      <c r="E184" s="7">
        <v>286.75670985513</v>
      </c>
      <c r="F184" s="7">
        <v>6396</v>
      </c>
      <c r="G184" s="7">
        <v>6406</v>
      </c>
      <c r="H184" s="7">
        <v>156.97945641066056</v>
      </c>
      <c r="I184" s="2">
        <f t="shared" si="4"/>
        <v>27391</v>
      </c>
      <c r="J184" s="2">
        <f t="shared" si="5"/>
        <v>0.54743080463563298</v>
      </c>
      <c r="K184" s="8" t="s">
        <v>111</v>
      </c>
      <c r="L184" t="s">
        <v>33</v>
      </c>
      <c r="M184" t="str">
        <f>HYPERLINK(".\links\KOG\ab-tri_asb-7620-KOG.txt","KOG")</f>
        <v>KOG</v>
      </c>
      <c r="N184">
        <v>0</v>
      </c>
      <c r="O184">
        <v>99.3</v>
      </c>
      <c r="P184" s="9" t="str">
        <f>HYPERLINK(".\links\NR-LIGHT\ab-tri_asb-7620-NR-LIGHT.txt","aromatic amino acid hydroxylase")</f>
        <v>aromatic amino acid hydroxylase</v>
      </c>
      <c r="Q184" t="str">
        <f>HYPERLINK("http://www.ncbi.nlm.nih.gov/sutils/blink.cgi?pid=289739715","0.0")</f>
        <v>0.0</v>
      </c>
    </row>
    <row r="185" spans="1:17">
      <c r="A185" s="7" t="s">
        <v>177</v>
      </c>
      <c r="B185" s="7">
        <v>3.3080959769837825E-5</v>
      </c>
      <c r="C185" s="7">
        <v>27604</v>
      </c>
      <c r="D185" s="7">
        <v>27610</v>
      </c>
      <c r="E185" s="7">
        <v>426.5069706919823</v>
      </c>
      <c r="F185" s="7">
        <v>8416</v>
      </c>
      <c r="G185" s="7">
        <v>8419</v>
      </c>
      <c r="H185" s="7">
        <v>233.22306993143084</v>
      </c>
      <c r="I185" s="2">
        <f t="shared" si="4"/>
        <v>36029</v>
      </c>
      <c r="J185" s="2">
        <f t="shared" si="5"/>
        <v>0.54682123847364139</v>
      </c>
      <c r="K185" s="8" t="s">
        <v>94</v>
      </c>
      <c r="L185" t="s">
        <v>33</v>
      </c>
      <c r="M185" t="str">
        <f>HYPERLINK(".\links\KOG\ab-tri_asb-1656-KOG.txt","KOG")</f>
        <v>KOG</v>
      </c>
      <c r="N185" s="1">
        <v>8.9999999999999999E-83</v>
      </c>
      <c r="O185">
        <v>90.9</v>
      </c>
      <c r="P185" s="9" t="str">
        <f>HYPERLINK(".\links\NR-LIGHT\ab-tri_asb-1656-NR-LIGHT.txt","short-chain acyl-CoA dehydrogenase")</f>
        <v>short-chain acyl-CoA dehydrogenase</v>
      </c>
      <c r="Q185" t="str">
        <f>HYPERLINK("http://www.ncbi.nlm.nih.gov/sutils/blink.cgi?pid=289743333","0.0")</f>
        <v>0.0</v>
      </c>
    </row>
    <row r="186" spans="1:17">
      <c r="A186" s="7" t="s">
        <v>394</v>
      </c>
      <c r="B186" s="7">
        <v>0</v>
      </c>
      <c r="C186" s="7">
        <v>44765</v>
      </c>
      <c r="D186" s="7">
        <v>44770</v>
      </c>
      <c r="E186" s="7">
        <v>1769.6490889655968</v>
      </c>
      <c r="F186" s="7">
        <v>13646</v>
      </c>
      <c r="G186" s="7">
        <v>13648</v>
      </c>
      <c r="H186" s="7">
        <v>967.43177505677852</v>
      </c>
      <c r="I186" s="2">
        <f t="shared" si="4"/>
        <v>58418</v>
      </c>
      <c r="J186" s="2">
        <f t="shared" si="5"/>
        <v>0.54668000627303237</v>
      </c>
      <c r="K186" s="8" t="s">
        <v>8</v>
      </c>
      <c r="L186" t="s">
        <v>9</v>
      </c>
      <c r="P186" s="9" t="str">
        <f>HYPERLINK(".\links\NR-LIGHT\ab-tri_asb-51018-NR-LIGHT.txt","hypothetical secreted protein")</f>
        <v>hypothetical secreted protein</v>
      </c>
      <c r="Q186" t="str">
        <f>HYPERLINK("http://www.ncbi.nlm.nih.gov/sutils/blink.cgi?pid=289741827","0.12")</f>
        <v>0.12</v>
      </c>
    </row>
    <row r="187" spans="1:17">
      <c r="A187" s="7" t="s">
        <v>532</v>
      </c>
      <c r="B187" s="7">
        <v>3.0309670982497927E-5</v>
      </c>
      <c r="C187" s="7">
        <v>7975</v>
      </c>
      <c r="D187" s="7">
        <v>8031</v>
      </c>
      <c r="E187" s="7">
        <v>424.09272131203846</v>
      </c>
      <c r="F187" s="7">
        <v>2439</v>
      </c>
      <c r="G187" s="7">
        <v>2441</v>
      </c>
      <c r="H187" s="7">
        <v>231.15870007814291</v>
      </c>
      <c r="I187" s="2">
        <f t="shared" si="4"/>
        <v>10472</v>
      </c>
      <c r="J187" s="2">
        <f t="shared" si="5"/>
        <v>0.54506641699247937</v>
      </c>
      <c r="K187" s="8" t="s">
        <v>8</v>
      </c>
      <c r="L187" t="s">
        <v>9</v>
      </c>
      <c r="P187" s="9" t="str">
        <f>HYPERLINK(".\links\NR-LIGHT\ab-tri_asb-56071-NR-LIGHT.txt","putative RNA dependent RNA polymerase")</f>
        <v>putative RNA dependent RNA polymerase</v>
      </c>
      <c r="Q187" t="str">
        <f>HYPERLINK("http://www.ncbi.nlm.nih.gov/sutils/blink.cgi?pid=157283296","0.002")</f>
        <v>0.002</v>
      </c>
    </row>
    <row r="188" spans="1:17">
      <c r="A188" s="7" t="s">
        <v>376</v>
      </c>
      <c r="B188" s="7">
        <v>1.9800085005397539E-2</v>
      </c>
      <c r="C188" s="7">
        <v>9094</v>
      </c>
      <c r="D188" s="7">
        <v>9094</v>
      </c>
      <c r="E188" s="7">
        <v>282.58416219149984</v>
      </c>
      <c r="F188" s="7">
        <v>2761</v>
      </c>
      <c r="G188" s="7">
        <v>2761</v>
      </c>
      <c r="H188" s="7">
        <v>153.85462131558802</v>
      </c>
      <c r="I188" s="2">
        <f t="shared" si="4"/>
        <v>11855</v>
      </c>
      <c r="J188" s="2">
        <f t="shared" si="5"/>
        <v>0.54445592464352199</v>
      </c>
      <c r="K188" s="8" t="s">
        <v>377</v>
      </c>
      <c r="L188" t="s">
        <v>23</v>
      </c>
      <c r="M188" t="str">
        <f>HYPERLINK(".\links\DIPTERA\ab-tri_asb-45371-DIPTERA.txt","DIPTERA")</f>
        <v>DIPTERA</v>
      </c>
      <c r="N188" s="1">
        <v>3E-24</v>
      </c>
      <c r="O188">
        <v>79.599999999999994</v>
      </c>
      <c r="P188" s="9" t="str">
        <f>HYPERLINK(".\links\NR-LIGHT\ab-tri_asb-45371-NR-LIGHT.txt","CG9691, isoform A")</f>
        <v>CG9691, isoform A</v>
      </c>
      <c r="Q188" t="str">
        <f>HYPERLINK("http://www.ncbi.nlm.nih.gov/sutils/blink.cgi?pid=24640897","1E-018")</f>
        <v>1E-018</v>
      </c>
    </row>
    <row r="189" spans="1:17">
      <c r="A189" s="7" t="s">
        <v>387</v>
      </c>
      <c r="B189" s="7">
        <v>2.5757774617757301E-3</v>
      </c>
      <c r="C189" s="7">
        <v>5247</v>
      </c>
      <c r="D189" s="7">
        <v>5251</v>
      </c>
      <c r="E189" s="7">
        <v>321.50406857970995</v>
      </c>
      <c r="F189" s="7">
        <v>1588</v>
      </c>
      <c r="G189" s="7">
        <v>1588</v>
      </c>
      <c r="H189" s="7">
        <v>174.35974464660967</v>
      </c>
      <c r="I189" s="2">
        <f t="shared" si="4"/>
        <v>6839</v>
      </c>
      <c r="J189" s="2">
        <f t="shared" si="5"/>
        <v>0.54232515755358457</v>
      </c>
      <c r="K189" s="8" t="s">
        <v>157</v>
      </c>
      <c r="L189" t="s">
        <v>48</v>
      </c>
      <c r="M189" t="str">
        <f>HYPERLINK(".\links\DIPTERA\ab-tri_asb-50454-DIPTERA.txt","DIPTERA")</f>
        <v>DIPTERA</v>
      </c>
      <c r="N189">
        <v>2.9999999999999998E-14</v>
      </c>
      <c r="O189">
        <v>100</v>
      </c>
      <c r="P189" s="9" t="str">
        <f>HYPERLINK(".\links\NR-LIGHT\ab-tri_asb-50454-NR-LIGHT.txt","putative salivary secreted peptide")</f>
        <v>putative salivary secreted peptide</v>
      </c>
      <c r="Q189" t="str">
        <f>HYPERLINK("http://www.ncbi.nlm.nih.gov/sutils/blink.cgi?pid=289743543","1E-013")</f>
        <v>1E-013</v>
      </c>
    </row>
    <row r="190" spans="1:17">
      <c r="A190" s="7" t="s">
        <v>232</v>
      </c>
      <c r="B190" s="7">
        <v>4.432583549671687E-3</v>
      </c>
      <c r="C190" s="7">
        <v>55527</v>
      </c>
      <c r="D190" s="7">
        <v>55556</v>
      </c>
      <c r="E190" s="7">
        <v>309.55130930333365</v>
      </c>
      <c r="F190" s="7">
        <v>16785</v>
      </c>
      <c r="G190" s="7">
        <v>16790</v>
      </c>
      <c r="H190" s="7">
        <v>167.76588163280431</v>
      </c>
      <c r="I190" s="2">
        <f t="shared" si="4"/>
        <v>72346</v>
      </c>
      <c r="J190" s="2">
        <f t="shared" si="5"/>
        <v>0.54196469725931018</v>
      </c>
      <c r="K190" s="8" t="s">
        <v>104</v>
      </c>
      <c r="L190" t="s">
        <v>33</v>
      </c>
      <c r="M190" t="str">
        <f>HYPERLINK(".\links\KOG\ab-tri_asb-20632-KOG.txt","KOG")</f>
        <v>KOG</v>
      </c>
      <c r="N190">
        <v>0</v>
      </c>
      <c r="O190">
        <v>94.4</v>
      </c>
      <c r="P190" s="9" t="str">
        <f>HYPERLINK(".\links\NR-LIGHT\ab-tri_asb-20632-NR-LIGHT.txt","angiotensin converting enzyme, isoform A")</f>
        <v>angiotensin converting enzyme, isoform A</v>
      </c>
      <c r="Q190" t="str">
        <f>HYPERLINK("http://www.ncbi.nlm.nih.gov/sutils/blink.cgi?pid=17137008","0.0")</f>
        <v>0.0</v>
      </c>
    </row>
    <row r="191" spans="1:17">
      <c r="A191" s="7" t="s">
        <v>603</v>
      </c>
      <c r="B191" s="7">
        <v>5.9010391269814777E-3</v>
      </c>
      <c r="C191" s="7">
        <v>22848</v>
      </c>
      <c r="D191" s="7">
        <v>22850</v>
      </c>
      <c r="E191" s="7">
        <v>298.72534354521292</v>
      </c>
      <c r="F191" s="7">
        <v>6873</v>
      </c>
      <c r="G191" s="7">
        <v>6874</v>
      </c>
      <c r="H191" s="7">
        <v>161.15606849022367</v>
      </c>
      <c r="I191" s="2">
        <f t="shared" si="4"/>
        <v>29724</v>
      </c>
      <c r="J191" s="2">
        <f t="shared" si="5"/>
        <v>0.53947906320118522</v>
      </c>
      <c r="K191" s="8" t="s">
        <v>163</v>
      </c>
      <c r="L191" t="s">
        <v>11</v>
      </c>
      <c r="M191" t="str">
        <f>HYPERLINK(".\links\KOG\ab-tri_asb-7067-KOG.txt","KOG")</f>
        <v>KOG</v>
      </c>
      <c r="N191">
        <v>0</v>
      </c>
      <c r="O191">
        <v>96.5</v>
      </c>
      <c r="P191" s="9" t="str">
        <f>HYPERLINK(".\links\NR-LIGHT\ab-tri_asb-7067-NR-LIGHT.txt","succinyl-CoA alpha-ketoacid-CoA transferase")</f>
        <v>succinyl-CoA alpha-ketoacid-CoA transferase</v>
      </c>
      <c r="Q191" t="str">
        <f>HYPERLINK("http://www.ncbi.nlm.nih.gov/sutils/blink.cgi?pid=289739689","0.0")</f>
        <v>0.0</v>
      </c>
    </row>
    <row r="192" spans="1:17">
      <c r="A192" s="7" t="s">
        <v>280</v>
      </c>
      <c r="B192" s="7">
        <v>3.2067175445749108E-2</v>
      </c>
      <c r="C192" s="7">
        <v>18271</v>
      </c>
      <c r="D192" s="7">
        <v>18280</v>
      </c>
      <c r="E192" s="7">
        <v>261.77061537728622</v>
      </c>
      <c r="F192" s="7">
        <v>5483</v>
      </c>
      <c r="G192" s="7">
        <v>5487</v>
      </c>
      <c r="H192" s="7">
        <v>140.90646966880695</v>
      </c>
      <c r="I192" s="2">
        <f t="shared" si="4"/>
        <v>23767</v>
      </c>
      <c r="J192" s="2">
        <f t="shared" si="5"/>
        <v>0.53828222646655921</v>
      </c>
      <c r="K192" s="8" t="s">
        <v>92</v>
      </c>
      <c r="L192" t="s">
        <v>22</v>
      </c>
      <c r="M192" t="str">
        <f>HYPERLINK(".\links\NR-LIGHT\ab-tri_asb-25603-NR-LIGHT.txt","NR-LIGHT")</f>
        <v>NR-LIGHT</v>
      </c>
      <c r="N192">
        <v>0</v>
      </c>
      <c r="O192">
        <v>100</v>
      </c>
      <c r="P192" s="9" t="str">
        <f>HYPERLINK(".\links\NR-LIGHT\ab-tri_asb-25603-NR-LIGHT.txt","glutathione S-transferase")</f>
        <v>glutathione S-transferase</v>
      </c>
      <c r="Q192" t="str">
        <f>HYPERLINK("http://www.ncbi.nlm.nih.gov/sutils/blink.cgi?pid=289743675","1E-118")</f>
        <v>1E-118</v>
      </c>
    </row>
    <row r="193" spans="1:17">
      <c r="A193" s="7" t="s">
        <v>487</v>
      </c>
      <c r="B193" s="7">
        <v>6.8164418554061967E-10</v>
      </c>
      <c r="C193" s="7">
        <v>177196</v>
      </c>
      <c r="D193" s="7">
        <v>184299</v>
      </c>
      <c r="E193" s="7">
        <v>3317.9676411765658</v>
      </c>
      <c r="F193" s="7">
        <v>52677</v>
      </c>
      <c r="G193" s="7">
        <v>54402</v>
      </c>
      <c r="H193" s="7">
        <v>1756.3671464349472</v>
      </c>
      <c r="I193" s="2">
        <f t="shared" si="4"/>
        <v>238701</v>
      </c>
      <c r="J193" s="2">
        <f t="shared" si="5"/>
        <v>0.52935029402882661</v>
      </c>
      <c r="K193" s="8" t="s">
        <v>153</v>
      </c>
      <c r="L193" t="s">
        <v>10</v>
      </c>
      <c r="M193" t="str">
        <f>HYPERLINK(".\links\KOG\ab-tri_asb-55645-KOG.txt","KOG")</f>
        <v>KOG</v>
      </c>
      <c r="N193" s="1">
        <v>3.9999999999999998E-23</v>
      </c>
      <c r="O193">
        <v>15</v>
      </c>
      <c r="P193" s="9" t="str">
        <f>HYPERLINK(".\links\NR-LIGHT\ab-tri_asb-55645-NR-LIGHT.txt","Protein TsetseEP; AltName: Full=EP-repeat protein; Flags: Precursor")</f>
        <v>Protein TsetseEP; AltName: Full=EP-repeat protein; Flags: Precursor</v>
      </c>
      <c r="Q193" t="str">
        <f>HYPERLINK("http://www.ncbi.nlm.nih.gov/sutils/blink.cgi?pid=74844509","1E-149")</f>
        <v>1E-149</v>
      </c>
    </row>
    <row r="194" spans="1:17">
      <c r="A194" s="7" t="s">
        <v>582</v>
      </c>
      <c r="B194" s="7">
        <v>0</v>
      </c>
      <c r="C194" s="7">
        <v>37360</v>
      </c>
      <c r="D194" s="7">
        <v>53073</v>
      </c>
      <c r="E194" s="7">
        <v>778.67663432478707</v>
      </c>
      <c r="F194" s="7">
        <v>10199</v>
      </c>
      <c r="G194" s="7">
        <v>15573</v>
      </c>
      <c r="H194" s="7">
        <v>409.7387712650231</v>
      </c>
      <c r="I194" s="2">
        <f t="shared" ref="I194:I257" si="6">SUM(D194,G194)</f>
        <v>68646</v>
      </c>
      <c r="J194" s="2">
        <f t="shared" ref="J194:J257" si="7">H194/E194</f>
        <v>0.52619887794670939</v>
      </c>
      <c r="K194" s="8" t="s">
        <v>229</v>
      </c>
      <c r="L194" t="s">
        <v>34</v>
      </c>
      <c r="M194" t="str">
        <f>HYPERLINK(".\links\KOG\ab-tri_asb-5808-KOG.txt","KOG")</f>
        <v>KOG</v>
      </c>
      <c r="N194">
        <v>0</v>
      </c>
      <c r="O194">
        <v>99.7</v>
      </c>
      <c r="P194" s="9" t="str">
        <f>HYPERLINK(".\links\NR-LIGHT\ab-tri_asb-5808-NR-LIGHT.txt","adenosylhomocysteinase")</f>
        <v>adenosylhomocysteinase</v>
      </c>
      <c r="Q194" t="str">
        <f>HYPERLINK("http://www.ncbi.nlm.nih.gov/sutils/blink.cgi?pid=289739981","0.0")</f>
        <v>0.0</v>
      </c>
    </row>
    <row r="195" spans="1:17">
      <c r="A195" s="7" t="s">
        <v>341</v>
      </c>
      <c r="B195" s="7">
        <v>3.1212409081327053E-4</v>
      </c>
      <c r="C195" s="7">
        <v>65690</v>
      </c>
      <c r="D195" s="7">
        <v>65732</v>
      </c>
      <c r="E195" s="7">
        <v>328.70578933277739</v>
      </c>
      <c r="F195" s="7">
        <v>19218</v>
      </c>
      <c r="G195" s="7">
        <v>19240</v>
      </c>
      <c r="H195" s="7">
        <v>172.53882874973206</v>
      </c>
      <c r="I195" s="2">
        <f t="shared" si="6"/>
        <v>84972</v>
      </c>
      <c r="J195" s="2">
        <f t="shared" si="7"/>
        <v>0.52490352877556423</v>
      </c>
      <c r="K195" s="8" t="s">
        <v>197</v>
      </c>
      <c r="L195" t="s">
        <v>33</v>
      </c>
      <c r="M195" t="str">
        <f>HYPERLINK(".\links\KOG\ab-tri_asb-3779-KOG.txt","KOG")</f>
        <v>KOG</v>
      </c>
      <c r="N195">
        <v>0</v>
      </c>
      <c r="O195">
        <v>101</v>
      </c>
      <c r="P195" s="9" t="str">
        <f>HYPERLINK(".\links\NR-LIGHT\ab-tri_asb-3779-NR-LIGHT.txt","CG31198")</f>
        <v>CG31198</v>
      </c>
      <c r="Q195" t="str">
        <f>HYPERLINK("http://www.ncbi.nlm.nih.gov/sutils/blink.cgi?pid=24648790","0.0")</f>
        <v>0.0</v>
      </c>
    </row>
    <row r="196" spans="1:17">
      <c r="A196" s="7" t="s">
        <v>126</v>
      </c>
      <c r="B196" s="7">
        <v>1.2776157071181515E-5</v>
      </c>
      <c r="C196" s="7">
        <v>3480</v>
      </c>
      <c r="D196" s="7">
        <v>9262</v>
      </c>
      <c r="E196" s="7">
        <v>387.77403322622871</v>
      </c>
      <c r="F196" s="7">
        <v>936</v>
      </c>
      <c r="G196" s="7">
        <v>2706</v>
      </c>
      <c r="H196" s="7">
        <v>203.16692649802022</v>
      </c>
      <c r="I196" s="2">
        <f t="shared" si="6"/>
        <v>11968</v>
      </c>
      <c r="J196" s="2">
        <f t="shared" si="7"/>
        <v>0.52393123079360993</v>
      </c>
      <c r="K196" s="8" t="s">
        <v>56</v>
      </c>
      <c r="L196" t="s">
        <v>40</v>
      </c>
      <c r="M196" t="str">
        <f>HYPERLINK(".\links\CDD\ab-tri_asb-13733-CDD.txt","CDD")</f>
        <v>CDD</v>
      </c>
      <c r="N196">
        <v>6.9999999999999999E-6</v>
      </c>
      <c r="O196">
        <v>21.4</v>
      </c>
      <c r="P196" s="9" t="str">
        <f>HYPERLINK(".\links\NR-LIGHT\ab-tri_asb-13733-NR-LIGHT.txt","apolipophorin-III, putative")</f>
        <v>apolipophorin-III, putative</v>
      </c>
      <c r="Q196" t="str">
        <f>HYPERLINK("http://www.ncbi.nlm.nih.gov/sutils/blink.cgi?pid=157119823","1E-005")</f>
        <v>1E-005</v>
      </c>
    </row>
    <row r="197" spans="1:17">
      <c r="A197" s="7" t="s">
        <v>505</v>
      </c>
      <c r="B197" s="7">
        <v>1.001015936807903E-10</v>
      </c>
      <c r="C197" s="7">
        <v>57750</v>
      </c>
      <c r="D197" s="7">
        <v>71039</v>
      </c>
      <c r="E197" s="7">
        <v>944.33190576098013</v>
      </c>
      <c r="F197" s="7">
        <v>16826</v>
      </c>
      <c r="G197" s="7">
        <v>20535</v>
      </c>
      <c r="H197" s="7">
        <v>489.52378976836002</v>
      </c>
      <c r="I197" s="2">
        <f t="shared" si="6"/>
        <v>91574</v>
      </c>
      <c r="J197" s="2">
        <f t="shared" si="7"/>
        <v>0.51838107638000674</v>
      </c>
      <c r="K197" s="8" t="s">
        <v>506</v>
      </c>
      <c r="L197" t="s">
        <v>46</v>
      </c>
      <c r="M197" t="str">
        <f>HYPERLINK(".\links\NR-LIGHT\ab-tri_asb-55851-NR-LIGHT.txt","NR-LIGHT")</f>
        <v>NR-LIGHT</v>
      </c>
      <c r="N197">
        <v>0</v>
      </c>
      <c r="O197">
        <v>100</v>
      </c>
      <c r="P197" s="9" t="str">
        <f>HYPERLINK(".\links\NR-LIGHT\ab-tri_asb-55851-NR-LIGHT.txt","ferritin heavy chain-like")</f>
        <v>ferritin heavy chain-like</v>
      </c>
      <c r="Q197" t="str">
        <f>HYPERLINK("http://www.ncbi.nlm.nih.gov/sutils/blink.cgi?pid=83944690","1E-115")</f>
        <v>1E-115</v>
      </c>
    </row>
    <row r="198" spans="1:17">
      <c r="A198" s="7" t="s">
        <v>411</v>
      </c>
      <c r="B198" s="7">
        <v>7.2683212322788293E-4</v>
      </c>
      <c r="C198" s="7">
        <v>2657</v>
      </c>
      <c r="D198" s="7">
        <v>2681</v>
      </c>
      <c r="E198" s="7">
        <v>296.55108378455589</v>
      </c>
      <c r="F198" s="7">
        <v>765</v>
      </c>
      <c r="G198" s="7">
        <v>772</v>
      </c>
      <c r="H198" s="7">
        <v>153.13387530629203</v>
      </c>
      <c r="I198" s="2">
        <f t="shared" si="6"/>
        <v>3453</v>
      </c>
      <c r="J198" s="2">
        <f t="shared" si="7"/>
        <v>0.51638278758591105</v>
      </c>
      <c r="K198" s="8" t="s">
        <v>8</v>
      </c>
      <c r="L198" t="s">
        <v>9</v>
      </c>
      <c r="P198" s="9" t="str">
        <f>HYPERLINK(".\links\NR-LIGHT\ab-tri_asb-53339-NR-LIGHT.txt","conserved Plasmodium protein, unknown function")</f>
        <v>conserved Plasmodium protein, unknown function</v>
      </c>
      <c r="Q198" t="str">
        <f>HYPERLINK("http://www.ncbi.nlm.nih.gov/sutils/blink.cgi?pid=124504821","6E-006")</f>
        <v>6E-006</v>
      </c>
    </row>
    <row r="199" spans="1:17">
      <c r="A199" s="7" t="s">
        <v>129</v>
      </c>
      <c r="B199" s="7">
        <v>3.3241583263732277E-4</v>
      </c>
      <c r="C199" s="7">
        <v>16011</v>
      </c>
      <c r="D199" s="7">
        <v>16011</v>
      </c>
      <c r="E199" s="7">
        <v>303.70894448724209</v>
      </c>
      <c r="F199" s="7">
        <v>4576</v>
      </c>
      <c r="G199" s="7">
        <v>4576</v>
      </c>
      <c r="H199" s="7">
        <v>155.65977989018151</v>
      </c>
      <c r="I199" s="2">
        <f t="shared" si="6"/>
        <v>20587</v>
      </c>
      <c r="J199" s="2">
        <f t="shared" si="7"/>
        <v>0.51252945530789373</v>
      </c>
      <c r="K199" s="8" t="s">
        <v>67</v>
      </c>
      <c r="L199" t="s">
        <v>35</v>
      </c>
      <c r="M199" t="str">
        <f>HYPERLINK(".\links\NR-LIGHT\ab-tri_asb-1394-NR-LIGHT.txt","NR-LIGHT")</f>
        <v>NR-LIGHT</v>
      </c>
      <c r="N199">
        <v>0</v>
      </c>
      <c r="O199">
        <v>100</v>
      </c>
      <c r="P199" s="9" t="str">
        <f>HYPERLINK(".\links\NR-LIGHT\ab-tri_asb-1394-NR-LIGHT.txt","putative endonuclease")</f>
        <v>putative endonuclease</v>
      </c>
      <c r="Q199" t="str">
        <f>HYPERLINK("http://www.ncbi.nlm.nih.gov/sutils/blink.cgi?pid=289741689","0.0")</f>
        <v>0.0</v>
      </c>
    </row>
    <row r="200" spans="1:17">
      <c r="A200" s="7" t="s">
        <v>575</v>
      </c>
      <c r="B200" s="7">
        <v>1.213667949029329E-4</v>
      </c>
      <c r="C200" s="7">
        <v>16528</v>
      </c>
      <c r="D200" s="7">
        <v>16528</v>
      </c>
      <c r="E200" s="7">
        <v>320.75948384156646</v>
      </c>
      <c r="F200" s="7">
        <v>4721</v>
      </c>
      <c r="G200" s="7">
        <v>4721</v>
      </c>
      <c r="H200" s="7">
        <v>164.30261419820442</v>
      </c>
      <c r="I200" s="2">
        <f t="shared" si="6"/>
        <v>21249</v>
      </c>
      <c r="J200" s="2">
        <f t="shared" si="7"/>
        <v>0.51222994946381328</v>
      </c>
      <c r="K200" s="8" t="s">
        <v>367</v>
      </c>
      <c r="L200" t="s">
        <v>43</v>
      </c>
      <c r="M200" t="str">
        <f>HYPERLINK(".\links\GO\ab-tri_asb-5775-GO.txt","GO")</f>
        <v>GO</v>
      </c>
      <c r="N200" s="1">
        <v>7.0000000000000003E-80</v>
      </c>
      <c r="O200">
        <v>96.7</v>
      </c>
      <c r="P200" s="9" t="str">
        <f>HYPERLINK(".\links\NR-LIGHT\ab-tri_asb-5775-NR-LIGHT.txt","IP09974p")</f>
        <v>IP09974p</v>
      </c>
      <c r="Q200" t="str">
        <f>HYPERLINK("http://www.ncbi.nlm.nih.gov/sutils/blink.cgi?pid=68051311","4E-079")</f>
        <v>4E-079</v>
      </c>
    </row>
    <row r="201" spans="1:17">
      <c r="A201" s="7" t="s">
        <v>472</v>
      </c>
      <c r="B201" s="7">
        <v>2.5231683971060903E-4</v>
      </c>
      <c r="C201" s="7">
        <v>12525</v>
      </c>
      <c r="D201" s="7">
        <v>12538</v>
      </c>
      <c r="E201" s="7">
        <v>303.88250272792817</v>
      </c>
      <c r="F201" s="7">
        <v>3557</v>
      </c>
      <c r="G201" s="7">
        <v>3565</v>
      </c>
      <c r="H201" s="7">
        <v>154.94880617424118</v>
      </c>
      <c r="I201" s="2">
        <f t="shared" si="6"/>
        <v>16103</v>
      </c>
      <c r="J201" s="2">
        <f t="shared" si="7"/>
        <v>0.5098970976718914</v>
      </c>
      <c r="K201" s="8" t="s">
        <v>473</v>
      </c>
      <c r="L201" t="s">
        <v>21</v>
      </c>
      <c r="M201" t="str">
        <f>HYPERLINK(".\links\DIPTERA\ab-tri_asb-55314-DIPTERA.txt","DIPTERA")</f>
        <v>DIPTERA</v>
      </c>
      <c r="N201" s="1">
        <v>6.9999999999999999E-50</v>
      </c>
      <c r="O201">
        <v>59.1</v>
      </c>
      <c r="P201" s="9" t="str">
        <f>HYPERLINK(".\links\NR-LIGHT\ab-tri_asb-55314-NR-LIGHT.txt","regulatory protein MLP")</f>
        <v>regulatory protein MLP</v>
      </c>
      <c r="Q201" t="str">
        <f>HYPERLINK("http://www.ncbi.nlm.nih.gov/sutils/blink.cgi?pid=289742319","2E-049")</f>
        <v>2E-049</v>
      </c>
    </row>
    <row r="202" spans="1:17">
      <c r="A202" s="7" t="s">
        <v>440</v>
      </c>
      <c r="B202" s="7">
        <v>3.7387939181245389E-2</v>
      </c>
      <c r="C202" s="7">
        <v>9189</v>
      </c>
      <c r="D202" s="7">
        <v>9361</v>
      </c>
      <c r="E202" s="7">
        <v>215.60576265032276</v>
      </c>
      <c r="F202" s="7">
        <v>2614</v>
      </c>
      <c r="G202" s="7">
        <v>2657</v>
      </c>
      <c r="H202" s="7">
        <v>109.74404025798265</v>
      </c>
      <c r="I202" s="2">
        <f t="shared" si="6"/>
        <v>12018</v>
      </c>
      <c r="J202" s="2">
        <f t="shared" si="7"/>
        <v>0.50900327945301493</v>
      </c>
      <c r="K202" s="8" t="s">
        <v>414</v>
      </c>
      <c r="L202" t="s">
        <v>30</v>
      </c>
      <c r="M202" t="str">
        <f>HYPERLINK(".\links\NR-LIGHT\ab-tri_asb-54539-NR-LIGHT.txt","NR-LIGHT")</f>
        <v>NR-LIGHT</v>
      </c>
      <c r="N202">
        <v>1E-13</v>
      </c>
      <c r="O202">
        <v>24.9</v>
      </c>
      <c r="P202" s="9" t="str">
        <f>HYPERLINK(".\links\NR-LIGHT\ab-tri_asb-54539-NR-LIGHT.txt","RE32881p")</f>
        <v>RE32881p</v>
      </c>
      <c r="Q202" t="str">
        <f>HYPERLINK("http://www.ncbi.nlm.nih.gov/sutils/blink.cgi?pid=19528481","1E-015")</f>
        <v>1E-015</v>
      </c>
    </row>
    <row r="203" spans="1:17">
      <c r="A203" s="7" t="s">
        <v>589</v>
      </c>
      <c r="B203" s="7">
        <v>1.5785160487888916E-2</v>
      </c>
      <c r="C203" s="7">
        <v>17357</v>
      </c>
      <c r="D203" s="7">
        <v>17358</v>
      </c>
      <c r="E203" s="7">
        <v>226.92667454082303</v>
      </c>
      <c r="F203" s="7">
        <v>4899</v>
      </c>
      <c r="G203" s="7">
        <v>4899</v>
      </c>
      <c r="H203" s="7">
        <v>114.85359027256412</v>
      </c>
      <c r="I203" s="2">
        <f t="shared" si="6"/>
        <v>22257</v>
      </c>
      <c r="J203" s="2">
        <f t="shared" si="7"/>
        <v>0.50612644152550923</v>
      </c>
      <c r="K203" s="8" t="s">
        <v>190</v>
      </c>
      <c r="L203" t="s">
        <v>40</v>
      </c>
      <c r="M203" t="str">
        <f>HYPERLINK(".\links\NR-LIGHT\ab-tri_asb-6013-NR-LIGHT.txt","NR-LIGHT")</f>
        <v>NR-LIGHT</v>
      </c>
      <c r="N203">
        <v>0</v>
      </c>
      <c r="O203">
        <v>100</v>
      </c>
      <c r="P203" s="9" t="str">
        <f>HYPERLINK(".\links\NR-LIGHT\ab-tri_asb-6013-NR-LIGHT.txt","heat shock protein 60")</f>
        <v>heat shock protein 60</v>
      </c>
      <c r="Q203" t="str">
        <f>HYPERLINK("http://www.ncbi.nlm.nih.gov/sutils/blink.cgi?pid=289742771","0.0")</f>
        <v>0.0</v>
      </c>
    </row>
    <row r="204" spans="1:17">
      <c r="A204" s="7" t="s">
        <v>76</v>
      </c>
      <c r="B204" s="7">
        <v>3.6902118838444409E-5</v>
      </c>
      <c r="C204" s="7">
        <v>24468</v>
      </c>
      <c r="D204" s="7">
        <v>24482</v>
      </c>
      <c r="E204" s="7">
        <v>328.69401446574312</v>
      </c>
      <c r="F204" s="7">
        <v>6896</v>
      </c>
      <c r="G204" s="7">
        <v>6899</v>
      </c>
      <c r="H204" s="7">
        <v>166.10485188021849</v>
      </c>
      <c r="I204" s="2">
        <f t="shared" si="6"/>
        <v>31381</v>
      </c>
      <c r="J204" s="2">
        <f t="shared" si="7"/>
        <v>0.50534796671063242</v>
      </c>
      <c r="K204" s="8" t="s">
        <v>77</v>
      </c>
      <c r="L204" t="s">
        <v>33</v>
      </c>
      <c r="M204" t="str">
        <f>HYPERLINK(".\links\KOG\ab-tri_asb-10940-KOG.txt","KOG")</f>
        <v>KOG</v>
      </c>
      <c r="N204" s="1">
        <v>1.9999999999999999E-57</v>
      </c>
      <c r="O204">
        <v>107.6</v>
      </c>
      <c r="P204" s="9" t="str">
        <f>HYPERLINK(".\links\NR-LIGHT\ab-tri_asb-10940-NR-LIGHT.txt","methylmalonate-semialdehyde dehydrogenase")</f>
        <v>methylmalonate-semialdehyde dehydrogenase</v>
      </c>
      <c r="Q204" t="str">
        <f>HYPERLINK("http://www.ncbi.nlm.nih.gov/sutils/blink.cgi?pid=289739585","0.0")</f>
        <v>0.0</v>
      </c>
    </row>
    <row r="205" spans="1:17">
      <c r="A205" s="7" t="s">
        <v>195</v>
      </c>
      <c r="B205" s="7">
        <v>1.4303957120392896E-3</v>
      </c>
      <c r="C205" s="7">
        <v>8598</v>
      </c>
      <c r="D205" s="7">
        <v>8609</v>
      </c>
      <c r="E205" s="7">
        <v>266.28205906766738</v>
      </c>
      <c r="F205" s="7">
        <v>2423</v>
      </c>
      <c r="G205" s="7">
        <v>2426</v>
      </c>
      <c r="H205" s="7">
        <v>134.56473688238918</v>
      </c>
      <c r="I205" s="2">
        <f t="shared" si="6"/>
        <v>11035</v>
      </c>
      <c r="J205" s="2">
        <f t="shared" si="7"/>
        <v>0.50534661386328583</v>
      </c>
      <c r="K205" s="8" t="s">
        <v>196</v>
      </c>
      <c r="L205" t="s">
        <v>63</v>
      </c>
      <c r="M205" t="str">
        <f>HYPERLINK(".\links\NR-LIGHT\ab-tri_asb-17267-NR-LIGHT.txt","NR-LIGHT")</f>
        <v>NR-LIGHT</v>
      </c>
      <c r="N205">
        <v>0</v>
      </c>
      <c r="O205">
        <v>100</v>
      </c>
      <c r="P205" s="9" t="str">
        <f>HYPERLINK(".\links\NR-LIGHT\ab-tri_asb-17267-NR-LIGHT.txt","putative thioredoxin peroxidase 1")</f>
        <v>putative thioredoxin peroxidase 1</v>
      </c>
      <c r="Q205" t="str">
        <f>HYPERLINK("http://www.ncbi.nlm.nih.gov/sutils/blink.cgi?pid=50897523","1E-110")</f>
        <v>1E-110</v>
      </c>
    </row>
    <row r="206" spans="1:17">
      <c r="A206" s="7" t="s">
        <v>403</v>
      </c>
      <c r="B206" s="7">
        <v>1.3346879157438707E-10</v>
      </c>
      <c r="C206" s="7">
        <v>20947</v>
      </c>
      <c r="D206" s="7">
        <v>20951</v>
      </c>
      <c r="E206" s="7">
        <v>776.74009790374987</v>
      </c>
      <c r="F206" s="7">
        <v>5898</v>
      </c>
      <c r="G206" s="7">
        <v>5899</v>
      </c>
      <c r="H206" s="7">
        <v>392.19372073419947</v>
      </c>
      <c r="I206" s="2">
        <f t="shared" si="6"/>
        <v>26850</v>
      </c>
      <c r="J206" s="2">
        <f t="shared" si="7"/>
        <v>0.50492271712590064</v>
      </c>
      <c r="K206" s="8" t="s">
        <v>101</v>
      </c>
      <c r="L206" t="s">
        <v>43</v>
      </c>
      <c r="M206" t="str">
        <f>HYPERLINK(".\links\NR-LIGHT\ab-tri_asb-51923-NR-LIGHT.txt","NR-LIGHT")</f>
        <v>NR-LIGHT</v>
      </c>
      <c r="N206">
        <v>0</v>
      </c>
      <c r="O206">
        <v>83.4</v>
      </c>
      <c r="P206" s="9" t="str">
        <f>HYPERLINK(".\links\NR-LIGHT\ab-tri_asb-51923-NR-LIGHT.txt","trypsin")</f>
        <v>trypsin</v>
      </c>
      <c r="Q206" t="str">
        <f>HYPERLINK("http://www.ncbi.nlm.nih.gov/sutils/blink.cgi?pid=289739365","1E-121")</f>
        <v>1E-121</v>
      </c>
    </row>
    <row r="207" spans="1:17">
      <c r="A207" s="7" t="s">
        <v>538</v>
      </c>
      <c r="B207" s="7">
        <v>4.8392780777062328E-6</v>
      </c>
      <c r="C207" s="7">
        <v>2033</v>
      </c>
      <c r="D207" s="7">
        <v>16088</v>
      </c>
      <c r="E207" s="7">
        <v>360.35436470533455</v>
      </c>
      <c r="F207" s="7">
        <v>729</v>
      </c>
      <c r="G207" s="7">
        <v>4521</v>
      </c>
      <c r="H207" s="7">
        <v>181.59902289844379</v>
      </c>
      <c r="I207" s="2">
        <f t="shared" si="6"/>
        <v>20609</v>
      </c>
      <c r="J207" s="2">
        <f t="shared" si="7"/>
        <v>0.50394567316241379</v>
      </c>
      <c r="K207" s="8" t="s">
        <v>36</v>
      </c>
      <c r="L207" t="s">
        <v>11</v>
      </c>
      <c r="M207" t="str">
        <f>HYPERLINK(".\links\KOG\ab-tri_asb-56130-KOG.txt","KOG")</f>
        <v>KOG</v>
      </c>
      <c r="N207" s="1">
        <v>6.0000000000000003E-55</v>
      </c>
      <c r="O207">
        <v>97.1</v>
      </c>
      <c r="P207" s="9" t="str">
        <f>HYPERLINK(".\links\NR-LIGHT\ab-tri_asb-56130-NR-LIGHT.txt","mitochondrial ADP/ATP carrier protein")</f>
        <v>mitochondrial ADP/ATP carrier protein</v>
      </c>
      <c r="Q207" t="str">
        <f>HYPERLINK("http://www.ncbi.nlm.nih.gov/sutils/blink.cgi?pid=289741161","1E-172")</f>
        <v>1E-172</v>
      </c>
    </row>
    <row r="208" spans="1:17">
      <c r="A208" s="7" t="s">
        <v>243</v>
      </c>
      <c r="B208" s="7">
        <v>1.9829640920913105E-2</v>
      </c>
      <c r="C208" s="7">
        <v>10677</v>
      </c>
      <c r="D208" s="7">
        <v>10773</v>
      </c>
      <c r="E208" s="7">
        <v>217.39092485533223</v>
      </c>
      <c r="F208" s="7">
        <v>2990</v>
      </c>
      <c r="G208" s="7">
        <v>3014</v>
      </c>
      <c r="H208" s="7">
        <v>109.06848222128757</v>
      </c>
      <c r="I208" s="2">
        <f t="shared" si="6"/>
        <v>13787</v>
      </c>
      <c r="J208" s="2">
        <f t="shared" si="7"/>
        <v>0.50171589404603567</v>
      </c>
      <c r="K208" s="8" t="s">
        <v>244</v>
      </c>
      <c r="L208" t="s">
        <v>63</v>
      </c>
      <c r="M208" t="str">
        <f>HYPERLINK(".\links\DIPTERA\ab-tri_asb-22516-DIPTERA.txt","DIPTERA")</f>
        <v>DIPTERA</v>
      </c>
      <c r="N208" s="1">
        <v>4.0000000000000001E-99</v>
      </c>
      <c r="O208">
        <v>33.200000000000003</v>
      </c>
      <c r="P208" s="9" t="str">
        <f>HYPERLINK(".\links\NR-LIGHT\ab-tri_asb-22516-NR-LIGHT.txt","cytochrome P450 cYP4G13V2")</f>
        <v>cytochrome P450 cYP4G13V2</v>
      </c>
      <c r="Q208" t="str">
        <f>HYPERLINK("http://www.ncbi.nlm.nih.gov/sutils/blink.cgi?pid=289742871","1E-098")</f>
        <v>1E-098</v>
      </c>
    </row>
    <row r="209" spans="1:17">
      <c r="A209" s="7" t="s">
        <v>386</v>
      </c>
      <c r="B209" s="7">
        <v>7.2435417358068799E-3</v>
      </c>
      <c r="C209" s="7">
        <v>23153</v>
      </c>
      <c r="D209" s="7">
        <v>23157</v>
      </c>
      <c r="E209" s="7">
        <v>231.99071219404249</v>
      </c>
      <c r="F209" s="7">
        <v>6462</v>
      </c>
      <c r="G209" s="7">
        <v>6464</v>
      </c>
      <c r="H209" s="7">
        <v>116.12906290861712</v>
      </c>
      <c r="I209" s="2">
        <f t="shared" si="6"/>
        <v>29621</v>
      </c>
      <c r="J209" s="2">
        <f t="shared" si="7"/>
        <v>0.50057634553698871</v>
      </c>
      <c r="K209" s="8" t="s">
        <v>357</v>
      </c>
      <c r="L209" t="s">
        <v>40</v>
      </c>
      <c r="M209" t="str">
        <f>HYPERLINK(".\links\NR-LIGHT\ab-tri_asb-5028-NR-LIGHT.txt","NR-LIGHT")</f>
        <v>NR-LIGHT</v>
      </c>
      <c r="N209">
        <v>0</v>
      </c>
      <c r="O209">
        <v>100.1</v>
      </c>
      <c r="P209" s="9" t="str">
        <f>HYPERLINK(".\links\NR-LIGHT\ab-tri_asb-5028-NR-LIGHT.txt","endoplasmic reticulum glucose-regulated protein")</f>
        <v>endoplasmic reticulum glucose-regulated protein</v>
      </c>
      <c r="Q209" t="str">
        <f>HYPERLINK("http://www.ncbi.nlm.nih.gov/sutils/blink.cgi?pid=289743467","0.0")</f>
        <v>0.0</v>
      </c>
    </row>
    <row r="210" spans="1:17">
      <c r="A210" s="7" t="s">
        <v>255</v>
      </c>
      <c r="B210" s="7">
        <v>1.2833787603596103E-2</v>
      </c>
      <c r="C210" s="7">
        <v>15335</v>
      </c>
      <c r="D210" s="7">
        <v>15335</v>
      </c>
      <c r="E210" s="7">
        <v>221.2482787004929</v>
      </c>
      <c r="F210" s="7">
        <v>4268</v>
      </c>
      <c r="G210" s="7">
        <v>4268</v>
      </c>
      <c r="H210" s="7">
        <v>110.42611733621104</v>
      </c>
      <c r="I210" s="2">
        <f t="shared" si="6"/>
        <v>19603</v>
      </c>
      <c r="J210" s="2">
        <f t="shared" si="7"/>
        <v>0.49910497828413175</v>
      </c>
      <c r="K210" s="8" t="s">
        <v>117</v>
      </c>
      <c r="L210" t="s">
        <v>42</v>
      </c>
      <c r="M210" t="str">
        <f>HYPERLINK(".\links\KOG\ab-tri_asb-23282-KOG.txt","KOG")</f>
        <v>KOG</v>
      </c>
      <c r="N210" s="1">
        <v>2.0000000000000001E-53</v>
      </c>
      <c r="O210">
        <v>52.7</v>
      </c>
      <c r="P210" s="9" t="str">
        <f>HYPERLINK(".\links\NR-LIGHT\ab-tri_asb-23282-NR-LIGHT.txt","carnitine O-acyltransferase CPTI")</f>
        <v>carnitine O-acyltransferase CPTI</v>
      </c>
      <c r="Q210" t="str">
        <f>HYPERLINK("http://www.ncbi.nlm.nih.gov/sutils/blink.cgi?pid=289743191","0.0")</f>
        <v>0.0</v>
      </c>
    </row>
    <row r="211" spans="1:17">
      <c r="A211" s="7" t="s">
        <v>324</v>
      </c>
      <c r="B211" s="7">
        <v>0</v>
      </c>
      <c r="C211" s="7">
        <v>15768</v>
      </c>
      <c r="D211" s="7">
        <v>15772</v>
      </c>
      <c r="E211" s="7">
        <v>647.22374726779844</v>
      </c>
      <c r="F211" s="7">
        <v>4378</v>
      </c>
      <c r="G211" s="7">
        <v>4378</v>
      </c>
      <c r="H211" s="7">
        <v>322.17712648835186</v>
      </c>
      <c r="I211" s="2">
        <f t="shared" si="6"/>
        <v>20150</v>
      </c>
      <c r="J211" s="2">
        <f t="shared" si="7"/>
        <v>0.49778322851779772</v>
      </c>
      <c r="K211" s="8" t="s">
        <v>99</v>
      </c>
      <c r="L211" t="s">
        <v>30</v>
      </c>
      <c r="M211" t="str">
        <f>HYPERLINK(".\links\SMART\ab-tri_asb-32930-SMART.txt","SMART")</f>
        <v>SMART</v>
      </c>
      <c r="N211">
        <v>5.0000000000000002E-11</v>
      </c>
      <c r="O211">
        <v>97.9</v>
      </c>
      <c r="P211" s="9" t="str">
        <f>HYPERLINK(".\links\NR-LIGHT\ab-tri_asb-32930-NR-LIGHT.txt","bifunctional inhibitor/lipid-transfer protein/seed storage 2S albumin-like")</f>
        <v>bifunctional inhibitor/lipid-transfer protein/seed storage 2S albumin-like</v>
      </c>
      <c r="Q211" t="str">
        <f>HYPERLINK("http://www.ncbi.nlm.nih.gov/sutils/blink.cgi?pid=186512422","3E-010")</f>
        <v>3E-010</v>
      </c>
    </row>
    <row r="212" spans="1:17">
      <c r="A212" s="7" t="s">
        <v>620</v>
      </c>
      <c r="B212" s="7">
        <v>2.52160681224467E-9</v>
      </c>
      <c r="C212" s="7">
        <v>14383</v>
      </c>
      <c r="D212" s="7">
        <v>30957</v>
      </c>
      <c r="E212" s="7">
        <v>467.72641148988498</v>
      </c>
      <c r="F212" s="7">
        <v>3926</v>
      </c>
      <c r="G212" s="7">
        <v>8569</v>
      </c>
      <c r="H212" s="7">
        <v>232.17445844321253</v>
      </c>
      <c r="I212" s="2">
        <f t="shared" si="6"/>
        <v>39526</v>
      </c>
      <c r="J212" s="2">
        <f t="shared" si="7"/>
        <v>0.49638945490302616</v>
      </c>
      <c r="K212" s="8" t="s">
        <v>354</v>
      </c>
      <c r="L212" t="s">
        <v>33</v>
      </c>
      <c r="M212" t="str">
        <f>HYPERLINK(".\links\KOG\ab-tri_asb-8605-KOG.txt","KOG")</f>
        <v>KOG</v>
      </c>
      <c r="N212" s="1">
        <v>2E-90</v>
      </c>
      <c r="O212">
        <v>101.9</v>
      </c>
      <c r="P212" s="9" t="str">
        <f>HYPERLINK(".\links\NR-LIGHT\ab-tri_asb-8605-NR-LIGHT.txt","ribose-phosphate pyrophosphokinase")</f>
        <v>ribose-phosphate pyrophosphokinase</v>
      </c>
      <c r="Q212" t="str">
        <f>HYPERLINK("http://www.ncbi.nlm.nih.gov/sutils/blink.cgi?pid=289741429","0.0")</f>
        <v>0.0</v>
      </c>
    </row>
    <row r="213" spans="1:17">
      <c r="A213" s="7" t="s">
        <v>567</v>
      </c>
      <c r="B213" s="7">
        <v>1.6683598946798384E-10</v>
      </c>
      <c r="C213" s="7">
        <v>61484</v>
      </c>
      <c r="D213" s="7">
        <v>68044</v>
      </c>
      <c r="E213" s="7">
        <v>1067.680837356439</v>
      </c>
      <c r="F213" s="7">
        <v>16885</v>
      </c>
      <c r="G213" s="7">
        <v>18809</v>
      </c>
      <c r="H213" s="7">
        <v>529.25941197499117</v>
      </c>
      <c r="I213" s="2">
        <f t="shared" si="6"/>
        <v>86853</v>
      </c>
      <c r="J213" s="2">
        <f t="shared" si="7"/>
        <v>0.49570938566756445</v>
      </c>
      <c r="K213" s="8" t="s">
        <v>558</v>
      </c>
      <c r="L213" t="s">
        <v>35</v>
      </c>
      <c r="M213" t="str">
        <f>HYPERLINK(".\links\KOG\ab-tri_asb-56907-KOG.txt","KOG")</f>
        <v>KOG</v>
      </c>
      <c r="N213" s="1">
        <v>4.9999999999999995E-94</v>
      </c>
      <c r="O213">
        <v>113.6</v>
      </c>
      <c r="P213" s="9" t="str">
        <f>HYPERLINK(".\links\NR-LIGHT\ab-tri_asb-56907-NR-LIGHT.txt","phosphoribosylamidoimidazole-succinocarboxamide synthase")</f>
        <v>phosphoribosylamidoimidazole-succinocarboxamide synthase</v>
      </c>
      <c r="Q213" t="str">
        <f>HYPERLINK("http://www.ncbi.nlm.nih.gov/sutils/blink.cgi?pid=289739983","0.0")</f>
        <v>0.0</v>
      </c>
    </row>
    <row r="214" spans="1:17">
      <c r="A214" s="7" t="s">
        <v>211</v>
      </c>
      <c r="B214" s="7">
        <v>3.5912614584909797E-5</v>
      </c>
      <c r="C214" s="7">
        <v>8395</v>
      </c>
      <c r="D214" s="7">
        <v>8395</v>
      </c>
      <c r="E214" s="7">
        <v>305.34107991647596</v>
      </c>
      <c r="F214" s="7">
        <v>2306</v>
      </c>
      <c r="G214" s="7">
        <v>2306</v>
      </c>
      <c r="H214" s="7">
        <v>150.40944579021362</v>
      </c>
      <c r="I214" s="2">
        <f t="shared" si="6"/>
        <v>10701</v>
      </c>
      <c r="J214" s="2">
        <f t="shared" si="7"/>
        <v>0.49259485763054595</v>
      </c>
      <c r="K214" s="8" t="s">
        <v>8</v>
      </c>
      <c r="L214" t="s">
        <v>9</v>
      </c>
      <c r="P214" s="9" t="str">
        <f>HYPERLINK(".\links\NR-LIGHT\ab-tri_asb-17817-NR-LIGHT.txt","conserved Plasmodium protein, unknown function")</f>
        <v>conserved Plasmodium protein, unknown function</v>
      </c>
      <c r="Q214" t="str">
        <f>HYPERLINK("http://www.ncbi.nlm.nih.gov/sutils/blink.cgi?pid=86170701","0.012")</f>
        <v>0.012</v>
      </c>
    </row>
    <row r="215" spans="1:17">
      <c r="A215" s="7" t="s">
        <v>289</v>
      </c>
      <c r="B215" s="7">
        <v>1.915232258760946E-2</v>
      </c>
      <c r="C215" s="7">
        <v>13727</v>
      </c>
      <c r="D215" s="7">
        <v>13727</v>
      </c>
      <c r="E215" s="7">
        <v>206.47147311123993</v>
      </c>
      <c r="F215" s="7">
        <v>3769</v>
      </c>
      <c r="G215" s="7">
        <v>3769</v>
      </c>
      <c r="H215" s="7">
        <v>101.66274487819902</v>
      </c>
      <c r="I215" s="2">
        <f t="shared" si="6"/>
        <v>17496</v>
      </c>
      <c r="J215" s="2">
        <f t="shared" si="7"/>
        <v>0.49238155444082354</v>
      </c>
      <c r="K215" s="8" t="s">
        <v>84</v>
      </c>
      <c r="L215" t="s">
        <v>15</v>
      </c>
      <c r="M215" t="str">
        <f>HYPERLINK(".\links\KOG\ab-tri_asb-26562-KOG.txt","KOG")</f>
        <v>KOG</v>
      </c>
      <c r="N215">
        <v>0</v>
      </c>
      <c r="O215">
        <v>100</v>
      </c>
      <c r="P215" s="9" t="str">
        <f>HYPERLINK(".\links\NR-LIGHT\ab-tri_asb-26562-NR-LIGHT.txt","enolase")</f>
        <v>enolase</v>
      </c>
      <c r="Q215" t="str">
        <f>HYPERLINK("http://www.ncbi.nlm.nih.gov/sutils/blink.cgi?pid=289741265","0.0")</f>
        <v>0.0</v>
      </c>
    </row>
    <row r="216" spans="1:17">
      <c r="A216" s="7" t="s">
        <v>339</v>
      </c>
      <c r="B216" s="7">
        <v>2.9468908163687857E-5</v>
      </c>
      <c r="C216" s="7">
        <v>988</v>
      </c>
      <c r="D216" s="7">
        <v>17225</v>
      </c>
      <c r="E216" s="7">
        <v>307.83668209403078</v>
      </c>
      <c r="F216" s="7">
        <v>341</v>
      </c>
      <c r="G216" s="7">
        <v>4728</v>
      </c>
      <c r="H216" s="7">
        <v>151.5269487540136</v>
      </c>
      <c r="I216" s="2">
        <f t="shared" si="6"/>
        <v>21953</v>
      </c>
      <c r="J216" s="2">
        <f t="shared" si="7"/>
        <v>0.49223162010214455</v>
      </c>
      <c r="K216" s="8" t="s">
        <v>249</v>
      </c>
      <c r="L216" t="s">
        <v>40</v>
      </c>
      <c r="M216" t="str">
        <f>HYPERLINK(".\links\KOG\ab-tri_asb-36956-KOG.txt","KOG")</f>
        <v>KOG</v>
      </c>
      <c r="N216">
        <v>0</v>
      </c>
      <c r="O216">
        <v>100</v>
      </c>
      <c r="P216" s="9" t="str">
        <f>HYPERLINK(".\links\NR-LIGHT\ab-tri_asb-36956-NR-LIGHT.txt","calreticulin")</f>
        <v>calreticulin</v>
      </c>
      <c r="Q216" t="str">
        <f>HYPERLINK("http://www.ncbi.nlm.nih.gov/sutils/blink.cgi?pid=289740099","0.0")</f>
        <v>0.0</v>
      </c>
    </row>
    <row r="217" spans="1:17">
      <c r="A217" s="7" t="s">
        <v>611</v>
      </c>
      <c r="B217" s="7">
        <v>2.0338374866479825E-4</v>
      </c>
      <c r="C217" s="7">
        <v>12733</v>
      </c>
      <c r="D217" s="7">
        <v>12734</v>
      </c>
      <c r="E217" s="7">
        <v>275.13981463032883</v>
      </c>
      <c r="F217" s="7">
        <v>3484</v>
      </c>
      <c r="G217" s="7">
        <v>3484</v>
      </c>
      <c r="H217" s="7">
        <v>134.99510233661525</v>
      </c>
      <c r="I217" s="2">
        <f t="shared" si="6"/>
        <v>16218</v>
      </c>
      <c r="J217" s="2">
        <f t="shared" si="7"/>
        <v>0.49064183065613892</v>
      </c>
      <c r="K217" s="8" t="s">
        <v>277</v>
      </c>
      <c r="L217" t="s">
        <v>48</v>
      </c>
      <c r="M217" t="str">
        <f>HYPERLINK(".\links\PFAM\ab-tri_asb-8255-PFAM.txt","PFAM")</f>
        <v>PFAM</v>
      </c>
      <c r="N217" s="1">
        <v>4E-52</v>
      </c>
      <c r="O217">
        <v>100</v>
      </c>
      <c r="P217" s="9" t="str">
        <f>HYPERLINK(".\links\NR-LIGHT\ab-tri_asb-8255-NR-LIGHT.txt","hypothetical protein")</f>
        <v>hypothetical protein</v>
      </c>
      <c r="Q217" t="str">
        <f>HYPERLINK("http://www.ncbi.nlm.nih.gov/sutils/blink.cgi?pid=77415652","3E-067")</f>
        <v>3E-067</v>
      </c>
    </row>
    <row r="218" spans="1:17">
      <c r="A218" s="7" t="s">
        <v>502</v>
      </c>
      <c r="B218" s="7">
        <v>0</v>
      </c>
      <c r="C218" s="7">
        <v>139453</v>
      </c>
      <c r="D218" s="7">
        <v>141778</v>
      </c>
      <c r="E218" s="7">
        <v>1463.4464683638869</v>
      </c>
      <c r="F218" s="7">
        <v>38033</v>
      </c>
      <c r="G218" s="7">
        <v>38616</v>
      </c>
      <c r="H218" s="7">
        <v>714.80330584729586</v>
      </c>
      <c r="I218" s="2">
        <f t="shared" si="6"/>
        <v>180394</v>
      </c>
      <c r="J218" s="2">
        <f t="shared" si="7"/>
        <v>0.48843830047739034</v>
      </c>
      <c r="K218" s="8" t="s">
        <v>503</v>
      </c>
      <c r="L218" t="s">
        <v>40</v>
      </c>
      <c r="M218" t="str">
        <f>HYPERLINK(".\links\NR-LIGHT\ab-tri_asb-55804-NR-LIGHT.txt","NR-LIGHT")</f>
        <v>NR-LIGHT</v>
      </c>
      <c r="N218">
        <v>0</v>
      </c>
      <c r="O218">
        <v>100</v>
      </c>
      <c r="P218" s="9" t="str">
        <f>HYPERLINK(".\links\NR-LIGHT\ab-tri_asb-55804-NR-LIGHT.txt","heat shock-like protein, similar to heat shock 70 kDa proteins")</f>
        <v>heat shock-like protein, similar to heat shock 70 kDa proteins</v>
      </c>
      <c r="Q218" t="str">
        <f>HYPERLINK("http://www.ncbi.nlm.nih.gov/sutils/blink.cgi?pid=662802","0.0")</f>
        <v>0.0</v>
      </c>
    </row>
    <row r="219" spans="1:17">
      <c r="A219" s="7" t="s">
        <v>272</v>
      </c>
      <c r="B219" s="7">
        <v>1.2003582766809129E-2</v>
      </c>
      <c r="C219" s="7">
        <v>6364</v>
      </c>
      <c r="D219" s="7">
        <v>6373</v>
      </c>
      <c r="E219" s="7">
        <v>207.1320884711262</v>
      </c>
      <c r="F219" s="7">
        <v>1727</v>
      </c>
      <c r="G219" s="7">
        <v>1730</v>
      </c>
      <c r="H219" s="7">
        <v>100.83257081280755</v>
      </c>
      <c r="I219" s="2">
        <f t="shared" si="6"/>
        <v>8103</v>
      </c>
      <c r="J219" s="2">
        <f t="shared" si="7"/>
        <v>0.48680323535125947</v>
      </c>
      <c r="K219" s="8" t="s">
        <v>273</v>
      </c>
      <c r="L219" t="s">
        <v>18</v>
      </c>
      <c r="M219" t="str">
        <f>HYPERLINK(".\links\GO\ab-tri_asb-25277-GO.txt","GO")</f>
        <v>GO</v>
      </c>
      <c r="N219" s="1">
        <v>4.0000000000000003E-17</v>
      </c>
      <c r="O219">
        <v>6.6</v>
      </c>
      <c r="P219" s="9" t="str">
        <f>HYPERLINK(".\links\NR-LIGHT\ab-tri_asb-25277-NR-LIGHT.txt","CG33173")</f>
        <v>CG33173</v>
      </c>
      <c r="Q219" t="str">
        <f>HYPERLINK("http://www.ncbi.nlm.nih.gov/sutils/blink.cgi?pid=28571209","2E-016")</f>
        <v>2E-016</v>
      </c>
    </row>
    <row r="220" spans="1:17">
      <c r="A220" s="7" t="s">
        <v>616</v>
      </c>
      <c r="B220" s="7">
        <v>4.5914375905953264E-4</v>
      </c>
      <c r="C220" s="7">
        <v>1718</v>
      </c>
      <c r="D220" s="7">
        <v>1720</v>
      </c>
      <c r="E220" s="7">
        <v>255.42232113974333</v>
      </c>
      <c r="F220" s="7">
        <v>466</v>
      </c>
      <c r="G220" s="7">
        <v>466</v>
      </c>
      <c r="H220" s="7">
        <v>124.09880179152876</v>
      </c>
      <c r="I220" s="2">
        <f t="shared" si="6"/>
        <v>2186</v>
      </c>
      <c r="J220" s="2">
        <f t="shared" si="7"/>
        <v>0.48585730972052921</v>
      </c>
      <c r="K220" s="8" t="s">
        <v>8</v>
      </c>
      <c r="L220" t="s">
        <v>9</v>
      </c>
      <c r="P220" s="9" t="str">
        <f>HYPERLINK(".\links\NR-LIGHT\ab-tri_asb-854-NR-LIGHT.txt","CG7294")</f>
        <v>CG7294</v>
      </c>
      <c r="Q220" t="str">
        <f>HYPERLINK("http://www.ncbi.nlm.nih.gov/sutils/blink.cgi?pid=19921110","7E-005")</f>
        <v>7E-005</v>
      </c>
    </row>
    <row r="221" spans="1:17">
      <c r="A221" s="7" t="s">
        <v>221</v>
      </c>
      <c r="B221" s="7">
        <v>4.4610435109923019E-2</v>
      </c>
      <c r="C221" s="7">
        <v>2062</v>
      </c>
      <c r="D221" s="7">
        <v>2064</v>
      </c>
      <c r="E221" s="7">
        <v>186.16687299178608</v>
      </c>
      <c r="F221" s="7">
        <v>557</v>
      </c>
      <c r="G221" s="7">
        <v>559</v>
      </c>
      <c r="H221" s="7">
        <v>90.418186093737134</v>
      </c>
      <c r="I221" s="2">
        <f t="shared" si="6"/>
        <v>2623</v>
      </c>
      <c r="J221" s="2">
        <f t="shared" si="7"/>
        <v>0.48568354101175937</v>
      </c>
      <c r="K221" s="8" t="s">
        <v>8</v>
      </c>
      <c r="L221" t="s">
        <v>9</v>
      </c>
      <c r="P221" s="9" t="str">
        <f>HYPERLINK(".\links\NR-LIGHT\ab-tri_asb-18468-NR-LIGHT.txt","response regulator")</f>
        <v>response regulator</v>
      </c>
      <c r="Q221" t="str">
        <f>HYPERLINK("http://www.ncbi.nlm.nih.gov/sutils/blink.cgi?pid=26988889","12")</f>
        <v>12</v>
      </c>
    </row>
    <row r="222" spans="1:17">
      <c r="A222" s="7" t="s">
        <v>526</v>
      </c>
      <c r="B222" s="7">
        <v>0</v>
      </c>
      <c r="C222" s="7">
        <v>61559</v>
      </c>
      <c r="D222" s="7">
        <v>62025</v>
      </c>
      <c r="E222" s="7">
        <v>2629.5806193908711</v>
      </c>
      <c r="F222" s="7">
        <v>16618</v>
      </c>
      <c r="G222" s="7">
        <v>16784</v>
      </c>
      <c r="H222" s="7">
        <v>1276.0463788660199</v>
      </c>
      <c r="I222" s="2">
        <f t="shared" si="6"/>
        <v>78809</v>
      </c>
      <c r="J222" s="2">
        <f t="shared" si="7"/>
        <v>0.48526611789586793</v>
      </c>
      <c r="K222" s="8" t="s">
        <v>8</v>
      </c>
      <c r="L222" t="s">
        <v>9</v>
      </c>
      <c r="P222" s="9" t="str">
        <f>HYPERLINK(".\links\NR-LIGHT\ab-tri_asb-56041-NR-LIGHT.txt","hypothetical protein")</f>
        <v>hypothetical protein</v>
      </c>
      <c r="Q222" t="str">
        <f>HYPERLINK("http://www.ncbi.nlm.nih.gov/sutils/blink.cgi?pid=82704643","3.3")</f>
        <v>3.3</v>
      </c>
    </row>
    <row r="223" spans="1:17">
      <c r="A223" s="7" t="s">
        <v>588</v>
      </c>
      <c r="B223" s="7">
        <v>1.7779226333880516E-3</v>
      </c>
      <c r="C223" s="7">
        <v>4625</v>
      </c>
      <c r="D223" s="7">
        <v>13040</v>
      </c>
      <c r="E223" s="7">
        <v>232.27224992944187</v>
      </c>
      <c r="F223" s="7">
        <v>1198</v>
      </c>
      <c r="G223" s="7">
        <v>3519</v>
      </c>
      <c r="H223" s="7">
        <v>112.40620186505365</v>
      </c>
      <c r="I223" s="2">
        <f t="shared" si="6"/>
        <v>16559</v>
      </c>
      <c r="J223" s="2">
        <f t="shared" si="7"/>
        <v>0.48394158966126888</v>
      </c>
      <c r="K223" s="8" t="s">
        <v>166</v>
      </c>
      <c r="L223" t="s">
        <v>16</v>
      </c>
      <c r="M223" t="str">
        <f>HYPERLINK(".\links\GO\ab-tri_asb-6002-GO.txt","GO")</f>
        <v>GO</v>
      </c>
      <c r="N223">
        <v>1.0000000000000001E-9</v>
      </c>
      <c r="O223">
        <v>9.4</v>
      </c>
      <c r="P223" s="9" t="str">
        <f>HYPERLINK(".\links\NR-LIGHT\ab-tri_asb-6002-NR-LIGHT.txt","CG33205, isoform F")</f>
        <v>CG33205, isoform F</v>
      </c>
      <c r="Q223" t="str">
        <f>HYPERLINK("http://www.ncbi.nlm.nih.gov/sutils/blink.cgi?pid=45552084","2E-091")</f>
        <v>2E-091</v>
      </c>
    </row>
    <row r="224" spans="1:17">
      <c r="A224" s="7" t="s">
        <v>521</v>
      </c>
      <c r="B224" s="7">
        <v>0</v>
      </c>
      <c r="C224" s="7">
        <v>20612</v>
      </c>
      <c r="D224" s="7">
        <v>20616</v>
      </c>
      <c r="E224" s="7">
        <v>602.31759962314686</v>
      </c>
      <c r="F224" s="7">
        <v>5526</v>
      </c>
      <c r="G224" s="7">
        <v>5530</v>
      </c>
      <c r="H224" s="7">
        <v>289.7327245689375</v>
      </c>
      <c r="I224" s="2">
        <f t="shared" si="6"/>
        <v>26146</v>
      </c>
      <c r="J224" s="2">
        <f t="shared" si="7"/>
        <v>0.4810298167448786</v>
      </c>
      <c r="K224" s="8" t="s">
        <v>522</v>
      </c>
      <c r="L224" t="s">
        <v>23</v>
      </c>
      <c r="M224" t="str">
        <f>HYPERLINK(".\links\NR-LIGHT\ab-tri_asb-55955-NR-LIGHT.txt","NR-LIGHT")</f>
        <v>NR-LIGHT</v>
      </c>
      <c r="N224">
        <v>0</v>
      </c>
      <c r="O224">
        <v>100</v>
      </c>
      <c r="P224" s="9" t="str">
        <f>HYPERLINK(".\links\NR-LIGHT\ab-tri_asb-55955-NR-LIGHT.txt","lectin")</f>
        <v>lectin</v>
      </c>
      <c r="Q224" t="str">
        <f>HYPERLINK("http://www.ncbi.nlm.nih.gov/sutils/blink.cgi?pid=89112793","1E-110")</f>
        <v>1E-110</v>
      </c>
    </row>
    <row r="225" spans="1:17">
      <c r="A225" s="7" t="s">
        <v>584</v>
      </c>
      <c r="B225" s="7">
        <v>1.2798924463652828E-4</v>
      </c>
      <c r="C225" s="7">
        <v>10441</v>
      </c>
      <c r="D225" s="7">
        <v>10483</v>
      </c>
      <c r="E225" s="7">
        <v>266.82753415914334</v>
      </c>
      <c r="F225" s="7">
        <v>2803</v>
      </c>
      <c r="G225" s="7">
        <v>2811</v>
      </c>
      <c r="H225" s="7">
        <v>128.30901584713899</v>
      </c>
      <c r="I225" s="2">
        <f t="shared" si="6"/>
        <v>13294</v>
      </c>
      <c r="J225" s="2">
        <f t="shared" si="7"/>
        <v>0.48086872387994239</v>
      </c>
      <c r="K225" s="8" t="s">
        <v>583</v>
      </c>
      <c r="L225" t="s">
        <v>28</v>
      </c>
      <c r="M225" t="str">
        <f>HYPERLINK(".\links\DIPTERA\ab-tri_asb-5817-DIPTERA.txt","DIPTERA")</f>
        <v>DIPTERA</v>
      </c>
      <c r="N225" s="1">
        <v>5E-71</v>
      </c>
      <c r="O225">
        <v>100</v>
      </c>
      <c r="P225" s="9" t="str">
        <f>HYPERLINK(".\links\NR-LIGHT\ab-tri_asb-5817-NR-LIGHT.txt","putative translation initiation inhibitor UK114/IBM1")</f>
        <v>putative translation initiation inhibitor UK114/IBM1</v>
      </c>
      <c r="Q225" t="str">
        <f>HYPERLINK("http://www.ncbi.nlm.nih.gov/sutils/blink.cgi?pid=289741339","1E-070")</f>
        <v>1E-070</v>
      </c>
    </row>
    <row r="226" spans="1:17">
      <c r="A226" s="7" t="s">
        <v>456</v>
      </c>
      <c r="B226" s="7">
        <v>0</v>
      </c>
      <c r="C226" s="7">
        <v>76903</v>
      </c>
      <c r="D226" s="7">
        <v>76945</v>
      </c>
      <c r="E226" s="7">
        <v>1936.5027874954581</v>
      </c>
      <c r="F226" s="7">
        <v>20608</v>
      </c>
      <c r="G226" s="7">
        <v>20624</v>
      </c>
      <c r="H226" s="7">
        <v>930.81182900708177</v>
      </c>
      <c r="I226" s="2">
        <f t="shared" si="6"/>
        <v>97569</v>
      </c>
      <c r="J226" s="2">
        <f t="shared" si="7"/>
        <v>0.48066640286685614</v>
      </c>
      <c r="K226" s="8" t="s">
        <v>8</v>
      </c>
      <c r="L226" t="s">
        <v>9</v>
      </c>
      <c r="P226" s="9" t="str">
        <f>HYPERLINK(".\links\NR-LIGHT\ab-tri_asb-54871-NR-LIGHT.txt","conserved hypothetical protein")</f>
        <v>conserved hypothetical protein</v>
      </c>
      <c r="Q226" t="str">
        <f>HYPERLINK("http://www.ncbi.nlm.nih.gov/sutils/blink.cgi?pid=224532009","2.8")</f>
        <v>2.8</v>
      </c>
    </row>
    <row r="227" spans="1:17">
      <c r="A227" s="7" t="s">
        <v>602</v>
      </c>
      <c r="B227" s="7">
        <v>1.6157098641479961E-2</v>
      </c>
      <c r="C227" s="7">
        <v>14232</v>
      </c>
      <c r="D227" s="7">
        <v>14233</v>
      </c>
      <c r="E227" s="7">
        <v>194.59062413279707</v>
      </c>
      <c r="F227" s="7">
        <v>3809</v>
      </c>
      <c r="G227" s="7">
        <v>3810</v>
      </c>
      <c r="H227" s="7">
        <v>93.411793082680404</v>
      </c>
      <c r="I227" s="2">
        <f t="shared" si="6"/>
        <v>18043</v>
      </c>
      <c r="J227" s="2">
        <f t="shared" si="7"/>
        <v>0.48004262023915473</v>
      </c>
      <c r="K227" s="8" t="s">
        <v>98</v>
      </c>
      <c r="L227" t="s">
        <v>30</v>
      </c>
      <c r="M227" t="str">
        <f>HYPERLINK(".\links\PFAM\ab-tri_asb-6931-PFAM.txt","PFAM")</f>
        <v>PFAM</v>
      </c>
      <c r="N227">
        <v>3.9999999999999998E-11</v>
      </c>
      <c r="O227">
        <v>100</v>
      </c>
      <c r="P227" s="9" t="str">
        <f>HYPERLINK(".\links\NR-LIGHT\ab-tri_asb-6931-NR-LIGHT.txt","AGAP012131-PA")</f>
        <v>AGAP012131-PA</v>
      </c>
      <c r="Q227" t="str">
        <f>HYPERLINK("http://www.ncbi.nlm.nih.gov/sutils/blink.cgi?pid=158300499","5E-010")</f>
        <v>5E-010</v>
      </c>
    </row>
    <row r="228" spans="1:17">
      <c r="A228" s="7" t="s">
        <v>554</v>
      </c>
      <c r="B228" s="7">
        <v>0</v>
      </c>
      <c r="C228" s="7">
        <v>79674</v>
      </c>
      <c r="D228" s="7">
        <v>81793</v>
      </c>
      <c r="E228" s="7">
        <v>7994.5204698729976</v>
      </c>
      <c r="F228" s="7">
        <v>21382</v>
      </c>
      <c r="G228" s="7">
        <v>21834</v>
      </c>
      <c r="H228" s="7">
        <v>3827.0211169351483</v>
      </c>
      <c r="I228" s="2">
        <f t="shared" si="6"/>
        <v>103627</v>
      </c>
      <c r="J228" s="2">
        <f t="shared" si="7"/>
        <v>0.47870552478502126</v>
      </c>
      <c r="K228" s="8" t="s">
        <v>264</v>
      </c>
      <c r="L228" t="s">
        <v>13</v>
      </c>
      <c r="M228" t="str">
        <f>HYPERLINK(".\links\CDD\ab-tri_asb-56469-CDD.txt","CDD")</f>
        <v>CDD</v>
      </c>
      <c r="N228" s="1">
        <v>2E-16</v>
      </c>
      <c r="O228">
        <v>6.1</v>
      </c>
      <c r="P228" s="9" t="str">
        <f>HYPERLINK(".\links\NR-LIGHT\ab-tri_asb-56469-NR-LIGHT.txt","unnamed protein product")</f>
        <v>unnamed protein product</v>
      </c>
      <c r="Q228" t="str">
        <f>HYPERLINK("http://www.ncbi.nlm.nih.gov/sutils/blink.cgi?pid=209399981","2E-040")</f>
        <v>2E-040</v>
      </c>
    </row>
    <row r="229" spans="1:17">
      <c r="A229" s="7" t="s">
        <v>256</v>
      </c>
      <c r="B229" s="7">
        <v>9.8038599936622894E-5</v>
      </c>
      <c r="C229" s="7">
        <v>36722</v>
      </c>
      <c r="D229" s="7">
        <v>36756</v>
      </c>
      <c r="E229" s="7">
        <v>260.53668881887904</v>
      </c>
      <c r="F229" s="7">
        <v>9703</v>
      </c>
      <c r="G229" s="7">
        <v>9711</v>
      </c>
      <c r="H229" s="7">
        <v>123.43998830820361</v>
      </c>
      <c r="I229" s="2">
        <f t="shared" si="6"/>
        <v>46467</v>
      </c>
      <c r="J229" s="2">
        <f t="shared" si="7"/>
        <v>0.47379119181950274</v>
      </c>
      <c r="K229" s="8" t="s">
        <v>78</v>
      </c>
      <c r="L229" t="s">
        <v>11</v>
      </c>
      <c r="M229" t="str">
        <f>HYPERLINK(".\links\KOG\ab-tri_asb-23285-KOG.txt","KOG")</f>
        <v>KOG</v>
      </c>
      <c r="N229" s="1">
        <v>4.0000000000000003E-68</v>
      </c>
      <c r="O229">
        <v>94.4</v>
      </c>
      <c r="P229" s="9" t="str">
        <f>HYPERLINK(".\links\NR-LIGHT\ab-tri_asb-23285-NR-LIGHT.txt","aldehyde dehydrogenase")</f>
        <v>aldehyde dehydrogenase</v>
      </c>
      <c r="Q229" t="str">
        <f>HYPERLINK("http://www.ncbi.nlm.nih.gov/sutils/blink.cgi?pid=289743483","0.0")</f>
        <v>0.0</v>
      </c>
    </row>
    <row r="230" spans="1:17">
      <c r="A230" s="7" t="s">
        <v>528</v>
      </c>
      <c r="B230" s="7">
        <v>8.5801366012105973E-10</v>
      </c>
      <c r="C230" s="7">
        <v>4536</v>
      </c>
      <c r="D230" s="7">
        <v>39378</v>
      </c>
      <c r="E230" s="7">
        <v>1917.4478105969699</v>
      </c>
      <c r="F230" s="7">
        <v>860</v>
      </c>
      <c r="G230" s="7">
        <v>10402</v>
      </c>
      <c r="H230" s="7">
        <v>908.31820402835672</v>
      </c>
      <c r="I230" s="2">
        <f t="shared" si="6"/>
        <v>49780</v>
      </c>
      <c r="J230" s="2">
        <f t="shared" si="7"/>
        <v>0.4737120869775146</v>
      </c>
      <c r="K230" s="8" t="s">
        <v>88</v>
      </c>
      <c r="L230" t="s">
        <v>27</v>
      </c>
      <c r="M230" t="str">
        <f>HYPERLINK(".\links\DIPTERA\ab-tri_asb-56045-DIPTERA.txt","DIPTERA")</f>
        <v>DIPTERA</v>
      </c>
      <c r="N230" s="1">
        <v>1E-42</v>
      </c>
      <c r="O230">
        <v>32.700000000000003</v>
      </c>
      <c r="P230" s="9" t="str">
        <f>HYPERLINK(".\links\NR-LIGHT\ab-tri_asb-56045-NR-LIGHT.txt","retrotransposon protein")</f>
        <v>retrotransposon protein</v>
      </c>
      <c r="Q230" t="str">
        <f>HYPERLINK("http://www.ncbi.nlm.nih.gov/sutils/blink.cgi?pid=289740911","3E-042")</f>
        <v>3E-042</v>
      </c>
    </row>
    <row r="231" spans="1:17">
      <c r="A231" s="7" t="s">
        <v>417</v>
      </c>
      <c r="B231" s="7">
        <v>5.6870098741335084E-7</v>
      </c>
      <c r="C231" s="7">
        <v>2191</v>
      </c>
      <c r="D231" s="7">
        <v>2278</v>
      </c>
      <c r="E231" s="7">
        <v>330.97178066529443</v>
      </c>
      <c r="F231" s="7">
        <v>573</v>
      </c>
      <c r="G231" s="7">
        <v>600</v>
      </c>
      <c r="H231" s="7">
        <v>156.32907869806314</v>
      </c>
      <c r="I231" s="2">
        <f t="shared" si="6"/>
        <v>2878</v>
      </c>
      <c r="J231" s="2">
        <f t="shared" si="7"/>
        <v>0.47233355781517766</v>
      </c>
      <c r="K231" s="8" t="s">
        <v>8</v>
      </c>
      <c r="L231" t="s">
        <v>9</v>
      </c>
      <c r="P231" s="9" t="str">
        <f>HYPERLINK(".\links\NR-LIGHT\ab-tri_asb-53546-NR-LIGHT.txt","hypothetical protein NCU08367")</f>
        <v>hypothetical protein NCU08367</v>
      </c>
      <c r="Q231" t="str">
        <f>HYPERLINK("http://www.ncbi.nlm.nih.gov/sutils/blink.cgi?pid=85117488","0.033")</f>
        <v>0.033</v>
      </c>
    </row>
    <row r="232" spans="1:17">
      <c r="A232" s="7" t="s">
        <v>227</v>
      </c>
      <c r="B232" s="7">
        <v>1.3231773502717092E-2</v>
      </c>
      <c r="C232" s="7">
        <v>10766</v>
      </c>
      <c r="D232" s="7">
        <v>10770</v>
      </c>
      <c r="E232" s="7">
        <v>187.97667251592475</v>
      </c>
      <c r="F232" s="7">
        <v>2827</v>
      </c>
      <c r="G232" s="7">
        <v>2827</v>
      </c>
      <c r="H232" s="7">
        <v>88.484119603564423</v>
      </c>
      <c r="I232" s="2">
        <f t="shared" si="6"/>
        <v>13597</v>
      </c>
      <c r="J232" s="2">
        <f t="shared" si="7"/>
        <v>0.47071861853533103</v>
      </c>
      <c r="K232" s="8" t="s">
        <v>81</v>
      </c>
      <c r="L232" t="s">
        <v>24</v>
      </c>
      <c r="M232" t="str">
        <f>HYPERLINK(".\links\KOG\ab-tri_asb-1971-KOG.txt","KOG")</f>
        <v>KOG</v>
      </c>
      <c r="N232" s="1">
        <v>2.9999999999999999E-78</v>
      </c>
      <c r="O232">
        <v>100.4</v>
      </c>
      <c r="P232" s="9" t="str">
        <f>HYPERLINK(".\links\NR-LIGHT\ab-tri_asb-1971-NR-LIGHT.txt","bax-mediated apoptosis inhibitor TEGT/BI-1")</f>
        <v>bax-mediated apoptosis inhibitor TEGT/BI-1</v>
      </c>
      <c r="Q232" t="str">
        <f>HYPERLINK("http://www.ncbi.nlm.nih.gov/sutils/blink.cgi?pid=289743199","1E-129")</f>
        <v>1E-129</v>
      </c>
    </row>
    <row r="233" spans="1:17">
      <c r="A233" s="7" t="s">
        <v>318</v>
      </c>
      <c r="B233" s="7">
        <v>1.8590295969289627E-10</v>
      </c>
      <c r="C233" s="7">
        <v>11925</v>
      </c>
      <c r="D233" s="7">
        <v>13033</v>
      </c>
      <c r="E233" s="7">
        <v>775.02361489759176</v>
      </c>
      <c r="F233" s="7">
        <v>3123</v>
      </c>
      <c r="G233" s="7">
        <v>3408</v>
      </c>
      <c r="H233" s="7">
        <v>363.4305218936388</v>
      </c>
      <c r="I233" s="2">
        <f t="shared" si="6"/>
        <v>16441</v>
      </c>
      <c r="J233" s="2">
        <f t="shared" si="7"/>
        <v>0.468928320257262</v>
      </c>
      <c r="K233" s="8" t="s">
        <v>319</v>
      </c>
      <c r="L233" t="s">
        <v>40</v>
      </c>
      <c r="M233" t="str">
        <f>HYPERLINK(".\links\DIPTERA\ab-tri_asb-31673-DIPTERA.txt","DIPTERA")</f>
        <v>DIPTERA</v>
      </c>
      <c r="N233" s="1">
        <v>3.0000000000000001E-26</v>
      </c>
      <c r="O233">
        <v>10</v>
      </c>
      <c r="P233" s="9" t="str">
        <f>HYPERLINK(".\links\NR-LIGHT\ab-tri_asb-31673-NR-LIGHT.txt","heat shock protein cognate 4")</f>
        <v>heat shock protein cognate 4</v>
      </c>
      <c r="Q233" t="str">
        <f>HYPERLINK("http://www.ncbi.nlm.nih.gov/sutils/blink.cgi?pid=289741783","7E-026")</f>
        <v>7E-026</v>
      </c>
    </row>
    <row r="234" spans="1:17">
      <c r="A234" s="7" t="s">
        <v>329</v>
      </c>
      <c r="B234" s="7">
        <v>0</v>
      </c>
      <c r="C234" s="7">
        <v>49258</v>
      </c>
      <c r="D234" s="7">
        <v>49266</v>
      </c>
      <c r="E234" s="7">
        <v>647.21809124496394</v>
      </c>
      <c r="F234" s="7">
        <v>12868</v>
      </c>
      <c r="G234" s="7">
        <v>12871</v>
      </c>
      <c r="H234" s="7">
        <v>303.22632845040124</v>
      </c>
      <c r="I234" s="2">
        <f t="shared" si="6"/>
        <v>62137</v>
      </c>
      <c r="J234" s="2">
        <f t="shared" si="7"/>
        <v>0.46850718877021297</v>
      </c>
      <c r="K234" s="8" t="s">
        <v>119</v>
      </c>
      <c r="L234" t="s">
        <v>10</v>
      </c>
      <c r="M234" t="str">
        <f>HYPERLINK(".\links\KOG\ab-tri_asb-34590-KOG.txt","KOG")</f>
        <v>KOG</v>
      </c>
      <c r="N234" s="1">
        <v>9.9999999999999997E-65</v>
      </c>
      <c r="O234">
        <v>109.4</v>
      </c>
      <c r="P234" s="9" t="str">
        <f>HYPERLINK(".\links\NR-LIGHT\ab-tri_asb-34590-NR-LIGHT.txt","alpha-Tubulin at 84B")</f>
        <v>alpha-Tubulin at 84B</v>
      </c>
      <c r="Q234" t="str">
        <f>HYPERLINK("http://www.ncbi.nlm.nih.gov/sutils/blink.cgi?pid=17136564","0.0")</f>
        <v>0.0</v>
      </c>
    </row>
    <row r="235" spans="1:17">
      <c r="A235" s="7" t="s">
        <v>573</v>
      </c>
      <c r="B235" s="7">
        <v>1.241800310247676E-5</v>
      </c>
      <c r="C235" s="7">
        <v>35057</v>
      </c>
      <c r="D235" s="7">
        <v>35066</v>
      </c>
      <c r="E235" s="7">
        <v>280.93294968783306</v>
      </c>
      <c r="F235" s="7">
        <v>9149</v>
      </c>
      <c r="G235" s="7">
        <v>9152</v>
      </c>
      <c r="H235" s="7">
        <v>131.48727755850206</v>
      </c>
      <c r="I235" s="2">
        <f t="shared" si="6"/>
        <v>44218</v>
      </c>
      <c r="J235" s="2">
        <f t="shared" si="7"/>
        <v>0.4680379346908507</v>
      </c>
      <c r="K235" s="8" t="s">
        <v>309</v>
      </c>
      <c r="L235" t="s">
        <v>10</v>
      </c>
      <c r="M235" t="str">
        <f>HYPERLINK(".\links\NR-LIGHT\ab-tri_asb-57260-NR-LIGHT.txt","NR-LIGHT")</f>
        <v>NR-LIGHT</v>
      </c>
      <c r="N235">
        <v>0</v>
      </c>
      <c r="O235">
        <v>60</v>
      </c>
      <c r="P235" s="9" t="str">
        <f>HYPERLINK(".\links\NR-LIGHT\ab-tri_asb-57260-NR-LIGHT.txt","muscle LIM protein at 84B")</f>
        <v>muscle LIM protein at 84B</v>
      </c>
      <c r="Q235" t="str">
        <f>HYPERLINK("http://www.ncbi.nlm.nih.gov/sutils/blink.cgi?pid=289742311","0.0")</f>
        <v>0.0</v>
      </c>
    </row>
    <row r="236" spans="1:17">
      <c r="A236" s="7" t="s">
        <v>328</v>
      </c>
      <c r="B236" s="7">
        <v>6.1967653230965425E-11</v>
      </c>
      <c r="C236" s="7">
        <v>31645</v>
      </c>
      <c r="D236" s="7">
        <v>31649</v>
      </c>
      <c r="E236" s="7">
        <v>850.68537706806069</v>
      </c>
      <c r="F236" s="7">
        <v>8215</v>
      </c>
      <c r="G236" s="7">
        <v>8215</v>
      </c>
      <c r="H236" s="7">
        <v>395.97504263058153</v>
      </c>
      <c r="I236" s="2">
        <f t="shared" si="6"/>
        <v>39864</v>
      </c>
      <c r="J236" s="2">
        <f t="shared" si="7"/>
        <v>0.46547766460419693</v>
      </c>
      <c r="K236" s="8" t="s">
        <v>8</v>
      </c>
      <c r="L236" t="s">
        <v>9</v>
      </c>
      <c r="P236" s="9" t="str">
        <f>HYPERLINK(".\links\NR-LIGHT\ab-tri_asb-34230-NR-LIGHT.txt","hypothetical protein HMPREF9957_0155")</f>
        <v>hypothetical protein HMPREF9957_0155</v>
      </c>
      <c r="Q236" t="str">
        <f>HYPERLINK("http://www.ncbi.nlm.nih.gov/sutils/blink.cgi?pid=339457755","0.036")</f>
        <v>0.036</v>
      </c>
    </row>
    <row r="237" spans="1:17">
      <c r="A237" s="7" t="s">
        <v>598</v>
      </c>
      <c r="B237" s="7">
        <v>2.1932487979103854E-5</v>
      </c>
      <c r="C237" s="7">
        <v>17790</v>
      </c>
      <c r="D237" s="7">
        <v>17790</v>
      </c>
      <c r="E237" s="7">
        <v>269.08996081937227</v>
      </c>
      <c r="F237" s="7">
        <v>4615</v>
      </c>
      <c r="G237" s="7">
        <v>4616</v>
      </c>
      <c r="H237" s="7">
        <v>125.20988561714312</v>
      </c>
      <c r="I237" s="2">
        <f t="shared" si="6"/>
        <v>22406</v>
      </c>
      <c r="J237" s="2">
        <f t="shared" si="7"/>
        <v>0.46530864710033076</v>
      </c>
      <c r="K237" s="8" t="s">
        <v>213</v>
      </c>
      <c r="L237" t="s">
        <v>15</v>
      </c>
      <c r="M237" t="str">
        <f>HYPERLINK(".\links\KOG\ab-tri_asb-6789-KOG.txt","KOG")</f>
        <v>KOG</v>
      </c>
      <c r="N237">
        <v>0</v>
      </c>
      <c r="O237">
        <v>100.2</v>
      </c>
      <c r="P237" s="9" t="str">
        <f>HYPERLINK(".\links\NR-LIGHT\ab-tri_asb-6789-NR-LIGHT.txt","putative fructose 1,6-bisphosphate aldolase")</f>
        <v>putative fructose 1,6-bisphosphate aldolase</v>
      </c>
      <c r="Q237" t="str">
        <f>HYPERLINK("http://www.ncbi.nlm.nih.gov/sutils/blink.cgi?pid=289741951","0.0")</f>
        <v>0.0</v>
      </c>
    </row>
    <row r="238" spans="1:17">
      <c r="A238" s="7" t="s">
        <v>531</v>
      </c>
      <c r="B238" s="7">
        <v>0</v>
      </c>
      <c r="C238" s="7">
        <v>43548</v>
      </c>
      <c r="D238" s="7">
        <v>44728</v>
      </c>
      <c r="E238" s="7">
        <v>1406.1198517400092</v>
      </c>
      <c r="F238" s="7">
        <v>11266</v>
      </c>
      <c r="G238" s="7">
        <v>11539</v>
      </c>
      <c r="H238" s="7">
        <v>650.52247413827649</v>
      </c>
      <c r="I238" s="2">
        <f t="shared" si="6"/>
        <v>56267</v>
      </c>
      <c r="J238" s="2">
        <f t="shared" si="7"/>
        <v>0.46263657634396144</v>
      </c>
      <c r="K238" s="8" t="s">
        <v>270</v>
      </c>
      <c r="L238" t="s">
        <v>30</v>
      </c>
      <c r="M238" t="str">
        <f>HYPERLINK(".\links\SWISSP\ab-tri_asb-56049-SWISSP.txt","SWISSP")</f>
        <v>SWISSP</v>
      </c>
      <c r="N238" s="1">
        <v>4.0000000000000001E-59</v>
      </c>
      <c r="O238">
        <v>46</v>
      </c>
      <c r="P238" s="9" t="str">
        <f>HYPERLINK(".\links\NR-LIGHT\ab-tri_asb-56049-NR-LIGHT.txt","hypothetical protein IAM_21956")</f>
        <v>hypothetical protein IAM_21956</v>
      </c>
      <c r="Q238" t="str">
        <f>HYPERLINK("http://www.ncbi.nlm.nih.gov/sutils/blink.cgi?pid=344191286","2E-058")</f>
        <v>2E-058</v>
      </c>
    </row>
    <row r="239" spans="1:17">
      <c r="A239" s="7" t="s">
        <v>581</v>
      </c>
      <c r="B239" s="7">
        <v>2.8981794741866906E-9</v>
      </c>
      <c r="C239" s="7">
        <v>16353</v>
      </c>
      <c r="D239" s="7">
        <v>30979</v>
      </c>
      <c r="E239" s="7">
        <v>385.14182165319784</v>
      </c>
      <c r="F239" s="7">
        <v>4057</v>
      </c>
      <c r="G239" s="7">
        <v>7992</v>
      </c>
      <c r="H239" s="7">
        <v>178.18044205724661</v>
      </c>
      <c r="I239" s="2">
        <f t="shared" si="6"/>
        <v>38971</v>
      </c>
      <c r="J239" s="2">
        <f t="shared" si="7"/>
        <v>0.46263592276844384</v>
      </c>
      <c r="K239" s="8" t="s">
        <v>155</v>
      </c>
      <c r="L239" t="s">
        <v>33</v>
      </c>
      <c r="M239" t="str">
        <f>HYPERLINK(".\links\KOG\ab-tri_asb-57936-KOG.txt","KOG")</f>
        <v>KOG</v>
      </c>
      <c r="N239">
        <v>0</v>
      </c>
      <c r="O239">
        <v>102.1</v>
      </c>
      <c r="P239" s="9" t="str">
        <f>HYPERLINK(".\links\NR-LIGHT\ab-tri_asb-57936-NR-LIGHT.txt","glutamate dehydrogenase")</f>
        <v>glutamate dehydrogenase</v>
      </c>
      <c r="Q239" t="str">
        <f>HYPERLINK("http://www.ncbi.nlm.nih.gov/sutils/blink.cgi?pid=289742585","0.0")</f>
        <v>0.0</v>
      </c>
    </row>
    <row r="240" spans="1:17">
      <c r="A240" s="7" t="s">
        <v>452</v>
      </c>
      <c r="B240" s="7">
        <v>1.4300227668684329E-10</v>
      </c>
      <c r="C240" s="7">
        <v>11676</v>
      </c>
      <c r="D240" s="7">
        <v>41544</v>
      </c>
      <c r="E240" s="7">
        <v>531.23242222433203</v>
      </c>
      <c r="F240" s="7">
        <v>3198</v>
      </c>
      <c r="G240" s="7">
        <v>10707</v>
      </c>
      <c r="H240" s="7">
        <v>245.52478388814617</v>
      </c>
      <c r="I240" s="2">
        <f t="shared" si="6"/>
        <v>52251</v>
      </c>
      <c r="J240" s="2">
        <f t="shared" si="7"/>
        <v>0.46217959148672688</v>
      </c>
      <c r="K240" s="8" t="s">
        <v>80</v>
      </c>
      <c r="L240" t="s">
        <v>35</v>
      </c>
      <c r="M240" t="str">
        <f>HYPERLINK(".\links\KOG\ab-tri_asb-54796-KOG.txt","KOG")</f>
        <v>KOG</v>
      </c>
      <c r="N240">
        <v>0</v>
      </c>
      <c r="O240">
        <v>103.5</v>
      </c>
      <c r="P240" s="9" t="str">
        <f>HYPERLINK(".\links\NR-LIGHT\ab-tri_asb-54796-NR-LIGHT.txt","phosphoribosylamidotransferase 2, isoform B")</f>
        <v>phosphoribosylamidotransferase 2, isoform B</v>
      </c>
      <c r="Q240" t="str">
        <f>HYPERLINK("http://www.ncbi.nlm.nih.gov/sutils/blink.cgi?pid=24659598","0.0")</f>
        <v>0.0</v>
      </c>
    </row>
    <row r="241" spans="1:17">
      <c r="A241" s="7" t="s">
        <v>304</v>
      </c>
      <c r="B241" s="7">
        <v>4.7667425562281096E-11</v>
      </c>
      <c r="C241" s="7">
        <v>11274</v>
      </c>
      <c r="D241" s="7">
        <v>11274</v>
      </c>
      <c r="E241" s="7">
        <v>452.96108039058072</v>
      </c>
      <c r="F241" s="7">
        <v>2902</v>
      </c>
      <c r="G241" s="7">
        <v>2902</v>
      </c>
      <c r="H241" s="7">
        <v>209.08916910968898</v>
      </c>
      <c r="I241" s="2">
        <f t="shared" si="6"/>
        <v>14176</v>
      </c>
      <c r="J241" s="2">
        <f t="shared" si="7"/>
        <v>0.46160515364674359</v>
      </c>
      <c r="K241" s="8" t="s">
        <v>277</v>
      </c>
      <c r="L241" t="s">
        <v>48</v>
      </c>
      <c r="M241" t="str">
        <f>HYPERLINK(".\links\PFAM\ab-tri_asb-28119-PFAM.txt","PFAM")</f>
        <v>PFAM</v>
      </c>
      <c r="N241" s="1">
        <v>2E-52</v>
      </c>
      <c r="O241">
        <v>100</v>
      </c>
      <c r="P241" s="9" t="str">
        <f>HYPERLINK(".\links\NR-LIGHT\ab-tri_asb-28119-NR-LIGHT.txt","chemosensory protein 3")</f>
        <v>chemosensory protein 3</v>
      </c>
      <c r="Q241" t="str">
        <f>HYPERLINK("http://www.ncbi.nlm.nih.gov/sutils/blink.cgi?pid=281426845","5E-067")</f>
        <v>5E-067</v>
      </c>
    </row>
    <row r="242" spans="1:17">
      <c r="A242" s="7" t="s">
        <v>412</v>
      </c>
      <c r="B242" s="7">
        <v>0</v>
      </c>
      <c r="C242" s="7">
        <v>29858</v>
      </c>
      <c r="D242" s="7">
        <v>62795</v>
      </c>
      <c r="E242" s="7">
        <v>890.21663806624815</v>
      </c>
      <c r="F242" s="7">
        <v>9083</v>
      </c>
      <c r="G242" s="7">
        <v>16145</v>
      </c>
      <c r="H242" s="7">
        <v>410.44971913004787</v>
      </c>
      <c r="I242" s="2">
        <f t="shared" si="6"/>
        <v>78940</v>
      </c>
      <c r="J242" s="2">
        <f t="shared" si="7"/>
        <v>0.46106722968202152</v>
      </c>
      <c r="K242" s="8" t="s">
        <v>110</v>
      </c>
      <c r="L242" t="s">
        <v>10</v>
      </c>
      <c r="M242" t="str">
        <f>HYPERLINK(".\links\KOG\ab-tri_asb-53397-KOG.txt","KOG")</f>
        <v>KOG</v>
      </c>
      <c r="N242" s="1">
        <v>9.9999999999999999E-91</v>
      </c>
      <c r="O242">
        <v>98.3</v>
      </c>
      <c r="P242" s="9" t="str">
        <f>HYPERLINK(".\links\NR-LIGHT\ab-tri_asb-53397-NR-LIGHT.txt","actin 87E")</f>
        <v>actin 87E</v>
      </c>
      <c r="Q242" t="str">
        <f>HYPERLINK("http://www.ncbi.nlm.nih.gov/sutils/blink.cgi?pid=289741933","0.0")</f>
        <v>0.0</v>
      </c>
    </row>
    <row r="243" spans="1:17">
      <c r="A243" s="7" t="s">
        <v>337</v>
      </c>
      <c r="B243" s="7">
        <v>0</v>
      </c>
      <c r="C243" s="7">
        <v>13175</v>
      </c>
      <c r="D243" s="7">
        <v>13890</v>
      </c>
      <c r="E243" s="7">
        <v>729.19093313296844</v>
      </c>
      <c r="F243" s="7">
        <v>3370</v>
      </c>
      <c r="G243" s="7">
        <v>3566</v>
      </c>
      <c r="H243" s="7">
        <v>335.71567873665117</v>
      </c>
      <c r="I243" s="2">
        <f t="shared" si="6"/>
        <v>17456</v>
      </c>
      <c r="J243" s="2">
        <f t="shared" si="7"/>
        <v>0.46039475188514611</v>
      </c>
      <c r="K243" s="8" t="s">
        <v>338</v>
      </c>
      <c r="L243" t="s">
        <v>23</v>
      </c>
      <c r="M243" t="str">
        <f>HYPERLINK(".\links\DIPTERA\ab-tri_asb-36951-DIPTERA.txt","DIPTERA")</f>
        <v>DIPTERA</v>
      </c>
      <c r="N243" s="1">
        <v>7.9999999999999994E-77</v>
      </c>
      <c r="O243">
        <v>68.3</v>
      </c>
      <c r="P243" s="9" t="str">
        <f>HYPERLINK(".\links\NR-LIGHT\ab-tri_asb-36951-NR-LIGHT.txt","Gmfb8")</f>
        <v>Gmfb8</v>
      </c>
      <c r="Q243" t="str">
        <f>HYPERLINK("http://www.ncbi.nlm.nih.gov/sutils/blink.cgi?pid=19168450","2E-076")</f>
        <v>2E-076</v>
      </c>
    </row>
    <row r="244" spans="1:17">
      <c r="A244" s="7" t="s">
        <v>382</v>
      </c>
      <c r="B244" s="7">
        <v>6.6734395787193534E-11</v>
      </c>
      <c r="C244" s="7">
        <v>3055</v>
      </c>
      <c r="D244" s="7">
        <v>3073</v>
      </c>
      <c r="E244" s="7">
        <v>464.03584892899158</v>
      </c>
      <c r="F244" s="7">
        <v>782</v>
      </c>
      <c r="G244" s="7">
        <v>783</v>
      </c>
      <c r="H244" s="7">
        <v>212.03229114988704</v>
      </c>
      <c r="I244" s="2">
        <f t="shared" si="6"/>
        <v>3856</v>
      </c>
      <c r="J244" s="2">
        <f t="shared" si="7"/>
        <v>0.45693084195814576</v>
      </c>
      <c r="K244" s="8" t="s">
        <v>309</v>
      </c>
      <c r="L244" t="s">
        <v>10</v>
      </c>
      <c r="M244" t="str">
        <f>HYPERLINK(".\links\DIPTERA\ab-tri_asb-49393-DIPTERA.txt","DIPTERA")</f>
        <v>DIPTERA</v>
      </c>
      <c r="N244" s="1">
        <v>3.9999999999999998E-29</v>
      </c>
      <c r="O244">
        <v>12</v>
      </c>
      <c r="P244" s="9" t="str">
        <f>HYPERLINK(".\links\NR-LIGHT\ab-tri_asb-49393-NR-LIGHT.txt","muscle LIM protein at 84B")</f>
        <v>muscle LIM protein at 84B</v>
      </c>
      <c r="Q244" t="str">
        <f>HYPERLINK("http://www.ncbi.nlm.nih.gov/sutils/blink.cgi?pid=289742311","2E-028")</f>
        <v>2E-028</v>
      </c>
    </row>
    <row r="245" spans="1:17">
      <c r="A245" s="7" t="s">
        <v>508</v>
      </c>
      <c r="B245" s="7">
        <v>1.0486833623701841E-10</v>
      </c>
      <c r="C245" s="7">
        <v>16934</v>
      </c>
      <c r="D245" s="7">
        <v>35254</v>
      </c>
      <c r="E245" s="7">
        <v>774.1693219962915</v>
      </c>
      <c r="F245" s="7">
        <v>4298</v>
      </c>
      <c r="G245" s="7">
        <v>8897</v>
      </c>
      <c r="H245" s="7">
        <v>350.36637450664966</v>
      </c>
      <c r="I245" s="2">
        <f t="shared" si="6"/>
        <v>44151</v>
      </c>
      <c r="J245" s="2">
        <f t="shared" si="7"/>
        <v>0.45257072910508334</v>
      </c>
      <c r="K245" s="8" t="s">
        <v>509</v>
      </c>
      <c r="L245" t="s">
        <v>28</v>
      </c>
      <c r="M245" t="str">
        <f>HYPERLINK(".\links\GO\ab-tri_asb-55865-GO.txt","GO")</f>
        <v>GO</v>
      </c>
      <c r="N245" s="1">
        <v>2E-85</v>
      </c>
      <c r="O245">
        <v>101</v>
      </c>
      <c r="P245" s="9" t="str">
        <f>HYPERLINK(".\links\NR-LIGHT\ab-tri_asb-55865-NR-LIGHT.txt","crystallin alpha B")</f>
        <v>crystallin alpha B</v>
      </c>
      <c r="Q245" t="str">
        <f>HYPERLINK("http://www.ncbi.nlm.nih.gov/sutils/blink.cgi?pid=289743435","1E-105")</f>
        <v>1E-105</v>
      </c>
    </row>
    <row r="246" spans="1:17">
      <c r="A246" s="7" t="s">
        <v>295</v>
      </c>
      <c r="B246" s="7">
        <v>0</v>
      </c>
      <c r="C246" s="7">
        <v>54350</v>
      </c>
      <c r="D246" s="7">
        <v>54418</v>
      </c>
      <c r="E246" s="7">
        <v>887.55309776213664</v>
      </c>
      <c r="F246" s="7">
        <v>13624</v>
      </c>
      <c r="G246" s="7">
        <v>13638</v>
      </c>
      <c r="H246" s="7">
        <v>398.89052935636551</v>
      </c>
      <c r="I246" s="2">
        <f t="shared" si="6"/>
        <v>68056</v>
      </c>
      <c r="J246" s="2">
        <f t="shared" si="7"/>
        <v>0.44942722904367327</v>
      </c>
      <c r="K246" s="8" t="s">
        <v>118</v>
      </c>
      <c r="L246" t="s">
        <v>10</v>
      </c>
      <c r="M246" t="str">
        <f>HYPERLINK(".\links\KOG\ab-tri_asb-27362-KOG.txt","KOG")</f>
        <v>KOG</v>
      </c>
      <c r="N246" s="1">
        <v>6.0000000000000004E-90</v>
      </c>
      <c r="O246">
        <v>104.6</v>
      </c>
      <c r="P246" s="9" t="str">
        <f>HYPERLINK(".\links\NR-LIGHT\ab-tri_asb-27362-NR-LIGHT.txt","Tubulin beta-1 chain; AltName: Full=Beta-1-tubulin gi|89112803|gb|ABD60995.1|")</f>
        <v>Tubulin beta-1 chain; AltName: Full=Beta-1-tubulin gi|89112803|gb|ABD60995.1|</v>
      </c>
      <c r="Q246" t="str">
        <f>HYPERLINK("http://www.ncbi.nlm.nih.gov/sutils/blink.cgi?pid=121987496","0.0")</f>
        <v>0.0</v>
      </c>
    </row>
    <row r="247" spans="1:17">
      <c r="A247" s="7" t="s">
        <v>137</v>
      </c>
      <c r="B247" s="7">
        <v>2.5135152143213046E-3</v>
      </c>
      <c r="C247" s="7">
        <v>9866</v>
      </c>
      <c r="D247" s="7">
        <v>9866</v>
      </c>
      <c r="E247" s="7">
        <v>187.67564816982343</v>
      </c>
      <c r="F247" s="7">
        <v>2469</v>
      </c>
      <c r="G247" s="7">
        <v>2469</v>
      </c>
      <c r="H247" s="7">
        <v>84.224642169757971</v>
      </c>
      <c r="I247" s="2">
        <f t="shared" si="6"/>
        <v>12335</v>
      </c>
      <c r="J247" s="2">
        <f t="shared" si="7"/>
        <v>0.44877768102095483</v>
      </c>
      <c r="K247" s="8" t="s">
        <v>138</v>
      </c>
      <c r="L247" t="s">
        <v>28</v>
      </c>
      <c r="M247" t="str">
        <f>HYPERLINK(".\links\GO\ab-tri_asb-14203-GO.txt","GO")</f>
        <v>GO</v>
      </c>
      <c r="N247" s="1">
        <v>3.9999999999999999E-60</v>
      </c>
      <c r="O247">
        <v>99.3</v>
      </c>
      <c r="P247" s="9" t="str">
        <f>HYPERLINK(".\links\NR-LIGHT\ab-tri_asb-14203-NR-LIGHT.txt","mitochondrial ribosomal protein L20")</f>
        <v>mitochondrial ribosomal protein L20</v>
      </c>
      <c r="Q247" t="str">
        <f>HYPERLINK("http://www.ncbi.nlm.nih.gov/sutils/blink.cgi?pid=17647671","2E-059")</f>
        <v>2E-059</v>
      </c>
    </row>
    <row r="248" spans="1:17">
      <c r="A248" s="7" t="s">
        <v>527</v>
      </c>
      <c r="B248" s="7">
        <v>0</v>
      </c>
      <c r="C248" s="7">
        <v>108681</v>
      </c>
      <c r="D248" s="7">
        <v>141295</v>
      </c>
      <c r="E248" s="7">
        <v>2964.740179658264</v>
      </c>
      <c r="F248" s="7">
        <v>24940</v>
      </c>
      <c r="G248" s="7">
        <v>35177</v>
      </c>
      <c r="H248" s="7">
        <v>1323.6400992088563</v>
      </c>
      <c r="I248" s="2">
        <f t="shared" si="6"/>
        <v>176472</v>
      </c>
      <c r="J248" s="2">
        <f t="shared" si="7"/>
        <v>0.44646074158222798</v>
      </c>
      <c r="K248" s="8" t="s">
        <v>88</v>
      </c>
      <c r="L248" t="s">
        <v>27</v>
      </c>
      <c r="M248" t="str">
        <f>HYPERLINK(".\links\NR-LIGHT\ab-tri_asb-56044-NR-LIGHT.txt","NR-LIGHT")</f>
        <v>NR-LIGHT</v>
      </c>
      <c r="N248">
        <v>0</v>
      </c>
      <c r="O248">
        <v>100</v>
      </c>
      <c r="P248" s="9" t="str">
        <f>HYPERLINK(".\links\NR-LIGHT\ab-tri_asb-56044-NR-LIGHT.txt","retrotransposon protein")</f>
        <v>retrotransposon protein</v>
      </c>
      <c r="Q248" t="str">
        <f>HYPERLINK("http://www.ncbi.nlm.nih.gov/sutils/blink.cgi?pid=289740911","1E-134")</f>
        <v>1E-134</v>
      </c>
    </row>
    <row r="249" spans="1:17">
      <c r="A249" s="7" t="s">
        <v>424</v>
      </c>
      <c r="B249" s="7">
        <v>1.1382239995805232E-4</v>
      </c>
      <c r="C249" s="7">
        <v>4097</v>
      </c>
      <c r="D249" s="7">
        <v>4097</v>
      </c>
      <c r="E249" s="7">
        <v>222.4691216789108</v>
      </c>
      <c r="F249" s="7">
        <v>1019</v>
      </c>
      <c r="G249" s="7">
        <v>1019</v>
      </c>
      <c r="H249" s="7">
        <v>99.226856130523146</v>
      </c>
      <c r="I249" s="2">
        <f t="shared" si="6"/>
        <v>5116</v>
      </c>
      <c r="J249" s="2">
        <f t="shared" si="7"/>
        <v>0.44602529727130874</v>
      </c>
      <c r="K249" s="8" t="s">
        <v>8</v>
      </c>
      <c r="L249" t="s">
        <v>9</v>
      </c>
      <c r="P249" s="9" t="str">
        <f>HYPERLINK(".\links\NR-LIGHT\ab-tri_asb-54099-NR-LIGHT.txt","hypothetical protein")</f>
        <v>hypothetical protein</v>
      </c>
      <c r="Q249" t="str">
        <f>HYPERLINK("http://www.ncbi.nlm.nih.gov/sutils/blink.cgi?pid=156103223","3.9")</f>
        <v>3.9</v>
      </c>
    </row>
    <row r="250" spans="1:17">
      <c r="A250" s="7" t="s">
        <v>368</v>
      </c>
      <c r="B250" s="7">
        <v>2.4958163516441978E-4</v>
      </c>
      <c r="C250" s="7">
        <v>16837</v>
      </c>
      <c r="D250" s="7">
        <v>16837</v>
      </c>
      <c r="E250" s="7">
        <v>211.87144995166045</v>
      </c>
      <c r="F250" s="7">
        <v>4181</v>
      </c>
      <c r="G250" s="7">
        <v>4181</v>
      </c>
      <c r="H250" s="7">
        <v>94.349404991238586</v>
      </c>
      <c r="I250" s="2">
        <f t="shared" si="6"/>
        <v>21018</v>
      </c>
      <c r="J250" s="2">
        <f t="shared" si="7"/>
        <v>0.44531438762874792</v>
      </c>
      <c r="K250" s="8" t="s">
        <v>369</v>
      </c>
      <c r="L250" t="s">
        <v>19</v>
      </c>
      <c r="M250" t="str">
        <f>HYPERLINK(".\links\NR-LIGHT\ab-tri_asb-4269-NR-LIGHT.txt","NR-LIGHT")</f>
        <v>NR-LIGHT</v>
      </c>
      <c r="N250">
        <v>0</v>
      </c>
      <c r="O250">
        <v>100</v>
      </c>
      <c r="P250" s="9" t="str">
        <f>HYPERLINK(".\links\NR-LIGHT\ab-tri_asb-4269-NR-LIGHT.txt","transcription factor XBP-1")</f>
        <v>transcription factor XBP-1</v>
      </c>
      <c r="Q250" t="str">
        <f>HYPERLINK("http://www.ncbi.nlm.nih.gov/sutils/blink.cgi?pid=289743327","1E-172")</f>
        <v>1E-172</v>
      </c>
    </row>
    <row r="251" spans="1:17">
      <c r="A251" s="7" t="s">
        <v>431</v>
      </c>
      <c r="B251" s="7">
        <v>0</v>
      </c>
      <c r="C251" s="7">
        <v>36715</v>
      </c>
      <c r="D251" s="7">
        <v>37042</v>
      </c>
      <c r="E251" s="7">
        <v>727.27716936406023</v>
      </c>
      <c r="F251" s="7">
        <v>9096</v>
      </c>
      <c r="G251" s="7">
        <v>9171</v>
      </c>
      <c r="H251" s="7">
        <v>322.90404971620205</v>
      </c>
      <c r="I251" s="2">
        <f t="shared" si="6"/>
        <v>46213</v>
      </c>
      <c r="J251" s="2">
        <f t="shared" si="7"/>
        <v>0.4439903565219202</v>
      </c>
      <c r="K251" s="8" t="s">
        <v>87</v>
      </c>
      <c r="L251" t="s">
        <v>30</v>
      </c>
      <c r="M251" t="str">
        <f>HYPERLINK(".\links\GO\ab-tri_asb-54415-GO.txt","GO")</f>
        <v>GO</v>
      </c>
      <c r="N251">
        <v>3.9999999999999999E-12</v>
      </c>
      <c r="O251">
        <v>9.3000000000000007</v>
      </c>
      <c r="P251" s="9" t="str">
        <f>HYPERLINK(".\links\NR-LIGHT\ab-tri_asb-54415-NR-LIGHT.txt","merallothionein")</f>
        <v>merallothionein</v>
      </c>
      <c r="Q251" t="str">
        <f>HYPERLINK("http://www.ncbi.nlm.nih.gov/sutils/blink.cgi?pid=289742189","4E-014")</f>
        <v>4E-014</v>
      </c>
    </row>
    <row r="252" spans="1:17">
      <c r="A252" s="7" t="s">
        <v>370</v>
      </c>
      <c r="B252" s="7">
        <v>0</v>
      </c>
      <c r="C252" s="7">
        <v>12880</v>
      </c>
      <c r="D252" s="7">
        <v>12881</v>
      </c>
      <c r="E252" s="7">
        <v>705.14277964617429</v>
      </c>
      <c r="F252" s="7">
        <v>3171</v>
      </c>
      <c r="G252" s="7">
        <v>3171</v>
      </c>
      <c r="H252" s="7">
        <v>311.2970437272175</v>
      </c>
      <c r="I252" s="2">
        <f t="shared" si="6"/>
        <v>16052</v>
      </c>
      <c r="J252" s="2">
        <f t="shared" si="7"/>
        <v>0.4414666826531497</v>
      </c>
      <c r="K252" s="8" t="s">
        <v>371</v>
      </c>
      <c r="L252" t="s">
        <v>23</v>
      </c>
      <c r="M252" t="str">
        <f>HYPERLINK(".\links\DIPTERA\ab-tri_asb-44222-DIPTERA.txt","DIPTERA")</f>
        <v>DIPTERA</v>
      </c>
      <c r="N252" s="1">
        <v>2.0000000000000001E-32</v>
      </c>
      <c r="O252">
        <v>106.3</v>
      </c>
      <c r="P252" s="9" t="str">
        <f>HYPERLINK(".\links\NR-LIGHT\ab-tri_asb-44222-NR-LIGHT.txt","CG34282")</f>
        <v>CG34282</v>
      </c>
      <c r="Q252" t="str">
        <f>HYPERLINK("http://www.ncbi.nlm.nih.gov/sutils/blink.cgi?pid=161078388","5E-032")</f>
        <v>5E-032</v>
      </c>
    </row>
    <row r="253" spans="1:17">
      <c r="A253" s="7" t="s">
        <v>345</v>
      </c>
      <c r="B253" s="7">
        <v>3.5066479647238857E-5</v>
      </c>
      <c r="C253" s="7">
        <v>14845</v>
      </c>
      <c r="D253" s="7">
        <v>15048</v>
      </c>
      <c r="E253" s="7">
        <v>231.39092884241964</v>
      </c>
      <c r="F253" s="7">
        <v>3642</v>
      </c>
      <c r="G253" s="7">
        <v>3704</v>
      </c>
      <c r="H253" s="7">
        <v>102.13857540718992</v>
      </c>
      <c r="I253" s="2">
        <f t="shared" si="6"/>
        <v>18752</v>
      </c>
      <c r="J253" s="2">
        <f t="shared" si="7"/>
        <v>0.44141132030611135</v>
      </c>
      <c r="K253" s="8" t="s">
        <v>225</v>
      </c>
      <c r="L253" t="s">
        <v>30</v>
      </c>
      <c r="M253" t="str">
        <f>HYPERLINK(".\links\GO\ab-tri_asb-38523-GO.txt","GO")</f>
        <v>GO</v>
      </c>
      <c r="N253" s="1">
        <v>1E-62</v>
      </c>
      <c r="O253">
        <v>39.4</v>
      </c>
      <c r="P253" s="9" t="str">
        <f>HYPERLINK(".\links\NR-LIGHT\ab-tri_asb-38523-NR-LIGHT.txt","mucin 96D")</f>
        <v>mucin 96D</v>
      </c>
      <c r="Q253" t="str">
        <f>HYPERLINK("http://www.ncbi.nlm.nih.gov/sutils/blink.cgi?pid=56319790","3E-075")</f>
        <v>3E-075</v>
      </c>
    </row>
    <row r="254" spans="1:17">
      <c r="A254" s="7" t="s">
        <v>346</v>
      </c>
      <c r="B254" s="7">
        <v>0</v>
      </c>
      <c r="C254" s="7">
        <v>25138</v>
      </c>
      <c r="D254" s="7">
        <v>25695</v>
      </c>
      <c r="E254" s="7">
        <v>466.02519146232015</v>
      </c>
      <c r="F254" s="7">
        <v>6172</v>
      </c>
      <c r="G254" s="7">
        <v>6319</v>
      </c>
      <c r="H254" s="7">
        <v>205.52298463137234</v>
      </c>
      <c r="I254" s="2">
        <f t="shared" si="6"/>
        <v>32014</v>
      </c>
      <c r="J254" s="2">
        <f t="shared" si="7"/>
        <v>0.44101260703626494</v>
      </c>
      <c r="K254" s="8" t="s">
        <v>225</v>
      </c>
      <c r="L254" t="s">
        <v>30</v>
      </c>
      <c r="M254" t="str">
        <f>HYPERLINK(".\links\GO\ab-tri_asb-38524-GO.txt","GO")</f>
        <v>GO</v>
      </c>
      <c r="N254" s="1">
        <v>7.9999999999999998E-66</v>
      </c>
      <c r="O254">
        <v>32.799999999999997</v>
      </c>
      <c r="P254" s="9" t="str">
        <f>HYPERLINK(".\links\NR-LIGHT\ab-tri_asb-38524-NR-LIGHT.txt","mucin 96D")</f>
        <v>mucin 96D</v>
      </c>
      <c r="Q254" t="str">
        <f>HYPERLINK("http://www.ncbi.nlm.nih.gov/sutils/blink.cgi?pid=56319790","1E-083")</f>
        <v>1E-083</v>
      </c>
    </row>
    <row r="255" spans="1:17">
      <c r="A255" s="7" t="s">
        <v>305</v>
      </c>
      <c r="B255" s="7">
        <v>9.5574921439967042E-4</v>
      </c>
      <c r="C255" s="7">
        <v>9333</v>
      </c>
      <c r="D255" s="7">
        <v>9333</v>
      </c>
      <c r="E255" s="7">
        <v>191.34959586091642</v>
      </c>
      <c r="F255" s="7">
        <v>2293</v>
      </c>
      <c r="G255" s="7">
        <v>2293</v>
      </c>
      <c r="H255" s="7">
        <v>84.306606698591239</v>
      </c>
      <c r="I255" s="2">
        <f t="shared" si="6"/>
        <v>11626</v>
      </c>
      <c r="J255" s="2">
        <f t="shared" si="7"/>
        <v>0.44058941603341556</v>
      </c>
      <c r="K255" s="8" t="s">
        <v>306</v>
      </c>
      <c r="L255" t="s">
        <v>33</v>
      </c>
      <c r="M255" t="str">
        <f>HYPERLINK(".\links\KOG\ab-tri_asb-2853-KOG.txt","KOG")</f>
        <v>KOG</v>
      </c>
      <c r="N255">
        <v>0</v>
      </c>
      <c r="O255">
        <v>81.7</v>
      </c>
      <c r="P255" s="9" t="str">
        <f>HYPERLINK(".\links\NR-LIGHT\ab-tri_asb-2853-NR-LIGHT.txt","D-3-phosphoglycerate dehydrogenase")</f>
        <v>D-3-phosphoglycerate dehydrogenase</v>
      </c>
      <c r="Q255" t="str">
        <f>HYPERLINK("http://www.ncbi.nlm.nih.gov/sutils/blink.cgi?pid=289743179","0.0")</f>
        <v>0.0</v>
      </c>
    </row>
    <row r="256" spans="1:17">
      <c r="A256" s="7" t="s">
        <v>561</v>
      </c>
      <c r="B256" s="7">
        <v>0</v>
      </c>
      <c r="C256" s="7">
        <v>19011</v>
      </c>
      <c r="D256" s="7">
        <v>19744</v>
      </c>
      <c r="E256" s="7">
        <v>1316.8583788065378</v>
      </c>
      <c r="F256" s="7">
        <v>4669</v>
      </c>
      <c r="G256" s="7">
        <v>4841</v>
      </c>
      <c r="H256" s="7">
        <v>579.01562425891177</v>
      </c>
      <c r="I256" s="2">
        <f t="shared" si="6"/>
        <v>24585</v>
      </c>
      <c r="J256" s="2">
        <f t="shared" si="7"/>
        <v>0.439694680595548</v>
      </c>
      <c r="K256" s="8" t="s">
        <v>562</v>
      </c>
      <c r="L256" t="s">
        <v>48</v>
      </c>
      <c r="M256" t="str">
        <f>HYPERLINK(".\links\DIPTERA\ab-tri_asb-56741-DIPTERA.txt","DIPTERA")</f>
        <v>DIPTERA</v>
      </c>
      <c r="N256">
        <v>6.0000000000000002E-5</v>
      </c>
      <c r="O256">
        <v>100</v>
      </c>
      <c r="P256" s="9" t="str">
        <f>HYPERLINK(".\links\NR-LIGHT\ab-tri_asb-56741-NR-LIGHT.txt","Tsetse thrombin inhibitor; Flags: Precursor gi|3929543|gb|AAC79986.1| tsetse")</f>
        <v>Tsetse thrombin inhibitor; Flags: Precursor gi|3929543|gb|AAC79986.1| tsetse</v>
      </c>
      <c r="Q256" t="str">
        <f>HYPERLINK("http://www.ncbi.nlm.nih.gov/sutils/blink.cgi?pid=74834603","4E-023")</f>
        <v>4E-023</v>
      </c>
    </row>
    <row r="257" spans="1:17">
      <c r="A257" s="7" t="s">
        <v>310</v>
      </c>
      <c r="B257" s="7">
        <v>3.9647720436661316E-2</v>
      </c>
      <c r="C257" s="7">
        <v>4600</v>
      </c>
      <c r="D257" s="7">
        <v>4600</v>
      </c>
      <c r="E257" s="7">
        <v>144.94985180958471</v>
      </c>
      <c r="F257" s="7">
        <v>1124</v>
      </c>
      <c r="G257" s="7">
        <v>1124</v>
      </c>
      <c r="H257" s="7">
        <v>63.515179023984466</v>
      </c>
      <c r="I257" s="2">
        <f t="shared" si="6"/>
        <v>5724</v>
      </c>
      <c r="J257" s="2">
        <f t="shared" si="7"/>
        <v>0.43818726429208094</v>
      </c>
      <c r="K257" s="8" t="s">
        <v>311</v>
      </c>
      <c r="L257" t="s">
        <v>19</v>
      </c>
      <c r="M257" t="str">
        <f>HYPERLINK(".\links\KOG\ab-tri_asb-29639-KOG.txt","KOG")</f>
        <v>KOG</v>
      </c>
      <c r="N257" s="1">
        <v>5E-74</v>
      </c>
      <c r="O257">
        <v>95.6</v>
      </c>
      <c r="P257" s="9" t="str">
        <f>HYPERLINK(".\links\NR-LIGHT\ab-tri_asb-29639-NR-LIGHT.txt","nascent polypeptide associated complex protein alpha subunit")</f>
        <v>nascent polypeptide associated complex protein alpha subunit</v>
      </c>
      <c r="Q257" t="str">
        <f>HYPERLINK("http://www.ncbi.nlm.nih.gov/sutils/blink.cgi?pid=289741647","1E-118")</f>
        <v>1E-118</v>
      </c>
    </row>
    <row r="258" spans="1:17">
      <c r="A258" s="7" t="s">
        <v>105</v>
      </c>
      <c r="B258" s="7">
        <v>9.3877939639608332E-3</v>
      </c>
      <c r="C258" s="7">
        <v>9660</v>
      </c>
      <c r="D258" s="7">
        <v>9660</v>
      </c>
      <c r="E258" s="7">
        <v>160.97251676782957</v>
      </c>
      <c r="F258" s="7">
        <v>2354</v>
      </c>
      <c r="G258" s="7">
        <v>2354</v>
      </c>
      <c r="H258" s="7">
        <v>70.344854807005078</v>
      </c>
      <c r="I258" s="2">
        <f t="shared" ref="I258:I321" si="8">SUM(D258,G258)</f>
        <v>12014</v>
      </c>
      <c r="J258" s="2">
        <f t="shared" ref="J258:J321" si="9">H258/E258</f>
        <v>0.43699916121994514</v>
      </c>
      <c r="K258" s="8" t="s">
        <v>106</v>
      </c>
      <c r="L258" t="s">
        <v>40</v>
      </c>
      <c r="M258" t="str">
        <f>HYPERLINK(".\links\NR-LIGHT\ab-tri_asb-12692-NR-LIGHT.txt","NR-LIGHT")</f>
        <v>NR-LIGHT</v>
      </c>
      <c r="N258">
        <v>0</v>
      </c>
      <c r="O258">
        <v>100</v>
      </c>
      <c r="P258" s="9" t="str">
        <f>HYPERLINK(".\links\NR-LIGHT\ab-tri_asb-12692-NR-LIGHT.txt","cysteine proteinase cathepsin L")</f>
        <v>cysteine proteinase cathepsin L</v>
      </c>
      <c r="Q258" t="str">
        <f>HYPERLINK("http://www.ncbi.nlm.nih.gov/sutils/blink.cgi?pid=289741839","0.0")</f>
        <v>0.0</v>
      </c>
    </row>
    <row r="259" spans="1:17">
      <c r="A259" s="7" t="s">
        <v>171</v>
      </c>
      <c r="B259" s="7">
        <v>2.6217084059254603E-10</v>
      </c>
      <c r="C259" s="7">
        <v>19014</v>
      </c>
      <c r="D259" s="7">
        <v>53267</v>
      </c>
      <c r="E259" s="7">
        <v>354.56911106224561</v>
      </c>
      <c r="F259" s="7">
        <v>4787</v>
      </c>
      <c r="G259" s="7">
        <v>12841</v>
      </c>
      <c r="H259" s="7">
        <v>153.28257157790091</v>
      </c>
      <c r="I259" s="2">
        <f t="shared" si="8"/>
        <v>66108</v>
      </c>
      <c r="J259" s="2">
        <f t="shared" si="9"/>
        <v>0.43230661328248565</v>
      </c>
      <c r="K259" s="8" t="s">
        <v>172</v>
      </c>
      <c r="L259" t="s">
        <v>11</v>
      </c>
      <c r="M259" t="str">
        <f>HYPERLINK(".\links\KOG\ab-tri_asb-16395-KOG.txt","KOG")</f>
        <v>KOG</v>
      </c>
      <c r="N259">
        <v>0</v>
      </c>
      <c r="O259">
        <v>101.1</v>
      </c>
      <c r="P259" s="9" t="str">
        <f>HYPERLINK(".\links\NR-LIGHT\ab-tri_asb-16395-NR-LIGHT.txt","ATP citrate lyase, isoform F")</f>
        <v>ATP citrate lyase, isoform F</v>
      </c>
      <c r="Q259" t="str">
        <f>HYPERLINK("http://www.ncbi.nlm.nih.gov/sutils/blink.cgi?pid=281363477","0.0")</f>
        <v>0.0</v>
      </c>
    </row>
    <row r="260" spans="1:17">
      <c r="A260" s="7" t="s">
        <v>537</v>
      </c>
      <c r="B260" s="7">
        <v>1.8590295969289627E-10</v>
      </c>
      <c r="C260" s="7">
        <v>1979</v>
      </c>
      <c r="D260" s="7">
        <v>17757</v>
      </c>
      <c r="E260" s="7">
        <v>418.30487450960726</v>
      </c>
      <c r="F260" s="7">
        <v>561</v>
      </c>
      <c r="G260" s="7">
        <v>4266</v>
      </c>
      <c r="H260" s="7">
        <v>180.21687437817471</v>
      </c>
      <c r="I260" s="2">
        <f t="shared" si="8"/>
        <v>22023</v>
      </c>
      <c r="J260" s="2">
        <f t="shared" si="9"/>
        <v>0.43082661800068422</v>
      </c>
      <c r="K260" s="8" t="s">
        <v>36</v>
      </c>
      <c r="L260" t="s">
        <v>11</v>
      </c>
      <c r="M260" t="str">
        <f>HYPERLINK(".\links\KOG\ab-tri_asb-56129-KOG.txt","KOG")</f>
        <v>KOG</v>
      </c>
      <c r="N260" s="1">
        <v>6.0000000000000002E-54</v>
      </c>
      <c r="O260">
        <v>95.9</v>
      </c>
      <c r="P260" s="9" t="str">
        <f>HYPERLINK(".\links\NR-LIGHT\ab-tri_asb-56129-NR-LIGHT.txt","mitochondrial ADP/ATP carrier protein")</f>
        <v>mitochondrial ADP/ATP carrier protein</v>
      </c>
      <c r="Q260" t="str">
        <f>HYPERLINK("http://www.ncbi.nlm.nih.gov/sutils/blink.cgi?pid=289741161","1E-172")</f>
        <v>1E-172</v>
      </c>
    </row>
    <row r="261" spans="1:17">
      <c r="A261" s="7" t="s">
        <v>423</v>
      </c>
      <c r="B261" s="7">
        <v>9.5334851124562192E-12</v>
      </c>
      <c r="C261" s="7">
        <v>11467</v>
      </c>
      <c r="D261" s="7">
        <v>12558</v>
      </c>
      <c r="E261" s="7">
        <v>665.76581935002332</v>
      </c>
      <c r="F261" s="7">
        <v>2728</v>
      </c>
      <c r="G261" s="7">
        <v>2999</v>
      </c>
      <c r="H261" s="7">
        <v>285.12070282007198</v>
      </c>
      <c r="I261" s="2">
        <f t="shared" si="8"/>
        <v>15557</v>
      </c>
      <c r="J261" s="2">
        <f t="shared" si="9"/>
        <v>0.42825974919894633</v>
      </c>
      <c r="K261" s="8" t="s">
        <v>414</v>
      </c>
      <c r="L261" t="s">
        <v>30</v>
      </c>
      <c r="M261" t="str">
        <f>HYPERLINK(".\links\NR-LIGHT\ab-tri_asb-54066-NR-LIGHT.txt","NR-LIGHT")</f>
        <v>NR-LIGHT</v>
      </c>
      <c r="N261">
        <v>2.9999999999999998E-13</v>
      </c>
      <c r="O261">
        <v>11</v>
      </c>
      <c r="P261" s="9" t="str">
        <f>HYPERLINK(".\links\NR-LIGHT\ab-tri_asb-54066-NR-LIGHT.txt","similar to putative cell wall protein FLO11p")</f>
        <v>similar to putative cell wall protein FLO11p</v>
      </c>
      <c r="Q261" t="str">
        <f>HYPERLINK("http://www.ncbi.nlm.nih.gov/sutils/blink.cgi?pid=115927463","3E-013")</f>
        <v>3E-013</v>
      </c>
    </row>
    <row r="262" spans="1:17">
      <c r="A262" s="7" t="s">
        <v>434</v>
      </c>
      <c r="B262" s="7">
        <v>0</v>
      </c>
      <c r="C262" s="7">
        <v>77054</v>
      </c>
      <c r="D262" s="7">
        <v>78157</v>
      </c>
      <c r="E262" s="7">
        <v>1493.0789019812582</v>
      </c>
      <c r="F262" s="7">
        <v>18398</v>
      </c>
      <c r="G262" s="7">
        <v>18615</v>
      </c>
      <c r="H262" s="7">
        <v>637.71875502656053</v>
      </c>
      <c r="I262" s="2">
        <f t="shared" si="8"/>
        <v>96772</v>
      </c>
      <c r="J262" s="2">
        <f t="shared" si="9"/>
        <v>0.42711658049707374</v>
      </c>
      <c r="K262" s="8" t="s">
        <v>270</v>
      </c>
      <c r="L262" t="s">
        <v>30</v>
      </c>
      <c r="M262" t="str">
        <f>HYPERLINK(".\links\SWISSP\ab-tri_asb-54445-SWISSP.txt","SWISSP")</f>
        <v>SWISSP</v>
      </c>
      <c r="N262">
        <v>0</v>
      </c>
      <c r="O262">
        <v>90.3</v>
      </c>
      <c r="P262" s="9" t="str">
        <f>HYPERLINK(".\links\NR-LIGHT\ab-tri_asb-54445-NR-LIGHT.txt","uncharacterized protein")</f>
        <v>uncharacterized protein</v>
      </c>
      <c r="Q262" t="str">
        <f>HYPERLINK("http://www.ncbi.nlm.nih.gov/sutils/blink.cgi?pid=15229448","1E-102")</f>
        <v>1E-102</v>
      </c>
    </row>
    <row r="263" spans="1:17">
      <c r="A263" s="7" t="s">
        <v>353</v>
      </c>
      <c r="B263" s="7">
        <v>0</v>
      </c>
      <c r="C263" s="7">
        <v>8072</v>
      </c>
      <c r="D263" s="7">
        <v>8085</v>
      </c>
      <c r="E263" s="7">
        <v>744.22824430766821</v>
      </c>
      <c r="F263" s="7">
        <v>1924</v>
      </c>
      <c r="G263" s="7">
        <v>1924</v>
      </c>
      <c r="H263" s="7">
        <v>317.60143990746911</v>
      </c>
      <c r="I263" s="2">
        <f t="shared" si="8"/>
        <v>10009</v>
      </c>
      <c r="J263" s="2">
        <f t="shared" si="9"/>
        <v>0.42675273659215068</v>
      </c>
      <c r="K263" s="8" t="s">
        <v>301</v>
      </c>
      <c r="L263" t="s">
        <v>28</v>
      </c>
      <c r="M263" t="str">
        <f>HYPERLINK(".\links\DIPTERA\ab-tri_asb-39727-DIPTERA.txt","DIPTERA")</f>
        <v>DIPTERA</v>
      </c>
      <c r="N263" s="1">
        <v>7.9999999999999995E-29</v>
      </c>
      <c r="O263">
        <v>21.7</v>
      </c>
      <c r="P263" s="9" t="str">
        <f>HYPERLINK(".\links\NR-LIGHT\ab-tri_asb-39727-NR-LIGHT.txt","40S ribosomal protein S2")</f>
        <v>40S ribosomal protein S2</v>
      </c>
      <c r="Q263" t="str">
        <f>HYPERLINK("http://www.ncbi.nlm.nih.gov/sutils/blink.cgi?pid=289742439","3E-028")</f>
        <v>3E-028</v>
      </c>
    </row>
    <row r="264" spans="1:17">
      <c r="A264" s="7" t="s">
        <v>524</v>
      </c>
      <c r="B264" s="7">
        <v>5.8230931763325611E-4</v>
      </c>
      <c r="C264" s="7">
        <v>8546</v>
      </c>
      <c r="D264" s="7">
        <v>8546</v>
      </c>
      <c r="E264" s="7">
        <v>180.87066806413873</v>
      </c>
      <c r="F264" s="7">
        <v>2019</v>
      </c>
      <c r="G264" s="7">
        <v>2020</v>
      </c>
      <c r="H264" s="7">
        <v>76.66689856885327</v>
      </c>
      <c r="I264" s="2">
        <f t="shared" si="8"/>
        <v>10566</v>
      </c>
      <c r="J264" s="2">
        <f t="shared" si="9"/>
        <v>0.42387690270302064</v>
      </c>
      <c r="K264" s="8" t="s">
        <v>220</v>
      </c>
      <c r="L264" t="s">
        <v>48</v>
      </c>
      <c r="M264" t="str">
        <f>HYPERLINK(".\links\NR-LIGHT\ab-tri_asb-56011-NR-LIGHT.txt","NR-LIGHT")</f>
        <v>NR-LIGHT</v>
      </c>
      <c r="N264">
        <v>0</v>
      </c>
      <c r="O264">
        <v>77.5</v>
      </c>
      <c r="P264" s="9" t="str">
        <f>HYPERLINK(".\links\NR-LIGHT\ab-tri_asb-56011-NR-LIGHT.txt","uncharacterized conserved secreted glycine-rich protein")</f>
        <v>uncharacterized conserved secreted glycine-rich protein</v>
      </c>
      <c r="Q264" t="str">
        <f>HYPERLINK("http://www.ncbi.nlm.nih.gov/sutils/blink.cgi?pid=289741465","1E-175")</f>
        <v>1E-175</v>
      </c>
    </row>
    <row r="265" spans="1:17">
      <c r="A265" s="7" t="s">
        <v>169</v>
      </c>
      <c r="B265" s="7">
        <v>0</v>
      </c>
      <c r="C265" s="7">
        <v>7946</v>
      </c>
      <c r="D265" s="7">
        <v>7956</v>
      </c>
      <c r="E265" s="7">
        <v>432.01472591589317</v>
      </c>
      <c r="F265" s="7">
        <v>1877</v>
      </c>
      <c r="G265" s="7">
        <v>1878</v>
      </c>
      <c r="H265" s="7">
        <v>182.87344044467366</v>
      </c>
      <c r="I265" s="2">
        <f t="shared" si="8"/>
        <v>9834</v>
      </c>
      <c r="J265" s="2">
        <f t="shared" si="9"/>
        <v>0.42330371969837993</v>
      </c>
      <c r="K265" s="8" t="s">
        <v>170</v>
      </c>
      <c r="L265" t="s">
        <v>47</v>
      </c>
      <c r="M265" t="str">
        <f>HYPERLINK(".\links\SMART\ab-tri_asb-1639-SMART.txt","SMART")</f>
        <v>SMART</v>
      </c>
      <c r="N265" s="1">
        <v>8.9999999999999995E-23</v>
      </c>
      <c r="O265">
        <v>98.1</v>
      </c>
      <c r="P265" s="9" t="str">
        <f>HYPERLINK(".\links\NR-LIGHT\ab-tri_asb-1639-NR-LIGHT.txt","Kunitz domain")</f>
        <v>Kunitz domain</v>
      </c>
      <c r="Q265" t="str">
        <f>HYPERLINK("http://www.ncbi.nlm.nih.gov/sutils/blink.cgi?pid=114153042","2E-014")</f>
        <v>2E-014</v>
      </c>
    </row>
    <row r="266" spans="1:17">
      <c r="A266" s="7" t="s">
        <v>436</v>
      </c>
      <c r="B266" s="7">
        <v>2.3833712781140548E-11</v>
      </c>
      <c r="C266" s="7">
        <v>25240</v>
      </c>
      <c r="D266" s="7">
        <v>25264</v>
      </c>
      <c r="E266" s="7">
        <v>1685.0238088618503</v>
      </c>
      <c r="F266" s="7">
        <v>5855</v>
      </c>
      <c r="G266" s="7">
        <v>5862</v>
      </c>
      <c r="H266" s="7">
        <v>701.13397839407992</v>
      </c>
      <c r="I266" s="2">
        <f t="shared" si="8"/>
        <v>31126</v>
      </c>
      <c r="J266" s="2">
        <f t="shared" si="9"/>
        <v>0.41609737186304863</v>
      </c>
      <c r="K266" s="8" t="s">
        <v>209</v>
      </c>
      <c r="L266" t="s">
        <v>43</v>
      </c>
      <c r="M266" t="str">
        <f>HYPERLINK(".\links\DIPTERA\ab-tri_asb-54500-DIPTERA.txt","DIPTERA")</f>
        <v>DIPTERA</v>
      </c>
      <c r="N266" s="1">
        <v>5.9999999999999998E-56</v>
      </c>
      <c r="O266">
        <v>42</v>
      </c>
      <c r="P266" s="9" t="str">
        <f>HYPERLINK(".\links\NR-LIGHT\ab-tri_asb-54500-NR-LIGHT.txt","trypsin-like serine protease precursor")</f>
        <v>trypsin-like serine protease precursor</v>
      </c>
      <c r="Q266" t="str">
        <f>HYPERLINK("http://www.ncbi.nlm.nih.gov/sutils/blink.cgi?pid=289724850","2E-055")</f>
        <v>2E-055</v>
      </c>
    </row>
    <row r="267" spans="1:17">
      <c r="A267" s="7" t="s">
        <v>488</v>
      </c>
      <c r="B267" s="7">
        <v>4.7667425562281096E-12</v>
      </c>
      <c r="C267" s="7">
        <v>4359</v>
      </c>
      <c r="D267" s="7">
        <v>4966</v>
      </c>
      <c r="E267" s="7">
        <v>349.42367537314885</v>
      </c>
      <c r="F267" s="7">
        <v>1007</v>
      </c>
      <c r="G267" s="7">
        <v>1151</v>
      </c>
      <c r="H267" s="7">
        <v>145.23530703565478</v>
      </c>
      <c r="I267" s="2">
        <f t="shared" si="8"/>
        <v>6117</v>
      </c>
      <c r="J267" s="2">
        <f t="shared" si="9"/>
        <v>0.41564243430431064</v>
      </c>
      <c r="K267" s="8" t="s">
        <v>414</v>
      </c>
      <c r="L267" t="s">
        <v>30</v>
      </c>
      <c r="M267" t="str">
        <f>HYPERLINK(".\links\NR-LIGHT\ab-tri_asb-55649-NR-LIGHT.txt","NR-LIGHT")</f>
        <v>NR-LIGHT</v>
      </c>
      <c r="N267">
        <v>1E-8</v>
      </c>
      <c r="O267">
        <v>9.1999999999999993</v>
      </c>
      <c r="P267" s="9" t="str">
        <f>HYPERLINK(".\links\NR-LIGHT\ab-tri_asb-55649-NR-LIGHT.txt","similar to putative cell wall protein FLO11p")</f>
        <v>similar to putative cell wall protein FLO11p</v>
      </c>
      <c r="Q267" t="str">
        <f>HYPERLINK("http://www.ncbi.nlm.nih.gov/sutils/blink.cgi?pid=115927463","1E-008")</f>
        <v>1E-008</v>
      </c>
    </row>
    <row r="268" spans="1:17">
      <c r="A268" s="7" t="s">
        <v>559</v>
      </c>
      <c r="B268" s="7">
        <v>6.1819884211722353E-8</v>
      </c>
      <c r="C268" s="7">
        <v>33961</v>
      </c>
      <c r="D268" s="7">
        <v>34011</v>
      </c>
      <c r="E268" s="7">
        <v>267.14581268525302</v>
      </c>
      <c r="F268" s="7">
        <v>7842</v>
      </c>
      <c r="G268" s="7">
        <v>7852</v>
      </c>
      <c r="H268" s="7">
        <v>110.60137653340175</v>
      </c>
      <c r="I268" s="2">
        <f t="shared" si="8"/>
        <v>41863</v>
      </c>
      <c r="J268" s="2">
        <f t="shared" si="9"/>
        <v>0.41401126756087525</v>
      </c>
      <c r="K268" s="8" t="s">
        <v>65</v>
      </c>
      <c r="L268" t="s">
        <v>11</v>
      </c>
      <c r="M268" t="str">
        <f>HYPERLINK(".\links\KOG\ab-tri_asb-56650-KOG.txt","KOG")</f>
        <v>KOG</v>
      </c>
      <c r="N268">
        <v>0</v>
      </c>
      <c r="O268">
        <v>98</v>
      </c>
      <c r="P268" s="9" t="str">
        <f>HYPERLINK(".\links\NR-LIGHT\ab-tri_asb-56650-NR-LIGHT.txt","malic enzyme")</f>
        <v>malic enzyme</v>
      </c>
      <c r="Q268" t="str">
        <f>HYPERLINK("http://www.ncbi.nlm.nih.gov/sutils/blink.cgi?pid=289742267","0.0")</f>
        <v>0.0</v>
      </c>
    </row>
    <row r="269" spans="1:17">
      <c r="A269" s="7" t="s">
        <v>287</v>
      </c>
      <c r="B269" s="7">
        <v>2.9582404303951648E-8</v>
      </c>
      <c r="C269" s="7">
        <v>3920</v>
      </c>
      <c r="D269" s="7">
        <v>3920</v>
      </c>
      <c r="E269" s="7">
        <v>269.4748785092944</v>
      </c>
      <c r="F269" s="7">
        <v>896</v>
      </c>
      <c r="G269" s="7">
        <v>896</v>
      </c>
      <c r="H269" s="7">
        <v>110.45655620200743</v>
      </c>
      <c r="I269" s="2">
        <f t="shared" si="8"/>
        <v>4816</v>
      </c>
      <c r="J269" s="2">
        <f t="shared" si="9"/>
        <v>0.4098955598868475</v>
      </c>
      <c r="K269" s="8" t="s">
        <v>186</v>
      </c>
      <c r="L269" t="s">
        <v>47</v>
      </c>
      <c r="M269" t="str">
        <f>HYPERLINK(".\links\SMART\ab-tri_asb-25886-SMART.txt","SMART")</f>
        <v>SMART</v>
      </c>
      <c r="N269">
        <v>2.0000000000000001E-9</v>
      </c>
      <c r="O269">
        <v>104.3</v>
      </c>
      <c r="P269" s="9" t="str">
        <f>HYPERLINK(".\links\NR-LIGHT\ab-tri_asb-25886-NR-LIGHT.txt","CG14933")</f>
        <v>CG14933</v>
      </c>
      <c r="Q269" t="str">
        <f>HYPERLINK("http://www.ncbi.nlm.nih.gov/sutils/blink.cgi?pid=24583743","4E-016")</f>
        <v>4E-016</v>
      </c>
    </row>
    <row r="270" spans="1:17">
      <c r="A270" s="7" t="s">
        <v>282</v>
      </c>
      <c r="B270" s="7">
        <v>0</v>
      </c>
      <c r="C270" s="7">
        <v>7958</v>
      </c>
      <c r="D270" s="7">
        <v>7958</v>
      </c>
      <c r="E270" s="7">
        <v>607.67342845706264</v>
      </c>
      <c r="F270" s="7">
        <v>1815</v>
      </c>
      <c r="G270" s="7">
        <v>1815</v>
      </c>
      <c r="H270" s="7">
        <v>248.5388087113738</v>
      </c>
      <c r="I270" s="2">
        <f t="shared" si="8"/>
        <v>9773</v>
      </c>
      <c r="J270" s="2">
        <f t="shared" si="9"/>
        <v>0.40900061953084921</v>
      </c>
      <c r="K270" s="8" t="s">
        <v>45</v>
      </c>
      <c r="L270" t="s">
        <v>21</v>
      </c>
      <c r="M270" t="str">
        <f>HYPERLINK(".\links\KOG\ab-tri_asb-25656-KOG.txt","KOG")</f>
        <v>KOG</v>
      </c>
      <c r="N270">
        <v>4.0000000000000001E-13</v>
      </c>
      <c r="O270">
        <v>3.7</v>
      </c>
      <c r="P270" s="9" t="str">
        <f>HYPERLINK(".\links\NR-LIGHT\ab-tri_asb-25656-NR-LIGHT.txt","conserved hypothetical protein")</f>
        <v>conserved hypothetical protein</v>
      </c>
      <c r="Q270" t="str">
        <f>HYPERLINK("http://www.ncbi.nlm.nih.gov/sutils/blink.cgi?pid=241742198","5E-013")</f>
        <v>5E-013</v>
      </c>
    </row>
    <row r="271" spans="1:17">
      <c r="A271" s="7" t="s">
        <v>373</v>
      </c>
      <c r="B271" s="7">
        <v>1.7530628673548265E-2</v>
      </c>
      <c r="C271" s="7">
        <v>14287</v>
      </c>
      <c r="D271" s="7">
        <v>14307</v>
      </c>
      <c r="E271" s="7">
        <v>132.467858808226</v>
      </c>
      <c r="F271" s="7">
        <v>3249</v>
      </c>
      <c r="G271" s="7">
        <v>3250</v>
      </c>
      <c r="H271" s="7">
        <v>53.963060378465073</v>
      </c>
      <c r="I271" s="2">
        <f t="shared" si="8"/>
        <v>17557</v>
      </c>
      <c r="J271" s="2">
        <f t="shared" si="9"/>
        <v>0.40736719732586235</v>
      </c>
      <c r="K271" s="8" t="s">
        <v>192</v>
      </c>
      <c r="L271" t="s">
        <v>21</v>
      </c>
      <c r="M271" t="str">
        <f>HYPERLINK(".\links\KOG\ab-tri_asb-44916-KOG.txt","KOG")</f>
        <v>KOG</v>
      </c>
      <c r="N271" s="1">
        <v>2E-73</v>
      </c>
      <c r="O271">
        <v>67.599999999999994</v>
      </c>
      <c r="P271" s="9" t="str">
        <f>HYPERLINK(".\links\NR-LIGHT\ab-tri_asb-44916-NR-LIGHT.txt","paxillin, isoform G")</f>
        <v>paxillin, isoform G</v>
      </c>
      <c r="Q271" t="str">
        <f>HYPERLINK("http://www.ncbi.nlm.nih.gov/sutils/blink.cgi?pid=85724960","0.0")</f>
        <v>0.0</v>
      </c>
    </row>
    <row r="272" spans="1:17">
      <c r="A272" s="7" t="s">
        <v>520</v>
      </c>
      <c r="B272" s="7">
        <v>0</v>
      </c>
      <c r="C272" s="7">
        <v>230474</v>
      </c>
      <c r="D272" s="7">
        <v>230497</v>
      </c>
      <c r="E272" s="7">
        <v>683.2987664691459</v>
      </c>
      <c r="F272" s="7">
        <v>52252</v>
      </c>
      <c r="G272" s="7">
        <v>52255</v>
      </c>
      <c r="H272" s="7">
        <v>277.79503719770383</v>
      </c>
      <c r="I272" s="2">
        <f t="shared" si="8"/>
        <v>282752</v>
      </c>
      <c r="J272" s="2">
        <f t="shared" si="9"/>
        <v>0.40654988832070071</v>
      </c>
      <c r="K272" s="8" t="s">
        <v>348</v>
      </c>
      <c r="L272" t="s">
        <v>42</v>
      </c>
      <c r="M272" t="str">
        <f>HYPERLINK(".\links\KOG\ab-tri_asb-55943-KOG.txt","KOG")</f>
        <v>KOG</v>
      </c>
      <c r="N272">
        <v>0</v>
      </c>
      <c r="O272">
        <v>100.4</v>
      </c>
      <c r="P272" s="9" t="str">
        <f>HYPERLINK(".\links\NR-LIGHT\ab-tri_asb-55943-NR-LIGHT.txt","CG3523, isoform B")</f>
        <v>CG3523, isoform B</v>
      </c>
      <c r="Q272" t="str">
        <f>HYPERLINK("http://www.ncbi.nlm.nih.gov/sutils/blink.cgi?pid=221330659","0.0")</f>
        <v>0.0</v>
      </c>
    </row>
    <row r="273" spans="1:17">
      <c r="A273" s="7" t="s">
        <v>406</v>
      </c>
      <c r="B273" s="7">
        <v>0</v>
      </c>
      <c r="C273" s="7">
        <v>16250</v>
      </c>
      <c r="D273" s="7">
        <v>16251</v>
      </c>
      <c r="E273" s="7">
        <v>342.86222367401535</v>
      </c>
      <c r="F273" s="7">
        <v>3676</v>
      </c>
      <c r="G273" s="7">
        <v>3676</v>
      </c>
      <c r="H273" s="7">
        <v>139.08052493381058</v>
      </c>
      <c r="I273" s="2">
        <f t="shared" si="8"/>
        <v>19927</v>
      </c>
      <c r="J273" s="2">
        <f t="shared" si="9"/>
        <v>0.40564551977602759</v>
      </c>
      <c r="K273" s="8" t="s">
        <v>52</v>
      </c>
      <c r="L273" t="s">
        <v>33</v>
      </c>
      <c r="M273" t="str">
        <f>HYPERLINK(".\links\KOG\ab-tri_asb-52444-KOG.txt","KOG")</f>
        <v>KOG</v>
      </c>
      <c r="N273" s="1">
        <v>8.0000000000000003E-62</v>
      </c>
      <c r="O273">
        <v>99.3</v>
      </c>
      <c r="P273" s="9" t="str">
        <f>HYPERLINK(".\links\NR-LIGHT\ab-tri_asb-52444-NR-LIGHT.txt","carbon-nitrogen hydrolase")</f>
        <v>carbon-nitrogen hydrolase</v>
      </c>
      <c r="Q273" t="str">
        <f>HYPERLINK("http://www.ncbi.nlm.nih.gov/sutils/blink.cgi?pid=289741047","1E-166")</f>
        <v>1E-166</v>
      </c>
    </row>
    <row r="274" spans="1:17">
      <c r="A274" s="7" t="s">
        <v>378</v>
      </c>
      <c r="B274" s="7">
        <v>4.8872505747921124E-6</v>
      </c>
      <c r="C274" s="7">
        <v>22730</v>
      </c>
      <c r="D274" s="7">
        <v>22730</v>
      </c>
      <c r="E274" s="7">
        <v>211.62239591888502</v>
      </c>
      <c r="F274" s="7">
        <v>5131</v>
      </c>
      <c r="G274" s="7">
        <v>5131</v>
      </c>
      <c r="H274" s="7">
        <v>85.667378488601756</v>
      </c>
      <c r="I274" s="2">
        <f t="shared" si="8"/>
        <v>27861</v>
      </c>
      <c r="J274" s="2">
        <f t="shared" si="9"/>
        <v>0.40481244017971574</v>
      </c>
      <c r="K274" s="8" t="s">
        <v>41</v>
      </c>
      <c r="L274" t="s">
        <v>40</v>
      </c>
      <c r="M274" t="str">
        <f>HYPERLINK(".\links\GM-SYMBIONTS\ab-tri_asb-4682-GM-SYMBIONTS.txt","GM-SYMBIONTS")</f>
        <v>GM-SYMBIONTS</v>
      </c>
      <c r="N274">
        <v>0</v>
      </c>
      <c r="O274">
        <v>102</v>
      </c>
      <c r="P274" s="9" t="str">
        <f>HYPERLINK(".\links\NR-LIGHT\ab-tri_asb-4682-NR-LIGHT.txt","glycoprotein 93")</f>
        <v>glycoprotein 93</v>
      </c>
      <c r="Q274" t="str">
        <f>HYPERLINK("http://www.ncbi.nlm.nih.gov/sutils/blink.cgi?pid=21357739","0.0")</f>
        <v>0.0</v>
      </c>
    </row>
    <row r="275" spans="1:17">
      <c r="A275" s="7" t="s">
        <v>614</v>
      </c>
      <c r="B275" s="7">
        <v>1.2322630117411748E-5</v>
      </c>
      <c r="C275" s="7">
        <v>12303</v>
      </c>
      <c r="D275" s="7">
        <v>12303</v>
      </c>
      <c r="E275" s="7">
        <v>198.37383960665639</v>
      </c>
      <c r="F275" s="7">
        <v>2748</v>
      </c>
      <c r="G275" s="7">
        <v>2748</v>
      </c>
      <c r="H275" s="7">
        <v>79.458685291463041</v>
      </c>
      <c r="I275" s="2">
        <f t="shared" si="8"/>
        <v>15051</v>
      </c>
      <c r="J275" s="2">
        <f t="shared" si="9"/>
        <v>0.40055022098184373</v>
      </c>
      <c r="K275" s="8" t="s">
        <v>615</v>
      </c>
      <c r="L275" t="s">
        <v>42</v>
      </c>
      <c r="M275" t="str">
        <f>HYPERLINK(".\links\NR-LIGHT\ab-tri_asb-8387-NR-LIGHT.txt","NR-LIGHT")</f>
        <v>NR-LIGHT</v>
      </c>
      <c r="N275">
        <v>0</v>
      </c>
      <c r="O275">
        <v>99</v>
      </c>
      <c r="P275" s="9" t="str">
        <f>HYPERLINK(".\links\NR-LIGHT\ab-tri_asb-8387-NR-LIGHT.txt","farnesoic acid O-methyltransferase")</f>
        <v>farnesoic acid O-methyltransferase</v>
      </c>
      <c r="Q275" t="str">
        <f>HYPERLINK("http://www.ncbi.nlm.nih.gov/sutils/blink.cgi?pid=289743671","0.0")</f>
        <v>0.0</v>
      </c>
    </row>
    <row r="276" spans="1:17">
      <c r="A276" s="7" t="s">
        <v>251</v>
      </c>
      <c r="B276" s="7">
        <v>2.6560117443896747E-4</v>
      </c>
      <c r="C276" s="7">
        <v>13428</v>
      </c>
      <c r="D276" s="7">
        <v>13432</v>
      </c>
      <c r="E276" s="7">
        <v>168.78695319927124</v>
      </c>
      <c r="F276" s="7">
        <v>3000</v>
      </c>
      <c r="G276" s="7">
        <v>3000</v>
      </c>
      <c r="H276" s="7">
        <v>67.603739034926789</v>
      </c>
      <c r="I276" s="2">
        <f t="shared" si="8"/>
        <v>16432</v>
      </c>
      <c r="J276" s="2">
        <f t="shared" si="9"/>
        <v>0.40052704165536579</v>
      </c>
      <c r="K276" s="8" t="s">
        <v>252</v>
      </c>
      <c r="L276" t="s">
        <v>63</v>
      </c>
      <c r="M276" t="str">
        <f>HYPERLINK(".\links\NR-LIGHT\ab-tri_asb-23147-NR-LIGHT.txt","NR-LIGHT")</f>
        <v>NR-LIGHT</v>
      </c>
      <c r="N276">
        <v>0</v>
      </c>
      <c r="O276">
        <v>68.599999999999994</v>
      </c>
      <c r="P276" s="9" t="str">
        <f>HYPERLINK(".\links\NR-LIGHT\ab-tri_asb-23147-NR-LIGHT.txt","cytochrome P450-4g1")</f>
        <v>cytochrome P450-4g1</v>
      </c>
      <c r="Q276" t="str">
        <f>HYPERLINK("http://www.ncbi.nlm.nih.gov/sutils/blink.cgi?pid=289742047","0.0")</f>
        <v>0.0</v>
      </c>
    </row>
    <row r="277" spans="1:17">
      <c r="A277" s="7" t="s">
        <v>147</v>
      </c>
      <c r="B277" s="7">
        <v>0</v>
      </c>
      <c r="C277" s="7">
        <v>37526</v>
      </c>
      <c r="D277" s="7">
        <v>37565</v>
      </c>
      <c r="E277" s="7">
        <v>430.75939765661383</v>
      </c>
      <c r="F277" s="7">
        <v>8349</v>
      </c>
      <c r="G277" s="7">
        <v>8360</v>
      </c>
      <c r="H277" s="7">
        <v>171.91307815303216</v>
      </c>
      <c r="I277" s="2">
        <f t="shared" si="8"/>
        <v>45925</v>
      </c>
      <c r="J277" s="2">
        <f t="shared" si="9"/>
        <v>0.39909304147108865</v>
      </c>
      <c r="K277" s="8" t="s">
        <v>37</v>
      </c>
      <c r="L277" t="s">
        <v>33</v>
      </c>
      <c r="M277" t="str">
        <f>HYPERLINK(".\links\KOG\ab-tri_asb-14574-KOG.txt","KOG")</f>
        <v>KOG</v>
      </c>
      <c r="N277">
        <v>0</v>
      </c>
      <c r="O277">
        <v>98.3</v>
      </c>
      <c r="P277" s="9" t="str">
        <f>HYPERLINK(".\links\NR-LIGHT\ab-tri_asb-14574-NR-LIGHT.txt","serine hydroxymethyltransferase")</f>
        <v>serine hydroxymethyltransferase</v>
      </c>
      <c r="Q277" t="str">
        <f>HYPERLINK("http://www.ncbi.nlm.nih.gov/sutils/blink.cgi?pid=289740671","0.0")</f>
        <v>0.0</v>
      </c>
    </row>
    <row r="278" spans="1:17">
      <c r="A278" s="7" t="s">
        <v>206</v>
      </c>
      <c r="B278" s="7">
        <v>4.2900683006052986E-11</v>
      </c>
      <c r="C278" s="7">
        <v>13976</v>
      </c>
      <c r="D278" s="7">
        <v>13976</v>
      </c>
      <c r="E278" s="7">
        <v>313.5703921288769</v>
      </c>
      <c r="F278" s="7">
        <v>3103</v>
      </c>
      <c r="G278" s="7">
        <v>3103</v>
      </c>
      <c r="H278" s="7">
        <v>124.84903905400199</v>
      </c>
      <c r="I278" s="2">
        <f t="shared" si="8"/>
        <v>17079</v>
      </c>
      <c r="J278" s="2">
        <f t="shared" si="9"/>
        <v>0.39815314898317711</v>
      </c>
      <c r="K278" s="8" t="s">
        <v>207</v>
      </c>
      <c r="L278" t="s">
        <v>43</v>
      </c>
      <c r="M278" t="str">
        <f>HYPERLINK(".\links\NR-LIGHT\ab-tri_asb-17559-NR-LIGHT.txt","NR-LIGHT")</f>
        <v>NR-LIGHT</v>
      </c>
      <c r="N278">
        <v>0</v>
      </c>
      <c r="O278">
        <v>100</v>
      </c>
      <c r="P278" s="9" t="str">
        <f>HYPERLINK(".\links\NR-LIGHT\ab-tri_asb-17559-NR-LIGHT.txt","aspartyl protease")</f>
        <v>aspartyl protease</v>
      </c>
      <c r="Q278" t="str">
        <f>HYPERLINK("http://www.ncbi.nlm.nih.gov/sutils/blink.cgi?pid=289742705","0.0")</f>
        <v>0.0</v>
      </c>
    </row>
    <row r="279" spans="1:17">
      <c r="A279" s="7" t="s">
        <v>400</v>
      </c>
      <c r="B279" s="7">
        <v>3.1460500871105523E-10</v>
      </c>
      <c r="C279" s="7">
        <v>29125</v>
      </c>
      <c r="D279" s="7">
        <v>29152</v>
      </c>
      <c r="E279" s="7">
        <v>1533.4034298476645</v>
      </c>
      <c r="F279" s="7">
        <v>6429</v>
      </c>
      <c r="G279" s="7">
        <v>6435</v>
      </c>
      <c r="H279" s="7">
        <v>606.9988909428464</v>
      </c>
      <c r="I279" s="2">
        <f t="shared" si="8"/>
        <v>35587</v>
      </c>
      <c r="J279" s="2">
        <f t="shared" si="9"/>
        <v>0.39585074555568756</v>
      </c>
      <c r="K279" s="8" t="s">
        <v>45</v>
      </c>
      <c r="L279" t="s">
        <v>21</v>
      </c>
      <c r="M279" t="str">
        <f>HYPERLINK(".\links\KOG\ab-tri_asb-51678-KOG.txt","KOG")</f>
        <v>KOG</v>
      </c>
      <c r="N279">
        <v>3.9999999999999999E-12</v>
      </c>
      <c r="O279">
        <v>3.9</v>
      </c>
      <c r="P279" s="9" t="str">
        <f>HYPERLINK(".\links\NR-LIGHT\ab-tri_asb-51678-NR-LIGHT.txt","hypothetical protein, partial")</f>
        <v>hypothetical protein, partial</v>
      </c>
      <c r="Q279" t="str">
        <f>HYPERLINK("http://www.ncbi.nlm.nih.gov/sutils/blink.cgi?pid=221106670","3E-013")</f>
        <v>3E-013</v>
      </c>
    </row>
    <row r="280" spans="1:17">
      <c r="A280" s="7" t="s">
        <v>463</v>
      </c>
      <c r="B280" s="7">
        <v>1.723043052930362E-2</v>
      </c>
      <c r="C280" s="7">
        <v>1649</v>
      </c>
      <c r="D280" s="7">
        <v>1659</v>
      </c>
      <c r="E280" s="7">
        <v>122.84252541726086</v>
      </c>
      <c r="F280" s="7">
        <v>362</v>
      </c>
      <c r="G280" s="7">
        <v>362</v>
      </c>
      <c r="H280" s="7">
        <v>48.068679524376897</v>
      </c>
      <c r="I280" s="2">
        <f t="shared" si="8"/>
        <v>2021</v>
      </c>
      <c r="J280" s="2">
        <f t="shared" si="9"/>
        <v>0.39130325073586175</v>
      </c>
      <c r="K280" s="8" t="s">
        <v>464</v>
      </c>
      <c r="L280" t="s">
        <v>28</v>
      </c>
      <c r="M280" t="str">
        <f>HYPERLINK(".\links\GO\ab-tri_asb-55020-GO.txt","GO")</f>
        <v>GO</v>
      </c>
      <c r="N280">
        <v>1E-10</v>
      </c>
      <c r="O280">
        <v>2.9</v>
      </c>
      <c r="P280" s="9" t="str">
        <f>HYPERLINK(".\links\NR-LIGHT\ab-tri_asb-55020-NR-LIGHT.txt","hypothetical protein IscW_ISCW009868")</f>
        <v>hypothetical protein IscW_ISCW009868</v>
      </c>
      <c r="Q280" t="str">
        <f>HYPERLINK("http://www.ncbi.nlm.nih.gov/sutils/blink.cgi?pid=241655487","7E-010")</f>
        <v>7E-010</v>
      </c>
    </row>
    <row r="281" spans="1:17">
      <c r="A281" s="7" t="s">
        <v>429</v>
      </c>
      <c r="B281" s="7">
        <v>1.8605187258735056E-2</v>
      </c>
      <c r="C281" s="7">
        <v>13409</v>
      </c>
      <c r="D281" s="7">
        <v>13533</v>
      </c>
      <c r="E281" s="7">
        <v>120.80705614860445</v>
      </c>
      <c r="F281" s="7">
        <v>2914</v>
      </c>
      <c r="G281" s="7">
        <v>2939</v>
      </c>
      <c r="H281" s="7">
        <v>47.048856982352156</v>
      </c>
      <c r="I281" s="2">
        <f t="shared" si="8"/>
        <v>16472</v>
      </c>
      <c r="J281" s="2">
        <f t="shared" si="9"/>
        <v>0.38945454414912223</v>
      </c>
      <c r="K281" s="8" t="s">
        <v>366</v>
      </c>
      <c r="L281" t="s">
        <v>33</v>
      </c>
      <c r="M281" t="str">
        <f>HYPERLINK(".\links\KOG\ab-tri_asb-54359-KOG.txt","KOG")</f>
        <v>KOG</v>
      </c>
      <c r="N281">
        <v>0</v>
      </c>
      <c r="O281">
        <v>99.7</v>
      </c>
      <c r="P281" s="9" t="str">
        <f>HYPERLINK(".\links\NR-LIGHT\ab-tri_asb-54359-NR-LIGHT.txt","SD02276p")</f>
        <v>SD02276p</v>
      </c>
      <c r="Q281" t="str">
        <f>HYPERLINK("http://www.ncbi.nlm.nih.gov/sutils/blink.cgi?pid=40215478","0.0")</f>
        <v>0.0</v>
      </c>
    </row>
    <row r="282" spans="1:17">
      <c r="A282" s="7" t="s">
        <v>493</v>
      </c>
      <c r="B282" s="7">
        <v>0</v>
      </c>
      <c r="C282" s="7">
        <v>44501</v>
      </c>
      <c r="D282" s="7">
        <v>44514</v>
      </c>
      <c r="E282" s="7">
        <v>1744.1405568020127</v>
      </c>
      <c r="F282" s="7">
        <v>9647</v>
      </c>
      <c r="G282" s="7">
        <v>9652</v>
      </c>
      <c r="H282" s="7">
        <v>678.19322037132042</v>
      </c>
      <c r="I282" s="2">
        <f t="shared" si="8"/>
        <v>54166</v>
      </c>
      <c r="J282" s="2">
        <f t="shared" si="9"/>
        <v>0.3888409209489565</v>
      </c>
      <c r="K282" s="8" t="s">
        <v>327</v>
      </c>
      <c r="L282" t="s">
        <v>30</v>
      </c>
      <c r="M282" t="str">
        <f>HYPERLINK(".\links\SWISSP\ab-tri_asb-55771-SWISSP.txt","SWISSP")</f>
        <v>SWISSP</v>
      </c>
      <c r="N282" s="1">
        <v>2.0000000000000001E-17</v>
      </c>
      <c r="O282">
        <v>16.2</v>
      </c>
      <c r="P282" s="9" t="str">
        <f>HYPERLINK(".\links\NR-LIGHT\ab-tri_asb-55771-NR-LIGHT.txt","gram positive anchor")</f>
        <v>gram positive anchor</v>
      </c>
      <c r="Q282" t="str">
        <f>HYPERLINK("http://www.ncbi.nlm.nih.gov/sutils/blink.cgi?pid=335030001","2E-017")</f>
        <v>2E-017</v>
      </c>
    </row>
    <row r="283" spans="1:17">
      <c r="A283" s="7" t="s">
        <v>257</v>
      </c>
      <c r="B283" s="7">
        <v>9.5334851124562192E-12</v>
      </c>
      <c r="C283" s="7">
        <v>12555</v>
      </c>
      <c r="D283" s="7">
        <v>12611</v>
      </c>
      <c r="E283" s="7">
        <v>538.8995927761747</v>
      </c>
      <c r="F283" s="7">
        <v>2722</v>
      </c>
      <c r="G283" s="7">
        <v>2734</v>
      </c>
      <c r="H283" s="7">
        <v>209.51161821593362</v>
      </c>
      <c r="I283" s="2">
        <f t="shared" si="8"/>
        <v>15345</v>
      </c>
      <c r="J283" s="2">
        <f t="shared" si="9"/>
        <v>0.3887767239470743</v>
      </c>
      <c r="K283" s="8" t="s">
        <v>8</v>
      </c>
      <c r="L283" t="s">
        <v>9</v>
      </c>
      <c r="P283" s="9" t="str">
        <f>HYPERLINK(".\links\NR-LIGHT\ab-tri_asb-23334-NR-LIGHT.txt","leucine rich repeat containing 37A")</f>
        <v>leucine rich repeat containing 37A</v>
      </c>
      <c r="Q283" t="str">
        <f>HYPERLINK("http://www.ncbi.nlm.nih.gov/sutils/blink.cgi?pid=123227587","0.077")</f>
        <v>0.077</v>
      </c>
    </row>
    <row r="284" spans="1:17">
      <c r="A284" s="7" t="s">
        <v>208</v>
      </c>
      <c r="B284" s="7">
        <v>0</v>
      </c>
      <c r="C284" s="7">
        <v>44756</v>
      </c>
      <c r="D284" s="7">
        <v>45366</v>
      </c>
      <c r="E284" s="7">
        <v>987.35312718643854</v>
      </c>
      <c r="F284" s="7">
        <v>9677</v>
      </c>
      <c r="G284" s="7">
        <v>9714</v>
      </c>
      <c r="H284" s="7">
        <v>379.13282596154153</v>
      </c>
      <c r="I284" s="2">
        <f t="shared" si="8"/>
        <v>55080</v>
      </c>
      <c r="J284" s="2">
        <f t="shared" si="9"/>
        <v>0.3839890871079919</v>
      </c>
      <c r="K284" s="8" t="s">
        <v>209</v>
      </c>
      <c r="L284" t="s">
        <v>43</v>
      </c>
      <c r="M284" t="str">
        <f>HYPERLINK(".\links\DIPTERA\ab-tri_asb-1766-DIPTERA.txt","DIPTERA")</f>
        <v>DIPTERA</v>
      </c>
      <c r="N284" s="1">
        <v>5.0000000000000001E-92</v>
      </c>
      <c r="O284">
        <v>65</v>
      </c>
      <c r="P284" s="9" t="str">
        <f>HYPERLINK(".\links\NR-LIGHT\ab-tri_asb-1766-NR-LIGHT.txt","trypsin-like serine protease precursor")</f>
        <v>trypsin-like serine protease precursor</v>
      </c>
      <c r="Q284" t="str">
        <f>HYPERLINK("http://www.ncbi.nlm.nih.gov/sutils/blink.cgi?pid=289724850","1E-091")</f>
        <v>1E-091</v>
      </c>
    </row>
    <row r="285" spans="1:17">
      <c r="A285" s="7" t="s">
        <v>57</v>
      </c>
      <c r="B285" s="7">
        <v>2.092886276078787E-2</v>
      </c>
      <c r="C285" s="7">
        <v>8620</v>
      </c>
      <c r="D285" s="7">
        <v>8620</v>
      </c>
      <c r="E285" s="7">
        <v>115.73165610222637</v>
      </c>
      <c r="F285" s="7">
        <v>1835</v>
      </c>
      <c r="G285" s="7">
        <v>1835</v>
      </c>
      <c r="H285" s="7">
        <v>44.180664328192627</v>
      </c>
      <c r="I285" s="2">
        <f t="shared" si="8"/>
        <v>10455</v>
      </c>
      <c r="J285" s="2">
        <f t="shared" si="9"/>
        <v>0.38175090391143818</v>
      </c>
      <c r="K285" s="8" t="s">
        <v>58</v>
      </c>
      <c r="L285" t="s">
        <v>40</v>
      </c>
      <c r="M285" t="str">
        <f>HYPERLINK(".\links\NR-LIGHT\ab-tri_asb-10513-NR-LIGHT.txt","NR-LIGHT")</f>
        <v>NR-LIGHT</v>
      </c>
      <c r="N285">
        <v>0</v>
      </c>
      <c r="O285">
        <v>99.4</v>
      </c>
      <c r="P285" s="9" t="str">
        <f>HYPERLINK(".\links\NR-LIGHT\ab-tri_asb-10513-NR-LIGHT.txt","T-complex chaperonin 5, isoform A")</f>
        <v>T-complex chaperonin 5, isoform A</v>
      </c>
      <c r="Q285" t="str">
        <f>HYPERLINK("http://www.ncbi.nlm.nih.gov/sutils/blink.cgi?pid=17647245","0.0")</f>
        <v>0.0</v>
      </c>
    </row>
    <row r="286" spans="1:17">
      <c r="A286" s="7" t="s">
        <v>236</v>
      </c>
      <c r="B286" s="7">
        <v>0</v>
      </c>
      <c r="C286" s="7">
        <v>14413</v>
      </c>
      <c r="D286" s="7">
        <v>14413</v>
      </c>
      <c r="E286" s="7">
        <v>364.10088440957162</v>
      </c>
      <c r="F286" s="7">
        <v>3055</v>
      </c>
      <c r="G286" s="7">
        <v>3055</v>
      </c>
      <c r="H286" s="7">
        <v>138.39800603567957</v>
      </c>
      <c r="I286" s="2">
        <f t="shared" si="8"/>
        <v>17468</v>
      </c>
      <c r="J286" s="2">
        <f t="shared" si="9"/>
        <v>0.38010895320978605</v>
      </c>
      <c r="K286" s="8" t="s">
        <v>205</v>
      </c>
      <c r="L286" t="s">
        <v>18</v>
      </c>
      <c r="M286" t="str">
        <f>HYPERLINK(".\links\NR-LIGHT\ab-tri_asb-21856-NR-LIGHT.txt","NR-LIGHT")</f>
        <v>NR-LIGHT</v>
      </c>
      <c r="N286">
        <v>0</v>
      </c>
      <c r="O286">
        <v>100</v>
      </c>
      <c r="P286" s="9" t="str">
        <f>HYPERLINK(".\links\NR-LIGHT\ab-tri_asb-21856-NR-LIGHT.txt","amino acid transporter protein")</f>
        <v>amino acid transporter protein</v>
      </c>
      <c r="Q286" t="str">
        <f>HYPERLINK("http://www.ncbi.nlm.nih.gov/sutils/blink.cgi?pid=289740763","1E-166")</f>
        <v>1E-166</v>
      </c>
    </row>
    <row r="287" spans="1:17">
      <c r="A287" s="7" t="s">
        <v>479</v>
      </c>
      <c r="B287" s="7">
        <v>0</v>
      </c>
      <c r="C287" s="7">
        <v>28162</v>
      </c>
      <c r="D287" s="7">
        <v>28224</v>
      </c>
      <c r="E287" s="7">
        <v>2211.7366704937776</v>
      </c>
      <c r="F287" s="7">
        <v>5968</v>
      </c>
      <c r="G287" s="7">
        <v>5979</v>
      </c>
      <c r="H287" s="7">
        <v>840.22322101121529</v>
      </c>
      <c r="I287" s="2">
        <f t="shared" si="8"/>
        <v>34203</v>
      </c>
      <c r="J287" s="2">
        <f t="shared" si="9"/>
        <v>0.37989297379765946</v>
      </c>
      <c r="K287" s="8" t="s">
        <v>365</v>
      </c>
      <c r="L287" t="s">
        <v>23</v>
      </c>
      <c r="M287" t="str">
        <f>HYPERLINK(".\links\DIPTERA\ab-tri_asb-55500-DIPTERA.txt","DIPTERA")</f>
        <v>DIPTERA</v>
      </c>
      <c r="N287">
        <v>8.9999999999999995E-14</v>
      </c>
      <c r="O287">
        <v>54.8</v>
      </c>
      <c r="P287" s="9" t="str">
        <f>HYPERLINK(".\links\NR-LIGHT\ab-tri_asb-55500-NR-LIGHT.txt","CG14245")</f>
        <v>CG14245</v>
      </c>
      <c r="Q287" t="str">
        <f>HYPERLINK("http://www.ncbi.nlm.nih.gov/sutils/blink.cgi?pid=24650387","1E-010")</f>
        <v>1E-010</v>
      </c>
    </row>
    <row r="288" spans="1:17">
      <c r="A288" s="7" t="s">
        <v>523</v>
      </c>
      <c r="B288" s="7">
        <v>8.5801366012105973E-10</v>
      </c>
      <c r="C288" s="7">
        <v>97109</v>
      </c>
      <c r="D288" s="7">
        <v>99145</v>
      </c>
      <c r="E288" s="7">
        <v>2178.9804575678245</v>
      </c>
      <c r="F288" s="7">
        <v>20475</v>
      </c>
      <c r="G288" s="7">
        <v>20529</v>
      </c>
      <c r="H288" s="7">
        <v>809.09885046282307</v>
      </c>
      <c r="I288" s="2">
        <f t="shared" si="8"/>
        <v>119674</v>
      </c>
      <c r="J288" s="2">
        <f t="shared" si="9"/>
        <v>0.37131992058613428</v>
      </c>
      <c r="K288" s="8" t="s">
        <v>8</v>
      </c>
      <c r="L288" t="s">
        <v>9</v>
      </c>
      <c r="P288" s="9" t="str">
        <f>HYPERLINK(".\links\NR-LIGHT\ab-tri_asb-55996-NR-LIGHT.txt","uridine phosphorylase")</f>
        <v>uridine phosphorylase</v>
      </c>
      <c r="Q288" t="str">
        <f>HYPERLINK("http://www.ncbi.nlm.nih.gov/sutils/blink.cgi?pid=289743775","1.5")</f>
        <v>1.5</v>
      </c>
    </row>
    <row r="289" spans="1:17">
      <c r="A289" s="7" t="s">
        <v>475</v>
      </c>
      <c r="B289" s="7">
        <v>2.582144442708767E-7</v>
      </c>
      <c r="C289" s="7">
        <v>5599</v>
      </c>
      <c r="D289" s="7">
        <v>5608</v>
      </c>
      <c r="E289" s="7">
        <v>205.08299021377488</v>
      </c>
      <c r="F289" s="7">
        <v>1157</v>
      </c>
      <c r="G289" s="7">
        <v>1159</v>
      </c>
      <c r="H289" s="7">
        <v>76.007481653163737</v>
      </c>
      <c r="I289" s="2">
        <f t="shared" si="8"/>
        <v>6767</v>
      </c>
      <c r="J289" s="2">
        <f t="shared" si="9"/>
        <v>0.37061816571883843</v>
      </c>
      <c r="K289" s="8" t="s">
        <v>476</v>
      </c>
      <c r="L289" t="s">
        <v>47</v>
      </c>
      <c r="M289" t="str">
        <f>HYPERLINK(".\links\DIPTERA\ab-tri_asb-55347-DIPTERA.txt","DIPTERA")</f>
        <v>DIPTERA</v>
      </c>
      <c r="N289" s="1">
        <v>3.9999999999999999E-16</v>
      </c>
      <c r="O289">
        <v>79.599999999999994</v>
      </c>
      <c r="P289" s="9" t="str">
        <f>HYPERLINK(".\links\NR-LIGHT\ab-tri_asb-55347-NR-LIGHT.txt","IP05946p")</f>
        <v>IP05946p</v>
      </c>
      <c r="Q289" t="str">
        <f>HYPERLINK("http://www.ncbi.nlm.nih.gov/sutils/blink.cgi?pid=68051509","1E-012")</f>
        <v>1E-012</v>
      </c>
    </row>
    <row r="290" spans="1:17">
      <c r="A290" s="7" t="s">
        <v>158</v>
      </c>
      <c r="B290" s="7">
        <v>1.8113621713666817E-10</v>
      </c>
      <c r="C290" s="7">
        <v>14268</v>
      </c>
      <c r="D290" s="7">
        <v>14268</v>
      </c>
      <c r="E290" s="7">
        <v>270.64638185897007</v>
      </c>
      <c r="F290" s="7">
        <v>2941</v>
      </c>
      <c r="G290" s="7">
        <v>2941</v>
      </c>
      <c r="H290" s="7">
        <v>100.04270381490906</v>
      </c>
      <c r="I290" s="2">
        <f t="shared" si="8"/>
        <v>17209</v>
      </c>
      <c r="J290" s="2">
        <f t="shared" si="9"/>
        <v>0.36964360331644808</v>
      </c>
      <c r="K290" s="8" t="s">
        <v>159</v>
      </c>
      <c r="L290" t="s">
        <v>23</v>
      </c>
      <c r="M290" t="str">
        <f>HYPERLINK(".\links\NR-LIGHT\ab-tri_asb-15503-NR-LIGHT.txt","NR-LIGHT")</f>
        <v>NR-LIGHT</v>
      </c>
      <c r="N290">
        <v>0</v>
      </c>
      <c r="O290">
        <v>100</v>
      </c>
      <c r="P290" s="9" t="str">
        <f>HYPERLINK(".\links\NR-LIGHT\ab-tri_asb-15503-NR-LIGHT.txt","hypothetical non-conserved protein")</f>
        <v>hypothetical non-conserved protein</v>
      </c>
      <c r="Q290" t="str">
        <f>HYPERLINK("http://www.ncbi.nlm.nih.gov/sutils/blink.cgi?pid=289743703","1E-153")</f>
        <v>1E-153</v>
      </c>
    </row>
    <row r="291" spans="1:17">
      <c r="A291" s="7" t="s">
        <v>516</v>
      </c>
      <c r="B291" s="7">
        <v>7.1501138343421644E-11</v>
      </c>
      <c r="C291" s="7">
        <v>14086</v>
      </c>
      <c r="D291" s="7">
        <v>14103</v>
      </c>
      <c r="E291" s="7">
        <v>373.83720936030335</v>
      </c>
      <c r="F291" s="7">
        <v>2902</v>
      </c>
      <c r="G291" s="7">
        <v>2906</v>
      </c>
      <c r="H291" s="7">
        <v>138.13950690148869</v>
      </c>
      <c r="I291" s="2">
        <f t="shared" si="8"/>
        <v>17009</v>
      </c>
      <c r="J291" s="2">
        <f t="shared" si="9"/>
        <v>0.36951781000577227</v>
      </c>
      <c r="K291" s="8" t="s">
        <v>517</v>
      </c>
      <c r="L291" t="s">
        <v>28</v>
      </c>
      <c r="M291" t="str">
        <f>HYPERLINK(".\links\GO\ab-tri_asb-55926-GO.txt","GO")</f>
        <v>GO</v>
      </c>
      <c r="N291" s="1">
        <v>5.9999999999999998E-48</v>
      </c>
      <c r="O291">
        <v>100</v>
      </c>
      <c r="P291" s="9" t="str">
        <f>HYPERLINK(".\links\NR-LIGHT\ab-tri_asb-55926-NR-LIGHT.txt","Thor")</f>
        <v>Thor</v>
      </c>
      <c r="Q291" t="str">
        <f>HYPERLINK("http://www.ncbi.nlm.nih.gov/sutils/blink.cgi?pid=83595297","1E-059")</f>
        <v>1E-059</v>
      </c>
    </row>
    <row r="292" spans="1:17">
      <c r="A292" s="7" t="s">
        <v>460</v>
      </c>
      <c r="B292" s="7">
        <v>4.2900683006052986E-11</v>
      </c>
      <c r="C292" s="7">
        <v>6419</v>
      </c>
      <c r="D292" s="7">
        <v>6423</v>
      </c>
      <c r="E292" s="7">
        <v>270.59901940218657</v>
      </c>
      <c r="F292" s="7">
        <v>1300</v>
      </c>
      <c r="G292" s="7">
        <v>1302</v>
      </c>
      <c r="H292" s="7">
        <v>98.367254926861207</v>
      </c>
      <c r="I292" s="2">
        <f t="shared" si="8"/>
        <v>7725</v>
      </c>
      <c r="J292" s="2">
        <f t="shared" si="9"/>
        <v>0.36351667180530201</v>
      </c>
      <c r="K292" s="8" t="s">
        <v>199</v>
      </c>
      <c r="L292" t="s">
        <v>23</v>
      </c>
      <c r="M292" t="str">
        <f>HYPERLINK(".\links\DIPTERA\ab-tri_asb-54960-DIPTERA.txt","DIPTERA")</f>
        <v>DIPTERA</v>
      </c>
      <c r="N292" s="1">
        <v>2.9999999999999999E-22</v>
      </c>
      <c r="O292">
        <v>90</v>
      </c>
      <c r="P292" s="9" t="str">
        <f>HYPERLINK(".\links\NR-LIGHT\ab-tri_asb-54960-NR-LIGHT.txt","LP20105p")</f>
        <v>LP20105p</v>
      </c>
      <c r="Q292" t="str">
        <f>HYPERLINK("http://www.ncbi.nlm.nih.gov/sutils/blink.cgi?pid=162951779","8E-018")</f>
        <v>8E-018</v>
      </c>
    </row>
    <row r="293" spans="1:17">
      <c r="A293" s="7" t="s">
        <v>54</v>
      </c>
      <c r="B293" s="7">
        <v>4.7801539389458192E-3</v>
      </c>
      <c r="C293" s="7">
        <v>6331</v>
      </c>
      <c r="D293" s="7">
        <v>6336</v>
      </c>
      <c r="E293" s="7">
        <v>117.45084388139369</v>
      </c>
      <c r="F293" s="7">
        <v>1280</v>
      </c>
      <c r="G293" s="7">
        <v>1280</v>
      </c>
      <c r="H293" s="7">
        <v>42.550259581265919</v>
      </c>
      <c r="I293" s="2">
        <f t="shared" si="8"/>
        <v>7616</v>
      </c>
      <c r="J293" s="2">
        <f t="shared" si="9"/>
        <v>0.36228142919292078</v>
      </c>
      <c r="K293" s="8" t="s">
        <v>55</v>
      </c>
      <c r="L293" t="s">
        <v>18</v>
      </c>
      <c r="M293" t="str">
        <f>HYPERLINK(".\links\GO\ab-tri_asb-10449-GO.txt","GO")</f>
        <v>GO</v>
      </c>
      <c r="N293">
        <v>0</v>
      </c>
      <c r="O293">
        <v>100</v>
      </c>
      <c r="P293" s="9" t="str">
        <f>HYPERLINK(".\links\NR-LIGHT\ab-tri_asb-10449-NR-LIGHT.txt","sideroflexin")</f>
        <v>sideroflexin</v>
      </c>
      <c r="Q293" t="str">
        <f>HYPERLINK("http://www.ncbi.nlm.nih.gov/sutils/blink.cgi?pid=289743329","1E-179")</f>
        <v>1E-179</v>
      </c>
    </row>
    <row r="294" spans="1:17">
      <c r="A294" s="7" t="s">
        <v>343</v>
      </c>
      <c r="B294" s="7">
        <v>7.0833961221539177E-5</v>
      </c>
      <c r="C294" s="7">
        <v>13401</v>
      </c>
      <c r="D294" s="7">
        <v>18106</v>
      </c>
      <c r="E294" s="7">
        <v>149.60545452260004</v>
      </c>
      <c r="F294" s="7">
        <v>2783</v>
      </c>
      <c r="G294" s="7">
        <v>3629</v>
      </c>
      <c r="H294" s="7">
        <v>53.772861932639181</v>
      </c>
      <c r="I294" s="2">
        <f t="shared" si="8"/>
        <v>21735</v>
      </c>
      <c r="J294" s="2">
        <f t="shared" si="9"/>
        <v>0.35943115913942847</v>
      </c>
      <c r="K294" s="8" t="s">
        <v>197</v>
      </c>
      <c r="L294" t="s">
        <v>33</v>
      </c>
      <c r="M294" t="str">
        <f>HYPERLINK(".\links\KOG\ab-tri_asb-38518-KOG.txt","KOG")</f>
        <v>KOG</v>
      </c>
      <c r="N294">
        <v>0</v>
      </c>
      <c r="O294">
        <v>100.4</v>
      </c>
      <c r="P294" s="9" t="str">
        <f>HYPERLINK(".\links\NR-LIGHT\ab-tri_asb-38518-NR-LIGHT.txt","RE62048p")</f>
        <v>RE62048p</v>
      </c>
      <c r="Q294" t="str">
        <f>HYPERLINK("http://www.ncbi.nlm.nih.gov/sutils/blink.cgi?pid=28316911","0.0")</f>
        <v>0.0</v>
      </c>
    </row>
    <row r="295" spans="1:17">
      <c r="A295" s="7" t="s">
        <v>497</v>
      </c>
      <c r="B295" s="7">
        <v>7.6393987791018025E-3</v>
      </c>
      <c r="C295" s="7">
        <v>12677</v>
      </c>
      <c r="D295" s="7">
        <v>13029</v>
      </c>
      <c r="E295" s="7">
        <v>110.71867181684274</v>
      </c>
      <c r="F295" s="7">
        <v>2494</v>
      </c>
      <c r="G295" s="7">
        <v>2589</v>
      </c>
      <c r="H295" s="7">
        <v>39.454187574358635</v>
      </c>
      <c r="I295" s="2">
        <f t="shared" si="8"/>
        <v>15618</v>
      </c>
      <c r="J295" s="2">
        <f t="shared" si="9"/>
        <v>0.35634628673676688</v>
      </c>
      <c r="K295" s="8" t="s">
        <v>214</v>
      </c>
      <c r="L295" t="s">
        <v>73</v>
      </c>
      <c r="M295" t="str">
        <f>HYPERLINK(".\links\KOG\ab-tri_asb-55790-KOG.txt","KOG")</f>
        <v>KOG</v>
      </c>
      <c r="N295">
        <v>2.0000000000000001E-9</v>
      </c>
      <c r="O295">
        <v>56.9</v>
      </c>
      <c r="P295" s="9" t="str">
        <f>HYPERLINK(".\links\NR-LIGHT\ab-tri_asb-55790-NR-LIGHT.txt","hypothetical conserved protein")</f>
        <v>hypothetical conserved protein</v>
      </c>
      <c r="Q295" t="str">
        <f>HYPERLINK("http://www.ncbi.nlm.nih.gov/sutils/blink.cgi?pid=289739835","0.0")</f>
        <v>0.0</v>
      </c>
    </row>
    <row r="296" spans="1:17">
      <c r="A296" s="7" t="s">
        <v>540</v>
      </c>
      <c r="B296" s="7">
        <v>5.0451203215118312E-8</v>
      </c>
      <c r="C296" s="7">
        <v>4739</v>
      </c>
      <c r="D296" s="7">
        <v>10372</v>
      </c>
      <c r="E296" s="7">
        <v>204.23907359652296</v>
      </c>
      <c r="F296" s="7">
        <v>886</v>
      </c>
      <c r="G296" s="7">
        <v>2056</v>
      </c>
      <c r="H296" s="7">
        <v>72.602354546514405</v>
      </c>
      <c r="I296" s="2">
        <f t="shared" si="8"/>
        <v>12428</v>
      </c>
      <c r="J296" s="2">
        <f t="shared" si="9"/>
        <v>0.35547730053819837</v>
      </c>
      <c r="K296" s="8" t="s">
        <v>95</v>
      </c>
      <c r="L296" t="s">
        <v>48</v>
      </c>
      <c r="M296" t="str">
        <f>HYPERLINK(".\links\PFAM\ab-tri_asb-56136-PFAM.txt","PFAM")</f>
        <v>PFAM</v>
      </c>
      <c r="N296" s="1">
        <v>9.9999999999999995E-21</v>
      </c>
      <c r="O296">
        <v>58.4</v>
      </c>
      <c r="P296" s="9" t="str">
        <f>HYPERLINK(".\links\NR-LIGHT\ab-tri_asb-56136-NR-LIGHT.txt","CG5867")</f>
        <v>CG5867</v>
      </c>
      <c r="Q296" t="str">
        <f>HYPERLINK("http://www.ncbi.nlm.nih.gov/sutils/blink.cgi?pid=24584058","3E-020")</f>
        <v>3E-020</v>
      </c>
    </row>
    <row r="297" spans="1:17">
      <c r="A297" s="7" t="s">
        <v>312</v>
      </c>
      <c r="B297" s="7">
        <v>5.801368794799977E-6</v>
      </c>
      <c r="C297" s="7">
        <v>2557</v>
      </c>
      <c r="D297" s="7">
        <v>2573</v>
      </c>
      <c r="E297" s="7">
        <v>165.05730066736038</v>
      </c>
      <c r="F297" s="7">
        <v>505</v>
      </c>
      <c r="G297" s="7">
        <v>507</v>
      </c>
      <c r="H297" s="7">
        <v>58.324924170584055</v>
      </c>
      <c r="I297" s="2">
        <f t="shared" si="8"/>
        <v>3080</v>
      </c>
      <c r="J297" s="2">
        <f t="shared" si="9"/>
        <v>0.35336167461096524</v>
      </c>
      <c r="K297" s="8" t="s">
        <v>313</v>
      </c>
      <c r="L297" t="s">
        <v>16</v>
      </c>
      <c r="M297" t="str">
        <f>HYPERLINK(".\links\GO\ab-tri_asb-30015-GO.txt","GO")</f>
        <v>GO</v>
      </c>
      <c r="N297">
        <v>3E-9</v>
      </c>
      <c r="O297">
        <v>6.5</v>
      </c>
      <c r="P297" s="9" t="str">
        <f>HYPERLINK(".\links\NR-LIGHT\ab-tri_asb-30015-NR-LIGHT.txt","hypothetical protein")</f>
        <v>hypothetical protein</v>
      </c>
      <c r="Q297" t="str">
        <f>HYPERLINK("http://www.ncbi.nlm.nih.gov/sutils/blink.cgi?pid=221121422","6E-009")</f>
        <v>6E-009</v>
      </c>
    </row>
    <row r="298" spans="1:17">
      <c r="A298" s="7" t="s">
        <v>246</v>
      </c>
      <c r="B298" s="7">
        <v>2.5555849158642729E-4</v>
      </c>
      <c r="C298" s="7">
        <v>7868</v>
      </c>
      <c r="D298" s="7">
        <v>7868</v>
      </c>
      <c r="E298" s="7">
        <v>133.59567898517594</v>
      </c>
      <c r="F298" s="7">
        <v>1537</v>
      </c>
      <c r="G298" s="7">
        <v>1537</v>
      </c>
      <c r="H298" s="7">
        <v>46.800791621815925</v>
      </c>
      <c r="I298" s="2">
        <f t="shared" si="8"/>
        <v>9405</v>
      </c>
      <c r="J298" s="2">
        <f t="shared" si="9"/>
        <v>0.35031665677607016</v>
      </c>
      <c r="K298" s="8" t="s">
        <v>50</v>
      </c>
      <c r="L298" t="s">
        <v>33</v>
      </c>
      <c r="M298" t="str">
        <f>HYPERLINK(".\links\KOG\ab-tri_asb-22530-KOG.txt","KOG")</f>
        <v>KOG</v>
      </c>
      <c r="N298" s="1">
        <v>4E-55</v>
      </c>
      <c r="O298">
        <v>96</v>
      </c>
      <c r="P298" s="9" t="str">
        <f>HYPERLINK(".\links\NR-LIGHT\ab-tri_asb-22530-NR-LIGHT.txt","midgut trypsin")</f>
        <v>midgut trypsin</v>
      </c>
      <c r="Q298" t="str">
        <f>HYPERLINK("http://www.ncbi.nlm.nih.gov/sutils/blink.cgi?pid=289740657","1E-145")</f>
        <v>1E-145</v>
      </c>
    </row>
    <row r="299" spans="1:17">
      <c r="A299" s="7" t="s">
        <v>185</v>
      </c>
      <c r="B299" s="7">
        <v>1.0855159821021587E-6</v>
      </c>
      <c r="C299" s="7">
        <v>5568</v>
      </c>
      <c r="D299" s="7">
        <v>5568</v>
      </c>
      <c r="E299" s="7">
        <v>175.04192752835743</v>
      </c>
      <c r="F299" s="7">
        <v>1086</v>
      </c>
      <c r="G299" s="7">
        <v>1086</v>
      </c>
      <c r="H299" s="7">
        <v>61.22431813104847</v>
      </c>
      <c r="I299" s="2">
        <f t="shared" si="8"/>
        <v>6654</v>
      </c>
      <c r="J299" s="2">
        <f t="shared" si="9"/>
        <v>0.34976944664374715</v>
      </c>
      <c r="K299" s="8" t="s">
        <v>186</v>
      </c>
      <c r="L299" t="s">
        <v>47</v>
      </c>
      <c r="M299" t="str">
        <f>HYPERLINK(".\links\SMART\ab-tri_asb-16988-SMART.txt","SMART")</f>
        <v>SMART</v>
      </c>
      <c r="N299">
        <v>3E-11</v>
      </c>
      <c r="O299">
        <v>104.3</v>
      </c>
      <c r="P299" s="9" t="str">
        <f>HYPERLINK(".\links\NR-LIGHT\ab-tri_asb-16988-NR-LIGHT.txt","AGAP007906-PA")</f>
        <v>AGAP007906-PA</v>
      </c>
      <c r="Q299" t="str">
        <f>HYPERLINK("http://www.ncbi.nlm.nih.gov/sutils/blink.cgi?pid=118789675","3E-008")</f>
        <v>3E-008</v>
      </c>
    </row>
    <row r="300" spans="1:17">
      <c r="A300" s="7" t="s">
        <v>597</v>
      </c>
      <c r="B300" s="7">
        <v>1.001015936807903E-10</v>
      </c>
      <c r="C300" s="7">
        <v>18874</v>
      </c>
      <c r="D300" s="7">
        <v>18874</v>
      </c>
      <c r="E300" s="7">
        <v>324.78195848482278</v>
      </c>
      <c r="F300" s="7">
        <v>3664</v>
      </c>
      <c r="G300" s="7">
        <v>3664</v>
      </c>
      <c r="H300" s="7">
        <v>113.06669089276048</v>
      </c>
      <c r="I300" s="2">
        <f t="shared" si="8"/>
        <v>22538</v>
      </c>
      <c r="J300" s="2">
        <f t="shared" si="9"/>
        <v>0.34813107051955949</v>
      </c>
      <c r="K300" s="8" t="s">
        <v>222</v>
      </c>
      <c r="L300" t="s">
        <v>23</v>
      </c>
      <c r="M300" t="str">
        <f>HYPERLINK(".\links\NR-LIGHT\ab-tri_asb-6785-NR-LIGHT.txt","NR-LIGHT")</f>
        <v>NR-LIGHT</v>
      </c>
      <c r="N300">
        <v>0</v>
      </c>
      <c r="O300">
        <v>100</v>
      </c>
      <c r="P300" s="9" t="str">
        <f>HYPERLINK(".\links\NR-LIGHT\ab-tri_asb-6785-NR-LIGHT.txt","3-hydroxyisobutyrate dehydrogenase")</f>
        <v>3-hydroxyisobutyrate dehydrogenase</v>
      </c>
      <c r="Q300" t="str">
        <f>HYPERLINK("http://www.ncbi.nlm.nih.gov/sutils/blink.cgi?pid=289742155","0.0")</f>
        <v>0.0</v>
      </c>
    </row>
    <row r="301" spans="1:17">
      <c r="A301" s="7" t="s">
        <v>563</v>
      </c>
      <c r="B301" s="7">
        <v>4.4050584523880332E-3</v>
      </c>
      <c r="C301" s="7">
        <v>4120</v>
      </c>
      <c r="D301" s="7">
        <v>4121</v>
      </c>
      <c r="E301" s="7">
        <v>106.81514473798283</v>
      </c>
      <c r="F301" s="7">
        <v>783</v>
      </c>
      <c r="G301" s="7">
        <v>783</v>
      </c>
      <c r="H301" s="7">
        <v>36.395128085515807</v>
      </c>
      <c r="I301" s="2">
        <f t="shared" si="8"/>
        <v>4904</v>
      </c>
      <c r="J301" s="2">
        <f t="shared" si="9"/>
        <v>0.34073003575282257</v>
      </c>
      <c r="K301" s="8" t="s">
        <v>564</v>
      </c>
      <c r="L301" t="s">
        <v>30</v>
      </c>
      <c r="M301" t="str">
        <f>HYPERLINK(".\links\NR-LIGHT\ab-tri_asb-56772-NR-LIGHT.txt","NR-LIGHT")</f>
        <v>NR-LIGHT</v>
      </c>
      <c r="N301" s="1">
        <v>6.0000000000000003E-72</v>
      </c>
      <c r="O301">
        <v>102.4</v>
      </c>
      <c r="P301" s="9" t="str">
        <f>HYPERLINK(".\links\NR-LIGHT\ab-tri_asb-56772-NR-LIGHT.txt","obstructor-E, isoform A")</f>
        <v>obstructor-E, isoform A</v>
      </c>
      <c r="Q301" t="str">
        <f>HYPERLINK("http://www.ncbi.nlm.nih.gov/sutils/blink.cgi?pid=19920772","1E-108")</f>
        <v>1E-108</v>
      </c>
    </row>
    <row r="302" spans="1:17">
      <c r="A302" s="7" t="s">
        <v>565</v>
      </c>
      <c r="B302" s="7">
        <v>0</v>
      </c>
      <c r="C302" s="7">
        <v>11263</v>
      </c>
      <c r="D302" s="7">
        <v>11268</v>
      </c>
      <c r="E302" s="7">
        <v>441.50100629116861</v>
      </c>
      <c r="F302" s="7">
        <v>2128</v>
      </c>
      <c r="G302" s="7">
        <v>2129</v>
      </c>
      <c r="H302" s="7">
        <v>149.59317925513275</v>
      </c>
      <c r="I302" s="2">
        <f t="shared" si="8"/>
        <v>13397</v>
      </c>
      <c r="J302" s="2">
        <f t="shared" si="9"/>
        <v>0.33882862580946532</v>
      </c>
      <c r="K302" s="8" t="s">
        <v>566</v>
      </c>
      <c r="L302" t="s">
        <v>23</v>
      </c>
      <c r="M302" t="str">
        <f>HYPERLINK(".\links\DIPTERA\ab-tri_asb-56806-DIPTERA.txt","DIPTERA")</f>
        <v>DIPTERA</v>
      </c>
      <c r="N302" s="1">
        <v>9.0000000000000008E-31</v>
      </c>
      <c r="O302">
        <v>48</v>
      </c>
      <c r="P302" s="9" t="str">
        <f>HYPERLINK(".\links\NR-LIGHT\ab-tri_asb-56806-NR-LIGHT.txt","fau hypothetical conserved protein")</f>
        <v>fau hypothetical conserved protein</v>
      </c>
      <c r="Q302" t="str">
        <f>HYPERLINK("http://www.ncbi.nlm.nih.gov/sutils/blink.cgi?pid=289743399","3E-030")</f>
        <v>3E-030</v>
      </c>
    </row>
    <row r="303" spans="1:17">
      <c r="A303" s="7" t="s">
        <v>258</v>
      </c>
      <c r="B303" s="7">
        <v>2.3976572055550704E-6</v>
      </c>
      <c r="C303" s="7">
        <v>2798</v>
      </c>
      <c r="D303" s="7">
        <v>2813</v>
      </c>
      <c r="E303" s="7">
        <v>160.53058938831745</v>
      </c>
      <c r="F303" s="7">
        <v>528</v>
      </c>
      <c r="G303" s="7">
        <v>530</v>
      </c>
      <c r="H303" s="7">
        <v>54.239441494497846</v>
      </c>
      <c r="I303" s="2">
        <f t="shared" si="8"/>
        <v>3343</v>
      </c>
      <c r="J303" s="2">
        <f t="shared" si="9"/>
        <v>0.33787605029777024</v>
      </c>
      <c r="K303" s="8" t="s">
        <v>90</v>
      </c>
      <c r="L303" t="s">
        <v>47</v>
      </c>
      <c r="M303" t="str">
        <f>HYPERLINK(".\links\GO\ab-tri_asb-23380-GO.txt","GO")</f>
        <v>GO</v>
      </c>
      <c r="N303" s="1">
        <v>1.9999999999999999E-39</v>
      </c>
      <c r="O303">
        <v>9.3000000000000007</v>
      </c>
      <c r="P303" s="9" t="str">
        <f>HYPERLINK(".\links\NR-LIGHT\ab-tri_asb-23380-NR-LIGHT.txt","TEP2 protein")</f>
        <v>TEP2 protein</v>
      </c>
      <c r="Q303" t="str">
        <f>HYPERLINK("http://www.ncbi.nlm.nih.gov/sutils/blink.cgi?pid=85822201","8E-068")</f>
        <v>8E-068</v>
      </c>
    </row>
    <row r="304" spans="1:17">
      <c r="A304" s="7" t="s">
        <v>216</v>
      </c>
      <c r="B304" s="7">
        <v>6.5362455397033337E-3</v>
      </c>
      <c r="C304" s="7">
        <v>2378</v>
      </c>
      <c r="D304" s="7">
        <v>2381</v>
      </c>
      <c r="E304" s="7">
        <v>102.3972641308883</v>
      </c>
      <c r="F304" s="7">
        <v>448</v>
      </c>
      <c r="G304" s="7">
        <v>448</v>
      </c>
      <c r="H304" s="7">
        <v>34.550810779987927</v>
      </c>
      <c r="I304" s="2">
        <f t="shared" si="8"/>
        <v>2829</v>
      </c>
      <c r="J304" s="2">
        <f t="shared" si="9"/>
        <v>0.33741927651332254</v>
      </c>
      <c r="K304" s="8" t="s">
        <v>217</v>
      </c>
      <c r="L304" t="s">
        <v>47</v>
      </c>
      <c r="M304" t="str">
        <f>HYPERLINK(".\links\GO\ab-tri_asb-18123-GO.txt","GO")</f>
        <v>GO</v>
      </c>
      <c r="N304" s="1">
        <v>1.0000000000000001E-43</v>
      </c>
      <c r="O304">
        <v>100</v>
      </c>
      <c r="P304" s="9" t="str">
        <f>HYPERLINK(".\links\NR-LIGHT\ab-tri_asb-18123-NR-LIGHT.txt","CG30197")</f>
        <v>CG30197</v>
      </c>
      <c r="Q304" t="str">
        <f>HYPERLINK("http://www.ncbi.nlm.nih.gov/sutils/blink.cgi?pid=24653660","9E-043")</f>
        <v>9E-043</v>
      </c>
    </row>
    <row r="305" spans="1:17">
      <c r="A305" s="7" t="s">
        <v>591</v>
      </c>
      <c r="B305" s="7">
        <v>1.3225480406293677E-2</v>
      </c>
      <c r="C305" s="7">
        <v>1339</v>
      </c>
      <c r="D305" s="7">
        <v>11679</v>
      </c>
      <c r="E305" s="7">
        <v>95.999037983603998</v>
      </c>
      <c r="F305" s="7">
        <v>352</v>
      </c>
      <c r="G305" s="7">
        <v>2173</v>
      </c>
      <c r="H305" s="7">
        <v>32.031127055053453</v>
      </c>
      <c r="I305" s="2">
        <f t="shared" si="8"/>
        <v>13852</v>
      </c>
      <c r="J305" s="2">
        <f t="shared" si="9"/>
        <v>0.33366091710756685</v>
      </c>
      <c r="K305" s="8" t="s">
        <v>592</v>
      </c>
      <c r="L305" t="s">
        <v>43</v>
      </c>
      <c r="M305" t="str">
        <f>HYPERLINK(".\links\NR-LIGHT\ab-tri_asb-6282-NR-LIGHT.txt","NR-LIGHT")</f>
        <v>NR-LIGHT</v>
      </c>
      <c r="N305">
        <v>0</v>
      </c>
      <c r="O305">
        <v>88.9</v>
      </c>
      <c r="P305" s="9" t="str">
        <f>HYPERLINK(".\links\NR-LIGHT\ab-tri_asb-6282-NR-LIGHT.txt","CG9953")</f>
        <v>CG9953</v>
      </c>
      <c r="Q305" t="str">
        <f>HYPERLINK("http://www.ncbi.nlm.nih.gov/sutils/blink.cgi?pid=24659664","0.0")</f>
        <v>0.0</v>
      </c>
    </row>
    <row r="306" spans="1:17">
      <c r="A306" s="7" t="s">
        <v>481</v>
      </c>
      <c r="B306" s="7">
        <v>0</v>
      </c>
      <c r="C306" s="7">
        <v>11406</v>
      </c>
      <c r="D306" s="7">
        <v>11406</v>
      </c>
      <c r="E306" s="7">
        <v>411.51537855509923</v>
      </c>
      <c r="F306" s="7">
        <v>2121</v>
      </c>
      <c r="G306" s="7">
        <v>2121</v>
      </c>
      <c r="H306" s="7">
        <v>137.2286030088132</v>
      </c>
      <c r="I306" s="2">
        <f t="shared" si="8"/>
        <v>13527</v>
      </c>
      <c r="J306" s="2">
        <f t="shared" si="9"/>
        <v>0.33347138444897551</v>
      </c>
      <c r="K306" s="8" t="s">
        <v>482</v>
      </c>
      <c r="L306" t="s">
        <v>42</v>
      </c>
      <c r="M306" t="str">
        <f>HYPERLINK(".\links\GO\ab-tri_asb-55581-GO.txt","GO")</f>
        <v>GO</v>
      </c>
      <c r="N306" s="1">
        <v>9.0000000000000002E-42</v>
      </c>
      <c r="O306">
        <v>88.6</v>
      </c>
      <c r="P306" s="9" t="str">
        <f>HYPERLINK(".\links\NR-LIGHT\ab-tri_asb-55581-NR-LIGHT.txt","fat body protein")</f>
        <v>fat body protein</v>
      </c>
      <c r="Q306" t="str">
        <f>HYPERLINK("http://www.ncbi.nlm.nih.gov/sutils/blink.cgi?pid=289742929","4E-086")</f>
        <v>4E-086</v>
      </c>
    </row>
    <row r="307" spans="1:17">
      <c r="A307" s="7" t="s">
        <v>93</v>
      </c>
      <c r="B307" s="7">
        <v>6.4625493545467094E-6</v>
      </c>
      <c r="C307" s="7">
        <v>5284</v>
      </c>
      <c r="D307" s="7">
        <v>5298</v>
      </c>
      <c r="E307" s="7">
        <v>149.74089073258455</v>
      </c>
      <c r="F307" s="7">
        <v>984</v>
      </c>
      <c r="G307" s="7">
        <v>984</v>
      </c>
      <c r="H307" s="7">
        <v>49.874072005249587</v>
      </c>
      <c r="I307" s="2">
        <f t="shared" si="8"/>
        <v>6282</v>
      </c>
      <c r="J307" s="2">
        <f t="shared" si="9"/>
        <v>0.33306915540069432</v>
      </c>
      <c r="K307" s="8" t="s">
        <v>25</v>
      </c>
      <c r="L307" t="s">
        <v>23</v>
      </c>
      <c r="M307" t="str">
        <f>HYPERLINK(".\links\NR-LIGHT\ab-tri_asb-11596-NR-LIGHT.txt","NR-LIGHT")</f>
        <v>NR-LIGHT</v>
      </c>
      <c r="N307">
        <v>0</v>
      </c>
      <c r="O307">
        <v>45.2</v>
      </c>
      <c r="P307" s="9" t="str">
        <f>HYPERLINK(".\links\NR-LIGHT\ab-tri_asb-11596-NR-LIGHT.txt","hypothetical conserved protein")</f>
        <v>hypothetical conserved protein</v>
      </c>
      <c r="Q307" t="str">
        <f>HYPERLINK("http://www.ncbi.nlm.nih.gov/sutils/blink.cgi?pid=289739719","1E-142")</f>
        <v>1E-142</v>
      </c>
    </row>
    <row r="308" spans="1:17">
      <c r="A308" s="7" t="s">
        <v>330</v>
      </c>
      <c r="B308" s="7">
        <v>3.44180577029507E-3</v>
      </c>
      <c r="C308" s="7">
        <v>6884</v>
      </c>
      <c r="D308" s="7">
        <v>6884</v>
      </c>
      <c r="E308" s="7">
        <v>103.9512783607933</v>
      </c>
      <c r="F308" s="7">
        <v>1269</v>
      </c>
      <c r="G308" s="7">
        <v>1269</v>
      </c>
      <c r="H308" s="7">
        <v>34.363854082912724</v>
      </c>
      <c r="I308" s="2">
        <f t="shared" si="8"/>
        <v>8153</v>
      </c>
      <c r="J308" s="2">
        <f t="shared" si="9"/>
        <v>0.33057654147977789</v>
      </c>
      <c r="K308" s="8" t="s">
        <v>25</v>
      </c>
      <c r="L308" t="s">
        <v>23</v>
      </c>
      <c r="M308" t="str">
        <f>HYPERLINK(".\links\NR-LIGHT\ab-tri_asb-35095-NR-LIGHT.txt","NR-LIGHT")</f>
        <v>NR-LIGHT</v>
      </c>
      <c r="N308">
        <v>0</v>
      </c>
      <c r="O308">
        <v>89.3</v>
      </c>
      <c r="P308" s="9" t="str">
        <f>HYPERLINK(".\links\NR-LIGHT\ab-tri_asb-35095-NR-LIGHT.txt","hypothetical conserved protein")</f>
        <v>hypothetical conserved protein</v>
      </c>
      <c r="Q308" t="str">
        <f>HYPERLINK("http://www.ncbi.nlm.nih.gov/sutils/blink.cgi?pid=289739719","0.0")</f>
        <v>0.0</v>
      </c>
    </row>
    <row r="309" spans="1:17">
      <c r="A309" s="7" t="s">
        <v>404</v>
      </c>
      <c r="B309" s="7">
        <v>0</v>
      </c>
      <c r="C309" s="7">
        <v>14161</v>
      </c>
      <c r="D309" s="7">
        <v>14163</v>
      </c>
      <c r="E309" s="7">
        <v>778.49418189553364</v>
      </c>
      <c r="F309" s="7">
        <v>2607</v>
      </c>
      <c r="G309" s="7">
        <v>2607</v>
      </c>
      <c r="H309" s="7">
        <v>256.97591346517504</v>
      </c>
      <c r="I309" s="2">
        <f t="shared" si="8"/>
        <v>16770</v>
      </c>
      <c r="J309" s="2">
        <f t="shared" si="9"/>
        <v>0.33009355681948915</v>
      </c>
      <c r="K309" s="8" t="s">
        <v>160</v>
      </c>
      <c r="L309" t="s">
        <v>30</v>
      </c>
      <c r="M309" t="str">
        <f>HYPERLINK(".\links\GO\ab-tri_asb-52268-GO.txt","GO")</f>
        <v>GO</v>
      </c>
      <c r="N309">
        <v>4.9999999999999998E-7</v>
      </c>
      <c r="O309">
        <v>3.1</v>
      </c>
      <c r="P309" s="9" t="str">
        <f>HYPERLINK(".\links\NR-LIGHT\ab-tri_asb-52268-NR-LIGHT.txt","Histidine-rich glycoprotein precursor")</f>
        <v>Histidine-rich glycoprotein precursor</v>
      </c>
      <c r="Q309" t="str">
        <f>HYPERLINK("http://www.ncbi.nlm.nih.gov/sutils/blink.cgi?pid=257205780","2E-008")</f>
        <v>2E-008</v>
      </c>
    </row>
    <row r="310" spans="1:17">
      <c r="A310" s="7" t="s">
        <v>198</v>
      </c>
      <c r="B310" s="7">
        <v>0</v>
      </c>
      <c r="C310" s="7">
        <v>9464</v>
      </c>
      <c r="D310" s="7">
        <v>9478</v>
      </c>
      <c r="E310" s="7">
        <v>467.44355613079819</v>
      </c>
      <c r="F310" s="7">
        <v>1740</v>
      </c>
      <c r="G310" s="7">
        <v>1741</v>
      </c>
      <c r="H310" s="7">
        <v>153.9793618118216</v>
      </c>
      <c r="I310" s="2">
        <f t="shared" si="8"/>
        <v>11219</v>
      </c>
      <c r="J310" s="2">
        <f t="shared" si="9"/>
        <v>0.3294073900309275</v>
      </c>
      <c r="K310" s="8" t="s">
        <v>199</v>
      </c>
      <c r="L310" t="s">
        <v>23</v>
      </c>
      <c r="M310" t="str">
        <f>HYPERLINK(".\links\DIPTERA\ab-tri_asb-17384-DIPTERA.txt","DIPTERA")</f>
        <v>DIPTERA</v>
      </c>
      <c r="N310">
        <v>2.9999999999999998E-15</v>
      </c>
      <c r="O310">
        <v>60.3</v>
      </c>
      <c r="P310" s="9" t="str">
        <f>HYPERLINK(".\links\NR-LIGHT\ab-tri_asb-17384-NR-LIGHT.txt","LP20105p")</f>
        <v>LP20105p</v>
      </c>
      <c r="Q310" t="str">
        <f>HYPERLINK("http://www.ncbi.nlm.nih.gov/sutils/blink.cgi?pid=162951779","8E-014")</f>
        <v>8E-014</v>
      </c>
    </row>
    <row r="311" spans="1:17">
      <c r="A311" s="7" t="s">
        <v>247</v>
      </c>
      <c r="B311" s="7">
        <v>0</v>
      </c>
      <c r="C311" s="7">
        <v>13771</v>
      </c>
      <c r="D311" s="7">
        <v>13780</v>
      </c>
      <c r="E311" s="7">
        <v>249.08479885375777</v>
      </c>
      <c r="F311" s="7">
        <v>2523</v>
      </c>
      <c r="G311" s="7">
        <v>2524</v>
      </c>
      <c r="H311" s="7">
        <v>81.816072637607718</v>
      </c>
      <c r="I311" s="2">
        <f t="shared" si="8"/>
        <v>16304</v>
      </c>
      <c r="J311" s="2">
        <f t="shared" si="9"/>
        <v>0.32846674310961638</v>
      </c>
      <c r="K311" s="8" t="s">
        <v>248</v>
      </c>
      <c r="L311" t="s">
        <v>15</v>
      </c>
      <c r="M311" t="str">
        <f>HYPERLINK(".\links\KOG\ab-tri_asb-2275-KOG.txt","KOG")</f>
        <v>KOG</v>
      </c>
      <c r="N311">
        <v>0</v>
      </c>
      <c r="O311">
        <v>50.7</v>
      </c>
      <c r="P311" s="9" t="str">
        <f>HYPERLINK(".\links\NR-LIGHT\ab-tri_asb-2275-NR-LIGHT.txt","fumarylacetoacetase")</f>
        <v>fumarylacetoacetase</v>
      </c>
      <c r="Q311" t="str">
        <f>HYPERLINK("http://www.ncbi.nlm.nih.gov/sutils/blink.cgi?pid=289739503","0.0")</f>
        <v>0.0</v>
      </c>
    </row>
    <row r="312" spans="1:17">
      <c r="A312" s="7" t="s">
        <v>477</v>
      </c>
      <c r="B312" s="7">
        <v>3.3367197893596767E-11</v>
      </c>
      <c r="C312" s="7">
        <v>61186</v>
      </c>
      <c r="D312" s="7">
        <v>61192</v>
      </c>
      <c r="E312" s="7">
        <v>1250.7711929472785</v>
      </c>
      <c r="F312" s="7">
        <v>11115</v>
      </c>
      <c r="G312" s="7">
        <v>11115</v>
      </c>
      <c r="H312" s="7">
        <v>407.42151622288947</v>
      </c>
      <c r="I312" s="2">
        <f t="shared" si="8"/>
        <v>72307</v>
      </c>
      <c r="J312" s="2">
        <f t="shared" si="9"/>
        <v>0.32573624858024913</v>
      </c>
      <c r="K312" s="8" t="s">
        <v>8</v>
      </c>
      <c r="L312" t="s">
        <v>9</v>
      </c>
      <c r="P312" s="9" t="str">
        <f>HYPERLINK(".\links\NR-LIGHT\ab-tri_asb-55411-NR-LIGHT.txt","branched-chain amino acid ABC superfamily ATP binding cassette transporter,")</f>
        <v>branched-chain amino acid ABC superfamily ATP binding cassette transporter,</v>
      </c>
      <c r="Q312" t="str">
        <f>HYPERLINK("http://www.ncbi.nlm.nih.gov/sutils/blink.cgi?pid=293393960","2.9")</f>
        <v>2.9</v>
      </c>
    </row>
    <row r="313" spans="1:17">
      <c r="A313" s="7" t="s">
        <v>154</v>
      </c>
      <c r="B313" s="7">
        <v>1.3076364610675739E-4</v>
      </c>
      <c r="C313" s="7">
        <v>9034</v>
      </c>
      <c r="D313" s="7">
        <v>9059</v>
      </c>
      <c r="E313" s="7">
        <v>123.91579859876123</v>
      </c>
      <c r="F313" s="7">
        <v>1639</v>
      </c>
      <c r="G313" s="7">
        <v>1642</v>
      </c>
      <c r="H313" s="7">
        <v>40.27827331307094</v>
      </c>
      <c r="I313" s="2">
        <f t="shared" si="8"/>
        <v>10701</v>
      </c>
      <c r="J313" s="2">
        <f t="shared" si="9"/>
        <v>0.32504550483907058</v>
      </c>
      <c r="K313" s="8" t="s">
        <v>109</v>
      </c>
      <c r="L313" t="s">
        <v>35</v>
      </c>
      <c r="M313" t="str">
        <f>HYPERLINK(".\links\KOG\ab-tri_asb-1502-KOG.txt","KOG")</f>
        <v>KOG</v>
      </c>
      <c r="N313" s="1">
        <v>1E-52</v>
      </c>
      <c r="O313">
        <v>60.9</v>
      </c>
      <c r="P313" s="9" t="str">
        <f>HYPERLINK(".\links\NR-LIGHT\ab-tri_asb-1502-NR-LIGHT.txt","mitochondrial solute carrier protein")</f>
        <v>mitochondrial solute carrier protein</v>
      </c>
      <c r="Q313" t="str">
        <f>HYPERLINK("http://www.ncbi.nlm.nih.gov/sutils/blink.cgi?pid=289739625","0.0")</f>
        <v>0.0</v>
      </c>
    </row>
    <row r="314" spans="1:17">
      <c r="A314" s="7" t="s">
        <v>624</v>
      </c>
      <c r="B314" s="7">
        <v>1.4426546346424374E-7</v>
      </c>
      <c r="C314" s="7">
        <v>10005</v>
      </c>
      <c r="D314" s="7">
        <v>10012</v>
      </c>
      <c r="E314" s="7">
        <v>169.78548108886031</v>
      </c>
      <c r="F314" s="7">
        <v>1805</v>
      </c>
      <c r="G314" s="7">
        <v>1807</v>
      </c>
      <c r="H314" s="7">
        <v>54.952712264320731</v>
      </c>
      <c r="I314" s="2">
        <f t="shared" si="8"/>
        <v>11819</v>
      </c>
      <c r="J314" s="2">
        <f t="shared" si="9"/>
        <v>0.32365966696269061</v>
      </c>
      <c r="K314" s="8" t="s">
        <v>223</v>
      </c>
      <c r="L314" t="s">
        <v>15</v>
      </c>
      <c r="M314" t="str">
        <f>HYPERLINK(".\links\KOG\ab-tri_asb-8717-KOG.txt","KOG")</f>
        <v>KOG</v>
      </c>
      <c r="N314">
        <v>0</v>
      </c>
      <c r="O314">
        <v>99.7</v>
      </c>
      <c r="P314" s="9" t="str">
        <f>HYPERLINK(".\links\NR-LIGHT\ab-tri_asb-8717-NR-LIGHT.txt","adenosine kinase")</f>
        <v>adenosine kinase</v>
      </c>
      <c r="Q314" t="str">
        <f>HYPERLINK("http://www.ncbi.nlm.nih.gov/sutils/blink.cgi?pid=289743539","0.0")</f>
        <v>0.0</v>
      </c>
    </row>
    <row r="315" spans="1:17">
      <c r="A315" s="7" t="s">
        <v>108</v>
      </c>
      <c r="B315" s="7">
        <v>1.477690192430714E-10</v>
      </c>
      <c r="C315" s="7">
        <v>36800</v>
      </c>
      <c r="D315" s="7">
        <v>36801</v>
      </c>
      <c r="E315" s="7">
        <v>442.38133608804361</v>
      </c>
      <c r="F315" s="7">
        <v>6606</v>
      </c>
      <c r="G315" s="7">
        <v>6606</v>
      </c>
      <c r="H315" s="7">
        <v>142.40558316017439</v>
      </c>
      <c r="I315" s="2">
        <f t="shared" si="8"/>
        <v>43407</v>
      </c>
      <c r="J315" s="2">
        <f t="shared" si="9"/>
        <v>0.32190685172087041</v>
      </c>
      <c r="K315" s="8" t="s">
        <v>32</v>
      </c>
      <c r="L315" t="s">
        <v>33</v>
      </c>
      <c r="M315" t="str">
        <f>HYPERLINK(".\links\KOG\ab-tri_asb-12713-KOG.txt","KOG")</f>
        <v>KOG</v>
      </c>
      <c r="N315" s="1">
        <v>9.0000000000000004E-71</v>
      </c>
      <c r="O315">
        <v>96.6</v>
      </c>
      <c r="P315" s="9" t="str">
        <f>HYPERLINK(".\links\NR-LIGHT\ab-tri_asb-12713-NR-LIGHT.txt","N(4)-(Beta-N-acetylglucosaminyl)-L-asparaginase")</f>
        <v>N(4)-(Beta-N-acetylglucosaminyl)-L-asparaginase</v>
      </c>
      <c r="Q315" t="str">
        <f>HYPERLINK("http://www.ncbi.nlm.nih.gov/sutils/blink.cgi?pid=170033814","2E-083")</f>
        <v>2E-083</v>
      </c>
    </row>
    <row r="316" spans="1:17">
      <c r="A316" s="7" t="s">
        <v>245</v>
      </c>
      <c r="B316" s="7">
        <v>0</v>
      </c>
      <c r="C316" s="7">
        <v>33951</v>
      </c>
      <c r="D316" s="7">
        <v>33970</v>
      </c>
      <c r="E316" s="7">
        <v>577.52747785850568</v>
      </c>
      <c r="F316" s="7">
        <v>6000</v>
      </c>
      <c r="G316" s="7">
        <v>6001</v>
      </c>
      <c r="H316" s="7">
        <v>182.95825240819019</v>
      </c>
      <c r="I316" s="2">
        <f t="shared" si="8"/>
        <v>39971</v>
      </c>
      <c r="J316" s="2">
        <f t="shared" si="9"/>
        <v>0.31679575331481458</v>
      </c>
      <c r="K316" s="8" t="s">
        <v>110</v>
      </c>
      <c r="L316" t="s">
        <v>10</v>
      </c>
      <c r="M316" t="str">
        <f>HYPERLINK(".\links\KOG\ab-tri_asb-22518-KOG.txt","KOG")</f>
        <v>KOG</v>
      </c>
      <c r="N316" s="1">
        <v>3.0000000000000002E-90</v>
      </c>
      <c r="O316">
        <v>98.3</v>
      </c>
      <c r="P316" s="9" t="str">
        <f>HYPERLINK(".\links\NR-LIGHT\ab-tri_asb-22518-NR-LIGHT.txt","actin 57B")</f>
        <v>actin 57B</v>
      </c>
      <c r="Q316" t="str">
        <f>HYPERLINK("http://www.ncbi.nlm.nih.gov/sutils/blink.cgi?pid=289741367","0.0")</f>
        <v>0.0</v>
      </c>
    </row>
    <row r="317" spans="1:17">
      <c r="A317" s="7" t="s">
        <v>469</v>
      </c>
      <c r="B317" s="7">
        <v>1.0719543468923343E-3</v>
      </c>
      <c r="C317" s="7">
        <v>10355</v>
      </c>
      <c r="D317" s="7">
        <v>10355</v>
      </c>
      <c r="E317" s="7">
        <v>105.5877833106384</v>
      </c>
      <c r="F317" s="7">
        <v>1825</v>
      </c>
      <c r="G317" s="7">
        <v>1826</v>
      </c>
      <c r="H317" s="7">
        <v>33.389938084846172</v>
      </c>
      <c r="I317" s="2">
        <f t="shared" si="8"/>
        <v>12181</v>
      </c>
      <c r="J317" s="2">
        <f t="shared" si="9"/>
        <v>0.31622917953124602</v>
      </c>
      <c r="K317" s="8" t="s">
        <v>237</v>
      </c>
      <c r="L317" t="s">
        <v>16</v>
      </c>
      <c r="M317" t="str">
        <f>HYPERLINK(".\links\PFAM\ab-tri_asb-55077-PFAM.txt","PFAM")</f>
        <v>PFAM</v>
      </c>
      <c r="N317" s="1">
        <v>4E-73</v>
      </c>
      <c r="O317">
        <v>98.4</v>
      </c>
      <c r="P317" s="9" t="str">
        <f>HYPERLINK(".\links\NR-LIGHT\ab-tri_asb-55077-NR-LIGHT.txt","polymerase")</f>
        <v>polymerase</v>
      </c>
      <c r="Q317" t="str">
        <f>HYPERLINK("http://www.ncbi.nlm.nih.gov/sutils/blink.cgi?pid=353332644","2E-053")</f>
        <v>2E-053</v>
      </c>
    </row>
    <row r="318" spans="1:17">
      <c r="A318" s="7" t="s">
        <v>315</v>
      </c>
      <c r="B318" s="7">
        <v>7.5622394839769402E-4</v>
      </c>
      <c r="C318" s="7">
        <v>2893</v>
      </c>
      <c r="D318" s="7">
        <v>2893</v>
      </c>
      <c r="E318" s="7">
        <v>106.52083170226761</v>
      </c>
      <c r="F318" s="7">
        <v>506</v>
      </c>
      <c r="G318" s="7">
        <v>506</v>
      </c>
      <c r="H318" s="7">
        <v>33.410879125401117</v>
      </c>
      <c r="I318" s="2">
        <f t="shared" si="8"/>
        <v>3399</v>
      </c>
      <c r="J318" s="2">
        <f t="shared" si="9"/>
        <v>0.31365582291721694</v>
      </c>
      <c r="K318" s="8" t="s">
        <v>316</v>
      </c>
      <c r="L318" t="s">
        <v>16</v>
      </c>
      <c r="M318" t="str">
        <f>HYPERLINK(".\links\GO\ab-tri_asb-3055-GO.txt","GO")</f>
        <v>GO</v>
      </c>
      <c r="N318" s="1">
        <v>2.0000000000000001E-62</v>
      </c>
      <c r="O318">
        <v>100</v>
      </c>
      <c r="P318" s="9" t="str">
        <f>HYPERLINK(".\links\NR-LIGHT\ab-tri_asb-3055-NR-LIGHT.txt","hoi-polloi")</f>
        <v>hoi-polloi</v>
      </c>
      <c r="Q318" t="str">
        <f>HYPERLINK("http://www.ncbi.nlm.nih.gov/sutils/blink.cgi?pid=17864298","1E-061")</f>
        <v>1E-061</v>
      </c>
    </row>
    <row r="319" spans="1:17">
      <c r="A319" s="7" t="s">
        <v>415</v>
      </c>
      <c r="B319" s="7">
        <v>1.3370126560885431E-5</v>
      </c>
      <c r="C319" s="7">
        <v>1435</v>
      </c>
      <c r="D319" s="7">
        <v>1435</v>
      </c>
      <c r="E319" s="7">
        <v>130.74914580455504</v>
      </c>
      <c r="F319" s="7">
        <v>248</v>
      </c>
      <c r="G319" s="7">
        <v>248</v>
      </c>
      <c r="H319" s="7">
        <v>40.521910342752186</v>
      </c>
      <c r="I319" s="2">
        <f t="shared" si="8"/>
        <v>1683</v>
      </c>
      <c r="J319" s="2">
        <f t="shared" si="9"/>
        <v>0.30992103308517738</v>
      </c>
      <c r="K319" s="8" t="s">
        <v>8</v>
      </c>
      <c r="L319" t="s">
        <v>9</v>
      </c>
      <c r="P319" s="9" t="str">
        <f>HYPERLINK(".\links\NR-LIGHT\ab-tri_asb-53540-NR-LIGHT.txt","hypothetical protein TGME49_050080")</f>
        <v>hypothetical protein TGME49_050080</v>
      </c>
      <c r="Q319" t="str">
        <f>HYPERLINK("http://www.ncbi.nlm.nih.gov/sutils/blink.cgi?pid=237836085","0.28")</f>
        <v>0.28</v>
      </c>
    </row>
    <row r="320" spans="1:17">
      <c r="A320" s="7" t="s">
        <v>322</v>
      </c>
      <c r="B320" s="7">
        <v>1.7837522641994674E-3</v>
      </c>
      <c r="C320" s="7">
        <v>6898</v>
      </c>
      <c r="D320" s="7">
        <v>6898</v>
      </c>
      <c r="E320" s="7">
        <v>96.467002030096097</v>
      </c>
      <c r="F320" s="7">
        <v>1167</v>
      </c>
      <c r="G320" s="7">
        <v>1167</v>
      </c>
      <c r="H320" s="7">
        <v>29.266967087685</v>
      </c>
      <c r="I320" s="2">
        <f t="shared" si="8"/>
        <v>8065</v>
      </c>
      <c r="J320" s="2">
        <f t="shared" si="9"/>
        <v>0.30338837604338731</v>
      </c>
      <c r="K320" s="8" t="s">
        <v>323</v>
      </c>
      <c r="L320" t="s">
        <v>40</v>
      </c>
      <c r="M320" t="str">
        <f>HYPERLINK(".\links\NR-LIGHT\ab-tri_asb-31808-NR-LIGHT.txt","NR-LIGHT")</f>
        <v>NR-LIGHT</v>
      </c>
      <c r="N320">
        <v>0</v>
      </c>
      <c r="O320">
        <v>98.1</v>
      </c>
      <c r="P320" s="9" t="str">
        <f>HYPERLINK(".\links\NR-LIGHT\ab-tri_asb-31808-NR-LIGHT.txt","CG5525")</f>
        <v>CG5525</v>
      </c>
      <c r="Q320" t="str">
        <f>HYPERLINK("http://www.ncbi.nlm.nih.gov/sutils/blink.cgi?pid=24583944","0.0")</f>
        <v>0.0</v>
      </c>
    </row>
    <row r="321" spans="1:17">
      <c r="A321" s="7" t="s">
        <v>151</v>
      </c>
      <c r="B321" s="7">
        <v>8.1034623455877863E-11</v>
      </c>
      <c r="C321" s="7">
        <v>736</v>
      </c>
      <c r="D321" s="7">
        <v>11652</v>
      </c>
      <c r="E321" s="7">
        <v>200.50648406618393</v>
      </c>
      <c r="F321" s="7">
        <v>133</v>
      </c>
      <c r="G321" s="7">
        <v>1969</v>
      </c>
      <c r="H321" s="7">
        <v>60.761002829652121</v>
      </c>
      <c r="I321" s="2">
        <f t="shared" si="8"/>
        <v>13621</v>
      </c>
      <c r="J321" s="2">
        <f t="shared" si="9"/>
        <v>0.30303759558018034</v>
      </c>
      <c r="K321" s="8" t="s">
        <v>150</v>
      </c>
      <c r="L321" t="s">
        <v>10</v>
      </c>
      <c r="M321" t="str">
        <f>HYPERLINK(".\links\GO\ab-tri_asb-1475-GO.txt","GO")</f>
        <v>GO</v>
      </c>
      <c r="N321">
        <v>2.0000000000000001E-10</v>
      </c>
      <c r="O321">
        <v>28.5</v>
      </c>
      <c r="P321" s="9" t="str">
        <f>HYPERLINK(".\links\NR-LIGHT\ab-tri_asb-1475-NR-LIGHT.txt","lipid storage droplet-1")</f>
        <v>lipid storage droplet-1</v>
      </c>
      <c r="Q321" t="str">
        <f>HYPERLINK("http://www.ncbi.nlm.nih.gov/sutils/blink.cgi?pid=289739523","0.0")</f>
        <v>0.0</v>
      </c>
    </row>
    <row r="322" spans="1:17">
      <c r="A322" s="7" t="s">
        <v>535</v>
      </c>
      <c r="B322" s="7">
        <v>0</v>
      </c>
      <c r="C322" s="7">
        <v>19099</v>
      </c>
      <c r="D322" s="7">
        <v>19149</v>
      </c>
      <c r="E322" s="7">
        <v>710.9130853931606</v>
      </c>
      <c r="F322" s="7">
        <v>3221</v>
      </c>
      <c r="G322" s="7">
        <v>3230</v>
      </c>
      <c r="H322" s="7">
        <v>215.04245160227353</v>
      </c>
      <c r="I322" s="2">
        <f t="shared" ref="I322:I354" si="10">SUM(D322,G322)</f>
        <v>22379</v>
      </c>
      <c r="J322" s="2">
        <f t="shared" ref="J322:J354" si="11">H322/E322</f>
        <v>0.30248768241950041</v>
      </c>
      <c r="K322" s="8" t="s">
        <v>8</v>
      </c>
      <c r="L322" t="s">
        <v>9</v>
      </c>
      <c r="P322" s="9" t="str">
        <f>HYPERLINK(".\links\NR-LIGHT\ab-tri_asb-56104-NR-LIGHT.txt","Putative arylsulphatase")</f>
        <v>Putative arylsulphatase</v>
      </c>
      <c r="Q322" t="str">
        <f>HYPERLINK("http://www.ncbi.nlm.nih.gov/sutils/blink.cgi?pid=294816157","0.17")</f>
        <v>0.17</v>
      </c>
    </row>
    <row r="323" spans="1:17">
      <c r="A323" s="7" t="s">
        <v>437</v>
      </c>
      <c r="B323" s="7">
        <v>7.0289061056383328E-4</v>
      </c>
      <c r="C323" s="7">
        <v>816</v>
      </c>
      <c r="D323" s="7">
        <v>819</v>
      </c>
      <c r="E323" s="7">
        <v>100.98023646104761</v>
      </c>
      <c r="F323" s="7">
        <v>136</v>
      </c>
      <c r="G323" s="7">
        <v>137</v>
      </c>
      <c r="H323" s="7">
        <v>30.291746938856345</v>
      </c>
      <c r="I323" s="2">
        <f t="shared" si="10"/>
        <v>956</v>
      </c>
      <c r="J323" s="2">
        <f t="shared" si="11"/>
        <v>0.29997698560095137</v>
      </c>
      <c r="K323" s="8" t="s">
        <v>8</v>
      </c>
      <c r="L323" t="s">
        <v>9</v>
      </c>
      <c r="P323" s="9" t="str">
        <f>HYPERLINK(".\links\NR-LIGHT\ab-tri_asb-54505-NR-LIGHT.txt","Protein CLEC-199, isoform c")</f>
        <v>Protein CLEC-199, isoform c</v>
      </c>
      <c r="Q323" t="str">
        <f>HYPERLINK("http://www.ncbi.nlm.nih.gov/sutils/blink.cgi?pid=285310533","0.40")</f>
        <v>0.40</v>
      </c>
    </row>
    <row r="324" spans="1:17">
      <c r="A324" s="7" t="s">
        <v>514</v>
      </c>
      <c r="B324" s="7">
        <v>8.4843085781344252E-3</v>
      </c>
      <c r="C324" s="7">
        <v>1722</v>
      </c>
      <c r="D324" s="7">
        <v>1723</v>
      </c>
      <c r="E324" s="7">
        <v>85.446635348841255</v>
      </c>
      <c r="F324" s="7">
        <v>286</v>
      </c>
      <c r="G324" s="7">
        <v>287</v>
      </c>
      <c r="H324" s="7">
        <v>25.523654469476206</v>
      </c>
      <c r="I324" s="2">
        <f t="shared" si="10"/>
        <v>2010</v>
      </c>
      <c r="J324" s="2">
        <f t="shared" si="11"/>
        <v>0.29870871293263079</v>
      </c>
      <c r="K324" s="8" t="s">
        <v>515</v>
      </c>
      <c r="L324" t="s">
        <v>43</v>
      </c>
      <c r="M324" t="str">
        <f>HYPERLINK(".\links\GO\ab-tri_asb-55913-GO.txt","GO")</f>
        <v>GO</v>
      </c>
      <c r="N324" s="1">
        <v>8.0000000000000006E-18</v>
      </c>
      <c r="O324">
        <v>12.1</v>
      </c>
      <c r="P324" s="9" t="str">
        <f>HYPERLINK(".\links\NR-LIGHT\ab-tri_asb-55913-NR-LIGHT.txt","Protein CLEC-199, isoform d")</f>
        <v>Protein CLEC-199, isoform d</v>
      </c>
      <c r="Q324" t="str">
        <f>HYPERLINK("http://www.ncbi.nlm.nih.gov/sutils/blink.cgi?pid=285310534","2E-017")</f>
        <v>2E-017</v>
      </c>
    </row>
    <row r="325" spans="1:17">
      <c r="A325" s="7" t="s">
        <v>276</v>
      </c>
      <c r="B325" s="7">
        <v>1.5372744743835653E-8</v>
      </c>
      <c r="C325" s="7">
        <v>9355</v>
      </c>
      <c r="D325" s="7">
        <v>9356</v>
      </c>
      <c r="E325" s="7">
        <v>162.87404876400862</v>
      </c>
      <c r="F325" s="7">
        <v>1530</v>
      </c>
      <c r="G325" s="7">
        <v>1530</v>
      </c>
      <c r="H325" s="7">
        <v>47.764406007649796</v>
      </c>
      <c r="I325" s="2">
        <f t="shared" si="10"/>
        <v>10886</v>
      </c>
      <c r="J325" s="2">
        <f t="shared" si="11"/>
        <v>0.29325976955884836</v>
      </c>
      <c r="K325" s="8" t="s">
        <v>142</v>
      </c>
      <c r="L325" t="s">
        <v>24</v>
      </c>
      <c r="M325" t="str">
        <f>HYPERLINK(".\links\GO\ab-tri_asb-2535-GO.txt","GO")</f>
        <v>GO</v>
      </c>
      <c r="N325" s="1">
        <v>3.9999999999999997E-49</v>
      </c>
      <c r="O325">
        <v>75.7</v>
      </c>
      <c r="P325" s="9" t="str">
        <f>HYPERLINK(".\links\NR-LIGHT\ab-tri_asb-2535-NR-LIGHT.txt","hypothetical conserved protein")</f>
        <v>hypothetical conserved protein</v>
      </c>
      <c r="Q325" t="str">
        <f>HYPERLINK("http://www.ncbi.nlm.nih.gov/sutils/blink.cgi?pid=289742571","1E-049")</f>
        <v>1E-049</v>
      </c>
    </row>
    <row r="326" spans="1:17">
      <c r="A326" s="7" t="s">
        <v>178</v>
      </c>
      <c r="B326" s="7">
        <v>2.939939499532751E-3</v>
      </c>
      <c r="C326" s="7">
        <v>6171</v>
      </c>
      <c r="D326" s="7">
        <v>6173</v>
      </c>
      <c r="E326" s="7">
        <v>89.253624698077871</v>
      </c>
      <c r="F326" s="7">
        <v>1008</v>
      </c>
      <c r="G326" s="7">
        <v>1008</v>
      </c>
      <c r="H326" s="7">
        <v>26.136136449358808</v>
      </c>
      <c r="I326" s="2">
        <f t="shared" si="10"/>
        <v>7181</v>
      </c>
      <c r="J326" s="2">
        <f t="shared" si="11"/>
        <v>0.2928299723150814</v>
      </c>
      <c r="K326" s="8" t="s">
        <v>25</v>
      </c>
      <c r="L326" t="s">
        <v>23</v>
      </c>
      <c r="M326" t="str">
        <f>HYPERLINK(".\links\DIPTERA\ab-tri_asb-16568-DIPTERA.txt","DIPTERA")</f>
        <v>DIPTERA</v>
      </c>
      <c r="N326" s="1">
        <v>9.0000000000000004E-93</v>
      </c>
      <c r="O326">
        <v>80.2</v>
      </c>
      <c r="P326" s="9" t="str">
        <f>HYPERLINK(".\links\NR-LIGHT\ab-tri_asb-16568-NR-LIGHT.txt","hypothetical conserved protein")</f>
        <v>hypothetical conserved protein</v>
      </c>
      <c r="Q326" t="str">
        <f>HYPERLINK("http://www.ncbi.nlm.nih.gov/sutils/blink.cgi?pid=289739769","3E-092")</f>
        <v>3E-092</v>
      </c>
    </row>
    <row r="327" spans="1:17">
      <c r="A327" s="7" t="s">
        <v>480</v>
      </c>
      <c r="B327" s="7">
        <v>0</v>
      </c>
      <c r="C327" s="7">
        <v>3360</v>
      </c>
      <c r="D327" s="7">
        <v>3721</v>
      </c>
      <c r="E327" s="7">
        <v>637.04335916878347</v>
      </c>
      <c r="F327" s="7">
        <v>588</v>
      </c>
      <c r="G327" s="7">
        <v>598</v>
      </c>
      <c r="H327" s="7">
        <v>183.59539253043232</v>
      </c>
      <c r="I327" s="2">
        <f t="shared" si="10"/>
        <v>4319</v>
      </c>
      <c r="J327" s="2">
        <f t="shared" si="11"/>
        <v>0.28819920950119982</v>
      </c>
      <c r="K327" s="8" t="s">
        <v>209</v>
      </c>
      <c r="L327" t="s">
        <v>43</v>
      </c>
      <c r="M327" t="str">
        <f>HYPERLINK(".\links\DIPTERA\ab-tri_asb-55565-DIPTERA.txt","DIPTERA")</f>
        <v>DIPTERA</v>
      </c>
      <c r="N327" s="1">
        <v>1.9999999999999998E-24</v>
      </c>
      <c r="O327">
        <v>20</v>
      </c>
      <c r="P327" s="9" t="str">
        <f>HYPERLINK(".\links\NR-LIGHT\ab-tri_asb-55565-NR-LIGHT.txt","trypsin-like serine protease precursor")</f>
        <v>trypsin-like serine protease precursor</v>
      </c>
      <c r="Q327" t="str">
        <f>HYPERLINK("http://www.ncbi.nlm.nih.gov/sutils/blink.cgi?pid=289724850","7E-024")</f>
        <v>7E-024</v>
      </c>
    </row>
    <row r="328" spans="1:17">
      <c r="A328" s="7" t="s">
        <v>518</v>
      </c>
      <c r="B328" s="7">
        <v>6.7326186875549254E-6</v>
      </c>
      <c r="C328" s="7">
        <v>414</v>
      </c>
      <c r="D328" s="7">
        <v>1663</v>
      </c>
      <c r="E328" s="7">
        <v>122.80041676786699</v>
      </c>
      <c r="F328" s="7">
        <v>94</v>
      </c>
      <c r="G328" s="7">
        <v>266</v>
      </c>
      <c r="H328" s="7">
        <v>35.224148181005894</v>
      </c>
      <c r="I328" s="2">
        <f t="shared" si="10"/>
        <v>1929</v>
      </c>
      <c r="J328" s="2">
        <f t="shared" si="11"/>
        <v>0.2868406240639319</v>
      </c>
      <c r="K328" s="8" t="s">
        <v>519</v>
      </c>
      <c r="L328" t="s">
        <v>11</v>
      </c>
      <c r="M328" t="str">
        <f>HYPERLINK(".\links\KOG\ab-tri_asb-55935-KOG.txt","KOG")</f>
        <v>KOG</v>
      </c>
      <c r="N328" s="1">
        <v>1E-53</v>
      </c>
      <c r="O328">
        <v>40.9</v>
      </c>
      <c r="P328" s="9" t="str">
        <f>HYPERLINK(".\links\NR-LIGHT\ab-tri_asb-55935-NR-LIGHT.txt","mitochondrial ADP/ATP carrier protein")</f>
        <v>mitochondrial ADP/ATP carrier protein</v>
      </c>
      <c r="Q328" t="str">
        <f>HYPERLINK("http://www.ncbi.nlm.nih.gov/sutils/blink.cgi?pid=289741161","2E-065")</f>
        <v>2E-065</v>
      </c>
    </row>
    <row r="329" spans="1:17">
      <c r="A329" s="7" t="s">
        <v>242</v>
      </c>
      <c r="B329" s="7">
        <v>2.8489078967519621E-4</v>
      </c>
      <c r="C329" s="7">
        <v>10836</v>
      </c>
      <c r="D329" s="7">
        <v>10836</v>
      </c>
      <c r="E329" s="7">
        <v>100.43381820539632</v>
      </c>
      <c r="F329" s="7">
        <v>1725</v>
      </c>
      <c r="G329" s="7">
        <v>1725</v>
      </c>
      <c r="H329" s="7">
        <v>28.6715616319077</v>
      </c>
      <c r="I329" s="2">
        <f t="shared" si="10"/>
        <v>12561</v>
      </c>
      <c r="J329" s="2">
        <f t="shared" si="11"/>
        <v>0.28547716440762755</v>
      </c>
      <c r="K329" s="8" t="s">
        <v>104</v>
      </c>
      <c r="L329" t="s">
        <v>33</v>
      </c>
      <c r="M329" t="str">
        <f>HYPERLINK(".\links\KOG\ab-tri_asb-22454-KOG.txt","KOG")</f>
        <v>KOG</v>
      </c>
      <c r="N329">
        <v>0</v>
      </c>
      <c r="O329">
        <v>96</v>
      </c>
      <c r="P329" s="9" t="str">
        <f>HYPERLINK(".\links\NR-LIGHT\ab-tri_asb-22454-NR-LIGHT.txt","Angiotensin-converting enzyme-related")</f>
        <v>Angiotensin-converting enzyme-related</v>
      </c>
      <c r="Q329" t="str">
        <f>HYPERLINK("http://www.ncbi.nlm.nih.gov/sutils/blink.cgi?pid=17137262","0.0")</f>
        <v>0.0</v>
      </c>
    </row>
    <row r="330" spans="1:17">
      <c r="A330" s="7" t="s">
        <v>96</v>
      </c>
      <c r="B330" s="7">
        <v>2.0637306348991746E-4</v>
      </c>
      <c r="C330" s="7">
        <v>6713</v>
      </c>
      <c r="D330" s="7">
        <v>6723</v>
      </c>
      <c r="E330" s="7">
        <v>100.67175356904563</v>
      </c>
      <c r="F330" s="7">
        <v>1058</v>
      </c>
      <c r="G330" s="7">
        <v>1059</v>
      </c>
      <c r="H330" s="7">
        <v>28.437522240604494</v>
      </c>
      <c r="I330" s="2">
        <f t="shared" si="10"/>
        <v>7782</v>
      </c>
      <c r="J330" s="2">
        <f t="shared" si="11"/>
        <v>0.2824776685855645</v>
      </c>
      <c r="K330" s="8" t="s">
        <v>97</v>
      </c>
      <c r="L330" t="s">
        <v>48</v>
      </c>
      <c r="M330" t="str">
        <f>HYPERLINK(".\links\PFAM\ab-tri_asb-11778-PFAM.txt","PFAM")</f>
        <v>PFAM</v>
      </c>
      <c r="N330" s="1">
        <v>1.9999999999999999E-72</v>
      </c>
      <c r="O330">
        <v>101</v>
      </c>
      <c r="P330" s="9" t="str">
        <f>HYPERLINK(".\links\NR-LIGHT\ab-tri_asb-11778-NR-LIGHT.txt","yellow precursor")</f>
        <v>yellow precursor</v>
      </c>
      <c r="Q330" t="str">
        <f>HYPERLINK("http://www.ncbi.nlm.nih.gov/sutils/blink.cgi?pid=289740675","0.0")</f>
        <v>0.0</v>
      </c>
    </row>
    <row r="331" spans="1:17">
      <c r="A331" s="7" t="s">
        <v>594</v>
      </c>
      <c r="B331" s="7">
        <v>1.3346879157438707E-10</v>
      </c>
      <c r="C331" s="7">
        <v>15235</v>
      </c>
      <c r="D331" s="7">
        <v>15235</v>
      </c>
      <c r="E331" s="7">
        <v>306.73982681128916</v>
      </c>
      <c r="F331" s="7">
        <v>2348</v>
      </c>
      <c r="G331" s="7">
        <v>2348</v>
      </c>
      <c r="H331" s="7">
        <v>84.776810492964628</v>
      </c>
      <c r="I331" s="2">
        <f t="shared" si="10"/>
        <v>17583</v>
      </c>
      <c r="J331" s="2">
        <f t="shared" si="11"/>
        <v>0.2763801863431336</v>
      </c>
      <c r="K331" s="8" t="s">
        <v>112</v>
      </c>
      <c r="L331" t="s">
        <v>43</v>
      </c>
      <c r="M331" t="str">
        <f>HYPERLINK(".\links\GO\ab-tri_asb-6450-GO.txt","GO")</f>
        <v>GO</v>
      </c>
      <c r="N331" s="1">
        <v>6.0000000000000005E-76</v>
      </c>
      <c r="O331">
        <v>96</v>
      </c>
      <c r="P331" s="9" t="str">
        <f>HYPERLINK(".\links\NR-LIGHT\ab-tri_asb-6450-NR-LIGHT.txt","IP08381p")</f>
        <v>IP08381p</v>
      </c>
      <c r="Q331" t="str">
        <f>HYPERLINK("http://www.ncbi.nlm.nih.gov/sutils/blink.cgi?pid=66772069","3E-075")</f>
        <v>3E-075</v>
      </c>
    </row>
    <row r="332" spans="1:17">
      <c r="A332" s="7" t="s">
        <v>606</v>
      </c>
      <c r="B332" s="7">
        <v>4.9644636578399792E-3</v>
      </c>
      <c r="C332" s="7">
        <v>539</v>
      </c>
      <c r="D332" s="7">
        <v>549</v>
      </c>
      <c r="E332" s="7">
        <v>79.764489721354977</v>
      </c>
      <c r="F332" s="7">
        <v>84</v>
      </c>
      <c r="G332" s="7">
        <v>84</v>
      </c>
      <c r="H332" s="7">
        <v>21.886071017728838</v>
      </c>
      <c r="I332" s="2">
        <f t="shared" si="10"/>
        <v>633</v>
      </c>
      <c r="J332" s="2">
        <f t="shared" si="11"/>
        <v>0.27438363981496622</v>
      </c>
      <c r="K332" s="8" t="s">
        <v>8</v>
      </c>
      <c r="L332" t="s">
        <v>9</v>
      </c>
      <c r="P332" s="9" t="str">
        <f>HYPERLINK(".\links\NR-LIGHT\ab-tri_asb-7672-NR-LIGHT.txt","conserved hypothetical protein")</f>
        <v>conserved hypothetical protein</v>
      </c>
      <c r="Q332" t="str">
        <f>HYPERLINK("http://www.ncbi.nlm.nih.gov/sutils/blink.cgi?pid=241116781","15")</f>
        <v>15</v>
      </c>
    </row>
    <row r="333" spans="1:17">
      <c r="A333" s="7" t="s">
        <v>478</v>
      </c>
      <c r="B333" s="7">
        <v>1.3966555689748361E-9</v>
      </c>
      <c r="C333" s="7">
        <v>16041</v>
      </c>
      <c r="D333" s="7">
        <v>16081</v>
      </c>
      <c r="E333" s="7">
        <v>1688.4261188929108</v>
      </c>
      <c r="F333" s="7">
        <v>2432</v>
      </c>
      <c r="G333" s="7">
        <v>2440</v>
      </c>
      <c r="H333" s="7">
        <v>459.42022216344856</v>
      </c>
      <c r="I333" s="2">
        <f t="shared" si="10"/>
        <v>18521</v>
      </c>
      <c r="J333" s="2">
        <f t="shared" si="11"/>
        <v>0.27209968918550442</v>
      </c>
      <c r="K333" s="8" t="s">
        <v>8</v>
      </c>
      <c r="L333" t="s">
        <v>9</v>
      </c>
      <c r="P333" s="9" t="str">
        <f>HYPERLINK(".\links\NR-LIGHT\ab-tri_asb-55422-NR-LIGHT.txt","CG14245")</f>
        <v>CG14245</v>
      </c>
      <c r="Q333" t="str">
        <f>HYPERLINK("http://www.ncbi.nlm.nih.gov/sutils/blink.cgi?pid=24650387","0.001")</f>
        <v>0.001</v>
      </c>
    </row>
    <row r="334" spans="1:17">
      <c r="A334" s="7" t="s">
        <v>539</v>
      </c>
      <c r="B334" s="7">
        <v>1.1440182134947463E-10</v>
      </c>
      <c r="C334" s="7">
        <v>25735</v>
      </c>
      <c r="D334" s="7">
        <v>25802</v>
      </c>
      <c r="E334" s="7">
        <v>1009.4983397131326</v>
      </c>
      <c r="F334" s="7">
        <v>3888</v>
      </c>
      <c r="G334" s="7">
        <v>3893</v>
      </c>
      <c r="H334" s="7">
        <v>273.14164028078255</v>
      </c>
      <c r="I334" s="2">
        <f t="shared" si="10"/>
        <v>29695</v>
      </c>
      <c r="J334" s="2">
        <f t="shared" si="11"/>
        <v>0.2705716587492365</v>
      </c>
      <c r="K334" s="8" t="s">
        <v>8</v>
      </c>
      <c r="L334" t="s">
        <v>9</v>
      </c>
      <c r="P334" s="9" t="str">
        <f>HYPERLINK(".\links\NR-LIGHT\ab-tri_asb-56135-NR-LIGHT.txt","zinc finger homeobox protein 4")</f>
        <v>zinc finger homeobox protein 4</v>
      </c>
      <c r="Q334" t="str">
        <f>HYPERLINK("http://www.ncbi.nlm.nih.gov/sutils/blink.cgi?pid=330340393","0.77")</f>
        <v>0.77</v>
      </c>
    </row>
    <row r="335" spans="1:17">
      <c r="A335" s="7" t="s">
        <v>630</v>
      </c>
      <c r="B335" s="7">
        <v>3.9397127227225326E-8</v>
      </c>
      <c r="C335" s="7">
        <v>5460</v>
      </c>
      <c r="D335" s="7">
        <v>5630</v>
      </c>
      <c r="E335" s="7">
        <v>142.76163224606881</v>
      </c>
      <c r="F335" s="7">
        <v>835</v>
      </c>
      <c r="G335" s="7">
        <v>849</v>
      </c>
      <c r="H335" s="7">
        <v>38.606645826590075</v>
      </c>
      <c r="I335" s="2">
        <f t="shared" si="10"/>
        <v>6479</v>
      </c>
      <c r="J335" s="2">
        <f t="shared" si="11"/>
        <v>0.27042732153724852</v>
      </c>
      <c r="K335" s="8" t="s">
        <v>25</v>
      </c>
      <c r="L335" t="s">
        <v>23</v>
      </c>
      <c r="M335" t="str">
        <f>HYPERLINK(".\links\NR-LIGHT\ab-tri_asb-942-NR-LIGHT.txt","NR-LIGHT")</f>
        <v>NR-LIGHT</v>
      </c>
      <c r="N335">
        <v>0</v>
      </c>
      <c r="O335">
        <v>58.4</v>
      </c>
      <c r="P335" s="9" t="str">
        <f>HYPERLINK(".\links\NR-LIGHT\ab-tri_asb-942-NR-LIGHT.txt","hypothetical conserved protein")</f>
        <v>hypothetical conserved protein</v>
      </c>
      <c r="Q335" t="str">
        <f>HYPERLINK("http://www.ncbi.nlm.nih.gov/sutils/blink.cgi?pid=289739719","0.0")</f>
        <v>0.0</v>
      </c>
    </row>
    <row r="336" spans="1:17">
      <c r="A336" s="7" t="s">
        <v>149</v>
      </c>
      <c r="B336" s="7">
        <v>2.0738154290621535E-2</v>
      </c>
      <c r="C336" s="7">
        <v>301</v>
      </c>
      <c r="D336" s="7">
        <v>4421</v>
      </c>
      <c r="E336" s="7">
        <v>70.272577392743997</v>
      </c>
      <c r="F336" s="7">
        <v>49</v>
      </c>
      <c r="G336" s="7">
        <v>660</v>
      </c>
      <c r="H336" s="7">
        <v>18.813109115940772</v>
      </c>
      <c r="I336" s="2">
        <f t="shared" si="10"/>
        <v>5081</v>
      </c>
      <c r="J336" s="2">
        <f t="shared" si="11"/>
        <v>0.26771622464900968</v>
      </c>
      <c r="K336" s="8" t="s">
        <v>150</v>
      </c>
      <c r="L336" t="s">
        <v>10</v>
      </c>
      <c r="M336" t="str">
        <f>HYPERLINK(".\links\GO\ab-tri_asb-1474-GO.txt","GO")</f>
        <v>GO</v>
      </c>
      <c r="N336">
        <v>3E-10</v>
      </c>
      <c r="O336">
        <v>28.5</v>
      </c>
      <c r="P336" s="9" t="str">
        <f>HYPERLINK(".\links\NR-LIGHT\ab-tri_asb-1474-NR-LIGHT.txt","lipid storage droplet-1")</f>
        <v>lipid storage droplet-1</v>
      </c>
      <c r="Q336" t="str">
        <f>HYPERLINK("http://www.ncbi.nlm.nih.gov/sutils/blink.cgi?pid=289739523","0.0")</f>
        <v>0.0</v>
      </c>
    </row>
    <row r="337" spans="1:17">
      <c r="A337" s="7" t="s">
        <v>625</v>
      </c>
      <c r="B337" s="7">
        <v>0</v>
      </c>
      <c r="C337" s="7">
        <v>19368</v>
      </c>
      <c r="D337" s="7">
        <v>19372</v>
      </c>
      <c r="E337" s="7">
        <v>174.67126259460275</v>
      </c>
      <c r="F337" s="7">
        <v>2870</v>
      </c>
      <c r="G337" s="7">
        <v>2871</v>
      </c>
      <c r="H337" s="7">
        <v>46.42281405249679</v>
      </c>
      <c r="I337" s="2">
        <f t="shared" si="10"/>
        <v>22243</v>
      </c>
      <c r="J337" s="2">
        <f t="shared" si="11"/>
        <v>0.26577247661076464</v>
      </c>
      <c r="K337" s="8" t="s">
        <v>78</v>
      </c>
      <c r="L337" t="s">
        <v>11</v>
      </c>
      <c r="M337" t="str">
        <f>HYPERLINK(".\links\KOG\ab-tri_asb-874-KOG.txt","KOG")</f>
        <v>KOG</v>
      </c>
      <c r="N337">
        <v>0</v>
      </c>
      <c r="O337">
        <v>96</v>
      </c>
      <c r="P337" s="9" t="str">
        <f>HYPERLINK(".\links\NR-LIGHT\ab-tri_asb-874-NR-LIGHT.txt","CG8665")</f>
        <v>CG8665</v>
      </c>
      <c r="Q337" t="str">
        <f>HYPERLINK("http://www.ncbi.nlm.nih.gov/sutils/blink.cgi?pid=24585660","0.0")</f>
        <v>0.0</v>
      </c>
    </row>
    <row r="338" spans="1:17">
      <c r="A338" s="7" t="s">
        <v>333</v>
      </c>
      <c r="B338" s="7">
        <v>0</v>
      </c>
      <c r="C338" s="7">
        <v>15109</v>
      </c>
      <c r="D338" s="7">
        <v>15120</v>
      </c>
      <c r="E338" s="7">
        <v>205.87974326404844</v>
      </c>
      <c r="F338" s="7">
        <v>2201</v>
      </c>
      <c r="G338" s="7">
        <v>2205</v>
      </c>
      <c r="H338" s="7">
        <v>53.842063009040359</v>
      </c>
      <c r="I338" s="2">
        <f t="shared" si="10"/>
        <v>17325</v>
      </c>
      <c r="J338" s="2">
        <f t="shared" si="11"/>
        <v>0.26152190669863962</v>
      </c>
      <c r="K338" s="8" t="s">
        <v>103</v>
      </c>
      <c r="L338" t="s">
        <v>33</v>
      </c>
      <c r="M338" t="str">
        <f>HYPERLINK(".\links\KOG\ab-tri_asb-35312-KOG.txt","KOG")</f>
        <v>KOG</v>
      </c>
      <c r="N338">
        <v>0</v>
      </c>
      <c r="O338">
        <v>98.6</v>
      </c>
      <c r="P338" s="9" t="str">
        <f>HYPERLINK(".\links\NR-LIGHT\ab-tri_asb-35312-NR-LIGHT.txt","CG1461")</f>
        <v>CG1461</v>
      </c>
      <c r="Q338" t="str">
        <f>HYPERLINK("http://www.ncbi.nlm.nih.gov/sutils/blink.cgi?pid=18859735","0.0")</f>
        <v>0.0</v>
      </c>
    </row>
    <row r="339" spans="1:17">
      <c r="A339" s="7" t="s">
        <v>474</v>
      </c>
      <c r="B339" s="7">
        <v>4.2900683006052986E-11</v>
      </c>
      <c r="C339" s="7">
        <v>17082</v>
      </c>
      <c r="D339" s="7">
        <v>17103</v>
      </c>
      <c r="E339" s="7">
        <v>417.15713527202047</v>
      </c>
      <c r="F339" s="7">
        <v>2453</v>
      </c>
      <c r="G339" s="7">
        <v>2455</v>
      </c>
      <c r="H339" s="7">
        <v>107.38166865954753</v>
      </c>
      <c r="I339" s="2">
        <f t="shared" si="10"/>
        <v>19558</v>
      </c>
      <c r="J339" s="2">
        <f t="shared" si="11"/>
        <v>0.25741299759747827</v>
      </c>
      <c r="K339" s="8" t="s">
        <v>29</v>
      </c>
      <c r="L339" t="s">
        <v>30</v>
      </c>
      <c r="M339" t="str">
        <f>HYPERLINK(".\links\SWISSP\ab-tri_asb-55330-SWISSP.txt","SWISSP")</f>
        <v>SWISSP</v>
      </c>
      <c r="N339">
        <v>8.0000000000000002E-8</v>
      </c>
      <c r="O339">
        <v>10.4</v>
      </c>
      <c r="P339" s="9" t="str">
        <f>HYPERLINK(".\links\NR-LIGHT\ab-tri_asb-55330-NR-LIGHT.txt","hypothetical protein AND_12733")</f>
        <v>hypothetical protein AND_12733</v>
      </c>
      <c r="Q339" t="str">
        <f>HYPERLINK("http://www.ncbi.nlm.nih.gov/sutils/blink.cgi?pid=312376432","4E-012")</f>
        <v>4E-012</v>
      </c>
    </row>
    <row r="340" spans="1:17">
      <c r="A340" s="7" t="s">
        <v>396</v>
      </c>
      <c r="B340" s="7">
        <v>4.0993985983561743E-9</v>
      </c>
      <c r="C340" s="7">
        <v>1297</v>
      </c>
      <c r="D340" s="7">
        <v>1302</v>
      </c>
      <c r="E340" s="7">
        <v>146.42730136332148</v>
      </c>
      <c r="F340" s="7">
        <v>185</v>
      </c>
      <c r="G340" s="7">
        <v>186</v>
      </c>
      <c r="H340" s="7">
        <v>37.512437921899249</v>
      </c>
      <c r="I340" s="2">
        <f t="shared" si="10"/>
        <v>1488</v>
      </c>
      <c r="J340" s="2">
        <f t="shared" si="11"/>
        <v>0.25618472492927968</v>
      </c>
      <c r="K340" s="8" t="s">
        <v>8</v>
      </c>
      <c r="L340" t="s">
        <v>9</v>
      </c>
      <c r="P340" s="9" t="str">
        <f>HYPERLINK(".\links\NR-LIGHT\ab-tri_asb-51304-NR-LIGHT.txt","hypothetical protein")</f>
        <v>hypothetical protein</v>
      </c>
      <c r="Q340" t="str">
        <f>HYPERLINK("http://www.ncbi.nlm.nih.gov/sutils/blink.cgi?pid=83317580","27")</f>
        <v>27</v>
      </c>
    </row>
    <row r="341" spans="1:17">
      <c r="A341" s="7" t="s">
        <v>363</v>
      </c>
      <c r="B341" s="7">
        <v>1.477690192430714E-10</v>
      </c>
      <c r="C341" s="7">
        <v>7596</v>
      </c>
      <c r="D341" s="7">
        <v>7596</v>
      </c>
      <c r="E341" s="7">
        <v>302.47546873326939</v>
      </c>
      <c r="F341" s="7">
        <v>1085</v>
      </c>
      <c r="G341" s="7">
        <v>1085</v>
      </c>
      <c r="H341" s="7">
        <v>77.47939338683635</v>
      </c>
      <c r="I341" s="2">
        <f t="shared" si="10"/>
        <v>8681</v>
      </c>
      <c r="J341" s="2">
        <f t="shared" si="11"/>
        <v>0.25615099866217467</v>
      </c>
      <c r="K341" s="8" t="s">
        <v>364</v>
      </c>
      <c r="L341" t="s">
        <v>30</v>
      </c>
      <c r="M341" t="str">
        <f>HYPERLINK(".\links\GO\ab-tri_asb-40546-GO.txt","GO")</f>
        <v>GO</v>
      </c>
      <c r="N341">
        <v>1.9999999999999999E-7</v>
      </c>
      <c r="O341">
        <v>9</v>
      </c>
      <c r="P341" s="9" t="str">
        <f>HYPERLINK(".\links\NR-LIGHT\ab-tri_asb-40546-NR-LIGHT.txt","CG14245")</f>
        <v>CG14245</v>
      </c>
      <c r="Q341" t="str">
        <f>HYPERLINK("http://www.ncbi.nlm.nih.gov/sutils/blink.cgi?pid=24650387","5E-014")</f>
        <v>5E-014</v>
      </c>
    </row>
    <row r="342" spans="1:17">
      <c r="A342" s="7" t="s">
        <v>278</v>
      </c>
      <c r="B342" s="7">
        <v>8.6445734270856889E-6</v>
      </c>
      <c r="C342" s="7">
        <v>3703</v>
      </c>
      <c r="D342" s="7">
        <v>3703</v>
      </c>
      <c r="E342" s="7">
        <v>106.79398067900051</v>
      </c>
      <c r="F342" s="7">
        <v>528</v>
      </c>
      <c r="G342" s="7">
        <v>528</v>
      </c>
      <c r="H342" s="7">
        <v>27.307268253266823</v>
      </c>
      <c r="I342" s="2">
        <f t="shared" si="10"/>
        <v>4231</v>
      </c>
      <c r="J342" s="2">
        <f t="shared" si="11"/>
        <v>0.25570044378574608</v>
      </c>
      <c r="K342" s="8" t="s">
        <v>279</v>
      </c>
      <c r="L342" t="s">
        <v>23</v>
      </c>
      <c r="M342" t="str">
        <f>HYPERLINK(".\links\DIPTERA\ab-tri_asb-25601-DIPTERA.txt","DIPTERA")</f>
        <v>DIPTERA</v>
      </c>
      <c r="N342" s="1">
        <v>4.0000000000000003E-30</v>
      </c>
      <c r="O342">
        <v>97.4</v>
      </c>
      <c r="P342" s="9" t="str">
        <f>HYPERLINK(".\links\NR-LIGHT\ab-tri_asb-25601-NR-LIGHT.txt","CG17244")</f>
        <v>CG17244</v>
      </c>
      <c r="Q342" t="str">
        <f>HYPERLINK("http://www.ncbi.nlm.nih.gov/sutils/blink.cgi?pid=21355667","4E-023")</f>
        <v>4E-023</v>
      </c>
    </row>
    <row r="343" spans="1:17">
      <c r="A343" s="7" t="s">
        <v>489</v>
      </c>
      <c r="B343" s="7">
        <v>8.2650613056789446E-4</v>
      </c>
      <c r="C343" s="7">
        <v>4779</v>
      </c>
      <c r="D343" s="7">
        <v>4779</v>
      </c>
      <c r="E343" s="7">
        <v>81.609605346900523</v>
      </c>
      <c r="F343" s="7">
        <v>670</v>
      </c>
      <c r="G343" s="7">
        <v>670</v>
      </c>
      <c r="H343" s="7">
        <v>20.51777774737921</v>
      </c>
      <c r="I343" s="2">
        <f t="shared" si="10"/>
        <v>5449</v>
      </c>
      <c r="J343" s="2">
        <f t="shared" si="11"/>
        <v>0.25141376018378775</v>
      </c>
      <c r="K343" s="8" t="s">
        <v>490</v>
      </c>
      <c r="L343" t="s">
        <v>85</v>
      </c>
      <c r="M343" t="str">
        <f>HYPERLINK(".\links\NR-LIGHT\ab-tri_asb-55705-NR-LIGHT.txt","NR-LIGHT")</f>
        <v>NR-LIGHT</v>
      </c>
      <c r="N343" s="1">
        <v>2.9999999999999999E-21</v>
      </c>
      <c r="O343">
        <v>24.5</v>
      </c>
      <c r="P343" s="9" t="str">
        <f>HYPERLINK(".\links\NR-LIGHT\ab-tri_asb-55705-NR-LIGHT.txt","129K protein")</f>
        <v>129K protein</v>
      </c>
      <c r="Q343" t="str">
        <f>HYPERLINK("http://www.ncbi.nlm.nih.gov/sutils/blink.cgi?pid=256860834","3E-021")</f>
        <v>3E-021</v>
      </c>
    </row>
    <row r="344" spans="1:17">
      <c r="A344" s="7" t="s">
        <v>571</v>
      </c>
      <c r="B344" s="7">
        <v>3.8055670537051611E-6</v>
      </c>
      <c r="C344" s="7">
        <v>30963</v>
      </c>
      <c r="D344" s="7">
        <v>30973</v>
      </c>
      <c r="E344" s="7">
        <v>104.87721667279628</v>
      </c>
      <c r="F344" s="7">
        <v>4171</v>
      </c>
      <c r="G344" s="7">
        <v>4172</v>
      </c>
      <c r="H344" s="7">
        <v>25.333398320470959</v>
      </c>
      <c r="I344" s="2">
        <f t="shared" si="10"/>
        <v>35145</v>
      </c>
      <c r="J344" s="2">
        <f t="shared" si="11"/>
        <v>0.2415529237346942</v>
      </c>
      <c r="K344" s="8" t="s">
        <v>49</v>
      </c>
      <c r="L344" t="s">
        <v>16</v>
      </c>
      <c r="M344" t="str">
        <f>HYPERLINK(".\links\KOG\ab-tri_asb-57078-KOG.txt","KOG")</f>
        <v>KOG</v>
      </c>
      <c r="N344" s="1">
        <v>1.9999999999999999E-75</v>
      </c>
      <c r="O344">
        <v>27</v>
      </c>
      <c r="P344" s="9" t="str">
        <f>HYPERLINK(".\links\NR-LIGHT\ab-tri_asb-57078-NR-LIGHT.txt","CG3999")</f>
        <v>CG3999</v>
      </c>
      <c r="Q344" t="str">
        <f>HYPERLINK("http://www.ncbi.nlm.nih.gov/sutils/blink.cgi?pid=24645648","0.0")</f>
        <v>0.0</v>
      </c>
    </row>
    <row r="345" spans="1:17">
      <c r="A345" s="7" t="s">
        <v>556</v>
      </c>
      <c r="B345" s="7">
        <v>1.3346879157438707E-10</v>
      </c>
      <c r="C345" s="7">
        <v>1450</v>
      </c>
      <c r="D345" s="7">
        <v>1544</v>
      </c>
      <c r="E345" s="7">
        <v>224.32854668446646</v>
      </c>
      <c r="F345" s="7">
        <v>194</v>
      </c>
      <c r="G345" s="7">
        <v>205</v>
      </c>
      <c r="H345" s="7">
        <v>53.412435221838237</v>
      </c>
      <c r="I345" s="2">
        <f t="shared" si="10"/>
        <v>1749</v>
      </c>
      <c r="J345" s="2">
        <f t="shared" si="11"/>
        <v>0.23809914525486808</v>
      </c>
      <c r="K345" s="8" t="s">
        <v>8</v>
      </c>
      <c r="L345" t="s">
        <v>9</v>
      </c>
      <c r="P345" s="9" t="str">
        <f>HYPERLINK(".\links\NR-LIGHT\ab-tri_asb-56541-NR-LIGHT.txt","Tsetse thrombin inhibitor; Flags: Precursor gi|3929543|gb|AAC79986.1| tsetse")</f>
        <v>Tsetse thrombin inhibitor; Flags: Precursor gi|3929543|gb|AAC79986.1| tsetse</v>
      </c>
      <c r="Q345" t="str">
        <f>HYPERLINK("http://www.ncbi.nlm.nih.gov/sutils/blink.cgi?pid=74834603","9E-008")</f>
        <v>9E-008</v>
      </c>
    </row>
    <row r="346" spans="1:17">
      <c r="A346" s="7" t="s">
        <v>587</v>
      </c>
      <c r="B346" s="7">
        <v>0</v>
      </c>
      <c r="C346" s="7">
        <v>1109</v>
      </c>
      <c r="D346" s="7">
        <v>7126</v>
      </c>
      <c r="E346" s="7">
        <v>165.83370700693033</v>
      </c>
      <c r="F346" s="7">
        <v>142</v>
      </c>
      <c r="G346" s="7">
        <v>906</v>
      </c>
      <c r="H346" s="7">
        <v>37.809981068661415</v>
      </c>
      <c r="I346" s="2">
        <f t="shared" si="10"/>
        <v>8032</v>
      </c>
      <c r="J346" s="2">
        <f t="shared" si="11"/>
        <v>0.22799937208833729</v>
      </c>
      <c r="K346" s="8" t="s">
        <v>141</v>
      </c>
      <c r="L346" t="s">
        <v>21</v>
      </c>
      <c r="M346" t="str">
        <f>HYPERLINK(".\links\KOG\ab-tri_asb-5976-KOG.txt","KOG")</f>
        <v>KOG</v>
      </c>
      <c r="N346" s="1">
        <v>1E-22</v>
      </c>
      <c r="O346">
        <v>61</v>
      </c>
      <c r="P346" s="9" t="str">
        <f>HYPERLINK(".\links\NR-LIGHT\ab-tri_asb-5976-NR-LIGHT.txt","nimrod B2")</f>
        <v>nimrod B2</v>
      </c>
      <c r="Q346" t="str">
        <f>HYPERLINK("http://www.ncbi.nlm.nih.gov/sutils/blink.cgi?pid=24584251","1E-133")</f>
        <v>1E-133</v>
      </c>
    </row>
    <row r="347" spans="1:17">
      <c r="A347" s="7" t="s">
        <v>628</v>
      </c>
      <c r="B347" s="7">
        <v>6.6734395787193534E-11</v>
      </c>
      <c r="C347" s="7">
        <v>18679</v>
      </c>
      <c r="D347" s="7">
        <v>18685</v>
      </c>
      <c r="E347" s="7">
        <v>219.69787247955065</v>
      </c>
      <c r="F347" s="7">
        <v>2309</v>
      </c>
      <c r="G347" s="7">
        <v>2309</v>
      </c>
      <c r="H347" s="7">
        <v>48.686432562013806</v>
      </c>
      <c r="I347" s="2">
        <f t="shared" si="10"/>
        <v>20994</v>
      </c>
      <c r="J347" s="2">
        <f t="shared" si="11"/>
        <v>0.22160629965383716</v>
      </c>
      <c r="K347" s="8" t="s">
        <v>8</v>
      </c>
      <c r="L347" t="s">
        <v>9</v>
      </c>
      <c r="P347" s="9" t="str">
        <f>HYPERLINK(".\links\NR-LIGHT\ab-tri_asb-9116-NR-LIGHT.txt","CG42305, isoform A")</f>
        <v>CG42305, isoform A</v>
      </c>
      <c r="Q347" t="str">
        <f>HYPERLINK("http://www.ncbi.nlm.nih.gov/sutils/blink.cgi?pid=221476091","2E-008")</f>
        <v>2E-008</v>
      </c>
    </row>
    <row r="348" spans="1:17">
      <c r="A348" s="7" t="s">
        <v>250</v>
      </c>
      <c r="B348" s="7">
        <v>0</v>
      </c>
      <c r="C348" s="7">
        <v>13116</v>
      </c>
      <c r="D348" s="7">
        <v>13141</v>
      </c>
      <c r="E348" s="7">
        <v>406.45981393985568</v>
      </c>
      <c r="F348" s="7">
        <v>1598</v>
      </c>
      <c r="G348" s="7">
        <v>1599</v>
      </c>
      <c r="H348" s="7">
        <v>88.692916024295258</v>
      </c>
      <c r="I348" s="2">
        <f t="shared" si="10"/>
        <v>14740</v>
      </c>
      <c r="J348" s="2">
        <f t="shared" si="11"/>
        <v>0.21820832707810875</v>
      </c>
      <c r="K348" s="8" t="s">
        <v>8</v>
      </c>
      <c r="L348" t="s">
        <v>9</v>
      </c>
      <c r="P348" s="9" t="str">
        <f>HYPERLINK(".\links\NR-LIGHT\ab-tri_asb-22964-NR-LIGHT.txt","hypothetical protein, partial")</f>
        <v>hypothetical protein, partial</v>
      </c>
      <c r="Q348" t="str">
        <f>HYPERLINK("http://www.ncbi.nlm.nih.gov/sutils/blink.cgi?pid=115679674","3E-008")</f>
        <v>3E-008</v>
      </c>
    </row>
    <row r="349" spans="1:17">
      <c r="A349" s="7" t="s">
        <v>447</v>
      </c>
      <c r="B349" s="7">
        <v>1.4109557966435204E-9</v>
      </c>
      <c r="C349" s="7">
        <v>48407</v>
      </c>
      <c r="D349" s="7">
        <v>48434</v>
      </c>
      <c r="E349" s="7">
        <v>1752.1468364243806</v>
      </c>
      <c r="F349" s="7">
        <v>5591</v>
      </c>
      <c r="G349" s="7">
        <v>5592</v>
      </c>
      <c r="H349" s="7">
        <v>362.77603969205984</v>
      </c>
      <c r="I349" s="2">
        <f t="shared" si="10"/>
        <v>54026</v>
      </c>
      <c r="J349" s="2">
        <f t="shared" si="11"/>
        <v>0.20704659686649304</v>
      </c>
      <c r="K349" s="8" t="s">
        <v>8</v>
      </c>
      <c r="L349" t="s">
        <v>9</v>
      </c>
      <c r="P349" s="9" t="str">
        <f>HYPERLINK(".\links\NR-LIGHT\ab-tri_asb-54676-NR-LIGHT.txt","hypothetical protein, partial")</f>
        <v>hypothetical protein, partial</v>
      </c>
      <c r="Q349" t="str">
        <f>HYPERLINK("http://www.ncbi.nlm.nih.gov/sutils/blink.cgi?pid=221090955","0.081")</f>
        <v>0.081</v>
      </c>
    </row>
    <row r="350" spans="1:17">
      <c r="A350" s="7" t="s">
        <v>547</v>
      </c>
      <c r="B350" s="7">
        <v>0</v>
      </c>
      <c r="C350" s="7">
        <v>10451</v>
      </c>
      <c r="D350" s="7">
        <v>10466</v>
      </c>
      <c r="E350" s="7">
        <v>340.16074657756263</v>
      </c>
      <c r="F350" s="7">
        <v>1157</v>
      </c>
      <c r="G350" s="7">
        <v>1157</v>
      </c>
      <c r="H350" s="7">
        <v>67.435424526253371</v>
      </c>
      <c r="I350" s="2">
        <f t="shared" si="10"/>
        <v>11623</v>
      </c>
      <c r="J350" s="2">
        <f t="shared" si="11"/>
        <v>0.19824575646877854</v>
      </c>
      <c r="K350" s="8" t="s">
        <v>288</v>
      </c>
      <c r="L350" t="s">
        <v>30</v>
      </c>
      <c r="M350" t="str">
        <f>HYPERLINK(".\links\NR-LIGHT\ab-tri_asb-56248-NR-LIGHT.txt","NR-LIGHT")</f>
        <v>NR-LIGHT</v>
      </c>
      <c r="N350" s="1">
        <v>2.0000000000000001E-25</v>
      </c>
      <c r="O350">
        <v>61</v>
      </c>
      <c r="P350" s="9" t="str">
        <f>HYPERLINK(".\links\NR-LIGHT\ab-tri_asb-56248-NR-LIGHT.txt","mucin 96D")</f>
        <v>mucin 96D</v>
      </c>
      <c r="Q350" t="str">
        <f>HYPERLINK("http://www.ncbi.nlm.nih.gov/sutils/blink.cgi?pid=56319790","1E-025")</f>
        <v>1E-025</v>
      </c>
    </row>
    <row r="351" spans="1:17">
      <c r="A351" s="7" t="s">
        <v>560</v>
      </c>
      <c r="B351" s="7">
        <v>0</v>
      </c>
      <c r="C351" s="7">
        <v>1754</v>
      </c>
      <c r="D351" s="7">
        <v>1781</v>
      </c>
      <c r="E351" s="7">
        <v>264.48090345923424</v>
      </c>
      <c r="F351" s="7">
        <v>181</v>
      </c>
      <c r="G351" s="7">
        <v>183</v>
      </c>
      <c r="H351" s="7">
        <v>48.734078815128242</v>
      </c>
      <c r="I351" s="2">
        <f t="shared" si="10"/>
        <v>1964</v>
      </c>
      <c r="J351" s="2">
        <f t="shared" si="11"/>
        <v>0.18426312893565819</v>
      </c>
      <c r="K351" s="8" t="s">
        <v>86</v>
      </c>
      <c r="L351" t="s">
        <v>28</v>
      </c>
      <c r="M351" t="str">
        <f>HYPERLINK(".\links\RRNA\ab-tri_asb-56724-RRNA.txt","RRNA")</f>
        <v>RRNA</v>
      </c>
      <c r="N351" s="1">
        <v>2.9999999999999999E-30</v>
      </c>
      <c r="O351">
        <v>5</v>
      </c>
      <c r="P351" s="9" t="str">
        <f>HYPERLINK(".\links\NR-LIGHT\ab-tri_asb-56724-NR-LIGHT.txt","glycosyl transferase 8")</f>
        <v>glycosyl transferase 8</v>
      </c>
      <c r="Q351" t="str">
        <f>HYPERLINK("http://www.ncbi.nlm.nih.gov/sutils/blink.cgi?pid=323934828","58")</f>
        <v>58</v>
      </c>
    </row>
    <row r="352" spans="1:17">
      <c r="A352" s="7" t="s">
        <v>631</v>
      </c>
      <c r="B352" s="7">
        <v>3.2376707877701527E-4</v>
      </c>
      <c r="C352" s="7">
        <v>3706</v>
      </c>
      <c r="D352" s="7">
        <v>3706</v>
      </c>
      <c r="E352" s="7">
        <v>64.978882078021456</v>
      </c>
      <c r="F352" s="7">
        <v>367</v>
      </c>
      <c r="G352" s="7">
        <v>367</v>
      </c>
      <c r="H352" s="7">
        <v>11.539424655582732</v>
      </c>
      <c r="I352" s="2">
        <f t="shared" si="10"/>
        <v>4073</v>
      </c>
      <c r="J352" s="2">
        <f t="shared" si="11"/>
        <v>0.17758730662259026</v>
      </c>
      <c r="K352" s="8" t="s">
        <v>194</v>
      </c>
      <c r="L352" t="s">
        <v>33</v>
      </c>
      <c r="M352" t="str">
        <f>HYPERLINK(".\links\KOG\ab-tri_asb-9433-KOG.txt","KOG")</f>
        <v>KOG</v>
      </c>
      <c r="N352">
        <v>0</v>
      </c>
      <c r="O352">
        <v>87.5</v>
      </c>
      <c r="P352" s="9" t="str">
        <f>HYPERLINK(".\links\NR-LIGHT\ab-tri_asb-9433-NR-LIGHT.txt","RE01362p")</f>
        <v>RE01362p</v>
      </c>
      <c r="Q352" t="str">
        <f>HYPERLINK("http://www.ncbi.nlm.nih.gov/sutils/blink.cgi?pid=28317069","1E-126")</f>
        <v>1E-126</v>
      </c>
    </row>
    <row r="353" spans="1:17">
      <c r="A353" s="7" t="s">
        <v>557</v>
      </c>
      <c r="B353" s="7">
        <v>5.2434168118509206E-11</v>
      </c>
      <c r="C353" s="7">
        <v>2109</v>
      </c>
      <c r="D353" s="7">
        <v>2730</v>
      </c>
      <c r="E353" s="7">
        <v>116.47455845771628</v>
      </c>
      <c r="F353" s="7">
        <v>182</v>
      </c>
      <c r="G353" s="7">
        <v>247</v>
      </c>
      <c r="H353" s="7">
        <v>18.898035055841255</v>
      </c>
      <c r="I353" s="2">
        <f t="shared" si="10"/>
        <v>2977</v>
      </c>
      <c r="J353" s="2">
        <f t="shared" si="11"/>
        <v>0.16225032578854379</v>
      </c>
      <c r="K353" s="8" t="s">
        <v>558</v>
      </c>
      <c r="L353" t="s">
        <v>35</v>
      </c>
      <c r="M353" t="str">
        <f>HYPERLINK(".\links\KOG\ab-tri_asb-56604-KOG.txt","KOG")</f>
        <v>KOG</v>
      </c>
      <c r="N353" s="1">
        <v>9.9999999999999992E-25</v>
      </c>
      <c r="O353">
        <v>27</v>
      </c>
      <c r="P353" s="9" t="str">
        <f>HYPERLINK(".\links\NR-LIGHT\ab-tri_asb-56604-NR-LIGHT.txt","phosphoribosylamidoimidazole-succinocarboxamide synthase")</f>
        <v>phosphoribosylamidoimidazole-succinocarboxamide synthase</v>
      </c>
      <c r="Q353" t="str">
        <f>HYPERLINK("http://www.ncbi.nlm.nih.gov/sutils/blink.cgi?pid=289739983","4E-051")</f>
        <v>4E-051</v>
      </c>
    </row>
    <row r="354" spans="1:17">
      <c r="A354" s="7" t="s">
        <v>555</v>
      </c>
      <c r="B354" s="7">
        <v>3.8133940449824877E-11</v>
      </c>
      <c r="C354" s="7">
        <v>6778</v>
      </c>
      <c r="D354" s="7">
        <v>6778</v>
      </c>
      <c r="E354" s="7">
        <v>109.22309867548437</v>
      </c>
      <c r="F354" s="7">
        <v>516</v>
      </c>
      <c r="G354" s="7">
        <v>516</v>
      </c>
      <c r="H354" s="7">
        <v>14.911244856631802</v>
      </c>
      <c r="I354" s="2">
        <f t="shared" si="10"/>
        <v>7294</v>
      </c>
      <c r="J354" s="2">
        <f t="shared" si="11"/>
        <v>0.13652098354154002</v>
      </c>
      <c r="K354" s="8" t="s">
        <v>62</v>
      </c>
      <c r="L354" t="s">
        <v>63</v>
      </c>
      <c r="M354" t="str">
        <f>HYPERLINK(".\links\KOG\ab-tri_asb-5650-KOG.txt","KOG")</f>
        <v>KOG</v>
      </c>
      <c r="N354" s="1">
        <v>1E-51</v>
      </c>
      <c r="O354">
        <v>104</v>
      </c>
      <c r="P354" s="9" t="str">
        <f>HYPERLINK(".\links\NR-LIGHT\ab-tri_asb-5650-NR-LIGHT.txt","Cyp305a1")</f>
        <v>Cyp305a1</v>
      </c>
      <c r="Q354" t="str">
        <f>HYPERLINK("http://www.ncbi.nlm.nih.gov/sutils/blink.cgi?pid=21357237","1E-174")</f>
        <v>1E-174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Benoit</dc:creator>
  <cp:lastModifiedBy>Joshua Benoit</cp:lastModifiedBy>
  <dcterms:created xsi:type="dcterms:W3CDTF">2012-05-23T21:19:36Z</dcterms:created>
  <dcterms:modified xsi:type="dcterms:W3CDTF">2013-05-07T20:44:30Z</dcterms:modified>
</cp:coreProperties>
</file>