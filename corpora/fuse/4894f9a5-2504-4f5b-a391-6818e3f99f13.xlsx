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codeName="ThisWorkbook" defaultThemeVersion="124226"/>
  <bookViews>
    <workbookView xWindow="-15" yWindow="-15" windowWidth="14415" windowHeight="12120"/>
  </bookViews>
  <sheets>
    <sheet name="Metadata" sheetId="4" r:id="rId1"/>
    <sheet name="Data" sheetId="1" r:id="rId2"/>
    <sheet name="Sites(Do NOT Edit)" sheetId="5" r:id="rId3"/>
  </sheets>
  <definedNames>
    <definedName name="_xlnm._FilterDatabase" localSheetId="2" hidden="1">'Sites(Do NOT Edit)'!$A$2:$N$637</definedName>
    <definedName name="ABSTRACT" localSheetId="0">Metadata!$A$6</definedName>
    <definedName name="ABSTRACT" localSheetId="2">Metadata!$A$6</definedName>
    <definedName name="ABSTRACT">#REF!</definedName>
    <definedName name="Address_line_2" localSheetId="0">Metadata!$A$22</definedName>
    <definedName name="Address_line_2" localSheetId="2">Metadata!$A$22</definedName>
    <definedName name="Address_line_2">#REF!</definedName>
    <definedName name="Address_line_3" localSheetId="0">Metadata!$A$23</definedName>
    <definedName name="Address_line_3" localSheetId="2">Metadata!$A$23</definedName>
    <definedName name="Address_line_3">#REF!</definedName>
    <definedName name="Availability_Status" localSheetId="0">Metadata!$A$37</definedName>
    <definedName name="Availability_Status" localSheetId="2">Metadata!$A$37</definedName>
    <definedName name="Availability_Status">#REF!</definedName>
    <definedName name="Beginning_Date" localSheetId="0">Metadata!$A$33</definedName>
    <definedName name="Beginning_Date" localSheetId="2">Metadata!$A$33</definedName>
    <definedName name="Beginning_Date">#REF!</definedName>
    <definedName name="City" localSheetId="0">Metadata!$A$24</definedName>
    <definedName name="City" localSheetId="2">Metadata!$A$24</definedName>
    <definedName name="City">#REF!</definedName>
    <definedName name="Code_Information" localSheetId="0">Metadata!$F$121</definedName>
    <definedName name="Code_Information" localSheetId="2">Metadata!$F$121</definedName>
    <definedName name="Code_Information">#REF!</definedName>
    <definedName name="Country" localSheetId="0">Metadata!$A$27</definedName>
    <definedName name="Country" localSheetId="2">Metadata!$A$27</definedName>
    <definedName name="Country">#REF!</definedName>
    <definedName name="DATA_FILE_INFORMATION" localSheetId="0">Metadata!$A$30</definedName>
    <definedName name="DATA_FILE_INFORMATION" localSheetId="2">Metadata!$A$30</definedName>
    <definedName name="DATA_FILE_INFORMATION">#REF!</definedName>
    <definedName name="Data_File_Name" localSheetId="0">Metadata!$A$32</definedName>
    <definedName name="Data_File_Name" localSheetId="2">Metadata!$A$32</definedName>
    <definedName name="Data_File_Name">#REF!</definedName>
    <definedName name="Data_File_URL" localSheetId="0">Metadata!$A$31</definedName>
    <definedName name="Data_File_URL" localSheetId="2">Metadata!$A$31</definedName>
    <definedName name="Data_File_URL">#REF!</definedName>
    <definedName name="Data_Type" localSheetId="0">Metadata!$C$121</definedName>
    <definedName name="Data_Type" localSheetId="2">Metadata!$C$121</definedName>
    <definedName name="Data_Type">#REF!</definedName>
    <definedName name="DATASET_ID" localSheetId="0">Metadata!$A$14</definedName>
    <definedName name="DATASET_ID" localSheetId="2">Metadata!$A$14</definedName>
    <definedName name="DATASET_ID">#REF!</definedName>
    <definedName name="DATASET_TITLE" localSheetId="0">Metadata!$A$5</definedName>
    <definedName name="DATASET_TITLE" localSheetId="2">Metadata!$A$5</definedName>
    <definedName name="DATASET_TITLE">#REF!</definedName>
    <definedName name="DateTime_Format" localSheetId="0">Metadata!$E$121</definedName>
    <definedName name="DateTime_Format" localSheetId="2">Metadata!$E$121</definedName>
    <definedName name="DateTime_Format">#REF!</definedName>
    <definedName name="Distribution_URL_for_file" localSheetId="0">Metadata!$A$4</definedName>
    <definedName name="Distribution_URL_for_file" localSheetId="2">Metadata!$A$4</definedName>
    <definedName name="Distribution_URL_for_file">#REF!</definedName>
    <definedName name="East_Bounding_Coordinate" localSheetId="0">Metadata!$A$50</definedName>
    <definedName name="East_Bounding_Coordinate" localSheetId="2">Metadata!$A$50</definedName>
    <definedName name="East_Bounding_Coordinate">#REF!</definedName>
    <definedName name="Elevation" localSheetId="0">Metadata!$A$56</definedName>
    <definedName name="Elevation" localSheetId="2">Metadata!$A$56</definedName>
    <definedName name="Elevation">#REF!</definedName>
    <definedName name="Email" localSheetId="0">Metadata!$A$18</definedName>
    <definedName name="Email" localSheetId="2">Metadata!$A$18</definedName>
    <definedName name="Email">#REF!</definedName>
    <definedName name="End_Date" localSheetId="0">Metadata!$A$34</definedName>
    <definedName name="End_Date" localSheetId="2">Metadata!$A$34</definedName>
    <definedName name="End_Date">#REF!</definedName>
    <definedName name="First_Name" localSheetId="0">Metadata!$A$19</definedName>
    <definedName name="First_Name" localSheetId="2">Metadata!$A$19</definedName>
    <definedName name="First_Name">#REF!</definedName>
    <definedName name="Geographic_Description" localSheetId="0">Metadata!$A$47</definedName>
    <definedName name="Geographic_Description" localSheetId="2">Metadata!$A$47</definedName>
    <definedName name="Geographic_Description">#REF!</definedName>
    <definedName name="INVESTIGATOR_INFORMATION" localSheetId="0">Metadata!$A$16</definedName>
    <definedName name="INVESTIGATOR_INFORMATION" localSheetId="2">Metadata!$A$16</definedName>
    <definedName name="INVESTIGATOR_INFORMATION">#REF!</definedName>
    <definedName name="KEYWORD_INFORMATION" localSheetId="0">Metadata!$A$62</definedName>
    <definedName name="KEYWORD_INFORMATION" localSheetId="2">Metadata!$A$62</definedName>
    <definedName name="KEYWORD_INFORMATION">#REF!</definedName>
    <definedName name="KEYWORDS" localSheetId="0">Metadata!$A$63</definedName>
    <definedName name="KEYWORDS" localSheetId="2">Metadata!$A$63</definedName>
    <definedName name="KEYWORDS">#REF!</definedName>
    <definedName name="Last_Name" localSheetId="0">Metadata!$A$20</definedName>
    <definedName name="Last_Name" localSheetId="2">Metadata!$A$20</definedName>
    <definedName name="Last_Name">#REF!</definedName>
    <definedName name="Latitude" localSheetId="0">Metadata!$A$54</definedName>
    <definedName name="Latitude" localSheetId="2">Metadata!$A$54</definedName>
    <definedName name="Latitude">#REF!</definedName>
    <definedName name="Link_to_Google_Map">Metadata!$A$57</definedName>
    <definedName name="Location_Bounding_Box" localSheetId="0">Metadata!$A$48</definedName>
    <definedName name="Location_Bounding_Box" localSheetId="2">Metadata!$A$48</definedName>
    <definedName name="Location_Bounding_Box">#REF!</definedName>
    <definedName name="Location_Name">Metadata!$A$46</definedName>
    <definedName name="Log_of_Changes" localSheetId="0">Metadata!$A$40</definedName>
    <definedName name="Log_of_Changes" localSheetId="2">Metadata!$A$40</definedName>
    <definedName name="Log_of_Changes">#REF!</definedName>
    <definedName name="Longitude" localSheetId="0">Metadata!$A$55</definedName>
    <definedName name="Longitude" localSheetId="2">Metadata!$A$55</definedName>
    <definedName name="Longitude">#REF!</definedName>
    <definedName name="LTER_Sites_number">'Sites(Do NOT Edit)'!$A$2:$A$637</definedName>
    <definedName name="Maintenance_Description" localSheetId="0">Metadata!$A$39</definedName>
    <definedName name="Maintenance_Description" localSheetId="2">Metadata!$A$39</definedName>
    <definedName name="Maintenance_Description">#REF!</definedName>
    <definedName name="Metacat_Package_ID" localSheetId="0">Metadata!$A$2</definedName>
    <definedName name="Metacat_Package_ID" localSheetId="2">Metadata!$A$2</definedName>
    <definedName name="Metacat_Package_ID">#REF!</definedName>
    <definedName name="METHODS" localSheetId="0">Metadata!$A$66</definedName>
    <definedName name="METHODS" localSheetId="2">Metadata!$A$66</definedName>
    <definedName name="METHODS">#REF!</definedName>
    <definedName name="Missing_Value_Code" localSheetId="0">Metadata!$G$121</definedName>
    <definedName name="Missing_Value_Code" localSheetId="2">Metadata!$G$121</definedName>
    <definedName name="Missing_Value_Code">#REF!</definedName>
    <definedName name="North_Bounding_Coordinate" localSheetId="0">Metadata!$A$51</definedName>
    <definedName name="North_Bounding_Coordinate" localSheetId="2">Metadata!$A$51</definedName>
    <definedName name="North_Bounding_Coordinate">#REF!</definedName>
    <definedName name="Number_of_Data_Records" localSheetId="0">Metadata!$A$35</definedName>
    <definedName name="Number_of_Data_Records" localSheetId="2">Metadata!$A$35</definedName>
    <definedName name="Number_of_Data_Records">#REF!</definedName>
    <definedName name="OR" localSheetId="0">Metadata!$A$112</definedName>
    <definedName name="OR" localSheetId="2">Metadata!$A$112</definedName>
    <definedName name="OR">#REF!</definedName>
    <definedName name="OR_if_single_point_location" localSheetId="0">Metadata!$A$53</definedName>
    <definedName name="OR_if_single_point_location" localSheetId="2">Metadata!$A$53</definedName>
    <definedName name="OR_if_single_point_location">#REF!</definedName>
    <definedName name="Organisms_studied" localSheetId="0">Metadata!$A$60</definedName>
    <definedName name="Organisms_studied" localSheetId="2">Metadata!$A$60</definedName>
    <definedName name="Organisms_studied">#REF!</definedName>
    <definedName name="Organization" localSheetId="0">Metadata!$A$21</definedName>
    <definedName name="Organization" localSheetId="2">Metadata!$A$21</definedName>
    <definedName name="Organization">#REF!</definedName>
    <definedName name="Other_Files_to_Reference" localSheetId="0">Metadata!$A$36</definedName>
    <definedName name="Other_Files_to_Reference" localSheetId="2">Metadata!$A$36</definedName>
    <definedName name="Other_Files_to_Reference">#REF!</definedName>
    <definedName name="Protocol_Document" localSheetId="0">Metadata!$A$113</definedName>
    <definedName name="Protocol_Document" localSheetId="2">Metadata!$A$113</definedName>
    <definedName name="Protocol_Document">#REF!</definedName>
    <definedName name="Protocol_Title" localSheetId="0">Metadata!$A$110</definedName>
    <definedName name="Protocol_Title" localSheetId="2">Metadata!$A$110</definedName>
    <definedName name="Protocol_Title">#REF!</definedName>
    <definedName name="Quality_Control_Information" localSheetId="0">Metadata!$A$38</definedName>
    <definedName name="Quality_Control_Information" localSheetId="2">Metadata!$A$38</definedName>
    <definedName name="Quality_Control_Information">#REF!</definedName>
    <definedName name="RESEARCH_LOCATION" localSheetId="0">Metadata!$A$45</definedName>
    <definedName name="RESEARCH_LOCATION" localSheetId="2">Metadata!$A$45</definedName>
    <definedName name="RESEARCH_LOCATION">#REF!</definedName>
    <definedName name="Role" localSheetId="0">Metadata!$A$17</definedName>
    <definedName name="Role" localSheetId="2">Metadata!$A$17</definedName>
    <definedName name="Role">#REF!</definedName>
    <definedName name="Sampling_and_or_Lab_Protocols" localSheetId="0">Metadata!$A$109</definedName>
    <definedName name="Sampling_and_or_Lab_Protocols" localSheetId="2">Metadata!$A$109</definedName>
    <definedName name="Sampling_and_or_Lab_Protocols">#REF!</definedName>
    <definedName name="Site_name">'Sites(Do NOT Edit)'!$B$3:$B$637</definedName>
    <definedName name="Site_name_list">'Sites(Do NOT Edit)'!$B$2:$B$637</definedName>
    <definedName name="Sites">'Sites(Do NOT Edit)'!$A$3:$M$637</definedName>
    <definedName name="South_Bounding_Coordinate" localSheetId="0">Metadata!$A$52</definedName>
    <definedName name="South_Bounding_Coordinate" localSheetId="2">Metadata!$A$52</definedName>
    <definedName name="South_Bounding_Coordinate">#REF!</definedName>
    <definedName name="State" localSheetId="0">Metadata!$A$25</definedName>
    <definedName name="State" localSheetId="2">Metadata!$A$25</definedName>
    <definedName name="State">#REF!</definedName>
    <definedName name="TAXONOMIC_COVERAGE" localSheetId="0">Metadata!$A$59</definedName>
    <definedName name="TAXONOMIC_COVERAGE" localSheetId="2">Metadata!$A$59</definedName>
    <definedName name="TAXONOMIC_COVERAGE">#REF!</definedName>
    <definedName name="Units" localSheetId="0">Metadata!$D$121</definedName>
    <definedName name="Units" localSheetId="2">Metadata!$D$121</definedName>
    <definedName name="Units">#REF!</definedName>
    <definedName name="URL_of_online_Protocol" localSheetId="0">Metadata!$A$111</definedName>
    <definedName name="URL_of_online_Protocol" localSheetId="2">Metadata!$A$111</definedName>
    <definedName name="URL_of_online_Protocol">#REF!</definedName>
    <definedName name="Variable_Description" localSheetId="0">Metadata!$B$121</definedName>
    <definedName name="Variable_Description" localSheetId="2">Metadata!$B$121</definedName>
    <definedName name="Variable_Description">#REF!</definedName>
    <definedName name="VARIABLE_DESCRIPTIONS" localSheetId="0">Metadata!$A$120</definedName>
    <definedName name="VARIABLE_DESCRIPTIONS" localSheetId="2">Metadata!$A$120</definedName>
    <definedName name="VARIABLE_DESCRIPTIONS">#REF!</definedName>
    <definedName name="Variable_Name" localSheetId="0">Metadata!$A$121</definedName>
    <definedName name="Variable_Name" localSheetId="2">Metadata!$A$121</definedName>
    <definedName name="Variable_Name">#REF!</definedName>
    <definedName name="West_Bounding_Coordinate" localSheetId="0">Metadata!$A$49</definedName>
    <definedName name="West_Bounding_Coordinate" localSheetId="2">Metadata!$A$49</definedName>
    <definedName name="West_Bounding_Coordinate">#REF!</definedName>
    <definedName name="Year_Released_to_Public" localSheetId="0">Metadata!$A$3</definedName>
    <definedName name="Year_Released_to_Public" localSheetId="2">Metadata!$A$3</definedName>
    <definedName name="Year_Released_to_Public">#REF!</definedName>
    <definedName name="Zip_Code" localSheetId="0">Metadata!$A$26</definedName>
    <definedName name="Zip_Code" localSheetId="2">Metadata!$A$26</definedName>
    <definedName name="Zip_Code">#REF!</definedName>
  </definedNames>
  <calcPr calcId="145621"/>
</workbook>
</file>

<file path=xl/calcChain.xml><?xml version="1.0" encoding="utf-8"?>
<calcChain xmlns="http://schemas.openxmlformats.org/spreadsheetml/2006/main">
  <c r="M637" i="5" l="1"/>
  <c r="M636" i="5"/>
  <c r="M635" i="5"/>
  <c r="M634" i="5"/>
  <c r="M633" i="5"/>
  <c r="M632" i="5"/>
  <c r="M631" i="5"/>
  <c r="M630" i="5"/>
  <c r="M629" i="5"/>
  <c r="M628" i="5"/>
  <c r="M627" i="5"/>
  <c r="M626" i="5"/>
  <c r="M625" i="5"/>
  <c r="M624" i="5"/>
  <c r="M623" i="5"/>
  <c r="M622" i="5"/>
  <c r="M621" i="5"/>
  <c r="M620" i="5"/>
  <c r="M619" i="5"/>
  <c r="M618" i="5"/>
  <c r="M617" i="5"/>
  <c r="M616" i="5"/>
  <c r="M615" i="5"/>
  <c r="M614" i="5"/>
  <c r="M613" i="5"/>
  <c r="M612" i="5"/>
  <c r="M611" i="5"/>
  <c r="M610" i="5"/>
  <c r="M609" i="5"/>
  <c r="M608" i="5"/>
  <c r="M607" i="5"/>
  <c r="M606" i="5"/>
  <c r="M605" i="5"/>
  <c r="M604" i="5"/>
  <c r="M603" i="5"/>
  <c r="M602" i="5"/>
  <c r="M601" i="5"/>
  <c r="M600" i="5"/>
  <c r="M599" i="5"/>
  <c r="M598" i="5"/>
  <c r="M597" i="5"/>
  <c r="M596" i="5"/>
  <c r="M595" i="5"/>
  <c r="M594" i="5"/>
  <c r="M593" i="5"/>
  <c r="M592" i="5"/>
  <c r="M591" i="5"/>
  <c r="M590" i="5"/>
  <c r="M589" i="5"/>
  <c r="M588" i="5"/>
  <c r="M587" i="5"/>
  <c r="M586" i="5"/>
  <c r="M585" i="5"/>
  <c r="M584" i="5"/>
  <c r="M583" i="5"/>
  <c r="M582" i="5"/>
  <c r="M581" i="5"/>
  <c r="M580" i="5"/>
  <c r="M579" i="5"/>
  <c r="M578" i="5"/>
  <c r="M577" i="5"/>
  <c r="M576" i="5"/>
  <c r="M575" i="5"/>
  <c r="M574" i="5"/>
  <c r="M573" i="5"/>
  <c r="M572" i="5"/>
  <c r="M571" i="5"/>
  <c r="M570" i="5"/>
  <c r="M569" i="5"/>
  <c r="M568" i="5"/>
  <c r="M567" i="5"/>
  <c r="M566" i="5"/>
  <c r="M565" i="5"/>
  <c r="M564" i="5"/>
  <c r="M563" i="5"/>
  <c r="M562" i="5"/>
  <c r="M561" i="5"/>
  <c r="M560" i="5"/>
  <c r="M559" i="5"/>
  <c r="M558" i="5"/>
  <c r="M557" i="5"/>
  <c r="M556" i="5"/>
  <c r="M555" i="5"/>
  <c r="M554" i="5"/>
  <c r="M553" i="5"/>
  <c r="M552" i="5"/>
  <c r="M551" i="5"/>
  <c r="M550" i="5"/>
  <c r="M549" i="5"/>
  <c r="M548" i="5"/>
  <c r="M547" i="5"/>
  <c r="M546" i="5"/>
  <c r="M545" i="5"/>
  <c r="M544" i="5"/>
  <c r="M543" i="5"/>
  <c r="M542" i="5"/>
  <c r="M541" i="5"/>
  <c r="M540" i="5"/>
  <c r="M539" i="5"/>
  <c r="M538" i="5"/>
  <c r="M537" i="5"/>
  <c r="M536" i="5"/>
  <c r="M535" i="5"/>
  <c r="M534" i="5"/>
  <c r="M533" i="5"/>
  <c r="M532" i="5"/>
  <c r="M531" i="5"/>
  <c r="M530" i="5"/>
  <c r="M529" i="5"/>
  <c r="M528" i="5"/>
  <c r="M527" i="5"/>
  <c r="M526" i="5"/>
  <c r="M525" i="5"/>
  <c r="M524" i="5"/>
  <c r="M523" i="5"/>
  <c r="M522" i="5"/>
  <c r="M521" i="5"/>
  <c r="M520" i="5"/>
  <c r="M519" i="5"/>
  <c r="M518" i="5"/>
  <c r="M517" i="5"/>
  <c r="M516" i="5"/>
  <c r="M515" i="5"/>
  <c r="M514" i="5"/>
  <c r="M513" i="5"/>
  <c r="M512" i="5"/>
  <c r="M511" i="5"/>
  <c r="M510" i="5"/>
  <c r="M509" i="5"/>
  <c r="M508" i="5"/>
  <c r="M507" i="5"/>
  <c r="M506" i="5"/>
  <c r="M505" i="5"/>
  <c r="M504" i="5"/>
  <c r="M503" i="5"/>
  <c r="M502" i="5"/>
  <c r="M501" i="5"/>
  <c r="M500" i="5"/>
  <c r="M499" i="5"/>
  <c r="M498" i="5"/>
  <c r="M497" i="5"/>
  <c r="M496" i="5"/>
  <c r="M495" i="5"/>
  <c r="M494" i="5"/>
  <c r="M493" i="5"/>
  <c r="M492" i="5"/>
  <c r="M491" i="5"/>
  <c r="M490" i="5"/>
  <c r="M489" i="5"/>
  <c r="M488" i="5"/>
  <c r="M487" i="5"/>
  <c r="M486" i="5"/>
  <c r="M485" i="5"/>
  <c r="M484" i="5"/>
  <c r="M483" i="5"/>
  <c r="M482" i="5"/>
  <c r="M481" i="5"/>
  <c r="M480" i="5"/>
  <c r="M479" i="5"/>
  <c r="M478" i="5"/>
  <c r="M477" i="5"/>
  <c r="M476" i="5"/>
  <c r="M475" i="5"/>
  <c r="M474" i="5"/>
  <c r="M473" i="5"/>
  <c r="M472" i="5"/>
  <c r="M471" i="5"/>
  <c r="M470" i="5"/>
  <c r="M469" i="5"/>
  <c r="M468" i="5"/>
  <c r="M467" i="5"/>
  <c r="M466" i="5"/>
  <c r="M465" i="5"/>
  <c r="M464" i="5"/>
  <c r="M463" i="5"/>
  <c r="M462" i="5"/>
  <c r="M461" i="5"/>
  <c r="M460" i="5"/>
  <c r="M459" i="5"/>
  <c r="M458" i="5"/>
  <c r="M457" i="5"/>
  <c r="M456" i="5"/>
  <c r="M455" i="5"/>
  <c r="M454" i="5"/>
  <c r="M453" i="5"/>
  <c r="M452" i="5"/>
  <c r="M451" i="5"/>
  <c r="M450" i="5"/>
  <c r="M449" i="5"/>
  <c r="M448" i="5"/>
  <c r="M447" i="5"/>
  <c r="M446" i="5"/>
  <c r="M445" i="5"/>
  <c r="M444" i="5"/>
  <c r="M443" i="5"/>
  <c r="M442" i="5"/>
  <c r="M441" i="5"/>
  <c r="M440" i="5"/>
  <c r="M439" i="5"/>
  <c r="M438" i="5"/>
  <c r="M437" i="5"/>
  <c r="M436" i="5"/>
  <c r="M435" i="5"/>
  <c r="N434" i="5"/>
  <c r="M434" i="5"/>
  <c r="N433" i="5"/>
  <c r="M433" i="5"/>
  <c r="N432" i="5"/>
  <c r="M432" i="5"/>
  <c r="N431" i="5"/>
  <c r="M431" i="5"/>
  <c r="N430" i="5"/>
  <c r="M430" i="5"/>
  <c r="N429" i="5"/>
  <c r="M429" i="5"/>
  <c r="N428" i="5"/>
  <c r="M428" i="5"/>
  <c r="N427" i="5"/>
  <c r="M427" i="5"/>
  <c r="N426" i="5"/>
  <c r="M426" i="5"/>
  <c r="N425" i="5"/>
  <c r="M425" i="5"/>
  <c r="N424" i="5"/>
  <c r="M424" i="5"/>
  <c r="N423" i="5"/>
  <c r="M423" i="5"/>
  <c r="N422" i="5"/>
  <c r="M422" i="5"/>
  <c r="N421" i="5"/>
  <c r="M421" i="5"/>
  <c r="N420" i="5"/>
  <c r="M420" i="5"/>
  <c r="N419" i="5"/>
  <c r="M419" i="5"/>
  <c r="N418" i="5"/>
  <c r="M418" i="5"/>
  <c r="N417" i="5"/>
  <c r="M417" i="5"/>
  <c r="N416" i="5"/>
  <c r="M416" i="5"/>
  <c r="N415" i="5"/>
  <c r="M415" i="5"/>
  <c r="N414" i="5"/>
  <c r="M414" i="5"/>
  <c r="N413" i="5"/>
  <c r="M413" i="5"/>
  <c r="N412" i="5"/>
  <c r="M412" i="5"/>
  <c r="N411" i="5"/>
  <c r="M411" i="5"/>
  <c r="N410" i="5"/>
  <c r="M410" i="5"/>
  <c r="N409" i="5"/>
  <c r="M409" i="5"/>
  <c r="N408" i="5"/>
  <c r="M408" i="5"/>
  <c r="N407" i="5"/>
  <c r="M407" i="5"/>
  <c r="N406" i="5"/>
  <c r="M406" i="5"/>
  <c r="N405" i="5"/>
  <c r="M405" i="5"/>
  <c r="N404" i="5"/>
  <c r="M404" i="5"/>
  <c r="N403" i="5"/>
  <c r="M403" i="5"/>
  <c r="N402" i="5"/>
  <c r="M402" i="5"/>
  <c r="N401" i="5"/>
  <c r="M401" i="5"/>
  <c r="N400" i="5"/>
  <c r="M400" i="5"/>
  <c r="N399" i="5"/>
  <c r="M399" i="5"/>
  <c r="N398" i="5"/>
  <c r="M398" i="5"/>
  <c r="N397" i="5"/>
  <c r="M397" i="5"/>
  <c r="N396" i="5"/>
  <c r="M396" i="5"/>
  <c r="N395" i="5"/>
  <c r="M395" i="5"/>
  <c r="N394" i="5"/>
  <c r="M394" i="5"/>
  <c r="N393" i="5"/>
  <c r="M393" i="5"/>
  <c r="N392" i="5"/>
  <c r="M392" i="5"/>
  <c r="N391" i="5"/>
  <c r="M391" i="5"/>
  <c r="N390" i="5"/>
  <c r="M390" i="5"/>
  <c r="N389" i="5"/>
  <c r="M389" i="5"/>
  <c r="N388" i="5"/>
  <c r="M388" i="5"/>
  <c r="N387" i="5"/>
  <c r="M387" i="5"/>
  <c r="N386" i="5"/>
  <c r="M386" i="5"/>
  <c r="N385" i="5"/>
  <c r="M385" i="5"/>
  <c r="N384" i="5"/>
  <c r="M384" i="5"/>
  <c r="N383" i="5"/>
  <c r="M383" i="5"/>
  <c r="N382" i="5"/>
  <c r="M382" i="5"/>
  <c r="N381" i="5"/>
  <c r="M381" i="5"/>
  <c r="N380" i="5"/>
  <c r="M380" i="5"/>
  <c r="N379" i="5"/>
  <c r="M379" i="5"/>
  <c r="N378" i="5"/>
  <c r="M378" i="5"/>
  <c r="N377" i="5"/>
  <c r="M377" i="5"/>
  <c r="N376" i="5"/>
  <c r="M376" i="5"/>
  <c r="N375" i="5"/>
  <c r="M375" i="5"/>
  <c r="N374" i="5"/>
  <c r="M374" i="5"/>
  <c r="N373" i="5"/>
  <c r="M373" i="5"/>
  <c r="N372" i="5"/>
  <c r="M372" i="5"/>
  <c r="N371" i="5"/>
  <c r="M371" i="5"/>
  <c r="N370" i="5"/>
  <c r="M370" i="5"/>
  <c r="N369" i="5"/>
  <c r="M369" i="5"/>
  <c r="N368" i="5"/>
  <c r="M368" i="5"/>
  <c r="N367" i="5"/>
  <c r="M367" i="5"/>
  <c r="N366" i="5"/>
  <c r="M366" i="5"/>
  <c r="N365" i="5"/>
  <c r="M365" i="5"/>
  <c r="N364" i="5"/>
  <c r="M364" i="5"/>
  <c r="N363" i="5"/>
  <c r="M363" i="5"/>
  <c r="N362" i="5"/>
  <c r="M362" i="5"/>
  <c r="N361" i="5"/>
  <c r="M361" i="5"/>
  <c r="N360" i="5"/>
  <c r="M360" i="5"/>
  <c r="N359" i="5"/>
  <c r="M359" i="5"/>
  <c r="N358" i="5"/>
  <c r="M358" i="5"/>
  <c r="N357" i="5"/>
  <c r="M357" i="5"/>
  <c r="N356" i="5"/>
  <c r="M356" i="5"/>
  <c r="M355" i="5"/>
  <c r="M354" i="5"/>
  <c r="M353" i="5"/>
  <c r="M352" i="5"/>
  <c r="M351" i="5"/>
  <c r="M350" i="5"/>
  <c r="M349" i="5"/>
  <c r="M348" i="5"/>
  <c r="M347" i="5"/>
  <c r="M346" i="5"/>
  <c r="M345" i="5"/>
  <c r="M344" i="5"/>
  <c r="M343" i="5"/>
  <c r="M342" i="5"/>
  <c r="M341" i="5"/>
  <c r="M340" i="5"/>
  <c r="M339" i="5"/>
  <c r="M338" i="5"/>
  <c r="M337" i="5"/>
  <c r="M336" i="5"/>
  <c r="M335" i="5"/>
  <c r="M334" i="5"/>
  <c r="M333" i="5"/>
  <c r="M332" i="5"/>
  <c r="M331" i="5"/>
  <c r="M330" i="5"/>
  <c r="M329" i="5"/>
  <c r="M328" i="5"/>
  <c r="M327" i="5"/>
  <c r="M326" i="5"/>
  <c r="M325" i="5"/>
  <c r="M324" i="5"/>
  <c r="M323" i="5"/>
  <c r="M322" i="5"/>
  <c r="M321" i="5"/>
  <c r="M320" i="5"/>
  <c r="M319" i="5"/>
  <c r="M318" i="5"/>
  <c r="M317" i="5"/>
  <c r="M316" i="5"/>
  <c r="M315" i="5"/>
  <c r="M314" i="5"/>
  <c r="M313" i="5"/>
  <c r="M312" i="5"/>
  <c r="M311" i="5"/>
  <c r="M310" i="5"/>
  <c r="M309" i="5"/>
  <c r="M308" i="5"/>
  <c r="M307" i="5"/>
  <c r="M306" i="5"/>
  <c r="M305" i="5"/>
  <c r="M304" i="5"/>
  <c r="M303" i="5"/>
  <c r="M302" i="5"/>
  <c r="M301" i="5"/>
  <c r="M300" i="5"/>
  <c r="M299" i="5"/>
  <c r="M298" i="5"/>
  <c r="M297" i="5"/>
  <c r="M296" i="5"/>
  <c r="M295" i="5"/>
  <c r="M294" i="5"/>
  <c r="M293" i="5"/>
  <c r="M292" i="5"/>
  <c r="M291" i="5"/>
  <c r="M290" i="5"/>
  <c r="M289" i="5"/>
  <c r="M288" i="5"/>
  <c r="M287" i="5"/>
  <c r="M286" i="5"/>
  <c r="M285" i="5"/>
  <c r="M284" i="5"/>
  <c r="M283" i="5"/>
  <c r="M282" i="5"/>
  <c r="M281" i="5"/>
  <c r="M280" i="5"/>
  <c r="M279" i="5"/>
  <c r="M278" i="5"/>
  <c r="M277" i="5"/>
  <c r="M276" i="5"/>
  <c r="M275" i="5"/>
  <c r="M274" i="5"/>
  <c r="M273" i="5"/>
  <c r="M272" i="5"/>
  <c r="M271" i="5"/>
  <c r="M270" i="5"/>
  <c r="M269" i="5"/>
  <c r="M268" i="5"/>
  <c r="M267" i="5"/>
  <c r="M266" i="5"/>
  <c r="M265" i="5"/>
  <c r="M264" i="5"/>
  <c r="M263" i="5"/>
  <c r="M262" i="5"/>
  <c r="M261" i="5"/>
  <c r="M260" i="5"/>
  <c r="M259" i="5"/>
  <c r="M258" i="5"/>
  <c r="M257" i="5"/>
  <c r="M256" i="5"/>
  <c r="M255" i="5"/>
  <c r="M254" i="5"/>
  <c r="M253" i="5"/>
  <c r="M252" i="5"/>
  <c r="M251" i="5"/>
  <c r="M250" i="5"/>
  <c r="M249" i="5"/>
  <c r="M248" i="5"/>
  <c r="M247" i="5"/>
  <c r="M246" i="5"/>
  <c r="M245" i="5"/>
  <c r="M244" i="5"/>
  <c r="M243" i="5"/>
  <c r="M242" i="5"/>
  <c r="M241" i="5"/>
  <c r="M240" i="5"/>
  <c r="M239" i="5"/>
  <c r="M238" i="5"/>
  <c r="M237" i="5"/>
  <c r="M236" i="5"/>
  <c r="M235" i="5"/>
  <c r="M234" i="5"/>
  <c r="M233" i="5"/>
  <c r="M232" i="5"/>
  <c r="M231" i="5"/>
  <c r="M230" i="5"/>
  <c r="M229" i="5"/>
  <c r="M228" i="5"/>
  <c r="M227" i="5"/>
  <c r="M226" i="5"/>
  <c r="M225" i="5"/>
  <c r="M224" i="5"/>
  <c r="M223" i="5"/>
  <c r="M222" i="5"/>
  <c r="M221" i="5"/>
  <c r="M220" i="5"/>
  <c r="M219" i="5"/>
  <c r="M218" i="5"/>
  <c r="M217" i="5"/>
  <c r="M216" i="5"/>
  <c r="M215" i="5"/>
  <c r="M214" i="5"/>
  <c r="M213" i="5"/>
  <c r="M212" i="5"/>
  <c r="M211" i="5"/>
  <c r="M210" i="5"/>
  <c r="M209" i="5"/>
  <c r="M208" i="5"/>
  <c r="M207" i="5"/>
  <c r="M206" i="5"/>
  <c r="M205" i="5"/>
  <c r="M204" i="5"/>
  <c r="M203" i="5"/>
  <c r="M202" i="5"/>
  <c r="M201" i="5"/>
  <c r="M200" i="5"/>
  <c r="N199" i="5"/>
  <c r="M199" i="5"/>
  <c r="N198" i="5"/>
  <c r="M198" i="5"/>
  <c r="N197" i="5"/>
  <c r="M197" i="5"/>
  <c r="N196" i="5"/>
  <c r="M196" i="5"/>
  <c r="N195" i="5"/>
  <c r="M195" i="5"/>
  <c r="N194" i="5"/>
  <c r="M194" i="5"/>
  <c r="N193" i="5"/>
  <c r="M193" i="5"/>
  <c r="N192" i="5"/>
  <c r="M192" i="5"/>
  <c r="N191" i="5"/>
  <c r="M191" i="5"/>
  <c r="N190" i="5"/>
  <c r="M190" i="5"/>
  <c r="N189" i="5"/>
  <c r="M189" i="5"/>
  <c r="N188" i="5"/>
  <c r="M188" i="5"/>
  <c r="N187" i="5"/>
  <c r="M187" i="5"/>
  <c r="N186" i="5"/>
  <c r="M186" i="5"/>
  <c r="N185" i="5"/>
  <c r="M185" i="5"/>
  <c r="N184" i="5"/>
  <c r="M184" i="5"/>
  <c r="N183" i="5"/>
  <c r="M183" i="5"/>
  <c r="N182" i="5"/>
  <c r="M182" i="5"/>
  <c r="N181" i="5"/>
  <c r="M181" i="5"/>
  <c r="N180" i="5"/>
  <c r="M180" i="5"/>
  <c r="N179" i="5"/>
  <c r="M179" i="5"/>
  <c r="N178" i="5"/>
  <c r="M178" i="5"/>
  <c r="N177" i="5"/>
  <c r="M177" i="5"/>
  <c r="N176" i="5"/>
  <c r="M176" i="5"/>
  <c r="N175" i="5"/>
  <c r="M175" i="5"/>
  <c r="N174" i="5"/>
  <c r="M174" i="5"/>
  <c r="N173" i="5"/>
  <c r="M173" i="5"/>
  <c r="N172" i="5"/>
  <c r="M172" i="5"/>
  <c r="N171" i="5"/>
  <c r="M171" i="5"/>
  <c r="N170" i="5"/>
  <c r="M170" i="5"/>
  <c r="N169" i="5"/>
  <c r="M169" i="5"/>
  <c r="N168" i="5"/>
  <c r="M168" i="5"/>
  <c r="N167" i="5"/>
  <c r="M167" i="5"/>
  <c r="M166" i="5"/>
  <c r="M165" i="5"/>
  <c r="M164" i="5"/>
  <c r="M163" i="5"/>
  <c r="M162" i="5"/>
  <c r="M161" i="5"/>
  <c r="M160" i="5"/>
  <c r="M159" i="5"/>
  <c r="M158" i="5"/>
  <c r="M157" i="5"/>
  <c r="M156" i="5"/>
  <c r="M155" i="5"/>
  <c r="M154" i="5"/>
  <c r="M153" i="5"/>
  <c r="M152" i="5"/>
  <c r="M151" i="5"/>
  <c r="M150" i="5"/>
  <c r="M149" i="5"/>
  <c r="M148" i="5"/>
  <c r="M147" i="5"/>
  <c r="M146" i="5"/>
  <c r="M145" i="5"/>
  <c r="M144" i="5"/>
  <c r="M143" i="5"/>
  <c r="M142" i="5"/>
  <c r="M141" i="5"/>
  <c r="M140" i="5"/>
  <c r="M139" i="5"/>
  <c r="M138" i="5"/>
  <c r="M137" i="5"/>
  <c r="M136" i="5"/>
  <c r="M135" i="5"/>
  <c r="M134" i="5"/>
  <c r="M133" i="5"/>
  <c r="M132" i="5"/>
  <c r="M131" i="5"/>
  <c r="M130" i="5"/>
  <c r="M129" i="5"/>
  <c r="M128" i="5"/>
  <c r="M127" i="5"/>
  <c r="M126" i="5"/>
  <c r="M125" i="5"/>
  <c r="M124" i="5"/>
  <c r="M123" i="5"/>
  <c r="M122" i="5"/>
  <c r="M121" i="5"/>
  <c r="M120" i="5"/>
  <c r="M119" i="5"/>
  <c r="M118" i="5"/>
  <c r="M117" i="5"/>
  <c r="M116" i="5"/>
  <c r="M115" i="5"/>
  <c r="M114" i="5"/>
  <c r="M113" i="5"/>
  <c r="M112" i="5"/>
  <c r="M111" i="5"/>
  <c r="M110" i="5"/>
  <c r="M109" i="5"/>
  <c r="M108" i="5"/>
  <c r="M107" i="5"/>
  <c r="M106" i="5"/>
  <c r="M105" i="5"/>
  <c r="M104" i="5"/>
  <c r="M103" i="5"/>
  <c r="M102" i="5"/>
  <c r="M101" i="5"/>
  <c r="M100" i="5"/>
  <c r="M99" i="5"/>
  <c r="M98" i="5"/>
  <c r="M97" i="5"/>
  <c r="M96" i="5"/>
  <c r="M95" i="5"/>
  <c r="M94" i="5"/>
  <c r="M93" i="5"/>
  <c r="M92" i="5"/>
  <c r="M91" i="5"/>
  <c r="M90" i="5"/>
  <c r="M89" i="5"/>
  <c r="M88" i="5"/>
  <c r="M87" i="5"/>
  <c r="M86" i="5"/>
  <c r="M85" i="5"/>
  <c r="M84" i="5"/>
  <c r="M83" i="5"/>
  <c r="M82" i="5"/>
  <c r="M81" i="5"/>
  <c r="M80" i="5"/>
  <c r="M79" i="5"/>
  <c r="M78" i="5"/>
  <c r="M77" i="5"/>
  <c r="M76" i="5"/>
  <c r="M75" i="5"/>
  <c r="M74" i="5"/>
  <c r="M73" i="5"/>
  <c r="M72" i="5"/>
  <c r="M71" i="5"/>
  <c r="M70" i="5"/>
  <c r="M69" i="5"/>
  <c r="M68" i="5"/>
  <c r="M67" i="5"/>
  <c r="M66" i="5"/>
  <c r="M65" i="5"/>
  <c r="M64" i="5"/>
  <c r="M63" i="5"/>
  <c r="M62" i="5"/>
  <c r="M61" i="5"/>
  <c r="M60" i="5"/>
  <c r="M59" i="5"/>
  <c r="M58" i="5"/>
  <c r="M57" i="5"/>
  <c r="M56" i="5"/>
  <c r="M55" i="5"/>
  <c r="M54" i="5"/>
  <c r="M53" i="5"/>
  <c r="M52" i="5"/>
  <c r="M51" i="5"/>
  <c r="M50" i="5"/>
  <c r="M49" i="5"/>
  <c r="M48" i="5"/>
  <c r="M47" i="5"/>
  <c r="M46" i="5"/>
  <c r="M45" i="5"/>
  <c r="M44" i="5"/>
  <c r="M43" i="5"/>
  <c r="M42" i="5"/>
  <c r="M41" i="5"/>
  <c r="M40" i="5"/>
  <c r="M39" i="5"/>
  <c r="M38" i="5"/>
  <c r="M37" i="5"/>
  <c r="M36" i="5"/>
  <c r="M35" i="5"/>
  <c r="M34" i="5"/>
  <c r="M33" i="5"/>
  <c r="M32" i="5"/>
  <c r="M31" i="5"/>
  <c r="M30" i="5"/>
  <c r="M29" i="5"/>
  <c r="M28" i="5"/>
  <c r="M27" i="5"/>
  <c r="M26" i="5"/>
  <c r="M25" i="5"/>
  <c r="M24" i="5"/>
  <c r="M23" i="5"/>
  <c r="M22" i="5"/>
  <c r="M21" i="5"/>
  <c r="M20" i="5"/>
  <c r="M19" i="5"/>
  <c r="M18" i="5"/>
  <c r="M17" i="5"/>
  <c r="M16" i="5"/>
  <c r="M15" i="5"/>
  <c r="M14" i="5"/>
  <c r="M13" i="5"/>
  <c r="M12" i="5"/>
  <c r="M11" i="5"/>
  <c r="M10" i="5"/>
  <c r="M9" i="5"/>
  <c r="M8" i="5"/>
  <c r="M7" i="5"/>
  <c r="M6" i="5"/>
  <c r="M5" i="5"/>
  <c r="M4" i="5"/>
  <c r="M3" i="5"/>
  <c r="C47" i="4"/>
  <c r="D47" i="4"/>
  <c r="E47" i="4"/>
  <c r="F47" i="4"/>
  <c r="G47" i="4"/>
  <c r="H47" i="4"/>
  <c r="I47" i="4"/>
  <c r="B54" i="4"/>
  <c r="B57" i="4" s="1"/>
  <c r="C54" i="4"/>
  <c r="C57" i="4" s="1"/>
  <c r="D54" i="4"/>
  <c r="D57" i="4" s="1"/>
  <c r="E54" i="4"/>
  <c r="E57" i="4" s="1"/>
  <c r="F54" i="4"/>
  <c r="G54" i="4"/>
  <c r="G57" i="4" s="1"/>
  <c r="H54" i="4"/>
  <c r="H57" i="4" s="1"/>
  <c r="I54" i="4"/>
  <c r="I57" i="4" s="1"/>
  <c r="B55" i="4"/>
  <c r="C55" i="4"/>
  <c r="D55" i="4"/>
  <c r="E55" i="4"/>
  <c r="F55" i="4"/>
  <c r="G55" i="4"/>
  <c r="H55" i="4"/>
  <c r="I55" i="4"/>
  <c r="B56" i="4"/>
  <c r="C56" i="4"/>
  <c r="D56" i="4"/>
  <c r="E56" i="4"/>
  <c r="F56" i="4"/>
  <c r="G56" i="4"/>
  <c r="H56" i="4"/>
  <c r="I56" i="4"/>
  <c r="F57" i="4"/>
</calcChain>
</file>

<file path=xl/comments1.xml><?xml version="1.0" encoding="utf-8"?>
<comments xmlns="http://schemas.openxmlformats.org/spreadsheetml/2006/main">
  <authors>
    <author>J Laundre</author>
    <author>jiml</author>
    <author xml:space="preserve"> Jim Laundre</author>
    <author>James Laundre</author>
    <author>powell</author>
    <author>Jim Laundre</author>
    <author>ruggem</author>
    <author>Field Description</author>
  </authors>
  <commentList>
    <comment ref="A2" authorId="0">
      <text>
        <r>
          <rPr>
            <sz val="8"/>
            <color indexed="81"/>
            <rFont val="Tahoma"/>
            <family val="2"/>
          </rPr>
          <t>A unique number assigned by the Information Manager 
for use with  Metacat server.  You DO NOT need to enter anything.</t>
        </r>
      </text>
    </comment>
    <comment ref="A3" authorId="0">
      <text>
        <r>
          <rPr>
            <sz val="8"/>
            <color indexed="81"/>
            <rFont val="Tahoma"/>
            <family val="2"/>
          </rPr>
          <t>Year of public release of the data. Filled out by the Information Manager.
  You DO NOT need to enter anything.</t>
        </r>
      </text>
    </comment>
    <comment ref="A4" authorId="1">
      <text>
        <r>
          <rPr>
            <b/>
            <sz val="8"/>
            <color indexed="81"/>
            <rFont val="Tahoma"/>
            <family val="2"/>
          </rPr>
          <t xml:space="preserve">This is the URL for the metadata file.  It is filled in by the Information Manager. You DO NOT need to enter anything.
</t>
        </r>
        <r>
          <rPr>
            <sz val="8"/>
            <color indexed="81"/>
            <rFont val="Tahoma"/>
            <family val="2"/>
          </rPr>
          <t xml:space="preserve">
</t>
        </r>
      </text>
    </comment>
    <comment ref="A5" authorId="0">
      <text>
        <r>
          <rPr>
            <b/>
            <sz val="8"/>
            <color indexed="81"/>
            <rFont val="Tahoma"/>
            <family val="2"/>
          </rPr>
          <t>A title for the dataset.  It should be less then 200 characters 
long and should describe the data collected, geographic context, 
research site, and time frame (</t>
        </r>
        <r>
          <rPr>
            <b/>
            <sz val="10"/>
            <color indexed="81"/>
            <rFont val="Tahoma"/>
            <family val="2"/>
          </rPr>
          <t>what, where, and when).</t>
        </r>
        <r>
          <rPr>
            <sz val="8"/>
            <color indexed="81"/>
            <rFont val="Tahoma"/>
            <family val="2"/>
          </rPr>
          <t xml:space="preserve">
For example: Soluble reactive phosphorus, ammonium, and nitrate data from the Kuparuk River, near Toolik Field Station, Alaska, summers 1990-2010.</t>
        </r>
      </text>
    </comment>
    <comment ref="B5" authorId="0">
      <text>
        <r>
          <rPr>
            <b/>
            <sz val="8"/>
            <color indexed="81"/>
            <rFont val="Tahoma"/>
            <family val="2"/>
          </rPr>
          <t>A title for the dataset.  It should be less then 200 characters 
long and should describe the data collected, geographic context, 
research site, and time frame (</t>
        </r>
        <r>
          <rPr>
            <b/>
            <sz val="10"/>
            <color indexed="81"/>
            <rFont val="Tahoma"/>
            <family val="2"/>
          </rPr>
          <t>what, where, and when).</t>
        </r>
        <r>
          <rPr>
            <sz val="8"/>
            <color indexed="81"/>
            <rFont val="Tahoma"/>
            <family val="2"/>
          </rPr>
          <t xml:space="preserve">
For example: Soluble reactive phosphorus, ammonium, and nitrate data from the Kuparuk River, near Toolik Field Station, Alaska, summers 1990-2010.</t>
        </r>
      </text>
    </comment>
    <comment ref="A6" authorId="0">
      <text>
        <r>
          <rPr>
            <b/>
            <sz val="8"/>
            <color indexed="81"/>
            <rFont val="Tahoma"/>
            <family val="2"/>
          </rPr>
          <t xml:space="preserve">Short, accurate explanation of the data set. Be informative since this is
used as the description in the web page index. Double click on the box 
to write or paste the information.  </t>
        </r>
        <r>
          <rPr>
            <sz val="8"/>
            <color indexed="81"/>
            <rFont val="Tahoma"/>
            <family val="2"/>
          </rPr>
          <t xml:space="preserve">
</t>
        </r>
      </text>
    </comment>
    <comment ref="B7" authorId="2">
      <text>
        <r>
          <rPr>
            <b/>
            <sz val="8"/>
            <color indexed="81"/>
            <rFont val="Tahoma"/>
            <family val="2"/>
          </rPr>
          <t xml:space="preserve"> Enter a short, accurate explanation of the dataset in the box below. Be informative since it is used as the description in the web page index. </t>
        </r>
      </text>
    </comment>
    <comment ref="A14" authorId="0">
      <text>
        <r>
          <rPr>
            <sz val="8"/>
            <color indexed="81"/>
            <rFont val="Tahoma"/>
            <family val="2"/>
          </rPr>
          <t xml:space="preserve">The dataset identifier is a unique label for the data set that 
is constructed from the file name without the file extension, 
followed by a version number, e.g. 1998dltlh.01.  If there are 
any changes made to the metadata or data files the version
 number is incremented and a note is added in the </t>
        </r>
        <r>
          <rPr>
            <b/>
            <sz val="8"/>
            <color indexed="81"/>
            <rFont val="Tahoma"/>
            <family val="2"/>
          </rPr>
          <t>Log of Changes</t>
        </r>
        <r>
          <rPr>
            <sz val="8"/>
            <color indexed="81"/>
            <rFont val="Tahoma"/>
            <family val="2"/>
          </rPr>
          <t xml:space="preserve"> section.
</t>
        </r>
      </text>
    </comment>
    <comment ref="B14" authorId="0">
      <text>
        <r>
          <rPr>
            <sz val="8"/>
            <color indexed="81"/>
            <rFont val="Tahoma"/>
            <family val="2"/>
          </rPr>
          <t xml:space="preserve">The dataset identifier is a unique label for the data set that 
is constructed from the file name without the file extension, 
followed by a version number, e.g. 1998dltlh.01.  If there are 
any changes made to the metadata or data files the version
 number is incremented and a note is added in the </t>
        </r>
        <r>
          <rPr>
            <b/>
            <sz val="8"/>
            <color indexed="81"/>
            <rFont val="Tahoma"/>
            <family val="2"/>
          </rPr>
          <t>Log of Changes</t>
        </r>
        <r>
          <rPr>
            <sz val="8"/>
            <color indexed="81"/>
            <rFont val="Tahoma"/>
            <family val="2"/>
          </rPr>
          <t xml:space="preserve"> section.
</t>
        </r>
      </text>
    </comment>
    <comment ref="A16" authorId="3">
      <text>
        <r>
          <rPr>
            <b/>
            <sz val="8"/>
            <color indexed="81"/>
            <rFont val="Tahoma"/>
            <family val="2"/>
          </rPr>
          <t xml:space="preserve">List here the name and address of the  persons associated with the data set.  The Owner role  identifies the person to be contacted for more information.
</t>
        </r>
        <r>
          <rPr>
            <b/>
            <sz val="8"/>
            <color indexed="10"/>
            <rFont val="Tahoma"/>
            <family val="2"/>
          </rPr>
          <t xml:space="preserve">
</t>
        </r>
      </text>
    </comment>
    <comment ref="A30" authorId="3">
      <text>
        <r>
          <rPr>
            <b/>
            <sz val="8"/>
            <color indexed="81"/>
            <rFont val="Tahoma"/>
            <family val="2"/>
          </rPr>
          <t xml:space="preserve">The format of the data file should always be ASCII comma delimited with a .csv extension. The first line of the data file MUST be  a comma delimited list of the variable names. A spreadsheet or database file may also be included, but it must have the first row with the variable names and only data below the names. </t>
        </r>
        <r>
          <rPr>
            <b/>
            <sz val="8"/>
            <color indexed="10"/>
            <rFont val="Tahoma"/>
            <family val="2"/>
          </rPr>
          <t>There can not be any other stray data on the sheet.</t>
        </r>
        <r>
          <rPr>
            <sz val="8"/>
            <color indexed="81"/>
            <rFont val="Tahoma"/>
            <family val="2"/>
          </rPr>
          <t xml:space="preserve">
NOTE: Change in file extension from .data to .csv starting in 2010.</t>
        </r>
      </text>
    </comment>
    <comment ref="A31" authorId="1">
      <text>
        <r>
          <rPr>
            <b/>
            <sz val="8"/>
            <color indexed="81"/>
            <rFont val="Tahoma"/>
            <family val="2"/>
          </rPr>
          <t>The URL for the data file that this metadata describes.  This will be fill in by the Information Manager.  You Do NOT need to fill in.</t>
        </r>
      </text>
    </comment>
    <comment ref="A32" authorId="3">
      <text>
        <r>
          <rPr>
            <b/>
            <sz val="8"/>
            <color indexed="81"/>
            <rFont val="Tahoma"/>
            <family val="2"/>
          </rPr>
          <t xml:space="preserve">File naming convention is as follows: First four characters
 are for the year the data were collected. If the file is a 
multiyear collection then use eight or nine characters to
 indicate the span of years. Next characters are for the 
data type identifier. This can either be a PI's initials or a 
data type code, e.g. a lake code, dl for data logger, etc. 
The next four to ten characters are for briefly describing 
the data file. File extensions are .txt for document files and 
.csv for data files. Please do not create excessively long 
names and do not use spaces in the filename. Note that 
we are no longer limiting the name to eight characters.
</t>
        </r>
      </text>
    </comment>
    <comment ref="B32" authorId="3">
      <text>
        <r>
          <rPr>
            <b/>
            <sz val="8"/>
            <color indexed="81"/>
            <rFont val="Tahoma"/>
            <family val="2"/>
          </rPr>
          <t xml:space="preserve">File naming convention is as follows: First four characters
 are for the year the data were collected. If the file is a 
multiyear collection then use eight or nine characters to
 indicate the span of years. Next characters are for the 
data type identifier. This can either be a PI's initials or a 
data type code, e.g. a lake code, dl for data logger, etc. 
The next four to ten characters are for briefly describing 
the data file. File extensions are .txt for document files and 
.csv for data files. Please do not create excessively long 
names and do not use spaces in the filename. Note that 
we are no longer limiting the name to eight characters.
</t>
        </r>
      </text>
    </comment>
    <comment ref="A33" authorId="3">
      <text>
        <r>
          <rPr>
            <b/>
            <sz val="8"/>
            <color indexed="81"/>
            <rFont val="Tahoma"/>
            <family val="2"/>
          </rPr>
          <t xml:space="preserve"> The date that data collection began for the dataset.</t>
        </r>
      </text>
    </comment>
    <comment ref="B33" authorId="3">
      <text>
        <r>
          <rPr>
            <b/>
            <sz val="8"/>
            <color indexed="81"/>
            <rFont val="Tahoma"/>
            <family val="2"/>
          </rPr>
          <t xml:space="preserve"> The date that data collection began for the dataset.</t>
        </r>
      </text>
    </comment>
    <comment ref="A34" authorId="0">
      <text>
        <r>
          <rPr>
            <b/>
            <sz val="8"/>
            <color indexed="81"/>
            <rFont val="Tahoma"/>
            <family val="2"/>
          </rPr>
          <t>The ending date of data collection.</t>
        </r>
        <r>
          <rPr>
            <sz val="8"/>
            <color indexed="81"/>
            <rFont val="Tahoma"/>
            <family val="2"/>
          </rPr>
          <t xml:space="preserve">
</t>
        </r>
      </text>
    </comment>
    <comment ref="B34" authorId="0">
      <text>
        <r>
          <rPr>
            <b/>
            <sz val="8"/>
            <color indexed="81"/>
            <rFont val="Tahoma"/>
            <family val="2"/>
          </rPr>
          <t>The ending date of data collection.</t>
        </r>
        <r>
          <rPr>
            <sz val="8"/>
            <color indexed="81"/>
            <rFont val="Tahoma"/>
            <family val="2"/>
          </rPr>
          <t xml:space="preserve">
</t>
        </r>
      </text>
    </comment>
    <comment ref="A35" authorId="4">
      <text>
        <r>
          <rPr>
            <b/>
            <sz val="8"/>
            <color indexed="81"/>
            <rFont val="Tahoma"/>
            <family val="2"/>
          </rPr>
          <t xml:space="preserve">Number of Data Records field:
</t>
        </r>
        <r>
          <rPr>
            <sz val="8"/>
            <color indexed="81"/>
            <rFont val="Tahoma"/>
            <family val="2"/>
          </rPr>
          <t>Total number of Data Records found in the dataset.</t>
        </r>
        <r>
          <rPr>
            <sz val="8"/>
            <color indexed="81"/>
            <rFont val="Tahoma"/>
            <family val="2"/>
          </rPr>
          <t xml:space="preserve"> This is typically an integer value.</t>
        </r>
      </text>
    </comment>
    <comment ref="B35" authorId="4">
      <text>
        <r>
          <rPr>
            <b/>
            <sz val="8"/>
            <color indexed="81"/>
            <rFont val="Tahoma"/>
            <family val="2"/>
          </rPr>
          <t xml:space="preserve">Number of Data Records field:
</t>
        </r>
        <r>
          <rPr>
            <sz val="8"/>
            <color indexed="81"/>
            <rFont val="Tahoma"/>
            <family val="2"/>
          </rPr>
          <t>Total number of Data Records found in the dataset.</t>
        </r>
        <r>
          <rPr>
            <sz val="8"/>
            <color indexed="81"/>
            <rFont val="Tahoma"/>
            <family val="2"/>
          </rPr>
          <t xml:space="preserve"> This is typically an integer value.</t>
        </r>
      </text>
    </comment>
    <comment ref="A36" authorId="0">
      <text>
        <r>
          <rPr>
            <b/>
            <sz val="8"/>
            <color indexed="81"/>
            <rFont val="Tahoma"/>
            <family val="2"/>
          </rPr>
          <t>Any other files that are related to this data file. 
If not part of the Arctic LTER database then list full reference to the file.</t>
        </r>
        <r>
          <rPr>
            <sz val="8"/>
            <color indexed="81"/>
            <rFont val="Tahoma"/>
            <family val="2"/>
          </rPr>
          <t xml:space="preserve">
</t>
        </r>
      </text>
    </comment>
    <comment ref="B36" authorId="0">
      <text>
        <r>
          <rPr>
            <b/>
            <sz val="8"/>
            <color indexed="81"/>
            <rFont val="Tahoma"/>
            <family val="2"/>
          </rPr>
          <t>Any other files that are related to this data file. 
If not part of the Arctic LTER database then list full reference to the file.</t>
        </r>
        <r>
          <rPr>
            <sz val="8"/>
            <color indexed="81"/>
            <rFont val="Tahoma"/>
            <family val="2"/>
          </rPr>
          <t xml:space="preserve">
</t>
        </r>
      </text>
    </comment>
    <comment ref="A37" authorId="3">
      <text>
        <r>
          <rPr>
            <b/>
            <sz val="8"/>
            <color indexed="81"/>
            <rFont val="Tahoma"/>
            <family val="2"/>
          </rPr>
          <t xml:space="preserve">Type of Availability Status 
Type 1: data available within 2-3 years with few or no restrictions. 
Type 2: in exceptional cases, data sets are available only with
 permission from the ARC LTER investigator. This status is 
rare and needs written justification.
</t>
        </r>
      </text>
    </comment>
    <comment ref="B37" authorId="3">
      <text>
        <r>
          <rPr>
            <b/>
            <sz val="8"/>
            <color indexed="81"/>
            <rFont val="Tahoma"/>
            <family val="2"/>
          </rPr>
          <t xml:space="preserve">Type of Availability Status 
Type 1: data available within 2-3 years with few or no restrictions. 
Type 2: in exceptional cases, data sets are available only with
 permission from the ARC LTER investigator. This status is 
rare and needs written justification.
</t>
        </r>
      </text>
    </comment>
    <comment ref="A38" authorId="4">
      <text>
        <r>
          <rPr>
            <sz val="8"/>
            <color indexed="81"/>
            <rFont val="Tahoma"/>
            <family val="2"/>
          </rPr>
          <t xml:space="preserve">A description of the Quality Control procedures that relate to the dataset. </t>
        </r>
      </text>
    </comment>
    <comment ref="B38" authorId="4">
      <text>
        <r>
          <rPr>
            <sz val="8"/>
            <color indexed="81"/>
            <rFont val="Tahoma"/>
            <family val="2"/>
          </rPr>
          <t xml:space="preserve">A description of the Quality Control procedures that relate to the dataset. </t>
        </r>
      </text>
    </comment>
    <comment ref="A39" authorId="4">
      <text>
        <r>
          <rPr>
            <sz val="8"/>
            <color indexed="81"/>
            <rFont val="Tahoma"/>
            <family val="2"/>
          </rPr>
          <t xml:space="preserve">A description of the maintenance of this data resource. 
This includes information about the frequency of update, 
and whether there is ongoing data collection. </t>
        </r>
      </text>
    </comment>
    <comment ref="B39" authorId="4">
      <text>
        <r>
          <rPr>
            <sz val="8"/>
            <color indexed="81"/>
            <rFont val="Tahoma"/>
            <family val="2"/>
          </rPr>
          <t xml:space="preserve">A description of the maintenance of this data resource. 
This includes information about the frequency of update, 
and whether there is ongoing data collection. </t>
        </r>
      </text>
    </comment>
    <comment ref="A40" authorId="0">
      <text>
        <r>
          <rPr>
            <sz val="10"/>
            <color indexed="81"/>
            <rFont val="Tahoma"/>
            <family val="2"/>
          </rPr>
          <t xml:space="preserve">The log should list a date and the reason for any changes.  
</t>
        </r>
        <r>
          <rPr>
            <sz val="10"/>
            <color indexed="10"/>
            <rFont val="Tahoma"/>
            <family val="2"/>
          </rPr>
          <t xml:space="preserve">This log should be filled in whenever there is a change in the dataset. </t>
        </r>
        <r>
          <rPr>
            <sz val="10"/>
            <color indexed="81"/>
            <rFont val="Tahoma"/>
            <family val="2"/>
          </rPr>
          <t xml:space="preserve">
Insert more rows when need.</t>
        </r>
      </text>
    </comment>
    <comment ref="B40" authorId="0">
      <text>
        <r>
          <rPr>
            <sz val="10"/>
            <color indexed="81"/>
            <rFont val="Tahoma"/>
            <family val="2"/>
          </rPr>
          <t xml:space="preserve">The log should list a date and the reason for any changes.  
</t>
        </r>
        <r>
          <rPr>
            <sz val="10"/>
            <color indexed="10"/>
            <rFont val="Tahoma"/>
            <family val="2"/>
          </rPr>
          <t xml:space="preserve">This log should be filled in whenever there is a change in the dataset. </t>
        </r>
        <r>
          <rPr>
            <sz val="10"/>
            <color indexed="81"/>
            <rFont val="Tahoma"/>
            <family val="2"/>
          </rPr>
          <t xml:space="preserve">
Insert more rows when need.</t>
        </r>
      </text>
    </comment>
    <comment ref="A45" authorId="3">
      <text>
        <r>
          <rPr>
            <b/>
            <sz val="8"/>
            <color indexed="81"/>
            <rFont val="Tahoma"/>
            <family val="2"/>
          </rPr>
          <t xml:space="preserve">The name of the sampling location or site number (from the official ARC 
LTER site list),  a description, latitude and longitude if you have it. 
Remember to include not only the name, but, when necessary, details 
and descriptions of the sampling location. Examples would be: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
If the location is best described by a bounding box then enter the coordinates in decimal 
degrees below.  If the location is known by a single latitude and longitude 
then enter the coordinates in the latitude and longitude cells below.
</t>
        </r>
      </text>
    </comment>
    <comment ref="A46" authorId="3">
      <text>
        <r>
          <rPr>
            <b/>
            <sz val="8"/>
            <color indexed="81"/>
            <rFont val="Tahoma"/>
            <family val="2"/>
          </rPr>
          <t xml:space="preserve">The name of the sampling location or site number (from the official ARC 
LTER site list).  If the site is not in the Arctic LTER site list then enter a 
new name. The description, latitude and longitude should also be filled in.  
If the location is best described by a bounding box  enter the coordinates in  below.  If the location is known by a single latitude and longitude 
then enter the coordinates in the latitude and longitude cells below. ALL in </t>
        </r>
        <r>
          <rPr>
            <b/>
            <sz val="8"/>
            <color indexed="39"/>
            <rFont val="Tahoma"/>
            <family val="2"/>
          </rPr>
          <t>decimal 
degrees.</t>
        </r>
        <r>
          <rPr>
            <b/>
            <sz val="8"/>
            <color indexed="81"/>
            <rFont val="Tahoma"/>
            <family val="2"/>
          </rPr>
          <t xml:space="preserve">
</t>
        </r>
      </text>
    </comment>
    <comment ref="B46" authorId="1">
      <text>
        <r>
          <rPr>
            <b/>
            <sz val="9"/>
            <color indexed="81"/>
            <rFont val="Tahoma"/>
            <family val="2"/>
          </rPr>
          <t xml:space="preserve">The name of the sampling location or site number (from the official ARC LTER site list) see the "ARC LTER sites" worksheet Or enter a new site here.
</t>
        </r>
      </text>
    </comment>
    <comment ref="A47"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B47"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C47"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D47"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E47"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F47"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G47"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H47"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I47"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A49" authorId="4">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B49" authorId="4">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C49" authorId="4">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D49" authorId="4">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E49" authorId="4">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F49" authorId="4">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G49" authorId="4">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H49" authorId="4">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A50" authorId="4">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B50" authorId="4">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C50" authorId="4">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D50" authorId="4">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E50" authorId="4">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F50" authorId="4">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G50" authorId="4">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H50" authorId="4">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A51" authorId="4">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B51" authorId="4">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C51" authorId="4">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D51" authorId="4">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E51" authorId="4">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F51" authorId="4">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G51" authorId="4">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H51" authorId="4">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A52" authorId="4">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B52" authorId="4">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C52" authorId="4">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D52" authorId="4">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E52" authorId="4">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F52" authorId="4">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G52" authorId="4">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H52" authorId="4">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A54" authorId="4">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B54" authorId="4">
      <text>
        <r>
          <rPr>
            <sz val="8"/>
            <color indexed="81"/>
            <rFont val="Tahoma"/>
            <family val="2"/>
          </rPr>
          <t xml:space="preserve">This field is </t>
        </r>
        <r>
          <rPr>
            <sz val="8"/>
            <color indexed="10"/>
            <rFont val="Tahoma"/>
            <family val="2"/>
          </rPr>
          <t xml:space="preserve">REQURIED: </t>
        </r>
        <r>
          <rPr>
            <sz val="8"/>
            <color indexed="81"/>
            <rFont val="Tahoma"/>
            <family val="2"/>
          </rPr>
          <t>The name of the sampling location, latitude and longitude and datum if you have it. Include not only the name, but details and descriptions of the sampling location. 
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C54" authorId="4">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D54" authorId="4">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E54" authorId="4">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F54" authorId="4">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G54" authorId="4">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H54" authorId="4">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A55" authorId="4">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B55" authorId="4">
      <text>
        <r>
          <rPr>
            <sz val="8"/>
            <color indexed="81"/>
            <rFont val="Tahoma"/>
            <family val="2"/>
          </rPr>
          <t xml:space="preserve">This field is </t>
        </r>
        <r>
          <rPr>
            <sz val="8"/>
            <color indexed="10"/>
            <rFont val="Tahoma"/>
            <family val="2"/>
          </rPr>
          <t xml:space="preserve">REQURIED: </t>
        </r>
        <r>
          <rPr>
            <sz val="8"/>
            <color indexed="81"/>
            <rFont val="Tahoma"/>
            <family val="2"/>
          </rPr>
          <t>The name of the sampling location, latitude and longitude and datum if you have it. Include not only the name, but details and descriptions of the sampling location. 
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C55" authorId="4">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D55" authorId="4">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E55" authorId="4">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F55" authorId="4">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G55" authorId="4">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H55" authorId="4">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B56" authorId="4">
      <text>
        <r>
          <rPr>
            <sz val="8"/>
            <color indexed="81"/>
            <rFont val="Tahoma"/>
            <family val="2"/>
          </rPr>
          <t xml:space="preserve">This field is </t>
        </r>
        <r>
          <rPr>
            <sz val="8"/>
            <color indexed="10"/>
            <rFont val="Tahoma"/>
            <family val="2"/>
          </rPr>
          <t xml:space="preserve">REQURIED: </t>
        </r>
        <r>
          <rPr>
            <sz val="8"/>
            <color indexed="81"/>
            <rFont val="Tahoma"/>
            <family val="2"/>
          </rPr>
          <t>The name of the sampling location, latitude and longitude and datum if you have it. Include not only the name, but details and descriptions of the sampling location. 
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A57" authorId="1">
      <text>
        <r>
          <rPr>
            <b/>
            <sz val="9"/>
            <color indexed="81"/>
            <rFont val="Tahoma"/>
            <family val="2"/>
          </rPr>
          <t>This link is generated by a formula using the lat long.  It's a way oc checking the values entered.</t>
        </r>
      </text>
    </comment>
    <comment ref="A60" authorId="5">
      <text>
        <r>
          <rPr>
            <b/>
            <sz val="8"/>
            <color indexed="81"/>
            <rFont val="Tahoma"/>
            <family val="2"/>
          </rPr>
          <t xml:space="preserve">Genus and /or species names for all organisms relevant to the study.
Separate the organisms with a semicolon or comma. For subspecies and variety use ssp. and var. For example  </t>
        </r>
        <r>
          <rPr>
            <sz val="8"/>
            <color indexed="81"/>
            <rFont val="Tahoma"/>
            <family val="2"/>
          </rPr>
          <t xml:space="preserve">
 Carex aquatilis var. aquatilis; Carex atlantica ssp. atlantica 
</t>
        </r>
        <r>
          <rPr>
            <sz val="8"/>
            <color indexed="10"/>
            <rFont val="Tahoma"/>
            <family val="2"/>
          </rPr>
          <t>Note:  It is good practice to check the taxonomic name with a source such as Integrated Taxonomic Information System (www.itis.gov)</t>
        </r>
      </text>
    </comment>
    <comment ref="B60" authorId="5">
      <text>
        <r>
          <rPr>
            <b/>
            <sz val="8"/>
            <color indexed="81"/>
            <rFont val="Tahoma"/>
            <family val="2"/>
          </rPr>
          <t xml:space="preserve">Genus and /or species names for all organisms relevant to the study.
Separate the organisms with a semicolon or comma. For subspecies and variety use ssp. and var. For example  </t>
        </r>
        <r>
          <rPr>
            <sz val="8"/>
            <color indexed="81"/>
            <rFont val="Tahoma"/>
            <family val="2"/>
          </rPr>
          <t xml:space="preserve">
 Carex aquatilis var. aquatilis; Carex atlantica ssp. atlantica 
</t>
        </r>
        <r>
          <rPr>
            <sz val="8"/>
            <color indexed="10"/>
            <rFont val="Tahoma"/>
            <family val="2"/>
          </rPr>
          <t>Note:  It is good practice to check the taxonomic name with a source such as Integrated Taxonomic Information System (www.itis.gov)</t>
        </r>
      </text>
    </comment>
    <comment ref="A63" authorId="3">
      <text>
        <r>
          <rPr>
            <b/>
            <sz val="8"/>
            <color indexed="81"/>
            <rFont val="Tahoma"/>
            <family val="2"/>
          </rPr>
          <t xml:space="preserve">Words that may be helpful in cross-referencing or cataloging the data. 
These should be in lower case format, unless the word is a proper name.  
</t>
        </r>
        <r>
          <rPr>
            <b/>
            <sz val="8"/>
            <color indexed="10"/>
            <rFont val="Tahoma"/>
            <family val="2"/>
          </rPr>
          <t xml:space="preserve">Please separated keywords by a semicolon or comma. 
</t>
        </r>
      </text>
    </comment>
    <comment ref="B63" authorId="3">
      <text>
        <r>
          <rPr>
            <b/>
            <sz val="8"/>
            <color indexed="81"/>
            <rFont val="Tahoma"/>
            <family val="2"/>
          </rPr>
          <t xml:space="preserve">Words that may be helpful in cross-referencing or cataloging the data. 
These should be in lower case format, unless the word is a proper name.  
</t>
        </r>
        <r>
          <rPr>
            <b/>
            <sz val="8"/>
            <color indexed="10"/>
            <rFont val="Tahoma"/>
            <family val="2"/>
          </rPr>
          <t xml:space="preserve">Please separated keywords by a semicolon or comma. 
</t>
        </r>
      </text>
    </comment>
    <comment ref="A66" authorId="3">
      <text>
        <r>
          <rPr>
            <b/>
            <sz val="8"/>
            <color indexed="81"/>
            <rFont val="Tahoma"/>
            <family val="2"/>
          </rPr>
          <t xml:space="preserve">The description of methods and research site should be fairly detailed and 
include any literature references (including author, title, journal and page 
numbers) pertaining to the methods. 
Include a Notes: section if appropriate.  Click on the box and paste or type 
the needed information. </t>
        </r>
      </text>
    </comment>
    <comment ref="A110" authorId="5">
      <text>
        <r>
          <rPr>
            <b/>
            <sz val="8"/>
            <color indexed="81"/>
            <rFont val="Tahoma"/>
            <family val="2"/>
          </rPr>
          <t>Enter a title of the protocols used. 
Then enter below the URL for online protocol documents or enter the protocol  document in the textbox . 
Be as complete as possible  including the version used.  
Note any deviation from the protocols in the methods section.</t>
        </r>
      </text>
    </comment>
    <comment ref="A111" authorId="0">
      <text>
        <r>
          <rPr>
            <b/>
            <sz val="8"/>
            <color indexed="81"/>
            <rFont val="Tahoma"/>
            <family val="2"/>
          </rPr>
          <t>List the URL to an online protocol document.</t>
        </r>
      </text>
    </comment>
    <comment ref="A113" authorId="0">
      <text>
        <r>
          <rPr>
            <b/>
            <sz val="8"/>
            <color indexed="81"/>
            <rFont val="Tahoma"/>
            <family val="2"/>
          </rPr>
          <t>Describe the protocol used. Be as complete as possible.  Include any references and deviations used from references.</t>
        </r>
      </text>
    </comment>
    <comment ref="A120" authorId="3">
      <text>
        <r>
          <rPr>
            <b/>
            <sz val="8"/>
            <color indexed="81"/>
            <rFont val="Tahoma"/>
            <family val="2"/>
          </rPr>
          <t>This section describes the variables in the data set. Please be as complete as necessary.</t>
        </r>
      </text>
    </comment>
    <comment ref="A121" authorId="3">
      <text>
        <r>
          <rPr>
            <sz val="8"/>
            <color indexed="81"/>
            <rFont val="Tahoma"/>
            <family val="2"/>
          </rPr>
          <t xml:space="preserve">   Add rows as needed with a separated row for each variable name. The variables </t>
        </r>
        <r>
          <rPr>
            <sz val="8"/>
            <color indexed="10"/>
            <rFont val="Tahoma"/>
            <family val="2"/>
          </rPr>
          <t>Date</t>
        </r>
        <r>
          <rPr>
            <sz val="8"/>
            <color indexed="81"/>
            <rFont val="Tahoma"/>
            <family val="2"/>
          </rPr>
          <t xml:space="preserve"> and </t>
        </r>
        <r>
          <rPr>
            <sz val="8"/>
            <color indexed="10"/>
            <rFont val="Tahoma"/>
            <family val="2"/>
          </rPr>
          <t>Comments</t>
        </r>
        <r>
          <rPr>
            <sz val="8"/>
            <color indexed="81"/>
            <rFont val="Tahoma"/>
            <family val="2"/>
          </rPr>
          <t xml:space="preserve"> must be
 included in every data file.
    </t>
        </r>
        <r>
          <rPr>
            <sz val="8"/>
            <color indexed="10"/>
            <rFont val="Tahoma"/>
            <family val="2"/>
          </rPr>
          <t>Date</t>
        </r>
        <r>
          <rPr>
            <sz val="8"/>
            <color indexed="81"/>
            <rFont val="Tahoma"/>
            <family val="2"/>
          </rPr>
          <t xml:space="preserve"> should be in the format DD-MMM-YYYY (i.e. 01-Jun-1988). This format avoids confusion between Canadian 
and USA forms of dates.  
    Comments must be the last column in the file, and includes any additional information about individual data points. 
All Comments for a data point must be entered on a single line, which can be no longer than 250 characters. </t>
        </r>
        <r>
          <rPr>
            <sz val="8"/>
            <color indexed="81"/>
            <rFont val="Tahoma"/>
            <family val="2"/>
          </rPr>
          <t xml:space="preserve">
     The variable </t>
        </r>
        <r>
          <rPr>
            <sz val="8"/>
            <color indexed="10"/>
            <rFont val="Tahoma"/>
            <family val="2"/>
          </rPr>
          <t>Site</t>
        </r>
        <r>
          <rPr>
            <sz val="8"/>
            <color indexed="81"/>
            <rFont val="Tahoma"/>
            <family val="2"/>
          </rPr>
          <t xml:space="preserve">, a numerical 3-digit code, should be taken from the Site Name Code List (code for streams, code 
for lakes, code for terrestrial/landwater). If you have a new site that is not on the list, do not code it yourself; ask the 
data manager to add it to the master list. The variable D/D (for depth/distance) must be included in every aquatic file, 
as it corresponds to the depth in a lake or the distance along a river from which a sample was taken. For those working 
on the Kuparuk River, D/D needs to be relative to the 1984 phosphorous dripper, and Oksrukuyik Creek should be relative 
to the 0.0 K dripper site set in 1989. 
     Variables for time in Hours are to be in 24 hour format (not AM or PM) and based on Alaska Standard Time, not Alaska 
Daylight Savings Time. Entries should be 4 places, hours and minutes, without any punctuation (examples 0458 or 2133).
Individual PIs need to be responsible for making these time corrections.
   Missing data shall be designated by a Missing Data Value. The value used should be noted , i.e. BLANK, period, N/A. 
The value -9999 should be used with caution since it can be a real value in rare cases. </t>
        </r>
      </text>
    </comment>
    <comment ref="B121" authorId="3">
      <text>
        <r>
          <rPr>
            <b/>
            <sz val="8"/>
            <color indexed="81"/>
            <rFont val="Tahoma"/>
            <family val="2"/>
          </rPr>
          <t>Variable Description is an explanation of what the Variable represents. 
Include details about the units, e.g. microgram of NH4-N per gram of oven dried soil.</t>
        </r>
      </text>
    </comment>
    <comment ref="C121" authorId="2">
      <text>
        <r>
          <rPr>
            <b/>
            <sz val="8"/>
            <color indexed="81"/>
            <rFont val="Tahoma"/>
            <family val="2"/>
          </rPr>
          <t xml:space="preserve"> Please select from the drop-down list. 
For </t>
        </r>
        <r>
          <rPr>
            <b/>
            <sz val="8"/>
            <color indexed="10"/>
            <rFont val="Tahoma"/>
            <family val="2"/>
          </rPr>
          <t>Number</t>
        </r>
        <r>
          <rPr>
            <b/>
            <sz val="8"/>
            <color indexed="81"/>
            <rFont val="Tahoma"/>
            <family val="2"/>
          </rPr>
          <t xml:space="preserve"> type remember to enter a unit.
And for </t>
        </r>
        <r>
          <rPr>
            <b/>
            <sz val="8"/>
            <color indexed="10"/>
            <rFont val="Tahoma"/>
            <family val="2"/>
          </rPr>
          <t>DateTime</t>
        </r>
        <r>
          <rPr>
            <b/>
            <sz val="8"/>
            <color indexed="81"/>
            <rFont val="Tahoma"/>
            <family val="2"/>
          </rPr>
          <t xml:space="preserve"> enter a Datetime format.</t>
        </r>
        <r>
          <rPr>
            <sz val="8"/>
            <color indexed="81"/>
            <rFont val="Tahoma"/>
            <family val="2"/>
          </rPr>
          <t xml:space="preserve">
</t>
        </r>
      </text>
    </comment>
    <comment ref="D121" authorId="4">
      <text>
        <r>
          <rPr>
            <b/>
            <sz val="8"/>
            <color indexed="81"/>
            <rFont val="Tahoma"/>
            <family val="2"/>
          </rPr>
          <t xml:space="preserve">Units field:  </t>
        </r>
        <r>
          <rPr>
            <b/>
            <sz val="8"/>
            <color indexed="10"/>
            <rFont val="Tahoma"/>
            <family val="2"/>
          </rPr>
          <t xml:space="preserve">If variable is a number use drop-down list to choose a unit.  
If it's not listed then enter the unit using a format similar to other units.  
For DataTime or Text leave blank.
</t>
        </r>
      </text>
    </comment>
    <comment ref="E121" authorId="6">
      <text>
        <r>
          <rPr>
            <b/>
            <sz val="8"/>
            <color indexed="81"/>
            <rFont val="Tahoma"/>
            <family val="2"/>
          </rPr>
          <t xml:space="preserve">Date Time format field: </t>
        </r>
        <r>
          <rPr>
            <sz val="8"/>
            <color indexed="81"/>
            <rFont val="Tahoma"/>
            <family val="2"/>
          </rPr>
          <t>Enter the datetime format 
(ex. DDMMMYYYY for 12Mar2002) for variables that are dates and or time.</t>
        </r>
      </text>
    </comment>
    <comment ref="F121" authorId="7">
      <text>
        <r>
          <rPr>
            <b/>
            <sz val="8"/>
            <color indexed="81"/>
            <rFont val="Tahoma"/>
            <family val="2"/>
          </rPr>
          <t xml:space="preserve">Codes Definitions:
</t>
        </r>
        <r>
          <rPr>
            <sz val="8"/>
            <color indexed="81"/>
            <rFont val="Tahoma"/>
            <family val="2"/>
          </rPr>
          <t>For any variables that are coded, list the values/definitions 
for codes used. Format the list as a vertical-line separated list, e.g.:
MAT=Moist Acidic Tussock | MNT = Moist Non-acidic Tussock.</t>
        </r>
        <r>
          <rPr>
            <sz val="8"/>
            <color indexed="81"/>
            <rFont val="Tahoma"/>
            <family val="2"/>
          </rPr>
          <t xml:space="preserve">
</t>
        </r>
      </text>
    </comment>
    <comment ref="G121" authorId="0">
      <text>
        <r>
          <rPr>
            <b/>
            <sz val="8"/>
            <color indexed="81"/>
            <rFont val="Tahoma"/>
            <family val="2"/>
          </rPr>
          <t>Indicate the code used for missing values, e.g. blanks or -99999</t>
        </r>
      </text>
    </comment>
    <comment ref="A122" authorId="3">
      <text>
        <r>
          <rPr>
            <sz val="8"/>
            <color indexed="81"/>
            <rFont val="Tahoma"/>
            <family val="2"/>
          </rPr>
          <t xml:space="preserve">   Add rows as needed with a separated row for each variable name. The variables </t>
        </r>
        <r>
          <rPr>
            <sz val="8"/>
            <color indexed="10"/>
            <rFont val="Tahoma"/>
            <family val="2"/>
          </rPr>
          <t>Date</t>
        </r>
        <r>
          <rPr>
            <sz val="8"/>
            <color indexed="81"/>
            <rFont val="Tahoma"/>
            <family val="2"/>
          </rPr>
          <t xml:space="preserve"> and </t>
        </r>
        <r>
          <rPr>
            <sz val="8"/>
            <color indexed="10"/>
            <rFont val="Tahoma"/>
            <family val="2"/>
          </rPr>
          <t>Comments</t>
        </r>
        <r>
          <rPr>
            <sz val="8"/>
            <color indexed="81"/>
            <rFont val="Tahoma"/>
            <family val="2"/>
          </rPr>
          <t xml:space="preserve"> must be
 included in every data file.
    </t>
        </r>
        <r>
          <rPr>
            <sz val="8"/>
            <color indexed="10"/>
            <rFont val="Tahoma"/>
            <family val="2"/>
          </rPr>
          <t>Date</t>
        </r>
        <r>
          <rPr>
            <sz val="8"/>
            <color indexed="81"/>
            <rFont val="Tahoma"/>
            <family val="2"/>
          </rPr>
          <t xml:space="preserve"> should be in the format DD-MMM-YYYY (i.e. 01-Jun-1988). This format avoids confusion between Canadian 
and USA forms of dates.  
    Comments must be the last column in the file, and includes any additional information about individual data points. 
All Comments for a data point must be entered on a single line, which can be no longer than 250 characters. </t>
        </r>
        <r>
          <rPr>
            <sz val="8"/>
            <color indexed="81"/>
            <rFont val="Tahoma"/>
            <family val="2"/>
          </rPr>
          <t xml:space="preserve">
     The variable </t>
        </r>
        <r>
          <rPr>
            <sz val="8"/>
            <color indexed="10"/>
            <rFont val="Tahoma"/>
            <family val="2"/>
          </rPr>
          <t>Site</t>
        </r>
        <r>
          <rPr>
            <sz val="8"/>
            <color indexed="81"/>
            <rFont val="Tahoma"/>
            <family val="2"/>
          </rPr>
          <t xml:space="preserve">, a numerical 3-digit code, should be taken from the Site Name Code List (code for streams, code 
for lakes, code for terrestrial/landwater). If you have a new site that is not on the list, do not code it yourself; ask the 
data manager to add it to the master list. The variable D/D (for depth/distance) must be included in every aquatic file, 
as it corresponds to the depth in a lake or the distance along a river from which a sample was taken. For those working 
on the Kuparuk River, D/D needs to be relative to the 1984 phosphorous dripper, and Oksrukuyik Creek should be relative 
to the 0.0 K dripper site set in 1989. 
     Variables for time in Hours are to be in 24 hour format (not AM or PM) and based on Alaska Standard Time, not Alaska 
Daylight Savings Time. Entries should be 4 places, hours and minutes, without any punctuation (examples 0458 or 2133).
Individual PIs need to be responsible for making these time corrections.
   Missing data shall be designated by a Missing Data Value. The value used should be noted , i.e. BLANK, period, N/A. 
The value -9999 should be used with caution since it can be a real value in rare cases. </t>
        </r>
      </text>
    </comment>
    <comment ref="B122" authorId="3">
      <text>
        <r>
          <rPr>
            <b/>
            <sz val="8"/>
            <color indexed="81"/>
            <rFont val="Tahoma"/>
            <family val="2"/>
          </rPr>
          <t>Variable Description is an explanation of what the Variable represents. 
Include details about the units, e.g. microgram of NH4-N per gram of oven dried soil.</t>
        </r>
      </text>
    </comment>
    <comment ref="C122" authorId="2">
      <text>
        <r>
          <rPr>
            <b/>
            <sz val="8"/>
            <color indexed="81"/>
            <rFont val="Tahoma"/>
            <family val="2"/>
          </rPr>
          <t xml:space="preserve"> Please select from the drop-down list. 
For </t>
        </r>
        <r>
          <rPr>
            <b/>
            <sz val="8"/>
            <color indexed="10"/>
            <rFont val="Tahoma"/>
            <family val="2"/>
          </rPr>
          <t>Number</t>
        </r>
        <r>
          <rPr>
            <b/>
            <sz val="8"/>
            <color indexed="81"/>
            <rFont val="Tahoma"/>
            <family val="2"/>
          </rPr>
          <t xml:space="preserve"> type remember to enter a unit.
And for </t>
        </r>
        <r>
          <rPr>
            <b/>
            <sz val="8"/>
            <color indexed="10"/>
            <rFont val="Tahoma"/>
            <family val="2"/>
          </rPr>
          <t>DateTime</t>
        </r>
        <r>
          <rPr>
            <b/>
            <sz val="8"/>
            <color indexed="81"/>
            <rFont val="Tahoma"/>
            <family val="2"/>
          </rPr>
          <t xml:space="preserve"> enter a Datetime format.</t>
        </r>
        <r>
          <rPr>
            <sz val="8"/>
            <color indexed="81"/>
            <rFont val="Tahoma"/>
            <family val="2"/>
          </rPr>
          <t xml:space="preserve">
</t>
        </r>
      </text>
    </comment>
    <comment ref="D122" authorId="4">
      <text>
        <r>
          <rPr>
            <b/>
            <sz val="8"/>
            <color indexed="81"/>
            <rFont val="Tahoma"/>
            <family val="2"/>
          </rPr>
          <t xml:space="preserve">Units field:  </t>
        </r>
        <r>
          <rPr>
            <b/>
            <sz val="8"/>
            <color indexed="10"/>
            <rFont val="Tahoma"/>
            <family val="2"/>
          </rPr>
          <t xml:space="preserve">If variable is a number use drop-down list to choose a unit.  
If it's not listed then enter the unit using a format similar to other units.  
For DataTime or Text leave blank.
</t>
        </r>
      </text>
    </comment>
    <comment ref="E122" authorId="6">
      <text>
        <r>
          <rPr>
            <b/>
            <sz val="8"/>
            <color indexed="81"/>
            <rFont val="Tahoma"/>
            <family val="2"/>
          </rPr>
          <t xml:space="preserve">Date Time format field: </t>
        </r>
        <r>
          <rPr>
            <sz val="8"/>
            <color indexed="81"/>
            <rFont val="Tahoma"/>
            <family val="2"/>
          </rPr>
          <t>Enter the datetime format 
(ex. DD-MMM-YY) for variables that are dates and or time.</t>
        </r>
      </text>
    </comment>
    <comment ref="F122" authorId="7">
      <text>
        <r>
          <rPr>
            <b/>
            <sz val="8"/>
            <color indexed="81"/>
            <rFont val="Tahoma"/>
            <family val="2"/>
          </rPr>
          <t xml:space="preserve">Codes Definitions:
</t>
        </r>
        <r>
          <rPr>
            <sz val="8"/>
            <color indexed="81"/>
            <rFont val="Tahoma"/>
            <family val="2"/>
          </rPr>
          <t>For any variables that are coded, list the values/definitions 
for codes used. Format the list as a vertical-line separated list, e.g.:
MAT=Moist Acidic Tussock | MNT = Moist Non-acidic Tussock.</t>
        </r>
        <r>
          <rPr>
            <sz val="8"/>
            <color indexed="81"/>
            <rFont val="Tahoma"/>
            <family val="2"/>
          </rPr>
          <t xml:space="preserve">
</t>
        </r>
      </text>
    </comment>
    <comment ref="G122" authorId="0">
      <text>
        <r>
          <rPr>
            <b/>
            <sz val="8"/>
            <color indexed="81"/>
            <rFont val="Tahoma"/>
            <family val="2"/>
          </rPr>
          <t>Indicate the code used for missing values, e.g. blanks or -99999</t>
        </r>
      </text>
    </comment>
  </commentList>
</comments>
</file>

<file path=xl/sharedStrings.xml><?xml version="1.0" encoding="utf-8"?>
<sst xmlns="http://schemas.openxmlformats.org/spreadsheetml/2006/main" count="5762" uniqueCount="1625">
  <si>
    <t>Latitude</t>
  </si>
  <si>
    <t>Longitude</t>
  </si>
  <si>
    <t>Elevation</t>
  </si>
  <si>
    <t>Field code</t>
  </si>
  <si>
    <t xml:space="preserve"> </t>
  </si>
  <si>
    <t>Burned</t>
  </si>
  <si>
    <t>State</t>
  </si>
  <si>
    <t>ARCTIC LTER DATABASE</t>
  </si>
  <si>
    <t>Metacat Package ID</t>
  </si>
  <si>
    <t>Year Released to Public</t>
  </si>
  <si>
    <t>Distribution URL for file</t>
  </si>
  <si>
    <t>DATASET TITLE:</t>
  </si>
  <si>
    <t>ABSTRACT:</t>
  </si>
  <si>
    <t xml:space="preserve">DATASET ID: </t>
  </si>
  <si>
    <r>
      <t>INVESTIGATOR INFORMATION :</t>
    </r>
    <r>
      <rPr>
        <b/>
        <sz val="9"/>
        <color indexed="48"/>
        <rFont val="Arial"/>
        <family val="2"/>
      </rPr>
      <t xml:space="preserve"> </t>
    </r>
  </si>
  <si>
    <t>Investigator 1</t>
  </si>
  <si>
    <t>Investigator 2</t>
  </si>
  <si>
    <t>Investigator 3</t>
  </si>
  <si>
    <t>Investigator 4</t>
  </si>
  <si>
    <t>Investigator 5</t>
  </si>
  <si>
    <t>Investigator 6</t>
  </si>
  <si>
    <t>Investigator 7</t>
  </si>
  <si>
    <t>Investigator 8</t>
  </si>
  <si>
    <t>Role</t>
  </si>
  <si>
    <t xml:space="preserve">Owner </t>
  </si>
  <si>
    <t xml:space="preserve">Associated Researcher </t>
  </si>
  <si>
    <t>Email</t>
  </si>
  <si>
    <t>mcmack@ufl.edu</t>
  </si>
  <si>
    <t xml:space="preserve">First Name  </t>
  </si>
  <si>
    <t>Michelle</t>
  </si>
  <si>
    <t xml:space="preserve">Last Name  </t>
  </si>
  <si>
    <t>Mack</t>
  </si>
  <si>
    <t>Organization</t>
  </si>
  <si>
    <t>Address line 2</t>
  </si>
  <si>
    <t>220 Bartram Hall</t>
  </si>
  <si>
    <t>Address line 3</t>
  </si>
  <si>
    <t>Department of Biology</t>
  </si>
  <si>
    <t xml:space="preserve"> City  </t>
  </si>
  <si>
    <t>Gainesville</t>
  </si>
  <si>
    <t xml:space="preserve">State  </t>
  </si>
  <si>
    <t>FL</t>
  </si>
  <si>
    <t xml:space="preserve">Zip Code  </t>
  </si>
  <si>
    <t>32611</t>
  </si>
  <si>
    <t>Country</t>
  </si>
  <si>
    <t>USA</t>
  </si>
  <si>
    <t xml:space="preserve">DATA FILE INFORMATION: </t>
  </si>
  <si>
    <t>Data File URL</t>
  </si>
  <si>
    <t>Data File Name</t>
  </si>
  <si>
    <t>Beginning Date</t>
  </si>
  <si>
    <t>End Date</t>
  </si>
  <si>
    <t>Number of Data Records</t>
  </si>
  <si>
    <t>Other Files to Reference</t>
  </si>
  <si>
    <t>Availability Status</t>
  </si>
  <si>
    <t>Manuscript in press at Nature, data embargoed until publication</t>
  </si>
  <si>
    <t>Quality Control Information</t>
  </si>
  <si>
    <t>Maintenance Description</t>
  </si>
  <si>
    <t>Log of Changes:</t>
  </si>
  <si>
    <t>Note you can add more sites.</t>
  </si>
  <si>
    <t xml:space="preserve">RESEARCH LOCATION: </t>
  </si>
  <si>
    <t xml:space="preserve">Geographic Description </t>
  </si>
  <si>
    <t>Location Bounding Box</t>
  </si>
  <si>
    <t xml:space="preserve">West Bounding Coordinate  </t>
  </si>
  <si>
    <t xml:space="preserve">East Bounding Coordinate </t>
  </si>
  <si>
    <t xml:space="preserve">North Bounding Coordinate  </t>
  </si>
  <si>
    <t xml:space="preserve">South Bounding Coordinate  </t>
  </si>
  <si>
    <t>OR if single point location</t>
  </si>
  <si>
    <t>TAXONOMIC COVERAGE:</t>
  </si>
  <si>
    <t>Organisms studied</t>
  </si>
  <si>
    <t xml:space="preserve">Example:  Eriophorum; Betula nana; Carex aquatilis var. aquatilis; Carex atlantica ssp. atlantica </t>
  </si>
  <si>
    <t>KEYWORD INFORMATION</t>
  </si>
  <si>
    <t xml:space="preserve">KEYWORDS: </t>
  </si>
  <si>
    <t xml:space="preserve">METHODS: </t>
  </si>
  <si>
    <t>Sampling and/or Lab Protocols</t>
  </si>
  <si>
    <t>Protocol Title</t>
  </si>
  <si>
    <t>URL of online Protocol</t>
  </si>
  <si>
    <t>OR</t>
  </si>
  <si>
    <t>Protocol Document</t>
  </si>
  <si>
    <t xml:space="preserve">VARIABLE DESCRIPTIONS: </t>
  </si>
  <si>
    <t>Do Not Modify. These are the lists for the drop-downs.</t>
  </si>
  <si>
    <t>Variable Name</t>
  </si>
  <si>
    <t>Variable Description</t>
  </si>
  <si>
    <t>Data Type</t>
  </si>
  <si>
    <t>Units</t>
  </si>
  <si>
    <t>DateTime Format</t>
  </si>
  <si>
    <t>Code Information</t>
  </si>
  <si>
    <t>Missing Value Code</t>
  </si>
  <si>
    <t>MeasurementScale</t>
  </si>
  <si>
    <t>Number Type</t>
  </si>
  <si>
    <t>Unit Name</t>
  </si>
  <si>
    <t>number</t>
  </si>
  <si>
    <t>text</t>
  </si>
  <si>
    <t>datetime</t>
  </si>
  <si>
    <t>ampere</t>
  </si>
  <si>
    <t>interval</t>
  </si>
  <si>
    <t>amperePerMeter</t>
  </si>
  <si>
    <t xml:space="preserve">Data Manager </t>
  </si>
  <si>
    <t>nominal</t>
  </si>
  <si>
    <t>amperePerMeterSquared</t>
  </si>
  <si>
    <t>Site number</t>
  </si>
  <si>
    <t xml:space="preserve">Field Crew </t>
  </si>
  <si>
    <t>ordinal</t>
  </si>
  <si>
    <t>angstrom</t>
  </si>
  <si>
    <t xml:space="preserve">Lab Crew </t>
  </si>
  <si>
    <t>ratio</t>
  </si>
  <si>
    <t>atmosphere</t>
  </si>
  <si>
    <t>becquerel</t>
  </si>
  <si>
    <t>becquerelPerGram</t>
  </si>
  <si>
    <t>centimeter</t>
  </si>
  <si>
    <t>becquerelPerMilliliter</t>
  </si>
  <si>
    <t>calorie</t>
  </si>
  <si>
    <t>candela</t>
  </si>
  <si>
    <t>candelaPerMeterSquared</t>
  </si>
  <si>
    <t>gram</t>
  </si>
  <si>
    <t>celsius</t>
  </si>
  <si>
    <t>centigram</t>
  </si>
  <si>
    <t>percent</t>
  </si>
  <si>
    <t>centimeterCubedPerCentimeterCubed</t>
  </si>
  <si>
    <t>centimeterPerSecond</t>
  </si>
  <si>
    <t>centimeterPerYear</t>
  </si>
  <si>
    <t>centimeterSquared</t>
  </si>
  <si>
    <t>centimeterSquaredPerFourHundredthMeterSquared</t>
  </si>
  <si>
    <t>centimeterSquaredPerGram</t>
  </si>
  <si>
    <t>centimolePerKilogram</t>
  </si>
  <si>
    <t>coulomb</t>
  </si>
  <si>
    <t>decibar</t>
  </si>
  <si>
    <t>decigram</t>
  </si>
  <si>
    <t>decimeter</t>
  </si>
  <si>
    <t>decisecond</t>
  </si>
  <si>
    <t>degree</t>
  </si>
  <si>
    <t>dimensionless</t>
  </si>
  <si>
    <t>disintegrationPerMinute</t>
  </si>
  <si>
    <t>gramPerCentimeterCubed</t>
  </si>
  <si>
    <t>gramPerCentimeterSquaredPerSecond</t>
  </si>
  <si>
    <t>gramPerFourHundredthMeterSquared</t>
  </si>
  <si>
    <t>gramPerGram</t>
  </si>
  <si>
    <t>gramPerHectarePerDay</t>
  </si>
  <si>
    <t>gramPerKilogram</t>
  </si>
  <si>
    <t>gramPerLiter</t>
  </si>
  <si>
    <t>gramPerLiterPerDay</t>
  </si>
  <si>
    <t>gramPerMeterCubed</t>
  </si>
  <si>
    <t>gramPerMeterSquared</t>
  </si>
  <si>
    <t>gramPerMeterSquaredPerDay</t>
  </si>
  <si>
    <t>gramPerMeterSquaredPerYear</t>
  </si>
  <si>
    <t>gramPerMilliliter</t>
  </si>
  <si>
    <t>gramPerNumber</t>
  </si>
  <si>
    <t>gramPerYear</t>
  </si>
  <si>
    <t>hectare</t>
  </si>
  <si>
    <t>hectogram</t>
  </si>
  <si>
    <t>hectometer</t>
  </si>
  <si>
    <t>hectoPascal</t>
  </si>
  <si>
    <t>hectosecond</t>
  </si>
  <si>
    <t>henry</t>
  </si>
  <si>
    <t>hertz</t>
  </si>
  <si>
    <t>hour</t>
  </si>
  <si>
    <t>joule</t>
  </si>
  <si>
    <t>joulePerCentimeterSquaredPerDay</t>
  </si>
  <si>
    <t>joulePerCentimeterSquaredPerHour</t>
  </si>
  <si>
    <t>joulePerMeterCubed</t>
  </si>
  <si>
    <t>kelvin</t>
  </si>
  <si>
    <t>kilogram</t>
  </si>
  <si>
    <t>kilogramPerHectare</t>
  </si>
  <si>
    <t>kilogramPerHectarePerYear</t>
  </si>
  <si>
    <t>kilogramPerMeterCubed</t>
  </si>
  <si>
    <t>kilogramPerMeterSquared</t>
  </si>
  <si>
    <t>kilogramPerMeterSquaredPerSecond</t>
  </si>
  <si>
    <t>kilogramPerMeterSquaredPerYear</t>
  </si>
  <si>
    <t>kilogramPerSecond</t>
  </si>
  <si>
    <t>kilohertz</t>
  </si>
  <si>
    <t>kiloliter</t>
  </si>
  <si>
    <t>kilometer</t>
  </si>
  <si>
    <t>kilometerPerHour</t>
  </si>
  <si>
    <t>kilometerSquared</t>
  </si>
  <si>
    <t>kilopascal</t>
  </si>
  <si>
    <t>kilosecond</t>
  </si>
  <si>
    <t>kilovolt</t>
  </si>
  <si>
    <t>kilowatt</t>
  </si>
  <si>
    <t>kilowattPerMeterSquared</t>
  </si>
  <si>
    <t>liter</t>
  </si>
  <si>
    <t>literPerHectare</t>
  </si>
  <si>
    <t>literPerMeterSquared</t>
  </si>
  <si>
    <t>literPerSecond</t>
  </si>
  <si>
    <t>lumen</t>
  </si>
  <si>
    <t>lux</t>
  </si>
  <si>
    <t>megagram</t>
  </si>
  <si>
    <t>megahertz</t>
  </si>
  <si>
    <t>megameter</t>
  </si>
  <si>
    <t>megapascal</t>
  </si>
  <si>
    <t>megasecond</t>
  </si>
  <si>
    <t>megavolt</t>
  </si>
  <si>
    <t>megawatt</t>
  </si>
  <si>
    <t>meter</t>
  </si>
  <si>
    <t>meterCubed</t>
  </si>
  <si>
    <t>meterCubedPerKilogram</t>
  </si>
  <si>
    <t>meterCubedPerMeterCubed</t>
  </si>
  <si>
    <t>meterCubedPerSecond</t>
  </si>
  <si>
    <t>meterPerDay</t>
  </si>
  <si>
    <t>meterPerGram</t>
  </si>
  <si>
    <t>meterPerSecond</t>
  </si>
  <si>
    <t>meterPerSecondSquared</t>
  </si>
  <si>
    <t>meterSquared</t>
  </si>
  <si>
    <t>meterSquaredPerDay</t>
  </si>
  <si>
    <t>meterSquaredPerKilogram</t>
  </si>
  <si>
    <t>meterSquaredPerMeterSquared</t>
  </si>
  <si>
    <t>meterSquaredPerNumber</t>
  </si>
  <si>
    <t>meterSquaredPerSecond</t>
  </si>
  <si>
    <t>microatmosphere</t>
  </si>
  <si>
    <t>microCuriePerMicromole</t>
  </si>
  <si>
    <t>microEinsteinPerMeterSquared</t>
  </si>
  <si>
    <t>microEinsteinPerMeterSquaredPerSecond</t>
  </si>
  <si>
    <t>microequivalentPerLiter</t>
  </si>
  <si>
    <t>microgram</t>
  </si>
  <si>
    <t>microgramPerCentimeterCubed</t>
  </si>
  <si>
    <t>microgramPerCentimeterSquared</t>
  </si>
  <si>
    <t>microgramPerGram</t>
  </si>
  <si>
    <t>microgramPerLiter</t>
  </si>
  <si>
    <t>microgramPerLiterPerDay</t>
  </si>
  <si>
    <t>microgramPerLiterPerHour</t>
  </si>
  <si>
    <t>microgramPerMilliliter</t>
  </si>
  <si>
    <t>microliter</t>
  </si>
  <si>
    <t>micrometer</t>
  </si>
  <si>
    <t>micrometerCubedPerGram</t>
  </si>
  <si>
    <t>micromole</t>
  </si>
  <si>
    <t>micromolePerGram</t>
  </si>
  <si>
    <t>micromolePerKilogram</t>
  </si>
  <si>
    <t>micromolePerLiter</t>
  </si>
  <si>
    <t>micromolePerMeterSquaredPerSecond</t>
  </si>
  <si>
    <t>micromolePerMeterSquaredPerMinute</t>
  </si>
  <si>
    <t>micromolePerMole</t>
  </si>
  <si>
    <t>micron</t>
  </si>
  <si>
    <t>microsecond</t>
  </si>
  <si>
    <t>microsiemenPerCentimeter</t>
  </si>
  <si>
    <t>millibar</t>
  </si>
  <si>
    <t>milliequivalentPerLiter</t>
  </si>
  <si>
    <t>milligram</t>
  </si>
  <si>
    <t>milligramPerKilogram</t>
  </si>
  <si>
    <t>milligramPerLiter</t>
  </si>
  <si>
    <t>milligramPerMeterCubed</t>
  </si>
  <si>
    <t>milligramPerMeterSquared</t>
  </si>
  <si>
    <t>milligramPerMeterSquaredPerDay</t>
  </si>
  <si>
    <t>milligramPerMeterSquarePerHour</t>
  </si>
  <si>
    <t>milligramPerMilliliter</t>
  </si>
  <si>
    <t>milligramPerMillimeter</t>
  </si>
  <si>
    <t>milligramPerUnit</t>
  </si>
  <si>
    <t>millihertz</t>
  </si>
  <si>
    <t>milliliter</t>
  </si>
  <si>
    <t>milliliterPerLiter</t>
  </si>
  <si>
    <t>millimeter</t>
  </si>
  <si>
    <t>millimeterPerNumber</t>
  </si>
  <si>
    <t>millimeterPerSecond</t>
  </si>
  <si>
    <t>millimeterPerUnit</t>
  </si>
  <si>
    <t>millimeterSquared</t>
  </si>
  <si>
    <t>millimolePerGram</t>
  </si>
  <si>
    <t>millimolePerMeterCubed</t>
  </si>
  <si>
    <t>millimolePerMeterSquaredPerHour</t>
  </si>
  <si>
    <t>millimolePerMeterSquaredPerSecond</t>
  </si>
  <si>
    <t>millimolePerMole</t>
  </si>
  <si>
    <t>millisecond</t>
  </si>
  <si>
    <t>millisiemenPerCentimeter</t>
  </si>
  <si>
    <t>millivolt</t>
  </si>
  <si>
    <t>milliwatt</t>
  </si>
  <si>
    <t>minute</t>
  </si>
  <si>
    <t>molality</t>
  </si>
  <si>
    <t>molarity</t>
  </si>
  <si>
    <t>mole</t>
  </si>
  <si>
    <t>molePerGram</t>
  </si>
  <si>
    <t>molePerKilogram</t>
  </si>
  <si>
    <t>molePerKilogramPerSecond</t>
  </si>
  <si>
    <t>molePerMeterCubed</t>
  </si>
  <si>
    <t>molePerMeterSquaredPerDay</t>
  </si>
  <si>
    <t>nanogram</t>
  </si>
  <si>
    <t>nanometer</t>
  </si>
  <si>
    <t>nanomolePerGramPerSecond</t>
  </si>
  <si>
    <t>nanosecond</t>
  </si>
  <si>
    <t>newton</t>
  </si>
  <si>
    <t>numberPerCentimeterSquaredPerHour</t>
  </si>
  <si>
    <t>numberPerGram</t>
  </si>
  <si>
    <t>numberPerKilometerSquared</t>
  </si>
  <si>
    <t>numberPerLiter</t>
  </si>
  <si>
    <t>numberPerMeterCubed</t>
  </si>
  <si>
    <t>numberPerMeterSquared</t>
  </si>
  <si>
    <t>numberPerMilliliter</t>
  </si>
  <si>
    <t>ohm</t>
  </si>
  <si>
    <t>ohmMeter</t>
  </si>
  <si>
    <t>partPerMillion</t>
  </si>
  <si>
    <t>partPerThousand</t>
  </si>
  <si>
    <t>pascal</t>
  </si>
  <si>
    <t>picomolePerLiter</t>
  </si>
  <si>
    <t>picomolePerLiterPerHour</t>
  </si>
  <si>
    <t>radian</t>
  </si>
  <si>
    <t>second</t>
  </si>
  <si>
    <t>siemenPerMeter</t>
  </si>
  <si>
    <t>siemens</t>
  </si>
  <si>
    <t>tesla</t>
  </si>
  <si>
    <t>tonne</t>
  </si>
  <si>
    <t>tonnePerHectare</t>
  </si>
  <si>
    <t>tonnePerYear</t>
  </si>
  <si>
    <t>volt</t>
  </si>
  <si>
    <t>watt</t>
  </si>
  <si>
    <t>wattPerMeterSquared</t>
  </si>
  <si>
    <t>waveNumber</t>
  </si>
  <si>
    <t>weber</t>
  </si>
  <si>
    <t>University of Florida</t>
  </si>
  <si>
    <t>Burned or unburned status of site</t>
  </si>
  <si>
    <t>Code used to identify site in field notes</t>
  </si>
  <si>
    <t>Burned soil surface radiocarbon values for moss macrofossils plucked from the Anaktuvuk River Fire sites</t>
  </si>
  <si>
    <t>Depth</t>
  </si>
  <si>
    <t>Lab sample number</t>
  </si>
  <si>
    <t>AMS DEL 14C</t>
  </si>
  <si>
    <t>0-1cm</t>
  </si>
  <si>
    <t>359+360</t>
  </si>
  <si>
    <t>1-2cm</t>
  </si>
  <si>
    <t>ARF-B</t>
  </si>
  <si>
    <t>AMS DEL 14C SE</t>
  </si>
  <si>
    <t>Anaktuvuk River Fire scar (2007)</t>
  </si>
  <si>
    <t>tschuur@ufl.edu</t>
  </si>
  <si>
    <t>Edward</t>
  </si>
  <si>
    <t>Schuur</t>
  </si>
  <si>
    <t>Radiocarbon, soil organic layer, burned</t>
  </si>
  <si>
    <t>Number of the site</t>
  </si>
  <si>
    <t>Profile number</t>
  </si>
  <si>
    <t>Number of the replicate profile within the site</t>
  </si>
  <si>
    <t>Unique number assigned to each profile x depth sample in lab</t>
  </si>
  <si>
    <t>Analytical standard error of the DEL 14C value</t>
  </si>
  <si>
    <t>DELTA 14C value in per mil corrected for radioactive decay and isotopic fractionation via 13C</t>
  </si>
  <si>
    <t>2008_MCM_ARF14C.xls</t>
  </si>
  <si>
    <t>2008_MCM_ARFsites.xls; 2008_MCM_ARFloss.xls; 2008_MCM_ARFsoilCN.xls</t>
  </si>
  <si>
    <t>Version 1: checked and generated EML and Web files.  Jim L 12Jul2011</t>
  </si>
  <si>
    <t>2008_MCM_ARF14C.1</t>
  </si>
  <si>
    <t>http://metacat.lternet.edu/das/dataAccessServlet?docid=knb-lter-arc.10127&amp;amp;urlTail=burn/terrestrial/data/2008_MCM_ARF14C.csv</t>
  </si>
  <si>
    <t>sievert</t>
  </si>
  <si>
    <t>serialDateNumberYear0000</t>
  </si>
  <si>
    <t>PSU</t>
  </si>
  <si>
    <t>nominalYear</t>
  </si>
  <si>
    <t>nominalWeek</t>
  </si>
  <si>
    <t>nominalMinute</t>
  </si>
  <si>
    <t>nominalLeapYear</t>
  </si>
  <si>
    <t>nominalHour</t>
  </si>
  <si>
    <t>nominalDay</t>
  </si>
  <si>
    <t>millimolePerMeterSquaredPerDay</t>
  </si>
  <si>
    <t>millimolePerLiter</t>
  </si>
  <si>
    <t>micromolePerCentimeterCubed</t>
  </si>
  <si>
    <t>meterCubedPerYear</t>
  </si>
  <si>
    <t>meterCubedPerDay</t>
  </si>
  <si>
    <t>megaJoulePerMeterSquaredPerDay</t>
  </si>
  <si>
    <t>kilogramPerYear</t>
  </si>
  <si>
    <t>gramPerCentimeter</t>
  </si>
  <si>
    <t>centisecond</t>
  </si>
  <si>
    <t>becquerelPerMilligram</t>
  </si>
  <si>
    <t>bar</t>
  </si>
  <si>
    <t>Link to Google Map</t>
  </si>
  <si>
    <t>Select Site or enter New One</t>
  </si>
  <si>
    <t>Location Name</t>
  </si>
  <si>
    <t>LTER_Site_number</t>
  </si>
  <si>
    <t>Description</t>
  </si>
  <si>
    <t>Latitude_decimal_degrees</t>
  </si>
  <si>
    <t>Longitude_decimal_degrees</t>
  </si>
  <si>
    <t>Elevation_m_asl</t>
  </si>
  <si>
    <t>Environment</t>
  </si>
  <si>
    <t>Alternate_Name_1</t>
  </si>
  <si>
    <t>Alternate_Name_2</t>
  </si>
  <si>
    <t>Project_PI</t>
  </si>
  <si>
    <t>OLD_LTER_number_DO_NOT_USE</t>
  </si>
  <si>
    <t>Survey/series</t>
  </si>
  <si>
    <t>Google Map Link</t>
  </si>
  <si>
    <t>GTH</t>
  </si>
  <si>
    <t xml:space="preserve">Severe burn flux Tower </t>
  </si>
  <si>
    <t>Anaktuvuk River Fire - Severe burn flux tower (Station 2304 ) North Slope, Alaska</t>
  </si>
  <si>
    <t/>
  </si>
  <si>
    <t>Terrestrial</t>
  </si>
  <si>
    <t>Landscapes_Shaver</t>
  </si>
  <si>
    <t>Moderate burn flux tower</t>
  </si>
  <si>
    <t>Anaktuvuk River Fire - Moderate burn flux tower (Station 2308 ) North Slope, Alaska</t>
  </si>
  <si>
    <t>Unburned flux tower</t>
  </si>
  <si>
    <t>Anaktuvuk River Fire - Unburned flux tower (Station 2309) North Slope, Alaska</t>
  </si>
  <si>
    <t>NSF_Burn_Shaver</t>
  </si>
  <si>
    <t>Anaktuvuk Burn</t>
  </si>
  <si>
    <t>Ahaliorak Lake</t>
  </si>
  <si>
    <t>Lakes sampled by LTREB on 1 July 2010 - Kling, Crump, Nannen.</t>
  </si>
  <si>
    <t>Lake</t>
  </si>
  <si>
    <t>LTREB_Kling_Crump</t>
  </si>
  <si>
    <t>Far Lakes Survey</t>
  </si>
  <si>
    <t>Airstrip Lakes B1</t>
  </si>
  <si>
    <t>Airstrip Lakes B2</t>
  </si>
  <si>
    <t>Airstrip Lakes B3</t>
  </si>
  <si>
    <t xml:space="preserve">AK BURN REF SITE 1 </t>
  </si>
  <si>
    <t>1 time site visit, 2011, nutrients</t>
  </si>
  <si>
    <t>Burn Streams</t>
  </si>
  <si>
    <t>AK BURN REF SITE 2 - Shrew River, Lower</t>
  </si>
  <si>
    <t>AK BURN REF SITE 4</t>
  </si>
  <si>
    <t>AK BURN REF SITE 5</t>
  </si>
  <si>
    <t>Alexa Creek</t>
  </si>
  <si>
    <t>At the Haul Road</t>
  </si>
  <si>
    <t>Stream</t>
  </si>
  <si>
    <t>LTER</t>
  </si>
  <si>
    <t>Lake and stream survey 1988</t>
  </si>
  <si>
    <t>Anaktuvik_1 lake</t>
  </si>
  <si>
    <t>Anaktuvik_2 lake</t>
  </si>
  <si>
    <t>Anaktuvik_3 lake</t>
  </si>
  <si>
    <t>AR101</t>
  </si>
  <si>
    <t>CALM Grid (Thaw depth)</t>
  </si>
  <si>
    <t>AR102</t>
  </si>
  <si>
    <t>AR103</t>
  </si>
  <si>
    <t>Vegetation and Soils Transect</t>
  </si>
  <si>
    <t>AR104</t>
  </si>
  <si>
    <t>AR105</t>
  </si>
  <si>
    <t>AR106</t>
  </si>
  <si>
    <t>AR107</t>
  </si>
  <si>
    <t>AR108</t>
  </si>
  <si>
    <t>AR109</t>
  </si>
  <si>
    <t>AR110</t>
  </si>
  <si>
    <t>AR111</t>
  </si>
  <si>
    <t>AR112</t>
  </si>
  <si>
    <t>AR113</t>
  </si>
  <si>
    <t>ARFB</t>
  </si>
  <si>
    <t>ARFC</t>
  </si>
  <si>
    <t>Atigun River</t>
  </si>
  <si>
    <t>Confluence with the West Fork of the Atigun</t>
  </si>
  <si>
    <t>Atigun River West Fork</t>
  </si>
  <si>
    <t>Confluence with the main fork of the Atigun</t>
  </si>
  <si>
    <t>Atigun tributary station 01</t>
  </si>
  <si>
    <t>Atigun trib sta 1</t>
  </si>
  <si>
    <t>Atigun tributary station 02</t>
  </si>
  <si>
    <t>Atigun trib sta 2</t>
  </si>
  <si>
    <t>Atigun tributary station 03</t>
  </si>
  <si>
    <t>Atigun trib sta 3</t>
  </si>
  <si>
    <t>Bern Lake</t>
  </si>
  <si>
    <t>Lake and stream survey 1988 #21</t>
  </si>
  <si>
    <t>Birthday Creek</t>
  </si>
  <si>
    <t>LTER_Shaver_Kling_Bowden_Giblin_Luecke</t>
  </si>
  <si>
    <t>Borrow Pit  1</t>
  </si>
  <si>
    <t>Lake and stream survey 1988 #14</t>
  </si>
  <si>
    <t>Borrow Pit  2</t>
  </si>
  <si>
    <t>Lake and stream survey 1988 #15</t>
  </si>
  <si>
    <t>Camp Pond</t>
  </si>
  <si>
    <t>Near old camp by the south end of the runway</t>
  </si>
  <si>
    <t>Lake and stream survey 1988 #27</t>
  </si>
  <si>
    <t>C Pond</t>
  </si>
  <si>
    <t>Campsite Lake</t>
  </si>
  <si>
    <t>Oil Can</t>
  </si>
  <si>
    <t>Gas Can</t>
  </si>
  <si>
    <t>Clem Lake</t>
  </si>
  <si>
    <t>Cobblestone Creek</t>
  </si>
  <si>
    <t>Conflict Lakes A1</t>
  </si>
  <si>
    <t>Conflict Lakes A2</t>
  </si>
  <si>
    <t>Conflict Lakes B1</t>
  </si>
  <si>
    <t>Conflict Lakes B2</t>
  </si>
  <si>
    <t>Conflict Lakes B3</t>
  </si>
  <si>
    <t>Conflict Lakes B4</t>
  </si>
  <si>
    <t>GTH154 or 153</t>
  </si>
  <si>
    <t>Conflict Lakes C1</t>
  </si>
  <si>
    <t>Conflict Lakes C2</t>
  </si>
  <si>
    <t>Control CALM grid, NW corner</t>
  </si>
  <si>
    <t>Costal Plain Lake  00</t>
  </si>
  <si>
    <t>Costal plain Survey #1 in 1995</t>
  </si>
  <si>
    <t>Costal Plain Lake  01</t>
  </si>
  <si>
    <t>LH-1</t>
  </si>
  <si>
    <t>Coastal Plain Lakes Helicopter Survey 1994, 1995 #1 and #2</t>
  </si>
  <si>
    <t>LS-1</t>
  </si>
  <si>
    <t>Costal Plain Lakes Helicopter Survey (#1 and #2 1996 &amp; 1997)</t>
  </si>
  <si>
    <t>Costal Plain Lake  02</t>
  </si>
  <si>
    <t>LH-2</t>
  </si>
  <si>
    <t>LS-2</t>
  </si>
  <si>
    <t>Costal Plain Lake  03</t>
  </si>
  <si>
    <t>LH-3</t>
  </si>
  <si>
    <t>LS-3</t>
  </si>
  <si>
    <t>Costal Plain Lake  04</t>
  </si>
  <si>
    <t>LH-4</t>
  </si>
  <si>
    <t>LS-4</t>
  </si>
  <si>
    <t>Costal Plain Lake  05</t>
  </si>
  <si>
    <t>LH-5</t>
  </si>
  <si>
    <t>LS-5</t>
  </si>
  <si>
    <t>Costal Plain Lake  06</t>
  </si>
  <si>
    <t>LH-6</t>
  </si>
  <si>
    <t>LS-6</t>
  </si>
  <si>
    <t>Costal Plain Lake  07</t>
  </si>
  <si>
    <t>LH-7</t>
  </si>
  <si>
    <t>LS-7</t>
  </si>
  <si>
    <t>Costal Plain Lake  08</t>
  </si>
  <si>
    <t>LH-8</t>
  </si>
  <si>
    <t>LS-8</t>
  </si>
  <si>
    <t>Costal Plain Lake  09</t>
  </si>
  <si>
    <t>LH-9</t>
  </si>
  <si>
    <t>LS-9</t>
  </si>
  <si>
    <t>Costal Plain Lake  10</t>
  </si>
  <si>
    <t>LH-10</t>
  </si>
  <si>
    <t>LS-10</t>
  </si>
  <si>
    <t>Costal Plain Lake  11</t>
  </si>
  <si>
    <t>LH-11</t>
  </si>
  <si>
    <t>LS-11</t>
  </si>
  <si>
    <t>Costal Plain Lake  12</t>
  </si>
  <si>
    <t>LH-12</t>
  </si>
  <si>
    <t>LS-12</t>
  </si>
  <si>
    <t>Costal Plain Lake  13</t>
  </si>
  <si>
    <t>LH-13</t>
  </si>
  <si>
    <t>LS-13</t>
  </si>
  <si>
    <t>Costal Plain Lake  14</t>
  </si>
  <si>
    <t>LH-14</t>
  </si>
  <si>
    <t>LS-14</t>
  </si>
  <si>
    <t>Costal Plain Lake  15</t>
  </si>
  <si>
    <t>LS-15</t>
  </si>
  <si>
    <t>Costal Plain Lake  16</t>
  </si>
  <si>
    <t>LH-16</t>
  </si>
  <si>
    <t>LS-16</t>
  </si>
  <si>
    <t>Costal Plain Lake  17</t>
  </si>
  <si>
    <t>LH-17</t>
  </si>
  <si>
    <t>LS-17</t>
  </si>
  <si>
    <t>Costal Plain Lake  18</t>
  </si>
  <si>
    <t>LH-18</t>
  </si>
  <si>
    <t>LS-18</t>
  </si>
  <si>
    <t>Costal Plain Lake  19</t>
  </si>
  <si>
    <t>LH-19</t>
  </si>
  <si>
    <t>LS-19</t>
  </si>
  <si>
    <t>Costal Plain Lake  20</t>
  </si>
  <si>
    <t>LH-20</t>
  </si>
  <si>
    <t>LS-20</t>
  </si>
  <si>
    <t>Costal Plain Lake  21</t>
  </si>
  <si>
    <t>LH-21</t>
  </si>
  <si>
    <t>LS-21</t>
  </si>
  <si>
    <t>Costal Plain Lake  22</t>
  </si>
  <si>
    <t>LH-22</t>
  </si>
  <si>
    <t>LS-22</t>
  </si>
  <si>
    <t>Costal Plain Lake  23</t>
  </si>
  <si>
    <t>LH-23</t>
  </si>
  <si>
    <t>LS-23</t>
  </si>
  <si>
    <t>Costal Plain Lake  24</t>
  </si>
  <si>
    <t>LH-24</t>
  </si>
  <si>
    <t>LS-24</t>
  </si>
  <si>
    <t>Costal Plain Lake  25</t>
  </si>
  <si>
    <t>LH-25</t>
  </si>
  <si>
    <t>LS-25</t>
  </si>
  <si>
    <t>Costal Plain Lake  26</t>
  </si>
  <si>
    <t>LH-26</t>
  </si>
  <si>
    <t>LS-26</t>
  </si>
  <si>
    <t>Costal Plain Lake  27</t>
  </si>
  <si>
    <t>LH-27</t>
  </si>
  <si>
    <t>LS-27</t>
  </si>
  <si>
    <t>Costal Plain Lake  28</t>
  </si>
  <si>
    <t>LH-28</t>
  </si>
  <si>
    <t>LS-28</t>
  </si>
  <si>
    <t>Costal Plain Lake  29</t>
  </si>
  <si>
    <t>LH-29</t>
  </si>
  <si>
    <t>Costal Plain Lake  30</t>
  </si>
  <si>
    <t>Colville river</t>
  </si>
  <si>
    <t>Coastal Plain survey #3 in 1995</t>
  </si>
  <si>
    <t>Dam Pond</t>
  </si>
  <si>
    <t>Behind kitchen at new camp, just north of main Toolik Inlet</t>
  </si>
  <si>
    <t>Dennis Lake</t>
  </si>
  <si>
    <t>Lakes north of Toolik Lake, flowing into Toolik outlet stream</t>
  </si>
  <si>
    <t>Desert Lake</t>
  </si>
  <si>
    <t>Far South survey 1999</t>
  </si>
  <si>
    <t>Dimple Flux Star</t>
  </si>
  <si>
    <t>Surface Reflectance Sampling</t>
  </si>
  <si>
    <t>Dimple Lake</t>
  </si>
  <si>
    <t>Dimple Lake Inlet</t>
  </si>
  <si>
    <t>Dimple Inlet</t>
  </si>
  <si>
    <t>Dimple Lake Outlet</t>
  </si>
  <si>
    <t>Dimple Outlet</t>
  </si>
  <si>
    <t>Dimple Lake Outlet - NEW</t>
  </si>
  <si>
    <t>Dimple Lake Outlet Stream</t>
  </si>
  <si>
    <t>Dimple Outlet Stream</t>
  </si>
  <si>
    <t>Drill Hole Lake</t>
  </si>
  <si>
    <t>Duckling pond</t>
  </si>
  <si>
    <t>Dune Pond</t>
  </si>
  <si>
    <t>Lake and stream survey 1988 #20</t>
  </si>
  <si>
    <t>E 01</t>
  </si>
  <si>
    <t>E 1</t>
  </si>
  <si>
    <t>E1</t>
  </si>
  <si>
    <t>E 01 Outlet</t>
  </si>
  <si>
    <t>E1 Outlet</t>
  </si>
  <si>
    <t>E1-Out</t>
  </si>
  <si>
    <t>E 02</t>
  </si>
  <si>
    <t>E 2</t>
  </si>
  <si>
    <t>E2</t>
  </si>
  <si>
    <t>E 03</t>
  </si>
  <si>
    <t>E 3</t>
  </si>
  <si>
    <t>E3</t>
  </si>
  <si>
    <t>E 04</t>
  </si>
  <si>
    <t>E 4</t>
  </si>
  <si>
    <t>E4</t>
  </si>
  <si>
    <t>E 05</t>
  </si>
  <si>
    <t>Oil Spill Lake</t>
  </si>
  <si>
    <t>Oil</t>
  </si>
  <si>
    <t>E 06</t>
  </si>
  <si>
    <t>E 6</t>
  </si>
  <si>
    <t>E6</t>
  </si>
  <si>
    <t>E 5 Inlet South</t>
  </si>
  <si>
    <t xml:space="preserve">E 05 In South        </t>
  </si>
  <si>
    <t>E5InS</t>
  </si>
  <si>
    <t>E 5 Inlet West</t>
  </si>
  <si>
    <t xml:space="preserve">E 05 In West        </t>
  </si>
  <si>
    <t>E5InWest</t>
  </si>
  <si>
    <t>E 5 Outlet</t>
  </si>
  <si>
    <t>E5 Out</t>
  </si>
  <si>
    <t>E5Out</t>
  </si>
  <si>
    <t>Echooka River</t>
  </si>
  <si>
    <t>Elusive Lake</t>
  </si>
  <si>
    <t>On accomplishment Creek</t>
  </si>
  <si>
    <t>Escher Lakes 01</t>
  </si>
  <si>
    <t>Escher Lakes 02</t>
  </si>
  <si>
    <t>Escher Lakes 03</t>
  </si>
  <si>
    <t>Escher Lakes 04</t>
  </si>
  <si>
    <t>Escher Lakes 05</t>
  </si>
  <si>
    <t>Escher Lakes 06</t>
  </si>
  <si>
    <t>Far South Lake  04</t>
  </si>
  <si>
    <t>Far South Lake  05</t>
  </si>
  <si>
    <t>Fog Lake 1</t>
  </si>
  <si>
    <t>Foggy Lake</t>
  </si>
  <si>
    <t>Fog 01</t>
  </si>
  <si>
    <t>Fog Lake 2</t>
  </si>
  <si>
    <t>Hanging Lake</t>
  </si>
  <si>
    <t>Fog 02</t>
  </si>
  <si>
    <t>Fog Lake 3</t>
  </si>
  <si>
    <t>Moose Lake</t>
  </si>
  <si>
    <t>Fog 03</t>
  </si>
  <si>
    <t>Fog Lake 4</t>
  </si>
  <si>
    <t>Fog 04</t>
  </si>
  <si>
    <t>F4</t>
  </si>
  <si>
    <t>Fog Lake 5</t>
  </si>
  <si>
    <t>Fog 05</t>
  </si>
  <si>
    <t>F5</t>
  </si>
  <si>
    <t>Galbraith Lake</t>
  </si>
  <si>
    <t>Lake and stream survey 1988 #04</t>
  </si>
  <si>
    <t>Galbraith lake survey lake 03</t>
  </si>
  <si>
    <t>GS03</t>
  </si>
  <si>
    <t>Galbraith lake survey</t>
  </si>
  <si>
    <t>Galbraith lake survey lake 04</t>
  </si>
  <si>
    <t>GS04</t>
  </si>
  <si>
    <t>Galbraith lake survey lake 05</t>
  </si>
  <si>
    <t>GS05</t>
  </si>
  <si>
    <t>Galbraith lake survey lake 06</t>
  </si>
  <si>
    <t>GS06</t>
  </si>
  <si>
    <t>Galbraith lake survey lake 07</t>
  </si>
  <si>
    <t>GS07</t>
  </si>
  <si>
    <t>Galbraith lake survey lake 08</t>
  </si>
  <si>
    <t>GS08</t>
  </si>
  <si>
    <t>Galbraith lake survey lake 09</t>
  </si>
  <si>
    <t>GS09</t>
  </si>
  <si>
    <t>Galbraith lake survey lake 14</t>
  </si>
  <si>
    <t>GS14</t>
  </si>
  <si>
    <t>Galbraith lake survey lake 17</t>
  </si>
  <si>
    <t>GS17</t>
  </si>
  <si>
    <t>Galbraith lake survey lake 18</t>
  </si>
  <si>
    <t>GS18</t>
  </si>
  <si>
    <t>Galbraith lake survey lake 19</t>
  </si>
  <si>
    <t>GS19</t>
  </si>
  <si>
    <t>Galbraith lake survey lake 20</t>
  </si>
  <si>
    <t>GS20</t>
  </si>
  <si>
    <t>Gates River Station 04</t>
  </si>
  <si>
    <t>Gates River Sta. 4</t>
  </si>
  <si>
    <t>Gates River Station 05</t>
  </si>
  <si>
    <t>Gates River Sta. 5</t>
  </si>
  <si>
    <t>Gates River Station 06</t>
  </si>
  <si>
    <t>Gates River Sta. 6</t>
  </si>
  <si>
    <t>Green Cabin Lake</t>
  </si>
  <si>
    <t>Headwater Lake of the Kupurak River</t>
  </si>
  <si>
    <t>GTH#46</t>
  </si>
  <si>
    <t>GTH 046</t>
  </si>
  <si>
    <t>GTH 100</t>
  </si>
  <si>
    <t>Lake is called GTH 100 and Airstrip Lakes A2</t>
  </si>
  <si>
    <t>Airstrip Lakes A2</t>
  </si>
  <si>
    <t>GTH_Hershey</t>
  </si>
  <si>
    <t>Geomorphic Trophic Hypothesis</t>
  </si>
  <si>
    <t>GTH 101</t>
  </si>
  <si>
    <t>Lake is called GTH 101 and Airstrip Lakes A3</t>
  </si>
  <si>
    <t>Airstrip Lakes A3</t>
  </si>
  <si>
    <t>GTH 102</t>
  </si>
  <si>
    <t xml:space="preserve">Lake is called GTH 102 and </t>
  </si>
  <si>
    <t>GTH 103</t>
  </si>
  <si>
    <t>Lake is called GTH 103 and Airstrip Lakes A4</t>
  </si>
  <si>
    <t>Airstrip Lakes A4</t>
  </si>
  <si>
    <t>GTH 104</t>
  </si>
  <si>
    <t>Lake is called GTH 104</t>
  </si>
  <si>
    <t>GTH 105</t>
  </si>
  <si>
    <t>Lake is called GTH 105</t>
  </si>
  <si>
    <t>GTH 106</t>
  </si>
  <si>
    <t>Lake is called GTH 106</t>
  </si>
  <si>
    <t>GTH 107</t>
  </si>
  <si>
    <t>Lake is called GTH 107</t>
  </si>
  <si>
    <t>GTH 108</t>
  </si>
  <si>
    <t>Lake is called GTH 108</t>
  </si>
  <si>
    <t>GTH 109</t>
  </si>
  <si>
    <t>Lake is called GTH 109</t>
  </si>
  <si>
    <t>GTH 110</t>
  </si>
  <si>
    <t>Lake is called GTH 110</t>
  </si>
  <si>
    <t>GTH 111</t>
  </si>
  <si>
    <t>Lake is called GTH 111</t>
  </si>
  <si>
    <t>GTH 112</t>
  </si>
  <si>
    <t>Lake is called GTH 112</t>
  </si>
  <si>
    <t>GTH 113</t>
  </si>
  <si>
    <t>Lake is called GTH 113</t>
  </si>
  <si>
    <t>GTH 114</t>
  </si>
  <si>
    <t>Lake is called GTH 114</t>
  </si>
  <si>
    <t>GTH 82</t>
  </si>
  <si>
    <t>Lake is called GTH 82</t>
  </si>
  <si>
    <t>GTH 83</t>
  </si>
  <si>
    <t>Lake is called GTH 83</t>
  </si>
  <si>
    <t>GTH 84</t>
  </si>
  <si>
    <t>Lake is called GTH 84</t>
  </si>
  <si>
    <t>GTH 85</t>
  </si>
  <si>
    <t>Lake is called GTH 85</t>
  </si>
  <si>
    <t>GTH 86</t>
  </si>
  <si>
    <t>Lake is called GTH 86</t>
  </si>
  <si>
    <t>GTH 87</t>
  </si>
  <si>
    <t>Lake is called GTH 87</t>
  </si>
  <si>
    <t>GTH 88</t>
  </si>
  <si>
    <t>Lake is called GTH 88</t>
  </si>
  <si>
    <t>GTH 89</t>
  </si>
  <si>
    <t>Lake is called GTH 89</t>
  </si>
  <si>
    <t>GTH 90</t>
  </si>
  <si>
    <t>Lake is called GTH 90</t>
  </si>
  <si>
    <t>GTH 91</t>
  </si>
  <si>
    <t>Lake is called GTH 91</t>
  </si>
  <si>
    <t>GTH 92</t>
  </si>
  <si>
    <t>Lake is called GTH 92</t>
  </si>
  <si>
    <t>GTH 93</t>
  </si>
  <si>
    <t>Lake is called GTH 93</t>
  </si>
  <si>
    <t>GTH 94</t>
  </si>
  <si>
    <t>Lake is called GTH 94</t>
  </si>
  <si>
    <t>GTH 95</t>
  </si>
  <si>
    <t>Lake is called GTH 95</t>
  </si>
  <si>
    <t>GTH 96</t>
  </si>
  <si>
    <t>Lake is called GTH 96</t>
  </si>
  <si>
    <t>GTH 97</t>
  </si>
  <si>
    <t>Lake is called GTH 97</t>
  </si>
  <si>
    <t>GTH 98</t>
  </si>
  <si>
    <t>Lake is called GTH 98</t>
  </si>
  <si>
    <t>GTH 99</t>
  </si>
  <si>
    <t>Lake is called GTH 99 and Airstrip Lakes A1</t>
  </si>
  <si>
    <t>Airstrip Lakes A1</t>
  </si>
  <si>
    <t>Gypsy Pool</t>
  </si>
  <si>
    <t>Happy Valley Stream</t>
  </si>
  <si>
    <t>Helicopter Survey Lake  01</t>
  </si>
  <si>
    <t>LH2-1</t>
  </si>
  <si>
    <t>Lakes Helicopter Survey #2 1994, 1995</t>
  </si>
  <si>
    <t>Helicopter Survey Lake  02</t>
  </si>
  <si>
    <t>LH2-2</t>
  </si>
  <si>
    <t>Helicopter Survey Lake  03</t>
  </si>
  <si>
    <t>LH2-3</t>
  </si>
  <si>
    <t>Helicopter Survey Lake  04</t>
  </si>
  <si>
    <t>LH2-4</t>
  </si>
  <si>
    <t>Helicopter Survey Lake  05</t>
  </si>
  <si>
    <t>LH2-5</t>
  </si>
  <si>
    <t>Helicopter Survey Lake  06</t>
  </si>
  <si>
    <t>LH2-6</t>
  </si>
  <si>
    <t>Helicopter Survey Lake  07</t>
  </si>
  <si>
    <t>LH2-7</t>
  </si>
  <si>
    <t>Helicopter Survey Lake  08</t>
  </si>
  <si>
    <t>LH2-8</t>
  </si>
  <si>
    <t>Helicopter Survey Lake  09</t>
  </si>
  <si>
    <t>LH2-9</t>
  </si>
  <si>
    <t>Helicopter Survey Lake  10</t>
  </si>
  <si>
    <t>LH2-10</t>
  </si>
  <si>
    <t>Helicopter Survey Lake  11</t>
  </si>
  <si>
    <t>LH2-11</t>
  </si>
  <si>
    <t>Helicopter Survey Lake  12</t>
  </si>
  <si>
    <t>LH2-12</t>
  </si>
  <si>
    <t>Helicopter Survey Lake  13</t>
  </si>
  <si>
    <t>LH2-13</t>
  </si>
  <si>
    <t>Helicopter Survey Lake  14</t>
  </si>
  <si>
    <t>LH2-14</t>
  </si>
  <si>
    <t>Coastal plain survey #2 in 1995</t>
  </si>
  <si>
    <t>Helicopter Survey Lake  15</t>
  </si>
  <si>
    <t>LH2-15</t>
  </si>
  <si>
    <t>Hershey Creek</t>
  </si>
  <si>
    <t>nutrients</t>
  </si>
  <si>
    <t>Horn Lake</t>
  </si>
  <si>
    <t>I Minus</t>
  </si>
  <si>
    <t>Toolik Inlet Lakes</t>
  </si>
  <si>
    <t>I Minus 01</t>
  </si>
  <si>
    <t>I Minus 1</t>
  </si>
  <si>
    <t>I Minus 02</t>
  </si>
  <si>
    <t>I Minus 2</t>
  </si>
  <si>
    <t>I Minus Inlet</t>
  </si>
  <si>
    <t>Surveyed by Kling, Crump, Nannen in 2010</t>
  </si>
  <si>
    <t>Thermokarst</t>
  </si>
  <si>
    <t>I Minus Outlet</t>
  </si>
  <si>
    <t>I Swamp</t>
  </si>
  <si>
    <t>Swamp</t>
  </si>
  <si>
    <t>I Swamp Inlet</t>
  </si>
  <si>
    <t>Swamp between I8 an I9</t>
  </si>
  <si>
    <t>I-swamp In</t>
  </si>
  <si>
    <t>Swamp In</t>
  </si>
  <si>
    <t>ISeries</t>
  </si>
  <si>
    <t>I Swamp Outlet</t>
  </si>
  <si>
    <t>I-swamp Out</t>
  </si>
  <si>
    <t>Swamp Out</t>
  </si>
  <si>
    <t>I1</t>
  </si>
  <si>
    <t>I 1</t>
  </si>
  <si>
    <t>I-1</t>
  </si>
  <si>
    <t>I1 into I3</t>
  </si>
  <si>
    <t>I1-I3</t>
  </si>
  <si>
    <t>IS4</t>
  </si>
  <si>
    <t>I1 Outlet</t>
  </si>
  <si>
    <t>I1 Out</t>
  </si>
  <si>
    <t>IS3</t>
  </si>
  <si>
    <t>I2</t>
  </si>
  <si>
    <t>I 2</t>
  </si>
  <si>
    <t>I-2</t>
  </si>
  <si>
    <t>I2 into I3</t>
  </si>
  <si>
    <t>I2-I3</t>
  </si>
  <si>
    <t>IS5</t>
  </si>
  <si>
    <t>I2 Outlet</t>
  </si>
  <si>
    <t>I2 Out</t>
  </si>
  <si>
    <t>IS2</t>
  </si>
  <si>
    <t>I3</t>
  </si>
  <si>
    <t>I 3</t>
  </si>
  <si>
    <t>I-3</t>
  </si>
  <si>
    <t>I3 Outlet</t>
  </si>
  <si>
    <t>I3 Out</t>
  </si>
  <si>
    <t>IS6</t>
  </si>
  <si>
    <t>I4</t>
  </si>
  <si>
    <t>I 4</t>
  </si>
  <si>
    <t>I-4</t>
  </si>
  <si>
    <t>I4 into I5</t>
  </si>
  <si>
    <t>I4-I5</t>
  </si>
  <si>
    <t>IS8</t>
  </si>
  <si>
    <t>I4 Outlet</t>
  </si>
  <si>
    <t>I4 Out</t>
  </si>
  <si>
    <t>IS7</t>
  </si>
  <si>
    <t>I5</t>
  </si>
  <si>
    <t>I 5</t>
  </si>
  <si>
    <t>I-5</t>
  </si>
  <si>
    <t>I5 into I6</t>
  </si>
  <si>
    <t>I5-I6</t>
  </si>
  <si>
    <t>IS10</t>
  </si>
  <si>
    <t>I5 Outlet</t>
  </si>
  <si>
    <t>I5 Out</t>
  </si>
  <si>
    <t>IS9</t>
  </si>
  <si>
    <t>I6</t>
  </si>
  <si>
    <t>I 6</t>
  </si>
  <si>
    <t>I-6</t>
  </si>
  <si>
    <t>I6 Headwater Lake</t>
  </si>
  <si>
    <t>I6 West Headwater</t>
  </si>
  <si>
    <t>I6 HW</t>
  </si>
  <si>
    <t>I6 Headwater Lake Inlet</t>
  </si>
  <si>
    <t>I6 West Headwaters Inlet</t>
  </si>
  <si>
    <t>I6 HW Inlet</t>
  </si>
  <si>
    <t>I6 Headwater Lake into I6 station 2</t>
  </si>
  <si>
    <t>Surveyed by LTREB in 2008, 2009, 2010</t>
  </si>
  <si>
    <t>Stream Survey</t>
  </si>
  <si>
    <t>I6 Headwater Lake into I6 station 3</t>
  </si>
  <si>
    <t>I6 Headwater Lake Outlet</t>
  </si>
  <si>
    <t>I6 West Headwaters Outlet</t>
  </si>
  <si>
    <t>I6 HW Outlet</t>
  </si>
  <si>
    <t>I6 Inlet West</t>
  </si>
  <si>
    <t>I6 West Inlet</t>
  </si>
  <si>
    <t>IS11</t>
  </si>
  <si>
    <t>I6 Outlet</t>
  </si>
  <si>
    <t>I6 Out</t>
  </si>
  <si>
    <t>IS12</t>
  </si>
  <si>
    <t>I7</t>
  </si>
  <si>
    <t>I 7</t>
  </si>
  <si>
    <t>I-7</t>
  </si>
  <si>
    <t>I7 into I9</t>
  </si>
  <si>
    <t>I7-I9</t>
  </si>
  <si>
    <t>IS16</t>
  </si>
  <si>
    <t>I7 Outlet</t>
  </si>
  <si>
    <t>I7 Out</t>
  </si>
  <si>
    <t>IS13</t>
  </si>
  <si>
    <t>I8</t>
  </si>
  <si>
    <t>I 8</t>
  </si>
  <si>
    <t>I-8</t>
  </si>
  <si>
    <t>I8 Headwater</t>
  </si>
  <si>
    <t>I8 HW</t>
  </si>
  <si>
    <t>IS1</t>
  </si>
  <si>
    <t>I8 Headwater stream station 2</t>
  </si>
  <si>
    <t>I8 Headwater stream station 3</t>
  </si>
  <si>
    <t>I8 Inlet</t>
  </si>
  <si>
    <t>I8 In</t>
  </si>
  <si>
    <t>IS14</t>
  </si>
  <si>
    <t>I8 Inlet East</t>
  </si>
  <si>
    <t>Surveyed by Ashley Larsen for her REU project in 2007.  Mentored by GWK and HEA</t>
  </si>
  <si>
    <t>REU_Kling_Larsen_Adams</t>
  </si>
  <si>
    <t>I8 Mass Balance Survey</t>
  </si>
  <si>
    <t>I8 Inlet East Northeast</t>
  </si>
  <si>
    <t>I8 Inlet South</t>
  </si>
  <si>
    <t>I8 Inlet Southeast</t>
  </si>
  <si>
    <t>I8 Inlet-0.42k</t>
  </si>
  <si>
    <t>I8 Headwaters Habitat Survey</t>
  </si>
  <si>
    <t>I8 into I9</t>
  </si>
  <si>
    <t>I8-I9</t>
  </si>
  <si>
    <t>IS17</t>
  </si>
  <si>
    <t>I8 Lake Center</t>
  </si>
  <si>
    <t>I8 Lake East</t>
  </si>
  <si>
    <t>I8 Lake Northeast</t>
  </si>
  <si>
    <t>I8 Lake Northwest</t>
  </si>
  <si>
    <t>I8 Lake Southeast</t>
  </si>
  <si>
    <t>I8 Lake Southwest</t>
  </si>
  <si>
    <t>I8 Lake West</t>
  </si>
  <si>
    <t>I8 Northeast Inlet</t>
  </si>
  <si>
    <t>I8 Outlet</t>
  </si>
  <si>
    <t>I8 Out</t>
  </si>
  <si>
    <t xml:space="preserve">Blueberry Creek </t>
  </si>
  <si>
    <t>I8 Outlet Tributary</t>
  </si>
  <si>
    <t>"NA" is the same as Blueberry Creek, and should be called I-8 Outlet</t>
  </si>
  <si>
    <t>NA Trib</t>
  </si>
  <si>
    <t>Blueberry Creek Trib</t>
  </si>
  <si>
    <t>I9</t>
  </si>
  <si>
    <t>I 9</t>
  </si>
  <si>
    <t>I-9</t>
  </si>
  <si>
    <t>I9 Outlet</t>
  </si>
  <si>
    <t>I9 Out</t>
  </si>
  <si>
    <t>IS22</t>
  </si>
  <si>
    <t>Im2 HIGH SIDE</t>
  </si>
  <si>
    <t>Streams</t>
  </si>
  <si>
    <t>Im2 IMP</t>
  </si>
  <si>
    <t>Im2 REF</t>
  </si>
  <si>
    <t>Im2 TK HIGH</t>
  </si>
  <si>
    <t>Im2 TK LOW</t>
  </si>
  <si>
    <t>Imnavait A</t>
  </si>
  <si>
    <t>Imnavait AA</t>
  </si>
  <si>
    <t>Imnavait B</t>
  </si>
  <si>
    <t>Imnavait C</t>
  </si>
  <si>
    <t>Imnavait Creek</t>
  </si>
  <si>
    <t>IMN</t>
  </si>
  <si>
    <t>Imnaviat</t>
  </si>
  <si>
    <t>Imnavait D</t>
  </si>
  <si>
    <t>Imnavait E</t>
  </si>
  <si>
    <t>Imnavait Site 02</t>
  </si>
  <si>
    <t>Imnavait Site2</t>
  </si>
  <si>
    <t>Imnavait Site 03</t>
  </si>
  <si>
    <t>Imnavait Site3</t>
  </si>
  <si>
    <t>Biocomplexity_Kling_Stieglitz</t>
  </si>
  <si>
    <t>Imnavait Upper</t>
  </si>
  <si>
    <t>Imnavait Weir</t>
  </si>
  <si>
    <t>IMN Weir</t>
  </si>
  <si>
    <t>Imnavait</t>
  </si>
  <si>
    <t>Imnavait WT 07 Weir</t>
  </si>
  <si>
    <t>WT7 weir</t>
  </si>
  <si>
    <t>Imnavait WT 07-01</t>
  </si>
  <si>
    <t>Imnavait WT 07-02</t>
  </si>
  <si>
    <t>Imnavait WT 07-03</t>
  </si>
  <si>
    <t>Imnavait WT 07-04</t>
  </si>
  <si>
    <t>Imnavait WT 08-01</t>
  </si>
  <si>
    <t>IMN WT 8-1</t>
  </si>
  <si>
    <t>Imnavait WT 08-02</t>
  </si>
  <si>
    <t>IMN WT 8-2</t>
  </si>
  <si>
    <t>Imnavait WT 08-03</t>
  </si>
  <si>
    <t>IMN WT 8-3</t>
  </si>
  <si>
    <t>Imnavait WT 08-04</t>
  </si>
  <si>
    <t>IMN WT 8-4</t>
  </si>
  <si>
    <t>Imnavait WT 08-05</t>
  </si>
  <si>
    <t>IMN WT 8-5</t>
  </si>
  <si>
    <t>Imnavait WT 08-06</t>
  </si>
  <si>
    <t>IMN WT 8-6</t>
  </si>
  <si>
    <t>Imnavait WT 08-07</t>
  </si>
  <si>
    <t>IMN WT 8-7</t>
  </si>
  <si>
    <t>Imnavait WT 08-08</t>
  </si>
  <si>
    <t>IMN WT 8-8</t>
  </si>
  <si>
    <t>Imnavait WT 08-09</t>
  </si>
  <si>
    <t>IMN WT 8-9</t>
  </si>
  <si>
    <t>Imnavait WT 08-10</t>
  </si>
  <si>
    <t>IMN WT 8-10</t>
  </si>
  <si>
    <t>Imnavait WT 08-11</t>
  </si>
  <si>
    <t>IMN WT 8-11</t>
  </si>
  <si>
    <t>Imnavait WT 08-12</t>
  </si>
  <si>
    <t>IMN WT 8-12</t>
  </si>
  <si>
    <t>Imnavait WT 08-13</t>
  </si>
  <si>
    <t>IMN WT 8-13</t>
  </si>
  <si>
    <t>Imnavait WT 08-14</t>
  </si>
  <si>
    <t>IMN WT 8-14</t>
  </si>
  <si>
    <t>Imnavait WT 08-15</t>
  </si>
  <si>
    <t>IMN WT 8-15</t>
  </si>
  <si>
    <t>Imnavait WT 08-16</t>
  </si>
  <si>
    <t>IMN WT 8-16</t>
  </si>
  <si>
    <t>Imnavait WT 08-17</t>
  </si>
  <si>
    <t>IMN WT 8-17</t>
  </si>
  <si>
    <t>Imnavait WT 12 CR5</t>
  </si>
  <si>
    <t>Imnavait WT 12 FS5</t>
  </si>
  <si>
    <t>Imnavait WT 12 LB5</t>
  </si>
  <si>
    <t>Yuriko Yano and Kei Koba sites on Water Track 12 - FS=Footslope, CR=Crest, UB=Upper Back Slope, LB=Lower Back Slope</t>
  </si>
  <si>
    <t>Imnavait WT 12 UB5</t>
  </si>
  <si>
    <t>Island Lake</t>
  </si>
  <si>
    <t>Lake and stream survey 1988 #28</t>
  </si>
  <si>
    <t>Itigaknit Lake</t>
  </si>
  <si>
    <t>Has been called NE15, which is incorrect.  Delete this reference if you find it, and change to Itigaknit.</t>
  </si>
  <si>
    <t>Itkillik Lake</t>
  </si>
  <si>
    <t>Itkillik</t>
  </si>
  <si>
    <t>Itkillik Trib East</t>
  </si>
  <si>
    <t>nutrients and YOY</t>
  </si>
  <si>
    <t>Itkillik Trib West</t>
  </si>
  <si>
    <t>Itkillik Tributary-Burned</t>
  </si>
  <si>
    <t>Angie 1a</t>
  </si>
  <si>
    <t>Itkillik Tributary-Unburned</t>
  </si>
  <si>
    <t>Angie 2a</t>
  </si>
  <si>
    <t>Kuparuk 0.0k</t>
  </si>
  <si>
    <t>1985-1995, 2011-present phosphorus addition</t>
  </si>
  <si>
    <t>Kuparuk -0.177k</t>
  </si>
  <si>
    <t>Kuparuk 0.3k</t>
  </si>
  <si>
    <t>YOY</t>
  </si>
  <si>
    <t>Kuparuk -0.3k</t>
  </si>
  <si>
    <t>Kuparuk -0.47k</t>
  </si>
  <si>
    <t>Kuparuk 0.56k</t>
  </si>
  <si>
    <t>Kuparuk 0.5k</t>
  </si>
  <si>
    <t>high-flow discharge measurements</t>
  </si>
  <si>
    <t>Kuparuk 0.74k</t>
  </si>
  <si>
    <t>Kuparuk -0.7k</t>
  </si>
  <si>
    <t>Kuparuk 0.85k</t>
  </si>
  <si>
    <t>Kuparuk 1.0k</t>
  </si>
  <si>
    <t>Kuparuk 1.39k</t>
  </si>
  <si>
    <t>Kuparuk 1.4k</t>
  </si>
  <si>
    <t>1996-2010 phosphoric addition, 2011-present half-rate phosphoric addition</t>
  </si>
  <si>
    <t>Kuparuk 1.8k</t>
  </si>
  <si>
    <t>Kuparuk 2.0k</t>
  </si>
  <si>
    <t>Kuparuk 2.4k</t>
  </si>
  <si>
    <t>Kuparuk 2.5k</t>
  </si>
  <si>
    <t>Kuparuk 3.0k</t>
  </si>
  <si>
    <t>Kuparuk 4.0k</t>
  </si>
  <si>
    <t>Kuparuk game camera</t>
  </si>
  <si>
    <t>game camera</t>
  </si>
  <si>
    <t>Kuparuk River at haul Rd.</t>
  </si>
  <si>
    <t>Kup</t>
  </si>
  <si>
    <t>Kuparuk River Ice Field</t>
  </si>
  <si>
    <t>Kuparuk aufeis</t>
  </si>
  <si>
    <t>Kuparuk Spring</t>
  </si>
  <si>
    <t>KUPB</t>
  </si>
  <si>
    <t>Lake Africa</t>
  </si>
  <si>
    <t>Lake and stream survey 1988 #18</t>
  </si>
  <si>
    <t>Lake Anne</t>
  </si>
  <si>
    <t>Lake and stream survey 1988 #05</t>
  </si>
  <si>
    <t>Lake Carolyn</t>
  </si>
  <si>
    <t>Lake and stream survey 1988 #17</t>
  </si>
  <si>
    <t>Lake Charles</t>
  </si>
  <si>
    <t>Lake and stream survey 1988 #10</t>
  </si>
  <si>
    <t>Lake Colleen</t>
  </si>
  <si>
    <t>Lake and stream survey 1988 #22</t>
  </si>
  <si>
    <t>Colleen Lake</t>
  </si>
  <si>
    <t>Lake George</t>
  </si>
  <si>
    <t>Lake and stream survey 1988 #06</t>
  </si>
  <si>
    <t>Lake Maxine</t>
  </si>
  <si>
    <t>Lake and stream survey 1988 #16</t>
  </si>
  <si>
    <t>Lake William</t>
  </si>
  <si>
    <t>Lake and stream survey 1988 #26</t>
  </si>
  <si>
    <t>William Lake</t>
  </si>
  <si>
    <t>LTER 247</t>
  </si>
  <si>
    <t>Lake is called LTER 247 and GTH 01</t>
  </si>
  <si>
    <t>GTH 01</t>
  </si>
  <si>
    <t>LTER 248</t>
  </si>
  <si>
    <t>Lake is called LTER 248 and GTH 02</t>
  </si>
  <si>
    <t>GTH 02</t>
  </si>
  <si>
    <t>LTER 249</t>
  </si>
  <si>
    <t>Lake is called LTER 249 and GTH 03</t>
  </si>
  <si>
    <t>GTH 03</t>
  </si>
  <si>
    <t>LTER 250</t>
  </si>
  <si>
    <t>Lake is called LTER 250 and GTH 04</t>
  </si>
  <si>
    <t>GTH 04</t>
  </si>
  <si>
    <t>LTER 251</t>
  </si>
  <si>
    <t>Lake is called LTER 251 and GTH 05</t>
  </si>
  <si>
    <t>GTH 05</t>
  </si>
  <si>
    <t>LTER 252</t>
  </si>
  <si>
    <t>Lake is called LTER 252 and GTH 06</t>
  </si>
  <si>
    <t>GTH 06</t>
  </si>
  <si>
    <t>LTER 253</t>
  </si>
  <si>
    <t>Lake is called LTER 253 and GTH 07</t>
  </si>
  <si>
    <t>GTH 07</t>
  </si>
  <si>
    <t>LTER 254</t>
  </si>
  <si>
    <t>Lake is called LTER 254 and GTH 08</t>
  </si>
  <si>
    <t>GTH 08</t>
  </si>
  <si>
    <t>LTER 255</t>
  </si>
  <si>
    <t>Lake is called LTER 255 and GTH 09</t>
  </si>
  <si>
    <t>GTH 09</t>
  </si>
  <si>
    <t>LTER 256</t>
  </si>
  <si>
    <t>Lake is called LTER 256 and GTH 10</t>
  </si>
  <si>
    <t>GTH 10</t>
  </si>
  <si>
    <t>LTER 257</t>
  </si>
  <si>
    <t>Lake is called LTER 257 and GTH 11</t>
  </si>
  <si>
    <t>GTH 11</t>
  </si>
  <si>
    <t>LTER 258</t>
  </si>
  <si>
    <t>Lake is called LTER 258 and GTH 12</t>
  </si>
  <si>
    <t>GTH 12</t>
  </si>
  <si>
    <t>LTER 259</t>
  </si>
  <si>
    <t>Lake is called LTER 259 and GTH 13</t>
  </si>
  <si>
    <t>GTH 13</t>
  </si>
  <si>
    <t>LTER 260</t>
  </si>
  <si>
    <t>Lake is called LTER 260 and GTH 14</t>
  </si>
  <si>
    <t>GTH 14</t>
  </si>
  <si>
    <t>LTER 261</t>
  </si>
  <si>
    <t>Lake is called LTER 261 and GTH 15</t>
  </si>
  <si>
    <t>GTH 15</t>
  </si>
  <si>
    <t>LTER 262</t>
  </si>
  <si>
    <t>Lake is called LTER 262 and GTH 16</t>
  </si>
  <si>
    <t>GTH 16</t>
  </si>
  <si>
    <t>LTER 263</t>
  </si>
  <si>
    <t>Lake is called LTER 263 and GTH 17</t>
  </si>
  <si>
    <t>GTH 17</t>
  </si>
  <si>
    <t>LTER 264</t>
  </si>
  <si>
    <t>Lake is called LTER 264 and GTH 18</t>
  </si>
  <si>
    <t>GTH 18</t>
  </si>
  <si>
    <t>LTER 265</t>
  </si>
  <si>
    <t>Lake is called LTER 265 and GTH 19</t>
  </si>
  <si>
    <t>GTH 19</t>
  </si>
  <si>
    <t>LTER 266</t>
  </si>
  <si>
    <t>Lake is called LTER 266 and GTH 20</t>
  </si>
  <si>
    <t>GTH 20</t>
  </si>
  <si>
    <t>LTER 267</t>
  </si>
  <si>
    <t>Lake is called LTER 267 and GTH 21</t>
  </si>
  <si>
    <t>GTH 21</t>
  </si>
  <si>
    <t>LTER 268</t>
  </si>
  <si>
    <t>Lake is called LTER 268 and GTH 22</t>
  </si>
  <si>
    <t>GTH 22</t>
  </si>
  <si>
    <t>LTER 269</t>
  </si>
  <si>
    <t>Lake is called LTER 269 and GTH 23</t>
  </si>
  <si>
    <t>GTH 23</t>
  </si>
  <si>
    <t>LTER 270</t>
  </si>
  <si>
    <t>Lake is called LTER 270 and GTH 24</t>
  </si>
  <si>
    <t>GTH 24</t>
  </si>
  <si>
    <t>LTER 271</t>
  </si>
  <si>
    <t>Lake is called LTER 271 and GTH 25</t>
  </si>
  <si>
    <t>GTH 25</t>
  </si>
  <si>
    <t>LTER 272</t>
  </si>
  <si>
    <t>Lake is called LTER 272 and GTH 26</t>
  </si>
  <si>
    <t>GTH 26</t>
  </si>
  <si>
    <t>LTER 315</t>
  </si>
  <si>
    <t>Lake is called LTER 315 and GTH 27</t>
  </si>
  <si>
    <t>GTH 27</t>
  </si>
  <si>
    <t>LTER 316</t>
  </si>
  <si>
    <t>Lake is called LTER 316 and GTH 28</t>
  </si>
  <si>
    <t>GTH 28</t>
  </si>
  <si>
    <t>LTER 317</t>
  </si>
  <si>
    <t>Lake is called LTER 317 and GTH 29</t>
  </si>
  <si>
    <t>GTH 29</t>
  </si>
  <si>
    <t>LTER 318</t>
  </si>
  <si>
    <t>Lake is called LTER 318 and GTH 30</t>
  </si>
  <si>
    <t>GTH 30</t>
  </si>
  <si>
    <t>LTER 319</t>
  </si>
  <si>
    <t>Lake is called LTER 319 and GTH 31</t>
  </si>
  <si>
    <t>GTH 31</t>
  </si>
  <si>
    <t>LTER 320</t>
  </si>
  <si>
    <t>Lake is called LTER 320 and GTH 32</t>
  </si>
  <si>
    <t>GTH 32</t>
  </si>
  <si>
    <t>LTER 321</t>
  </si>
  <si>
    <t>Lake is called LTER 321 and GTH 33</t>
  </si>
  <si>
    <t>GTH 33</t>
  </si>
  <si>
    <t>LTER 322</t>
  </si>
  <si>
    <t>Lake is called LTER 322 and GTH 34</t>
  </si>
  <si>
    <t>GTH 34</t>
  </si>
  <si>
    <t>LTER 323</t>
  </si>
  <si>
    <t>Lake is called LTER 323 and GTH 35</t>
  </si>
  <si>
    <t>GTH 35</t>
  </si>
  <si>
    <t>LTER 324</t>
  </si>
  <si>
    <t>Lake is called LTER 324 and GTH 36</t>
  </si>
  <si>
    <t>GTH 36</t>
  </si>
  <si>
    <t>LTER 325</t>
  </si>
  <si>
    <t>Lake is called LTER 325 and GTH 37</t>
  </si>
  <si>
    <t>GTH 37</t>
  </si>
  <si>
    <t>LTER 326</t>
  </si>
  <si>
    <t>Lake is called LTER 326 and GTH 38</t>
  </si>
  <si>
    <t>GTH 38</t>
  </si>
  <si>
    <t>LTER 327</t>
  </si>
  <si>
    <t>Lake is called LTER 327 and GTH 39</t>
  </si>
  <si>
    <t>GTH 39</t>
  </si>
  <si>
    <t>LTER 328</t>
  </si>
  <si>
    <t>Lake is called LTER 328 and GTH 40</t>
  </si>
  <si>
    <t>GTH 40</t>
  </si>
  <si>
    <t>LTER 329</t>
  </si>
  <si>
    <t>Lake is called LTER 329 and GTH 41</t>
  </si>
  <si>
    <t>GTH 41</t>
  </si>
  <si>
    <t>LTER 330</t>
  </si>
  <si>
    <t>Lake is called LTER 330 and GTH 42</t>
  </si>
  <si>
    <t>GTH 42</t>
  </si>
  <si>
    <t>LTER 331</t>
  </si>
  <si>
    <t>Lake is called LTER 331 and GTH 43</t>
  </si>
  <si>
    <t>GTH 43</t>
  </si>
  <si>
    <t>LTER 332</t>
  </si>
  <si>
    <t>Lake is called LTER 332 and GTH 44</t>
  </si>
  <si>
    <t>GTH 44</t>
  </si>
  <si>
    <t>LTER 333</t>
  </si>
  <si>
    <t>Lake is called LTER 333 and GTH 45</t>
  </si>
  <si>
    <t>GTH 45</t>
  </si>
  <si>
    <t>LTER 335</t>
  </si>
  <si>
    <t>Lake is called LTER 335 and GTH 47</t>
  </si>
  <si>
    <t>GTH 47</t>
  </si>
  <si>
    <t>LTER 336</t>
  </si>
  <si>
    <t>Lake is called LTER 336 and GTH 48</t>
  </si>
  <si>
    <t>GTH 48</t>
  </si>
  <si>
    <t>LTER 337</t>
  </si>
  <si>
    <t>Lake is called LTER 337 and GTH 49</t>
  </si>
  <si>
    <t>GTH 49</t>
  </si>
  <si>
    <t>LTER 338</t>
  </si>
  <si>
    <t>Lake is called LTER 338 and GTH 50</t>
  </si>
  <si>
    <t>GTH 50</t>
  </si>
  <si>
    <t>LTER 339</t>
  </si>
  <si>
    <t>Lake is called LTER 339 and GTH 51</t>
  </si>
  <si>
    <t>GTH 51</t>
  </si>
  <si>
    <t>LTER 340</t>
  </si>
  <si>
    <t>Lake is called LTER 340 and GTH 52</t>
  </si>
  <si>
    <t>GTH 52</t>
  </si>
  <si>
    <t>LTER 341</t>
  </si>
  <si>
    <t>Lake is called LTER 341 and GTH 53</t>
  </si>
  <si>
    <t>GTH 53</t>
  </si>
  <si>
    <t>LTER 342</t>
  </si>
  <si>
    <t>Lake is called LTER 342 and GTH 54</t>
  </si>
  <si>
    <t>GTH 54</t>
  </si>
  <si>
    <t>LTER 343</t>
  </si>
  <si>
    <t>Lake is called LTER 343 and GTH 55</t>
  </si>
  <si>
    <t>GTH 55</t>
  </si>
  <si>
    <t>LTER 344</t>
  </si>
  <si>
    <t>Lake is called LTER 344 and GTH 56</t>
  </si>
  <si>
    <t>GTH 56</t>
  </si>
  <si>
    <t>LTER 345</t>
  </si>
  <si>
    <t>Lake is called LTER 345 and GTH 57</t>
  </si>
  <si>
    <t>GTH 57</t>
  </si>
  <si>
    <t>LTER 346</t>
  </si>
  <si>
    <t>Lake is called LTER 346 and GTH 58</t>
  </si>
  <si>
    <t>GTH 58</t>
  </si>
  <si>
    <t>LTER 347</t>
  </si>
  <si>
    <t>Lake is called LTER 347 and GTH 59</t>
  </si>
  <si>
    <t>GTH 59</t>
  </si>
  <si>
    <t>LTER 348</t>
  </si>
  <si>
    <t>Lake is called LTER 348 and GTH 60</t>
  </si>
  <si>
    <t>GTH 60</t>
  </si>
  <si>
    <t>LTER 349</t>
  </si>
  <si>
    <t>Lake is called LTER 349 and GTH 61</t>
  </si>
  <si>
    <t>GTH 61</t>
  </si>
  <si>
    <t>LTER 350</t>
  </si>
  <si>
    <t>Lake is called LTER 350 and GTH 62</t>
  </si>
  <si>
    <t>GTH 62</t>
  </si>
  <si>
    <t>LTER 351</t>
  </si>
  <si>
    <t>Lake is called LTER 351 and GTH 63</t>
  </si>
  <si>
    <t>GTH 63</t>
  </si>
  <si>
    <t>LTER 352</t>
  </si>
  <si>
    <t>Lake is called LTER 352 and GTH 64</t>
  </si>
  <si>
    <t>GTH 64</t>
  </si>
  <si>
    <t>LTER 353</t>
  </si>
  <si>
    <t>Lake is called LTER 353 and GTH 65</t>
  </si>
  <si>
    <t>GTH 65</t>
  </si>
  <si>
    <t>LTER 354</t>
  </si>
  <si>
    <t>Lake is called LTER 354 and GTH 66</t>
  </si>
  <si>
    <t>GTH 66</t>
  </si>
  <si>
    <t>LTER 355</t>
  </si>
  <si>
    <t>Lake is called LTER 355 and GTH 67</t>
  </si>
  <si>
    <t>GTH 67</t>
  </si>
  <si>
    <t>LTER 357</t>
  </si>
  <si>
    <t>Lake is called LTER 357 and GTH 69</t>
  </si>
  <si>
    <t>GTH 69</t>
  </si>
  <si>
    <t>LTER 358</t>
  </si>
  <si>
    <t>Lake is called LTER 358 and GTH 70</t>
  </si>
  <si>
    <t>GTH 70</t>
  </si>
  <si>
    <t>LTER 359</t>
  </si>
  <si>
    <t>Lake is called LTER 359 and GTH 71</t>
  </si>
  <si>
    <t>GTH 71</t>
  </si>
  <si>
    <t>LTER 360</t>
  </si>
  <si>
    <t>Lake is called LTER 360 and GTH 72</t>
  </si>
  <si>
    <t>GTH 72</t>
  </si>
  <si>
    <t>LTER 361</t>
  </si>
  <si>
    <t>Lake is called LTER 361 and GTH 73</t>
  </si>
  <si>
    <t>GTH 73</t>
  </si>
  <si>
    <t>LTER 362</t>
  </si>
  <si>
    <t>Lake is called LTER 362 and GTH 74</t>
  </si>
  <si>
    <t>GTH 74</t>
  </si>
  <si>
    <t>LTER 363</t>
  </si>
  <si>
    <t>Lake is called LTER 363 and GTH 75</t>
  </si>
  <si>
    <t>GTH 75</t>
  </si>
  <si>
    <t>LTER 364</t>
  </si>
  <si>
    <t>Lake is called LTER 364 and GTH 76</t>
  </si>
  <si>
    <t>GTH 76</t>
  </si>
  <si>
    <t>LTER 365</t>
  </si>
  <si>
    <t>Lake is called LTER 365 and GTH 77</t>
  </si>
  <si>
    <t>GTH 77</t>
  </si>
  <si>
    <t>LTER 366</t>
  </si>
  <si>
    <t>Lake is called LTER 366 and GTH 78</t>
  </si>
  <si>
    <t>GTH 78</t>
  </si>
  <si>
    <t>LTER 367</t>
  </si>
  <si>
    <t>Lake is called LTER 367 and GTH 79</t>
  </si>
  <si>
    <t>GTH 79</t>
  </si>
  <si>
    <t>LTER 368</t>
  </si>
  <si>
    <t>Lake is called LTER 368 and GTH 80</t>
  </si>
  <si>
    <t>GTH 80</t>
  </si>
  <si>
    <t>LTER 369</t>
  </si>
  <si>
    <t>Lake is called LTER 369 and GTH 81</t>
  </si>
  <si>
    <t>GTH 81</t>
  </si>
  <si>
    <t>LTER Heath Tundra</t>
  </si>
  <si>
    <t>Arctic LTER Experimental Plots: Heath Tundra - Block 1, Northeast corner near Toolik Field Station, North Slope, Alaska.</t>
  </si>
  <si>
    <t>LTER Low Nutrient Moist Acidic Tussock Tundra</t>
  </si>
  <si>
    <t>Low Nutrient Moist Acidic Tussock Tundra (LMAT) Northeast corner Block 1</t>
  </si>
  <si>
    <t>LTER Moist Acidic Tussock Tundra</t>
  </si>
  <si>
    <t>Arctic LTER Experimental Plots: Moist Acidic Tussock Tundra (MAT) Northeast corner block 1 near Toolik Field Station, North Slope, Alaska.</t>
  </si>
  <si>
    <t>LTER Moist Acidic Tussock Tundra 1981 plots</t>
  </si>
  <si>
    <t>Arctic LTER Experimental Plots: 1981 Moist Acidic Tussock Tundra Northeast corner Block 3 near Toolik Field Station, North Slope, Alaska.</t>
  </si>
  <si>
    <t>LTER Moist NonAcidic NonTussock Tundra</t>
  </si>
  <si>
    <t>Arctic LTER Experimental Plots: Moist NonAcidic NonTussock Tundra (MNNT) Northeast corner Block 1 near Toolik Field Station, North Slope, Alaska.</t>
  </si>
  <si>
    <t>LTER Moist NonAcidic Tussock Tundra</t>
  </si>
  <si>
    <t>Arctic LTER Experimental Plots: Moist NonAcidic Tussock Tundra (MNT) Northeast corner block 1 near Toolik Field Station, North Slope, Alaska.</t>
  </si>
  <si>
    <t>LTER Shrub Tundra Block 1</t>
  </si>
  <si>
    <t>Arctic LTER Experimental Plots: Shrub Tundra - Northeast corner Block 1 near Toolik Field Station, North Slope, Alaska.</t>
  </si>
  <si>
    <t>LTER Shrub Tundra Block 2</t>
  </si>
  <si>
    <t>Arctic LTER Experimental Plots: Shrub Tundra - Block 2 Northeast corner near Toolik Field Station, North Slope, Alaska.</t>
  </si>
  <si>
    <t>LTER Wet Sedge Tundra Block 1</t>
  </si>
  <si>
    <t>Arctic LTER Experimental Plots: Wet Sedge Tundra - Block 1 Northeast corner near Toolik Field Station, North Slope, Alaska.</t>
  </si>
  <si>
    <t>LTER Wet Sedge Tundra Block 2</t>
  </si>
  <si>
    <t>Arctic LTER Experimental Plots: Wet Sedge Tundra Block 2 Northeast corner near Toolik Field Station, North Slope, Alaska.</t>
  </si>
  <si>
    <t>Luna Lake</t>
  </si>
  <si>
    <t>May Creek</t>
  </si>
  <si>
    <t>Milake</t>
  </si>
  <si>
    <t>Milake into NE 14</t>
  </si>
  <si>
    <t>LTER_Bowden_Kling</t>
  </si>
  <si>
    <t>Milkyway Lower</t>
  </si>
  <si>
    <t>MWL</t>
  </si>
  <si>
    <t>IS18</t>
  </si>
  <si>
    <t>Milkyway Upper</t>
  </si>
  <si>
    <t>MWU</t>
  </si>
  <si>
    <t>IS24</t>
  </si>
  <si>
    <t>Moderate CALM grid, NW corner</t>
  </si>
  <si>
    <t>N 01</t>
  </si>
  <si>
    <t>N1</t>
  </si>
  <si>
    <t>N1S and N1D for Shallow and Deep ends of the lake</t>
  </si>
  <si>
    <t>N 02</t>
  </si>
  <si>
    <t>N2</t>
  </si>
  <si>
    <t>N2F, N2C, N2 Reference, and N2 Treatment</t>
  </si>
  <si>
    <t>N 03</t>
  </si>
  <si>
    <t>N3</t>
  </si>
  <si>
    <t>N 04</t>
  </si>
  <si>
    <t>N4</t>
  </si>
  <si>
    <t>N 05</t>
  </si>
  <si>
    <t>N5</t>
  </si>
  <si>
    <t>Nanushuk Lake</t>
  </si>
  <si>
    <t>Natvakruak Lake</t>
  </si>
  <si>
    <t>Natvakruak_1 lake</t>
  </si>
  <si>
    <t>Natvakruak_2 lake</t>
  </si>
  <si>
    <t>Natvakruak_3 lake</t>
  </si>
  <si>
    <t>NE 01</t>
  </si>
  <si>
    <t>NE1</t>
  </si>
  <si>
    <t>NE 02</t>
  </si>
  <si>
    <t>NE2</t>
  </si>
  <si>
    <t>NE 03</t>
  </si>
  <si>
    <t>NE3</t>
  </si>
  <si>
    <t>NE 04</t>
  </si>
  <si>
    <t>NE4</t>
  </si>
  <si>
    <t>NE 05</t>
  </si>
  <si>
    <t>NE5</t>
  </si>
  <si>
    <t>NE 06</t>
  </si>
  <si>
    <t>NE6</t>
  </si>
  <si>
    <t>NE 07</t>
  </si>
  <si>
    <t>NE7</t>
  </si>
  <si>
    <t>NE 08</t>
  </si>
  <si>
    <t>NE8</t>
  </si>
  <si>
    <t>NE 09</t>
  </si>
  <si>
    <t>NE9</t>
  </si>
  <si>
    <t>NE 10</t>
  </si>
  <si>
    <t>NE10</t>
  </si>
  <si>
    <t>NE 11</t>
  </si>
  <si>
    <t>NE 12</t>
  </si>
  <si>
    <t>Dog Bone Lake</t>
  </si>
  <si>
    <t>NE 13</t>
  </si>
  <si>
    <t>NE13</t>
  </si>
  <si>
    <t>NE 14</t>
  </si>
  <si>
    <t>Lunker Lake</t>
  </si>
  <si>
    <t>NE 14 Lake</t>
  </si>
  <si>
    <t>This site is near the NE 14 Lake Slump Inlet and is different than the NE 14 site (which is out in the lake).</t>
  </si>
  <si>
    <t>NE 14 Lake Slump Inlet</t>
  </si>
  <si>
    <t>NE 14 Outlet</t>
  </si>
  <si>
    <t>NE 15</t>
  </si>
  <si>
    <t>NE15</t>
  </si>
  <si>
    <t>NE 16</t>
  </si>
  <si>
    <t>NE16</t>
  </si>
  <si>
    <t>NE 9B</t>
  </si>
  <si>
    <t>NE9B</t>
  </si>
  <si>
    <t>bedrock lake</t>
  </si>
  <si>
    <t>North Itigaknit A1</t>
  </si>
  <si>
    <t>Bacterial Survey 21</t>
  </si>
  <si>
    <t>BS21</t>
  </si>
  <si>
    <t>North Itigaknit A2</t>
  </si>
  <si>
    <t>Bacterial Survey 22</t>
  </si>
  <si>
    <t>BS22</t>
  </si>
  <si>
    <t>North Itigaknit B1</t>
  </si>
  <si>
    <t>Bacterial Survey 23</t>
  </si>
  <si>
    <t>BS23</t>
  </si>
  <si>
    <t>North Itigaknit B2</t>
  </si>
  <si>
    <t>Bacterial Survey 24</t>
  </si>
  <si>
    <t>BS24</t>
  </si>
  <si>
    <t>North Itigaknit B3</t>
  </si>
  <si>
    <t>Bacterial Survey 25</t>
  </si>
  <si>
    <t>BS25</t>
  </si>
  <si>
    <t>North Lake</t>
  </si>
  <si>
    <t>North Lake Inlet</t>
  </si>
  <si>
    <t>North Lake Outlet</t>
  </si>
  <si>
    <t>North River</t>
  </si>
  <si>
    <t>North River - mouth</t>
  </si>
  <si>
    <t>Thermokarst sampling</t>
  </si>
  <si>
    <t>North River Main/ISCO</t>
  </si>
  <si>
    <t>nutrients, ISCO</t>
  </si>
  <si>
    <t>North River Mid</t>
  </si>
  <si>
    <t>North River Thermokarst</t>
  </si>
  <si>
    <t>O1</t>
  </si>
  <si>
    <t>These are lakes near Campsite Lake</t>
  </si>
  <si>
    <t>O 1</t>
  </si>
  <si>
    <t>O2</t>
  </si>
  <si>
    <t>O 2</t>
  </si>
  <si>
    <t>O3</t>
  </si>
  <si>
    <t>O 3</t>
  </si>
  <si>
    <t>Oksrukuyik -0.1k</t>
  </si>
  <si>
    <t>Oksrukuyik -0.3k</t>
  </si>
  <si>
    <t>Oksrukuyik -0.7k</t>
  </si>
  <si>
    <t>Oksrukuyik 0.8k</t>
  </si>
  <si>
    <t>Oksrukuyik 1.37k</t>
  </si>
  <si>
    <t>Oksrukuyik Creek</t>
  </si>
  <si>
    <t>Ox</t>
  </si>
  <si>
    <t>Oxy</t>
  </si>
  <si>
    <t>Oksrukuyik game camera</t>
  </si>
  <si>
    <t>Oksrukuyik HOBO pressure transducer</t>
  </si>
  <si>
    <t>stage</t>
  </si>
  <si>
    <t xml:space="preserve">Perched Lake </t>
  </si>
  <si>
    <t xml:space="preserve">Perch Lake </t>
  </si>
  <si>
    <t>Perched Lake Outlet</t>
  </si>
  <si>
    <t>Perch Lake Outlet</t>
  </si>
  <si>
    <t>Phenology Station at 2304 Tower</t>
  </si>
  <si>
    <t>Phenology Station @ 2304 Tower</t>
  </si>
  <si>
    <t xml:space="preserve">Reba Lake </t>
  </si>
  <si>
    <t>Reds Lake</t>
  </si>
  <si>
    <t>REF1</t>
  </si>
  <si>
    <t>REF2</t>
  </si>
  <si>
    <t>REF3</t>
  </si>
  <si>
    <t>Ribdon River</t>
  </si>
  <si>
    <t>Roche Moutonnee</t>
  </si>
  <si>
    <t>Mt. Roche</t>
  </si>
  <si>
    <t>Roche Moutanee</t>
  </si>
  <si>
    <t>S 01</t>
  </si>
  <si>
    <t>S 02</t>
  </si>
  <si>
    <t>S 03</t>
  </si>
  <si>
    <t>S 04</t>
  </si>
  <si>
    <t>S 05</t>
  </si>
  <si>
    <t>S5</t>
  </si>
  <si>
    <t>S 06</t>
  </si>
  <si>
    <t>S6</t>
  </si>
  <si>
    <t>S 06 Outlet</t>
  </si>
  <si>
    <t xml:space="preserve">S6 Out         </t>
  </si>
  <si>
    <t>S6Out</t>
  </si>
  <si>
    <t>S 07</t>
  </si>
  <si>
    <t>S 07 Inlet</t>
  </si>
  <si>
    <t xml:space="preserve">S7 In         </t>
  </si>
  <si>
    <t>S7In</t>
  </si>
  <si>
    <t xml:space="preserve">S 07 into S 06        </t>
  </si>
  <si>
    <t>S7 into S6</t>
  </si>
  <si>
    <t>S7-S6</t>
  </si>
  <si>
    <t>S 08</t>
  </si>
  <si>
    <t>S 09</t>
  </si>
  <si>
    <t>S 10</t>
  </si>
  <si>
    <t>S 11</t>
  </si>
  <si>
    <t>S 12</t>
  </si>
  <si>
    <t>S 13</t>
  </si>
  <si>
    <t>Sag 1</t>
  </si>
  <si>
    <t>Sag 2</t>
  </si>
  <si>
    <t>Sag C Pit</t>
  </si>
  <si>
    <t>Lake and stream survey 1988 #19</t>
  </si>
  <si>
    <t>Sagavanirktok River</t>
  </si>
  <si>
    <t>Sag R</t>
  </si>
  <si>
    <t>Sag</t>
  </si>
  <si>
    <t>Section Creek</t>
  </si>
  <si>
    <t>Severe CALM grid, NW corner</t>
  </si>
  <si>
    <t>Shainin Lake</t>
  </si>
  <si>
    <t>Shrew River</t>
  </si>
  <si>
    <t>Shrew River North</t>
  </si>
  <si>
    <t>Silhouette Lake</t>
  </si>
  <si>
    <t>South of Dead Horse</t>
  </si>
  <si>
    <t>Lake and stream survey 1988 #12</t>
  </si>
  <si>
    <t>Sitchiak Lake</t>
  </si>
  <si>
    <t>Slope Mtn. North 01</t>
  </si>
  <si>
    <t>Slope Mtn. North 02</t>
  </si>
  <si>
    <t>Slope Mtn. North 03</t>
  </si>
  <si>
    <t>Slope Mtn. North 04</t>
  </si>
  <si>
    <t>Slope Mtn. North 05</t>
  </si>
  <si>
    <t>Slope Mtn. North 06</t>
  </si>
  <si>
    <t>South River</t>
  </si>
  <si>
    <t>South Main</t>
  </si>
  <si>
    <t>South River Main</t>
  </si>
  <si>
    <t>South River Flux Star</t>
  </si>
  <si>
    <t>South River Harvest Transect</t>
  </si>
  <si>
    <t>South River Main/ISCO</t>
  </si>
  <si>
    <t>South River Mid</t>
  </si>
  <si>
    <t>South River Tributary</t>
  </si>
  <si>
    <t>South River Trib</t>
  </si>
  <si>
    <t>Stinking Hills Feature</t>
  </si>
  <si>
    <t>Test area 1 (Nanushuk River)</t>
  </si>
  <si>
    <t>Test area 2 (North R headwater)</t>
  </si>
  <si>
    <t>Toolik</t>
  </si>
  <si>
    <t>Toolik Lake Main Station</t>
  </si>
  <si>
    <t>TM</t>
  </si>
  <si>
    <t>Tlk</t>
  </si>
  <si>
    <t>Toolik Camp Shoal</t>
  </si>
  <si>
    <t>Surveyed by Sarah Barbrow in 2009, Kling,Cory,Nannen, and Crump in 2010.</t>
  </si>
  <si>
    <t>Toolik Lake Survey</t>
  </si>
  <si>
    <t>Toolik Central</t>
  </si>
  <si>
    <t>Toolik Dock</t>
  </si>
  <si>
    <t>Toolik Inlet</t>
  </si>
  <si>
    <t>Toolik Inlet Stream</t>
  </si>
  <si>
    <t>IS19</t>
  </si>
  <si>
    <t>Toolik Inlet Bay</t>
  </si>
  <si>
    <t>Toolik Lake Limno Corrals</t>
  </si>
  <si>
    <t>Experiments done in Limno Bay</t>
  </si>
  <si>
    <t>Toolik Limno Bay</t>
  </si>
  <si>
    <t>Western bay of Toolik where limno corral experiments were done in the 1980s</t>
  </si>
  <si>
    <t>TLB</t>
  </si>
  <si>
    <t>Toolik Bay</t>
  </si>
  <si>
    <t>Toolik Morraine</t>
  </si>
  <si>
    <t>Toolik Outlet</t>
  </si>
  <si>
    <t>Toolik Outlet Stream</t>
  </si>
  <si>
    <t>Toolik Outlet Bay</t>
  </si>
  <si>
    <t>Toolik River</t>
  </si>
  <si>
    <t>Toolik River Ice Field</t>
  </si>
  <si>
    <t>Toolik aufeis</t>
  </si>
  <si>
    <t>Toolik Rock Shoal</t>
  </si>
  <si>
    <t>Toolik Sauna Shoal</t>
  </si>
  <si>
    <t>Toolik Southwest Basin</t>
  </si>
  <si>
    <t>TR IMP</t>
  </si>
  <si>
    <t>TR REF</t>
  </si>
  <si>
    <t>TR TK ABOVE</t>
  </si>
  <si>
    <t>TR TK LOW</t>
  </si>
  <si>
    <t>TW 01</t>
  </si>
  <si>
    <t>Tussock Watershed soil water sites</t>
  </si>
  <si>
    <t>TW1</t>
  </si>
  <si>
    <t>TW 02</t>
  </si>
  <si>
    <t>TW2</t>
  </si>
  <si>
    <t>TW 03</t>
  </si>
  <si>
    <t>TW3</t>
  </si>
  <si>
    <t>TW 04</t>
  </si>
  <si>
    <t>TW4</t>
  </si>
  <si>
    <t>TW 05</t>
  </si>
  <si>
    <t>TW5</t>
  </si>
  <si>
    <t>TW 06</t>
  </si>
  <si>
    <t>TW6</t>
  </si>
  <si>
    <t>TW 07</t>
  </si>
  <si>
    <t>TW7</t>
  </si>
  <si>
    <t>TW 08</t>
  </si>
  <si>
    <t>TW8</t>
  </si>
  <si>
    <t>TW 09</t>
  </si>
  <si>
    <t>TW9</t>
  </si>
  <si>
    <t>TW 10</t>
  </si>
  <si>
    <t>TW10</t>
  </si>
  <si>
    <t>TW 11</t>
  </si>
  <si>
    <t>TW11</t>
  </si>
  <si>
    <t>TW 12</t>
  </si>
  <si>
    <t>TW12</t>
  </si>
  <si>
    <t>TW 13</t>
  </si>
  <si>
    <t>TW13</t>
  </si>
  <si>
    <t>TW 14</t>
  </si>
  <si>
    <t>TW14</t>
  </si>
  <si>
    <t>TW Lower</t>
  </si>
  <si>
    <t>Tussock Watershed stream where it enters Toolik Lake</t>
  </si>
  <si>
    <t>TWLower</t>
  </si>
  <si>
    <t>TWL</t>
  </si>
  <si>
    <t>TW Weir</t>
  </si>
  <si>
    <t xml:space="preserve">Tussock watershed (TW) Weir       </t>
  </si>
  <si>
    <t>Weir</t>
  </si>
  <si>
    <t>Upper Kup WS1</t>
  </si>
  <si>
    <t>Upper Kup WS1-WS2</t>
  </si>
  <si>
    <t>Upper Kup WS2</t>
  </si>
  <si>
    <t>Valley of Thermokarst</t>
  </si>
  <si>
    <t>VTK</t>
  </si>
  <si>
    <t>Valley of Thermokarst – Ref 1</t>
  </si>
  <si>
    <t>VTK1</t>
  </si>
  <si>
    <t>Valley of Thermokarst – Ref 2</t>
  </si>
  <si>
    <t>VTK2</t>
  </si>
  <si>
    <t>VTK IMPACTED</t>
  </si>
  <si>
    <t>VTK IMP-Upper</t>
  </si>
  <si>
    <t>VTK REFERENCE</t>
  </si>
  <si>
    <t>VTK REF-Upper</t>
  </si>
  <si>
    <t>Watering Plots Barrel Water</t>
  </si>
  <si>
    <t>WP Barrel</t>
  </si>
  <si>
    <t>WPBarrel</t>
  </si>
  <si>
    <t>Watering Plots C1</t>
  </si>
  <si>
    <t>WP C1</t>
  </si>
  <si>
    <t>WPC1</t>
  </si>
  <si>
    <t>Watering Plots C2</t>
  </si>
  <si>
    <t>WP C2</t>
  </si>
  <si>
    <t>WPC2</t>
  </si>
  <si>
    <t>Watering Plots C3</t>
  </si>
  <si>
    <t>WP C3</t>
  </si>
  <si>
    <t>WPC3</t>
  </si>
  <si>
    <t>Watering Plots C4</t>
  </si>
  <si>
    <t>WP C4</t>
  </si>
  <si>
    <t>WPC4</t>
  </si>
  <si>
    <t>Watering Plots C5</t>
  </si>
  <si>
    <t>WP C5</t>
  </si>
  <si>
    <t>WPC5</t>
  </si>
  <si>
    <t>Watering Plots C6</t>
  </si>
  <si>
    <t>WP C6</t>
  </si>
  <si>
    <t>WPC6</t>
  </si>
  <si>
    <t>Watering Plots W1</t>
  </si>
  <si>
    <t>WP W1</t>
  </si>
  <si>
    <t>WPW1</t>
  </si>
  <si>
    <t>Watering Plots W2</t>
  </si>
  <si>
    <t>WP W2</t>
  </si>
  <si>
    <t>WPW2</t>
  </si>
  <si>
    <t>Watering Plots W3</t>
  </si>
  <si>
    <t>WP W3</t>
  </si>
  <si>
    <t>WPW3</t>
  </si>
  <si>
    <t>Watering Plots W4</t>
  </si>
  <si>
    <t>WP W4</t>
  </si>
  <si>
    <t>WPW4</t>
  </si>
  <si>
    <t>Watering Plots W5</t>
  </si>
  <si>
    <t>WP W5</t>
  </si>
  <si>
    <t>WPW5</t>
  </si>
  <si>
    <t>Watering Plots W6</t>
  </si>
  <si>
    <t>WP W6</t>
  </si>
  <si>
    <t>WPW6</t>
  </si>
  <si>
    <t>West Lake Survey  01</t>
  </si>
  <si>
    <t>West Lakes Survey 1997</t>
  </si>
  <si>
    <t>West Lake Survey  02</t>
  </si>
  <si>
    <t>West Lake Survey  03</t>
  </si>
  <si>
    <t>West Lake Survey  04</t>
  </si>
  <si>
    <t>West Lake Survey  05</t>
  </si>
  <si>
    <t>West Lake Survey  06</t>
  </si>
  <si>
    <t>West Lake Survey  07</t>
  </si>
  <si>
    <t>West Lake Survey  08</t>
  </si>
  <si>
    <t>West Lake Survey  09</t>
  </si>
  <si>
    <t>West Lake Survey  10</t>
  </si>
  <si>
    <t>West Sag Lakes  A1</t>
  </si>
  <si>
    <t>West Sag Lakes  A2</t>
  </si>
  <si>
    <t>West Sag Lakes  A3</t>
  </si>
  <si>
    <t>West Sag Lakes  B1</t>
  </si>
  <si>
    <t>West Sag Lakes  B2</t>
  </si>
  <si>
    <t>West Sag Lakes  B3</t>
  </si>
  <si>
    <t>Windy Lake</t>
  </si>
  <si>
    <t>Lake and stream survey 1988 #11</t>
  </si>
  <si>
    <t>Wolf Creek</t>
  </si>
  <si>
    <t>Oksrukuyik Creek Tributary</t>
  </si>
  <si>
    <t>Yurlake</t>
  </si>
  <si>
    <t>Yurlake into NE 14</t>
  </si>
  <si>
    <t>Yurlake into NE14</t>
  </si>
  <si>
    <t>Anaktuvuk River Fire Scar</t>
  </si>
  <si>
    <t>Depth increment of sample in cm (0=burned soil surface)</t>
  </si>
  <si>
    <t xml:space="preserve">Version 2: Updated to newer metadata form (with sites sheet). Fixed discrepency with variable names. Units updated to current standards. CH March 2013. </t>
  </si>
  <si>
    <t>knb-lter-arc.10127.2</t>
  </si>
  <si>
    <t>http://ecosystems.mbl.edu/ARC/meta_template.php?FileName=./burn/terrestrial/xlsfiles/2008_MCM_ARF14C.html</t>
  </si>
  <si>
    <t>.=Missing or Not Measured</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</si>
</sst>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0000"/>
    <numFmt numFmtId="165" formatCode="0.0"/>
    <numFmt numFmtId="166" formatCode="dd\-mmm\-yyyy"/>
  </numFmts>
  <fonts count="25">
    <font>
      <sz val="11"/>
      <color theme="1"/>
      <name val="Calibri"/>
      <family val="2"/>
      <scheme val="minor"/>
    </font>
    <font>
      <b/>
      <sz val="10"/>
      <name val="Arial"/>
      <family val="2"/>
    </font>
    <font>
      <sz val="10"/>
      <name val="Arial"/>
      <family val="2"/>
    </font>
    <font>
      <b/>
      <sz val="14"/>
      <name val="Arial"/>
      <family val="2"/>
    </font>
    <font>
      <b/>
      <sz val="12"/>
      <color indexed="10"/>
      <name val="Arial"/>
      <family val="2"/>
    </font>
    <font>
      <sz val="10"/>
      <color indexed="22"/>
      <name val="Arial"/>
      <family val="2"/>
    </font>
    <font>
      <u/>
      <sz val="10"/>
      <color indexed="12"/>
      <name val="Arial"/>
      <family val="2"/>
    </font>
    <font>
      <sz val="12"/>
      <name val="Arial"/>
      <family val="2"/>
    </font>
    <font>
      <b/>
      <sz val="9"/>
      <name val="Arial"/>
      <family val="2"/>
    </font>
    <font>
      <b/>
      <sz val="9"/>
      <color indexed="48"/>
      <name val="Arial"/>
      <family val="2"/>
    </font>
    <font>
      <b/>
      <u/>
      <sz val="10"/>
      <color indexed="10"/>
      <name val="Arial"/>
      <family val="2"/>
    </font>
    <font>
      <b/>
      <sz val="10"/>
      <color indexed="12"/>
      <name val="Arial"/>
      <family val="2"/>
    </font>
    <font>
      <sz val="10"/>
      <color indexed="10"/>
      <name val="Arial"/>
      <family val="2"/>
    </font>
    <font>
      <sz val="8"/>
      <color indexed="81"/>
      <name val="Tahoma"/>
      <family val="2"/>
    </font>
    <font>
      <b/>
      <sz val="8"/>
      <color indexed="81"/>
      <name val="Tahoma"/>
      <family val="2"/>
    </font>
    <font>
      <b/>
      <sz val="10"/>
      <color indexed="81"/>
      <name val="Tahoma"/>
      <family val="2"/>
    </font>
    <font>
      <b/>
      <sz val="8"/>
      <color indexed="10"/>
      <name val="Tahoma"/>
      <family val="2"/>
    </font>
    <font>
      <sz val="10"/>
      <color indexed="81"/>
      <name val="Tahoma"/>
      <family val="2"/>
    </font>
    <font>
      <sz val="10"/>
      <color indexed="10"/>
      <name val="Tahoma"/>
      <family val="2"/>
    </font>
    <font>
      <sz val="8"/>
      <color indexed="10"/>
      <name val="Tahoma"/>
      <family val="2"/>
    </font>
    <font>
      <sz val="10"/>
      <name val="Geneva"/>
    </font>
    <font>
      <b/>
      <sz val="9"/>
      <color indexed="81"/>
      <name val="Tahoma"/>
      <family val="2"/>
    </font>
    <font>
      <b/>
      <sz val="8"/>
      <color indexed="39"/>
      <name val="Tahoma"/>
      <family val="2"/>
    </font>
    <font>
      <b/>
      <sz val="8"/>
      <color indexed="12"/>
      <name val="Arial"/>
      <family val="2"/>
    </font>
    <font>
      <b/>
      <sz val="8"/>
      <color indexed="10"/>
      <name val="Arial"/>
      <family val="2"/>
    </font>
  </fonts>
  <fills count="9">
    <fill>
      <patternFill patternType="none"/>
    </fill>
    <fill>
      <patternFill patternType="gray125"/>
    </fill>
    <fill>
      <patternFill patternType="solid">
        <fgColor rgb="FF66FF99"/>
        <bgColor indexed="64"/>
      </patternFill>
    </fill>
    <fill>
      <patternFill patternType="solid">
        <fgColor indexed="27"/>
        <bgColor indexed="31"/>
      </patternFill>
    </fill>
    <fill>
      <patternFill patternType="solid">
        <fgColor rgb="FFCCFFFF"/>
        <bgColor indexed="31"/>
      </patternFill>
    </fill>
    <fill>
      <patternFill patternType="solid">
        <fgColor theme="0" tint="-0.14999847407452621"/>
        <bgColor indexed="64"/>
      </patternFill>
    </fill>
    <fill>
      <patternFill patternType="solid">
        <fgColor indexed="41"/>
        <bgColor indexed="64"/>
      </patternFill>
    </fill>
    <fill>
      <patternFill patternType="solid">
        <fgColor indexed="22"/>
        <bgColor indexed="64"/>
      </patternFill>
    </fill>
    <fill>
      <patternFill patternType="solid">
        <fgColor rgb="FF00FFFF"/>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3">
    <xf numFmtId="0" fontId="0" fillId="0" borderId="0"/>
    <xf numFmtId="0" fontId="6" fillId="0" borderId="0" applyNumberFormat="0" applyFill="0" applyBorder="0" applyAlignment="0" applyProtection="0">
      <alignment vertical="top"/>
      <protection locked="0"/>
    </xf>
    <xf numFmtId="0" fontId="2" fillId="0" borderId="0"/>
  </cellStyleXfs>
  <cellXfs count="101">
    <xf numFmtId="0" fontId="0" fillId="0" borderId="0" xfId="0"/>
    <xf numFmtId="0" fontId="0" fillId="0" borderId="0" xfId="0" applyFont="1"/>
    <xf numFmtId="1" fontId="0" fillId="0" borderId="0" xfId="0" applyNumberFormat="1" applyFont="1"/>
    <xf numFmtId="0" fontId="1" fillId="7" borderId="1" xfId="2" applyFont="1" applyFill="1" applyBorder="1" applyAlignment="1" applyProtection="1">
      <alignment vertical="center" wrapText="1"/>
    </xf>
    <xf numFmtId="0" fontId="1" fillId="7" borderId="1" xfId="2" applyFont="1" applyFill="1" applyBorder="1" applyAlignment="1" applyProtection="1">
      <alignment horizontal="left" vertical="center" wrapText="1"/>
    </xf>
    <xf numFmtId="0" fontId="2" fillId="0" borderId="0" xfId="2" applyFont="1" applyAlignment="1" applyProtection="1">
      <alignment wrapText="1"/>
      <protection locked="0"/>
    </xf>
    <xf numFmtId="0" fontId="2" fillId="0" borderId="0" xfId="2" applyFont="1" applyAlignment="1" applyProtection="1">
      <alignment vertical="top" wrapText="1"/>
      <protection locked="0"/>
    </xf>
    <xf numFmtId="0" fontId="0" fillId="0" borderId="0" xfId="0" applyFill="1"/>
    <xf numFmtId="0" fontId="20" fillId="0" borderId="0" xfId="0" applyFont="1" applyFill="1"/>
    <xf numFmtId="165" fontId="20" fillId="0" borderId="0" xfId="0" applyNumberFormat="1" applyFont="1" applyFill="1"/>
    <xf numFmtId="0" fontId="0" fillId="0" borderId="0" xfId="0" applyFill="1" applyAlignment="1">
      <alignment horizontal="left"/>
    </xf>
    <xf numFmtId="2" fontId="0" fillId="0" borderId="0" xfId="0" applyNumberFormat="1" applyFill="1" applyBorder="1" applyAlignment="1">
      <alignment horizontal="left"/>
    </xf>
    <xf numFmtId="0" fontId="6" fillId="0" borderId="2" xfId="1" applyFill="1" applyBorder="1" applyAlignment="1" applyProtection="1">
      <alignment horizontal="left"/>
    </xf>
    <xf numFmtId="0" fontId="2" fillId="0" borderId="0" xfId="2" applyFont="1"/>
    <xf numFmtId="0" fontId="2" fillId="0" borderId="0" xfId="2" applyFont="1" applyProtection="1">
      <protection locked="0"/>
    </xf>
    <xf numFmtId="0" fontId="2" fillId="0" borderId="0" xfId="2" applyFont="1" applyAlignment="1" applyProtection="1">
      <alignment horizontal="left" wrapText="1"/>
      <protection locked="0"/>
    </xf>
    <xf numFmtId="0" fontId="2" fillId="0" borderId="0" xfId="2" applyFont="1" applyAlignment="1">
      <alignment vertical="top"/>
    </xf>
    <xf numFmtId="0" fontId="2" fillId="0" borderId="0" xfId="2" applyFont="1" applyAlignment="1">
      <alignment vertical="center" wrapText="1"/>
    </xf>
    <xf numFmtId="0" fontId="12" fillId="0" borderId="0" xfId="2" applyFont="1"/>
    <xf numFmtId="0" fontId="11" fillId="0" borderId="0" xfId="2" applyFont="1"/>
    <xf numFmtId="0" fontId="1" fillId="0" borderId="0" xfId="2" applyFont="1" applyFill="1" applyBorder="1" applyAlignment="1" applyProtection="1">
      <alignment vertical="center" wrapText="1"/>
    </xf>
    <xf numFmtId="0" fontId="10" fillId="0" borderId="0" xfId="2" applyFont="1"/>
    <xf numFmtId="0" fontId="1" fillId="2" borderId="1" xfId="2" applyFont="1" applyFill="1" applyBorder="1" applyAlignment="1" applyProtection="1">
      <alignment vertical="top" wrapText="1"/>
    </xf>
    <xf numFmtId="0" fontId="2" fillId="0" borderId="0" xfId="2" applyFont="1" applyFill="1" applyBorder="1" applyAlignment="1" applyProtection="1">
      <alignment horizontal="left" wrapText="1"/>
      <protection locked="0"/>
    </xf>
    <xf numFmtId="0" fontId="1" fillId="0" borderId="0" xfId="2" applyFont="1" applyFill="1" applyBorder="1" applyAlignment="1" applyProtection="1">
      <alignment horizontal="right" vertical="top"/>
    </xf>
    <xf numFmtId="0" fontId="2" fillId="0" borderId="0" xfId="2" applyFont="1" applyAlignment="1" applyProtection="1">
      <alignment vertical="top"/>
    </xf>
    <xf numFmtId="0" fontId="2" fillId="0" borderId="0" xfId="2" applyFont="1" applyAlignment="1" applyProtection="1">
      <protection locked="0"/>
    </xf>
    <xf numFmtId="0" fontId="1" fillId="0" borderId="0" xfId="2" applyFont="1" applyAlignment="1" applyProtection="1">
      <alignment horizontal="center" vertical="top"/>
    </xf>
    <xf numFmtId="0" fontId="1" fillId="2" borderId="1" xfId="2" applyFont="1" applyFill="1" applyBorder="1" applyAlignment="1" applyProtection="1">
      <alignment horizontal="right" vertical="top"/>
    </xf>
    <xf numFmtId="0" fontId="2" fillId="6" borderId="10" xfId="2" applyFont="1" applyFill="1" applyBorder="1" applyAlignment="1" applyProtection="1">
      <protection locked="0"/>
    </xf>
    <xf numFmtId="0" fontId="2" fillId="3" borderId="9" xfId="2" applyFont="1" applyFill="1" applyBorder="1" applyAlignment="1" applyProtection="1">
      <alignment horizontal="left"/>
      <protection locked="0"/>
    </xf>
    <xf numFmtId="0" fontId="1" fillId="2" borderId="2" xfId="2" applyFont="1" applyFill="1" applyBorder="1" applyAlignment="1" applyProtection="1">
      <alignment horizontal="right"/>
    </xf>
    <xf numFmtId="0" fontId="2" fillId="6" borderId="3" xfId="2" applyFont="1" applyFill="1" applyBorder="1" applyAlignment="1" applyProtection="1">
      <protection locked="0"/>
    </xf>
    <xf numFmtId="0" fontId="2" fillId="3" borderId="2" xfId="2" applyFont="1" applyFill="1" applyBorder="1" applyAlignment="1" applyProtection="1">
      <alignment horizontal="left"/>
      <protection locked="0"/>
    </xf>
    <xf numFmtId="0" fontId="1" fillId="2" borderId="9" xfId="2" applyFont="1" applyFill="1" applyBorder="1" applyAlignment="1" applyProtection="1">
      <alignment horizontal="right" wrapText="1"/>
    </xf>
    <xf numFmtId="0" fontId="2" fillId="2" borderId="8" xfId="2" applyNumberFormat="1" applyFont="1" applyFill="1" applyBorder="1" applyAlignment="1" applyProtection="1">
      <alignment horizontal="left"/>
    </xf>
    <xf numFmtId="0" fontId="1" fillId="2" borderId="7" xfId="2" applyFont="1" applyFill="1" applyBorder="1" applyAlignment="1" applyProtection="1">
      <alignment horizontal="left"/>
    </xf>
    <xf numFmtId="0" fontId="2" fillId="0" borderId="0" xfId="2" applyNumberFormat="1" applyFont="1" applyAlignment="1" applyProtection="1">
      <alignment horizontal="left"/>
      <protection locked="0"/>
    </xf>
    <xf numFmtId="0" fontId="2" fillId="0" borderId="0" xfId="2" applyFont="1" applyAlignment="1" applyProtection="1">
      <alignment horizontal="left"/>
      <protection locked="0"/>
    </xf>
    <xf numFmtId="0" fontId="2" fillId="0" borderId="0" xfId="2" applyFont="1" applyAlignment="1" applyProtection="1">
      <alignment vertical="center"/>
      <protection locked="0"/>
    </xf>
    <xf numFmtId="0" fontId="2" fillId="0" borderId="0" xfId="2" applyFont="1" applyFill="1" applyAlignment="1" applyProtection="1">
      <alignment vertical="center"/>
      <protection locked="0"/>
    </xf>
    <xf numFmtId="0" fontId="2" fillId="0" borderId="0" xfId="2" applyNumberFormat="1" applyFont="1" applyAlignment="1" applyProtection="1">
      <protection locked="0"/>
    </xf>
    <xf numFmtId="0" fontId="2" fillId="0" borderId="0" xfId="2" applyFont="1" applyAlignment="1" applyProtection="1"/>
    <xf numFmtId="0" fontId="7" fillId="0" borderId="0" xfId="2" applyFont="1"/>
    <xf numFmtId="0" fontId="7" fillId="0" borderId="0" xfId="2" applyFont="1" applyAlignment="1" applyProtection="1">
      <protection locked="0"/>
    </xf>
    <xf numFmtId="0" fontId="2" fillId="4" borderId="1" xfId="2" applyFont="1" applyFill="1" applyBorder="1" applyAlignment="1" applyProtection="1">
      <alignment horizontal="left" wrapText="1"/>
      <protection locked="0"/>
    </xf>
    <xf numFmtId="0" fontId="1" fillId="7" borderId="2" xfId="2" applyFont="1" applyFill="1" applyBorder="1" applyAlignment="1" applyProtection="1">
      <alignment horizontal="right" wrapText="1"/>
    </xf>
    <xf numFmtId="0" fontId="1" fillId="2" borderId="1" xfId="2" applyFont="1" applyFill="1" applyBorder="1" applyAlignment="1" applyProtection="1">
      <alignment wrapText="1"/>
    </xf>
    <xf numFmtId="0" fontId="2" fillId="0" borderId="0" xfId="2" applyFont="1" applyFill="1" applyBorder="1" applyAlignment="1" applyProtection="1">
      <alignment horizontal="right" vertical="top"/>
    </xf>
    <xf numFmtId="0" fontId="1" fillId="7" borderId="0" xfId="2" applyFont="1" applyFill="1" applyBorder="1" applyAlignment="1" applyProtection="1">
      <alignment horizontal="right" wrapText="1"/>
    </xf>
    <xf numFmtId="0" fontId="2" fillId="0" borderId="0" xfId="2" applyFont="1" applyFill="1" applyProtection="1">
      <protection locked="0"/>
    </xf>
    <xf numFmtId="0" fontId="6" fillId="3" borderId="1" xfId="1" applyFill="1" applyBorder="1" applyAlignment="1" applyProtection="1">
      <alignment horizontal="left" vertical="top" wrapText="1"/>
    </xf>
    <xf numFmtId="0" fontId="1" fillId="7" borderId="0" xfId="2" applyFont="1" applyFill="1" applyBorder="1" applyAlignment="1" applyProtection="1">
      <alignment horizontal="right" vertical="top"/>
    </xf>
    <xf numFmtId="0" fontId="2" fillId="3" borderId="1" xfId="2" applyFont="1" applyFill="1" applyBorder="1" applyAlignment="1" applyProtection="1">
      <alignment horizontal="left" vertical="top" wrapText="1"/>
      <protection locked="0"/>
    </xf>
    <xf numFmtId="0" fontId="2" fillId="0" borderId="1" xfId="2" applyFont="1" applyBorder="1" applyAlignment="1" applyProtection="1">
      <alignment horizontal="left" wrapText="1"/>
      <protection locked="0"/>
    </xf>
    <xf numFmtId="0" fontId="1" fillId="2" borderId="1" xfId="2" applyFont="1" applyFill="1" applyBorder="1" applyAlignment="1" applyProtection="1">
      <alignment horizontal="left" vertical="top"/>
    </xf>
    <xf numFmtId="0" fontId="2" fillId="3" borderId="6" xfId="2" applyFont="1" applyFill="1" applyBorder="1" applyAlignment="1" applyProtection="1">
      <alignment horizontal="left" wrapText="1"/>
      <protection locked="0"/>
    </xf>
    <xf numFmtId="0" fontId="1" fillId="7" borderId="0" xfId="2" applyFont="1" applyFill="1" applyBorder="1" applyAlignment="1" applyProtection="1">
      <alignment horizontal="left" vertical="top"/>
    </xf>
    <xf numFmtId="0" fontId="2" fillId="3" borderId="5" xfId="2" applyFont="1" applyFill="1" applyBorder="1" applyAlignment="1" applyProtection="1">
      <alignment horizontal="left" wrapText="1"/>
      <protection locked="0"/>
    </xf>
    <xf numFmtId="0" fontId="1" fillId="2" borderId="4" xfId="2" applyFont="1" applyFill="1" applyBorder="1" applyAlignment="1" applyProtection="1">
      <alignment horizontal="left" vertical="top"/>
    </xf>
    <xf numFmtId="0" fontId="2" fillId="8" borderId="1" xfId="2" applyFont="1" applyFill="1" applyBorder="1" applyAlignment="1" applyProtection="1">
      <alignment horizontal="center" wrapText="1"/>
      <protection locked="0"/>
    </xf>
    <xf numFmtId="0" fontId="1" fillId="2" borderId="1" xfId="2" applyNumberFormat="1" applyFont="1" applyFill="1" applyBorder="1" applyAlignment="1" applyProtection="1">
      <alignment vertical="top" wrapText="1"/>
    </xf>
    <xf numFmtId="0" fontId="2" fillId="0" borderId="0" xfId="2" applyFont="1" applyAlignment="1" applyProtection="1">
      <alignment horizontal="right" vertical="top"/>
    </xf>
    <xf numFmtId="0" fontId="1" fillId="7" borderId="0" xfId="2" applyFont="1" applyFill="1" applyAlignment="1" applyProtection="1">
      <alignment horizontal="right" vertical="top"/>
    </xf>
    <xf numFmtId="166" fontId="2" fillId="3" borderId="1" xfId="2" applyNumberFormat="1" applyFont="1" applyFill="1" applyBorder="1" applyAlignment="1" applyProtection="1">
      <alignment horizontal="left" wrapText="1"/>
      <protection locked="0"/>
    </xf>
    <xf numFmtId="0" fontId="1" fillId="7" borderId="0" xfId="2" applyFont="1" applyFill="1" applyAlignment="1" applyProtection="1">
      <alignment horizontal="right" vertical="top" wrapText="1"/>
    </xf>
    <xf numFmtId="0" fontId="1" fillId="7" borderId="0" xfId="2" applyNumberFormat="1" applyFont="1" applyFill="1" applyAlignment="1" applyProtection="1">
      <alignment horizontal="right" vertical="top" wrapText="1"/>
    </xf>
    <xf numFmtId="0" fontId="5" fillId="0" borderId="3" xfId="2" applyFont="1" applyBorder="1" applyAlignment="1"/>
    <xf numFmtId="0" fontId="5" fillId="0" borderId="1" xfId="2" applyFont="1" applyFill="1" applyBorder="1" applyAlignment="1" applyProtection="1">
      <alignment horizontal="right"/>
    </xf>
    <xf numFmtId="0" fontId="2" fillId="0" borderId="0" xfId="2" applyFont="1" applyBorder="1" applyAlignment="1" applyProtection="1">
      <alignment horizontal="left" wrapText="1"/>
      <protection locked="0"/>
    </xf>
    <xf numFmtId="0" fontId="2" fillId="0" borderId="0" xfId="2" applyFont="1" applyFill="1" applyAlignment="1" applyProtection="1">
      <alignment horizontal="right" vertical="top" wrapText="1"/>
    </xf>
    <xf numFmtId="0" fontId="2" fillId="0" borderId="0" xfId="2" applyFont="1" applyFill="1" applyAlignment="1" applyProtection="1">
      <alignment horizontal="left" wrapText="1"/>
      <protection locked="0"/>
    </xf>
    <xf numFmtId="49" fontId="2" fillId="0" borderId="0" xfId="2" applyNumberFormat="1" applyFont="1"/>
    <xf numFmtId="49" fontId="2" fillId="6" borderId="1" xfId="2" applyNumberFormat="1" applyFont="1" applyFill="1" applyBorder="1" applyAlignment="1" applyProtection="1">
      <alignment horizontal="left" wrapText="1"/>
      <protection locked="0"/>
    </xf>
    <xf numFmtId="49" fontId="1" fillId="5" borderId="0" xfId="2" applyNumberFormat="1" applyFont="1" applyFill="1" applyBorder="1" applyAlignment="1" applyProtection="1">
      <alignment horizontal="right" vertical="top"/>
    </xf>
    <xf numFmtId="0" fontId="1" fillId="2" borderId="1" xfId="2" applyFont="1" applyFill="1" applyBorder="1" applyAlignment="1" applyProtection="1">
      <alignment horizontal="left" wrapText="1"/>
    </xf>
    <xf numFmtId="0" fontId="8" fillId="2" borderId="1" xfId="2" applyFont="1" applyFill="1" applyBorder="1" applyAlignment="1" applyProtection="1">
      <alignment vertical="top" wrapText="1"/>
    </xf>
    <xf numFmtId="0" fontId="2" fillId="0" borderId="0" xfId="2" applyFont="1" applyAlignment="1" applyProtection="1">
      <alignment vertical="top" wrapText="1"/>
    </xf>
    <xf numFmtId="0" fontId="1" fillId="2" borderId="1" xfId="2" applyFont="1" applyFill="1" applyBorder="1" applyAlignment="1" applyProtection="1">
      <alignment vertical="top"/>
    </xf>
    <xf numFmtId="0" fontId="2" fillId="0" borderId="0" xfId="2" applyFont="1" applyFill="1" applyBorder="1" applyAlignment="1"/>
    <xf numFmtId="0" fontId="1" fillId="0" borderId="0" xfId="2" applyFont="1" applyFill="1" applyBorder="1" applyAlignment="1" applyProtection="1">
      <alignment horizontal="left" wrapText="1"/>
      <protection locked="0"/>
    </xf>
    <xf numFmtId="0" fontId="2" fillId="0" borderId="0" xfId="2" applyFont="1" applyFill="1" applyBorder="1"/>
    <xf numFmtId="0" fontId="5" fillId="0" borderId="3" xfId="2" applyFont="1" applyBorder="1" applyAlignment="1" applyProtection="1"/>
    <xf numFmtId="0" fontId="5" fillId="0" borderId="1" xfId="2" applyFont="1" applyFill="1" applyBorder="1" applyAlignment="1" applyProtection="1"/>
    <xf numFmtId="0" fontId="5" fillId="0" borderId="1" xfId="2" applyFont="1" applyFill="1" applyBorder="1" applyAlignment="1" applyProtection="1">
      <alignment horizontal="left"/>
    </xf>
    <xf numFmtId="0" fontId="1" fillId="0" borderId="0" xfId="2" applyFont="1" applyProtection="1">
      <protection locked="0"/>
    </xf>
    <xf numFmtId="0" fontId="4" fillId="0" borderId="0" xfId="2" applyFont="1" applyProtection="1">
      <protection locked="0"/>
    </xf>
    <xf numFmtId="0" fontId="3" fillId="0" borderId="0" xfId="2" applyFont="1" applyAlignment="1" applyProtection="1">
      <alignment vertical="top"/>
    </xf>
    <xf numFmtId="0" fontId="2" fillId="0" borderId="0" xfId="2"/>
    <xf numFmtId="0" fontId="23" fillId="0" borderId="0" xfId="2" applyFont="1" applyAlignment="1">
      <alignment horizontal="center" wrapText="1"/>
    </xf>
    <xf numFmtId="0" fontId="23" fillId="0" borderId="0" xfId="2" applyFont="1" applyAlignment="1">
      <alignment wrapText="1"/>
    </xf>
    <xf numFmtId="164" fontId="23" fillId="0" borderId="0" xfId="2" applyNumberFormat="1" applyFont="1" applyAlignment="1">
      <alignment wrapText="1"/>
    </xf>
    <xf numFmtId="1" fontId="23" fillId="0" borderId="0" xfId="2" applyNumberFormat="1" applyFont="1" applyAlignment="1">
      <alignment wrapText="1"/>
    </xf>
    <xf numFmtId="0" fontId="24" fillId="0" borderId="0" xfId="2" applyFont="1" applyAlignment="1">
      <alignment horizontal="center" wrapText="1"/>
    </xf>
    <xf numFmtId="0" fontId="6" fillId="0" borderId="0" xfId="1" applyAlignment="1" applyProtection="1"/>
    <xf numFmtId="0" fontId="2" fillId="0" borderId="0" xfId="2" applyAlignment="1"/>
    <xf numFmtId="1" fontId="2" fillId="0" borderId="0" xfId="2" applyNumberFormat="1"/>
    <xf numFmtId="0" fontId="2" fillId="3" borderId="2" xfId="2" applyFont="1" applyFill="1" applyBorder="1" applyAlignment="1" applyProtection="1">
      <alignment horizontal="left" wrapText="1"/>
      <protection locked="0"/>
    </xf>
    <xf numFmtId="0" fontId="2" fillId="0" borderId="3" xfId="2" applyFont="1" applyBorder="1" applyAlignment="1"/>
    <xf numFmtId="0" fontId="1" fillId="0" borderId="0" xfId="2" applyFont="1" applyFill="1" applyBorder="1" applyAlignment="1" applyProtection="1">
      <alignment horizontal="left" wrapText="1"/>
      <protection locked="0"/>
    </xf>
    <xf numFmtId="0" fontId="2" fillId="0" borderId="0" xfId="2" applyFont="1" applyFill="1" applyBorder="1" applyAlignment="1"/>
  </cellXfs>
  <cellStyles count="3">
    <cellStyle name="Hyperlink" xfId="1" builtinId="8"/>
    <cellStyle name="Normal" xfId="0" builtinId="0"/>
    <cellStyle name="Normal 2" xfId="2"/>
  </cellStyles>
  <dxfs count="11">
    <dxf>
      <font>
        <condense val="0"/>
        <extend val="0"/>
        <color auto="1"/>
      </font>
      <fill>
        <patternFill>
          <bgColor indexed="26"/>
        </patternFill>
      </fill>
      <border>
        <left style="thin">
          <color indexed="8"/>
        </left>
        <right style="thin">
          <color indexed="8"/>
        </right>
        <top style="thin">
          <color indexed="8"/>
        </top>
        <bottom style="thin">
          <color indexed="8"/>
        </bottom>
      </border>
    </dxf>
    <dxf>
      <border>
        <left style="thin">
          <color rgb="FFC00000"/>
        </left>
        <right style="thin">
          <color rgb="FFC00000"/>
        </right>
        <top style="thin">
          <color rgb="FFC00000"/>
        </top>
        <bottom style="thin">
          <color rgb="FFC00000"/>
        </bottom>
      </border>
    </dxf>
    <dxf>
      <border>
        <left style="thin">
          <color rgb="FFC00000"/>
        </left>
        <right style="thin">
          <color rgb="FFC00000"/>
        </right>
        <top style="thin">
          <color rgb="FFC00000"/>
        </top>
        <bottom style="thin">
          <color rgb="FFC00000"/>
        </bottom>
      </border>
    </dxf>
    <dxf>
      <fill>
        <patternFill patternType="darkGrid">
          <fgColor indexed="22"/>
        </patternFill>
      </fill>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indexed="41"/>
        </patternFill>
      </fill>
      <border>
        <left style="thin">
          <color indexed="64"/>
        </left>
        <right style="thin">
          <color indexed="64"/>
        </right>
        <top style="thin">
          <color indexed="64"/>
        </top>
        <bottom style="thin">
          <color indexed="64"/>
        </bottom>
      </border>
    </dxf>
    <dxf>
      <fill>
        <patternFill patternType="darkGrid">
          <fgColor indexed="22"/>
        </patternFill>
      </fill>
      <border>
        <left style="thin">
          <color indexed="64"/>
        </left>
        <right style="thin">
          <color indexed="64"/>
        </right>
        <top style="thin">
          <color indexed="64"/>
        </top>
        <bottom style="thin">
          <color indexed="64"/>
        </bottom>
      </border>
    </dxf>
    <dxf>
      <fill>
        <patternFill>
          <bgColor indexed="41"/>
        </patternFill>
      </fill>
      <border>
        <left style="thin">
          <color indexed="64"/>
        </left>
        <right style="thin">
          <color indexed="64"/>
        </right>
        <top style="thin">
          <color indexed="64"/>
        </top>
        <bottom style="thin">
          <color indexed="64"/>
        </bottom>
      </border>
    </dxf>
    <dxf>
      <fill>
        <patternFill patternType="darkGrid">
          <fgColor indexed="22"/>
        </patternFill>
      </fill>
      <border>
        <left style="thin">
          <color indexed="64"/>
        </left>
        <right style="thin">
          <color indexed="64"/>
        </right>
        <top style="thin">
          <color indexed="64"/>
        </top>
        <bottom style="thin">
          <color indexed="64"/>
        </bottom>
      </border>
    </dxf>
    <dxf>
      <fill>
        <patternFill>
          <bgColor indexed="41"/>
        </patternFill>
      </fill>
      <border>
        <left style="thin">
          <color indexed="64"/>
        </left>
        <right style="thin">
          <color indexed="64"/>
        </right>
        <top style="thin">
          <color indexed="64"/>
        </top>
        <bottom style="thin">
          <color indexed="64"/>
        </bottom>
      </border>
    </dxf>
    <dxf>
      <fill>
        <patternFill>
          <bgColor indexed="41"/>
        </patternFill>
      </fill>
      <border>
        <left style="thin">
          <color indexed="64"/>
        </left>
        <right style="thin">
          <color indexed="64"/>
        </right>
        <top style="thin">
          <color indexed="64"/>
        </top>
        <bottom style="thin">
          <color indexed="64"/>
        </bottom>
      </border>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xdr:col>
      <xdr:colOff>0</xdr:colOff>
      <xdr:row>6</xdr:row>
      <xdr:rowOff>0</xdr:rowOff>
    </xdr:from>
    <xdr:to>
      <xdr:col>3</xdr:col>
      <xdr:colOff>2076446</xdr:colOff>
      <xdr:row>12</xdr:row>
      <xdr:rowOff>22860</xdr:rowOff>
    </xdr:to>
    <xdr:sp macro="" textlink="">
      <xdr:nvSpPr>
        <xdr:cNvPr id="2" name="abstract" descr="Abstract of dsatset"/>
        <xdr:cNvSpPr txBox="1">
          <a:spLocks noChangeArrowheads="1"/>
        </xdr:cNvSpPr>
      </xdr:nvSpPr>
      <xdr:spPr bwMode="auto">
        <a:xfrm>
          <a:off x="590550" y="971550"/>
          <a:ext cx="1771646" cy="994410"/>
        </a:xfrm>
        <a:prstGeom prst="rect">
          <a:avLst/>
        </a:prstGeom>
        <a:solidFill>
          <a:srgbClr val="CCFFFF"/>
        </a:solidFill>
        <a:ln w="9525">
          <a:solidFill>
            <a:srgbClr val="000000"/>
          </a:solidFill>
          <a:miter lim="800000"/>
          <a:headEnd/>
          <a:tailEnd/>
        </a:ln>
      </xdr:spPr>
      <xdr:txBody>
        <a:bodyPr/>
        <a:lstStyle/>
        <a:p>
          <a:r>
            <a:rPr lang="en-US"/>
            <a:t>We used radiocarbon dating of the organic soil surface remaining post-fire to examine whether the fire burned into ancient and likely irreplaceable soil C pools.  Suprisingly, it did not; all radiocarbon dates from burned soil surfaces contained bomb carbon, setting the maximum age of the burned soil surfaces at ~50 years. </a:t>
          </a:r>
        </a:p>
      </xdr:txBody>
    </xdr:sp>
    <xdr:clientData fLocksWithSheet="0"/>
  </xdr:twoCellAnchor>
  <xdr:twoCellAnchor>
    <xdr:from>
      <xdr:col>1</xdr:col>
      <xdr:colOff>30480</xdr:colOff>
      <xdr:row>65</xdr:row>
      <xdr:rowOff>17145</xdr:rowOff>
    </xdr:from>
    <xdr:to>
      <xdr:col>6</xdr:col>
      <xdr:colOff>817247</xdr:colOff>
      <xdr:row>106</xdr:row>
      <xdr:rowOff>6</xdr:rowOff>
    </xdr:to>
    <xdr:sp macro="" textlink="">
      <xdr:nvSpPr>
        <xdr:cNvPr id="3" name="method"/>
        <xdr:cNvSpPr txBox="1">
          <a:spLocks noChangeArrowheads="1"/>
        </xdr:cNvSpPr>
      </xdr:nvSpPr>
      <xdr:spPr bwMode="auto">
        <a:xfrm>
          <a:off x="621030" y="10542270"/>
          <a:ext cx="3510917" cy="6621786"/>
        </a:xfrm>
        <a:prstGeom prst="rect">
          <a:avLst/>
        </a:prstGeom>
        <a:solidFill>
          <a:srgbClr val="FFFFFF"/>
        </a:solidFill>
        <a:ln w="9525">
          <a:solidFill>
            <a:srgbClr val="000000"/>
          </a:solidFill>
          <a:miter lim="800000"/>
          <a:headEnd/>
          <a:tailEnd/>
        </a:ln>
      </xdr:spPr>
      <xdr:txBody>
        <a:bodyPr/>
        <a:lstStyle/>
        <a:p>
          <a:r>
            <a:rPr lang="en-US"/>
            <a:t>We used radiocarbon dating of the organic soil surface remaining post-fire to examine whether the fire burned into ancient and likely irreplaceable soil C pools.  Because the moss and organic soil layer accumulates vertically through time, the radiocarbon values of the remaining organic matter can provide some indication of how long it took to accumulate the organic matter above it that was consumed during the fire.  Two cores were selected from each of ten sites randomly selected from the 20 sampling sites and sliced into 1 cm depth increments.  Moss macrofossils were removed from the top layer under a dissecting scope.  Cellulose was extracted from the macrofossils45 and the sample was converted to graphite at 650C with an iron catalyst in a hydrogen atmosphere46.  Our primary standard for 14C analysis was NIST oxalic acid II (SRM 4990C, National Institute of Standards and Technology).  For a secondary standard, we used IAEA-C6 sucrose standard (International Atomic Energy Agency, Vienna, Austria).  Our blank was anthracite coal cleaned with a standard acid–base–acid treatment.  All standards and blanks used for 14C measurements were combusted and purified similarly to the samples. The 14C content of the graphite was measured at the W. M Keck Carbon Cycle Accelerator Mass Spectrometry Laboratory at the University of California–Irvine. 
Radiocarbon data are expressed as  14C, which is the per mil (‰) difference between the 14C/12C ratio of the sample and an international standard.  Each sample was corrected for the effects of mass-dependent isotope fractionation of 14C values by correcting to a constant 13C value of -25 ‰ and normalized to sample-specific measured 13C values.  13C was measured prior to graphitizing the CO2 at the University of Florida on a Delta XL isotope ratio mass spectrometer with a gas bench peripheral (Thermo Scientific, Waltham, MA), using a 
-10.46 ‰ PDB CO2 standard from Oztech (Stafford, Arizona, USA).  In some circumstances, radiocarbon values during the bomb period (1950 to present) do not return unequivocal date estimates because of the shape of the atmospheric bomb curve (ref. 47). In a subset of those cases, we also analyzed the second, deeper 1 cm increment of organic soil for radiocarbon in order to determine the appropriate location of the surface date relative to the bomb peak.  All samples had radiocarbon values above zero, so samples where the deeper segment was more enriched in radiocarbon then the surface segment were assigned to the ascending slope of the bomb peak (&lt;1966), while samples where the deeper segment was more depleted than the surface segment were assigned to the descending slope (&gt;1966). 
Literature Cited
45Gaudinski, J. B., Dawson, T. E., Quideau, S., Schuur, E. A. G., Roden, J. S., Trumbore, S. E. et al., Comparative analysis of cellulose preparation techniques for use with C-13, C-14, and O-18 isotopic measurements. Analytical Chemistry 77 (22), 7212-7224 (2005).
46Vogel, J. S., Southon, J. R., and Nelson, D. E., Catalyst and binder effects in the use of filamentous graphite for AMS. Nuclear Instruments and Methods in Physics Research Section B-Beam Interactions with Materials and Atoms 29 (1-2), 50-56 (1987).
47Levin, I. and Hesshaimer, V., Radiocarbon - a unique tracer of global carbon cycle dynamics. Radiocarbon 42 (1), 69-80 (2000).
</a:t>
          </a:r>
          <a:br>
            <a:rPr lang="en-US"/>
          </a:br>
          <a:r>
            <a:rPr lang="en-US"/>
            <a:t>
 </a:t>
          </a:r>
        </a:p>
      </xdr:txBody>
    </xdr:sp>
    <xdr:clientData fLocksWithSheet="0"/>
  </xdr:twoCellAnchor>
  <xdr:twoCellAnchor>
    <xdr:from>
      <xdr:col>1</xdr:col>
      <xdr:colOff>19050</xdr:colOff>
      <xdr:row>111</xdr:row>
      <xdr:rowOff>152400</xdr:rowOff>
    </xdr:from>
    <xdr:to>
      <xdr:col>3</xdr:col>
      <xdr:colOff>2076450</xdr:colOff>
      <xdr:row>118</xdr:row>
      <xdr:rowOff>19050</xdr:rowOff>
    </xdr:to>
    <xdr:sp macro="" textlink="">
      <xdr:nvSpPr>
        <xdr:cNvPr id="4" name="protocol1"/>
        <xdr:cNvSpPr txBox="1">
          <a:spLocks noChangeArrowheads="1"/>
        </xdr:cNvSpPr>
      </xdr:nvSpPr>
      <xdr:spPr bwMode="auto">
        <a:xfrm>
          <a:off x="609600" y="18126075"/>
          <a:ext cx="1752600" cy="1000125"/>
        </a:xfrm>
        <a:prstGeom prst="rect">
          <a:avLst/>
        </a:prstGeom>
        <a:solidFill>
          <a:srgbClr val="FFFFFF"/>
        </a:solidFill>
        <a:ln w="9525">
          <a:solidFill>
            <a:srgbClr val="000000"/>
          </a:solidFill>
          <a:miter lim="800000"/>
          <a:headEnd/>
          <a:tailEnd/>
        </a:ln>
      </xdr:spPr>
      <xdr:txBody>
        <a:bodyPr/>
        <a:lstStyle/>
        <a:p>
          <a:r>
            <a:rPr lang="en-US"/>
            <a:t> Not yet available; online supplement for Nature paper </a:t>
          </a:r>
        </a:p>
      </xdr:txBody>
    </xdr:sp>
    <xdr:clientData fLocksWithSheet="0"/>
  </xdr:twoCellAnchor>
  <xdr:twoCellAnchor>
    <xdr:from>
      <xdr:col>0</xdr:col>
      <xdr:colOff>60960</xdr:colOff>
      <xdr:row>6</xdr:row>
      <xdr:rowOff>38099</xdr:rowOff>
    </xdr:from>
    <xdr:to>
      <xdr:col>0</xdr:col>
      <xdr:colOff>1590790</xdr:colOff>
      <xdr:row>11</xdr:row>
      <xdr:rowOff>128984</xdr:rowOff>
    </xdr:to>
    <xdr:sp macro="" textlink="">
      <xdr:nvSpPr>
        <xdr:cNvPr id="5" name="Note1"/>
        <xdr:cNvSpPr txBox="1"/>
      </xdr:nvSpPr>
      <xdr:spPr>
        <a:xfrm>
          <a:off x="60960" y="1009649"/>
          <a:ext cx="529705" cy="9005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900"/>
            </a:lnSpc>
          </a:pPr>
          <a:r>
            <a:rPr lang="en-US" sz="900">
              <a:latin typeface="Arial" pitchFamily="34" charset="0"/>
              <a:cs typeface="Arial" pitchFamily="34" charset="0"/>
            </a:rPr>
            <a:t>Note:</a:t>
          </a:r>
          <a:r>
            <a:rPr lang="en-US" sz="900" baseline="0">
              <a:latin typeface="Arial" pitchFamily="34" charset="0"/>
              <a:cs typeface="Arial" pitchFamily="34" charset="0"/>
            </a:rPr>
            <a:t> cells with a small red triangle in the upper right corner have comments about entering metadata.</a:t>
          </a:r>
          <a:endParaRPr lang="en-US" sz="900">
            <a:latin typeface="Arial" pitchFamily="34" charset="0"/>
            <a:cs typeface="Arial" pitchFamily="34" charset="0"/>
          </a:endParaRPr>
        </a:p>
      </xdr:txBody>
    </xdr:sp>
    <xdr:clientData/>
  </xdr:twoCellAnchor>
  <xdr:twoCellAnchor>
    <xdr:from>
      <xdr:col>0</xdr:col>
      <xdr:colOff>15240</xdr:colOff>
      <xdr:row>66</xdr:row>
      <xdr:rowOff>121920</xdr:rowOff>
    </xdr:from>
    <xdr:to>
      <xdr:col>0</xdr:col>
      <xdr:colOff>1727751</xdr:colOff>
      <xdr:row>80</xdr:row>
      <xdr:rowOff>61622</xdr:rowOff>
    </xdr:to>
    <xdr:sp macro="" textlink="">
      <xdr:nvSpPr>
        <xdr:cNvPr id="6" name="Note2"/>
        <xdr:cNvSpPr txBox="1"/>
      </xdr:nvSpPr>
      <xdr:spPr>
        <a:xfrm>
          <a:off x="15240" y="10808970"/>
          <a:ext cx="579036" cy="220665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latin typeface="Arial" pitchFamily="34" charset="0"/>
              <a:cs typeface="Arial" pitchFamily="34" charset="0"/>
            </a:rPr>
            <a:t>The Methods description  should be fairly detailed and include any literature references (including author, title, journal and page </a:t>
          </a:r>
        </a:p>
        <a:p>
          <a:r>
            <a:rPr lang="en-US" sz="900">
              <a:latin typeface="Arial" pitchFamily="34" charset="0"/>
              <a:cs typeface="Arial" pitchFamily="34" charset="0"/>
            </a:rPr>
            <a:t>numbers) pertaining to the methods</a:t>
          </a:r>
          <a:r>
            <a:rPr lang="en-US" sz="900" baseline="0">
              <a:latin typeface="Arial" pitchFamily="34" charset="0"/>
              <a:cs typeface="Arial" pitchFamily="34" charset="0"/>
            </a:rPr>
            <a:t> or research.</a:t>
          </a:r>
          <a:r>
            <a:rPr lang="en-US" sz="900">
              <a:latin typeface="Arial" pitchFamily="34" charset="0"/>
              <a:cs typeface="Arial" pitchFamily="34" charset="0"/>
            </a:rPr>
            <a:t> </a:t>
          </a:r>
        </a:p>
        <a:p>
          <a:endParaRPr lang="en-US" sz="900">
            <a:latin typeface="Arial" pitchFamily="34" charset="0"/>
            <a:cs typeface="Arial" pitchFamily="34" charset="0"/>
          </a:endParaRPr>
        </a:p>
        <a:p>
          <a:r>
            <a:rPr lang="en-US" sz="900">
              <a:latin typeface="Arial" pitchFamily="34" charset="0"/>
              <a:cs typeface="Arial" pitchFamily="34" charset="0"/>
            </a:rPr>
            <a:t>Include a Notes  section to detail a timeline of changes or</a:t>
          </a:r>
          <a:r>
            <a:rPr lang="en-US" sz="900" baseline="0">
              <a:latin typeface="Arial" pitchFamily="34" charset="0"/>
              <a:cs typeface="Arial" pitchFamily="34" charset="0"/>
            </a:rPr>
            <a:t> problems with the data </a:t>
          </a:r>
          <a:r>
            <a:rPr lang="en-US" sz="900">
              <a:latin typeface="Arial" pitchFamily="34" charset="0"/>
              <a:cs typeface="Arial" pitchFamily="34" charset="0"/>
            </a:rPr>
            <a:t>.  </a:t>
          </a:r>
        </a:p>
        <a:p>
          <a:r>
            <a:rPr lang="en-US" sz="900">
              <a:latin typeface="Arial" pitchFamily="34" charset="0"/>
              <a:cs typeface="Arial" pitchFamily="34" charset="0"/>
            </a:rPr>
            <a:t>Click on the box to paste or type the needed information. </a:t>
          </a:r>
        </a:p>
        <a:p>
          <a:endParaRPr lang="en-US" sz="900">
            <a:latin typeface="Arial" pitchFamily="34" charset="0"/>
            <a:cs typeface="Arial" pitchFamily="34" charset="0"/>
          </a:endParaRPr>
        </a:p>
        <a:p>
          <a:r>
            <a:rPr lang="en-US" sz="900">
              <a:latin typeface="Arial" pitchFamily="34" charset="0"/>
              <a:cs typeface="Arial" pitchFamily="34" charset="0"/>
            </a:rPr>
            <a:t>If</a:t>
          </a:r>
          <a:r>
            <a:rPr lang="en-US" sz="900" baseline="0">
              <a:latin typeface="Arial" pitchFamily="34" charset="0"/>
              <a:cs typeface="Arial" pitchFamily="34" charset="0"/>
            </a:rPr>
            <a:t> needed insert more row to make text box longer.</a:t>
          </a:r>
          <a:endParaRPr lang="en-US" sz="900">
            <a:latin typeface="Arial" pitchFamily="34" charset="0"/>
            <a:cs typeface="Arial"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metacat.lternet.edu/das/dataAccessServlet?docid=knb-lter-arc.10127&amp;amp;urlTail=burn/terrestrial/data/2008_MCM_ARF14C.csv" TargetMode="External"/><Relationship Id="rId1" Type="http://schemas.openxmlformats.org/officeDocument/2006/relationships/hyperlink" Target="http://ecosystems.mbl.edu/ARC/meta_template.php?FileName=./burn/terrestrial/xlsfiles/2008_MCM_ARF14C.html"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1:S345"/>
  <sheetViews>
    <sheetView tabSelected="1" zoomScale="96" zoomScaleNormal="96" workbookViewId="0">
      <selection activeCell="D41" sqref="D41"/>
    </sheetView>
  </sheetViews>
  <sheetFormatPr defaultColWidth="8.85546875" defaultRowHeight="12.75"/>
  <cols>
    <col min="1" max="1" width="26.140625" style="16" customWidth="1"/>
    <col min="2" max="2" width="46" style="15" bestFit="1" customWidth="1"/>
    <col min="3" max="4" width="30.7109375" style="14" customWidth="1"/>
    <col min="5" max="9" width="30.7109375" style="13" customWidth="1"/>
    <col min="10" max="16384" width="8.85546875" style="13"/>
  </cols>
  <sheetData>
    <row r="1" spans="1:9" ht="18">
      <c r="A1" s="87" t="s">
        <v>7</v>
      </c>
      <c r="C1" s="86"/>
      <c r="D1" s="85"/>
    </row>
    <row r="2" spans="1:9" hidden="1">
      <c r="A2" s="83" t="s">
        <v>8</v>
      </c>
      <c r="B2" s="84" t="s">
        <v>1622</v>
      </c>
    </row>
    <row r="3" spans="1:9" hidden="1">
      <c r="A3" s="83" t="s">
        <v>9</v>
      </c>
      <c r="B3" s="84">
        <v>2011</v>
      </c>
    </row>
    <row r="4" spans="1:9" hidden="1">
      <c r="A4" s="83" t="s">
        <v>10</v>
      </c>
      <c r="B4" s="12" t="s">
        <v>1623</v>
      </c>
      <c r="C4" s="82"/>
    </row>
    <row r="5" spans="1:9" ht="22.5" customHeight="1">
      <c r="A5" s="78" t="s">
        <v>11</v>
      </c>
      <c r="B5" s="97" t="s">
        <v>304</v>
      </c>
      <c r="C5" s="98"/>
      <c r="D5" s="13"/>
    </row>
    <row r="6" spans="1:9" ht="12.75" customHeight="1">
      <c r="A6" s="78" t="s">
        <v>12</v>
      </c>
      <c r="B6" s="13"/>
      <c r="C6" s="13"/>
      <c r="D6" s="13"/>
      <c r="E6" s="81"/>
      <c r="F6" s="81"/>
    </row>
    <row r="7" spans="1:9" s="26" customFormat="1">
      <c r="A7" s="25"/>
      <c r="B7" s="99"/>
      <c r="C7" s="100"/>
      <c r="D7" s="100"/>
    </row>
    <row r="8" spans="1:9" s="26" customFormat="1">
      <c r="A8" s="25"/>
      <c r="B8" s="80"/>
      <c r="C8" s="79"/>
      <c r="D8" s="79"/>
    </row>
    <row r="9" spans="1:9" s="26" customFormat="1">
      <c r="A9" s="25"/>
      <c r="B9" s="37"/>
    </row>
    <row r="10" spans="1:9" s="26" customFormat="1">
      <c r="A10" s="25"/>
      <c r="B10" s="37"/>
    </row>
    <row r="11" spans="1:9" s="26" customFormat="1">
      <c r="A11" s="25"/>
      <c r="B11" s="37"/>
    </row>
    <row r="12" spans="1:9" s="26" customFormat="1" ht="15">
      <c r="A12" s="25"/>
      <c r="B12" s="44"/>
    </row>
    <row r="13" spans="1:9" s="26" customFormat="1" ht="15">
      <c r="A13" s="25"/>
      <c r="B13" s="44"/>
    </row>
    <row r="14" spans="1:9">
      <c r="A14" s="78" t="s">
        <v>13</v>
      </c>
      <c r="B14" s="45" t="s">
        <v>327</v>
      </c>
    </row>
    <row r="15" spans="1:9">
      <c r="A15" s="77"/>
    </row>
    <row r="16" spans="1:9" ht="24">
      <c r="A16" s="76" t="s">
        <v>14</v>
      </c>
      <c r="B16" s="75" t="s">
        <v>15</v>
      </c>
      <c r="C16" s="75" t="s">
        <v>16</v>
      </c>
      <c r="D16" s="75" t="s">
        <v>17</v>
      </c>
      <c r="E16" s="75" t="s">
        <v>18</v>
      </c>
      <c r="F16" s="75" t="s">
        <v>19</v>
      </c>
      <c r="G16" s="75" t="s">
        <v>20</v>
      </c>
      <c r="H16" s="75" t="s">
        <v>21</v>
      </c>
      <c r="I16" s="75" t="s">
        <v>22</v>
      </c>
    </row>
    <row r="17" spans="1:9">
      <c r="A17" s="74" t="s">
        <v>23</v>
      </c>
      <c r="B17" s="73" t="s">
        <v>24</v>
      </c>
      <c r="C17" s="73" t="s">
        <v>25</v>
      </c>
      <c r="D17" s="73"/>
      <c r="E17" s="73"/>
      <c r="F17" s="73"/>
      <c r="G17" s="73"/>
      <c r="H17" s="73"/>
      <c r="I17" s="73"/>
    </row>
    <row r="18" spans="1:9" s="72" customFormat="1">
      <c r="A18" s="74" t="s">
        <v>26</v>
      </c>
      <c r="B18" s="73" t="s">
        <v>27</v>
      </c>
      <c r="C18" s="73" t="s">
        <v>314</v>
      </c>
      <c r="D18" s="73"/>
      <c r="E18" s="73"/>
      <c r="F18" s="73"/>
      <c r="G18" s="73"/>
      <c r="H18" s="73"/>
      <c r="I18" s="73"/>
    </row>
    <row r="19" spans="1:9" s="72" customFormat="1">
      <c r="A19" s="74" t="s">
        <v>28</v>
      </c>
      <c r="B19" s="73" t="s">
        <v>29</v>
      </c>
      <c r="C19" s="73" t="s">
        <v>315</v>
      </c>
      <c r="D19" s="73"/>
      <c r="E19" s="73"/>
      <c r="F19" s="73"/>
      <c r="G19" s="73"/>
      <c r="H19" s="73"/>
      <c r="I19" s="73"/>
    </row>
    <row r="20" spans="1:9" s="72" customFormat="1">
      <c r="A20" s="74" t="s">
        <v>30</v>
      </c>
      <c r="B20" s="73" t="s">
        <v>31</v>
      </c>
      <c r="C20" s="73" t="s">
        <v>316</v>
      </c>
      <c r="D20" s="73"/>
      <c r="E20" s="73"/>
      <c r="F20" s="73"/>
      <c r="G20" s="73"/>
      <c r="H20" s="73"/>
      <c r="I20" s="73"/>
    </row>
    <row r="21" spans="1:9" s="72" customFormat="1">
      <c r="A21" s="74" t="s">
        <v>32</v>
      </c>
      <c r="B21" s="73" t="s">
        <v>301</v>
      </c>
      <c r="C21" s="73" t="s">
        <v>301</v>
      </c>
      <c r="D21" s="73"/>
      <c r="E21" s="73"/>
      <c r="F21" s="73"/>
      <c r="G21" s="73"/>
      <c r="H21" s="73"/>
      <c r="I21" s="73"/>
    </row>
    <row r="22" spans="1:9" s="72" customFormat="1">
      <c r="A22" s="74" t="s">
        <v>33</v>
      </c>
      <c r="B22" s="73" t="s">
        <v>34</v>
      </c>
      <c r="C22" s="73" t="s">
        <v>34</v>
      </c>
      <c r="D22" s="73"/>
      <c r="E22" s="73"/>
      <c r="F22" s="73"/>
      <c r="G22" s="73"/>
      <c r="H22" s="73"/>
      <c r="I22" s="73"/>
    </row>
    <row r="23" spans="1:9" s="72" customFormat="1">
      <c r="A23" s="74" t="s">
        <v>35</v>
      </c>
      <c r="B23" s="73" t="s">
        <v>36</v>
      </c>
      <c r="C23" s="73" t="s">
        <v>36</v>
      </c>
      <c r="D23" s="73"/>
      <c r="E23" s="73"/>
      <c r="F23" s="73"/>
      <c r="G23" s="73"/>
      <c r="H23" s="73"/>
      <c r="I23" s="73"/>
    </row>
    <row r="24" spans="1:9" s="72" customFormat="1">
      <c r="A24" s="74" t="s">
        <v>37</v>
      </c>
      <c r="B24" s="73" t="s">
        <v>38</v>
      </c>
      <c r="C24" s="73" t="s">
        <v>38</v>
      </c>
      <c r="D24" s="73"/>
      <c r="E24" s="73"/>
      <c r="F24" s="73"/>
      <c r="G24" s="73"/>
      <c r="H24" s="73"/>
      <c r="I24" s="73"/>
    </row>
    <row r="25" spans="1:9" s="72" customFormat="1">
      <c r="A25" s="74" t="s">
        <v>39</v>
      </c>
      <c r="B25" s="73" t="s">
        <v>40</v>
      </c>
      <c r="C25" s="73" t="s">
        <v>40</v>
      </c>
      <c r="D25" s="73"/>
      <c r="E25" s="73"/>
      <c r="F25" s="73"/>
      <c r="G25" s="73"/>
      <c r="H25" s="73"/>
      <c r="I25" s="73"/>
    </row>
    <row r="26" spans="1:9" s="72" customFormat="1">
      <c r="A26" s="74" t="s">
        <v>41</v>
      </c>
      <c r="B26" s="73" t="s">
        <v>42</v>
      </c>
      <c r="C26" s="73" t="s">
        <v>42</v>
      </c>
      <c r="D26" s="73"/>
      <c r="E26" s="73"/>
      <c r="F26" s="73"/>
      <c r="G26" s="73"/>
      <c r="H26" s="73"/>
      <c r="I26" s="73"/>
    </row>
    <row r="27" spans="1:9" s="72" customFormat="1">
      <c r="A27" s="74" t="s">
        <v>43</v>
      </c>
      <c r="B27" s="73" t="s">
        <v>44</v>
      </c>
      <c r="C27" s="73" t="s">
        <v>44</v>
      </c>
      <c r="D27" s="73"/>
      <c r="E27" s="73"/>
      <c r="F27" s="73"/>
      <c r="G27" s="73"/>
      <c r="H27" s="73"/>
      <c r="I27" s="73"/>
    </row>
    <row r="28" spans="1:9">
      <c r="A28" s="48"/>
      <c r="B28" s="71"/>
      <c r="C28" s="50"/>
    </row>
    <row r="29" spans="1:9">
      <c r="A29" s="70"/>
    </row>
    <row r="30" spans="1:9">
      <c r="A30" s="61" t="s">
        <v>45</v>
      </c>
      <c r="B30" s="69"/>
    </row>
    <row r="31" spans="1:9" hidden="1">
      <c r="A31" s="68" t="s">
        <v>46</v>
      </c>
      <c r="B31" s="12" t="s">
        <v>328</v>
      </c>
      <c r="C31" s="67"/>
    </row>
    <row r="32" spans="1:9">
      <c r="A32" s="66" t="s">
        <v>47</v>
      </c>
      <c r="B32" s="45" t="s">
        <v>324</v>
      </c>
    </row>
    <row r="33" spans="1:17">
      <c r="A33" s="65" t="s">
        <v>48</v>
      </c>
      <c r="B33" s="64">
        <v>39624</v>
      </c>
    </row>
    <row r="34" spans="1:17">
      <c r="A34" s="65" t="s">
        <v>49</v>
      </c>
      <c r="B34" s="64">
        <v>39670</v>
      </c>
    </row>
    <row r="35" spans="1:17">
      <c r="A35" s="63" t="s">
        <v>50</v>
      </c>
      <c r="B35" s="45">
        <v>27</v>
      </c>
    </row>
    <row r="36" spans="1:17" ht="25.5">
      <c r="A36" s="63" t="s">
        <v>51</v>
      </c>
      <c r="B36" s="45" t="s">
        <v>325</v>
      </c>
    </row>
    <row r="37" spans="1:17">
      <c r="A37" s="63" t="s">
        <v>52</v>
      </c>
      <c r="B37" s="45">
        <v>1</v>
      </c>
      <c r="C37" s="14" t="s">
        <v>53</v>
      </c>
    </row>
    <row r="38" spans="1:17">
      <c r="A38" s="52" t="s">
        <v>54</v>
      </c>
      <c r="B38" s="45"/>
    </row>
    <row r="39" spans="1:17">
      <c r="A39" s="52" t="s">
        <v>55</v>
      </c>
      <c r="B39" s="45"/>
    </row>
    <row r="40" spans="1:17" ht="25.5">
      <c r="A40" s="63" t="s">
        <v>56</v>
      </c>
      <c r="B40" s="45" t="s">
        <v>326</v>
      </c>
    </row>
    <row r="41" spans="1:17" ht="38.25">
      <c r="A41" s="63"/>
      <c r="B41" s="45" t="s">
        <v>1621</v>
      </c>
    </row>
    <row r="42" spans="1:17">
      <c r="A42" s="63"/>
      <c r="B42" s="45"/>
    </row>
    <row r="43" spans="1:17">
      <c r="A43" s="63"/>
      <c r="B43" s="45"/>
    </row>
    <row r="44" spans="1:17">
      <c r="A44" s="62"/>
      <c r="I44" s="13" t="s">
        <v>57</v>
      </c>
    </row>
    <row r="45" spans="1:17">
      <c r="A45" s="61" t="s">
        <v>58</v>
      </c>
    </row>
    <row r="46" spans="1:17">
      <c r="A46" s="52" t="s">
        <v>351</v>
      </c>
      <c r="B46" s="60" t="s">
        <v>1619</v>
      </c>
      <c r="C46" s="60" t="s">
        <v>350</v>
      </c>
      <c r="D46" s="60" t="s">
        <v>350</v>
      </c>
      <c r="E46" s="60" t="s">
        <v>350</v>
      </c>
      <c r="F46" s="60" t="s">
        <v>350</v>
      </c>
      <c r="G46" s="60" t="s">
        <v>350</v>
      </c>
      <c r="H46" s="60" t="s">
        <v>350</v>
      </c>
      <c r="I46" s="60" t="s">
        <v>350</v>
      </c>
      <c r="J46" s="14"/>
      <c r="K46" s="14"/>
      <c r="L46" s="14"/>
      <c r="M46" s="14"/>
      <c r="N46" s="14"/>
      <c r="O46" s="14"/>
      <c r="P46" s="14"/>
      <c r="Q46" s="14"/>
    </row>
    <row r="47" spans="1:17">
      <c r="A47" s="52" t="s">
        <v>59</v>
      </c>
      <c r="B47" s="53" t="s">
        <v>313</v>
      </c>
      <c r="C47" s="53" t="str">
        <f t="shared" ref="C47:I47" si="0">IF(ISNA(INDEX(Sites,MATCH(C46,Site_name,0),3)),"Enter Description", INDEX(Sites,MATCH(C46,Site_name,0),3))</f>
        <v>Enter Description</v>
      </c>
      <c r="D47" s="53" t="str">
        <f t="shared" si="0"/>
        <v>Enter Description</v>
      </c>
      <c r="E47" s="53" t="str">
        <f t="shared" si="0"/>
        <v>Enter Description</v>
      </c>
      <c r="F47" s="53" t="str">
        <f t="shared" si="0"/>
        <v>Enter Description</v>
      </c>
      <c r="G47" s="53" t="str">
        <f t="shared" si="0"/>
        <v>Enter Description</v>
      </c>
      <c r="H47" s="53" t="str">
        <f t="shared" si="0"/>
        <v>Enter Description</v>
      </c>
      <c r="I47" s="53" t="str">
        <f t="shared" si="0"/>
        <v>Enter Description</v>
      </c>
      <c r="J47" s="14"/>
      <c r="K47" s="14"/>
      <c r="L47" s="14"/>
      <c r="M47" s="14"/>
      <c r="N47" s="14"/>
      <c r="O47" s="14"/>
    </row>
    <row r="48" spans="1:17">
      <c r="A48" s="59" t="s">
        <v>60</v>
      </c>
      <c r="C48" s="15"/>
      <c r="D48" s="15"/>
      <c r="E48" s="15"/>
      <c r="F48" s="15"/>
      <c r="G48" s="15"/>
      <c r="H48" s="15"/>
      <c r="I48" s="15"/>
    </row>
    <row r="49" spans="1:19">
      <c r="A49" s="57" t="s">
        <v>61</v>
      </c>
      <c r="B49" s="45">
        <v>-150.90848</v>
      </c>
      <c r="C49" s="45"/>
      <c r="D49" s="45"/>
      <c r="E49" s="45"/>
      <c r="F49" s="45"/>
      <c r="G49" s="45"/>
      <c r="H49" s="45"/>
      <c r="I49" s="45"/>
      <c r="J49" s="14"/>
      <c r="K49" s="14"/>
      <c r="L49" s="14"/>
      <c r="M49" s="14"/>
      <c r="N49" s="14"/>
      <c r="O49" s="14"/>
      <c r="P49" s="14"/>
      <c r="Q49" s="14"/>
      <c r="R49" s="14"/>
      <c r="S49" s="14"/>
    </row>
    <row r="50" spans="1:19">
      <c r="A50" s="57" t="s">
        <v>62</v>
      </c>
      <c r="B50" s="58">
        <v>-150.19672</v>
      </c>
      <c r="C50" s="58"/>
      <c r="D50" s="58"/>
      <c r="E50" s="58"/>
      <c r="F50" s="58"/>
      <c r="G50" s="58"/>
      <c r="H50" s="58"/>
      <c r="I50" s="58"/>
      <c r="J50" s="14"/>
      <c r="K50" s="14"/>
      <c r="L50" s="14"/>
      <c r="M50" s="14"/>
      <c r="N50" s="14"/>
      <c r="O50" s="14"/>
      <c r="P50" s="14"/>
      <c r="Q50" s="14"/>
      <c r="R50" s="14"/>
      <c r="S50" s="14"/>
    </row>
    <row r="51" spans="1:19">
      <c r="A51" s="57" t="s">
        <v>63</v>
      </c>
      <c r="B51" s="45">
        <v>69.34084</v>
      </c>
      <c r="C51" s="45"/>
      <c r="D51" s="45"/>
      <c r="E51" s="45"/>
      <c r="F51" s="45"/>
      <c r="G51" s="45"/>
      <c r="H51" s="45"/>
      <c r="I51" s="45"/>
      <c r="J51" s="14"/>
      <c r="K51" s="14"/>
      <c r="L51" s="14"/>
      <c r="M51" s="14"/>
      <c r="N51" s="14"/>
      <c r="O51" s="14"/>
      <c r="P51" s="14"/>
      <c r="Q51" s="14"/>
      <c r="R51" s="14"/>
      <c r="S51" s="14"/>
    </row>
    <row r="52" spans="1:19">
      <c r="A52" s="57" t="s">
        <v>64</v>
      </c>
      <c r="B52" s="56">
        <v>68.949629999999999</v>
      </c>
      <c r="C52" s="56"/>
      <c r="D52" s="56"/>
      <c r="E52" s="56"/>
      <c r="F52" s="56"/>
      <c r="G52" s="56"/>
      <c r="H52" s="56"/>
      <c r="I52" s="56"/>
      <c r="J52" s="14"/>
      <c r="K52" s="14"/>
      <c r="L52" s="14"/>
      <c r="M52" s="14"/>
      <c r="N52" s="14"/>
      <c r="O52" s="14"/>
      <c r="P52" s="14"/>
      <c r="Q52" s="14"/>
      <c r="R52" s="14"/>
      <c r="S52" s="14"/>
    </row>
    <row r="53" spans="1:19">
      <c r="A53" s="55" t="s">
        <v>65</v>
      </c>
      <c r="B53" s="54"/>
      <c r="C53" s="54"/>
      <c r="D53" s="54"/>
      <c r="E53" s="54"/>
      <c r="F53" s="54"/>
      <c r="G53" s="54"/>
      <c r="H53" s="54"/>
      <c r="I53" s="54"/>
    </row>
    <row r="54" spans="1:19">
      <c r="A54" s="52" t="s">
        <v>0</v>
      </c>
      <c r="B54" s="53" t="str">
        <f t="shared" ref="B54:I54" si="1">IF(ISNA(INDEX(Sites,MATCH(B46,Site_name,0),4)),"In Decimal Degrees", INDEX(Sites,MATCH(B46,Site_name,0),4))</f>
        <v>In Decimal Degrees</v>
      </c>
      <c r="C54" s="53" t="str">
        <f t="shared" si="1"/>
        <v>In Decimal Degrees</v>
      </c>
      <c r="D54" s="53" t="str">
        <f t="shared" si="1"/>
        <v>In Decimal Degrees</v>
      </c>
      <c r="E54" s="53" t="str">
        <f t="shared" si="1"/>
        <v>In Decimal Degrees</v>
      </c>
      <c r="F54" s="53" t="str">
        <f t="shared" si="1"/>
        <v>In Decimal Degrees</v>
      </c>
      <c r="G54" s="53" t="str">
        <f t="shared" si="1"/>
        <v>In Decimal Degrees</v>
      </c>
      <c r="H54" s="53" t="str">
        <f t="shared" si="1"/>
        <v>In Decimal Degrees</v>
      </c>
      <c r="I54" s="53" t="str">
        <f t="shared" si="1"/>
        <v>In Decimal Degrees</v>
      </c>
      <c r="J54" s="14"/>
      <c r="K54" s="14"/>
      <c r="L54" s="14"/>
      <c r="M54" s="14"/>
      <c r="N54" s="14"/>
      <c r="O54" s="14"/>
      <c r="P54" s="14"/>
      <c r="Q54" s="14"/>
    </row>
    <row r="55" spans="1:19">
      <c r="A55" s="52" t="s">
        <v>1</v>
      </c>
      <c r="B55" s="53" t="str">
        <f t="shared" ref="B55:I55" si="2">IF(ISNA(INDEX(Sites,MATCH(B46,Site_name,0),5)),"In Decimal Degrees", INDEX(Sites,MATCH(B46,Site_name,0),5))</f>
        <v>In Decimal Degrees</v>
      </c>
      <c r="C55" s="53" t="str">
        <f t="shared" si="2"/>
        <v>In Decimal Degrees</v>
      </c>
      <c r="D55" s="53" t="str">
        <f t="shared" si="2"/>
        <v>In Decimal Degrees</v>
      </c>
      <c r="E55" s="53" t="str">
        <f t="shared" si="2"/>
        <v>In Decimal Degrees</v>
      </c>
      <c r="F55" s="53" t="str">
        <f t="shared" si="2"/>
        <v>In Decimal Degrees</v>
      </c>
      <c r="G55" s="53" t="str">
        <f t="shared" si="2"/>
        <v>In Decimal Degrees</v>
      </c>
      <c r="H55" s="53" t="str">
        <f t="shared" si="2"/>
        <v>In Decimal Degrees</v>
      </c>
      <c r="I55" s="53" t="str">
        <f t="shared" si="2"/>
        <v>In Decimal Degrees</v>
      </c>
      <c r="J55" s="14"/>
      <c r="K55" s="14"/>
      <c r="L55" s="14"/>
      <c r="M55" s="14"/>
      <c r="N55" s="14"/>
      <c r="O55" s="14"/>
      <c r="P55" s="14"/>
      <c r="Q55" s="14"/>
    </row>
    <row r="56" spans="1:19">
      <c r="A56" s="52" t="s">
        <v>2</v>
      </c>
      <c r="B56" s="53" t="str">
        <f t="shared" ref="B56:I56" si="3">IF(ISNA(INDEX(Sites,MATCH(B46,Site_name,0),6)),"In Meters", INDEX(Sites,MATCH(B46,Site_name,0),6))</f>
        <v>In Meters</v>
      </c>
      <c r="C56" s="53" t="str">
        <f t="shared" si="3"/>
        <v>In Meters</v>
      </c>
      <c r="D56" s="53" t="str">
        <f t="shared" si="3"/>
        <v>In Meters</v>
      </c>
      <c r="E56" s="53" t="str">
        <f t="shared" si="3"/>
        <v>In Meters</v>
      </c>
      <c r="F56" s="53" t="str">
        <f t="shared" si="3"/>
        <v>In Meters</v>
      </c>
      <c r="G56" s="53" t="str">
        <f t="shared" si="3"/>
        <v>In Meters</v>
      </c>
      <c r="H56" s="53" t="str">
        <f t="shared" si="3"/>
        <v>In Meters</v>
      </c>
      <c r="I56" s="53" t="str">
        <f t="shared" si="3"/>
        <v>In Meters</v>
      </c>
      <c r="J56" s="14"/>
      <c r="K56" s="14"/>
      <c r="L56" s="14"/>
      <c r="M56" s="14"/>
      <c r="N56" s="14"/>
      <c r="O56" s="14"/>
      <c r="P56" s="14"/>
      <c r="Q56" s="14"/>
    </row>
    <row r="57" spans="1:19">
      <c r="A57" s="52" t="s">
        <v>349</v>
      </c>
      <c r="B57" s="51" t="str">
        <f t="shared" ref="B57:I57" si="4">IF(ISNUMBER(B$54),HYPERLINK("http://maps.google.com/maps?q="&amp;B54&amp;","&amp;B55,"View on Google Map"),"")</f>
        <v/>
      </c>
      <c r="C57" s="51" t="str">
        <f t="shared" si="4"/>
        <v/>
      </c>
      <c r="D57" s="51" t="str">
        <f t="shared" si="4"/>
        <v/>
      </c>
      <c r="E57" s="51" t="str">
        <f t="shared" si="4"/>
        <v/>
      </c>
      <c r="F57" s="51" t="str">
        <f t="shared" si="4"/>
        <v/>
      </c>
      <c r="G57" s="51" t="str">
        <f t="shared" si="4"/>
        <v/>
      </c>
      <c r="H57" s="51" t="str">
        <f t="shared" si="4"/>
        <v/>
      </c>
      <c r="I57" s="51" t="str">
        <f t="shared" si="4"/>
        <v/>
      </c>
    </row>
    <row r="58" spans="1:19">
      <c r="A58" s="24"/>
      <c r="B58" s="23"/>
      <c r="C58" s="23"/>
      <c r="D58" s="23"/>
    </row>
    <row r="59" spans="1:19">
      <c r="A59" s="47" t="s">
        <v>66</v>
      </c>
      <c r="B59" s="23"/>
      <c r="C59" s="50"/>
    </row>
    <row r="60" spans="1:19">
      <c r="A60" s="49" t="s">
        <v>67</v>
      </c>
      <c r="B60" s="45"/>
      <c r="C60" s="14" t="s">
        <v>68</v>
      </c>
    </row>
    <row r="61" spans="1:19">
      <c r="A61" s="48"/>
    </row>
    <row r="62" spans="1:19">
      <c r="A62" s="47" t="s">
        <v>69</v>
      </c>
    </row>
    <row r="63" spans="1:19">
      <c r="A63" s="46" t="s">
        <v>70</v>
      </c>
      <c r="B63" s="45" t="s">
        <v>317</v>
      </c>
    </row>
    <row r="64" spans="1:19">
      <c r="A64" s="24"/>
      <c r="B64" s="23"/>
    </row>
    <row r="65" spans="1:2" s="26" customFormat="1" ht="15">
      <c r="A65" s="25"/>
      <c r="B65" s="44"/>
    </row>
    <row r="66" spans="1:2" ht="15">
      <c r="A66" s="22" t="s">
        <v>71</v>
      </c>
      <c r="B66" s="43"/>
    </row>
    <row r="67" spans="1:2" s="26" customFormat="1">
      <c r="A67" s="42"/>
    </row>
    <row r="68" spans="1:2" s="26" customFormat="1">
      <c r="A68" s="25"/>
      <c r="B68" s="41"/>
    </row>
    <row r="69" spans="1:2" s="26" customFormat="1">
      <c r="A69" s="25"/>
    </row>
    <row r="70" spans="1:2" s="26" customFormat="1">
      <c r="A70" s="25"/>
    </row>
    <row r="71" spans="1:2" s="26" customFormat="1">
      <c r="A71" s="25"/>
    </row>
    <row r="72" spans="1:2" s="26" customFormat="1">
      <c r="A72" s="25"/>
    </row>
    <row r="73" spans="1:2" s="26" customFormat="1">
      <c r="A73" s="25"/>
    </row>
    <row r="74" spans="1:2" s="26" customFormat="1">
      <c r="A74" s="25"/>
    </row>
    <row r="75" spans="1:2" s="26" customFormat="1">
      <c r="A75" s="25"/>
    </row>
    <row r="76" spans="1:2" s="26" customFormat="1">
      <c r="A76" s="25"/>
    </row>
    <row r="77" spans="1:2" s="26" customFormat="1">
      <c r="A77" s="25"/>
    </row>
    <row r="78" spans="1:2" s="26" customFormat="1">
      <c r="A78" s="25"/>
    </row>
    <row r="79" spans="1:2" s="26" customFormat="1">
      <c r="A79" s="25"/>
    </row>
    <row r="80" spans="1:2" s="26" customFormat="1">
      <c r="A80" s="25"/>
    </row>
    <row r="81" spans="1:10" s="26" customFormat="1">
      <c r="A81" s="25"/>
    </row>
    <row r="82" spans="1:10" s="26" customFormat="1">
      <c r="A82" s="25"/>
    </row>
    <row r="83" spans="1:10" s="26" customFormat="1">
      <c r="A83" s="25"/>
    </row>
    <row r="84" spans="1:10" s="26" customFormat="1">
      <c r="A84" s="25"/>
    </row>
    <row r="85" spans="1:10" s="26" customFormat="1">
      <c r="A85" s="25"/>
    </row>
    <row r="86" spans="1:10" s="26" customFormat="1">
      <c r="A86" s="25"/>
    </row>
    <row r="87" spans="1:10" s="26" customFormat="1">
      <c r="A87" s="25"/>
    </row>
    <row r="88" spans="1:10" s="26" customFormat="1">
      <c r="A88" s="25"/>
    </row>
    <row r="89" spans="1:10" s="26" customFormat="1">
      <c r="A89" s="25"/>
    </row>
    <row r="90" spans="1:10" s="26" customFormat="1">
      <c r="A90" s="25"/>
    </row>
    <row r="91" spans="1:10" s="26" customFormat="1">
      <c r="A91" s="25"/>
      <c r="B91" s="37"/>
    </row>
    <row r="92" spans="1:10" s="26" customFormat="1">
      <c r="A92" s="25"/>
      <c r="B92" s="37"/>
    </row>
    <row r="93" spans="1:10" s="26" customFormat="1">
      <c r="A93" s="25"/>
      <c r="B93" s="37"/>
    </row>
    <row r="94" spans="1:10" s="39" customFormat="1">
      <c r="A94" s="25"/>
      <c r="B94" s="37"/>
      <c r="C94" s="26"/>
      <c r="D94" s="26"/>
      <c r="E94" s="26"/>
      <c r="F94" s="26"/>
      <c r="G94" s="26"/>
      <c r="H94" s="26"/>
      <c r="I94" s="26"/>
      <c r="J94" s="40"/>
    </row>
    <row r="95" spans="1:10" s="26" customFormat="1">
      <c r="A95" s="25"/>
      <c r="B95" s="37"/>
    </row>
    <row r="96" spans="1:10" s="26" customFormat="1">
      <c r="A96" s="25"/>
      <c r="B96" s="37"/>
    </row>
    <row r="97" spans="1:3" s="26" customFormat="1">
      <c r="A97" s="25"/>
      <c r="B97" s="37"/>
    </row>
    <row r="98" spans="1:3" s="26" customFormat="1">
      <c r="A98" s="25"/>
      <c r="B98" s="37"/>
    </row>
    <row r="99" spans="1:3" s="26" customFormat="1">
      <c r="A99" s="25"/>
      <c r="B99" s="37"/>
    </row>
    <row r="100" spans="1:3" s="26" customFormat="1">
      <c r="A100" s="25"/>
      <c r="B100" s="37"/>
    </row>
    <row r="101" spans="1:3" s="26" customFormat="1">
      <c r="A101" s="25"/>
      <c r="B101" s="37"/>
    </row>
    <row r="102" spans="1:3" s="26" customFormat="1">
      <c r="A102" s="25"/>
      <c r="B102" s="37"/>
    </row>
    <row r="103" spans="1:3" s="26" customFormat="1">
      <c r="A103" s="25"/>
      <c r="B103" s="37"/>
    </row>
    <row r="104" spans="1:3" s="26" customFormat="1">
      <c r="A104" s="25"/>
      <c r="B104" s="37"/>
    </row>
    <row r="105" spans="1:3" s="26" customFormat="1">
      <c r="A105" s="25"/>
      <c r="B105" s="37"/>
    </row>
    <row r="106" spans="1:3" s="26" customFormat="1">
      <c r="A106" s="25"/>
      <c r="B106" s="37"/>
    </row>
    <row r="107" spans="1:3" s="26" customFormat="1">
      <c r="A107" s="25"/>
      <c r="B107" s="38"/>
    </row>
    <row r="108" spans="1:3" s="26" customFormat="1" ht="13.5" thickBot="1">
      <c r="A108" s="25"/>
      <c r="B108" s="37"/>
    </row>
    <row r="109" spans="1:3" s="26" customFormat="1" ht="13.5" thickBot="1">
      <c r="A109" s="36" t="s">
        <v>72</v>
      </c>
      <c r="B109" s="35"/>
    </row>
    <row r="110" spans="1:3" s="26" customFormat="1">
      <c r="A110" s="34" t="s">
        <v>73</v>
      </c>
      <c r="B110" s="33"/>
      <c r="C110" s="32"/>
    </row>
    <row r="111" spans="1:3" s="26" customFormat="1">
      <c r="A111" s="31" t="s">
        <v>74</v>
      </c>
      <c r="B111" s="30"/>
      <c r="C111" s="29"/>
    </row>
    <row r="112" spans="1:3" s="26" customFormat="1">
      <c r="A112" s="27" t="s">
        <v>75</v>
      </c>
      <c r="B112" s="15"/>
    </row>
    <row r="113" spans="1:14" s="26" customFormat="1">
      <c r="A113" s="28" t="s">
        <v>76</v>
      </c>
      <c r="B113" s="15"/>
    </row>
    <row r="114" spans="1:14" s="26" customFormat="1">
      <c r="A114" s="27"/>
      <c r="B114" s="15"/>
    </row>
    <row r="115" spans="1:14" s="26" customFormat="1">
      <c r="A115" s="27"/>
      <c r="B115" s="15"/>
    </row>
    <row r="116" spans="1:14" s="26" customFormat="1">
      <c r="A116" s="27"/>
      <c r="B116" s="15"/>
    </row>
    <row r="117" spans="1:14">
      <c r="A117" s="25"/>
      <c r="C117" s="24"/>
      <c r="D117" s="23"/>
    </row>
    <row r="118" spans="1:14">
      <c r="A118" s="25"/>
      <c r="C118" s="24"/>
      <c r="D118" s="23"/>
    </row>
    <row r="119" spans="1:14">
      <c r="A119" s="25"/>
      <c r="C119" s="24"/>
      <c r="D119" s="23"/>
    </row>
    <row r="120" spans="1:14">
      <c r="A120" s="22" t="s">
        <v>77</v>
      </c>
      <c r="K120" s="21" t="s">
        <v>78</v>
      </c>
    </row>
    <row r="121" spans="1:14" ht="28.15" customHeight="1">
      <c r="A121" s="3" t="s">
        <v>79</v>
      </c>
      <c r="B121" s="3" t="s">
        <v>80</v>
      </c>
      <c r="C121" s="3" t="s">
        <v>81</v>
      </c>
      <c r="D121" s="4" t="s">
        <v>82</v>
      </c>
      <c r="E121" s="3" t="s">
        <v>83</v>
      </c>
      <c r="F121" s="3" t="s">
        <v>84</v>
      </c>
      <c r="G121" s="3" t="s">
        <v>85</v>
      </c>
      <c r="H121" s="20"/>
      <c r="I121" s="20"/>
      <c r="K121" s="19" t="s">
        <v>23</v>
      </c>
      <c r="L121" s="19" t="s">
        <v>86</v>
      </c>
      <c r="M121" s="19" t="s">
        <v>87</v>
      </c>
      <c r="N121" s="19" t="s">
        <v>88</v>
      </c>
    </row>
    <row r="122" spans="1:14">
      <c r="A122" s="6" t="s">
        <v>6</v>
      </c>
      <c r="B122" s="5" t="s">
        <v>302</v>
      </c>
      <c r="C122" s="5" t="s">
        <v>90</v>
      </c>
      <c r="D122" s="5"/>
      <c r="E122" s="5"/>
      <c r="F122" s="5"/>
      <c r="G122" s="5"/>
      <c r="H122" s="5"/>
      <c r="I122" s="5"/>
      <c r="L122" s="13" t="s">
        <v>4</v>
      </c>
      <c r="M122" s="18"/>
    </row>
    <row r="123" spans="1:14">
      <c r="A123" s="6" t="s">
        <v>98</v>
      </c>
      <c r="B123" s="5" t="s">
        <v>318</v>
      </c>
      <c r="C123" s="5" t="s">
        <v>89</v>
      </c>
      <c r="D123" s="5" t="s">
        <v>89</v>
      </c>
      <c r="E123" s="5"/>
      <c r="F123" s="5"/>
      <c r="G123" s="5" t="s">
        <v>1624</v>
      </c>
      <c r="H123" s="5"/>
      <c r="I123" s="5"/>
      <c r="K123" s="13" t="s">
        <v>24</v>
      </c>
      <c r="L123" s="13" t="s">
        <v>91</v>
      </c>
      <c r="M123" s="13" t="s">
        <v>90</v>
      </c>
      <c r="N123" s="13" t="s">
        <v>92</v>
      </c>
    </row>
    <row r="124" spans="1:14">
      <c r="A124" s="6" t="s">
        <v>3</v>
      </c>
      <c r="B124" s="5" t="s">
        <v>303</v>
      </c>
      <c r="C124" s="5" t="s">
        <v>90</v>
      </c>
      <c r="D124" s="5"/>
      <c r="E124" s="5"/>
      <c r="F124" s="5"/>
      <c r="G124" s="5"/>
      <c r="H124" s="5"/>
      <c r="I124" s="5"/>
      <c r="K124" s="13" t="s">
        <v>25</v>
      </c>
      <c r="L124" s="13" t="s">
        <v>93</v>
      </c>
      <c r="M124" s="13" t="s">
        <v>89</v>
      </c>
      <c r="N124" s="13" t="s">
        <v>94</v>
      </c>
    </row>
    <row r="125" spans="1:14">
      <c r="A125" s="6" t="s">
        <v>319</v>
      </c>
      <c r="B125" s="5" t="s">
        <v>320</v>
      </c>
      <c r="C125" s="5" t="s">
        <v>90</v>
      </c>
      <c r="D125" s="5"/>
      <c r="E125" s="5"/>
      <c r="F125" s="5"/>
      <c r="G125" s="5"/>
      <c r="H125" s="5"/>
      <c r="I125" s="5"/>
      <c r="K125" s="13" t="s">
        <v>95</v>
      </c>
      <c r="L125" s="13" t="s">
        <v>96</v>
      </c>
      <c r="M125" s="13" t="s">
        <v>91</v>
      </c>
      <c r="N125" s="13" t="s">
        <v>97</v>
      </c>
    </row>
    <row r="126" spans="1:14" ht="25.5">
      <c r="A126" s="6" t="s">
        <v>305</v>
      </c>
      <c r="B126" s="5" t="s">
        <v>1620</v>
      </c>
      <c r="C126" s="5" t="s">
        <v>90</v>
      </c>
      <c r="D126" s="5"/>
      <c r="E126" s="5"/>
      <c r="F126" s="5"/>
      <c r="G126" s="5"/>
      <c r="H126" s="5"/>
      <c r="I126" s="5"/>
      <c r="K126" s="13" t="s">
        <v>99</v>
      </c>
      <c r="L126" s="13" t="s">
        <v>100</v>
      </c>
      <c r="N126" s="13" t="s">
        <v>101</v>
      </c>
    </row>
    <row r="127" spans="1:14" ht="25.5">
      <c r="A127" s="6" t="s">
        <v>306</v>
      </c>
      <c r="B127" s="5" t="s">
        <v>321</v>
      </c>
      <c r="C127" s="5" t="s">
        <v>90</v>
      </c>
      <c r="D127" s="5"/>
      <c r="E127" s="5"/>
      <c r="F127" s="5"/>
      <c r="G127" s="5" t="s">
        <v>1624</v>
      </c>
      <c r="H127" s="5"/>
      <c r="I127" s="5"/>
      <c r="K127" s="13" t="s">
        <v>102</v>
      </c>
      <c r="L127" s="13" t="s">
        <v>103</v>
      </c>
      <c r="N127" s="13" t="s">
        <v>104</v>
      </c>
    </row>
    <row r="128" spans="1:14" ht="25.5">
      <c r="A128" s="6" t="s">
        <v>307</v>
      </c>
      <c r="B128" s="5" t="s">
        <v>323</v>
      </c>
      <c r="C128" s="5" t="s">
        <v>89</v>
      </c>
      <c r="D128" s="5" t="s">
        <v>129</v>
      </c>
      <c r="E128" s="5"/>
      <c r="F128" s="5"/>
      <c r="G128" s="5" t="s">
        <v>1624</v>
      </c>
      <c r="H128" s="5"/>
      <c r="I128" s="5"/>
      <c r="N128" s="13" t="s">
        <v>348</v>
      </c>
    </row>
    <row r="129" spans="1:14">
      <c r="A129" s="6" t="s">
        <v>312</v>
      </c>
      <c r="B129" s="5" t="s">
        <v>322</v>
      </c>
      <c r="C129" s="5" t="s">
        <v>89</v>
      </c>
      <c r="D129" s="5" t="s">
        <v>129</v>
      </c>
      <c r="E129" s="5"/>
      <c r="F129" s="5"/>
      <c r="G129" s="5" t="s">
        <v>1624</v>
      </c>
      <c r="H129" s="5"/>
      <c r="I129" s="5"/>
      <c r="N129" s="13" t="s">
        <v>105</v>
      </c>
    </row>
    <row r="130" spans="1:14">
      <c r="A130" s="6"/>
      <c r="B130" s="5"/>
      <c r="C130" s="5"/>
      <c r="D130" s="5"/>
      <c r="E130" s="5"/>
      <c r="F130" s="5"/>
      <c r="G130" s="5"/>
      <c r="H130" s="5"/>
      <c r="I130" s="5"/>
      <c r="N130" s="13" t="s">
        <v>106</v>
      </c>
    </row>
    <row r="131" spans="1:14">
      <c r="A131" s="6"/>
      <c r="B131" s="5"/>
      <c r="C131" s="5"/>
      <c r="D131" s="5"/>
      <c r="E131" s="5"/>
      <c r="F131" s="5"/>
      <c r="G131" s="5"/>
      <c r="H131" s="5"/>
      <c r="I131" s="5"/>
      <c r="N131" s="13" t="s">
        <v>347</v>
      </c>
    </row>
    <row r="132" spans="1:14">
      <c r="A132" s="6"/>
      <c r="B132" s="5"/>
      <c r="C132" s="5"/>
      <c r="D132" s="5"/>
      <c r="E132" s="5"/>
      <c r="F132" s="5"/>
      <c r="G132" s="5"/>
      <c r="H132" s="5"/>
      <c r="I132" s="5"/>
      <c r="N132" s="13" t="s">
        <v>108</v>
      </c>
    </row>
    <row r="133" spans="1:14">
      <c r="A133" s="6"/>
      <c r="B133" s="5"/>
      <c r="C133" s="5"/>
      <c r="D133" s="5"/>
      <c r="E133" s="5"/>
      <c r="F133" s="5"/>
      <c r="G133" s="5"/>
      <c r="H133" s="5"/>
      <c r="I133" s="5"/>
      <c r="N133" s="13" t="s">
        <v>109</v>
      </c>
    </row>
    <row r="134" spans="1:14">
      <c r="A134" s="6"/>
      <c r="B134" s="5"/>
      <c r="C134" s="5"/>
      <c r="D134" s="5"/>
      <c r="E134" s="5"/>
      <c r="F134" s="5"/>
      <c r="G134" s="5"/>
      <c r="H134" s="5"/>
      <c r="I134" s="5"/>
      <c r="N134" s="13" t="s">
        <v>110</v>
      </c>
    </row>
    <row r="135" spans="1:14">
      <c r="A135" s="6"/>
      <c r="B135" s="5"/>
      <c r="C135" s="5"/>
      <c r="D135" s="5"/>
      <c r="E135" s="5"/>
      <c r="F135" s="5"/>
      <c r="G135" s="5"/>
      <c r="H135" s="5"/>
      <c r="I135" s="5"/>
      <c r="N135" s="13" t="s">
        <v>111</v>
      </c>
    </row>
    <row r="136" spans="1:14">
      <c r="A136" s="6"/>
      <c r="B136" s="5"/>
      <c r="C136" s="5"/>
      <c r="D136" s="5"/>
      <c r="E136" s="5"/>
      <c r="F136" s="5"/>
      <c r="G136" s="5"/>
      <c r="H136" s="5"/>
      <c r="I136" s="5"/>
      <c r="N136" s="13" t="s">
        <v>113</v>
      </c>
    </row>
    <row r="137" spans="1:14">
      <c r="A137" s="6"/>
      <c r="B137" s="5"/>
      <c r="C137" s="5"/>
      <c r="D137" s="5"/>
      <c r="E137" s="5"/>
      <c r="F137" s="5"/>
      <c r="G137" s="5"/>
      <c r="H137" s="5"/>
      <c r="I137" s="5"/>
      <c r="N137" s="13" t="s">
        <v>114</v>
      </c>
    </row>
    <row r="138" spans="1:14">
      <c r="A138" s="6"/>
      <c r="B138" s="5"/>
      <c r="C138" s="5"/>
      <c r="D138" s="5"/>
      <c r="E138" s="5"/>
      <c r="F138" s="5"/>
      <c r="G138" s="5"/>
      <c r="H138" s="5"/>
      <c r="I138" s="5"/>
      <c r="N138" s="13" t="s">
        <v>107</v>
      </c>
    </row>
    <row r="139" spans="1:14">
      <c r="A139" s="6"/>
      <c r="B139" s="5"/>
      <c r="C139" s="5"/>
      <c r="D139" s="5"/>
      <c r="E139" s="5"/>
      <c r="F139" s="5"/>
      <c r="G139" s="5"/>
      <c r="H139" s="5"/>
      <c r="I139" s="5"/>
      <c r="N139" s="13" t="s">
        <v>116</v>
      </c>
    </row>
    <row r="140" spans="1:14">
      <c r="A140" s="6"/>
      <c r="B140" s="5"/>
      <c r="C140" s="5"/>
      <c r="D140" s="5"/>
      <c r="E140" s="5"/>
      <c r="F140" s="5"/>
      <c r="G140" s="5"/>
      <c r="H140" s="5"/>
      <c r="I140" s="5"/>
      <c r="N140" s="13" t="s">
        <v>117</v>
      </c>
    </row>
    <row r="141" spans="1:14">
      <c r="A141" s="6"/>
      <c r="B141" s="5"/>
      <c r="C141" s="5"/>
      <c r="D141" s="5"/>
      <c r="E141" s="5"/>
      <c r="F141" s="5"/>
      <c r="G141" s="5"/>
      <c r="H141" s="5"/>
      <c r="I141" s="5"/>
      <c r="N141" s="13" t="s">
        <v>118</v>
      </c>
    </row>
    <row r="142" spans="1:14">
      <c r="A142" s="6"/>
      <c r="B142" s="5"/>
      <c r="C142" s="5"/>
      <c r="D142" s="5"/>
      <c r="E142" s="5"/>
      <c r="F142" s="5"/>
      <c r="G142" s="5"/>
      <c r="H142" s="5"/>
      <c r="I142" s="5"/>
      <c r="N142" s="13" t="s">
        <v>119</v>
      </c>
    </row>
    <row r="143" spans="1:14">
      <c r="A143" s="6"/>
      <c r="B143" s="5"/>
      <c r="C143" s="5"/>
      <c r="D143" s="5"/>
      <c r="E143" s="5"/>
      <c r="F143" s="5"/>
      <c r="G143" s="5"/>
      <c r="H143" s="5"/>
      <c r="I143" s="5"/>
      <c r="N143" s="13" t="s">
        <v>120</v>
      </c>
    </row>
    <row r="144" spans="1:14">
      <c r="A144" s="6"/>
      <c r="B144" s="5"/>
      <c r="C144" s="5"/>
      <c r="D144" s="5"/>
      <c r="E144" s="5"/>
      <c r="F144" s="5"/>
      <c r="G144" s="5"/>
      <c r="H144" s="5"/>
      <c r="I144" s="5"/>
      <c r="N144" s="13" t="s">
        <v>121</v>
      </c>
    </row>
    <row r="145" spans="1:14">
      <c r="A145" s="6"/>
      <c r="B145" s="5"/>
      <c r="C145" s="5"/>
      <c r="D145" s="5"/>
      <c r="E145" s="5"/>
      <c r="F145" s="5"/>
      <c r="G145" s="5"/>
      <c r="H145" s="5"/>
      <c r="I145" s="5"/>
      <c r="N145" s="13" t="s">
        <v>122</v>
      </c>
    </row>
    <row r="146" spans="1:14">
      <c r="A146" s="6"/>
      <c r="B146" s="5"/>
      <c r="C146" s="5"/>
      <c r="D146" s="5"/>
      <c r="E146" s="5"/>
      <c r="F146" s="5"/>
      <c r="G146" s="5"/>
      <c r="H146" s="5"/>
      <c r="I146" s="5"/>
      <c r="N146" s="13" t="s">
        <v>346</v>
      </c>
    </row>
    <row r="147" spans="1:14">
      <c r="A147" s="6"/>
      <c r="B147" s="5"/>
      <c r="C147" s="5"/>
      <c r="D147" s="5"/>
      <c r="E147" s="5"/>
      <c r="F147" s="5"/>
      <c r="G147" s="5"/>
      <c r="H147" s="5"/>
      <c r="I147" s="5"/>
      <c r="N147" s="13" t="s">
        <v>123</v>
      </c>
    </row>
    <row r="148" spans="1:14">
      <c r="A148" s="6"/>
      <c r="B148" s="5"/>
      <c r="C148" s="5"/>
      <c r="D148" s="5"/>
      <c r="E148" s="5"/>
      <c r="F148" s="5"/>
      <c r="G148" s="5"/>
      <c r="H148" s="5"/>
      <c r="I148" s="5"/>
      <c r="N148" s="13" t="s">
        <v>124</v>
      </c>
    </row>
    <row r="149" spans="1:14">
      <c r="A149" s="6"/>
      <c r="B149" s="5"/>
      <c r="C149" s="5"/>
      <c r="D149" s="5"/>
      <c r="E149" s="5"/>
      <c r="F149" s="5"/>
      <c r="G149" s="5"/>
      <c r="H149" s="5"/>
      <c r="I149" s="5"/>
      <c r="N149" s="13" t="s">
        <v>125</v>
      </c>
    </row>
    <row r="150" spans="1:14">
      <c r="A150" s="6"/>
      <c r="B150" s="5"/>
      <c r="C150" s="5"/>
      <c r="D150" s="5"/>
      <c r="E150" s="5"/>
      <c r="F150" s="5"/>
      <c r="G150" s="5"/>
      <c r="H150" s="5"/>
      <c r="I150" s="5"/>
      <c r="N150" s="13" t="s">
        <v>126</v>
      </c>
    </row>
    <row r="151" spans="1:14">
      <c r="A151" s="6"/>
      <c r="B151" s="5"/>
      <c r="C151" s="5"/>
      <c r="D151" s="5"/>
      <c r="E151" s="5"/>
      <c r="F151" s="5"/>
      <c r="G151" s="5"/>
      <c r="H151" s="5"/>
      <c r="I151" s="5"/>
      <c r="N151" s="13" t="s">
        <v>127</v>
      </c>
    </row>
    <row r="152" spans="1:14">
      <c r="A152" s="6"/>
      <c r="B152" s="5"/>
      <c r="C152" s="5"/>
      <c r="D152" s="5"/>
      <c r="E152" s="5"/>
      <c r="F152" s="5"/>
      <c r="G152" s="5"/>
      <c r="H152" s="5"/>
      <c r="I152" s="5"/>
      <c r="N152" s="13" t="s">
        <v>128</v>
      </c>
    </row>
    <row r="153" spans="1:14">
      <c r="A153" s="6"/>
      <c r="B153" s="5"/>
      <c r="C153" s="5"/>
      <c r="D153" s="5"/>
      <c r="E153" s="5"/>
      <c r="F153" s="5"/>
      <c r="G153" s="5"/>
      <c r="H153" s="5"/>
      <c r="I153" s="5"/>
      <c r="N153" s="13" t="s">
        <v>129</v>
      </c>
    </row>
    <row r="154" spans="1:14">
      <c r="A154" s="6"/>
      <c r="B154" s="5"/>
      <c r="C154" s="5"/>
      <c r="D154" s="5"/>
      <c r="E154" s="5"/>
      <c r="F154" s="5"/>
      <c r="G154" s="5"/>
      <c r="H154" s="5"/>
      <c r="I154" s="5"/>
      <c r="N154" s="13" t="s">
        <v>130</v>
      </c>
    </row>
    <row r="155" spans="1:14">
      <c r="A155" s="6"/>
      <c r="B155" s="5"/>
      <c r="C155" s="5"/>
      <c r="D155" s="5"/>
      <c r="E155" s="5"/>
      <c r="F155" s="5"/>
      <c r="G155" s="5"/>
      <c r="H155" s="5"/>
      <c r="I155" s="5"/>
      <c r="N155" s="13" t="s">
        <v>112</v>
      </c>
    </row>
    <row r="156" spans="1:14">
      <c r="A156" s="6"/>
      <c r="B156" s="5"/>
      <c r="C156" s="5"/>
      <c r="D156" s="5"/>
      <c r="E156" s="5"/>
      <c r="F156" s="5"/>
      <c r="G156" s="5"/>
      <c r="H156" s="5"/>
      <c r="I156" s="5"/>
      <c r="N156" s="13" t="s">
        <v>345</v>
      </c>
    </row>
    <row r="157" spans="1:14">
      <c r="A157" s="6"/>
      <c r="B157" s="5"/>
      <c r="C157" s="5"/>
      <c r="D157" s="5"/>
      <c r="E157" s="5"/>
      <c r="F157" s="5"/>
      <c r="G157" s="5"/>
      <c r="H157" s="5"/>
      <c r="I157" s="5"/>
      <c r="N157" s="13" t="s">
        <v>131</v>
      </c>
    </row>
    <row r="158" spans="1:14">
      <c r="A158" s="6"/>
      <c r="B158" s="5"/>
      <c r="C158" s="5"/>
      <c r="D158" s="5"/>
      <c r="E158" s="5"/>
      <c r="F158" s="5"/>
      <c r="G158" s="5"/>
      <c r="H158" s="5"/>
      <c r="I158" s="5"/>
      <c r="N158" s="13" t="s">
        <v>132</v>
      </c>
    </row>
    <row r="159" spans="1:14">
      <c r="A159" s="6"/>
      <c r="B159" s="5"/>
      <c r="C159" s="5"/>
      <c r="D159" s="5"/>
      <c r="E159" s="5"/>
      <c r="F159" s="5"/>
      <c r="G159" s="5"/>
      <c r="H159" s="5"/>
      <c r="I159" s="5"/>
      <c r="N159" s="13" t="s">
        <v>133</v>
      </c>
    </row>
    <row r="160" spans="1:14">
      <c r="A160" s="6"/>
      <c r="B160" s="5"/>
      <c r="C160" s="5"/>
      <c r="D160" s="5"/>
      <c r="E160" s="5"/>
      <c r="F160" s="5"/>
      <c r="G160" s="5"/>
      <c r="H160" s="5"/>
      <c r="I160" s="5"/>
      <c r="N160" s="13" t="s">
        <v>134</v>
      </c>
    </row>
    <row r="161" spans="1:14">
      <c r="A161" s="6"/>
      <c r="B161" s="5"/>
      <c r="C161" s="5"/>
      <c r="D161" s="5"/>
      <c r="E161" s="5"/>
      <c r="F161" s="5"/>
      <c r="G161" s="5"/>
      <c r="H161" s="5"/>
      <c r="I161" s="5"/>
      <c r="N161" s="13" t="s">
        <v>135</v>
      </c>
    </row>
    <row r="162" spans="1:14">
      <c r="A162" s="6"/>
      <c r="B162" s="5"/>
      <c r="C162" s="5"/>
      <c r="D162" s="5"/>
      <c r="E162" s="5"/>
      <c r="F162" s="5"/>
      <c r="G162" s="5"/>
      <c r="H162" s="5"/>
      <c r="I162" s="5"/>
      <c r="N162" s="13" t="s">
        <v>136</v>
      </c>
    </row>
    <row r="163" spans="1:14">
      <c r="A163" s="6"/>
      <c r="B163" s="5"/>
      <c r="C163" s="5"/>
      <c r="D163" s="5"/>
      <c r="E163" s="5"/>
      <c r="F163" s="5"/>
      <c r="G163" s="5"/>
      <c r="H163" s="5"/>
      <c r="I163" s="5"/>
      <c r="N163" s="13" t="s">
        <v>137</v>
      </c>
    </row>
    <row r="164" spans="1:14">
      <c r="A164" s="6"/>
      <c r="B164" s="5"/>
      <c r="C164" s="5"/>
      <c r="D164" s="5"/>
      <c r="E164" s="5"/>
      <c r="F164" s="5"/>
      <c r="G164" s="5"/>
      <c r="H164" s="5"/>
      <c r="I164" s="5"/>
      <c r="N164" s="13" t="s">
        <v>138</v>
      </c>
    </row>
    <row r="165" spans="1:14">
      <c r="A165" s="6"/>
      <c r="B165" s="5"/>
      <c r="C165" s="5"/>
      <c r="D165" s="5"/>
      <c r="E165" s="5"/>
      <c r="F165" s="5"/>
      <c r="G165" s="5"/>
      <c r="H165" s="5"/>
      <c r="I165" s="5"/>
      <c r="N165" s="13" t="s">
        <v>139</v>
      </c>
    </row>
    <row r="166" spans="1:14">
      <c r="A166" s="6"/>
      <c r="B166" s="5"/>
      <c r="C166" s="5"/>
      <c r="D166" s="5"/>
      <c r="E166" s="5"/>
      <c r="F166" s="5"/>
      <c r="G166" s="5"/>
      <c r="H166" s="5"/>
      <c r="I166" s="5"/>
      <c r="N166" s="13" t="s">
        <v>140</v>
      </c>
    </row>
    <row r="167" spans="1:14">
      <c r="A167" s="6"/>
      <c r="B167" s="5"/>
      <c r="C167" s="5"/>
      <c r="D167" s="5"/>
      <c r="E167" s="5"/>
      <c r="F167" s="5"/>
      <c r="G167" s="5"/>
      <c r="H167" s="5"/>
      <c r="I167" s="5"/>
      <c r="N167" s="13" t="s">
        <v>141</v>
      </c>
    </row>
    <row r="168" spans="1:14">
      <c r="A168" s="6"/>
      <c r="B168" s="5"/>
      <c r="C168" s="5"/>
      <c r="D168" s="5"/>
      <c r="E168" s="5"/>
      <c r="F168" s="5"/>
      <c r="G168" s="5"/>
      <c r="H168" s="5"/>
      <c r="I168" s="5"/>
      <c r="N168" s="13" t="s">
        <v>142</v>
      </c>
    </row>
    <row r="169" spans="1:14">
      <c r="A169" s="6"/>
      <c r="B169" s="5"/>
      <c r="C169" s="5"/>
      <c r="D169" s="5"/>
      <c r="E169" s="5"/>
      <c r="F169" s="5"/>
      <c r="G169" s="5"/>
      <c r="H169" s="5"/>
      <c r="I169" s="5"/>
      <c r="N169" s="13" t="s">
        <v>143</v>
      </c>
    </row>
    <row r="170" spans="1:14">
      <c r="A170" s="6"/>
      <c r="B170" s="5"/>
      <c r="C170" s="5"/>
      <c r="D170" s="5"/>
      <c r="E170" s="5"/>
      <c r="F170" s="5"/>
      <c r="G170" s="5"/>
      <c r="H170" s="5"/>
      <c r="I170" s="5"/>
      <c r="N170" s="13" t="s">
        <v>144</v>
      </c>
    </row>
    <row r="171" spans="1:14">
      <c r="A171" s="6"/>
      <c r="B171" s="5"/>
      <c r="C171" s="5"/>
      <c r="D171" s="5"/>
      <c r="E171" s="5"/>
      <c r="F171" s="5"/>
      <c r="G171" s="5"/>
      <c r="H171" s="5"/>
      <c r="I171" s="5"/>
      <c r="N171" s="13" t="s">
        <v>145</v>
      </c>
    </row>
    <row r="172" spans="1:14">
      <c r="A172" s="6"/>
      <c r="B172" s="5"/>
      <c r="C172" s="5"/>
      <c r="D172" s="5"/>
      <c r="E172" s="5"/>
      <c r="F172" s="5"/>
      <c r="G172" s="5"/>
      <c r="H172" s="5"/>
      <c r="I172" s="5"/>
      <c r="N172" s="13" t="s">
        <v>146</v>
      </c>
    </row>
    <row r="173" spans="1:14">
      <c r="A173" s="6"/>
      <c r="B173" s="5"/>
      <c r="C173" s="5"/>
      <c r="D173" s="5"/>
      <c r="E173" s="5"/>
      <c r="F173" s="5"/>
      <c r="G173" s="5"/>
      <c r="H173" s="5"/>
      <c r="I173" s="5"/>
      <c r="N173" s="13" t="s">
        <v>147</v>
      </c>
    </row>
    <row r="174" spans="1:14">
      <c r="A174" s="6"/>
      <c r="B174" s="5"/>
      <c r="C174" s="5"/>
      <c r="D174" s="5"/>
      <c r="E174" s="5"/>
      <c r="F174" s="5"/>
      <c r="G174" s="5"/>
      <c r="H174" s="5"/>
      <c r="I174" s="5"/>
      <c r="N174" s="13" t="s">
        <v>148</v>
      </c>
    </row>
    <row r="175" spans="1:14">
      <c r="A175" s="6"/>
      <c r="B175" s="5"/>
      <c r="C175" s="5"/>
      <c r="D175" s="5"/>
      <c r="E175" s="5"/>
      <c r="F175" s="5"/>
      <c r="G175" s="5"/>
      <c r="H175" s="5"/>
      <c r="I175" s="5"/>
      <c r="N175" s="13" t="s">
        <v>149</v>
      </c>
    </row>
    <row r="176" spans="1:14">
      <c r="A176" s="6"/>
      <c r="B176" s="5"/>
      <c r="C176" s="5"/>
      <c r="D176" s="5"/>
      <c r="E176" s="5"/>
      <c r="F176" s="5"/>
      <c r="G176" s="5"/>
      <c r="H176" s="5"/>
      <c r="I176" s="5"/>
      <c r="N176" s="13" t="s">
        <v>150</v>
      </c>
    </row>
    <row r="177" spans="1:14">
      <c r="A177" s="6"/>
      <c r="B177" s="5"/>
      <c r="C177" s="5"/>
      <c r="D177" s="5"/>
      <c r="E177" s="5"/>
      <c r="F177" s="5"/>
      <c r="G177" s="5"/>
      <c r="H177" s="5"/>
      <c r="I177" s="5"/>
      <c r="N177" s="13" t="s">
        <v>151</v>
      </c>
    </row>
    <row r="178" spans="1:14">
      <c r="A178" s="6"/>
      <c r="B178" s="5"/>
      <c r="C178" s="5"/>
      <c r="D178" s="5"/>
      <c r="E178" s="5"/>
      <c r="F178" s="5"/>
      <c r="G178" s="5"/>
      <c r="H178" s="5"/>
      <c r="I178" s="5"/>
      <c r="N178" s="13" t="s">
        <v>152</v>
      </c>
    </row>
    <row r="179" spans="1:14">
      <c r="A179" s="6"/>
      <c r="B179" s="5"/>
      <c r="C179" s="5"/>
      <c r="D179" s="5"/>
      <c r="E179" s="5"/>
      <c r="F179" s="5"/>
      <c r="G179" s="5"/>
      <c r="H179" s="5"/>
      <c r="I179" s="5"/>
      <c r="N179" s="13" t="s">
        <v>153</v>
      </c>
    </row>
    <row r="180" spans="1:14">
      <c r="A180" s="6"/>
      <c r="B180" s="5"/>
      <c r="C180" s="5"/>
      <c r="D180" s="5"/>
      <c r="E180" s="5"/>
      <c r="F180" s="5"/>
      <c r="G180" s="5"/>
      <c r="H180" s="5"/>
      <c r="I180" s="5"/>
      <c r="N180" s="13" t="s">
        <v>154</v>
      </c>
    </row>
    <row r="181" spans="1:14">
      <c r="A181" s="6"/>
      <c r="B181" s="5"/>
      <c r="C181" s="5"/>
      <c r="D181" s="5"/>
      <c r="E181" s="5"/>
      <c r="F181" s="5"/>
      <c r="G181" s="5"/>
      <c r="H181" s="5"/>
      <c r="I181" s="5"/>
      <c r="N181" s="13" t="s">
        <v>155</v>
      </c>
    </row>
    <row r="182" spans="1:14">
      <c r="A182" s="6"/>
      <c r="B182" s="5"/>
      <c r="C182" s="5"/>
      <c r="D182" s="5"/>
      <c r="E182" s="5"/>
      <c r="F182" s="5"/>
      <c r="G182" s="5"/>
      <c r="H182" s="5"/>
      <c r="I182" s="5"/>
      <c r="N182" s="13" t="s">
        <v>156</v>
      </c>
    </row>
    <row r="183" spans="1:14">
      <c r="A183" s="6"/>
      <c r="B183" s="5"/>
      <c r="C183" s="5"/>
      <c r="D183" s="5"/>
      <c r="E183" s="5"/>
      <c r="F183" s="5"/>
      <c r="G183" s="5"/>
      <c r="H183" s="5"/>
      <c r="I183" s="5"/>
      <c r="N183" s="13" t="s">
        <v>157</v>
      </c>
    </row>
    <row r="184" spans="1:14">
      <c r="A184" s="6"/>
      <c r="B184" s="5"/>
      <c r="C184" s="5"/>
      <c r="D184" s="5"/>
      <c r="E184" s="5"/>
      <c r="F184" s="5"/>
      <c r="G184" s="5"/>
      <c r="H184" s="5"/>
      <c r="I184" s="5"/>
      <c r="N184" s="13" t="s">
        <v>158</v>
      </c>
    </row>
    <row r="185" spans="1:14">
      <c r="A185" s="6"/>
      <c r="B185" s="5"/>
      <c r="C185" s="5"/>
      <c r="D185" s="5"/>
      <c r="E185" s="5"/>
      <c r="F185" s="5"/>
      <c r="G185" s="5"/>
      <c r="H185" s="5"/>
      <c r="I185" s="5"/>
      <c r="N185" s="13" t="s">
        <v>159</v>
      </c>
    </row>
    <row r="186" spans="1:14">
      <c r="A186" s="6"/>
      <c r="B186" s="5"/>
      <c r="C186" s="5"/>
      <c r="D186" s="5"/>
      <c r="E186" s="5"/>
      <c r="F186" s="5"/>
      <c r="G186" s="5"/>
      <c r="H186" s="5"/>
      <c r="I186" s="5"/>
      <c r="N186" s="13" t="s">
        <v>160</v>
      </c>
    </row>
    <row r="187" spans="1:14">
      <c r="A187" s="6"/>
      <c r="B187" s="5"/>
      <c r="C187" s="5"/>
      <c r="D187" s="5"/>
      <c r="E187" s="5"/>
      <c r="F187" s="5"/>
      <c r="G187" s="5"/>
      <c r="H187" s="5"/>
      <c r="I187" s="5"/>
      <c r="N187" s="13" t="s">
        <v>161</v>
      </c>
    </row>
    <row r="188" spans="1:14">
      <c r="A188" s="6"/>
      <c r="B188" s="5"/>
      <c r="C188" s="5"/>
      <c r="D188" s="5"/>
      <c r="E188" s="5"/>
      <c r="F188" s="5"/>
      <c r="G188" s="5"/>
      <c r="H188" s="5"/>
      <c r="I188" s="5"/>
      <c r="N188" s="13" t="s">
        <v>162</v>
      </c>
    </row>
    <row r="189" spans="1:14">
      <c r="A189" s="6"/>
      <c r="B189" s="5"/>
      <c r="C189" s="5"/>
      <c r="D189" s="5"/>
      <c r="E189" s="5"/>
      <c r="F189" s="5"/>
      <c r="G189" s="5"/>
      <c r="H189" s="5"/>
      <c r="I189" s="5"/>
      <c r="N189" s="13" t="s">
        <v>163</v>
      </c>
    </row>
    <row r="190" spans="1:14">
      <c r="A190" s="6"/>
      <c r="B190" s="5"/>
      <c r="C190" s="5"/>
      <c r="D190" s="5"/>
      <c r="E190" s="5"/>
      <c r="F190" s="5"/>
      <c r="G190" s="5"/>
      <c r="H190" s="5"/>
      <c r="I190" s="5"/>
      <c r="N190" s="13" t="s">
        <v>164</v>
      </c>
    </row>
    <row r="191" spans="1:14">
      <c r="A191" s="6"/>
      <c r="B191" s="5"/>
      <c r="C191" s="5"/>
      <c r="D191" s="5"/>
      <c r="E191" s="5"/>
      <c r="F191" s="5"/>
      <c r="G191" s="5"/>
      <c r="H191" s="5"/>
      <c r="I191" s="5"/>
      <c r="N191" s="13" t="s">
        <v>165</v>
      </c>
    </row>
    <row r="192" spans="1:14">
      <c r="A192" s="6"/>
      <c r="B192" s="5"/>
      <c r="C192" s="5"/>
      <c r="D192" s="5"/>
      <c r="E192" s="5"/>
      <c r="F192" s="5"/>
      <c r="G192" s="5"/>
      <c r="H192" s="5"/>
      <c r="I192" s="5"/>
      <c r="N192" s="13" t="s">
        <v>166</v>
      </c>
    </row>
    <row r="193" spans="1:14">
      <c r="A193" s="6"/>
      <c r="B193" s="5"/>
      <c r="C193" s="5"/>
      <c r="D193" s="5"/>
      <c r="E193" s="5"/>
      <c r="F193" s="5"/>
      <c r="G193" s="5"/>
      <c r="H193" s="5"/>
      <c r="I193" s="5"/>
      <c r="N193" s="13" t="s">
        <v>344</v>
      </c>
    </row>
    <row r="194" spans="1:14">
      <c r="A194" s="6"/>
      <c r="B194" s="5"/>
      <c r="C194" s="5"/>
      <c r="D194" s="5"/>
      <c r="E194" s="5"/>
      <c r="F194" s="5"/>
      <c r="G194" s="5"/>
      <c r="H194" s="5"/>
      <c r="I194" s="5"/>
      <c r="N194" s="13" t="s">
        <v>167</v>
      </c>
    </row>
    <row r="195" spans="1:14">
      <c r="A195" s="6"/>
      <c r="B195" s="5"/>
      <c r="C195" s="5"/>
      <c r="D195" s="5"/>
      <c r="E195" s="5"/>
      <c r="F195" s="5"/>
      <c r="G195" s="5"/>
      <c r="H195" s="5"/>
      <c r="I195" s="5"/>
      <c r="N195" s="13" t="s">
        <v>168</v>
      </c>
    </row>
    <row r="196" spans="1:14">
      <c r="A196" s="6"/>
      <c r="B196" s="5"/>
      <c r="C196" s="5"/>
      <c r="D196" s="5"/>
      <c r="E196" s="5"/>
      <c r="F196" s="5"/>
      <c r="G196" s="5"/>
      <c r="H196" s="5"/>
      <c r="I196" s="5"/>
      <c r="N196" s="13" t="s">
        <v>169</v>
      </c>
    </row>
    <row r="197" spans="1:14">
      <c r="A197" s="6"/>
      <c r="B197" s="5"/>
      <c r="C197" s="5"/>
      <c r="D197" s="5"/>
      <c r="E197" s="5"/>
      <c r="F197" s="5"/>
      <c r="G197" s="5"/>
      <c r="H197" s="5"/>
      <c r="I197" s="5"/>
      <c r="N197" s="13" t="s">
        <v>170</v>
      </c>
    </row>
    <row r="198" spans="1:14">
      <c r="A198" s="6"/>
      <c r="B198" s="5"/>
      <c r="C198" s="5"/>
      <c r="D198" s="5"/>
      <c r="E198" s="5"/>
      <c r="F198" s="5"/>
      <c r="G198" s="5"/>
      <c r="H198" s="5"/>
      <c r="I198" s="5"/>
      <c r="N198" s="13" t="s">
        <v>171</v>
      </c>
    </row>
    <row r="199" spans="1:14">
      <c r="A199" s="6"/>
      <c r="B199" s="5"/>
      <c r="C199" s="5"/>
      <c r="D199" s="5"/>
      <c r="E199" s="5"/>
      <c r="F199" s="5"/>
      <c r="G199" s="5"/>
      <c r="H199" s="5"/>
      <c r="I199" s="5"/>
      <c r="N199" s="13" t="s">
        <v>172</v>
      </c>
    </row>
    <row r="200" spans="1:14">
      <c r="A200" s="6"/>
      <c r="B200" s="5"/>
      <c r="C200" s="5"/>
      <c r="D200" s="5"/>
      <c r="E200" s="5"/>
      <c r="F200" s="5"/>
      <c r="G200" s="5"/>
      <c r="H200" s="5"/>
      <c r="I200" s="5"/>
      <c r="N200" s="13" t="s">
        <v>173</v>
      </c>
    </row>
    <row r="201" spans="1:14">
      <c r="A201" s="6"/>
      <c r="B201" s="5"/>
      <c r="C201" s="5"/>
      <c r="D201" s="5"/>
      <c r="E201" s="5"/>
      <c r="F201" s="5"/>
      <c r="G201" s="5"/>
      <c r="H201" s="5"/>
      <c r="I201" s="5"/>
      <c r="N201" s="13" t="s">
        <v>174</v>
      </c>
    </row>
    <row r="202" spans="1:14">
      <c r="A202" s="6"/>
      <c r="B202" s="5"/>
      <c r="C202" s="5"/>
      <c r="D202" s="5"/>
      <c r="E202" s="5"/>
      <c r="F202" s="5"/>
      <c r="G202" s="5"/>
      <c r="H202" s="5"/>
      <c r="I202" s="5"/>
      <c r="N202" s="13" t="s">
        <v>175</v>
      </c>
    </row>
    <row r="203" spans="1:14">
      <c r="A203" s="6"/>
      <c r="B203" s="5"/>
      <c r="C203" s="5"/>
      <c r="D203" s="5"/>
      <c r="E203" s="5"/>
      <c r="F203" s="5"/>
      <c r="G203" s="5"/>
      <c r="H203" s="5"/>
      <c r="I203" s="5"/>
      <c r="L203" s="17"/>
      <c r="M203" s="17"/>
      <c r="N203" s="13" t="s">
        <v>176</v>
      </c>
    </row>
    <row r="204" spans="1:14">
      <c r="A204" s="6"/>
      <c r="B204" s="5"/>
      <c r="C204" s="5"/>
      <c r="D204" s="5"/>
      <c r="E204" s="5"/>
      <c r="F204" s="5"/>
      <c r="G204" s="5"/>
      <c r="H204" s="5"/>
      <c r="I204" s="5"/>
      <c r="N204" s="13" t="s">
        <v>177</v>
      </c>
    </row>
    <row r="205" spans="1:14">
      <c r="A205" s="6"/>
      <c r="B205" s="5"/>
      <c r="C205" s="5"/>
      <c r="D205" s="5"/>
      <c r="E205" s="5"/>
      <c r="F205" s="5"/>
      <c r="G205" s="5"/>
      <c r="H205" s="5"/>
      <c r="I205" s="5"/>
      <c r="N205" s="13" t="s">
        <v>178</v>
      </c>
    </row>
    <row r="206" spans="1:14">
      <c r="A206" s="6"/>
      <c r="B206" s="5"/>
      <c r="C206" s="5"/>
      <c r="D206" s="5"/>
      <c r="E206" s="5"/>
      <c r="F206" s="5"/>
      <c r="G206" s="5"/>
      <c r="H206" s="5"/>
      <c r="I206" s="5"/>
      <c r="N206" s="13" t="s">
        <v>179</v>
      </c>
    </row>
    <row r="207" spans="1:14">
      <c r="A207" s="6"/>
      <c r="B207" s="5"/>
      <c r="C207" s="5"/>
      <c r="D207" s="5"/>
      <c r="E207" s="5"/>
      <c r="F207" s="5"/>
      <c r="G207" s="5"/>
      <c r="H207" s="5"/>
      <c r="I207" s="5"/>
      <c r="N207" s="13" t="s">
        <v>180</v>
      </c>
    </row>
    <row r="208" spans="1:14">
      <c r="A208" s="6"/>
      <c r="B208" s="5"/>
      <c r="C208" s="5"/>
      <c r="D208" s="5"/>
      <c r="E208" s="5"/>
      <c r="F208" s="5"/>
      <c r="G208" s="5"/>
      <c r="H208" s="5"/>
      <c r="I208" s="5"/>
      <c r="N208" s="13" t="s">
        <v>181</v>
      </c>
    </row>
    <row r="209" spans="1:14">
      <c r="A209" s="6"/>
      <c r="B209" s="5"/>
      <c r="C209" s="5"/>
      <c r="D209" s="5"/>
      <c r="E209" s="5"/>
      <c r="F209" s="5"/>
      <c r="G209" s="5"/>
      <c r="H209" s="5"/>
      <c r="I209" s="5"/>
      <c r="N209" s="13" t="s">
        <v>182</v>
      </c>
    </row>
    <row r="210" spans="1:14">
      <c r="A210" s="6"/>
      <c r="B210" s="5"/>
      <c r="C210" s="5"/>
      <c r="D210" s="5"/>
      <c r="E210" s="5"/>
      <c r="F210" s="5"/>
      <c r="G210" s="5"/>
      <c r="H210" s="5"/>
      <c r="I210" s="5"/>
      <c r="N210" s="13" t="s">
        <v>183</v>
      </c>
    </row>
    <row r="211" spans="1:14">
      <c r="A211" s="6"/>
      <c r="B211" s="5"/>
      <c r="C211" s="5"/>
      <c r="D211" s="5"/>
      <c r="E211" s="5"/>
      <c r="F211" s="5"/>
      <c r="G211" s="5"/>
      <c r="H211" s="5"/>
      <c r="I211" s="5"/>
      <c r="N211" s="13" t="s">
        <v>184</v>
      </c>
    </row>
    <row r="212" spans="1:14">
      <c r="A212" s="6"/>
      <c r="B212" s="5"/>
      <c r="C212" s="5"/>
      <c r="D212" s="5"/>
      <c r="E212" s="5"/>
      <c r="F212" s="5"/>
      <c r="G212" s="5"/>
      <c r="H212" s="5"/>
      <c r="I212" s="5"/>
      <c r="N212" s="13" t="s">
        <v>343</v>
      </c>
    </row>
    <row r="213" spans="1:14">
      <c r="A213" s="6"/>
      <c r="B213" s="5"/>
      <c r="C213" s="5"/>
      <c r="D213" s="5"/>
      <c r="E213" s="5"/>
      <c r="F213" s="5"/>
      <c r="G213" s="5"/>
      <c r="H213" s="5"/>
      <c r="I213" s="5"/>
      <c r="N213" s="13" t="s">
        <v>185</v>
      </c>
    </row>
    <row r="214" spans="1:14">
      <c r="A214" s="6"/>
      <c r="B214" s="5"/>
      <c r="C214" s="5"/>
      <c r="D214" s="5"/>
      <c r="E214" s="5"/>
      <c r="F214" s="5"/>
      <c r="G214" s="5"/>
      <c r="H214" s="5"/>
      <c r="I214" s="5"/>
      <c r="N214" s="13" t="s">
        <v>186</v>
      </c>
    </row>
    <row r="215" spans="1:14">
      <c r="A215" s="6"/>
      <c r="B215" s="5"/>
      <c r="C215" s="5"/>
      <c r="D215" s="5"/>
      <c r="E215" s="5"/>
      <c r="F215" s="5"/>
      <c r="G215" s="5"/>
      <c r="H215" s="5"/>
      <c r="I215" s="5"/>
      <c r="N215" s="13" t="s">
        <v>187</v>
      </c>
    </row>
    <row r="216" spans="1:14">
      <c r="A216" s="6"/>
      <c r="B216" s="5"/>
      <c r="C216" s="5"/>
      <c r="D216" s="5"/>
      <c r="E216" s="5"/>
      <c r="F216" s="5"/>
      <c r="G216" s="5"/>
      <c r="H216" s="5"/>
      <c r="I216" s="5"/>
      <c r="N216" s="13" t="s">
        <v>188</v>
      </c>
    </row>
    <row r="217" spans="1:14">
      <c r="A217" s="6"/>
      <c r="B217" s="5"/>
      <c r="C217" s="5"/>
      <c r="D217" s="5"/>
      <c r="E217" s="5"/>
      <c r="F217" s="5"/>
      <c r="G217" s="5"/>
      <c r="H217" s="5"/>
      <c r="I217" s="5"/>
      <c r="N217" s="13" t="s">
        <v>189</v>
      </c>
    </row>
    <row r="218" spans="1:14">
      <c r="A218" s="6"/>
      <c r="B218" s="5"/>
      <c r="C218" s="5"/>
      <c r="D218" s="5"/>
      <c r="E218" s="5"/>
      <c r="F218" s="5"/>
      <c r="G218" s="5"/>
      <c r="H218" s="5"/>
      <c r="I218" s="5"/>
      <c r="N218" s="13" t="s">
        <v>190</v>
      </c>
    </row>
    <row r="219" spans="1:14">
      <c r="A219" s="6"/>
      <c r="B219" s="5"/>
      <c r="C219" s="5"/>
      <c r="D219" s="5"/>
      <c r="E219" s="5"/>
      <c r="F219" s="5"/>
      <c r="G219" s="5"/>
      <c r="H219" s="5"/>
      <c r="I219" s="5"/>
      <c r="N219" s="13" t="s">
        <v>191</v>
      </c>
    </row>
    <row r="220" spans="1:14">
      <c r="A220" s="6"/>
      <c r="B220" s="5"/>
      <c r="C220" s="5"/>
      <c r="D220" s="5"/>
      <c r="E220" s="5"/>
      <c r="F220" s="5"/>
      <c r="G220" s="5"/>
      <c r="H220" s="5"/>
      <c r="I220" s="5"/>
      <c r="N220" s="13" t="s">
        <v>342</v>
      </c>
    </row>
    <row r="221" spans="1:14">
      <c r="A221" s="6"/>
      <c r="B221" s="5"/>
      <c r="C221" s="5"/>
      <c r="D221" s="5"/>
      <c r="E221" s="5"/>
      <c r="F221" s="5"/>
      <c r="G221" s="5"/>
      <c r="H221" s="5"/>
      <c r="I221" s="5"/>
      <c r="N221" s="13" t="s">
        <v>192</v>
      </c>
    </row>
    <row r="222" spans="1:14">
      <c r="A222" s="6"/>
      <c r="B222" s="5"/>
      <c r="C222" s="5"/>
      <c r="D222" s="5"/>
      <c r="E222" s="5"/>
      <c r="F222" s="5"/>
      <c r="G222" s="5"/>
      <c r="H222" s="5"/>
      <c r="I222" s="5"/>
      <c r="N222" s="13" t="s">
        <v>193</v>
      </c>
    </row>
    <row r="223" spans="1:14">
      <c r="A223" s="6"/>
      <c r="B223" s="5"/>
      <c r="C223" s="5"/>
      <c r="D223" s="5"/>
      <c r="E223" s="5"/>
      <c r="F223" s="5"/>
      <c r="G223" s="5"/>
      <c r="H223" s="5"/>
      <c r="I223" s="5"/>
      <c r="N223" s="13" t="s">
        <v>194</v>
      </c>
    </row>
    <row r="224" spans="1:14">
      <c r="A224" s="6"/>
      <c r="B224" s="5"/>
      <c r="C224" s="5"/>
      <c r="D224" s="5"/>
      <c r="E224" s="5"/>
      <c r="F224" s="5"/>
      <c r="G224" s="5"/>
      <c r="H224" s="5"/>
      <c r="I224" s="5"/>
      <c r="N224" s="13" t="s">
        <v>341</v>
      </c>
    </row>
    <row r="225" spans="1:14">
      <c r="A225" s="6"/>
      <c r="B225" s="5"/>
      <c r="C225" s="5"/>
      <c r="D225" s="5"/>
      <c r="E225" s="5"/>
      <c r="F225" s="5"/>
      <c r="G225" s="5"/>
      <c r="H225" s="5"/>
      <c r="I225" s="5"/>
      <c r="N225" s="13" t="s">
        <v>195</v>
      </c>
    </row>
    <row r="226" spans="1:14">
      <c r="A226" s="6"/>
      <c r="B226" s="5"/>
      <c r="C226" s="5"/>
      <c r="D226" s="5"/>
      <c r="E226" s="5"/>
      <c r="F226" s="5"/>
      <c r="G226" s="5"/>
      <c r="H226" s="5"/>
      <c r="I226" s="5"/>
      <c r="N226" s="13" t="s">
        <v>196</v>
      </c>
    </row>
    <row r="227" spans="1:14">
      <c r="A227" s="6"/>
      <c r="B227" s="5"/>
      <c r="C227" s="5"/>
      <c r="D227" s="5"/>
      <c r="E227" s="5"/>
      <c r="F227" s="5"/>
      <c r="G227" s="5"/>
      <c r="H227" s="5"/>
      <c r="I227" s="5"/>
      <c r="N227" s="13" t="s">
        <v>197</v>
      </c>
    </row>
    <row r="228" spans="1:14">
      <c r="A228" s="6"/>
      <c r="B228" s="5"/>
      <c r="C228" s="5"/>
      <c r="D228" s="5"/>
      <c r="E228" s="5"/>
      <c r="F228" s="5"/>
      <c r="G228" s="5"/>
      <c r="H228" s="5"/>
      <c r="I228" s="5"/>
      <c r="N228" s="13" t="s">
        <v>198</v>
      </c>
    </row>
    <row r="229" spans="1:14">
      <c r="A229" s="6"/>
      <c r="B229" s="5"/>
      <c r="C229" s="5"/>
      <c r="D229" s="5"/>
      <c r="E229" s="5"/>
      <c r="F229" s="5"/>
      <c r="G229" s="5"/>
      <c r="H229" s="5"/>
      <c r="I229" s="5"/>
      <c r="N229" s="13" t="s">
        <v>199</v>
      </c>
    </row>
    <row r="230" spans="1:14">
      <c r="A230" s="6"/>
      <c r="B230" s="5"/>
      <c r="C230" s="5"/>
      <c r="D230" s="5"/>
      <c r="E230" s="5"/>
      <c r="F230" s="5"/>
      <c r="G230" s="5"/>
      <c r="H230" s="5"/>
      <c r="I230" s="5"/>
      <c r="N230" s="13" t="s">
        <v>200</v>
      </c>
    </row>
    <row r="231" spans="1:14">
      <c r="A231" s="6"/>
      <c r="B231" s="5"/>
      <c r="C231" s="5"/>
      <c r="D231" s="5"/>
      <c r="E231" s="5"/>
      <c r="F231" s="5"/>
      <c r="G231" s="5"/>
      <c r="H231" s="5"/>
      <c r="I231" s="5"/>
      <c r="N231" s="13" t="s">
        <v>201</v>
      </c>
    </row>
    <row r="232" spans="1:14">
      <c r="A232" s="6"/>
      <c r="B232" s="5"/>
      <c r="C232" s="5"/>
      <c r="D232" s="5"/>
      <c r="E232" s="5"/>
      <c r="F232" s="5"/>
      <c r="G232" s="5"/>
      <c r="H232" s="5"/>
      <c r="I232" s="5"/>
      <c r="N232" s="13" t="s">
        <v>202</v>
      </c>
    </row>
    <row r="233" spans="1:14">
      <c r="A233" s="6"/>
      <c r="B233" s="5"/>
      <c r="C233" s="5"/>
      <c r="D233" s="5"/>
      <c r="E233" s="5"/>
      <c r="F233" s="5"/>
      <c r="G233" s="5"/>
      <c r="H233" s="5"/>
      <c r="I233" s="5"/>
      <c r="N233" s="13" t="s">
        <v>203</v>
      </c>
    </row>
    <row r="234" spans="1:14">
      <c r="A234" s="6"/>
      <c r="B234" s="5"/>
      <c r="C234" s="5"/>
      <c r="D234" s="5"/>
      <c r="E234" s="5"/>
      <c r="F234" s="5"/>
      <c r="G234" s="5"/>
      <c r="H234" s="5"/>
      <c r="I234" s="5"/>
      <c r="N234" s="13" t="s">
        <v>204</v>
      </c>
    </row>
    <row r="235" spans="1:14">
      <c r="A235" s="6"/>
      <c r="B235" s="5"/>
      <c r="C235" s="5"/>
      <c r="D235" s="5"/>
      <c r="E235" s="5"/>
      <c r="F235" s="5"/>
      <c r="G235" s="5"/>
      <c r="H235" s="5"/>
      <c r="I235" s="5"/>
      <c r="N235" s="13" t="s">
        <v>205</v>
      </c>
    </row>
    <row r="236" spans="1:14">
      <c r="A236" s="6"/>
      <c r="B236" s="5"/>
      <c r="C236" s="5"/>
      <c r="D236" s="5"/>
      <c r="E236" s="5"/>
      <c r="F236" s="5"/>
      <c r="G236" s="5"/>
      <c r="H236" s="5"/>
      <c r="I236" s="5"/>
      <c r="N236" s="13" t="s">
        <v>206</v>
      </c>
    </row>
    <row r="237" spans="1:14">
      <c r="A237" s="6"/>
      <c r="B237" s="5"/>
      <c r="C237" s="5"/>
      <c r="D237" s="5"/>
      <c r="E237" s="5"/>
      <c r="F237" s="5"/>
      <c r="G237" s="5"/>
      <c r="H237" s="5"/>
      <c r="I237" s="5"/>
      <c r="N237" s="13" t="s">
        <v>207</v>
      </c>
    </row>
    <row r="238" spans="1:14">
      <c r="A238" s="6"/>
      <c r="B238" s="5"/>
      <c r="C238" s="5"/>
      <c r="D238" s="5"/>
      <c r="E238" s="5"/>
      <c r="F238" s="5"/>
      <c r="G238" s="5"/>
      <c r="H238" s="5"/>
      <c r="I238" s="5"/>
      <c r="N238" s="13" t="s">
        <v>208</v>
      </c>
    </row>
    <row r="239" spans="1:14">
      <c r="A239" s="6"/>
      <c r="B239" s="5"/>
      <c r="C239" s="5"/>
      <c r="D239" s="5"/>
      <c r="E239" s="5"/>
      <c r="F239" s="5"/>
      <c r="G239" s="5"/>
      <c r="H239" s="5"/>
      <c r="I239" s="5"/>
      <c r="N239" s="13" t="s">
        <v>209</v>
      </c>
    </row>
    <row r="240" spans="1:14">
      <c r="A240" s="6"/>
      <c r="B240" s="5"/>
      <c r="C240" s="5"/>
      <c r="D240" s="5"/>
      <c r="E240" s="5"/>
      <c r="F240" s="5"/>
      <c r="G240" s="5"/>
      <c r="H240" s="5"/>
      <c r="I240" s="5"/>
      <c r="N240" s="13" t="s">
        <v>210</v>
      </c>
    </row>
    <row r="241" spans="1:14">
      <c r="A241" s="6"/>
      <c r="B241" s="5"/>
      <c r="C241" s="5"/>
      <c r="D241" s="5"/>
      <c r="E241" s="5"/>
      <c r="F241" s="5"/>
      <c r="G241" s="5"/>
      <c r="H241" s="5"/>
      <c r="I241" s="5"/>
      <c r="N241" s="13" t="s">
        <v>211</v>
      </c>
    </row>
    <row r="242" spans="1:14">
      <c r="A242" s="6"/>
      <c r="B242" s="5"/>
      <c r="C242" s="5"/>
      <c r="D242" s="5"/>
      <c r="E242" s="5"/>
      <c r="F242" s="5"/>
      <c r="G242" s="5"/>
      <c r="H242" s="5"/>
      <c r="I242" s="5"/>
      <c r="N242" s="13" t="s">
        <v>212</v>
      </c>
    </row>
    <row r="243" spans="1:14">
      <c r="A243" s="6"/>
      <c r="B243" s="5"/>
      <c r="C243" s="5"/>
      <c r="D243" s="5"/>
      <c r="E243" s="5"/>
      <c r="F243" s="5"/>
      <c r="G243" s="5"/>
      <c r="H243" s="5"/>
      <c r="I243" s="5"/>
      <c r="N243" s="13" t="s">
        <v>213</v>
      </c>
    </row>
    <row r="244" spans="1:14">
      <c r="A244" s="6"/>
      <c r="B244" s="5"/>
      <c r="C244" s="5"/>
      <c r="D244" s="5"/>
      <c r="E244" s="5"/>
      <c r="F244" s="5"/>
      <c r="G244" s="5"/>
      <c r="H244" s="5"/>
      <c r="I244" s="5"/>
      <c r="N244" s="13" t="s">
        <v>214</v>
      </c>
    </row>
    <row r="245" spans="1:14">
      <c r="A245" s="6"/>
      <c r="B245" s="5"/>
      <c r="C245" s="5"/>
      <c r="D245" s="5"/>
      <c r="E245" s="5"/>
      <c r="F245" s="5"/>
      <c r="G245" s="5"/>
      <c r="H245" s="5"/>
      <c r="I245" s="5"/>
      <c r="N245" s="13" t="s">
        <v>214</v>
      </c>
    </row>
    <row r="246" spans="1:14">
      <c r="A246" s="6"/>
      <c r="B246" s="5"/>
      <c r="C246" s="5"/>
      <c r="D246" s="5"/>
      <c r="E246" s="5"/>
      <c r="F246" s="5"/>
      <c r="G246" s="5"/>
      <c r="H246" s="5"/>
      <c r="I246" s="5"/>
      <c r="N246" s="13" t="s">
        <v>215</v>
      </c>
    </row>
    <row r="247" spans="1:14">
      <c r="A247" s="6"/>
      <c r="B247" s="5"/>
      <c r="C247" s="5"/>
      <c r="D247" s="5"/>
      <c r="E247" s="5"/>
      <c r="F247" s="5"/>
      <c r="G247" s="5"/>
      <c r="H247" s="5"/>
      <c r="I247" s="5"/>
      <c r="N247" s="13" t="s">
        <v>216</v>
      </c>
    </row>
    <row r="248" spans="1:14">
      <c r="A248" s="6"/>
      <c r="B248" s="5"/>
      <c r="C248" s="5"/>
      <c r="D248" s="5"/>
      <c r="E248" s="5"/>
      <c r="F248" s="5"/>
      <c r="G248" s="5"/>
      <c r="H248" s="5"/>
      <c r="I248" s="5"/>
      <c r="N248" s="13" t="s">
        <v>217</v>
      </c>
    </row>
    <row r="249" spans="1:14">
      <c r="A249" s="6"/>
      <c r="B249" s="5"/>
      <c r="C249" s="5"/>
      <c r="D249" s="5"/>
      <c r="E249" s="5"/>
      <c r="F249" s="5"/>
      <c r="G249" s="5"/>
      <c r="H249" s="5"/>
      <c r="I249" s="5"/>
      <c r="N249" s="13" t="s">
        <v>218</v>
      </c>
    </row>
    <row r="250" spans="1:14">
      <c r="A250" s="6"/>
      <c r="B250" s="5"/>
      <c r="C250" s="5"/>
      <c r="D250" s="5"/>
      <c r="E250" s="5"/>
      <c r="F250" s="5"/>
      <c r="G250" s="5"/>
      <c r="H250" s="5"/>
      <c r="I250" s="5"/>
      <c r="N250" s="13" t="s">
        <v>219</v>
      </c>
    </row>
    <row r="251" spans="1:14">
      <c r="A251" s="6"/>
      <c r="B251" s="5"/>
      <c r="C251" s="5"/>
      <c r="D251" s="5"/>
      <c r="E251" s="5"/>
      <c r="F251" s="5"/>
      <c r="G251" s="5"/>
      <c r="H251" s="5"/>
      <c r="I251" s="5"/>
      <c r="N251" s="13" t="s">
        <v>220</v>
      </c>
    </row>
    <row r="252" spans="1:14">
      <c r="A252" s="6"/>
      <c r="B252" s="5"/>
      <c r="C252" s="5"/>
      <c r="D252" s="5"/>
      <c r="E252" s="5"/>
      <c r="F252" s="5"/>
      <c r="G252" s="5"/>
      <c r="H252" s="5"/>
      <c r="I252" s="5"/>
      <c r="N252" s="13" t="s">
        <v>221</v>
      </c>
    </row>
    <row r="253" spans="1:14">
      <c r="A253" s="6"/>
      <c r="B253" s="5"/>
      <c r="C253" s="5"/>
      <c r="D253" s="5"/>
      <c r="E253" s="5"/>
      <c r="F253" s="5"/>
      <c r="G253" s="5"/>
      <c r="H253" s="5"/>
      <c r="I253" s="5"/>
      <c r="N253" s="13" t="s">
        <v>340</v>
      </c>
    </row>
    <row r="254" spans="1:14">
      <c r="A254" s="6"/>
      <c r="B254" s="5"/>
      <c r="C254" s="5"/>
      <c r="D254" s="5"/>
      <c r="E254" s="5"/>
      <c r="F254" s="5"/>
      <c r="G254" s="5"/>
      <c r="H254" s="5"/>
      <c r="I254" s="5"/>
      <c r="N254" s="13" t="s">
        <v>222</v>
      </c>
    </row>
    <row r="255" spans="1:14">
      <c r="A255" s="6"/>
      <c r="B255" s="5"/>
      <c r="C255" s="5"/>
      <c r="D255" s="5"/>
      <c r="E255" s="5"/>
      <c r="F255" s="5"/>
      <c r="G255" s="5"/>
      <c r="H255" s="5"/>
      <c r="I255" s="5"/>
      <c r="N255" s="13" t="s">
        <v>223</v>
      </c>
    </row>
    <row r="256" spans="1:14">
      <c r="A256" s="6"/>
      <c r="B256" s="5"/>
      <c r="C256" s="5"/>
      <c r="D256" s="5"/>
      <c r="E256" s="5"/>
      <c r="F256" s="5"/>
      <c r="G256" s="5"/>
      <c r="H256" s="5"/>
      <c r="I256" s="5"/>
      <c r="N256" s="13" t="s">
        <v>224</v>
      </c>
    </row>
    <row r="257" spans="1:14">
      <c r="A257" s="6"/>
      <c r="B257" s="5"/>
      <c r="C257" s="5"/>
      <c r="D257" s="5"/>
      <c r="E257" s="5"/>
      <c r="F257" s="5"/>
      <c r="G257" s="5"/>
      <c r="H257" s="5"/>
      <c r="I257" s="5"/>
      <c r="N257" s="13" t="s">
        <v>226</v>
      </c>
    </row>
    <row r="258" spans="1:14">
      <c r="A258" s="6"/>
      <c r="B258" s="5"/>
      <c r="C258" s="5"/>
      <c r="D258" s="5"/>
      <c r="E258" s="5"/>
      <c r="F258" s="5"/>
      <c r="G258" s="5"/>
      <c r="H258" s="5"/>
      <c r="I258" s="5"/>
      <c r="N258" s="13" t="s">
        <v>225</v>
      </c>
    </row>
    <row r="259" spans="1:14">
      <c r="A259" s="6"/>
      <c r="B259" s="5"/>
      <c r="C259" s="5"/>
      <c r="D259" s="5"/>
      <c r="E259" s="5"/>
      <c r="F259" s="5"/>
      <c r="G259" s="5"/>
      <c r="H259" s="5"/>
      <c r="I259" s="5"/>
      <c r="N259" s="13" t="s">
        <v>227</v>
      </c>
    </row>
    <row r="260" spans="1:14">
      <c r="A260" s="6"/>
      <c r="B260" s="5"/>
      <c r="C260" s="5"/>
      <c r="D260" s="5"/>
      <c r="E260" s="5"/>
      <c r="F260" s="5"/>
      <c r="G260" s="5"/>
      <c r="H260" s="5"/>
      <c r="I260" s="5"/>
      <c r="N260" s="13" t="s">
        <v>228</v>
      </c>
    </row>
    <row r="261" spans="1:14">
      <c r="A261" s="6"/>
      <c r="B261" s="5"/>
      <c r="C261" s="5"/>
      <c r="D261" s="5"/>
      <c r="E261" s="5"/>
      <c r="F261" s="5"/>
      <c r="G261" s="5"/>
      <c r="H261" s="5"/>
      <c r="I261" s="5"/>
      <c r="N261" s="13" t="s">
        <v>229</v>
      </c>
    </row>
    <row r="262" spans="1:14">
      <c r="A262" s="6"/>
      <c r="B262" s="5"/>
      <c r="C262" s="5"/>
      <c r="D262" s="5"/>
      <c r="E262" s="5"/>
      <c r="F262" s="5"/>
      <c r="G262" s="5"/>
      <c r="H262" s="5"/>
      <c r="I262" s="5"/>
      <c r="N262" s="13" t="s">
        <v>230</v>
      </c>
    </row>
    <row r="263" spans="1:14">
      <c r="A263" s="6"/>
      <c r="B263" s="5"/>
      <c r="C263" s="5"/>
      <c r="D263" s="5"/>
      <c r="E263" s="5"/>
      <c r="F263" s="5"/>
      <c r="G263" s="5"/>
      <c r="H263" s="5"/>
      <c r="I263" s="5"/>
      <c r="N263" s="13" t="s">
        <v>231</v>
      </c>
    </row>
    <row r="264" spans="1:14">
      <c r="A264" s="6"/>
      <c r="B264" s="5"/>
      <c r="C264" s="5"/>
      <c r="D264" s="5"/>
      <c r="E264" s="5"/>
      <c r="F264" s="5"/>
      <c r="G264" s="5"/>
      <c r="H264" s="5"/>
      <c r="I264" s="5"/>
      <c r="N264" s="13" t="s">
        <v>232</v>
      </c>
    </row>
    <row r="265" spans="1:14">
      <c r="A265" s="6"/>
      <c r="B265" s="5"/>
      <c r="C265" s="5"/>
      <c r="D265" s="5"/>
      <c r="E265" s="5"/>
      <c r="F265" s="5"/>
      <c r="G265" s="5"/>
      <c r="H265" s="5"/>
      <c r="I265" s="5"/>
      <c r="N265" s="13" t="s">
        <v>233</v>
      </c>
    </row>
    <row r="266" spans="1:14">
      <c r="A266" s="6"/>
      <c r="B266" s="5"/>
      <c r="C266" s="5"/>
      <c r="D266" s="5"/>
      <c r="E266" s="5"/>
      <c r="F266" s="5"/>
      <c r="G266" s="5"/>
      <c r="H266" s="5"/>
      <c r="I266" s="5"/>
      <c r="N266" s="13" t="s">
        <v>234</v>
      </c>
    </row>
    <row r="267" spans="1:14">
      <c r="A267" s="6"/>
      <c r="B267" s="5"/>
      <c r="C267" s="5"/>
      <c r="D267" s="5"/>
      <c r="E267" s="5"/>
      <c r="F267" s="5"/>
      <c r="G267" s="5"/>
      <c r="H267" s="5"/>
      <c r="I267" s="5"/>
      <c r="N267" s="13" t="s">
        <v>235</v>
      </c>
    </row>
    <row r="268" spans="1:14">
      <c r="A268" s="6"/>
      <c r="B268" s="5"/>
      <c r="C268" s="5"/>
      <c r="D268" s="5"/>
      <c r="E268" s="5"/>
      <c r="F268" s="5"/>
      <c r="G268" s="5"/>
      <c r="H268" s="5"/>
      <c r="I268" s="5"/>
      <c r="N268" s="13" t="s">
        <v>236</v>
      </c>
    </row>
    <row r="269" spans="1:14">
      <c r="A269" s="6"/>
      <c r="B269" s="5"/>
      <c r="C269" s="5"/>
      <c r="D269" s="5"/>
      <c r="E269" s="5"/>
      <c r="F269" s="5"/>
      <c r="G269" s="5"/>
      <c r="H269" s="5"/>
      <c r="I269" s="5"/>
      <c r="N269" s="13" t="s">
        <v>237</v>
      </c>
    </row>
    <row r="270" spans="1:14">
      <c r="A270" s="6"/>
      <c r="B270" s="5"/>
      <c r="C270" s="5"/>
      <c r="D270" s="5"/>
      <c r="E270" s="5"/>
      <c r="F270" s="5"/>
      <c r="G270" s="5"/>
      <c r="H270" s="5"/>
      <c r="I270" s="5"/>
      <c r="N270" s="13" t="s">
        <v>238</v>
      </c>
    </row>
    <row r="271" spans="1:14">
      <c r="A271" s="6"/>
      <c r="B271" s="5"/>
      <c r="C271" s="5"/>
      <c r="D271" s="5"/>
      <c r="E271" s="5"/>
      <c r="F271" s="5"/>
      <c r="G271" s="5"/>
      <c r="H271" s="5"/>
      <c r="I271" s="5"/>
      <c r="N271" s="13" t="s">
        <v>239</v>
      </c>
    </row>
    <row r="272" spans="1:14">
      <c r="A272" s="6"/>
      <c r="B272" s="5"/>
      <c r="C272" s="5"/>
      <c r="D272" s="5"/>
      <c r="E272" s="5"/>
      <c r="F272" s="5"/>
      <c r="G272" s="5"/>
      <c r="H272" s="5"/>
      <c r="I272" s="5"/>
      <c r="N272" s="13" t="s">
        <v>240</v>
      </c>
    </row>
    <row r="273" spans="1:14">
      <c r="A273" s="6"/>
      <c r="B273" s="5"/>
      <c r="C273" s="5"/>
      <c r="D273" s="5"/>
      <c r="E273" s="5"/>
      <c r="F273" s="5"/>
      <c r="G273" s="5"/>
      <c r="H273" s="5"/>
      <c r="I273" s="5"/>
      <c r="N273" s="13" t="s">
        <v>241</v>
      </c>
    </row>
    <row r="274" spans="1:14">
      <c r="A274" s="6"/>
      <c r="B274" s="5"/>
      <c r="C274" s="5"/>
      <c r="D274" s="5"/>
      <c r="E274" s="5"/>
      <c r="F274" s="5"/>
      <c r="G274" s="5"/>
      <c r="H274" s="5"/>
      <c r="I274" s="5"/>
      <c r="N274" s="13" t="s">
        <v>242</v>
      </c>
    </row>
    <row r="275" spans="1:14">
      <c r="A275" s="6"/>
      <c r="B275" s="5"/>
      <c r="C275" s="5"/>
      <c r="D275" s="5"/>
      <c r="E275" s="5"/>
      <c r="F275" s="5"/>
      <c r="G275" s="5"/>
      <c r="H275" s="5"/>
      <c r="I275" s="5"/>
      <c r="N275" s="13" t="s">
        <v>243</v>
      </c>
    </row>
    <row r="276" spans="1:14">
      <c r="A276" s="6"/>
      <c r="B276" s="5"/>
      <c r="C276" s="5"/>
      <c r="D276" s="5"/>
      <c r="E276" s="5"/>
      <c r="F276" s="5"/>
      <c r="G276" s="5"/>
      <c r="H276" s="5"/>
      <c r="I276" s="5"/>
      <c r="N276" s="13" t="s">
        <v>244</v>
      </c>
    </row>
    <row r="277" spans="1:14">
      <c r="A277" s="6"/>
      <c r="B277" s="5"/>
      <c r="C277" s="5"/>
      <c r="D277" s="5"/>
      <c r="E277" s="5"/>
      <c r="F277" s="5"/>
      <c r="G277" s="5"/>
      <c r="H277" s="5"/>
      <c r="I277" s="5"/>
      <c r="N277" s="13" t="s">
        <v>245</v>
      </c>
    </row>
    <row r="278" spans="1:14">
      <c r="A278" s="6"/>
      <c r="B278" s="5"/>
      <c r="C278" s="5"/>
      <c r="D278" s="5"/>
      <c r="E278" s="5"/>
      <c r="F278" s="5"/>
      <c r="G278" s="5"/>
      <c r="H278" s="5"/>
      <c r="I278" s="5"/>
      <c r="N278" s="13" t="s">
        <v>246</v>
      </c>
    </row>
    <row r="279" spans="1:14">
      <c r="A279" s="6"/>
      <c r="B279" s="5"/>
      <c r="C279" s="5"/>
      <c r="D279" s="5"/>
      <c r="E279" s="5"/>
      <c r="F279" s="5"/>
      <c r="G279" s="5"/>
      <c r="H279" s="5"/>
      <c r="I279" s="5"/>
      <c r="N279" s="13" t="s">
        <v>247</v>
      </c>
    </row>
    <row r="280" spans="1:14">
      <c r="A280" s="6"/>
      <c r="B280" s="5"/>
      <c r="C280" s="5"/>
      <c r="D280" s="5"/>
      <c r="E280" s="5"/>
      <c r="F280" s="5"/>
      <c r="G280" s="5"/>
      <c r="H280" s="5"/>
      <c r="I280" s="5"/>
      <c r="N280" s="13" t="s">
        <v>248</v>
      </c>
    </row>
    <row r="281" spans="1:14">
      <c r="A281" s="6"/>
      <c r="B281" s="5"/>
      <c r="C281" s="5"/>
      <c r="D281" s="5"/>
      <c r="E281" s="5"/>
      <c r="F281" s="5"/>
      <c r="G281" s="5"/>
      <c r="H281" s="5"/>
      <c r="I281" s="5"/>
      <c r="N281" s="13" t="s">
        <v>249</v>
      </c>
    </row>
    <row r="282" spans="1:14">
      <c r="A282" s="6"/>
      <c r="B282" s="5"/>
      <c r="C282" s="5"/>
      <c r="D282" s="5"/>
      <c r="E282" s="5"/>
      <c r="F282" s="5"/>
      <c r="G282" s="5"/>
      <c r="H282" s="5"/>
      <c r="I282" s="5"/>
      <c r="N282" s="13" t="s">
        <v>250</v>
      </c>
    </row>
    <row r="283" spans="1:14">
      <c r="A283" s="6"/>
      <c r="B283" s="5"/>
      <c r="C283" s="5"/>
      <c r="D283" s="5"/>
      <c r="E283" s="5"/>
      <c r="F283" s="5"/>
      <c r="G283" s="5"/>
      <c r="H283" s="5"/>
      <c r="I283" s="5"/>
      <c r="N283" s="13" t="s">
        <v>251</v>
      </c>
    </row>
    <row r="284" spans="1:14">
      <c r="A284" s="6"/>
      <c r="B284" s="5"/>
      <c r="C284" s="5"/>
      <c r="D284" s="5"/>
      <c r="E284" s="5"/>
      <c r="F284" s="5"/>
      <c r="G284" s="5"/>
      <c r="H284" s="5"/>
      <c r="I284" s="5"/>
      <c r="N284" s="13" t="s">
        <v>339</v>
      </c>
    </row>
    <row r="285" spans="1:14">
      <c r="A285" s="6"/>
      <c r="B285" s="5"/>
      <c r="C285" s="5"/>
      <c r="D285" s="5"/>
      <c r="E285" s="5"/>
      <c r="F285" s="5"/>
      <c r="G285" s="5"/>
      <c r="H285" s="5"/>
      <c r="I285" s="5"/>
      <c r="N285" s="13" t="s">
        <v>252</v>
      </c>
    </row>
    <row r="286" spans="1:14">
      <c r="A286" s="6"/>
      <c r="B286" s="5"/>
      <c r="C286" s="5"/>
      <c r="D286" s="5"/>
      <c r="E286" s="5"/>
      <c r="F286" s="5"/>
      <c r="G286" s="5"/>
      <c r="H286" s="5"/>
      <c r="I286" s="5"/>
      <c r="N286" s="13" t="s">
        <v>338</v>
      </c>
    </row>
    <row r="287" spans="1:14">
      <c r="A287" s="6"/>
      <c r="B287" s="5"/>
      <c r="C287" s="5"/>
      <c r="D287" s="5"/>
      <c r="E287" s="5"/>
      <c r="F287" s="5"/>
      <c r="G287" s="5"/>
      <c r="H287" s="5"/>
      <c r="I287" s="5"/>
      <c r="N287" s="13" t="s">
        <v>253</v>
      </c>
    </row>
    <row r="288" spans="1:14">
      <c r="A288" s="6"/>
      <c r="B288" s="5"/>
      <c r="C288" s="5"/>
      <c r="D288" s="5"/>
      <c r="E288" s="5"/>
      <c r="F288" s="5"/>
      <c r="G288" s="5"/>
      <c r="H288" s="5"/>
      <c r="I288" s="5"/>
      <c r="N288" s="13" t="s">
        <v>254</v>
      </c>
    </row>
    <row r="289" spans="1:14">
      <c r="A289" s="6"/>
      <c r="B289" s="5"/>
      <c r="C289" s="5"/>
      <c r="D289" s="5"/>
      <c r="E289" s="5"/>
      <c r="F289" s="5"/>
      <c r="G289" s="5"/>
      <c r="H289" s="5"/>
      <c r="I289" s="5"/>
      <c r="N289" s="13" t="s">
        <v>255</v>
      </c>
    </row>
    <row r="290" spans="1:14">
      <c r="A290" s="6"/>
      <c r="B290" s="5"/>
      <c r="C290" s="5"/>
      <c r="D290" s="5"/>
      <c r="E290" s="5"/>
      <c r="F290" s="5"/>
      <c r="G290" s="5"/>
      <c r="H290" s="5"/>
      <c r="I290" s="5"/>
      <c r="N290" s="13" t="s">
        <v>256</v>
      </c>
    </row>
    <row r="291" spans="1:14">
      <c r="A291" s="6"/>
      <c r="B291" s="5"/>
      <c r="C291" s="5"/>
      <c r="D291" s="5"/>
      <c r="E291" s="5"/>
      <c r="F291" s="5"/>
      <c r="G291" s="5"/>
      <c r="H291" s="5"/>
      <c r="I291" s="5"/>
      <c r="N291" s="13" t="s">
        <v>257</v>
      </c>
    </row>
    <row r="292" spans="1:14">
      <c r="A292" s="6"/>
      <c r="B292" s="5"/>
      <c r="C292" s="5"/>
      <c r="D292" s="5"/>
      <c r="E292" s="5"/>
      <c r="F292" s="5"/>
      <c r="G292" s="5"/>
      <c r="H292" s="5"/>
      <c r="I292" s="5"/>
      <c r="N292" s="13" t="s">
        <v>258</v>
      </c>
    </row>
    <row r="293" spans="1:14">
      <c r="A293" s="6"/>
      <c r="B293" s="5"/>
      <c r="C293" s="5"/>
      <c r="D293" s="5"/>
      <c r="E293" s="5"/>
      <c r="F293" s="5"/>
      <c r="G293" s="5"/>
      <c r="H293" s="5"/>
      <c r="I293" s="5"/>
      <c r="N293" s="13" t="s">
        <v>259</v>
      </c>
    </row>
    <row r="294" spans="1:14">
      <c r="A294" s="6"/>
      <c r="B294" s="5"/>
      <c r="C294" s="5"/>
      <c r="D294" s="5"/>
      <c r="E294" s="5"/>
      <c r="F294" s="5"/>
      <c r="G294" s="5"/>
      <c r="H294" s="5"/>
      <c r="I294" s="5"/>
      <c r="N294" s="13" t="s">
        <v>260</v>
      </c>
    </row>
    <row r="295" spans="1:14">
      <c r="A295" s="6"/>
      <c r="B295" s="5"/>
      <c r="C295" s="5"/>
      <c r="D295" s="5"/>
      <c r="E295" s="5"/>
      <c r="F295" s="5"/>
      <c r="G295" s="5"/>
      <c r="H295" s="5"/>
      <c r="I295" s="5"/>
      <c r="N295" s="13" t="s">
        <v>261</v>
      </c>
    </row>
    <row r="296" spans="1:14">
      <c r="A296" s="6"/>
      <c r="B296" s="5"/>
      <c r="C296" s="5"/>
      <c r="D296" s="5"/>
      <c r="E296" s="5"/>
      <c r="F296" s="5"/>
      <c r="G296" s="5"/>
      <c r="H296" s="5"/>
      <c r="I296" s="5"/>
      <c r="N296" s="13" t="s">
        <v>262</v>
      </c>
    </row>
    <row r="297" spans="1:14">
      <c r="A297" s="6"/>
      <c r="B297" s="5"/>
      <c r="C297" s="5"/>
      <c r="D297" s="5"/>
      <c r="E297" s="5"/>
      <c r="F297" s="5"/>
      <c r="G297" s="5"/>
      <c r="H297" s="5"/>
      <c r="I297" s="5"/>
      <c r="N297" s="13" t="s">
        <v>263</v>
      </c>
    </row>
    <row r="298" spans="1:14">
      <c r="A298" s="6"/>
      <c r="B298" s="5"/>
      <c r="C298" s="5"/>
      <c r="D298" s="5"/>
      <c r="E298" s="5"/>
      <c r="F298" s="5"/>
      <c r="G298" s="5"/>
      <c r="H298" s="5"/>
      <c r="I298" s="5"/>
      <c r="N298" s="13" t="s">
        <v>264</v>
      </c>
    </row>
    <row r="299" spans="1:14">
      <c r="A299" s="6"/>
      <c r="B299" s="5"/>
      <c r="C299" s="5"/>
      <c r="D299" s="5"/>
      <c r="E299" s="5"/>
      <c r="F299" s="5"/>
      <c r="G299" s="5"/>
      <c r="H299" s="5"/>
      <c r="I299" s="5"/>
      <c r="N299" s="13" t="s">
        <v>265</v>
      </c>
    </row>
    <row r="300" spans="1:14">
      <c r="A300" s="6"/>
      <c r="B300" s="5"/>
      <c r="C300" s="5"/>
      <c r="D300" s="5"/>
      <c r="E300" s="5"/>
      <c r="F300" s="5"/>
      <c r="G300" s="5"/>
      <c r="H300" s="5"/>
      <c r="I300" s="5"/>
      <c r="N300" s="13" t="s">
        <v>266</v>
      </c>
    </row>
    <row r="301" spans="1:14">
      <c r="A301" s="6"/>
      <c r="B301" s="5"/>
      <c r="C301" s="5"/>
      <c r="D301" s="5"/>
      <c r="E301" s="5"/>
      <c r="F301" s="5"/>
      <c r="G301" s="5"/>
      <c r="H301" s="5"/>
      <c r="I301" s="5"/>
      <c r="N301" s="13" t="s">
        <v>267</v>
      </c>
    </row>
    <row r="302" spans="1:14">
      <c r="A302" s="6"/>
      <c r="B302" s="5"/>
      <c r="C302" s="5"/>
      <c r="D302" s="5"/>
      <c r="E302" s="5"/>
      <c r="F302" s="5"/>
      <c r="G302" s="5"/>
      <c r="H302" s="5"/>
      <c r="I302" s="5"/>
      <c r="N302" s="13" t="s">
        <v>268</v>
      </c>
    </row>
    <row r="303" spans="1:14">
      <c r="A303" s="6"/>
      <c r="B303" s="5"/>
      <c r="C303" s="5"/>
      <c r="D303" s="5"/>
      <c r="E303" s="5"/>
      <c r="F303" s="5"/>
      <c r="G303" s="5"/>
      <c r="H303" s="5"/>
      <c r="I303" s="5"/>
      <c r="N303" s="13" t="s">
        <v>269</v>
      </c>
    </row>
    <row r="304" spans="1:14">
      <c r="A304" s="6"/>
      <c r="B304" s="5"/>
      <c r="C304" s="5"/>
      <c r="D304" s="5"/>
      <c r="E304" s="5"/>
      <c r="F304" s="5"/>
      <c r="G304" s="5"/>
      <c r="H304" s="5"/>
      <c r="I304" s="5"/>
      <c r="N304" s="13" t="s">
        <v>270</v>
      </c>
    </row>
    <row r="305" spans="1:14">
      <c r="A305" s="6"/>
      <c r="B305" s="5"/>
      <c r="C305" s="5"/>
      <c r="D305" s="5"/>
      <c r="E305" s="5"/>
      <c r="F305" s="5"/>
      <c r="G305" s="5"/>
      <c r="N305" s="13" t="s">
        <v>271</v>
      </c>
    </row>
    <row r="306" spans="1:14">
      <c r="A306" s="6"/>
      <c r="B306" s="5"/>
      <c r="C306" s="5"/>
      <c r="D306" s="5"/>
      <c r="E306" s="5"/>
      <c r="F306" s="5"/>
      <c r="G306" s="5"/>
      <c r="N306" s="13" t="s">
        <v>272</v>
      </c>
    </row>
    <row r="307" spans="1:14">
      <c r="A307" s="6"/>
      <c r="B307" s="5"/>
      <c r="C307" s="5"/>
      <c r="D307" s="5"/>
      <c r="E307" s="5"/>
      <c r="F307" s="5"/>
      <c r="G307" s="5"/>
      <c r="N307" s="13" t="s">
        <v>273</v>
      </c>
    </row>
    <row r="308" spans="1:14">
      <c r="A308" s="6"/>
      <c r="B308" s="5"/>
      <c r="C308" s="5"/>
      <c r="D308" s="5"/>
      <c r="E308" s="5"/>
      <c r="F308" s="5"/>
      <c r="G308" s="5"/>
      <c r="N308" s="13" t="s">
        <v>337</v>
      </c>
    </row>
    <row r="309" spans="1:14">
      <c r="A309" s="6"/>
      <c r="B309" s="5"/>
      <c r="C309" s="5"/>
      <c r="D309" s="5"/>
      <c r="E309" s="5"/>
      <c r="F309" s="5"/>
      <c r="G309" s="5"/>
      <c r="N309" s="13" t="s">
        <v>336</v>
      </c>
    </row>
    <row r="310" spans="1:14">
      <c r="A310" s="6"/>
      <c r="B310" s="5"/>
      <c r="C310" s="5"/>
      <c r="D310" s="5"/>
      <c r="E310" s="5"/>
      <c r="F310" s="5"/>
      <c r="G310" s="5"/>
      <c r="N310" s="13" t="s">
        <v>335</v>
      </c>
    </row>
    <row r="311" spans="1:14">
      <c r="A311" s="6"/>
      <c r="B311" s="5"/>
      <c r="C311" s="5"/>
      <c r="D311" s="5"/>
      <c r="E311" s="5"/>
      <c r="F311" s="5"/>
      <c r="G311" s="5"/>
      <c r="N311" s="13" t="s">
        <v>334</v>
      </c>
    </row>
    <row r="312" spans="1:14">
      <c r="A312" s="6"/>
      <c r="B312" s="5"/>
      <c r="C312" s="5"/>
      <c r="D312" s="5"/>
      <c r="E312" s="5"/>
      <c r="F312" s="5"/>
      <c r="G312" s="5"/>
      <c r="N312" s="13" t="s">
        <v>333</v>
      </c>
    </row>
    <row r="313" spans="1:14">
      <c r="A313" s="6"/>
      <c r="B313" s="5"/>
      <c r="C313" s="5"/>
      <c r="D313" s="5"/>
      <c r="E313" s="5"/>
      <c r="F313" s="5"/>
      <c r="G313" s="5"/>
      <c r="N313" s="13" t="s">
        <v>332</v>
      </c>
    </row>
    <row r="314" spans="1:14">
      <c r="A314" s="6"/>
      <c r="B314" s="5"/>
      <c r="C314" s="5"/>
      <c r="D314" s="5"/>
      <c r="E314" s="5"/>
      <c r="F314" s="5"/>
      <c r="G314" s="5"/>
      <c r="N314" s="13" t="s">
        <v>89</v>
      </c>
    </row>
    <row r="315" spans="1:14">
      <c r="A315" s="6"/>
      <c r="B315" s="5"/>
      <c r="C315" s="5"/>
      <c r="D315" s="5"/>
      <c r="E315" s="5"/>
      <c r="F315" s="5"/>
      <c r="G315" s="5"/>
      <c r="N315" s="13" t="s">
        <v>274</v>
      </c>
    </row>
    <row r="316" spans="1:14">
      <c r="A316" s="6"/>
      <c r="B316" s="5"/>
      <c r="C316" s="5"/>
      <c r="D316" s="5"/>
      <c r="E316" s="5"/>
      <c r="F316" s="5"/>
      <c r="G316" s="5"/>
      <c r="N316" s="13" t="s">
        <v>275</v>
      </c>
    </row>
    <row r="317" spans="1:14">
      <c r="A317" s="6"/>
      <c r="B317" s="5"/>
      <c r="C317" s="5"/>
      <c r="D317" s="5"/>
      <c r="E317" s="5"/>
      <c r="F317" s="5"/>
      <c r="G317" s="5"/>
      <c r="N317" s="13" t="s">
        <v>276</v>
      </c>
    </row>
    <row r="318" spans="1:14">
      <c r="A318" s="6"/>
      <c r="B318" s="5"/>
      <c r="C318" s="5"/>
      <c r="D318" s="5"/>
      <c r="E318" s="5"/>
      <c r="F318" s="5"/>
      <c r="G318" s="5"/>
      <c r="N318" s="13" t="s">
        <v>277</v>
      </c>
    </row>
    <row r="319" spans="1:14">
      <c r="A319" s="6"/>
      <c r="B319" s="5"/>
      <c r="C319" s="5"/>
      <c r="D319" s="5"/>
      <c r="E319" s="5"/>
      <c r="F319" s="5"/>
      <c r="G319" s="5"/>
      <c r="N319" s="13" t="s">
        <v>278</v>
      </c>
    </row>
    <row r="320" spans="1:14">
      <c r="A320" s="6"/>
      <c r="B320" s="5"/>
      <c r="C320" s="5"/>
      <c r="D320" s="5"/>
      <c r="E320" s="5"/>
      <c r="F320" s="5"/>
      <c r="G320" s="5"/>
      <c r="N320" s="13" t="s">
        <v>279</v>
      </c>
    </row>
    <row r="321" spans="1:14">
      <c r="A321" s="6"/>
      <c r="B321" s="5"/>
      <c r="C321" s="5"/>
      <c r="D321" s="5"/>
      <c r="E321" s="5"/>
      <c r="F321" s="5"/>
      <c r="G321" s="5"/>
      <c r="N321" s="13" t="s">
        <v>280</v>
      </c>
    </row>
    <row r="322" spans="1:14">
      <c r="A322" s="6"/>
      <c r="B322" s="5"/>
      <c r="C322" s="5"/>
      <c r="D322" s="5"/>
      <c r="E322" s="5"/>
      <c r="F322" s="5"/>
      <c r="G322" s="5"/>
      <c r="N322" s="13" t="s">
        <v>281</v>
      </c>
    </row>
    <row r="323" spans="1:14">
      <c r="A323" s="6"/>
      <c r="B323" s="5"/>
      <c r="C323" s="5"/>
      <c r="D323" s="5"/>
      <c r="E323" s="5"/>
      <c r="F323" s="5"/>
      <c r="G323" s="5"/>
      <c r="N323" s="13" t="s">
        <v>282</v>
      </c>
    </row>
    <row r="324" spans="1:14">
      <c r="A324" s="6"/>
      <c r="B324" s="5"/>
      <c r="C324" s="5"/>
      <c r="D324" s="5"/>
      <c r="E324" s="5"/>
      <c r="F324" s="5"/>
      <c r="G324" s="5"/>
      <c r="N324" s="13" t="s">
        <v>283</v>
      </c>
    </row>
    <row r="325" spans="1:14">
      <c r="A325" s="6"/>
      <c r="B325" s="5"/>
      <c r="C325" s="5"/>
      <c r="D325" s="5"/>
      <c r="E325" s="5"/>
      <c r="F325" s="5"/>
      <c r="G325" s="5"/>
      <c r="N325" s="13" t="s">
        <v>284</v>
      </c>
    </row>
    <row r="326" spans="1:14">
      <c r="A326" s="6"/>
      <c r="B326" s="5"/>
      <c r="C326" s="5"/>
      <c r="D326" s="5"/>
      <c r="E326" s="5"/>
      <c r="F326" s="5"/>
      <c r="G326" s="5"/>
      <c r="N326" s="13" t="s">
        <v>285</v>
      </c>
    </row>
    <row r="327" spans="1:14">
      <c r="A327" s="6"/>
      <c r="B327" s="5"/>
      <c r="C327" s="5"/>
      <c r="D327" s="5"/>
      <c r="E327" s="5"/>
      <c r="F327" s="5"/>
      <c r="G327" s="5"/>
      <c r="N327" s="13" t="s">
        <v>115</v>
      </c>
    </row>
    <row r="328" spans="1:14">
      <c r="A328" s="6"/>
      <c r="B328" s="5"/>
      <c r="C328" s="5"/>
      <c r="D328" s="5"/>
      <c r="E328" s="5"/>
      <c r="F328" s="5"/>
      <c r="G328" s="5"/>
      <c r="N328" s="13" t="s">
        <v>286</v>
      </c>
    </row>
    <row r="329" spans="1:14">
      <c r="A329" s="6"/>
      <c r="B329" s="5"/>
      <c r="C329" s="5"/>
      <c r="D329" s="5"/>
      <c r="E329" s="5"/>
      <c r="F329" s="5"/>
      <c r="G329" s="5"/>
      <c r="N329" s="13" t="s">
        <v>287</v>
      </c>
    </row>
    <row r="330" spans="1:14">
      <c r="A330" s="6"/>
      <c r="B330" s="5"/>
      <c r="C330" s="5"/>
      <c r="D330" s="5"/>
      <c r="E330" s="5"/>
      <c r="F330" s="5"/>
      <c r="G330" s="5"/>
      <c r="N330" s="13" t="s">
        <v>331</v>
      </c>
    </row>
    <row r="331" spans="1:14">
      <c r="A331" s="6"/>
      <c r="B331" s="5"/>
      <c r="C331" s="5"/>
      <c r="D331" s="5"/>
      <c r="E331" s="5"/>
      <c r="F331" s="5"/>
      <c r="G331" s="5"/>
      <c r="N331" s="13" t="s">
        <v>288</v>
      </c>
    </row>
    <row r="332" spans="1:14">
      <c r="A332" s="6"/>
      <c r="B332" s="5"/>
      <c r="C332" s="5"/>
      <c r="D332" s="5"/>
      <c r="E332" s="5"/>
      <c r="F332" s="5"/>
      <c r="G332" s="5"/>
      <c r="N332" s="13" t="s">
        <v>289</v>
      </c>
    </row>
    <row r="333" spans="1:14">
      <c r="A333" s="6"/>
      <c r="B333" s="5"/>
      <c r="C333" s="5"/>
      <c r="D333" s="5"/>
      <c r="E333" s="5"/>
      <c r="F333" s="5"/>
      <c r="G333" s="5"/>
      <c r="N333" s="13" t="s">
        <v>330</v>
      </c>
    </row>
    <row r="334" spans="1:14">
      <c r="C334" s="5"/>
      <c r="N334" s="13" t="s">
        <v>290</v>
      </c>
    </row>
    <row r="335" spans="1:14">
      <c r="N335" s="13" t="s">
        <v>291</v>
      </c>
    </row>
    <row r="336" spans="1:14">
      <c r="N336" s="13" t="s">
        <v>329</v>
      </c>
    </row>
    <row r="337" spans="14:14">
      <c r="N337" s="13" t="s">
        <v>292</v>
      </c>
    </row>
    <row r="338" spans="14:14">
      <c r="N338" s="13" t="s">
        <v>293</v>
      </c>
    </row>
    <row r="339" spans="14:14">
      <c r="N339" s="13" t="s">
        <v>294</v>
      </c>
    </row>
    <row r="340" spans="14:14">
      <c r="N340" s="13" t="s">
        <v>295</v>
      </c>
    </row>
    <row r="341" spans="14:14">
      <c r="N341" s="13" t="s">
        <v>296</v>
      </c>
    </row>
    <row r="342" spans="14:14">
      <c r="N342" s="13" t="s">
        <v>297</v>
      </c>
    </row>
    <row r="343" spans="14:14">
      <c r="N343" s="13" t="s">
        <v>298</v>
      </c>
    </row>
    <row r="344" spans="14:14">
      <c r="N344" s="13" t="s">
        <v>299</v>
      </c>
    </row>
    <row r="345" spans="14:14">
      <c r="N345" s="13" t="s">
        <v>300</v>
      </c>
    </row>
  </sheetData>
  <mergeCells count="2">
    <mergeCell ref="B5:C5"/>
    <mergeCell ref="B7:D7"/>
  </mergeCells>
  <conditionalFormatting sqref="B122:B333">
    <cfRule type="expression" dxfId="10" priority="10" stopIfTrue="1">
      <formula>A122&lt;&gt;""</formula>
    </cfRule>
  </conditionalFormatting>
  <conditionalFormatting sqref="C122:C334">
    <cfRule type="expression" dxfId="9" priority="9" stopIfTrue="1">
      <formula>A122&lt;&gt;""</formula>
    </cfRule>
  </conditionalFormatting>
  <conditionalFormatting sqref="D122:D333">
    <cfRule type="expression" dxfId="8" priority="7" stopIfTrue="1">
      <formula>OR(C122="date",C122="text")</formula>
    </cfRule>
    <cfRule type="expression" dxfId="7" priority="8" stopIfTrue="1">
      <formula>OR(C122="number")</formula>
    </cfRule>
  </conditionalFormatting>
  <conditionalFormatting sqref="E122:E333">
    <cfRule type="expression" dxfId="6" priority="5" stopIfTrue="1">
      <formula>OR(C122="number",C122="text")</formula>
    </cfRule>
    <cfRule type="expression" dxfId="5" priority="6" stopIfTrue="1">
      <formula>OR(C122="datetime")</formula>
    </cfRule>
  </conditionalFormatting>
  <conditionalFormatting sqref="F122:G333">
    <cfRule type="expression" dxfId="4" priority="3" stopIfTrue="1">
      <formula>OR($C122="number", $C122="text")</formula>
    </cfRule>
    <cfRule type="expression" dxfId="3" priority="4" stopIfTrue="1">
      <formula>OR($C122="date")</formula>
    </cfRule>
  </conditionalFormatting>
  <conditionalFormatting sqref="B47:I47">
    <cfRule type="expression" dxfId="2" priority="2" stopIfTrue="1">
      <formula>NOT(ISBLANK($B$49:$B$56))</formula>
    </cfRule>
  </conditionalFormatting>
  <conditionalFormatting sqref="B54:AO57">
    <cfRule type="expression" dxfId="1" priority="1" stopIfTrue="1">
      <formula>NOT(ISBLANK($B$49:$B$56))</formula>
    </cfRule>
  </conditionalFormatting>
  <dataValidations count="5">
    <dataValidation type="list" errorStyle="warning" allowBlank="1" showInputMessage="1" showErrorMessage="1" error="If unit is not in the list, enter it in a similar style" promptTitle="Unit" prompt="For a Number Data Type please select from list.  If it is not in the list then enter it using a format similar to other units in the list." sqref="D122:D333 IZ122:IZ333 SV122:SV333 ACR122:ACR333 AMN122:AMN333 AWJ122:AWJ333 BGF122:BGF333 BQB122:BQB333 BZX122:BZX333 CJT122:CJT333 CTP122:CTP333 DDL122:DDL333 DNH122:DNH333 DXD122:DXD333 EGZ122:EGZ333 EQV122:EQV333 FAR122:FAR333 FKN122:FKN333 FUJ122:FUJ333 GEF122:GEF333 GOB122:GOB333 GXX122:GXX333 HHT122:HHT333 HRP122:HRP333 IBL122:IBL333 ILH122:ILH333 IVD122:IVD333 JEZ122:JEZ333 JOV122:JOV333 JYR122:JYR333 KIN122:KIN333 KSJ122:KSJ333 LCF122:LCF333 LMB122:LMB333 LVX122:LVX333 MFT122:MFT333 MPP122:MPP333 MZL122:MZL333 NJH122:NJH333 NTD122:NTD333 OCZ122:OCZ333 OMV122:OMV333 OWR122:OWR333 PGN122:PGN333 PQJ122:PQJ333 QAF122:QAF333 QKB122:QKB333 QTX122:QTX333 RDT122:RDT333 RNP122:RNP333 RXL122:RXL333 SHH122:SHH333 SRD122:SRD333 TAZ122:TAZ333 TKV122:TKV333 TUR122:TUR333 UEN122:UEN333 UOJ122:UOJ333 UYF122:UYF333 VIB122:VIB333 VRX122:VRX333 WBT122:WBT333 WLP122:WLP333 WVL122:WVL333 D65658:D65869 IZ65658:IZ65869 SV65658:SV65869 ACR65658:ACR65869 AMN65658:AMN65869 AWJ65658:AWJ65869 BGF65658:BGF65869 BQB65658:BQB65869 BZX65658:BZX65869 CJT65658:CJT65869 CTP65658:CTP65869 DDL65658:DDL65869 DNH65658:DNH65869 DXD65658:DXD65869 EGZ65658:EGZ65869 EQV65658:EQV65869 FAR65658:FAR65869 FKN65658:FKN65869 FUJ65658:FUJ65869 GEF65658:GEF65869 GOB65658:GOB65869 GXX65658:GXX65869 HHT65658:HHT65869 HRP65658:HRP65869 IBL65658:IBL65869 ILH65658:ILH65869 IVD65658:IVD65869 JEZ65658:JEZ65869 JOV65658:JOV65869 JYR65658:JYR65869 KIN65658:KIN65869 KSJ65658:KSJ65869 LCF65658:LCF65869 LMB65658:LMB65869 LVX65658:LVX65869 MFT65658:MFT65869 MPP65658:MPP65869 MZL65658:MZL65869 NJH65658:NJH65869 NTD65658:NTD65869 OCZ65658:OCZ65869 OMV65658:OMV65869 OWR65658:OWR65869 PGN65658:PGN65869 PQJ65658:PQJ65869 QAF65658:QAF65869 QKB65658:QKB65869 QTX65658:QTX65869 RDT65658:RDT65869 RNP65658:RNP65869 RXL65658:RXL65869 SHH65658:SHH65869 SRD65658:SRD65869 TAZ65658:TAZ65869 TKV65658:TKV65869 TUR65658:TUR65869 UEN65658:UEN65869 UOJ65658:UOJ65869 UYF65658:UYF65869 VIB65658:VIB65869 VRX65658:VRX65869 WBT65658:WBT65869 WLP65658:WLP65869 WVL65658:WVL65869 D131194:D131405 IZ131194:IZ131405 SV131194:SV131405 ACR131194:ACR131405 AMN131194:AMN131405 AWJ131194:AWJ131405 BGF131194:BGF131405 BQB131194:BQB131405 BZX131194:BZX131405 CJT131194:CJT131405 CTP131194:CTP131405 DDL131194:DDL131405 DNH131194:DNH131405 DXD131194:DXD131405 EGZ131194:EGZ131405 EQV131194:EQV131405 FAR131194:FAR131405 FKN131194:FKN131405 FUJ131194:FUJ131405 GEF131194:GEF131405 GOB131194:GOB131405 GXX131194:GXX131405 HHT131194:HHT131405 HRP131194:HRP131405 IBL131194:IBL131405 ILH131194:ILH131405 IVD131194:IVD131405 JEZ131194:JEZ131405 JOV131194:JOV131405 JYR131194:JYR131405 KIN131194:KIN131405 KSJ131194:KSJ131405 LCF131194:LCF131405 LMB131194:LMB131405 LVX131194:LVX131405 MFT131194:MFT131405 MPP131194:MPP131405 MZL131194:MZL131405 NJH131194:NJH131405 NTD131194:NTD131405 OCZ131194:OCZ131405 OMV131194:OMV131405 OWR131194:OWR131405 PGN131194:PGN131405 PQJ131194:PQJ131405 QAF131194:QAF131405 QKB131194:QKB131405 QTX131194:QTX131405 RDT131194:RDT131405 RNP131194:RNP131405 RXL131194:RXL131405 SHH131194:SHH131405 SRD131194:SRD131405 TAZ131194:TAZ131405 TKV131194:TKV131405 TUR131194:TUR131405 UEN131194:UEN131405 UOJ131194:UOJ131405 UYF131194:UYF131405 VIB131194:VIB131405 VRX131194:VRX131405 WBT131194:WBT131405 WLP131194:WLP131405 WVL131194:WVL131405 D196730:D196941 IZ196730:IZ196941 SV196730:SV196941 ACR196730:ACR196941 AMN196730:AMN196941 AWJ196730:AWJ196941 BGF196730:BGF196941 BQB196730:BQB196941 BZX196730:BZX196941 CJT196730:CJT196941 CTP196730:CTP196941 DDL196730:DDL196941 DNH196730:DNH196941 DXD196730:DXD196941 EGZ196730:EGZ196941 EQV196730:EQV196941 FAR196730:FAR196941 FKN196730:FKN196941 FUJ196730:FUJ196941 GEF196730:GEF196941 GOB196730:GOB196941 GXX196730:GXX196941 HHT196730:HHT196941 HRP196730:HRP196941 IBL196730:IBL196941 ILH196730:ILH196941 IVD196730:IVD196941 JEZ196730:JEZ196941 JOV196730:JOV196941 JYR196730:JYR196941 KIN196730:KIN196941 KSJ196730:KSJ196941 LCF196730:LCF196941 LMB196730:LMB196941 LVX196730:LVX196941 MFT196730:MFT196941 MPP196730:MPP196941 MZL196730:MZL196941 NJH196730:NJH196941 NTD196730:NTD196941 OCZ196730:OCZ196941 OMV196730:OMV196941 OWR196730:OWR196941 PGN196730:PGN196941 PQJ196730:PQJ196941 QAF196730:QAF196941 QKB196730:QKB196941 QTX196730:QTX196941 RDT196730:RDT196941 RNP196730:RNP196941 RXL196730:RXL196941 SHH196730:SHH196941 SRD196730:SRD196941 TAZ196730:TAZ196941 TKV196730:TKV196941 TUR196730:TUR196941 UEN196730:UEN196941 UOJ196730:UOJ196941 UYF196730:UYF196941 VIB196730:VIB196941 VRX196730:VRX196941 WBT196730:WBT196941 WLP196730:WLP196941 WVL196730:WVL196941 D262266:D262477 IZ262266:IZ262477 SV262266:SV262477 ACR262266:ACR262477 AMN262266:AMN262477 AWJ262266:AWJ262477 BGF262266:BGF262477 BQB262266:BQB262477 BZX262266:BZX262477 CJT262266:CJT262477 CTP262266:CTP262477 DDL262266:DDL262477 DNH262266:DNH262477 DXD262266:DXD262477 EGZ262266:EGZ262477 EQV262266:EQV262477 FAR262266:FAR262477 FKN262266:FKN262477 FUJ262266:FUJ262477 GEF262266:GEF262477 GOB262266:GOB262477 GXX262266:GXX262477 HHT262266:HHT262477 HRP262266:HRP262477 IBL262266:IBL262477 ILH262266:ILH262477 IVD262266:IVD262477 JEZ262266:JEZ262477 JOV262266:JOV262477 JYR262266:JYR262477 KIN262266:KIN262477 KSJ262266:KSJ262477 LCF262266:LCF262477 LMB262266:LMB262477 LVX262266:LVX262477 MFT262266:MFT262477 MPP262266:MPP262477 MZL262266:MZL262477 NJH262266:NJH262477 NTD262266:NTD262477 OCZ262266:OCZ262477 OMV262266:OMV262477 OWR262266:OWR262477 PGN262266:PGN262477 PQJ262266:PQJ262477 QAF262266:QAF262477 QKB262266:QKB262477 QTX262266:QTX262477 RDT262266:RDT262477 RNP262266:RNP262477 RXL262266:RXL262477 SHH262266:SHH262477 SRD262266:SRD262477 TAZ262266:TAZ262477 TKV262266:TKV262477 TUR262266:TUR262477 UEN262266:UEN262477 UOJ262266:UOJ262477 UYF262266:UYF262477 VIB262266:VIB262477 VRX262266:VRX262477 WBT262266:WBT262477 WLP262266:WLP262477 WVL262266:WVL262477 D327802:D328013 IZ327802:IZ328013 SV327802:SV328013 ACR327802:ACR328013 AMN327802:AMN328013 AWJ327802:AWJ328013 BGF327802:BGF328013 BQB327802:BQB328013 BZX327802:BZX328013 CJT327802:CJT328013 CTP327802:CTP328013 DDL327802:DDL328013 DNH327802:DNH328013 DXD327802:DXD328013 EGZ327802:EGZ328013 EQV327802:EQV328013 FAR327802:FAR328013 FKN327802:FKN328013 FUJ327802:FUJ328013 GEF327802:GEF328013 GOB327802:GOB328013 GXX327802:GXX328013 HHT327802:HHT328013 HRP327802:HRP328013 IBL327802:IBL328013 ILH327802:ILH328013 IVD327802:IVD328013 JEZ327802:JEZ328013 JOV327802:JOV328013 JYR327802:JYR328013 KIN327802:KIN328013 KSJ327802:KSJ328013 LCF327802:LCF328013 LMB327802:LMB328013 LVX327802:LVX328013 MFT327802:MFT328013 MPP327802:MPP328013 MZL327802:MZL328013 NJH327802:NJH328013 NTD327802:NTD328013 OCZ327802:OCZ328013 OMV327802:OMV328013 OWR327802:OWR328013 PGN327802:PGN328013 PQJ327802:PQJ328013 QAF327802:QAF328013 QKB327802:QKB328013 QTX327802:QTX328013 RDT327802:RDT328013 RNP327802:RNP328013 RXL327802:RXL328013 SHH327802:SHH328013 SRD327802:SRD328013 TAZ327802:TAZ328013 TKV327802:TKV328013 TUR327802:TUR328013 UEN327802:UEN328013 UOJ327802:UOJ328013 UYF327802:UYF328013 VIB327802:VIB328013 VRX327802:VRX328013 WBT327802:WBT328013 WLP327802:WLP328013 WVL327802:WVL328013 D393338:D393549 IZ393338:IZ393549 SV393338:SV393549 ACR393338:ACR393549 AMN393338:AMN393549 AWJ393338:AWJ393549 BGF393338:BGF393549 BQB393338:BQB393549 BZX393338:BZX393549 CJT393338:CJT393549 CTP393338:CTP393549 DDL393338:DDL393549 DNH393338:DNH393549 DXD393338:DXD393549 EGZ393338:EGZ393549 EQV393338:EQV393549 FAR393338:FAR393549 FKN393338:FKN393549 FUJ393338:FUJ393549 GEF393338:GEF393549 GOB393338:GOB393549 GXX393338:GXX393549 HHT393338:HHT393549 HRP393338:HRP393549 IBL393338:IBL393549 ILH393338:ILH393549 IVD393338:IVD393549 JEZ393338:JEZ393549 JOV393338:JOV393549 JYR393338:JYR393549 KIN393338:KIN393549 KSJ393338:KSJ393549 LCF393338:LCF393549 LMB393338:LMB393549 LVX393338:LVX393549 MFT393338:MFT393549 MPP393338:MPP393549 MZL393338:MZL393549 NJH393338:NJH393549 NTD393338:NTD393549 OCZ393338:OCZ393549 OMV393338:OMV393549 OWR393338:OWR393549 PGN393338:PGN393549 PQJ393338:PQJ393549 QAF393338:QAF393549 QKB393338:QKB393549 QTX393338:QTX393549 RDT393338:RDT393549 RNP393338:RNP393549 RXL393338:RXL393549 SHH393338:SHH393549 SRD393338:SRD393549 TAZ393338:TAZ393549 TKV393338:TKV393549 TUR393338:TUR393549 UEN393338:UEN393549 UOJ393338:UOJ393549 UYF393338:UYF393549 VIB393338:VIB393549 VRX393338:VRX393549 WBT393338:WBT393549 WLP393338:WLP393549 WVL393338:WVL393549 D458874:D459085 IZ458874:IZ459085 SV458874:SV459085 ACR458874:ACR459085 AMN458874:AMN459085 AWJ458874:AWJ459085 BGF458874:BGF459085 BQB458874:BQB459085 BZX458874:BZX459085 CJT458874:CJT459085 CTP458874:CTP459085 DDL458874:DDL459085 DNH458874:DNH459085 DXD458874:DXD459085 EGZ458874:EGZ459085 EQV458874:EQV459085 FAR458874:FAR459085 FKN458874:FKN459085 FUJ458874:FUJ459085 GEF458874:GEF459085 GOB458874:GOB459085 GXX458874:GXX459085 HHT458874:HHT459085 HRP458874:HRP459085 IBL458874:IBL459085 ILH458874:ILH459085 IVD458874:IVD459085 JEZ458874:JEZ459085 JOV458874:JOV459085 JYR458874:JYR459085 KIN458874:KIN459085 KSJ458874:KSJ459085 LCF458874:LCF459085 LMB458874:LMB459085 LVX458874:LVX459085 MFT458874:MFT459085 MPP458874:MPP459085 MZL458874:MZL459085 NJH458874:NJH459085 NTD458874:NTD459085 OCZ458874:OCZ459085 OMV458874:OMV459085 OWR458874:OWR459085 PGN458874:PGN459085 PQJ458874:PQJ459085 QAF458874:QAF459085 QKB458874:QKB459085 QTX458874:QTX459085 RDT458874:RDT459085 RNP458874:RNP459085 RXL458874:RXL459085 SHH458874:SHH459085 SRD458874:SRD459085 TAZ458874:TAZ459085 TKV458874:TKV459085 TUR458874:TUR459085 UEN458874:UEN459085 UOJ458874:UOJ459085 UYF458874:UYF459085 VIB458874:VIB459085 VRX458874:VRX459085 WBT458874:WBT459085 WLP458874:WLP459085 WVL458874:WVL459085 D524410:D524621 IZ524410:IZ524621 SV524410:SV524621 ACR524410:ACR524621 AMN524410:AMN524621 AWJ524410:AWJ524621 BGF524410:BGF524621 BQB524410:BQB524621 BZX524410:BZX524621 CJT524410:CJT524621 CTP524410:CTP524621 DDL524410:DDL524621 DNH524410:DNH524621 DXD524410:DXD524621 EGZ524410:EGZ524621 EQV524410:EQV524621 FAR524410:FAR524621 FKN524410:FKN524621 FUJ524410:FUJ524621 GEF524410:GEF524621 GOB524410:GOB524621 GXX524410:GXX524621 HHT524410:HHT524621 HRP524410:HRP524621 IBL524410:IBL524621 ILH524410:ILH524621 IVD524410:IVD524621 JEZ524410:JEZ524621 JOV524410:JOV524621 JYR524410:JYR524621 KIN524410:KIN524621 KSJ524410:KSJ524621 LCF524410:LCF524621 LMB524410:LMB524621 LVX524410:LVX524621 MFT524410:MFT524621 MPP524410:MPP524621 MZL524410:MZL524621 NJH524410:NJH524621 NTD524410:NTD524621 OCZ524410:OCZ524621 OMV524410:OMV524621 OWR524410:OWR524621 PGN524410:PGN524621 PQJ524410:PQJ524621 QAF524410:QAF524621 QKB524410:QKB524621 QTX524410:QTX524621 RDT524410:RDT524621 RNP524410:RNP524621 RXL524410:RXL524621 SHH524410:SHH524621 SRD524410:SRD524621 TAZ524410:TAZ524621 TKV524410:TKV524621 TUR524410:TUR524621 UEN524410:UEN524621 UOJ524410:UOJ524621 UYF524410:UYF524621 VIB524410:VIB524621 VRX524410:VRX524621 WBT524410:WBT524621 WLP524410:WLP524621 WVL524410:WVL524621 D589946:D590157 IZ589946:IZ590157 SV589946:SV590157 ACR589946:ACR590157 AMN589946:AMN590157 AWJ589946:AWJ590157 BGF589946:BGF590157 BQB589946:BQB590157 BZX589946:BZX590157 CJT589946:CJT590157 CTP589946:CTP590157 DDL589946:DDL590157 DNH589946:DNH590157 DXD589946:DXD590157 EGZ589946:EGZ590157 EQV589946:EQV590157 FAR589946:FAR590157 FKN589946:FKN590157 FUJ589946:FUJ590157 GEF589946:GEF590157 GOB589946:GOB590157 GXX589946:GXX590157 HHT589946:HHT590157 HRP589946:HRP590157 IBL589946:IBL590157 ILH589946:ILH590157 IVD589946:IVD590157 JEZ589946:JEZ590157 JOV589946:JOV590157 JYR589946:JYR590157 KIN589946:KIN590157 KSJ589946:KSJ590157 LCF589946:LCF590157 LMB589946:LMB590157 LVX589946:LVX590157 MFT589946:MFT590157 MPP589946:MPP590157 MZL589946:MZL590157 NJH589946:NJH590157 NTD589946:NTD590157 OCZ589946:OCZ590157 OMV589946:OMV590157 OWR589946:OWR590157 PGN589946:PGN590157 PQJ589946:PQJ590157 QAF589946:QAF590157 QKB589946:QKB590157 QTX589946:QTX590157 RDT589946:RDT590157 RNP589946:RNP590157 RXL589946:RXL590157 SHH589946:SHH590157 SRD589946:SRD590157 TAZ589946:TAZ590157 TKV589946:TKV590157 TUR589946:TUR590157 UEN589946:UEN590157 UOJ589946:UOJ590157 UYF589946:UYF590157 VIB589946:VIB590157 VRX589946:VRX590157 WBT589946:WBT590157 WLP589946:WLP590157 WVL589946:WVL590157 D655482:D655693 IZ655482:IZ655693 SV655482:SV655693 ACR655482:ACR655693 AMN655482:AMN655693 AWJ655482:AWJ655693 BGF655482:BGF655693 BQB655482:BQB655693 BZX655482:BZX655693 CJT655482:CJT655693 CTP655482:CTP655693 DDL655482:DDL655693 DNH655482:DNH655693 DXD655482:DXD655693 EGZ655482:EGZ655693 EQV655482:EQV655693 FAR655482:FAR655693 FKN655482:FKN655693 FUJ655482:FUJ655693 GEF655482:GEF655693 GOB655482:GOB655693 GXX655482:GXX655693 HHT655482:HHT655693 HRP655482:HRP655693 IBL655482:IBL655693 ILH655482:ILH655693 IVD655482:IVD655693 JEZ655482:JEZ655693 JOV655482:JOV655693 JYR655482:JYR655693 KIN655482:KIN655693 KSJ655482:KSJ655693 LCF655482:LCF655693 LMB655482:LMB655693 LVX655482:LVX655693 MFT655482:MFT655693 MPP655482:MPP655693 MZL655482:MZL655693 NJH655482:NJH655693 NTD655482:NTD655693 OCZ655482:OCZ655693 OMV655482:OMV655693 OWR655482:OWR655693 PGN655482:PGN655693 PQJ655482:PQJ655693 QAF655482:QAF655693 QKB655482:QKB655693 QTX655482:QTX655693 RDT655482:RDT655693 RNP655482:RNP655693 RXL655482:RXL655693 SHH655482:SHH655693 SRD655482:SRD655693 TAZ655482:TAZ655693 TKV655482:TKV655693 TUR655482:TUR655693 UEN655482:UEN655693 UOJ655482:UOJ655693 UYF655482:UYF655693 VIB655482:VIB655693 VRX655482:VRX655693 WBT655482:WBT655693 WLP655482:WLP655693 WVL655482:WVL655693 D721018:D721229 IZ721018:IZ721229 SV721018:SV721229 ACR721018:ACR721229 AMN721018:AMN721229 AWJ721018:AWJ721229 BGF721018:BGF721229 BQB721018:BQB721229 BZX721018:BZX721229 CJT721018:CJT721229 CTP721018:CTP721229 DDL721018:DDL721229 DNH721018:DNH721229 DXD721018:DXD721229 EGZ721018:EGZ721229 EQV721018:EQV721229 FAR721018:FAR721229 FKN721018:FKN721229 FUJ721018:FUJ721229 GEF721018:GEF721229 GOB721018:GOB721229 GXX721018:GXX721229 HHT721018:HHT721229 HRP721018:HRP721229 IBL721018:IBL721229 ILH721018:ILH721229 IVD721018:IVD721229 JEZ721018:JEZ721229 JOV721018:JOV721229 JYR721018:JYR721229 KIN721018:KIN721229 KSJ721018:KSJ721229 LCF721018:LCF721229 LMB721018:LMB721229 LVX721018:LVX721229 MFT721018:MFT721229 MPP721018:MPP721229 MZL721018:MZL721229 NJH721018:NJH721229 NTD721018:NTD721229 OCZ721018:OCZ721229 OMV721018:OMV721229 OWR721018:OWR721229 PGN721018:PGN721229 PQJ721018:PQJ721229 QAF721018:QAF721229 QKB721018:QKB721229 QTX721018:QTX721229 RDT721018:RDT721229 RNP721018:RNP721229 RXL721018:RXL721229 SHH721018:SHH721229 SRD721018:SRD721229 TAZ721018:TAZ721229 TKV721018:TKV721229 TUR721018:TUR721229 UEN721018:UEN721229 UOJ721018:UOJ721229 UYF721018:UYF721229 VIB721018:VIB721229 VRX721018:VRX721229 WBT721018:WBT721229 WLP721018:WLP721229 WVL721018:WVL721229 D786554:D786765 IZ786554:IZ786765 SV786554:SV786765 ACR786554:ACR786765 AMN786554:AMN786765 AWJ786554:AWJ786765 BGF786554:BGF786765 BQB786554:BQB786765 BZX786554:BZX786765 CJT786554:CJT786765 CTP786554:CTP786765 DDL786554:DDL786765 DNH786554:DNH786765 DXD786554:DXD786765 EGZ786554:EGZ786765 EQV786554:EQV786765 FAR786554:FAR786765 FKN786554:FKN786765 FUJ786554:FUJ786765 GEF786554:GEF786765 GOB786554:GOB786765 GXX786554:GXX786765 HHT786554:HHT786765 HRP786554:HRP786765 IBL786554:IBL786765 ILH786554:ILH786765 IVD786554:IVD786765 JEZ786554:JEZ786765 JOV786554:JOV786765 JYR786554:JYR786765 KIN786554:KIN786765 KSJ786554:KSJ786765 LCF786554:LCF786765 LMB786554:LMB786765 LVX786554:LVX786765 MFT786554:MFT786765 MPP786554:MPP786765 MZL786554:MZL786765 NJH786554:NJH786765 NTD786554:NTD786765 OCZ786554:OCZ786765 OMV786554:OMV786765 OWR786554:OWR786765 PGN786554:PGN786765 PQJ786554:PQJ786765 QAF786554:QAF786765 QKB786554:QKB786765 QTX786554:QTX786765 RDT786554:RDT786765 RNP786554:RNP786765 RXL786554:RXL786765 SHH786554:SHH786765 SRD786554:SRD786765 TAZ786554:TAZ786765 TKV786554:TKV786765 TUR786554:TUR786765 UEN786554:UEN786765 UOJ786554:UOJ786765 UYF786554:UYF786765 VIB786554:VIB786765 VRX786554:VRX786765 WBT786554:WBT786765 WLP786554:WLP786765 WVL786554:WVL786765 D852090:D852301 IZ852090:IZ852301 SV852090:SV852301 ACR852090:ACR852301 AMN852090:AMN852301 AWJ852090:AWJ852301 BGF852090:BGF852301 BQB852090:BQB852301 BZX852090:BZX852301 CJT852090:CJT852301 CTP852090:CTP852301 DDL852090:DDL852301 DNH852090:DNH852301 DXD852090:DXD852301 EGZ852090:EGZ852301 EQV852090:EQV852301 FAR852090:FAR852301 FKN852090:FKN852301 FUJ852090:FUJ852301 GEF852090:GEF852301 GOB852090:GOB852301 GXX852090:GXX852301 HHT852090:HHT852301 HRP852090:HRP852301 IBL852090:IBL852301 ILH852090:ILH852301 IVD852090:IVD852301 JEZ852090:JEZ852301 JOV852090:JOV852301 JYR852090:JYR852301 KIN852090:KIN852301 KSJ852090:KSJ852301 LCF852090:LCF852301 LMB852090:LMB852301 LVX852090:LVX852301 MFT852090:MFT852301 MPP852090:MPP852301 MZL852090:MZL852301 NJH852090:NJH852301 NTD852090:NTD852301 OCZ852090:OCZ852301 OMV852090:OMV852301 OWR852090:OWR852301 PGN852090:PGN852301 PQJ852090:PQJ852301 QAF852090:QAF852301 QKB852090:QKB852301 QTX852090:QTX852301 RDT852090:RDT852301 RNP852090:RNP852301 RXL852090:RXL852301 SHH852090:SHH852301 SRD852090:SRD852301 TAZ852090:TAZ852301 TKV852090:TKV852301 TUR852090:TUR852301 UEN852090:UEN852301 UOJ852090:UOJ852301 UYF852090:UYF852301 VIB852090:VIB852301 VRX852090:VRX852301 WBT852090:WBT852301 WLP852090:WLP852301 WVL852090:WVL852301 D917626:D917837 IZ917626:IZ917837 SV917626:SV917837 ACR917626:ACR917837 AMN917626:AMN917837 AWJ917626:AWJ917837 BGF917626:BGF917837 BQB917626:BQB917837 BZX917626:BZX917837 CJT917626:CJT917837 CTP917626:CTP917837 DDL917626:DDL917837 DNH917626:DNH917837 DXD917626:DXD917837 EGZ917626:EGZ917837 EQV917626:EQV917837 FAR917626:FAR917837 FKN917626:FKN917837 FUJ917626:FUJ917837 GEF917626:GEF917837 GOB917626:GOB917837 GXX917626:GXX917837 HHT917626:HHT917837 HRP917626:HRP917837 IBL917626:IBL917837 ILH917626:ILH917837 IVD917626:IVD917837 JEZ917626:JEZ917837 JOV917626:JOV917837 JYR917626:JYR917837 KIN917626:KIN917837 KSJ917626:KSJ917837 LCF917626:LCF917837 LMB917626:LMB917837 LVX917626:LVX917837 MFT917626:MFT917837 MPP917626:MPP917837 MZL917626:MZL917837 NJH917626:NJH917837 NTD917626:NTD917837 OCZ917626:OCZ917837 OMV917626:OMV917837 OWR917626:OWR917837 PGN917626:PGN917837 PQJ917626:PQJ917837 QAF917626:QAF917837 QKB917626:QKB917837 QTX917626:QTX917837 RDT917626:RDT917837 RNP917626:RNP917837 RXL917626:RXL917837 SHH917626:SHH917837 SRD917626:SRD917837 TAZ917626:TAZ917837 TKV917626:TKV917837 TUR917626:TUR917837 UEN917626:UEN917837 UOJ917626:UOJ917837 UYF917626:UYF917837 VIB917626:VIB917837 VRX917626:VRX917837 WBT917626:WBT917837 WLP917626:WLP917837 WVL917626:WVL917837 D983162:D983373 IZ983162:IZ983373 SV983162:SV983373 ACR983162:ACR983373 AMN983162:AMN983373 AWJ983162:AWJ983373 BGF983162:BGF983373 BQB983162:BQB983373 BZX983162:BZX983373 CJT983162:CJT983373 CTP983162:CTP983373 DDL983162:DDL983373 DNH983162:DNH983373 DXD983162:DXD983373 EGZ983162:EGZ983373 EQV983162:EQV983373 FAR983162:FAR983373 FKN983162:FKN983373 FUJ983162:FUJ983373 GEF983162:GEF983373 GOB983162:GOB983373 GXX983162:GXX983373 HHT983162:HHT983373 HRP983162:HRP983373 IBL983162:IBL983373 ILH983162:ILH983373 IVD983162:IVD983373 JEZ983162:JEZ983373 JOV983162:JOV983373 JYR983162:JYR983373 KIN983162:KIN983373 KSJ983162:KSJ983373 LCF983162:LCF983373 LMB983162:LMB983373 LVX983162:LVX983373 MFT983162:MFT983373 MPP983162:MPP983373 MZL983162:MZL983373 NJH983162:NJH983373 NTD983162:NTD983373 OCZ983162:OCZ983373 OMV983162:OMV983373 OWR983162:OWR983373 PGN983162:PGN983373 PQJ983162:PQJ983373 QAF983162:QAF983373 QKB983162:QKB983373 QTX983162:QTX983373 RDT983162:RDT983373 RNP983162:RNP983373 RXL983162:RXL983373 SHH983162:SHH983373 SRD983162:SRD983373 TAZ983162:TAZ983373 TKV983162:TKV983373 TUR983162:TUR983373 UEN983162:UEN983373 UOJ983162:UOJ983373 UYF983162:UYF983373 VIB983162:VIB983373 VRX983162:VRX983373 WBT983162:WBT983373 WLP983162:WLP983373 WVL983162:WVL983373">
      <formula1>$N$122:$N$345</formula1>
    </dataValidation>
    <dataValidation type="list" errorStyle="information" allowBlank="1" showInputMessage="1" showErrorMessage="1" errorTitle="New Site" error="If a site is not in the list enter a new Name" prompt="Select a site name or enter a new one" sqref="B46:I46 IX46:JE46 ST46:TA46 ACP46:ACW46 AML46:AMS46 AWH46:AWO46 BGD46:BGK46 BPZ46:BQG46 BZV46:CAC46 CJR46:CJY46 CTN46:CTU46 DDJ46:DDQ46 DNF46:DNM46 DXB46:DXI46 EGX46:EHE46 EQT46:ERA46 FAP46:FAW46 FKL46:FKS46 FUH46:FUO46 GED46:GEK46 GNZ46:GOG46 GXV46:GYC46 HHR46:HHY46 HRN46:HRU46 IBJ46:IBQ46 ILF46:ILM46 IVB46:IVI46 JEX46:JFE46 JOT46:JPA46 JYP46:JYW46 KIL46:KIS46 KSH46:KSO46 LCD46:LCK46 LLZ46:LMG46 LVV46:LWC46 MFR46:MFY46 MPN46:MPU46 MZJ46:MZQ46 NJF46:NJM46 NTB46:NTI46 OCX46:ODE46 OMT46:ONA46 OWP46:OWW46 PGL46:PGS46 PQH46:PQO46 QAD46:QAK46 QJZ46:QKG46 QTV46:QUC46 RDR46:RDY46 RNN46:RNU46 RXJ46:RXQ46 SHF46:SHM46 SRB46:SRI46 TAX46:TBE46 TKT46:TLA46 TUP46:TUW46 UEL46:UES46 UOH46:UOO46 UYD46:UYK46 VHZ46:VIG46 VRV46:VSC46 WBR46:WBY46 WLN46:WLU46 WVJ46:WVQ46 B65582:I65582 IX65582:JE65582 ST65582:TA65582 ACP65582:ACW65582 AML65582:AMS65582 AWH65582:AWO65582 BGD65582:BGK65582 BPZ65582:BQG65582 BZV65582:CAC65582 CJR65582:CJY65582 CTN65582:CTU65582 DDJ65582:DDQ65582 DNF65582:DNM65582 DXB65582:DXI65582 EGX65582:EHE65582 EQT65582:ERA65582 FAP65582:FAW65582 FKL65582:FKS65582 FUH65582:FUO65582 GED65582:GEK65582 GNZ65582:GOG65582 GXV65582:GYC65582 HHR65582:HHY65582 HRN65582:HRU65582 IBJ65582:IBQ65582 ILF65582:ILM65582 IVB65582:IVI65582 JEX65582:JFE65582 JOT65582:JPA65582 JYP65582:JYW65582 KIL65582:KIS65582 KSH65582:KSO65582 LCD65582:LCK65582 LLZ65582:LMG65582 LVV65582:LWC65582 MFR65582:MFY65582 MPN65582:MPU65582 MZJ65582:MZQ65582 NJF65582:NJM65582 NTB65582:NTI65582 OCX65582:ODE65582 OMT65582:ONA65582 OWP65582:OWW65582 PGL65582:PGS65582 PQH65582:PQO65582 QAD65582:QAK65582 QJZ65582:QKG65582 QTV65582:QUC65582 RDR65582:RDY65582 RNN65582:RNU65582 RXJ65582:RXQ65582 SHF65582:SHM65582 SRB65582:SRI65582 TAX65582:TBE65582 TKT65582:TLA65582 TUP65582:TUW65582 UEL65582:UES65582 UOH65582:UOO65582 UYD65582:UYK65582 VHZ65582:VIG65582 VRV65582:VSC65582 WBR65582:WBY65582 WLN65582:WLU65582 WVJ65582:WVQ65582 B131118:I131118 IX131118:JE131118 ST131118:TA131118 ACP131118:ACW131118 AML131118:AMS131118 AWH131118:AWO131118 BGD131118:BGK131118 BPZ131118:BQG131118 BZV131118:CAC131118 CJR131118:CJY131118 CTN131118:CTU131118 DDJ131118:DDQ131118 DNF131118:DNM131118 DXB131118:DXI131118 EGX131118:EHE131118 EQT131118:ERA131118 FAP131118:FAW131118 FKL131118:FKS131118 FUH131118:FUO131118 GED131118:GEK131118 GNZ131118:GOG131118 GXV131118:GYC131118 HHR131118:HHY131118 HRN131118:HRU131118 IBJ131118:IBQ131118 ILF131118:ILM131118 IVB131118:IVI131118 JEX131118:JFE131118 JOT131118:JPA131118 JYP131118:JYW131118 KIL131118:KIS131118 KSH131118:KSO131118 LCD131118:LCK131118 LLZ131118:LMG131118 LVV131118:LWC131118 MFR131118:MFY131118 MPN131118:MPU131118 MZJ131118:MZQ131118 NJF131118:NJM131118 NTB131118:NTI131118 OCX131118:ODE131118 OMT131118:ONA131118 OWP131118:OWW131118 PGL131118:PGS131118 PQH131118:PQO131118 QAD131118:QAK131118 QJZ131118:QKG131118 QTV131118:QUC131118 RDR131118:RDY131118 RNN131118:RNU131118 RXJ131118:RXQ131118 SHF131118:SHM131118 SRB131118:SRI131118 TAX131118:TBE131118 TKT131118:TLA131118 TUP131118:TUW131118 UEL131118:UES131118 UOH131118:UOO131118 UYD131118:UYK131118 VHZ131118:VIG131118 VRV131118:VSC131118 WBR131118:WBY131118 WLN131118:WLU131118 WVJ131118:WVQ131118 B196654:I196654 IX196654:JE196654 ST196654:TA196654 ACP196654:ACW196654 AML196654:AMS196654 AWH196654:AWO196654 BGD196654:BGK196654 BPZ196654:BQG196654 BZV196654:CAC196654 CJR196654:CJY196654 CTN196654:CTU196654 DDJ196654:DDQ196654 DNF196654:DNM196654 DXB196654:DXI196654 EGX196654:EHE196654 EQT196654:ERA196654 FAP196654:FAW196654 FKL196654:FKS196654 FUH196654:FUO196654 GED196654:GEK196654 GNZ196654:GOG196654 GXV196654:GYC196654 HHR196654:HHY196654 HRN196654:HRU196654 IBJ196654:IBQ196654 ILF196654:ILM196654 IVB196654:IVI196654 JEX196654:JFE196654 JOT196654:JPA196654 JYP196654:JYW196654 KIL196654:KIS196654 KSH196654:KSO196654 LCD196654:LCK196654 LLZ196654:LMG196654 LVV196654:LWC196654 MFR196654:MFY196654 MPN196654:MPU196654 MZJ196654:MZQ196654 NJF196654:NJM196654 NTB196654:NTI196654 OCX196654:ODE196654 OMT196654:ONA196654 OWP196654:OWW196654 PGL196654:PGS196654 PQH196654:PQO196654 QAD196654:QAK196654 QJZ196654:QKG196654 QTV196654:QUC196654 RDR196654:RDY196654 RNN196654:RNU196654 RXJ196654:RXQ196654 SHF196654:SHM196654 SRB196654:SRI196654 TAX196654:TBE196654 TKT196654:TLA196654 TUP196654:TUW196654 UEL196654:UES196654 UOH196654:UOO196654 UYD196654:UYK196654 VHZ196654:VIG196654 VRV196654:VSC196654 WBR196654:WBY196654 WLN196654:WLU196654 WVJ196654:WVQ196654 B262190:I262190 IX262190:JE262190 ST262190:TA262190 ACP262190:ACW262190 AML262190:AMS262190 AWH262190:AWO262190 BGD262190:BGK262190 BPZ262190:BQG262190 BZV262190:CAC262190 CJR262190:CJY262190 CTN262190:CTU262190 DDJ262190:DDQ262190 DNF262190:DNM262190 DXB262190:DXI262190 EGX262190:EHE262190 EQT262190:ERA262190 FAP262190:FAW262190 FKL262190:FKS262190 FUH262190:FUO262190 GED262190:GEK262190 GNZ262190:GOG262190 GXV262190:GYC262190 HHR262190:HHY262190 HRN262190:HRU262190 IBJ262190:IBQ262190 ILF262190:ILM262190 IVB262190:IVI262190 JEX262190:JFE262190 JOT262190:JPA262190 JYP262190:JYW262190 KIL262190:KIS262190 KSH262190:KSO262190 LCD262190:LCK262190 LLZ262190:LMG262190 LVV262190:LWC262190 MFR262190:MFY262190 MPN262190:MPU262190 MZJ262190:MZQ262190 NJF262190:NJM262190 NTB262190:NTI262190 OCX262190:ODE262190 OMT262190:ONA262190 OWP262190:OWW262190 PGL262190:PGS262190 PQH262190:PQO262190 QAD262190:QAK262190 QJZ262190:QKG262190 QTV262190:QUC262190 RDR262190:RDY262190 RNN262190:RNU262190 RXJ262190:RXQ262190 SHF262190:SHM262190 SRB262190:SRI262190 TAX262190:TBE262190 TKT262190:TLA262190 TUP262190:TUW262190 UEL262190:UES262190 UOH262190:UOO262190 UYD262190:UYK262190 VHZ262190:VIG262190 VRV262190:VSC262190 WBR262190:WBY262190 WLN262190:WLU262190 WVJ262190:WVQ262190 B327726:I327726 IX327726:JE327726 ST327726:TA327726 ACP327726:ACW327726 AML327726:AMS327726 AWH327726:AWO327726 BGD327726:BGK327726 BPZ327726:BQG327726 BZV327726:CAC327726 CJR327726:CJY327726 CTN327726:CTU327726 DDJ327726:DDQ327726 DNF327726:DNM327726 DXB327726:DXI327726 EGX327726:EHE327726 EQT327726:ERA327726 FAP327726:FAW327726 FKL327726:FKS327726 FUH327726:FUO327726 GED327726:GEK327726 GNZ327726:GOG327726 GXV327726:GYC327726 HHR327726:HHY327726 HRN327726:HRU327726 IBJ327726:IBQ327726 ILF327726:ILM327726 IVB327726:IVI327726 JEX327726:JFE327726 JOT327726:JPA327726 JYP327726:JYW327726 KIL327726:KIS327726 KSH327726:KSO327726 LCD327726:LCK327726 LLZ327726:LMG327726 LVV327726:LWC327726 MFR327726:MFY327726 MPN327726:MPU327726 MZJ327726:MZQ327726 NJF327726:NJM327726 NTB327726:NTI327726 OCX327726:ODE327726 OMT327726:ONA327726 OWP327726:OWW327726 PGL327726:PGS327726 PQH327726:PQO327726 QAD327726:QAK327726 QJZ327726:QKG327726 QTV327726:QUC327726 RDR327726:RDY327726 RNN327726:RNU327726 RXJ327726:RXQ327726 SHF327726:SHM327726 SRB327726:SRI327726 TAX327726:TBE327726 TKT327726:TLA327726 TUP327726:TUW327726 UEL327726:UES327726 UOH327726:UOO327726 UYD327726:UYK327726 VHZ327726:VIG327726 VRV327726:VSC327726 WBR327726:WBY327726 WLN327726:WLU327726 WVJ327726:WVQ327726 B393262:I393262 IX393262:JE393262 ST393262:TA393262 ACP393262:ACW393262 AML393262:AMS393262 AWH393262:AWO393262 BGD393262:BGK393262 BPZ393262:BQG393262 BZV393262:CAC393262 CJR393262:CJY393262 CTN393262:CTU393262 DDJ393262:DDQ393262 DNF393262:DNM393262 DXB393262:DXI393262 EGX393262:EHE393262 EQT393262:ERA393262 FAP393262:FAW393262 FKL393262:FKS393262 FUH393262:FUO393262 GED393262:GEK393262 GNZ393262:GOG393262 GXV393262:GYC393262 HHR393262:HHY393262 HRN393262:HRU393262 IBJ393262:IBQ393262 ILF393262:ILM393262 IVB393262:IVI393262 JEX393262:JFE393262 JOT393262:JPA393262 JYP393262:JYW393262 KIL393262:KIS393262 KSH393262:KSO393262 LCD393262:LCK393262 LLZ393262:LMG393262 LVV393262:LWC393262 MFR393262:MFY393262 MPN393262:MPU393262 MZJ393262:MZQ393262 NJF393262:NJM393262 NTB393262:NTI393262 OCX393262:ODE393262 OMT393262:ONA393262 OWP393262:OWW393262 PGL393262:PGS393262 PQH393262:PQO393262 QAD393262:QAK393262 QJZ393262:QKG393262 QTV393262:QUC393262 RDR393262:RDY393262 RNN393262:RNU393262 RXJ393262:RXQ393262 SHF393262:SHM393262 SRB393262:SRI393262 TAX393262:TBE393262 TKT393262:TLA393262 TUP393262:TUW393262 UEL393262:UES393262 UOH393262:UOO393262 UYD393262:UYK393262 VHZ393262:VIG393262 VRV393262:VSC393262 WBR393262:WBY393262 WLN393262:WLU393262 WVJ393262:WVQ393262 B458798:I458798 IX458798:JE458798 ST458798:TA458798 ACP458798:ACW458798 AML458798:AMS458798 AWH458798:AWO458798 BGD458798:BGK458798 BPZ458798:BQG458798 BZV458798:CAC458798 CJR458798:CJY458798 CTN458798:CTU458798 DDJ458798:DDQ458798 DNF458798:DNM458798 DXB458798:DXI458798 EGX458798:EHE458798 EQT458798:ERA458798 FAP458798:FAW458798 FKL458798:FKS458798 FUH458798:FUO458798 GED458798:GEK458798 GNZ458798:GOG458798 GXV458798:GYC458798 HHR458798:HHY458798 HRN458798:HRU458798 IBJ458798:IBQ458798 ILF458798:ILM458798 IVB458798:IVI458798 JEX458798:JFE458798 JOT458798:JPA458798 JYP458798:JYW458798 KIL458798:KIS458798 KSH458798:KSO458798 LCD458798:LCK458798 LLZ458798:LMG458798 LVV458798:LWC458798 MFR458798:MFY458798 MPN458798:MPU458798 MZJ458798:MZQ458798 NJF458798:NJM458798 NTB458798:NTI458798 OCX458798:ODE458798 OMT458798:ONA458798 OWP458798:OWW458798 PGL458798:PGS458798 PQH458798:PQO458798 QAD458798:QAK458798 QJZ458798:QKG458798 QTV458798:QUC458798 RDR458798:RDY458798 RNN458798:RNU458798 RXJ458798:RXQ458798 SHF458798:SHM458798 SRB458798:SRI458798 TAX458798:TBE458798 TKT458798:TLA458798 TUP458798:TUW458798 UEL458798:UES458798 UOH458798:UOO458798 UYD458798:UYK458798 VHZ458798:VIG458798 VRV458798:VSC458798 WBR458798:WBY458798 WLN458798:WLU458798 WVJ458798:WVQ458798 B524334:I524334 IX524334:JE524334 ST524334:TA524334 ACP524334:ACW524334 AML524334:AMS524334 AWH524334:AWO524334 BGD524334:BGK524334 BPZ524334:BQG524334 BZV524334:CAC524334 CJR524334:CJY524334 CTN524334:CTU524334 DDJ524334:DDQ524334 DNF524334:DNM524334 DXB524334:DXI524334 EGX524334:EHE524334 EQT524334:ERA524334 FAP524334:FAW524334 FKL524334:FKS524334 FUH524334:FUO524334 GED524334:GEK524334 GNZ524334:GOG524334 GXV524334:GYC524334 HHR524334:HHY524334 HRN524334:HRU524334 IBJ524334:IBQ524334 ILF524334:ILM524334 IVB524334:IVI524334 JEX524334:JFE524334 JOT524334:JPA524334 JYP524334:JYW524334 KIL524334:KIS524334 KSH524334:KSO524334 LCD524334:LCK524334 LLZ524334:LMG524334 LVV524334:LWC524334 MFR524334:MFY524334 MPN524334:MPU524334 MZJ524334:MZQ524334 NJF524334:NJM524334 NTB524334:NTI524334 OCX524334:ODE524334 OMT524334:ONA524334 OWP524334:OWW524334 PGL524334:PGS524334 PQH524334:PQO524334 QAD524334:QAK524334 QJZ524334:QKG524334 QTV524334:QUC524334 RDR524334:RDY524334 RNN524334:RNU524334 RXJ524334:RXQ524334 SHF524334:SHM524334 SRB524334:SRI524334 TAX524334:TBE524334 TKT524334:TLA524334 TUP524334:TUW524334 UEL524334:UES524334 UOH524334:UOO524334 UYD524334:UYK524334 VHZ524334:VIG524334 VRV524334:VSC524334 WBR524334:WBY524334 WLN524334:WLU524334 WVJ524334:WVQ524334 B589870:I589870 IX589870:JE589870 ST589870:TA589870 ACP589870:ACW589870 AML589870:AMS589870 AWH589870:AWO589870 BGD589870:BGK589870 BPZ589870:BQG589870 BZV589870:CAC589870 CJR589870:CJY589870 CTN589870:CTU589870 DDJ589870:DDQ589870 DNF589870:DNM589870 DXB589870:DXI589870 EGX589870:EHE589870 EQT589870:ERA589870 FAP589870:FAW589870 FKL589870:FKS589870 FUH589870:FUO589870 GED589870:GEK589870 GNZ589870:GOG589870 GXV589870:GYC589870 HHR589870:HHY589870 HRN589870:HRU589870 IBJ589870:IBQ589870 ILF589870:ILM589870 IVB589870:IVI589870 JEX589870:JFE589870 JOT589870:JPA589870 JYP589870:JYW589870 KIL589870:KIS589870 KSH589870:KSO589870 LCD589870:LCK589870 LLZ589870:LMG589870 LVV589870:LWC589870 MFR589870:MFY589870 MPN589870:MPU589870 MZJ589870:MZQ589870 NJF589870:NJM589870 NTB589870:NTI589870 OCX589870:ODE589870 OMT589870:ONA589870 OWP589870:OWW589870 PGL589870:PGS589870 PQH589870:PQO589870 QAD589870:QAK589870 QJZ589870:QKG589870 QTV589870:QUC589870 RDR589870:RDY589870 RNN589870:RNU589870 RXJ589870:RXQ589870 SHF589870:SHM589870 SRB589870:SRI589870 TAX589870:TBE589870 TKT589870:TLA589870 TUP589870:TUW589870 UEL589870:UES589870 UOH589870:UOO589870 UYD589870:UYK589870 VHZ589870:VIG589870 VRV589870:VSC589870 WBR589870:WBY589870 WLN589870:WLU589870 WVJ589870:WVQ589870 B655406:I655406 IX655406:JE655406 ST655406:TA655406 ACP655406:ACW655406 AML655406:AMS655406 AWH655406:AWO655406 BGD655406:BGK655406 BPZ655406:BQG655406 BZV655406:CAC655406 CJR655406:CJY655406 CTN655406:CTU655406 DDJ655406:DDQ655406 DNF655406:DNM655406 DXB655406:DXI655406 EGX655406:EHE655406 EQT655406:ERA655406 FAP655406:FAW655406 FKL655406:FKS655406 FUH655406:FUO655406 GED655406:GEK655406 GNZ655406:GOG655406 GXV655406:GYC655406 HHR655406:HHY655406 HRN655406:HRU655406 IBJ655406:IBQ655406 ILF655406:ILM655406 IVB655406:IVI655406 JEX655406:JFE655406 JOT655406:JPA655406 JYP655406:JYW655406 KIL655406:KIS655406 KSH655406:KSO655406 LCD655406:LCK655406 LLZ655406:LMG655406 LVV655406:LWC655406 MFR655406:MFY655406 MPN655406:MPU655406 MZJ655406:MZQ655406 NJF655406:NJM655406 NTB655406:NTI655406 OCX655406:ODE655406 OMT655406:ONA655406 OWP655406:OWW655406 PGL655406:PGS655406 PQH655406:PQO655406 QAD655406:QAK655406 QJZ655406:QKG655406 QTV655406:QUC655406 RDR655406:RDY655406 RNN655406:RNU655406 RXJ655406:RXQ655406 SHF655406:SHM655406 SRB655406:SRI655406 TAX655406:TBE655406 TKT655406:TLA655406 TUP655406:TUW655406 UEL655406:UES655406 UOH655406:UOO655406 UYD655406:UYK655406 VHZ655406:VIG655406 VRV655406:VSC655406 WBR655406:WBY655406 WLN655406:WLU655406 WVJ655406:WVQ655406 B720942:I720942 IX720942:JE720942 ST720942:TA720942 ACP720942:ACW720942 AML720942:AMS720942 AWH720942:AWO720942 BGD720942:BGK720942 BPZ720942:BQG720942 BZV720942:CAC720942 CJR720942:CJY720942 CTN720942:CTU720942 DDJ720942:DDQ720942 DNF720942:DNM720942 DXB720942:DXI720942 EGX720942:EHE720942 EQT720942:ERA720942 FAP720942:FAW720942 FKL720942:FKS720942 FUH720942:FUO720942 GED720942:GEK720942 GNZ720942:GOG720942 GXV720942:GYC720942 HHR720942:HHY720942 HRN720942:HRU720942 IBJ720942:IBQ720942 ILF720942:ILM720942 IVB720942:IVI720942 JEX720942:JFE720942 JOT720942:JPA720942 JYP720942:JYW720942 KIL720942:KIS720942 KSH720942:KSO720942 LCD720942:LCK720942 LLZ720942:LMG720942 LVV720942:LWC720942 MFR720942:MFY720942 MPN720942:MPU720942 MZJ720942:MZQ720942 NJF720942:NJM720942 NTB720942:NTI720942 OCX720942:ODE720942 OMT720942:ONA720942 OWP720942:OWW720942 PGL720942:PGS720942 PQH720942:PQO720942 QAD720942:QAK720942 QJZ720942:QKG720942 QTV720942:QUC720942 RDR720942:RDY720942 RNN720942:RNU720942 RXJ720942:RXQ720942 SHF720942:SHM720942 SRB720942:SRI720942 TAX720942:TBE720942 TKT720942:TLA720942 TUP720942:TUW720942 UEL720942:UES720942 UOH720942:UOO720942 UYD720942:UYK720942 VHZ720942:VIG720942 VRV720942:VSC720942 WBR720942:WBY720942 WLN720942:WLU720942 WVJ720942:WVQ720942 B786478:I786478 IX786478:JE786478 ST786478:TA786478 ACP786478:ACW786478 AML786478:AMS786478 AWH786478:AWO786478 BGD786478:BGK786478 BPZ786478:BQG786478 BZV786478:CAC786478 CJR786478:CJY786478 CTN786478:CTU786478 DDJ786478:DDQ786478 DNF786478:DNM786478 DXB786478:DXI786478 EGX786478:EHE786478 EQT786478:ERA786478 FAP786478:FAW786478 FKL786478:FKS786478 FUH786478:FUO786478 GED786478:GEK786478 GNZ786478:GOG786478 GXV786478:GYC786478 HHR786478:HHY786478 HRN786478:HRU786478 IBJ786478:IBQ786478 ILF786478:ILM786478 IVB786478:IVI786478 JEX786478:JFE786478 JOT786478:JPA786478 JYP786478:JYW786478 KIL786478:KIS786478 KSH786478:KSO786478 LCD786478:LCK786478 LLZ786478:LMG786478 LVV786478:LWC786478 MFR786478:MFY786478 MPN786478:MPU786478 MZJ786478:MZQ786478 NJF786478:NJM786478 NTB786478:NTI786478 OCX786478:ODE786478 OMT786478:ONA786478 OWP786478:OWW786478 PGL786478:PGS786478 PQH786478:PQO786478 QAD786478:QAK786478 QJZ786478:QKG786478 QTV786478:QUC786478 RDR786478:RDY786478 RNN786478:RNU786478 RXJ786478:RXQ786478 SHF786478:SHM786478 SRB786478:SRI786478 TAX786478:TBE786478 TKT786478:TLA786478 TUP786478:TUW786478 UEL786478:UES786478 UOH786478:UOO786478 UYD786478:UYK786478 VHZ786478:VIG786478 VRV786478:VSC786478 WBR786478:WBY786478 WLN786478:WLU786478 WVJ786478:WVQ786478 B852014:I852014 IX852014:JE852014 ST852014:TA852014 ACP852014:ACW852014 AML852014:AMS852014 AWH852014:AWO852014 BGD852014:BGK852014 BPZ852014:BQG852014 BZV852014:CAC852014 CJR852014:CJY852014 CTN852014:CTU852014 DDJ852014:DDQ852014 DNF852014:DNM852014 DXB852014:DXI852014 EGX852014:EHE852014 EQT852014:ERA852014 FAP852014:FAW852014 FKL852014:FKS852014 FUH852014:FUO852014 GED852014:GEK852014 GNZ852014:GOG852014 GXV852014:GYC852014 HHR852014:HHY852014 HRN852014:HRU852014 IBJ852014:IBQ852014 ILF852014:ILM852014 IVB852014:IVI852014 JEX852014:JFE852014 JOT852014:JPA852014 JYP852014:JYW852014 KIL852014:KIS852014 KSH852014:KSO852014 LCD852014:LCK852014 LLZ852014:LMG852014 LVV852014:LWC852014 MFR852014:MFY852014 MPN852014:MPU852014 MZJ852014:MZQ852014 NJF852014:NJM852014 NTB852014:NTI852014 OCX852014:ODE852014 OMT852014:ONA852014 OWP852014:OWW852014 PGL852014:PGS852014 PQH852014:PQO852014 QAD852014:QAK852014 QJZ852014:QKG852014 QTV852014:QUC852014 RDR852014:RDY852014 RNN852014:RNU852014 RXJ852014:RXQ852014 SHF852014:SHM852014 SRB852014:SRI852014 TAX852014:TBE852014 TKT852014:TLA852014 TUP852014:TUW852014 UEL852014:UES852014 UOH852014:UOO852014 UYD852014:UYK852014 VHZ852014:VIG852014 VRV852014:VSC852014 WBR852014:WBY852014 WLN852014:WLU852014 WVJ852014:WVQ852014 B917550:I917550 IX917550:JE917550 ST917550:TA917550 ACP917550:ACW917550 AML917550:AMS917550 AWH917550:AWO917550 BGD917550:BGK917550 BPZ917550:BQG917550 BZV917550:CAC917550 CJR917550:CJY917550 CTN917550:CTU917550 DDJ917550:DDQ917550 DNF917550:DNM917550 DXB917550:DXI917550 EGX917550:EHE917550 EQT917550:ERA917550 FAP917550:FAW917550 FKL917550:FKS917550 FUH917550:FUO917550 GED917550:GEK917550 GNZ917550:GOG917550 GXV917550:GYC917550 HHR917550:HHY917550 HRN917550:HRU917550 IBJ917550:IBQ917550 ILF917550:ILM917550 IVB917550:IVI917550 JEX917550:JFE917550 JOT917550:JPA917550 JYP917550:JYW917550 KIL917550:KIS917550 KSH917550:KSO917550 LCD917550:LCK917550 LLZ917550:LMG917550 LVV917550:LWC917550 MFR917550:MFY917550 MPN917550:MPU917550 MZJ917550:MZQ917550 NJF917550:NJM917550 NTB917550:NTI917550 OCX917550:ODE917550 OMT917550:ONA917550 OWP917550:OWW917550 PGL917550:PGS917550 PQH917550:PQO917550 QAD917550:QAK917550 QJZ917550:QKG917550 QTV917550:QUC917550 RDR917550:RDY917550 RNN917550:RNU917550 RXJ917550:RXQ917550 SHF917550:SHM917550 SRB917550:SRI917550 TAX917550:TBE917550 TKT917550:TLA917550 TUP917550:TUW917550 UEL917550:UES917550 UOH917550:UOO917550 UYD917550:UYK917550 VHZ917550:VIG917550 VRV917550:VSC917550 WBR917550:WBY917550 WLN917550:WLU917550 WVJ917550:WVQ917550 B983086:I983086 IX983086:JE983086 ST983086:TA983086 ACP983086:ACW983086 AML983086:AMS983086 AWH983086:AWO983086 BGD983086:BGK983086 BPZ983086:BQG983086 BZV983086:CAC983086 CJR983086:CJY983086 CTN983086:CTU983086 DDJ983086:DDQ983086 DNF983086:DNM983086 DXB983086:DXI983086 EGX983086:EHE983086 EQT983086:ERA983086 FAP983086:FAW983086 FKL983086:FKS983086 FUH983086:FUO983086 GED983086:GEK983086 GNZ983086:GOG983086 GXV983086:GYC983086 HHR983086:HHY983086 HRN983086:HRU983086 IBJ983086:IBQ983086 ILF983086:ILM983086 IVB983086:IVI983086 JEX983086:JFE983086 JOT983086:JPA983086 JYP983086:JYW983086 KIL983086:KIS983086 KSH983086:KSO983086 LCD983086:LCK983086 LLZ983086:LMG983086 LVV983086:LWC983086 MFR983086:MFY983086 MPN983086:MPU983086 MZJ983086:MZQ983086 NJF983086:NJM983086 NTB983086:NTI983086 OCX983086:ODE983086 OMT983086:ONA983086 OWP983086:OWW983086 PGL983086:PGS983086 PQH983086:PQO983086 QAD983086:QAK983086 QJZ983086:QKG983086 QTV983086:QUC983086 RDR983086:RDY983086 RNN983086:RNU983086 RXJ983086:RXQ983086 SHF983086:SHM983086 SRB983086:SRI983086 TAX983086:TBE983086 TKT983086:TLA983086 TUP983086:TUW983086 UEL983086:UES983086 UOH983086:UOO983086 UYD983086:UYK983086 VHZ983086:VIG983086 VRV983086:VSC983086 WBR983086:WBY983086 WLN983086:WLU983086 WVJ983086:WVQ983086">
      <formula1>Site_name_list</formula1>
    </dataValidation>
    <dataValidation type="custom" allowBlank="1" showInputMessage="1" showErrorMessage="1" sqref="B18:I18 IX18:JE18 ST18:TA18 ACP18:ACW18 AML18:AMS18 AWH18:AWO18 BGD18:BGK18 BPZ18:BQG18 BZV18:CAC18 CJR18:CJY18 CTN18:CTU18 DDJ18:DDQ18 DNF18:DNM18 DXB18:DXI18 EGX18:EHE18 EQT18:ERA18 FAP18:FAW18 FKL18:FKS18 FUH18:FUO18 GED18:GEK18 GNZ18:GOG18 GXV18:GYC18 HHR18:HHY18 HRN18:HRU18 IBJ18:IBQ18 ILF18:ILM18 IVB18:IVI18 JEX18:JFE18 JOT18:JPA18 JYP18:JYW18 KIL18:KIS18 KSH18:KSO18 LCD18:LCK18 LLZ18:LMG18 LVV18:LWC18 MFR18:MFY18 MPN18:MPU18 MZJ18:MZQ18 NJF18:NJM18 NTB18:NTI18 OCX18:ODE18 OMT18:ONA18 OWP18:OWW18 PGL18:PGS18 PQH18:PQO18 QAD18:QAK18 QJZ18:QKG18 QTV18:QUC18 RDR18:RDY18 RNN18:RNU18 RXJ18:RXQ18 SHF18:SHM18 SRB18:SRI18 TAX18:TBE18 TKT18:TLA18 TUP18:TUW18 UEL18:UES18 UOH18:UOO18 UYD18:UYK18 VHZ18:VIG18 VRV18:VSC18 WBR18:WBY18 WLN18:WLU18 WVJ18:WVQ18 B65554:I65554 IX65554:JE65554 ST65554:TA65554 ACP65554:ACW65554 AML65554:AMS65554 AWH65554:AWO65554 BGD65554:BGK65554 BPZ65554:BQG65554 BZV65554:CAC65554 CJR65554:CJY65554 CTN65554:CTU65554 DDJ65554:DDQ65554 DNF65554:DNM65554 DXB65554:DXI65554 EGX65554:EHE65554 EQT65554:ERA65554 FAP65554:FAW65554 FKL65554:FKS65554 FUH65554:FUO65554 GED65554:GEK65554 GNZ65554:GOG65554 GXV65554:GYC65554 HHR65554:HHY65554 HRN65554:HRU65554 IBJ65554:IBQ65554 ILF65554:ILM65554 IVB65554:IVI65554 JEX65554:JFE65554 JOT65554:JPA65554 JYP65554:JYW65554 KIL65554:KIS65554 KSH65554:KSO65554 LCD65554:LCK65554 LLZ65554:LMG65554 LVV65554:LWC65554 MFR65554:MFY65554 MPN65554:MPU65554 MZJ65554:MZQ65554 NJF65554:NJM65554 NTB65554:NTI65554 OCX65554:ODE65554 OMT65554:ONA65554 OWP65554:OWW65554 PGL65554:PGS65554 PQH65554:PQO65554 QAD65554:QAK65554 QJZ65554:QKG65554 QTV65554:QUC65554 RDR65554:RDY65554 RNN65554:RNU65554 RXJ65554:RXQ65554 SHF65554:SHM65554 SRB65554:SRI65554 TAX65554:TBE65554 TKT65554:TLA65554 TUP65554:TUW65554 UEL65554:UES65554 UOH65554:UOO65554 UYD65554:UYK65554 VHZ65554:VIG65554 VRV65554:VSC65554 WBR65554:WBY65554 WLN65554:WLU65554 WVJ65554:WVQ65554 B131090:I131090 IX131090:JE131090 ST131090:TA131090 ACP131090:ACW131090 AML131090:AMS131090 AWH131090:AWO131090 BGD131090:BGK131090 BPZ131090:BQG131090 BZV131090:CAC131090 CJR131090:CJY131090 CTN131090:CTU131090 DDJ131090:DDQ131090 DNF131090:DNM131090 DXB131090:DXI131090 EGX131090:EHE131090 EQT131090:ERA131090 FAP131090:FAW131090 FKL131090:FKS131090 FUH131090:FUO131090 GED131090:GEK131090 GNZ131090:GOG131090 GXV131090:GYC131090 HHR131090:HHY131090 HRN131090:HRU131090 IBJ131090:IBQ131090 ILF131090:ILM131090 IVB131090:IVI131090 JEX131090:JFE131090 JOT131090:JPA131090 JYP131090:JYW131090 KIL131090:KIS131090 KSH131090:KSO131090 LCD131090:LCK131090 LLZ131090:LMG131090 LVV131090:LWC131090 MFR131090:MFY131090 MPN131090:MPU131090 MZJ131090:MZQ131090 NJF131090:NJM131090 NTB131090:NTI131090 OCX131090:ODE131090 OMT131090:ONA131090 OWP131090:OWW131090 PGL131090:PGS131090 PQH131090:PQO131090 QAD131090:QAK131090 QJZ131090:QKG131090 QTV131090:QUC131090 RDR131090:RDY131090 RNN131090:RNU131090 RXJ131090:RXQ131090 SHF131090:SHM131090 SRB131090:SRI131090 TAX131090:TBE131090 TKT131090:TLA131090 TUP131090:TUW131090 UEL131090:UES131090 UOH131090:UOO131090 UYD131090:UYK131090 VHZ131090:VIG131090 VRV131090:VSC131090 WBR131090:WBY131090 WLN131090:WLU131090 WVJ131090:WVQ131090 B196626:I196626 IX196626:JE196626 ST196626:TA196626 ACP196626:ACW196626 AML196626:AMS196626 AWH196626:AWO196626 BGD196626:BGK196626 BPZ196626:BQG196626 BZV196626:CAC196626 CJR196626:CJY196626 CTN196626:CTU196626 DDJ196626:DDQ196626 DNF196626:DNM196626 DXB196626:DXI196626 EGX196626:EHE196626 EQT196626:ERA196626 FAP196626:FAW196626 FKL196626:FKS196626 FUH196626:FUO196626 GED196626:GEK196626 GNZ196626:GOG196626 GXV196626:GYC196626 HHR196626:HHY196626 HRN196626:HRU196626 IBJ196626:IBQ196626 ILF196626:ILM196626 IVB196626:IVI196626 JEX196626:JFE196626 JOT196626:JPA196626 JYP196626:JYW196626 KIL196626:KIS196626 KSH196626:KSO196626 LCD196626:LCK196626 LLZ196626:LMG196626 LVV196626:LWC196626 MFR196626:MFY196626 MPN196626:MPU196626 MZJ196626:MZQ196626 NJF196626:NJM196626 NTB196626:NTI196626 OCX196626:ODE196626 OMT196626:ONA196626 OWP196626:OWW196626 PGL196626:PGS196626 PQH196626:PQO196626 QAD196626:QAK196626 QJZ196626:QKG196626 QTV196626:QUC196626 RDR196626:RDY196626 RNN196626:RNU196626 RXJ196626:RXQ196626 SHF196626:SHM196626 SRB196626:SRI196626 TAX196626:TBE196626 TKT196626:TLA196626 TUP196626:TUW196626 UEL196626:UES196626 UOH196626:UOO196626 UYD196626:UYK196626 VHZ196626:VIG196626 VRV196626:VSC196626 WBR196626:WBY196626 WLN196626:WLU196626 WVJ196626:WVQ196626 B262162:I262162 IX262162:JE262162 ST262162:TA262162 ACP262162:ACW262162 AML262162:AMS262162 AWH262162:AWO262162 BGD262162:BGK262162 BPZ262162:BQG262162 BZV262162:CAC262162 CJR262162:CJY262162 CTN262162:CTU262162 DDJ262162:DDQ262162 DNF262162:DNM262162 DXB262162:DXI262162 EGX262162:EHE262162 EQT262162:ERA262162 FAP262162:FAW262162 FKL262162:FKS262162 FUH262162:FUO262162 GED262162:GEK262162 GNZ262162:GOG262162 GXV262162:GYC262162 HHR262162:HHY262162 HRN262162:HRU262162 IBJ262162:IBQ262162 ILF262162:ILM262162 IVB262162:IVI262162 JEX262162:JFE262162 JOT262162:JPA262162 JYP262162:JYW262162 KIL262162:KIS262162 KSH262162:KSO262162 LCD262162:LCK262162 LLZ262162:LMG262162 LVV262162:LWC262162 MFR262162:MFY262162 MPN262162:MPU262162 MZJ262162:MZQ262162 NJF262162:NJM262162 NTB262162:NTI262162 OCX262162:ODE262162 OMT262162:ONA262162 OWP262162:OWW262162 PGL262162:PGS262162 PQH262162:PQO262162 QAD262162:QAK262162 QJZ262162:QKG262162 QTV262162:QUC262162 RDR262162:RDY262162 RNN262162:RNU262162 RXJ262162:RXQ262162 SHF262162:SHM262162 SRB262162:SRI262162 TAX262162:TBE262162 TKT262162:TLA262162 TUP262162:TUW262162 UEL262162:UES262162 UOH262162:UOO262162 UYD262162:UYK262162 VHZ262162:VIG262162 VRV262162:VSC262162 WBR262162:WBY262162 WLN262162:WLU262162 WVJ262162:WVQ262162 B327698:I327698 IX327698:JE327698 ST327698:TA327698 ACP327698:ACW327698 AML327698:AMS327698 AWH327698:AWO327698 BGD327698:BGK327698 BPZ327698:BQG327698 BZV327698:CAC327698 CJR327698:CJY327698 CTN327698:CTU327698 DDJ327698:DDQ327698 DNF327698:DNM327698 DXB327698:DXI327698 EGX327698:EHE327698 EQT327698:ERA327698 FAP327698:FAW327698 FKL327698:FKS327698 FUH327698:FUO327698 GED327698:GEK327698 GNZ327698:GOG327698 GXV327698:GYC327698 HHR327698:HHY327698 HRN327698:HRU327698 IBJ327698:IBQ327698 ILF327698:ILM327698 IVB327698:IVI327698 JEX327698:JFE327698 JOT327698:JPA327698 JYP327698:JYW327698 KIL327698:KIS327698 KSH327698:KSO327698 LCD327698:LCK327698 LLZ327698:LMG327698 LVV327698:LWC327698 MFR327698:MFY327698 MPN327698:MPU327698 MZJ327698:MZQ327698 NJF327698:NJM327698 NTB327698:NTI327698 OCX327698:ODE327698 OMT327698:ONA327698 OWP327698:OWW327698 PGL327698:PGS327698 PQH327698:PQO327698 QAD327698:QAK327698 QJZ327698:QKG327698 QTV327698:QUC327698 RDR327698:RDY327698 RNN327698:RNU327698 RXJ327698:RXQ327698 SHF327698:SHM327698 SRB327698:SRI327698 TAX327698:TBE327698 TKT327698:TLA327698 TUP327698:TUW327698 UEL327698:UES327698 UOH327698:UOO327698 UYD327698:UYK327698 VHZ327698:VIG327698 VRV327698:VSC327698 WBR327698:WBY327698 WLN327698:WLU327698 WVJ327698:WVQ327698 B393234:I393234 IX393234:JE393234 ST393234:TA393234 ACP393234:ACW393234 AML393234:AMS393234 AWH393234:AWO393234 BGD393234:BGK393234 BPZ393234:BQG393234 BZV393234:CAC393234 CJR393234:CJY393234 CTN393234:CTU393234 DDJ393234:DDQ393234 DNF393234:DNM393234 DXB393234:DXI393234 EGX393234:EHE393234 EQT393234:ERA393234 FAP393234:FAW393234 FKL393234:FKS393234 FUH393234:FUO393234 GED393234:GEK393234 GNZ393234:GOG393234 GXV393234:GYC393234 HHR393234:HHY393234 HRN393234:HRU393234 IBJ393234:IBQ393234 ILF393234:ILM393234 IVB393234:IVI393234 JEX393234:JFE393234 JOT393234:JPA393234 JYP393234:JYW393234 KIL393234:KIS393234 KSH393234:KSO393234 LCD393234:LCK393234 LLZ393234:LMG393234 LVV393234:LWC393234 MFR393234:MFY393234 MPN393234:MPU393234 MZJ393234:MZQ393234 NJF393234:NJM393234 NTB393234:NTI393234 OCX393234:ODE393234 OMT393234:ONA393234 OWP393234:OWW393234 PGL393234:PGS393234 PQH393234:PQO393234 QAD393234:QAK393234 QJZ393234:QKG393234 QTV393234:QUC393234 RDR393234:RDY393234 RNN393234:RNU393234 RXJ393234:RXQ393234 SHF393234:SHM393234 SRB393234:SRI393234 TAX393234:TBE393234 TKT393234:TLA393234 TUP393234:TUW393234 UEL393234:UES393234 UOH393234:UOO393234 UYD393234:UYK393234 VHZ393234:VIG393234 VRV393234:VSC393234 WBR393234:WBY393234 WLN393234:WLU393234 WVJ393234:WVQ393234 B458770:I458770 IX458770:JE458770 ST458770:TA458770 ACP458770:ACW458770 AML458770:AMS458770 AWH458770:AWO458770 BGD458770:BGK458770 BPZ458770:BQG458770 BZV458770:CAC458770 CJR458770:CJY458770 CTN458770:CTU458770 DDJ458770:DDQ458770 DNF458770:DNM458770 DXB458770:DXI458770 EGX458770:EHE458770 EQT458770:ERA458770 FAP458770:FAW458770 FKL458770:FKS458770 FUH458770:FUO458770 GED458770:GEK458770 GNZ458770:GOG458770 GXV458770:GYC458770 HHR458770:HHY458770 HRN458770:HRU458770 IBJ458770:IBQ458770 ILF458770:ILM458770 IVB458770:IVI458770 JEX458770:JFE458770 JOT458770:JPA458770 JYP458770:JYW458770 KIL458770:KIS458770 KSH458770:KSO458770 LCD458770:LCK458770 LLZ458770:LMG458770 LVV458770:LWC458770 MFR458770:MFY458770 MPN458770:MPU458770 MZJ458770:MZQ458770 NJF458770:NJM458770 NTB458770:NTI458770 OCX458770:ODE458770 OMT458770:ONA458770 OWP458770:OWW458770 PGL458770:PGS458770 PQH458770:PQO458770 QAD458770:QAK458770 QJZ458770:QKG458770 QTV458770:QUC458770 RDR458770:RDY458770 RNN458770:RNU458770 RXJ458770:RXQ458770 SHF458770:SHM458770 SRB458770:SRI458770 TAX458770:TBE458770 TKT458770:TLA458770 TUP458770:TUW458770 UEL458770:UES458770 UOH458770:UOO458770 UYD458770:UYK458770 VHZ458770:VIG458770 VRV458770:VSC458770 WBR458770:WBY458770 WLN458770:WLU458770 WVJ458770:WVQ458770 B524306:I524306 IX524306:JE524306 ST524306:TA524306 ACP524306:ACW524306 AML524306:AMS524306 AWH524306:AWO524306 BGD524306:BGK524306 BPZ524306:BQG524306 BZV524306:CAC524306 CJR524306:CJY524306 CTN524306:CTU524306 DDJ524306:DDQ524306 DNF524306:DNM524306 DXB524306:DXI524306 EGX524306:EHE524306 EQT524306:ERA524306 FAP524306:FAW524306 FKL524306:FKS524306 FUH524306:FUO524306 GED524306:GEK524306 GNZ524306:GOG524306 GXV524306:GYC524306 HHR524306:HHY524306 HRN524306:HRU524306 IBJ524306:IBQ524306 ILF524306:ILM524306 IVB524306:IVI524306 JEX524306:JFE524306 JOT524306:JPA524306 JYP524306:JYW524306 KIL524306:KIS524306 KSH524306:KSO524306 LCD524306:LCK524306 LLZ524306:LMG524306 LVV524306:LWC524306 MFR524306:MFY524306 MPN524306:MPU524306 MZJ524306:MZQ524306 NJF524306:NJM524306 NTB524306:NTI524306 OCX524306:ODE524306 OMT524306:ONA524306 OWP524306:OWW524306 PGL524306:PGS524306 PQH524306:PQO524306 QAD524306:QAK524306 QJZ524306:QKG524306 QTV524306:QUC524306 RDR524306:RDY524306 RNN524306:RNU524306 RXJ524306:RXQ524306 SHF524306:SHM524306 SRB524306:SRI524306 TAX524306:TBE524306 TKT524306:TLA524306 TUP524306:TUW524306 UEL524306:UES524306 UOH524306:UOO524306 UYD524306:UYK524306 VHZ524306:VIG524306 VRV524306:VSC524306 WBR524306:WBY524306 WLN524306:WLU524306 WVJ524306:WVQ524306 B589842:I589842 IX589842:JE589842 ST589842:TA589842 ACP589842:ACW589842 AML589842:AMS589842 AWH589842:AWO589842 BGD589842:BGK589842 BPZ589842:BQG589842 BZV589842:CAC589842 CJR589842:CJY589842 CTN589842:CTU589842 DDJ589842:DDQ589842 DNF589842:DNM589842 DXB589842:DXI589842 EGX589842:EHE589842 EQT589842:ERA589842 FAP589842:FAW589842 FKL589842:FKS589842 FUH589842:FUO589842 GED589842:GEK589842 GNZ589842:GOG589842 GXV589842:GYC589842 HHR589842:HHY589842 HRN589842:HRU589842 IBJ589842:IBQ589842 ILF589842:ILM589842 IVB589842:IVI589842 JEX589842:JFE589842 JOT589842:JPA589842 JYP589842:JYW589842 KIL589842:KIS589842 KSH589842:KSO589842 LCD589842:LCK589842 LLZ589842:LMG589842 LVV589842:LWC589842 MFR589842:MFY589842 MPN589842:MPU589842 MZJ589842:MZQ589842 NJF589842:NJM589842 NTB589842:NTI589842 OCX589842:ODE589842 OMT589842:ONA589842 OWP589842:OWW589842 PGL589842:PGS589842 PQH589842:PQO589842 QAD589842:QAK589842 QJZ589842:QKG589842 QTV589842:QUC589842 RDR589842:RDY589842 RNN589842:RNU589842 RXJ589842:RXQ589842 SHF589842:SHM589842 SRB589842:SRI589842 TAX589842:TBE589842 TKT589842:TLA589842 TUP589842:TUW589842 UEL589842:UES589842 UOH589842:UOO589842 UYD589842:UYK589842 VHZ589842:VIG589842 VRV589842:VSC589842 WBR589842:WBY589842 WLN589842:WLU589842 WVJ589842:WVQ589842 B655378:I655378 IX655378:JE655378 ST655378:TA655378 ACP655378:ACW655378 AML655378:AMS655378 AWH655378:AWO655378 BGD655378:BGK655378 BPZ655378:BQG655378 BZV655378:CAC655378 CJR655378:CJY655378 CTN655378:CTU655378 DDJ655378:DDQ655378 DNF655378:DNM655378 DXB655378:DXI655378 EGX655378:EHE655378 EQT655378:ERA655378 FAP655378:FAW655378 FKL655378:FKS655378 FUH655378:FUO655378 GED655378:GEK655378 GNZ655378:GOG655378 GXV655378:GYC655378 HHR655378:HHY655378 HRN655378:HRU655378 IBJ655378:IBQ655378 ILF655378:ILM655378 IVB655378:IVI655378 JEX655378:JFE655378 JOT655378:JPA655378 JYP655378:JYW655378 KIL655378:KIS655378 KSH655378:KSO655378 LCD655378:LCK655378 LLZ655378:LMG655378 LVV655378:LWC655378 MFR655378:MFY655378 MPN655378:MPU655378 MZJ655378:MZQ655378 NJF655378:NJM655378 NTB655378:NTI655378 OCX655378:ODE655378 OMT655378:ONA655378 OWP655378:OWW655378 PGL655378:PGS655378 PQH655378:PQO655378 QAD655378:QAK655378 QJZ655378:QKG655378 QTV655378:QUC655378 RDR655378:RDY655378 RNN655378:RNU655378 RXJ655378:RXQ655378 SHF655378:SHM655378 SRB655378:SRI655378 TAX655378:TBE655378 TKT655378:TLA655378 TUP655378:TUW655378 UEL655378:UES655378 UOH655378:UOO655378 UYD655378:UYK655378 VHZ655378:VIG655378 VRV655378:VSC655378 WBR655378:WBY655378 WLN655378:WLU655378 WVJ655378:WVQ655378 B720914:I720914 IX720914:JE720914 ST720914:TA720914 ACP720914:ACW720914 AML720914:AMS720914 AWH720914:AWO720914 BGD720914:BGK720914 BPZ720914:BQG720914 BZV720914:CAC720914 CJR720914:CJY720914 CTN720914:CTU720914 DDJ720914:DDQ720914 DNF720914:DNM720914 DXB720914:DXI720914 EGX720914:EHE720914 EQT720914:ERA720914 FAP720914:FAW720914 FKL720914:FKS720914 FUH720914:FUO720914 GED720914:GEK720914 GNZ720914:GOG720914 GXV720914:GYC720914 HHR720914:HHY720914 HRN720914:HRU720914 IBJ720914:IBQ720914 ILF720914:ILM720914 IVB720914:IVI720914 JEX720914:JFE720914 JOT720914:JPA720914 JYP720914:JYW720914 KIL720914:KIS720914 KSH720914:KSO720914 LCD720914:LCK720914 LLZ720914:LMG720914 LVV720914:LWC720914 MFR720914:MFY720914 MPN720914:MPU720914 MZJ720914:MZQ720914 NJF720914:NJM720914 NTB720914:NTI720914 OCX720914:ODE720914 OMT720914:ONA720914 OWP720914:OWW720914 PGL720914:PGS720914 PQH720914:PQO720914 QAD720914:QAK720914 QJZ720914:QKG720914 QTV720914:QUC720914 RDR720914:RDY720914 RNN720914:RNU720914 RXJ720914:RXQ720914 SHF720914:SHM720914 SRB720914:SRI720914 TAX720914:TBE720914 TKT720914:TLA720914 TUP720914:TUW720914 UEL720914:UES720914 UOH720914:UOO720914 UYD720914:UYK720914 VHZ720914:VIG720914 VRV720914:VSC720914 WBR720914:WBY720914 WLN720914:WLU720914 WVJ720914:WVQ720914 B786450:I786450 IX786450:JE786450 ST786450:TA786450 ACP786450:ACW786450 AML786450:AMS786450 AWH786450:AWO786450 BGD786450:BGK786450 BPZ786450:BQG786450 BZV786450:CAC786450 CJR786450:CJY786450 CTN786450:CTU786450 DDJ786450:DDQ786450 DNF786450:DNM786450 DXB786450:DXI786450 EGX786450:EHE786450 EQT786450:ERA786450 FAP786450:FAW786450 FKL786450:FKS786450 FUH786450:FUO786450 GED786450:GEK786450 GNZ786450:GOG786450 GXV786450:GYC786450 HHR786450:HHY786450 HRN786450:HRU786450 IBJ786450:IBQ786450 ILF786450:ILM786450 IVB786450:IVI786450 JEX786450:JFE786450 JOT786450:JPA786450 JYP786450:JYW786450 KIL786450:KIS786450 KSH786450:KSO786450 LCD786450:LCK786450 LLZ786450:LMG786450 LVV786450:LWC786450 MFR786450:MFY786450 MPN786450:MPU786450 MZJ786450:MZQ786450 NJF786450:NJM786450 NTB786450:NTI786450 OCX786450:ODE786450 OMT786450:ONA786450 OWP786450:OWW786450 PGL786450:PGS786450 PQH786450:PQO786450 QAD786450:QAK786450 QJZ786450:QKG786450 QTV786450:QUC786450 RDR786450:RDY786450 RNN786450:RNU786450 RXJ786450:RXQ786450 SHF786450:SHM786450 SRB786450:SRI786450 TAX786450:TBE786450 TKT786450:TLA786450 TUP786450:TUW786450 UEL786450:UES786450 UOH786450:UOO786450 UYD786450:UYK786450 VHZ786450:VIG786450 VRV786450:VSC786450 WBR786450:WBY786450 WLN786450:WLU786450 WVJ786450:WVQ786450 B851986:I851986 IX851986:JE851986 ST851986:TA851986 ACP851986:ACW851986 AML851986:AMS851986 AWH851986:AWO851986 BGD851986:BGK851986 BPZ851986:BQG851986 BZV851986:CAC851986 CJR851986:CJY851986 CTN851986:CTU851986 DDJ851986:DDQ851986 DNF851986:DNM851986 DXB851986:DXI851986 EGX851986:EHE851986 EQT851986:ERA851986 FAP851986:FAW851986 FKL851986:FKS851986 FUH851986:FUO851986 GED851986:GEK851986 GNZ851986:GOG851986 GXV851986:GYC851986 HHR851986:HHY851986 HRN851986:HRU851986 IBJ851986:IBQ851986 ILF851986:ILM851986 IVB851986:IVI851986 JEX851986:JFE851986 JOT851986:JPA851986 JYP851986:JYW851986 KIL851986:KIS851986 KSH851986:KSO851986 LCD851986:LCK851986 LLZ851986:LMG851986 LVV851986:LWC851986 MFR851986:MFY851986 MPN851986:MPU851986 MZJ851986:MZQ851986 NJF851986:NJM851986 NTB851986:NTI851986 OCX851986:ODE851986 OMT851986:ONA851986 OWP851986:OWW851986 PGL851986:PGS851986 PQH851986:PQO851986 QAD851986:QAK851986 QJZ851986:QKG851986 QTV851986:QUC851986 RDR851986:RDY851986 RNN851986:RNU851986 RXJ851986:RXQ851986 SHF851986:SHM851986 SRB851986:SRI851986 TAX851986:TBE851986 TKT851986:TLA851986 TUP851986:TUW851986 UEL851986:UES851986 UOH851986:UOO851986 UYD851986:UYK851986 VHZ851986:VIG851986 VRV851986:VSC851986 WBR851986:WBY851986 WLN851986:WLU851986 WVJ851986:WVQ851986 B917522:I917522 IX917522:JE917522 ST917522:TA917522 ACP917522:ACW917522 AML917522:AMS917522 AWH917522:AWO917522 BGD917522:BGK917522 BPZ917522:BQG917522 BZV917522:CAC917522 CJR917522:CJY917522 CTN917522:CTU917522 DDJ917522:DDQ917522 DNF917522:DNM917522 DXB917522:DXI917522 EGX917522:EHE917522 EQT917522:ERA917522 FAP917522:FAW917522 FKL917522:FKS917522 FUH917522:FUO917522 GED917522:GEK917522 GNZ917522:GOG917522 GXV917522:GYC917522 HHR917522:HHY917522 HRN917522:HRU917522 IBJ917522:IBQ917522 ILF917522:ILM917522 IVB917522:IVI917522 JEX917522:JFE917522 JOT917522:JPA917522 JYP917522:JYW917522 KIL917522:KIS917522 KSH917522:KSO917522 LCD917522:LCK917522 LLZ917522:LMG917522 LVV917522:LWC917522 MFR917522:MFY917522 MPN917522:MPU917522 MZJ917522:MZQ917522 NJF917522:NJM917522 NTB917522:NTI917522 OCX917522:ODE917522 OMT917522:ONA917522 OWP917522:OWW917522 PGL917522:PGS917522 PQH917522:PQO917522 QAD917522:QAK917522 QJZ917522:QKG917522 QTV917522:QUC917522 RDR917522:RDY917522 RNN917522:RNU917522 RXJ917522:RXQ917522 SHF917522:SHM917522 SRB917522:SRI917522 TAX917522:TBE917522 TKT917522:TLA917522 TUP917522:TUW917522 UEL917522:UES917522 UOH917522:UOO917522 UYD917522:UYK917522 VHZ917522:VIG917522 VRV917522:VSC917522 WBR917522:WBY917522 WLN917522:WLU917522 WVJ917522:WVQ917522 B983058:I983058 IX983058:JE983058 ST983058:TA983058 ACP983058:ACW983058 AML983058:AMS983058 AWH983058:AWO983058 BGD983058:BGK983058 BPZ983058:BQG983058 BZV983058:CAC983058 CJR983058:CJY983058 CTN983058:CTU983058 DDJ983058:DDQ983058 DNF983058:DNM983058 DXB983058:DXI983058 EGX983058:EHE983058 EQT983058:ERA983058 FAP983058:FAW983058 FKL983058:FKS983058 FUH983058:FUO983058 GED983058:GEK983058 GNZ983058:GOG983058 GXV983058:GYC983058 HHR983058:HHY983058 HRN983058:HRU983058 IBJ983058:IBQ983058 ILF983058:ILM983058 IVB983058:IVI983058 JEX983058:JFE983058 JOT983058:JPA983058 JYP983058:JYW983058 KIL983058:KIS983058 KSH983058:KSO983058 LCD983058:LCK983058 LLZ983058:LMG983058 LVV983058:LWC983058 MFR983058:MFY983058 MPN983058:MPU983058 MZJ983058:MZQ983058 NJF983058:NJM983058 NTB983058:NTI983058 OCX983058:ODE983058 OMT983058:ONA983058 OWP983058:OWW983058 PGL983058:PGS983058 PQH983058:PQO983058 QAD983058:QAK983058 QJZ983058:QKG983058 QTV983058:QUC983058 RDR983058:RDY983058 RNN983058:RNU983058 RXJ983058:RXQ983058 SHF983058:SHM983058 SRB983058:SRI983058 TAX983058:TBE983058 TKT983058:TLA983058 TUP983058:TUW983058 UEL983058:UES983058 UOH983058:UOO983058 UYD983058:UYK983058 VHZ983058:VIG983058 VRV983058:VSC983058 WBR983058:WBY983058 WLN983058:WLU983058 WVJ983058:WVQ983058">
      <formula1>NOT(ISERR(AND(FIND(".",B18),FIND("@",B18))))</formula1>
    </dataValidation>
    <dataValidation type="list" allowBlank="1" showInputMessage="1" showErrorMessage="1" error="Please select from the drop-down list" promptTitle="Role" prompt="Select the role of this person for this dataset. The role of Owner is the person or persons who should be contacted for more information." sqref="B17:I17 IX17:JE17 ST17:TA17 ACP17:ACW17 AML17:AMS17 AWH17:AWO17 BGD17:BGK17 BPZ17:BQG17 BZV17:CAC17 CJR17:CJY17 CTN17:CTU17 DDJ17:DDQ17 DNF17:DNM17 DXB17:DXI17 EGX17:EHE17 EQT17:ERA17 FAP17:FAW17 FKL17:FKS17 FUH17:FUO17 GED17:GEK17 GNZ17:GOG17 GXV17:GYC17 HHR17:HHY17 HRN17:HRU17 IBJ17:IBQ17 ILF17:ILM17 IVB17:IVI17 JEX17:JFE17 JOT17:JPA17 JYP17:JYW17 KIL17:KIS17 KSH17:KSO17 LCD17:LCK17 LLZ17:LMG17 LVV17:LWC17 MFR17:MFY17 MPN17:MPU17 MZJ17:MZQ17 NJF17:NJM17 NTB17:NTI17 OCX17:ODE17 OMT17:ONA17 OWP17:OWW17 PGL17:PGS17 PQH17:PQO17 QAD17:QAK17 QJZ17:QKG17 QTV17:QUC17 RDR17:RDY17 RNN17:RNU17 RXJ17:RXQ17 SHF17:SHM17 SRB17:SRI17 TAX17:TBE17 TKT17:TLA17 TUP17:TUW17 UEL17:UES17 UOH17:UOO17 UYD17:UYK17 VHZ17:VIG17 VRV17:VSC17 WBR17:WBY17 WLN17:WLU17 WVJ17:WVQ17 B65553:I65553 IX65553:JE65553 ST65553:TA65553 ACP65553:ACW65553 AML65553:AMS65553 AWH65553:AWO65553 BGD65553:BGK65553 BPZ65553:BQG65553 BZV65553:CAC65553 CJR65553:CJY65553 CTN65553:CTU65553 DDJ65553:DDQ65553 DNF65553:DNM65553 DXB65553:DXI65553 EGX65553:EHE65553 EQT65553:ERA65553 FAP65553:FAW65553 FKL65553:FKS65553 FUH65553:FUO65553 GED65553:GEK65553 GNZ65553:GOG65553 GXV65553:GYC65553 HHR65553:HHY65553 HRN65553:HRU65553 IBJ65553:IBQ65553 ILF65553:ILM65553 IVB65553:IVI65553 JEX65553:JFE65553 JOT65553:JPA65553 JYP65553:JYW65553 KIL65553:KIS65553 KSH65553:KSO65553 LCD65553:LCK65553 LLZ65553:LMG65553 LVV65553:LWC65553 MFR65553:MFY65553 MPN65553:MPU65553 MZJ65553:MZQ65553 NJF65553:NJM65553 NTB65553:NTI65553 OCX65553:ODE65553 OMT65553:ONA65553 OWP65553:OWW65553 PGL65553:PGS65553 PQH65553:PQO65553 QAD65553:QAK65553 QJZ65553:QKG65553 QTV65553:QUC65553 RDR65553:RDY65553 RNN65553:RNU65553 RXJ65553:RXQ65553 SHF65553:SHM65553 SRB65553:SRI65553 TAX65553:TBE65553 TKT65553:TLA65553 TUP65553:TUW65553 UEL65553:UES65553 UOH65553:UOO65553 UYD65553:UYK65553 VHZ65553:VIG65553 VRV65553:VSC65553 WBR65553:WBY65553 WLN65553:WLU65553 WVJ65553:WVQ65553 B131089:I131089 IX131089:JE131089 ST131089:TA131089 ACP131089:ACW131089 AML131089:AMS131089 AWH131089:AWO131089 BGD131089:BGK131089 BPZ131089:BQG131089 BZV131089:CAC131089 CJR131089:CJY131089 CTN131089:CTU131089 DDJ131089:DDQ131089 DNF131089:DNM131089 DXB131089:DXI131089 EGX131089:EHE131089 EQT131089:ERA131089 FAP131089:FAW131089 FKL131089:FKS131089 FUH131089:FUO131089 GED131089:GEK131089 GNZ131089:GOG131089 GXV131089:GYC131089 HHR131089:HHY131089 HRN131089:HRU131089 IBJ131089:IBQ131089 ILF131089:ILM131089 IVB131089:IVI131089 JEX131089:JFE131089 JOT131089:JPA131089 JYP131089:JYW131089 KIL131089:KIS131089 KSH131089:KSO131089 LCD131089:LCK131089 LLZ131089:LMG131089 LVV131089:LWC131089 MFR131089:MFY131089 MPN131089:MPU131089 MZJ131089:MZQ131089 NJF131089:NJM131089 NTB131089:NTI131089 OCX131089:ODE131089 OMT131089:ONA131089 OWP131089:OWW131089 PGL131089:PGS131089 PQH131089:PQO131089 QAD131089:QAK131089 QJZ131089:QKG131089 QTV131089:QUC131089 RDR131089:RDY131089 RNN131089:RNU131089 RXJ131089:RXQ131089 SHF131089:SHM131089 SRB131089:SRI131089 TAX131089:TBE131089 TKT131089:TLA131089 TUP131089:TUW131089 UEL131089:UES131089 UOH131089:UOO131089 UYD131089:UYK131089 VHZ131089:VIG131089 VRV131089:VSC131089 WBR131089:WBY131089 WLN131089:WLU131089 WVJ131089:WVQ131089 B196625:I196625 IX196625:JE196625 ST196625:TA196625 ACP196625:ACW196625 AML196625:AMS196625 AWH196625:AWO196625 BGD196625:BGK196625 BPZ196625:BQG196625 BZV196625:CAC196625 CJR196625:CJY196625 CTN196625:CTU196625 DDJ196625:DDQ196625 DNF196625:DNM196625 DXB196625:DXI196625 EGX196625:EHE196625 EQT196625:ERA196625 FAP196625:FAW196625 FKL196625:FKS196625 FUH196625:FUO196625 GED196625:GEK196625 GNZ196625:GOG196625 GXV196625:GYC196625 HHR196625:HHY196625 HRN196625:HRU196625 IBJ196625:IBQ196625 ILF196625:ILM196625 IVB196625:IVI196625 JEX196625:JFE196625 JOT196625:JPA196625 JYP196625:JYW196625 KIL196625:KIS196625 KSH196625:KSO196625 LCD196625:LCK196625 LLZ196625:LMG196625 LVV196625:LWC196625 MFR196625:MFY196625 MPN196625:MPU196625 MZJ196625:MZQ196625 NJF196625:NJM196625 NTB196625:NTI196625 OCX196625:ODE196625 OMT196625:ONA196625 OWP196625:OWW196625 PGL196625:PGS196625 PQH196625:PQO196625 QAD196625:QAK196625 QJZ196625:QKG196625 QTV196625:QUC196625 RDR196625:RDY196625 RNN196625:RNU196625 RXJ196625:RXQ196625 SHF196625:SHM196625 SRB196625:SRI196625 TAX196625:TBE196625 TKT196625:TLA196625 TUP196625:TUW196625 UEL196625:UES196625 UOH196625:UOO196625 UYD196625:UYK196625 VHZ196625:VIG196625 VRV196625:VSC196625 WBR196625:WBY196625 WLN196625:WLU196625 WVJ196625:WVQ196625 B262161:I262161 IX262161:JE262161 ST262161:TA262161 ACP262161:ACW262161 AML262161:AMS262161 AWH262161:AWO262161 BGD262161:BGK262161 BPZ262161:BQG262161 BZV262161:CAC262161 CJR262161:CJY262161 CTN262161:CTU262161 DDJ262161:DDQ262161 DNF262161:DNM262161 DXB262161:DXI262161 EGX262161:EHE262161 EQT262161:ERA262161 FAP262161:FAW262161 FKL262161:FKS262161 FUH262161:FUO262161 GED262161:GEK262161 GNZ262161:GOG262161 GXV262161:GYC262161 HHR262161:HHY262161 HRN262161:HRU262161 IBJ262161:IBQ262161 ILF262161:ILM262161 IVB262161:IVI262161 JEX262161:JFE262161 JOT262161:JPA262161 JYP262161:JYW262161 KIL262161:KIS262161 KSH262161:KSO262161 LCD262161:LCK262161 LLZ262161:LMG262161 LVV262161:LWC262161 MFR262161:MFY262161 MPN262161:MPU262161 MZJ262161:MZQ262161 NJF262161:NJM262161 NTB262161:NTI262161 OCX262161:ODE262161 OMT262161:ONA262161 OWP262161:OWW262161 PGL262161:PGS262161 PQH262161:PQO262161 QAD262161:QAK262161 QJZ262161:QKG262161 QTV262161:QUC262161 RDR262161:RDY262161 RNN262161:RNU262161 RXJ262161:RXQ262161 SHF262161:SHM262161 SRB262161:SRI262161 TAX262161:TBE262161 TKT262161:TLA262161 TUP262161:TUW262161 UEL262161:UES262161 UOH262161:UOO262161 UYD262161:UYK262161 VHZ262161:VIG262161 VRV262161:VSC262161 WBR262161:WBY262161 WLN262161:WLU262161 WVJ262161:WVQ262161 B327697:I327697 IX327697:JE327697 ST327697:TA327697 ACP327697:ACW327697 AML327697:AMS327697 AWH327697:AWO327697 BGD327697:BGK327697 BPZ327697:BQG327697 BZV327697:CAC327697 CJR327697:CJY327697 CTN327697:CTU327697 DDJ327697:DDQ327697 DNF327697:DNM327697 DXB327697:DXI327697 EGX327697:EHE327697 EQT327697:ERA327697 FAP327697:FAW327697 FKL327697:FKS327697 FUH327697:FUO327697 GED327697:GEK327697 GNZ327697:GOG327697 GXV327697:GYC327697 HHR327697:HHY327697 HRN327697:HRU327697 IBJ327697:IBQ327697 ILF327697:ILM327697 IVB327697:IVI327697 JEX327697:JFE327697 JOT327697:JPA327697 JYP327697:JYW327697 KIL327697:KIS327697 KSH327697:KSO327697 LCD327697:LCK327697 LLZ327697:LMG327697 LVV327697:LWC327697 MFR327697:MFY327697 MPN327697:MPU327697 MZJ327697:MZQ327697 NJF327697:NJM327697 NTB327697:NTI327697 OCX327697:ODE327697 OMT327697:ONA327697 OWP327697:OWW327697 PGL327697:PGS327697 PQH327697:PQO327697 QAD327697:QAK327697 QJZ327697:QKG327697 QTV327697:QUC327697 RDR327697:RDY327697 RNN327697:RNU327697 RXJ327697:RXQ327697 SHF327697:SHM327697 SRB327697:SRI327697 TAX327697:TBE327697 TKT327697:TLA327697 TUP327697:TUW327697 UEL327697:UES327697 UOH327697:UOO327697 UYD327697:UYK327697 VHZ327697:VIG327697 VRV327697:VSC327697 WBR327697:WBY327697 WLN327697:WLU327697 WVJ327697:WVQ327697 B393233:I393233 IX393233:JE393233 ST393233:TA393233 ACP393233:ACW393233 AML393233:AMS393233 AWH393233:AWO393233 BGD393233:BGK393233 BPZ393233:BQG393233 BZV393233:CAC393233 CJR393233:CJY393233 CTN393233:CTU393233 DDJ393233:DDQ393233 DNF393233:DNM393233 DXB393233:DXI393233 EGX393233:EHE393233 EQT393233:ERA393233 FAP393233:FAW393233 FKL393233:FKS393233 FUH393233:FUO393233 GED393233:GEK393233 GNZ393233:GOG393233 GXV393233:GYC393233 HHR393233:HHY393233 HRN393233:HRU393233 IBJ393233:IBQ393233 ILF393233:ILM393233 IVB393233:IVI393233 JEX393233:JFE393233 JOT393233:JPA393233 JYP393233:JYW393233 KIL393233:KIS393233 KSH393233:KSO393233 LCD393233:LCK393233 LLZ393233:LMG393233 LVV393233:LWC393233 MFR393233:MFY393233 MPN393233:MPU393233 MZJ393233:MZQ393233 NJF393233:NJM393233 NTB393233:NTI393233 OCX393233:ODE393233 OMT393233:ONA393233 OWP393233:OWW393233 PGL393233:PGS393233 PQH393233:PQO393233 QAD393233:QAK393233 QJZ393233:QKG393233 QTV393233:QUC393233 RDR393233:RDY393233 RNN393233:RNU393233 RXJ393233:RXQ393233 SHF393233:SHM393233 SRB393233:SRI393233 TAX393233:TBE393233 TKT393233:TLA393233 TUP393233:TUW393233 UEL393233:UES393233 UOH393233:UOO393233 UYD393233:UYK393233 VHZ393233:VIG393233 VRV393233:VSC393233 WBR393233:WBY393233 WLN393233:WLU393233 WVJ393233:WVQ393233 B458769:I458769 IX458769:JE458769 ST458769:TA458769 ACP458769:ACW458769 AML458769:AMS458769 AWH458769:AWO458769 BGD458769:BGK458769 BPZ458769:BQG458769 BZV458769:CAC458769 CJR458769:CJY458769 CTN458769:CTU458769 DDJ458769:DDQ458769 DNF458769:DNM458769 DXB458769:DXI458769 EGX458769:EHE458769 EQT458769:ERA458769 FAP458769:FAW458769 FKL458769:FKS458769 FUH458769:FUO458769 GED458769:GEK458769 GNZ458769:GOG458769 GXV458769:GYC458769 HHR458769:HHY458769 HRN458769:HRU458769 IBJ458769:IBQ458769 ILF458769:ILM458769 IVB458769:IVI458769 JEX458769:JFE458769 JOT458769:JPA458769 JYP458769:JYW458769 KIL458769:KIS458769 KSH458769:KSO458769 LCD458769:LCK458769 LLZ458769:LMG458769 LVV458769:LWC458769 MFR458769:MFY458769 MPN458769:MPU458769 MZJ458769:MZQ458769 NJF458769:NJM458769 NTB458769:NTI458769 OCX458769:ODE458769 OMT458769:ONA458769 OWP458769:OWW458769 PGL458769:PGS458769 PQH458769:PQO458769 QAD458769:QAK458769 QJZ458769:QKG458769 QTV458769:QUC458769 RDR458769:RDY458769 RNN458769:RNU458769 RXJ458769:RXQ458769 SHF458769:SHM458769 SRB458769:SRI458769 TAX458769:TBE458769 TKT458769:TLA458769 TUP458769:TUW458769 UEL458769:UES458769 UOH458769:UOO458769 UYD458769:UYK458769 VHZ458769:VIG458769 VRV458769:VSC458769 WBR458769:WBY458769 WLN458769:WLU458769 WVJ458769:WVQ458769 B524305:I524305 IX524305:JE524305 ST524305:TA524305 ACP524305:ACW524305 AML524305:AMS524305 AWH524305:AWO524305 BGD524305:BGK524305 BPZ524305:BQG524305 BZV524305:CAC524305 CJR524305:CJY524305 CTN524305:CTU524305 DDJ524305:DDQ524305 DNF524305:DNM524305 DXB524305:DXI524305 EGX524305:EHE524305 EQT524305:ERA524305 FAP524305:FAW524305 FKL524305:FKS524305 FUH524305:FUO524305 GED524305:GEK524305 GNZ524305:GOG524305 GXV524305:GYC524305 HHR524305:HHY524305 HRN524305:HRU524305 IBJ524305:IBQ524305 ILF524305:ILM524305 IVB524305:IVI524305 JEX524305:JFE524305 JOT524305:JPA524305 JYP524305:JYW524305 KIL524305:KIS524305 KSH524305:KSO524305 LCD524305:LCK524305 LLZ524305:LMG524305 LVV524305:LWC524305 MFR524305:MFY524305 MPN524305:MPU524305 MZJ524305:MZQ524305 NJF524305:NJM524305 NTB524305:NTI524305 OCX524305:ODE524305 OMT524305:ONA524305 OWP524305:OWW524305 PGL524305:PGS524305 PQH524305:PQO524305 QAD524305:QAK524305 QJZ524305:QKG524305 QTV524305:QUC524305 RDR524305:RDY524305 RNN524305:RNU524305 RXJ524305:RXQ524305 SHF524305:SHM524305 SRB524305:SRI524305 TAX524305:TBE524305 TKT524305:TLA524305 TUP524305:TUW524305 UEL524305:UES524305 UOH524305:UOO524305 UYD524305:UYK524305 VHZ524305:VIG524305 VRV524305:VSC524305 WBR524305:WBY524305 WLN524305:WLU524305 WVJ524305:WVQ524305 B589841:I589841 IX589841:JE589841 ST589841:TA589841 ACP589841:ACW589841 AML589841:AMS589841 AWH589841:AWO589841 BGD589841:BGK589841 BPZ589841:BQG589841 BZV589841:CAC589841 CJR589841:CJY589841 CTN589841:CTU589841 DDJ589841:DDQ589841 DNF589841:DNM589841 DXB589841:DXI589841 EGX589841:EHE589841 EQT589841:ERA589841 FAP589841:FAW589841 FKL589841:FKS589841 FUH589841:FUO589841 GED589841:GEK589841 GNZ589841:GOG589841 GXV589841:GYC589841 HHR589841:HHY589841 HRN589841:HRU589841 IBJ589841:IBQ589841 ILF589841:ILM589841 IVB589841:IVI589841 JEX589841:JFE589841 JOT589841:JPA589841 JYP589841:JYW589841 KIL589841:KIS589841 KSH589841:KSO589841 LCD589841:LCK589841 LLZ589841:LMG589841 LVV589841:LWC589841 MFR589841:MFY589841 MPN589841:MPU589841 MZJ589841:MZQ589841 NJF589841:NJM589841 NTB589841:NTI589841 OCX589841:ODE589841 OMT589841:ONA589841 OWP589841:OWW589841 PGL589841:PGS589841 PQH589841:PQO589841 QAD589841:QAK589841 QJZ589841:QKG589841 QTV589841:QUC589841 RDR589841:RDY589841 RNN589841:RNU589841 RXJ589841:RXQ589841 SHF589841:SHM589841 SRB589841:SRI589841 TAX589841:TBE589841 TKT589841:TLA589841 TUP589841:TUW589841 UEL589841:UES589841 UOH589841:UOO589841 UYD589841:UYK589841 VHZ589841:VIG589841 VRV589841:VSC589841 WBR589841:WBY589841 WLN589841:WLU589841 WVJ589841:WVQ589841 B655377:I655377 IX655377:JE655377 ST655377:TA655377 ACP655377:ACW655377 AML655377:AMS655377 AWH655377:AWO655377 BGD655377:BGK655377 BPZ655377:BQG655377 BZV655377:CAC655377 CJR655377:CJY655377 CTN655377:CTU655377 DDJ655377:DDQ655377 DNF655377:DNM655377 DXB655377:DXI655377 EGX655377:EHE655377 EQT655377:ERA655377 FAP655377:FAW655377 FKL655377:FKS655377 FUH655377:FUO655377 GED655377:GEK655377 GNZ655377:GOG655377 GXV655377:GYC655377 HHR655377:HHY655377 HRN655377:HRU655377 IBJ655377:IBQ655377 ILF655377:ILM655377 IVB655377:IVI655377 JEX655377:JFE655377 JOT655377:JPA655377 JYP655377:JYW655377 KIL655377:KIS655377 KSH655377:KSO655377 LCD655377:LCK655377 LLZ655377:LMG655377 LVV655377:LWC655377 MFR655377:MFY655377 MPN655377:MPU655377 MZJ655377:MZQ655377 NJF655377:NJM655377 NTB655377:NTI655377 OCX655377:ODE655377 OMT655377:ONA655377 OWP655377:OWW655377 PGL655377:PGS655377 PQH655377:PQO655377 QAD655377:QAK655377 QJZ655377:QKG655377 QTV655377:QUC655377 RDR655377:RDY655377 RNN655377:RNU655377 RXJ655377:RXQ655377 SHF655377:SHM655377 SRB655377:SRI655377 TAX655377:TBE655377 TKT655377:TLA655377 TUP655377:TUW655377 UEL655377:UES655377 UOH655377:UOO655377 UYD655377:UYK655377 VHZ655377:VIG655377 VRV655377:VSC655377 WBR655377:WBY655377 WLN655377:WLU655377 WVJ655377:WVQ655377 B720913:I720913 IX720913:JE720913 ST720913:TA720913 ACP720913:ACW720913 AML720913:AMS720913 AWH720913:AWO720913 BGD720913:BGK720913 BPZ720913:BQG720913 BZV720913:CAC720913 CJR720913:CJY720913 CTN720913:CTU720913 DDJ720913:DDQ720913 DNF720913:DNM720913 DXB720913:DXI720913 EGX720913:EHE720913 EQT720913:ERA720913 FAP720913:FAW720913 FKL720913:FKS720913 FUH720913:FUO720913 GED720913:GEK720913 GNZ720913:GOG720913 GXV720913:GYC720913 HHR720913:HHY720913 HRN720913:HRU720913 IBJ720913:IBQ720913 ILF720913:ILM720913 IVB720913:IVI720913 JEX720913:JFE720913 JOT720913:JPA720913 JYP720913:JYW720913 KIL720913:KIS720913 KSH720913:KSO720913 LCD720913:LCK720913 LLZ720913:LMG720913 LVV720913:LWC720913 MFR720913:MFY720913 MPN720913:MPU720913 MZJ720913:MZQ720913 NJF720913:NJM720913 NTB720913:NTI720913 OCX720913:ODE720913 OMT720913:ONA720913 OWP720913:OWW720913 PGL720913:PGS720913 PQH720913:PQO720913 QAD720913:QAK720913 QJZ720913:QKG720913 QTV720913:QUC720913 RDR720913:RDY720913 RNN720913:RNU720913 RXJ720913:RXQ720913 SHF720913:SHM720913 SRB720913:SRI720913 TAX720913:TBE720913 TKT720913:TLA720913 TUP720913:TUW720913 UEL720913:UES720913 UOH720913:UOO720913 UYD720913:UYK720913 VHZ720913:VIG720913 VRV720913:VSC720913 WBR720913:WBY720913 WLN720913:WLU720913 WVJ720913:WVQ720913 B786449:I786449 IX786449:JE786449 ST786449:TA786449 ACP786449:ACW786449 AML786449:AMS786449 AWH786449:AWO786449 BGD786449:BGK786449 BPZ786449:BQG786449 BZV786449:CAC786449 CJR786449:CJY786449 CTN786449:CTU786449 DDJ786449:DDQ786449 DNF786449:DNM786449 DXB786449:DXI786449 EGX786449:EHE786449 EQT786449:ERA786449 FAP786449:FAW786449 FKL786449:FKS786449 FUH786449:FUO786449 GED786449:GEK786449 GNZ786449:GOG786449 GXV786449:GYC786449 HHR786449:HHY786449 HRN786449:HRU786449 IBJ786449:IBQ786449 ILF786449:ILM786449 IVB786449:IVI786449 JEX786449:JFE786449 JOT786449:JPA786449 JYP786449:JYW786449 KIL786449:KIS786449 KSH786449:KSO786449 LCD786449:LCK786449 LLZ786449:LMG786449 LVV786449:LWC786449 MFR786449:MFY786449 MPN786449:MPU786449 MZJ786449:MZQ786449 NJF786449:NJM786449 NTB786449:NTI786449 OCX786449:ODE786449 OMT786449:ONA786449 OWP786449:OWW786449 PGL786449:PGS786449 PQH786449:PQO786449 QAD786449:QAK786449 QJZ786449:QKG786449 QTV786449:QUC786449 RDR786449:RDY786449 RNN786449:RNU786449 RXJ786449:RXQ786449 SHF786449:SHM786449 SRB786449:SRI786449 TAX786449:TBE786449 TKT786449:TLA786449 TUP786449:TUW786449 UEL786449:UES786449 UOH786449:UOO786449 UYD786449:UYK786449 VHZ786449:VIG786449 VRV786449:VSC786449 WBR786449:WBY786449 WLN786449:WLU786449 WVJ786449:WVQ786449 B851985:I851985 IX851985:JE851985 ST851985:TA851985 ACP851985:ACW851985 AML851985:AMS851985 AWH851985:AWO851985 BGD851985:BGK851985 BPZ851985:BQG851985 BZV851985:CAC851985 CJR851985:CJY851985 CTN851985:CTU851985 DDJ851985:DDQ851985 DNF851985:DNM851985 DXB851985:DXI851985 EGX851985:EHE851985 EQT851985:ERA851985 FAP851985:FAW851985 FKL851985:FKS851985 FUH851985:FUO851985 GED851985:GEK851985 GNZ851985:GOG851985 GXV851985:GYC851985 HHR851985:HHY851985 HRN851985:HRU851985 IBJ851985:IBQ851985 ILF851985:ILM851985 IVB851985:IVI851985 JEX851985:JFE851985 JOT851985:JPA851985 JYP851985:JYW851985 KIL851985:KIS851985 KSH851985:KSO851985 LCD851985:LCK851985 LLZ851985:LMG851985 LVV851985:LWC851985 MFR851985:MFY851985 MPN851985:MPU851985 MZJ851985:MZQ851985 NJF851985:NJM851985 NTB851985:NTI851985 OCX851985:ODE851985 OMT851985:ONA851985 OWP851985:OWW851985 PGL851985:PGS851985 PQH851985:PQO851985 QAD851985:QAK851985 QJZ851985:QKG851985 QTV851985:QUC851985 RDR851985:RDY851985 RNN851985:RNU851985 RXJ851985:RXQ851985 SHF851985:SHM851985 SRB851985:SRI851985 TAX851985:TBE851985 TKT851985:TLA851985 TUP851985:TUW851985 UEL851985:UES851985 UOH851985:UOO851985 UYD851985:UYK851985 VHZ851985:VIG851985 VRV851985:VSC851985 WBR851985:WBY851985 WLN851985:WLU851985 WVJ851985:WVQ851985 B917521:I917521 IX917521:JE917521 ST917521:TA917521 ACP917521:ACW917521 AML917521:AMS917521 AWH917521:AWO917521 BGD917521:BGK917521 BPZ917521:BQG917521 BZV917521:CAC917521 CJR917521:CJY917521 CTN917521:CTU917521 DDJ917521:DDQ917521 DNF917521:DNM917521 DXB917521:DXI917521 EGX917521:EHE917521 EQT917521:ERA917521 FAP917521:FAW917521 FKL917521:FKS917521 FUH917521:FUO917521 GED917521:GEK917521 GNZ917521:GOG917521 GXV917521:GYC917521 HHR917521:HHY917521 HRN917521:HRU917521 IBJ917521:IBQ917521 ILF917521:ILM917521 IVB917521:IVI917521 JEX917521:JFE917521 JOT917521:JPA917521 JYP917521:JYW917521 KIL917521:KIS917521 KSH917521:KSO917521 LCD917521:LCK917521 LLZ917521:LMG917521 LVV917521:LWC917521 MFR917521:MFY917521 MPN917521:MPU917521 MZJ917521:MZQ917521 NJF917521:NJM917521 NTB917521:NTI917521 OCX917521:ODE917521 OMT917521:ONA917521 OWP917521:OWW917521 PGL917521:PGS917521 PQH917521:PQO917521 QAD917521:QAK917521 QJZ917521:QKG917521 QTV917521:QUC917521 RDR917521:RDY917521 RNN917521:RNU917521 RXJ917521:RXQ917521 SHF917521:SHM917521 SRB917521:SRI917521 TAX917521:TBE917521 TKT917521:TLA917521 TUP917521:TUW917521 UEL917521:UES917521 UOH917521:UOO917521 UYD917521:UYK917521 VHZ917521:VIG917521 VRV917521:VSC917521 WBR917521:WBY917521 WLN917521:WLU917521 WVJ917521:WVQ917521 B983057:I983057 IX983057:JE983057 ST983057:TA983057 ACP983057:ACW983057 AML983057:AMS983057 AWH983057:AWO983057 BGD983057:BGK983057 BPZ983057:BQG983057 BZV983057:CAC983057 CJR983057:CJY983057 CTN983057:CTU983057 DDJ983057:DDQ983057 DNF983057:DNM983057 DXB983057:DXI983057 EGX983057:EHE983057 EQT983057:ERA983057 FAP983057:FAW983057 FKL983057:FKS983057 FUH983057:FUO983057 GED983057:GEK983057 GNZ983057:GOG983057 GXV983057:GYC983057 HHR983057:HHY983057 HRN983057:HRU983057 IBJ983057:IBQ983057 ILF983057:ILM983057 IVB983057:IVI983057 JEX983057:JFE983057 JOT983057:JPA983057 JYP983057:JYW983057 KIL983057:KIS983057 KSH983057:KSO983057 LCD983057:LCK983057 LLZ983057:LMG983057 LVV983057:LWC983057 MFR983057:MFY983057 MPN983057:MPU983057 MZJ983057:MZQ983057 NJF983057:NJM983057 NTB983057:NTI983057 OCX983057:ODE983057 OMT983057:ONA983057 OWP983057:OWW983057 PGL983057:PGS983057 PQH983057:PQO983057 QAD983057:QAK983057 QJZ983057:QKG983057 QTV983057:QUC983057 RDR983057:RDY983057 RNN983057:RNU983057 RXJ983057:RXQ983057 SHF983057:SHM983057 SRB983057:SRI983057 TAX983057:TBE983057 TKT983057:TLA983057 TUP983057:TUW983057 UEL983057:UES983057 UOH983057:UOO983057 UYD983057:UYK983057 VHZ983057:VIG983057 VRV983057:VSC983057 WBR983057:WBY983057 WLN983057:WLU983057 WVJ983057:WVQ983057">
      <formula1>$K$122:$K$127</formula1>
    </dataValidation>
    <dataValidation type="list" allowBlank="1" showInputMessage="1" showErrorMessage="1" error="Please Select fromt he drop-down list." promptTitle="Data Type" prompt="Please select DateTime, Number or Text from the drop-down list." sqref="C122:C334 IY122:IY334 SU122:SU334 ACQ122:ACQ334 AMM122:AMM334 AWI122:AWI334 BGE122:BGE334 BQA122:BQA334 BZW122:BZW334 CJS122:CJS334 CTO122:CTO334 DDK122:DDK334 DNG122:DNG334 DXC122:DXC334 EGY122:EGY334 EQU122:EQU334 FAQ122:FAQ334 FKM122:FKM334 FUI122:FUI334 GEE122:GEE334 GOA122:GOA334 GXW122:GXW334 HHS122:HHS334 HRO122:HRO334 IBK122:IBK334 ILG122:ILG334 IVC122:IVC334 JEY122:JEY334 JOU122:JOU334 JYQ122:JYQ334 KIM122:KIM334 KSI122:KSI334 LCE122:LCE334 LMA122:LMA334 LVW122:LVW334 MFS122:MFS334 MPO122:MPO334 MZK122:MZK334 NJG122:NJG334 NTC122:NTC334 OCY122:OCY334 OMU122:OMU334 OWQ122:OWQ334 PGM122:PGM334 PQI122:PQI334 QAE122:QAE334 QKA122:QKA334 QTW122:QTW334 RDS122:RDS334 RNO122:RNO334 RXK122:RXK334 SHG122:SHG334 SRC122:SRC334 TAY122:TAY334 TKU122:TKU334 TUQ122:TUQ334 UEM122:UEM334 UOI122:UOI334 UYE122:UYE334 VIA122:VIA334 VRW122:VRW334 WBS122:WBS334 WLO122:WLO334 WVK122:WVK334 C65658:C65870 IY65658:IY65870 SU65658:SU65870 ACQ65658:ACQ65870 AMM65658:AMM65870 AWI65658:AWI65870 BGE65658:BGE65870 BQA65658:BQA65870 BZW65658:BZW65870 CJS65658:CJS65870 CTO65658:CTO65870 DDK65658:DDK65870 DNG65658:DNG65870 DXC65658:DXC65870 EGY65658:EGY65870 EQU65658:EQU65870 FAQ65658:FAQ65870 FKM65658:FKM65870 FUI65658:FUI65870 GEE65658:GEE65870 GOA65658:GOA65870 GXW65658:GXW65870 HHS65658:HHS65870 HRO65658:HRO65870 IBK65658:IBK65870 ILG65658:ILG65870 IVC65658:IVC65870 JEY65658:JEY65870 JOU65658:JOU65870 JYQ65658:JYQ65870 KIM65658:KIM65870 KSI65658:KSI65870 LCE65658:LCE65870 LMA65658:LMA65870 LVW65658:LVW65870 MFS65658:MFS65870 MPO65658:MPO65870 MZK65658:MZK65870 NJG65658:NJG65870 NTC65658:NTC65870 OCY65658:OCY65870 OMU65658:OMU65870 OWQ65658:OWQ65870 PGM65658:PGM65870 PQI65658:PQI65870 QAE65658:QAE65870 QKA65658:QKA65870 QTW65658:QTW65870 RDS65658:RDS65870 RNO65658:RNO65870 RXK65658:RXK65870 SHG65658:SHG65870 SRC65658:SRC65870 TAY65658:TAY65870 TKU65658:TKU65870 TUQ65658:TUQ65870 UEM65658:UEM65870 UOI65658:UOI65870 UYE65658:UYE65870 VIA65658:VIA65870 VRW65658:VRW65870 WBS65658:WBS65870 WLO65658:WLO65870 WVK65658:WVK65870 C131194:C131406 IY131194:IY131406 SU131194:SU131406 ACQ131194:ACQ131406 AMM131194:AMM131406 AWI131194:AWI131406 BGE131194:BGE131406 BQA131194:BQA131406 BZW131194:BZW131406 CJS131194:CJS131406 CTO131194:CTO131406 DDK131194:DDK131406 DNG131194:DNG131406 DXC131194:DXC131406 EGY131194:EGY131406 EQU131194:EQU131406 FAQ131194:FAQ131406 FKM131194:FKM131406 FUI131194:FUI131406 GEE131194:GEE131406 GOA131194:GOA131406 GXW131194:GXW131406 HHS131194:HHS131406 HRO131194:HRO131406 IBK131194:IBK131406 ILG131194:ILG131406 IVC131194:IVC131406 JEY131194:JEY131406 JOU131194:JOU131406 JYQ131194:JYQ131406 KIM131194:KIM131406 KSI131194:KSI131406 LCE131194:LCE131406 LMA131194:LMA131406 LVW131194:LVW131406 MFS131194:MFS131406 MPO131194:MPO131406 MZK131194:MZK131406 NJG131194:NJG131406 NTC131194:NTC131406 OCY131194:OCY131406 OMU131194:OMU131406 OWQ131194:OWQ131406 PGM131194:PGM131406 PQI131194:PQI131406 QAE131194:QAE131406 QKA131194:QKA131406 QTW131194:QTW131406 RDS131194:RDS131406 RNO131194:RNO131406 RXK131194:RXK131406 SHG131194:SHG131406 SRC131194:SRC131406 TAY131194:TAY131406 TKU131194:TKU131406 TUQ131194:TUQ131406 UEM131194:UEM131406 UOI131194:UOI131406 UYE131194:UYE131406 VIA131194:VIA131406 VRW131194:VRW131406 WBS131194:WBS131406 WLO131194:WLO131406 WVK131194:WVK131406 C196730:C196942 IY196730:IY196942 SU196730:SU196942 ACQ196730:ACQ196942 AMM196730:AMM196942 AWI196730:AWI196942 BGE196730:BGE196942 BQA196730:BQA196942 BZW196730:BZW196942 CJS196730:CJS196942 CTO196730:CTO196942 DDK196730:DDK196942 DNG196730:DNG196942 DXC196730:DXC196942 EGY196730:EGY196942 EQU196730:EQU196942 FAQ196730:FAQ196942 FKM196730:FKM196942 FUI196730:FUI196942 GEE196730:GEE196942 GOA196730:GOA196942 GXW196730:GXW196942 HHS196730:HHS196942 HRO196730:HRO196942 IBK196730:IBK196942 ILG196730:ILG196942 IVC196730:IVC196942 JEY196730:JEY196942 JOU196730:JOU196942 JYQ196730:JYQ196942 KIM196730:KIM196942 KSI196730:KSI196942 LCE196730:LCE196942 LMA196730:LMA196942 LVW196730:LVW196942 MFS196730:MFS196942 MPO196730:MPO196942 MZK196730:MZK196942 NJG196730:NJG196942 NTC196730:NTC196942 OCY196730:OCY196942 OMU196730:OMU196942 OWQ196730:OWQ196942 PGM196730:PGM196942 PQI196730:PQI196942 QAE196730:QAE196942 QKA196730:QKA196942 QTW196730:QTW196942 RDS196730:RDS196942 RNO196730:RNO196942 RXK196730:RXK196942 SHG196730:SHG196942 SRC196730:SRC196942 TAY196730:TAY196942 TKU196730:TKU196942 TUQ196730:TUQ196942 UEM196730:UEM196942 UOI196730:UOI196942 UYE196730:UYE196942 VIA196730:VIA196942 VRW196730:VRW196942 WBS196730:WBS196942 WLO196730:WLO196942 WVK196730:WVK196942 C262266:C262478 IY262266:IY262478 SU262266:SU262478 ACQ262266:ACQ262478 AMM262266:AMM262478 AWI262266:AWI262478 BGE262266:BGE262478 BQA262266:BQA262478 BZW262266:BZW262478 CJS262266:CJS262478 CTO262266:CTO262478 DDK262266:DDK262478 DNG262266:DNG262478 DXC262266:DXC262478 EGY262266:EGY262478 EQU262266:EQU262478 FAQ262266:FAQ262478 FKM262266:FKM262478 FUI262266:FUI262478 GEE262266:GEE262478 GOA262266:GOA262478 GXW262266:GXW262478 HHS262266:HHS262478 HRO262266:HRO262478 IBK262266:IBK262478 ILG262266:ILG262478 IVC262266:IVC262478 JEY262266:JEY262478 JOU262266:JOU262478 JYQ262266:JYQ262478 KIM262266:KIM262478 KSI262266:KSI262478 LCE262266:LCE262478 LMA262266:LMA262478 LVW262266:LVW262478 MFS262266:MFS262478 MPO262266:MPO262478 MZK262266:MZK262478 NJG262266:NJG262478 NTC262266:NTC262478 OCY262266:OCY262478 OMU262266:OMU262478 OWQ262266:OWQ262478 PGM262266:PGM262478 PQI262266:PQI262478 QAE262266:QAE262478 QKA262266:QKA262478 QTW262266:QTW262478 RDS262266:RDS262478 RNO262266:RNO262478 RXK262266:RXK262478 SHG262266:SHG262478 SRC262266:SRC262478 TAY262266:TAY262478 TKU262266:TKU262478 TUQ262266:TUQ262478 UEM262266:UEM262478 UOI262266:UOI262478 UYE262266:UYE262478 VIA262266:VIA262478 VRW262266:VRW262478 WBS262266:WBS262478 WLO262266:WLO262478 WVK262266:WVK262478 C327802:C328014 IY327802:IY328014 SU327802:SU328014 ACQ327802:ACQ328014 AMM327802:AMM328014 AWI327802:AWI328014 BGE327802:BGE328014 BQA327802:BQA328014 BZW327802:BZW328014 CJS327802:CJS328014 CTO327802:CTO328014 DDK327802:DDK328014 DNG327802:DNG328014 DXC327802:DXC328014 EGY327802:EGY328014 EQU327802:EQU328014 FAQ327802:FAQ328014 FKM327802:FKM328014 FUI327802:FUI328014 GEE327802:GEE328014 GOA327802:GOA328014 GXW327802:GXW328014 HHS327802:HHS328014 HRO327802:HRO328014 IBK327802:IBK328014 ILG327802:ILG328014 IVC327802:IVC328014 JEY327802:JEY328014 JOU327802:JOU328014 JYQ327802:JYQ328014 KIM327802:KIM328014 KSI327802:KSI328014 LCE327802:LCE328014 LMA327802:LMA328014 LVW327802:LVW328014 MFS327802:MFS328014 MPO327802:MPO328014 MZK327802:MZK328014 NJG327802:NJG328014 NTC327802:NTC328014 OCY327802:OCY328014 OMU327802:OMU328014 OWQ327802:OWQ328014 PGM327802:PGM328014 PQI327802:PQI328014 QAE327802:QAE328014 QKA327802:QKA328014 QTW327802:QTW328014 RDS327802:RDS328014 RNO327802:RNO328014 RXK327802:RXK328014 SHG327802:SHG328014 SRC327802:SRC328014 TAY327802:TAY328014 TKU327802:TKU328014 TUQ327802:TUQ328014 UEM327802:UEM328014 UOI327802:UOI328014 UYE327802:UYE328014 VIA327802:VIA328014 VRW327802:VRW328014 WBS327802:WBS328014 WLO327802:WLO328014 WVK327802:WVK328014 C393338:C393550 IY393338:IY393550 SU393338:SU393550 ACQ393338:ACQ393550 AMM393338:AMM393550 AWI393338:AWI393550 BGE393338:BGE393550 BQA393338:BQA393550 BZW393338:BZW393550 CJS393338:CJS393550 CTO393338:CTO393550 DDK393338:DDK393550 DNG393338:DNG393550 DXC393338:DXC393550 EGY393338:EGY393550 EQU393338:EQU393550 FAQ393338:FAQ393550 FKM393338:FKM393550 FUI393338:FUI393550 GEE393338:GEE393550 GOA393338:GOA393550 GXW393338:GXW393550 HHS393338:HHS393550 HRO393338:HRO393550 IBK393338:IBK393550 ILG393338:ILG393550 IVC393338:IVC393550 JEY393338:JEY393550 JOU393338:JOU393550 JYQ393338:JYQ393550 KIM393338:KIM393550 KSI393338:KSI393550 LCE393338:LCE393550 LMA393338:LMA393550 LVW393338:LVW393550 MFS393338:MFS393550 MPO393338:MPO393550 MZK393338:MZK393550 NJG393338:NJG393550 NTC393338:NTC393550 OCY393338:OCY393550 OMU393338:OMU393550 OWQ393338:OWQ393550 PGM393338:PGM393550 PQI393338:PQI393550 QAE393338:QAE393550 QKA393338:QKA393550 QTW393338:QTW393550 RDS393338:RDS393550 RNO393338:RNO393550 RXK393338:RXK393550 SHG393338:SHG393550 SRC393338:SRC393550 TAY393338:TAY393550 TKU393338:TKU393550 TUQ393338:TUQ393550 UEM393338:UEM393550 UOI393338:UOI393550 UYE393338:UYE393550 VIA393338:VIA393550 VRW393338:VRW393550 WBS393338:WBS393550 WLO393338:WLO393550 WVK393338:WVK393550 C458874:C459086 IY458874:IY459086 SU458874:SU459086 ACQ458874:ACQ459086 AMM458874:AMM459086 AWI458874:AWI459086 BGE458874:BGE459086 BQA458874:BQA459086 BZW458874:BZW459086 CJS458874:CJS459086 CTO458874:CTO459086 DDK458874:DDK459086 DNG458874:DNG459086 DXC458874:DXC459086 EGY458874:EGY459086 EQU458874:EQU459086 FAQ458874:FAQ459086 FKM458874:FKM459086 FUI458874:FUI459086 GEE458874:GEE459086 GOA458874:GOA459086 GXW458874:GXW459086 HHS458874:HHS459086 HRO458874:HRO459086 IBK458874:IBK459086 ILG458874:ILG459086 IVC458874:IVC459086 JEY458874:JEY459086 JOU458874:JOU459086 JYQ458874:JYQ459086 KIM458874:KIM459086 KSI458874:KSI459086 LCE458874:LCE459086 LMA458874:LMA459086 LVW458874:LVW459086 MFS458874:MFS459086 MPO458874:MPO459086 MZK458874:MZK459086 NJG458874:NJG459086 NTC458874:NTC459086 OCY458874:OCY459086 OMU458874:OMU459086 OWQ458874:OWQ459086 PGM458874:PGM459086 PQI458874:PQI459086 QAE458874:QAE459086 QKA458874:QKA459086 QTW458874:QTW459086 RDS458874:RDS459086 RNO458874:RNO459086 RXK458874:RXK459086 SHG458874:SHG459086 SRC458874:SRC459086 TAY458874:TAY459086 TKU458874:TKU459086 TUQ458874:TUQ459086 UEM458874:UEM459086 UOI458874:UOI459086 UYE458874:UYE459086 VIA458874:VIA459086 VRW458874:VRW459086 WBS458874:WBS459086 WLO458874:WLO459086 WVK458874:WVK459086 C524410:C524622 IY524410:IY524622 SU524410:SU524622 ACQ524410:ACQ524622 AMM524410:AMM524622 AWI524410:AWI524622 BGE524410:BGE524622 BQA524410:BQA524622 BZW524410:BZW524622 CJS524410:CJS524622 CTO524410:CTO524622 DDK524410:DDK524622 DNG524410:DNG524622 DXC524410:DXC524622 EGY524410:EGY524622 EQU524410:EQU524622 FAQ524410:FAQ524622 FKM524410:FKM524622 FUI524410:FUI524622 GEE524410:GEE524622 GOA524410:GOA524622 GXW524410:GXW524622 HHS524410:HHS524622 HRO524410:HRO524622 IBK524410:IBK524622 ILG524410:ILG524622 IVC524410:IVC524622 JEY524410:JEY524622 JOU524410:JOU524622 JYQ524410:JYQ524622 KIM524410:KIM524622 KSI524410:KSI524622 LCE524410:LCE524622 LMA524410:LMA524622 LVW524410:LVW524622 MFS524410:MFS524622 MPO524410:MPO524622 MZK524410:MZK524622 NJG524410:NJG524622 NTC524410:NTC524622 OCY524410:OCY524622 OMU524410:OMU524622 OWQ524410:OWQ524622 PGM524410:PGM524622 PQI524410:PQI524622 QAE524410:QAE524622 QKA524410:QKA524622 QTW524410:QTW524622 RDS524410:RDS524622 RNO524410:RNO524622 RXK524410:RXK524622 SHG524410:SHG524622 SRC524410:SRC524622 TAY524410:TAY524622 TKU524410:TKU524622 TUQ524410:TUQ524622 UEM524410:UEM524622 UOI524410:UOI524622 UYE524410:UYE524622 VIA524410:VIA524622 VRW524410:VRW524622 WBS524410:WBS524622 WLO524410:WLO524622 WVK524410:WVK524622 C589946:C590158 IY589946:IY590158 SU589946:SU590158 ACQ589946:ACQ590158 AMM589946:AMM590158 AWI589946:AWI590158 BGE589946:BGE590158 BQA589946:BQA590158 BZW589946:BZW590158 CJS589946:CJS590158 CTO589946:CTO590158 DDK589946:DDK590158 DNG589946:DNG590158 DXC589946:DXC590158 EGY589946:EGY590158 EQU589946:EQU590158 FAQ589946:FAQ590158 FKM589946:FKM590158 FUI589946:FUI590158 GEE589946:GEE590158 GOA589946:GOA590158 GXW589946:GXW590158 HHS589946:HHS590158 HRO589946:HRO590158 IBK589946:IBK590158 ILG589946:ILG590158 IVC589946:IVC590158 JEY589946:JEY590158 JOU589946:JOU590158 JYQ589946:JYQ590158 KIM589946:KIM590158 KSI589946:KSI590158 LCE589946:LCE590158 LMA589946:LMA590158 LVW589946:LVW590158 MFS589946:MFS590158 MPO589946:MPO590158 MZK589946:MZK590158 NJG589946:NJG590158 NTC589946:NTC590158 OCY589946:OCY590158 OMU589946:OMU590158 OWQ589946:OWQ590158 PGM589946:PGM590158 PQI589946:PQI590158 QAE589946:QAE590158 QKA589946:QKA590158 QTW589946:QTW590158 RDS589946:RDS590158 RNO589946:RNO590158 RXK589946:RXK590158 SHG589946:SHG590158 SRC589946:SRC590158 TAY589946:TAY590158 TKU589946:TKU590158 TUQ589946:TUQ590158 UEM589946:UEM590158 UOI589946:UOI590158 UYE589946:UYE590158 VIA589946:VIA590158 VRW589946:VRW590158 WBS589946:WBS590158 WLO589946:WLO590158 WVK589946:WVK590158 C655482:C655694 IY655482:IY655694 SU655482:SU655694 ACQ655482:ACQ655694 AMM655482:AMM655694 AWI655482:AWI655694 BGE655482:BGE655694 BQA655482:BQA655694 BZW655482:BZW655694 CJS655482:CJS655694 CTO655482:CTO655694 DDK655482:DDK655694 DNG655482:DNG655694 DXC655482:DXC655694 EGY655482:EGY655694 EQU655482:EQU655694 FAQ655482:FAQ655694 FKM655482:FKM655694 FUI655482:FUI655694 GEE655482:GEE655694 GOA655482:GOA655694 GXW655482:GXW655694 HHS655482:HHS655694 HRO655482:HRO655694 IBK655482:IBK655694 ILG655482:ILG655694 IVC655482:IVC655694 JEY655482:JEY655694 JOU655482:JOU655694 JYQ655482:JYQ655694 KIM655482:KIM655694 KSI655482:KSI655694 LCE655482:LCE655694 LMA655482:LMA655694 LVW655482:LVW655694 MFS655482:MFS655694 MPO655482:MPO655694 MZK655482:MZK655694 NJG655482:NJG655694 NTC655482:NTC655694 OCY655482:OCY655694 OMU655482:OMU655694 OWQ655482:OWQ655694 PGM655482:PGM655694 PQI655482:PQI655694 QAE655482:QAE655694 QKA655482:QKA655694 QTW655482:QTW655694 RDS655482:RDS655694 RNO655482:RNO655694 RXK655482:RXK655694 SHG655482:SHG655694 SRC655482:SRC655694 TAY655482:TAY655694 TKU655482:TKU655694 TUQ655482:TUQ655694 UEM655482:UEM655694 UOI655482:UOI655694 UYE655482:UYE655694 VIA655482:VIA655694 VRW655482:VRW655694 WBS655482:WBS655694 WLO655482:WLO655694 WVK655482:WVK655694 C721018:C721230 IY721018:IY721230 SU721018:SU721230 ACQ721018:ACQ721230 AMM721018:AMM721230 AWI721018:AWI721230 BGE721018:BGE721230 BQA721018:BQA721230 BZW721018:BZW721230 CJS721018:CJS721230 CTO721018:CTO721230 DDK721018:DDK721230 DNG721018:DNG721230 DXC721018:DXC721230 EGY721018:EGY721230 EQU721018:EQU721230 FAQ721018:FAQ721230 FKM721018:FKM721230 FUI721018:FUI721230 GEE721018:GEE721230 GOA721018:GOA721230 GXW721018:GXW721230 HHS721018:HHS721230 HRO721018:HRO721230 IBK721018:IBK721230 ILG721018:ILG721230 IVC721018:IVC721230 JEY721018:JEY721230 JOU721018:JOU721230 JYQ721018:JYQ721230 KIM721018:KIM721230 KSI721018:KSI721230 LCE721018:LCE721230 LMA721018:LMA721230 LVW721018:LVW721230 MFS721018:MFS721230 MPO721018:MPO721230 MZK721018:MZK721230 NJG721018:NJG721230 NTC721018:NTC721230 OCY721018:OCY721230 OMU721018:OMU721230 OWQ721018:OWQ721230 PGM721018:PGM721230 PQI721018:PQI721230 QAE721018:QAE721230 QKA721018:QKA721230 QTW721018:QTW721230 RDS721018:RDS721230 RNO721018:RNO721230 RXK721018:RXK721230 SHG721018:SHG721230 SRC721018:SRC721230 TAY721018:TAY721230 TKU721018:TKU721230 TUQ721018:TUQ721230 UEM721018:UEM721230 UOI721018:UOI721230 UYE721018:UYE721230 VIA721018:VIA721230 VRW721018:VRW721230 WBS721018:WBS721230 WLO721018:WLO721230 WVK721018:WVK721230 C786554:C786766 IY786554:IY786766 SU786554:SU786766 ACQ786554:ACQ786766 AMM786554:AMM786766 AWI786554:AWI786766 BGE786554:BGE786766 BQA786554:BQA786766 BZW786554:BZW786766 CJS786554:CJS786766 CTO786554:CTO786766 DDK786554:DDK786766 DNG786554:DNG786766 DXC786554:DXC786766 EGY786554:EGY786766 EQU786554:EQU786766 FAQ786554:FAQ786766 FKM786554:FKM786766 FUI786554:FUI786766 GEE786554:GEE786766 GOA786554:GOA786766 GXW786554:GXW786766 HHS786554:HHS786766 HRO786554:HRO786766 IBK786554:IBK786766 ILG786554:ILG786766 IVC786554:IVC786766 JEY786554:JEY786766 JOU786554:JOU786766 JYQ786554:JYQ786766 KIM786554:KIM786766 KSI786554:KSI786766 LCE786554:LCE786766 LMA786554:LMA786766 LVW786554:LVW786766 MFS786554:MFS786766 MPO786554:MPO786766 MZK786554:MZK786766 NJG786554:NJG786766 NTC786554:NTC786766 OCY786554:OCY786766 OMU786554:OMU786766 OWQ786554:OWQ786766 PGM786554:PGM786766 PQI786554:PQI786766 QAE786554:QAE786766 QKA786554:QKA786766 QTW786554:QTW786766 RDS786554:RDS786766 RNO786554:RNO786766 RXK786554:RXK786766 SHG786554:SHG786766 SRC786554:SRC786766 TAY786554:TAY786766 TKU786554:TKU786766 TUQ786554:TUQ786766 UEM786554:UEM786766 UOI786554:UOI786766 UYE786554:UYE786766 VIA786554:VIA786766 VRW786554:VRW786766 WBS786554:WBS786766 WLO786554:WLO786766 WVK786554:WVK786766 C852090:C852302 IY852090:IY852302 SU852090:SU852302 ACQ852090:ACQ852302 AMM852090:AMM852302 AWI852090:AWI852302 BGE852090:BGE852302 BQA852090:BQA852302 BZW852090:BZW852302 CJS852090:CJS852302 CTO852090:CTO852302 DDK852090:DDK852302 DNG852090:DNG852302 DXC852090:DXC852302 EGY852090:EGY852302 EQU852090:EQU852302 FAQ852090:FAQ852302 FKM852090:FKM852302 FUI852090:FUI852302 GEE852090:GEE852302 GOA852090:GOA852302 GXW852090:GXW852302 HHS852090:HHS852302 HRO852090:HRO852302 IBK852090:IBK852302 ILG852090:ILG852302 IVC852090:IVC852302 JEY852090:JEY852302 JOU852090:JOU852302 JYQ852090:JYQ852302 KIM852090:KIM852302 KSI852090:KSI852302 LCE852090:LCE852302 LMA852090:LMA852302 LVW852090:LVW852302 MFS852090:MFS852302 MPO852090:MPO852302 MZK852090:MZK852302 NJG852090:NJG852302 NTC852090:NTC852302 OCY852090:OCY852302 OMU852090:OMU852302 OWQ852090:OWQ852302 PGM852090:PGM852302 PQI852090:PQI852302 QAE852090:QAE852302 QKA852090:QKA852302 QTW852090:QTW852302 RDS852090:RDS852302 RNO852090:RNO852302 RXK852090:RXK852302 SHG852090:SHG852302 SRC852090:SRC852302 TAY852090:TAY852302 TKU852090:TKU852302 TUQ852090:TUQ852302 UEM852090:UEM852302 UOI852090:UOI852302 UYE852090:UYE852302 VIA852090:VIA852302 VRW852090:VRW852302 WBS852090:WBS852302 WLO852090:WLO852302 WVK852090:WVK852302 C917626:C917838 IY917626:IY917838 SU917626:SU917838 ACQ917626:ACQ917838 AMM917626:AMM917838 AWI917626:AWI917838 BGE917626:BGE917838 BQA917626:BQA917838 BZW917626:BZW917838 CJS917626:CJS917838 CTO917626:CTO917838 DDK917626:DDK917838 DNG917626:DNG917838 DXC917626:DXC917838 EGY917626:EGY917838 EQU917626:EQU917838 FAQ917626:FAQ917838 FKM917626:FKM917838 FUI917626:FUI917838 GEE917626:GEE917838 GOA917626:GOA917838 GXW917626:GXW917838 HHS917626:HHS917838 HRO917626:HRO917838 IBK917626:IBK917838 ILG917626:ILG917838 IVC917626:IVC917838 JEY917626:JEY917838 JOU917626:JOU917838 JYQ917626:JYQ917838 KIM917626:KIM917838 KSI917626:KSI917838 LCE917626:LCE917838 LMA917626:LMA917838 LVW917626:LVW917838 MFS917626:MFS917838 MPO917626:MPO917838 MZK917626:MZK917838 NJG917626:NJG917838 NTC917626:NTC917838 OCY917626:OCY917838 OMU917626:OMU917838 OWQ917626:OWQ917838 PGM917626:PGM917838 PQI917626:PQI917838 QAE917626:QAE917838 QKA917626:QKA917838 QTW917626:QTW917838 RDS917626:RDS917838 RNO917626:RNO917838 RXK917626:RXK917838 SHG917626:SHG917838 SRC917626:SRC917838 TAY917626:TAY917838 TKU917626:TKU917838 TUQ917626:TUQ917838 UEM917626:UEM917838 UOI917626:UOI917838 UYE917626:UYE917838 VIA917626:VIA917838 VRW917626:VRW917838 WBS917626:WBS917838 WLO917626:WLO917838 WVK917626:WVK917838 C983162:C983374 IY983162:IY983374 SU983162:SU983374 ACQ983162:ACQ983374 AMM983162:AMM983374 AWI983162:AWI983374 BGE983162:BGE983374 BQA983162:BQA983374 BZW983162:BZW983374 CJS983162:CJS983374 CTO983162:CTO983374 DDK983162:DDK983374 DNG983162:DNG983374 DXC983162:DXC983374 EGY983162:EGY983374 EQU983162:EQU983374 FAQ983162:FAQ983374 FKM983162:FKM983374 FUI983162:FUI983374 GEE983162:GEE983374 GOA983162:GOA983374 GXW983162:GXW983374 HHS983162:HHS983374 HRO983162:HRO983374 IBK983162:IBK983374 ILG983162:ILG983374 IVC983162:IVC983374 JEY983162:JEY983374 JOU983162:JOU983374 JYQ983162:JYQ983374 KIM983162:KIM983374 KSI983162:KSI983374 LCE983162:LCE983374 LMA983162:LMA983374 LVW983162:LVW983374 MFS983162:MFS983374 MPO983162:MPO983374 MZK983162:MZK983374 NJG983162:NJG983374 NTC983162:NTC983374 OCY983162:OCY983374 OMU983162:OMU983374 OWQ983162:OWQ983374 PGM983162:PGM983374 PQI983162:PQI983374 QAE983162:QAE983374 QKA983162:QKA983374 QTW983162:QTW983374 RDS983162:RDS983374 RNO983162:RNO983374 RXK983162:RXK983374 SHG983162:SHG983374 SRC983162:SRC983374 TAY983162:TAY983374 TKU983162:TKU983374 TUQ983162:TUQ983374 UEM983162:UEM983374 UOI983162:UOI983374 UYE983162:UYE983374 VIA983162:VIA983374 VRW983162:VRW983374 WBS983162:WBS983374 WLO983162:WLO983374 WVK983162:WVK983374">
      <formula1>$M$123:$M$125</formula1>
    </dataValidation>
  </dataValidations>
  <hyperlinks>
    <hyperlink ref="B4" r:id="rId1"/>
    <hyperlink ref="B31" r:id="rId2"/>
  </hyperlinks>
  <printOptions gridLines="1"/>
  <pageMargins left="0.53" right="0.38" top="0.5" bottom="0.5" header="0.5" footer="0.5"/>
  <pageSetup scale="99" fitToHeight="10" orientation="landscape" cellComments="atEnd" r:id="rId3"/>
  <headerFooter alignWithMargins="0"/>
  <rowBreaks count="1" manualBreakCount="1">
    <brk id="60" max="5" man="1"/>
  </rowBreaks>
  <drawing r:id="rId4"/>
  <legacy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H28"/>
  <sheetViews>
    <sheetView workbookViewId="0"/>
  </sheetViews>
  <sheetFormatPr defaultRowHeight="15"/>
  <cols>
    <col min="1" max="3" width="9.140625" style="1"/>
    <col min="4" max="4" width="13.5703125" style="1" customWidth="1"/>
    <col min="5" max="5" width="11.5703125" style="1" customWidth="1"/>
    <col min="6" max="6" width="11.140625" style="2" customWidth="1"/>
    <col min="7" max="16384" width="9.140625" style="1"/>
  </cols>
  <sheetData>
    <row r="1" spans="1:8">
      <c r="A1" s="10" t="s">
        <v>6</v>
      </c>
      <c r="B1" s="10" t="s">
        <v>98</v>
      </c>
      <c r="C1" s="10" t="s">
        <v>3</v>
      </c>
      <c r="D1" s="10" t="s">
        <v>319</v>
      </c>
      <c r="E1" s="10" t="s">
        <v>305</v>
      </c>
      <c r="F1" s="10" t="s">
        <v>306</v>
      </c>
      <c r="G1" s="11" t="s">
        <v>307</v>
      </c>
      <c r="H1" s="11" t="s">
        <v>312</v>
      </c>
    </row>
    <row r="2" spans="1:8">
      <c r="A2" s="7" t="s">
        <v>5</v>
      </c>
      <c r="B2" s="8">
        <v>3</v>
      </c>
      <c r="C2" s="7">
        <v>20</v>
      </c>
      <c r="D2" s="7">
        <v>2</v>
      </c>
      <c r="E2" s="7" t="s">
        <v>308</v>
      </c>
      <c r="F2" s="8">
        <v>151</v>
      </c>
      <c r="G2" s="9">
        <v>205.7098040001859</v>
      </c>
      <c r="H2" s="9">
        <v>2.0795277921716333</v>
      </c>
    </row>
    <row r="3" spans="1:8">
      <c r="A3" s="7" t="s">
        <v>5</v>
      </c>
      <c r="B3" s="8">
        <v>3</v>
      </c>
      <c r="C3" s="7">
        <v>20</v>
      </c>
      <c r="D3" s="7">
        <v>3</v>
      </c>
      <c r="E3" s="7" t="s">
        <v>308</v>
      </c>
      <c r="F3" s="8">
        <v>163</v>
      </c>
      <c r="G3" s="9">
        <v>100.29814174469509</v>
      </c>
      <c r="H3" s="9">
        <v>2.0281033135043449</v>
      </c>
    </row>
    <row r="4" spans="1:8">
      <c r="A4" s="7" t="s">
        <v>5</v>
      </c>
      <c r="B4" s="8">
        <v>4</v>
      </c>
      <c r="C4" s="7">
        <v>30</v>
      </c>
      <c r="D4" s="7">
        <v>2</v>
      </c>
      <c r="E4" s="7" t="s">
        <v>308</v>
      </c>
      <c r="F4" s="8">
        <v>335</v>
      </c>
      <c r="G4" s="9">
        <v>162.51217581227962</v>
      </c>
      <c r="H4" s="9">
        <v>2.7732690885196738</v>
      </c>
    </row>
    <row r="5" spans="1:8">
      <c r="A5" s="7" t="s">
        <v>5</v>
      </c>
      <c r="B5" s="8">
        <v>4</v>
      </c>
      <c r="C5" s="7">
        <v>30</v>
      </c>
      <c r="D5" s="7">
        <v>4</v>
      </c>
      <c r="E5" s="7" t="s">
        <v>308</v>
      </c>
      <c r="F5" s="8" t="s">
        <v>309</v>
      </c>
      <c r="G5" s="9">
        <v>84.292023543615755</v>
      </c>
      <c r="H5" s="9">
        <v>2.3994517007721212</v>
      </c>
    </row>
    <row r="6" spans="1:8">
      <c r="A6" s="7" t="s">
        <v>5</v>
      </c>
      <c r="B6" s="8">
        <v>6</v>
      </c>
      <c r="C6" s="7">
        <v>37</v>
      </c>
      <c r="D6" s="7">
        <v>1</v>
      </c>
      <c r="E6" s="7" t="s">
        <v>308</v>
      </c>
      <c r="F6" s="8">
        <v>470</v>
      </c>
      <c r="G6" s="9">
        <v>14.08952853761769</v>
      </c>
      <c r="H6" s="9">
        <v>2.4130111317333589</v>
      </c>
    </row>
    <row r="7" spans="1:8">
      <c r="A7" s="7" t="s">
        <v>5</v>
      </c>
      <c r="B7" s="8">
        <v>6</v>
      </c>
      <c r="C7" s="7">
        <v>37</v>
      </c>
      <c r="D7" s="7">
        <v>2</v>
      </c>
      <c r="E7" s="7" t="s">
        <v>308</v>
      </c>
      <c r="F7" s="8">
        <v>476</v>
      </c>
      <c r="G7" s="9">
        <v>30.882081061816891</v>
      </c>
      <c r="H7" s="9">
        <v>1.9099143818095214</v>
      </c>
    </row>
    <row r="8" spans="1:8">
      <c r="A8" s="7" t="s">
        <v>5</v>
      </c>
      <c r="B8" s="8">
        <v>7</v>
      </c>
      <c r="C8" s="7">
        <v>41</v>
      </c>
      <c r="D8" s="7">
        <v>2</v>
      </c>
      <c r="E8" s="7" t="s">
        <v>308</v>
      </c>
      <c r="F8" s="8">
        <v>524</v>
      </c>
      <c r="G8" s="9">
        <v>76.641253424063919</v>
      </c>
      <c r="H8" s="9">
        <v>2.376471349212526</v>
      </c>
    </row>
    <row r="9" spans="1:8">
      <c r="A9" s="7" t="s">
        <v>5</v>
      </c>
      <c r="B9" s="8">
        <v>7</v>
      </c>
      <c r="C9" s="7">
        <v>41</v>
      </c>
      <c r="D9" s="7">
        <v>3</v>
      </c>
      <c r="E9" s="7" t="s">
        <v>308</v>
      </c>
      <c r="F9" s="8">
        <v>566</v>
      </c>
      <c r="G9" s="9">
        <v>156.05218910925788</v>
      </c>
      <c r="H9" s="9">
        <v>2.2872139914641942</v>
      </c>
    </row>
    <row r="10" spans="1:8">
      <c r="A10" s="7" t="s">
        <v>5</v>
      </c>
      <c r="B10" s="8">
        <v>8</v>
      </c>
      <c r="C10" s="7">
        <v>51</v>
      </c>
      <c r="D10" s="7">
        <v>1</v>
      </c>
      <c r="E10" s="7" t="s">
        <v>308</v>
      </c>
      <c r="F10" s="8">
        <v>599</v>
      </c>
      <c r="G10" s="9">
        <v>259.12187954677023</v>
      </c>
      <c r="H10" s="9">
        <v>2.1672261033595817</v>
      </c>
    </row>
    <row r="11" spans="1:8">
      <c r="A11" s="7" t="s">
        <v>5</v>
      </c>
      <c r="B11" s="8">
        <v>8</v>
      </c>
      <c r="C11" s="7">
        <v>51</v>
      </c>
      <c r="D11" s="7">
        <v>2</v>
      </c>
      <c r="E11" s="7" t="s">
        <v>308</v>
      </c>
      <c r="F11" s="8">
        <v>611</v>
      </c>
      <c r="G11" s="9">
        <v>75.22156549273484</v>
      </c>
      <c r="H11" s="9">
        <v>1.8802101445951396</v>
      </c>
    </row>
    <row r="12" spans="1:8">
      <c r="A12" s="7" t="s">
        <v>5</v>
      </c>
      <c r="B12" s="8">
        <v>8</v>
      </c>
      <c r="C12" s="8">
        <v>51</v>
      </c>
      <c r="D12" s="8">
        <v>1</v>
      </c>
      <c r="E12" s="7" t="s">
        <v>310</v>
      </c>
      <c r="F12" s="8">
        <v>600</v>
      </c>
      <c r="G12" s="9">
        <v>68.798755523192597</v>
      </c>
      <c r="H12" s="9">
        <v>1.6599704297789204</v>
      </c>
    </row>
    <row r="13" spans="1:8">
      <c r="A13" s="7" t="s">
        <v>5</v>
      </c>
      <c r="B13" s="8">
        <v>10</v>
      </c>
      <c r="C13" s="7">
        <v>69</v>
      </c>
      <c r="D13" s="7">
        <v>4</v>
      </c>
      <c r="E13" s="7" t="s">
        <v>308</v>
      </c>
      <c r="F13" s="8">
        <v>765</v>
      </c>
      <c r="G13" s="9">
        <v>115.08987950005367</v>
      </c>
      <c r="H13" s="9">
        <v>2.0693619880058036</v>
      </c>
    </row>
    <row r="14" spans="1:8">
      <c r="A14" s="7" t="s">
        <v>5</v>
      </c>
      <c r="B14" s="8">
        <v>10</v>
      </c>
      <c r="C14" s="7">
        <v>69</v>
      </c>
      <c r="D14" s="7">
        <v>5</v>
      </c>
      <c r="E14" s="7" t="s">
        <v>308</v>
      </c>
      <c r="F14" s="8">
        <v>780</v>
      </c>
      <c r="G14" s="9">
        <v>97.654607892659669</v>
      </c>
      <c r="H14" s="9">
        <v>2.0332559238865788</v>
      </c>
    </row>
    <row r="15" spans="1:8">
      <c r="A15" s="7" t="s">
        <v>5</v>
      </c>
      <c r="B15" s="8">
        <v>12</v>
      </c>
      <c r="C15" s="7">
        <v>101</v>
      </c>
      <c r="D15" s="7">
        <v>1</v>
      </c>
      <c r="E15" s="7" t="s">
        <v>308</v>
      </c>
      <c r="F15" s="8">
        <v>860</v>
      </c>
      <c r="G15" s="9">
        <v>228.21630381866288</v>
      </c>
      <c r="H15" s="9">
        <v>2.2706496654377424</v>
      </c>
    </row>
    <row r="16" spans="1:8">
      <c r="A16" s="7" t="s">
        <v>5</v>
      </c>
      <c r="B16" s="8">
        <v>12</v>
      </c>
      <c r="C16" s="7">
        <v>101</v>
      </c>
      <c r="D16" s="7">
        <v>2</v>
      </c>
      <c r="E16" s="7" t="s">
        <v>308</v>
      </c>
      <c r="F16" s="8">
        <v>865</v>
      </c>
      <c r="G16" s="9">
        <v>347.65300035565792</v>
      </c>
      <c r="H16" s="9">
        <v>2.6862886854513777</v>
      </c>
    </row>
    <row r="17" spans="1:8">
      <c r="A17" s="7" t="s">
        <v>5</v>
      </c>
      <c r="B17" s="8">
        <v>15</v>
      </c>
      <c r="C17" s="7">
        <v>104</v>
      </c>
      <c r="D17" s="7">
        <v>1</v>
      </c>
      <c r="E17" s="7" t="s">
        <v>308</v>
      </c>
      <c r="F17" s="8">
        <v>1107</v>
      </c>
      <c r="G17" s="9">
        <v>191.24109224328811</v>
      </c>
      <c r="H17" s="9">
        <v>2.5542905074501876</v>
      </c>
    </row>
    <row r="18" spans="1:8">
      <c r="A18" s="7" t="s">
        <v>5</v>
      </c>
      <c r="B18" s="8">
        <v>15</v>
      </c>
      <c r="C18" s="7">
        <v>104</v>
      </c>
      <c r="D18" s="7">
        <v>2</v>
      </c>
      <c r="E18" s="7" t="s">
        <v>308</v>
      </c>
      <c r="F18" s="8">
        <v>1134</v>
      </c>
      <c r="G18" s="9">
        <v>118.78474765826374</v>
      </c>
      <c r="H18" s="9">
        <v>1.9323591761671046</v>
      </c>
    </row>
    <row r="19" spans="1:8">
      <c r="A19" s="7" t="s">
        <v>5</v>
      </c>
      <c r="B19" s="8">
        <v>15</v>
      </c>
      <c r="C19" s="8">
        <v>104</v>
      </c>
      <c r="D19" s="8">
        <v>2</v>
      </c>
      <c r="E19" s="7" t="s">
        <v>310</v>
      </c>
      <c r="F19" s="8">
        <v>1135</v>
      </c>
      <c r="G19" s="9">
        <v>116.17902758366316</v>
      </c>
      <c r="H19" s="9">
        <v>1.729280210270401</v>
      </c>
    </row>
    <row r="20" spans="1:8">
      <c r="A20" s="7" t="s">
        <v>5</v>
      </c>
      <c r="B20" s="8">
        <v>16</v>
      </c>
      <c r="C20" s="7">
        <v>105</v>
      </c>
      <c r="D20" s="7">
        <v>1</v>
      </c>
      <c r="E20" s="7" t="s">
        <v>308</v>
      </c>
      <c r="F20" s="8">
        <v>1186</v>
      </c>
      <c r="G20" s="9">
        <v>188.52036810932614</v>
      </c>
      <c r="H20" s="9">
        <v>2.1961797146571391</v>
      </c>
    </row>
    <row r="21" spans="1:8">
      <c r="A21" s="7" t="s">
        <v>5</v>
      </c>
      <c r="B21" s="8">
        <v>16</v>
      </c>
      <c r="C21" s="7">
        <v>105</v>
      </c>
      <c r="D21" s="7">
        <v>2</v>
      </c>
      <c r="E21" s="7" t="s">
        <v>308</v>
      </c>
      <c r="F21" s="8">
        <v>1207</v>
      </c>
      <c r="G21" s="9">
        <v>229.12485610075572</v>
      </c>
      <c r="H21" s="9">
        <v>2.5516874889576844</v>
      </c>
    </row>
    <row r="22" spans="1:8">
      <c r="A22" s="7" t="s">
        <v>5</v>
      </c>
      <c r="B22" s="8">
        <v>16</v>
      </c>
      <c r="C22" s="8">
        <v>105</v>
      </c>
      <c r="D22" s="8">
        <v>1</v>
      </c>
      <c r="E22" s="7" t="s">
        <v>310</v>
      </c>
      <c r="F22" s="8">
        <v>1208</v>
      </c>
      <c r="G22" s="9">
        <v>85.616058161517287</v>
      </c>
      <c r="H22" s="9">
        <v>1.604267780078602</v>
      </c>
    </row>
    <row r="23" spans="1:8">
      <c r="A23" s="7" t="s">
        <v>5</v>
      </c>
      <c r="B23" s="8">
        <v>18</v>
      </c>
      <c r="C23" s="7">
        <v>107</v>
      </c>
      <c r="D23" s="7">
        <v>3</v>
      </c>
      <c r="E23" s="7" t="s">
        <v>308</v>
      </c>
      <c r="F23" s="8">
        <v>1382</v>
      </c>
      <c r="G23" s="9">
        <v>65.625573605315736</v>
      </c>
      <c r="H23" s="9">
        <v>2.1641464827442767</v>
      </c>
    </row>
    <row r="24" spans="1:8">
      <c r="A24" s="7" t="s">
        <v>5</v>
      </c>
      <c r="B24" s="8">
        <v>18</v>
      </c>
      <c r="C24" s="7">
        <v>107</v>
      </c>
      <c r="D24" s="7">
        <v>4</v>
      </c>
      <c r="E24" s="7" t="s">
        <v>308</v>
      </c>
      <c r="F24" s="8">
        <v>1407</v>
      </c>
      <c r="G24" s="9">
        <v>153.75021225600815</v>
      </c>
      <c r="H24" s="9">
        <v>2.0014620822191351</v>
      </c>
    </row>
    <row r="25" spans="1:8">
      <c r="A25" s="7" t="s">
        <v>5</v>
      </c>
      <c r="B25" s="8">
        <v>18</v>
      </c>
      <c r="C25" s="8">
        <v>107</v>
      </c>
      <c r="D25" s="8">
        <v>3</v>
      </c>
      <c r="E25" s="7" t="s">
        <v>310</v>
      </c>
      <c r="F25" s="8">
        <v>1383</v>
      </c>
      <c r="G25" s="9">
        <v>187.24679746604122</v>
      </c>
      <c r="H25" s="9">
        <v>1.7468242656325721</v>
      </c>
    </row>
    <row r="26" spans="1:8">
      <c r="A26" s="7" t="s">
        <v>5</v>
      </c>
      <c r="B26" s="8">
        <v>20</v>
      </c>
      <c r="C26" s="7" t="s">
        <v>311</v>
      </c>
      <c r="D26" s="7">
        <v>2</v>
      </c>
      <c r="E26" s="7" t="s">
        <v>308</v>
      </c>
      <c r="F26" s="8">
        <v>1437</v>
      </c>
      <c r="G26" s="9">
        <v>38.849477985473335</v>
      </c>
      <c r="H26" s="9">
        <v>1.9287354407613506</v>
      </c>
    </row>
    <row r="27" spans="1:8">
      <c r="A27" s="7" t="s">
        <v>5</v>
      </c>
      <c r="B27" s="8">
        <v>20</v>
      </c>
      <c r="C27" s="7" t="s">
        <v>311</v>
      </c>
      <c r="D27" s="7">
        <v>3</v>
      </c>
      <c r="E27" s="7" t="s">
        <v>308</v>
      </c>
      <c r="F27" s="8">
        <v>1445</v>
      </c>
      <c r="G27" s="9">
        <v>106.00235693088833</v>
      </c>
      <c r="H27" s="9">
        <v>2.1109318693802184</v>
      </c>
    </row>
    <row r="28" spans="1:8">
      <c r="A28" s="7" t="s">
        <v>5</v>
      </c>
      <c r="B28" s="8">
        <v>20</v>
      </c>
      <c r="C28" s="7" t="s">
        <v>311</v>
      </c>
      <c r="D28" s="8">
        <v>3</v>
      </c>
      <c r="E28" s="7" t="s">
        <v>310</v>
      </c>
      <c r="F28" s="8">
        <v>1446</v>
      </c>
      <c r="G28" s="9">
        <v>33.897964205037212</v>
      </c>
      <c r="H28" s="9">
        <v>1.8513544542112843</v>
      </c>
    </row>
  </sheetData>
  <sortState ref="A2:I28">
    <sortCondition ref="C2:C28"/>
  </sortState>
  <pageMargins left="0.7" right="0.7" top="0.75" bottom="0.7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N637"/>
  <sheetViews>
    <sheetView zoomScale="96" zoomScaleNormal="96" workbookViewId="0">
      <selection activeCell="C20" sqref="C20"/>
    </sheetView>
  </sheetViews>
  <sheetFormatPr defaultRowHeight="12.75"/>
  <cols>
    <col min="1" max="1" width="9.140625" style="88"/>
    <col min="2" max="2" width="26.5703125" style="88" customWidth="1"/>
    <col min="3" max="3" width="51.85546875" style="88" customWidth="1"/>
    <col min="4" max="4" width="11.7109375" style="88" customWidth="1"/>
    <col min="5" max="5" width="13.85546875" style="88" customWidth="1"/>
    <col min="6" max="257" width="9.140625" style="88"/>
    <col min="258" max="258" width="26.5703125" style="88" customWidth="1"/>
    <col min="259" max="259" width="51.85546875" style="88" customWidth="1"/>
    <col min="260" max="260" width="11.7109375" style="88" customWidth="1"/>
    <col min="261" max="261" width="13.85546875" style="88" customWidth="1"/>
    <col min="262" max="513" width="9.140625" style="88"/>
    <col min="514" max="514" width="26.5703125" style="88" customWidth="1"/>
    <col min="515" max="515" width="51.85546875" style="88" customWidth="1"/>
    <col min="516" max="516" width="11.7109375" style="88" customWidth="1"/>
    <col min="517" max="517" width="13.85546875" style="88" customWidth="1"/>
    <col min="518" max="769" width="9.140625" style="88"/>
    <col min="770" max="770" width="26.5703125" style="88" customWidth="1"/>
    <col min="771" max="771" width="51.85546875" style="88" customWidth="1"/>
    <col min="772" max="772" width="11.7109375" style="88" customWidth="1"/>
    <col min="773" max="773" width="13.85546875" style="88" customWidth="1"/>
    <col min="774" max="1025" width="9.140625" style="88"/>
    <col min="1026" max="1026" width="26.5703125" style="88" customWidth="1"/>
    <col min="1027" max="1027" width="51.85546875" style="88" customWidth="1"/>
    <col min="1028" max="1028" width="11.7109375" style="88" customWidth="1"/>
    <col min="1029" max="1029" width="13.85546875" style="88" customWidth="1"/>
    <col min="1030" max="1281" width="9.140625" style="88"/>
    <col min="1282" max="1282" width="26.5703125" style="88" customWidth="1"/>
    <col min="1283" max="1283" width="51.85546875" style="88" customWidth="1"/>
    <col min="1284" max="1284" width="11.7109375" style="88" customWidth="1"/>
    <col min="1285" max="1285" width="13.85546875" style="88" customWidth="1"/>
    <col min="1286" max="1537" width="9.140625" style="88"/>
    <col min="1538" max="1538" width="26.5703125" style="88" customWidth="1"/>
    <col min="1539" max="1539" width="51.85546875" style="88" customWidth="1"/>
    <col min="1540" max="1540" width="11.7109375" style="88" customWidth="1"/>
    <col min="1541" max="1541" width="13.85546875" style="88" customWidth="1"/>
    <col min="1542" max="1793" width="9.140625" style="88"/>
    <col min="1794" max="1794" width="26.5703125" style="88" customWidth="1"/>
    <col min="1795" max="1795" width="51.85546875" style="88" customWidth="1"/>
    <col min="1796" max="1796" width="11.7109375" style="88" customWidth="1"/>
    <col min="1797" max="1797" width="13.85546875" style="88" customWidth="1"/>
    <col min="1798" max="2049" width="9.140625" style="88"/>
    <col min="2050" max="2050" width="26.5703125" style="88" customWidth="1"/>
    <col min="2051" max="2051" width="51.85546875" style="88" customWidth="1"/>
    <col min="2052" max="2052" width="11.7109375" style="88" customWidth="1"/>
    <col min="2053" max="2053" width="13.85546875" style="88" customWidth="1"/>
    <col min="2054" max="2305" width="9.140625" style="88"/>
    <col min="2306" max="2306" width="26.5703125" style="88" customWidth="1"/>
    <col min="2307" max="2307" width="51.85546875" style="88" customWidth="1"/>
    <col min="2308" max="2308" width="11.7109375" style="88" customWidth="1"/>
    <col min="2309" max="2309" width="13.85546875" style="88" customWidth="1"/>
    <col min="2310" max="2561" width="9.140625" style="88"/>
    <col min="2562" max="2562" width="26.5703125" style="88" customWidth="1"/>
    <col min="2563" max="2563" width="51.85546875" style="88" customWidth="1"/>
    <col min="2564" max="2564" width="11.7109375" style="88" customWidth="1"/>
    <col min="2565" max="2565" width="13.85546875" style="88" customWidth="1"/>
    <col min="2566" max="2817" width="9.140625" style="88"/>
    <col min="2818" max="2818" width="26.5703125" style="88" customWidth="1"/>
    <col min="2819" max="2819" width="51.85546875" style="88" customWidth="1"/>
    <col min="2820" max="2820" width="11.7109375" style="88" customWidth="1"/>
    <col min="2821" max="2821" width="13.85546875" style="88" customWidth="1"/>
    <col min="2822" max="3073" width="9.140625" style="88"/>
    <col min="3074" max="3074" width="26.5703125" style="88" customWidth="1"/>
    <col min="3075" max="3075" width="51.85546875" style="88" customWidth="1"/>
    <col min="3076" max="3076" width="11.7109375" style="88" customWidth="1"/>
    <col min="3077" max="3077" width="13.85546875" style="88" customWidth="1"/>
    <col min="3078" max="3329" width="9.140625" style="88"/>
    <col min="3330" max="3330" width="26.5703125" style="88" customWidth="1"/>
    <col min="3331" max="3331" width="51.85546875" style="88" customWidth="1"/>
    <col min="3332" max="3332" width="11.7109375" style="88" customWidth="1"/>
    <col min="3333" max="3333" width="13.85546875" style="88" customWidth="1"/>
    <col min="3334" max="3585" width="9.140625" style="88"/>
    <col min="3586" max="3586" width="26.5703125" style="88" customWidth="1"/>
    <col min="3587" max="3587" width="51.85546875" style="88" customWidth="1"/>
    <col min="3588" max="3588" width="11.7109375" style="88" customWidth="1"/>
    <col min="3589" max="3589" width="13.85546875" style="88" customWidth="1"/>
    <col min="3590" max="3841" width="9.140625" style="88"/>
    <col min="3842" max="3842" width="26.5703125" style="88" customWidth="1"/>
    <col min="3843" max="3843" width="51.85546875" style="88" customWidth="1"/>
    <col min="3844" max="3844" width="11.7109375" style="88" customWidth="1"/>
    <col min="3845" max="3845" width="13.85546875" style="88" customWidth="1"/>
    <col min="3846" max="4097" width="9.140625" style="88"/>
    <col min="4098" max="4098" width="26.5703125" style="88" customWidth="1"/>
    <col min="4099" max="4099" width="51.85546875" style="88" customWidth="1"/>
    <col min="4100" max="4100" width="11.7109375" style="88" customWidth="1"/>
    <col min="4101" max="4101" width="13.85546875" style="88" customWidth="1"/>
    <col min="4102" max="4353" width="9.140625" style="88"/>
    <col min="4354" max="4354" width="26.5703125" style="88" customWidth="1"/>
    <col min="4355" max="4355" width="51.85546875" style="88" customWidth="1"/>
    <col min="4356" max="4356" width="11.7109375" style="88" customWidth="1"/>
    <col min="4357" max="4357" width="13.85546875" style="88" customWidth="1"/>
    <col min="4358" max="4609" width="9.140625" style="88"/>
    <col min="4610" max="4610" width="26.5703125" style="88" customWidth="1"/>
    <col min="4611" max="4611" width="51.85546875" style="88" customWidth="1"/>
    <col min="4612" max="4612" width="11.7109375" style="88" customWidth="1"/>
    <col min="4613" max="4613" width="13.85546875" style="88" customWidth="1"/>
    <col min="4614" max="4865" width="9.140625" style="88"/>
    <col min="4866" max="4866" width="26.5703125" style="88" customWidth="1"/>
    <col min="4867" max="4867" width="51.85546875" style="88" customWidth="1"/>
    <col min="4868" max="4868" width="11.7109375" style="88" customWidth="1"/>
    <col min="4869" max="4869" width="13.85546875" style="88" customWidth="1"/>
    <col min="4870" max="5121" width="9.140625" style="88"/>
    <col min="5122" max="5122" width="26.5703125" style="88" customWidth="1"/>
    <col min="5123" max="5123" width="51.85546875" style="88" customWidth="1"/>
    <col min="5124" max="5124" width="11.7109375" style="88" customWidth="1"/>
    <col min="5125" max="5125" width="13.85546875" style="88" customWidth="1"/>
    <col min="5126" max="5377" width="9.140625" style="88"/>
    <col min="5378" max="5378" width="26.5703125" style="88" customWidth="1"/>
    <col min="5379" max="5379" width="51.85546875" style="88" customWidth="1"/>
    <col min="5380" max="5380" width="11.7109375" style="88" customWidth="1"/>
    <col min="5381" max="5381" width="13.85546875" style="88" customWidth="1"/>
    <col min="5382" max="5633" width="9.140625" style="88"/>
    <col min="5634" max="5634" width="26.5703125" style="88" customWidth="1"/>
    <col min="5635" max="5635" width="51.85546875" style="88" customWidth="1"/>
    <col min="5636" max="5636" width="11.7109375" style="88" customWidth="1"/>
    <col min="5637" max="5637" width="13.85546875" style="88" customWidth="1"/>
    <col min="5638" max="5889" width="9.140625" style="88"/>
    <col min="5890" max="5890" width="26.5703125" style="88" customWidth="1"/>
    <col min="5891" max="5891" width="51.85546875" style="88" customWidth="1"/>
    <col min="5892" max="5892" width="11.7109375" style="88" customWidth="1"/>
    <col min="5893" max="5893" width="13.85546875" style="88" customWidth="1"/>
    <col min="5894" max="6145" width="9.140625" style="88"/>
    <col min="6146" max="6146" width="26.5703125" style="88" customWidth="1"/>
    <col min="6147" max="6147" width="51.85546875" style="88" customWidth="1"/>
    <col min="6148" max="6148" width="11.7109375" style="88" customWidth="1"/>
    <col min="6149" max="6149" width="13.85546875" style="88" customWidth="1"/>
    <col min="6150" max="6401" width="9.140625" style="88"/>
    <col min="6402" max="6402" width="26.5703125" style="88" customWidth="1"/>
    <col min="6403" max="6403" width="51.85546875" style="88" customWidth="1"/>
    <col min="6404" max="6404" width="11.7109375" style="88" customWidth="1"/>
    <col min="6405" max="6405" width="13.85546875" style="88" customWidth="1"/>
    <col min="6406" max="6657" width="9.140625" style="88"/>
    <col min="6658" max="6658" width="26.5703125" style="88" customWidth="1"/>
    <col min="6659" max="6659" width="51.85546875" style="88" customWidth="1"/>
    <col min="6660" max="6660" width="11.7109375" style="88" customWidth="1"/>
    <col min="6661" max="6661" width="13.85546875" style="88" customWidth="1"/>
    <col min="6662" max="6913" width="9.140625" style="88"/>
    <col min="6914" max="6914" width="26.5703125" style="88" customWidth="1"/>
    <col min="6915" max="6915" width="51.85546875" style="88" customWidth="1"/>
    <col min="6916" max="6916" width="11.7109375" style="88" customWidth="1"/>
    <col min="6917" max="6917" width="13.85546875" style="88" customWidth="1"/>
    <col min="6918" max="7169" width="9.140625" style="88"/>
    <col min="7170" max="7170" width="26.5703125" style="88" customWidth="1"/>
    <col min="7171" max="7171" width="51.85546875" style="88" customWidth="1"/>
    <col min="7172" max="7172" width="11.7109375" style="88" customWidth="1"/>
    <col min="7173" max="7173" width="13.85546875" style="88" customWidth="1"/>
    <col min="7174" max="7425" width="9.140625" style="88"/>
    <col min="7426" max="7426" width="26.5703125" style="88" customWidth="1"/>
    <col min="7427" max="7427" width="51.85546875" style="88" customWidth="1"/>
    <col min="7428" max="7428" width="11.7109375" style="88" customWidth="1"/>
    <col min="7429" max="7429" width="13.85546875" style="88" customWidth="1"/>
    <col min="7430" max="7681" width="9.140625" style="88"/>
    <col min="7682" max="7682" width="26.5703125" style="88" customWidth="1"/>
    <col min="7683" max="7683" width="51.85546875" style="88" customWidth="1"/>
    <col min="7684" max="7684" width="11.7109375" style="88" customWidth="1"/>
    <col min="7685" max="7685" width="13.85546875" style="88" customWidth="1"/>
    <col min="7686" max="7937" width="9.140625" style="88"/>
    <col min="7938" max="7938" width="26.5703125" style="88" customWidth="1"/>
    <col min="7939" max="7939" width="51.85546875" style="88" customWidth="1"/>
    <col min="7940" max="7940" width="11.7109375" style="88" customWidth="1"/>
    <col min="7941" max="7941" width="13.85546875" style="88" customWidth="1"/>
    <col min="7942" max="8193" width="9.140625" style="88"/>
    <col min="8194" max="8194" width="26.5703125" style="88" customWidth="1"/>
    <col min="8195" max="8195" width="51.85546875" style="88" customWidth="1"/>
    <col min="8196" max="8196" width="11.7109375" style="88" customWidth="1"/>
    <col min="8197" max="8197" width="13.85546875" style="88" customWidth="1"/>
    <col min="8198" max="8449" width="9.140625" style="88"/>
    <col min="8450" max="8450" width="26.5703125" style="88" customWidth="1"/>
    <col min="8451" max="8451" width="51.85546875" style="88" customWidth="1"/>
    <col min="8452" max="8452" width="11.7109375" style="88" customWidth="1"/>
    <col min="8453" max="8453" width="13.85546875" style="88" customWidth="1"/>
    <col min="8454" max="8705" width="9.140625" style="88"/>
    <col min="8706" max="8706" width="26.5703125" style="88" customWidth="1"/>
    <col min="8707" max="8707" width="51.85546875" style="88" customWidth="1"/>
    <col min="8708" max="8708" width="11.7109375" style="88" customWidth="1"/>
    <col min="8709" max="8709" width="13.85546875" style="88" customWidth="1"/>
    <col min="8710" max="8961" width="9.140625" style="88"/>
    <col min="8962" max="8962" width="26.5703125" style="88" customWidth="1"/>
    <col min="8963" max="8963" width="51.85546875" style="88" customWidth="1"/>
    <col min="8964" max="8964" width="11.7109375" style="88" customWidth="1"/>
    <col min="8965" max="8965" width="13.85546875" style="88" customWidth="1"/>
    <col min="8966" max="9217" width="9.140625" style="88"/>
    <col min="9218" max="9218" width="26.5703125" style="88" customWidth="1"/>
    <col min="9219" max="9219" width="51.85546875" style="88" customWidth="1"/>
    <col min="9220" max="9220" width="11.7109375" style="88" customWidth="1"/>
    <col min="9221" max="9221" width="13.85546875" style="88" customWidth="1"/>
    <col min="9222" max="9473" width="9.140625" style="88"/>
    <col min="9474" max="9474" width="26.5703125" style="88" customWidth="1"/>
    <col min="9475" max="9475" width="51.85546875" style="88" customWidth="1"/>
    <col min="9476" max="9476" width="11.7109375" style="88" customWidth="1"/>
    <col min="9477" max="9477" width="13.85546875" style="88" customWidth="1"/>
    <col min="9478" max="9729" width="9.140625" style="88"/>
    <col min="9730" max="9730" width="26.5703125" style="88" customWidth="1"/>
    <col min="9731" max="9731" width="51.85546875" style="88" customWidth="1"/>
    <col min="9732" max="9732" width="11.7109375" style="88" customWidth="1"/>
    <col min="9733" max="9733" width="13.85546875" style="88" customWidth="1"/>
    <col min="9734" max="9985" width="9.140625" style="88"/>
    <col min="9986" max="9986" width="26.5703125" style="88" customWidth="1"/>
    <col min="9987" max="9987" width="51.85546875" style="88" customWidth="1"/>
    <col min="9988" max="9988" width="11.7109375" style="88" customWidth="1"/>
    <col min="9989" max="9989" width="13.85546875" style="88" customWidth="1"/>
    <col min="9990" max="10241" width="9.140625" style="88"/>
    <col min="10242" max="10242" width="26.5703125" style="88" customWidth="1"/>
    <col min="10243" max="10243" width="51.85546875" style="88" customWidth="1"/>
    <col min="10244" max="10244" width="11.7109375" style="88" customWidth="1"/>
    <col min="10245" max="10245" width="13.85546875" style="88" customWidth="1"/>
    <col min="10246" max="10497" width="9.140625" style="88"/>
    <col min="10498" max="10498" width="26.5703125" style="88" customWidth="1"/>
    <col min="10499" max="10499" width="51.85546875" style="88" customWidth="1"/>
    <col min="10500" max="10500" width="11.7109375" style="88" customWidth="1"/>
    <col min="10501" max="10501" width="13.85546875" style="88" customWidth="1"/>
    <col min="10502" max="10753" width="9.140625" style="88"/>
    <col min="10754" max="10754" width="26.5703125" style="88" customWidth="1"/>
    <col min="10755" max="10755" width="51.85546875" style="88" customWidth="1"/>
    <col min="10756" max="10756" width="11.7109375" style="88" customWidth="1"/>
    <col min="10757" max="10757" width="13.85546875" style="88" customWidth="1"/>
    <col min="10758" max="11009" width="9.140625" style="88"/>
    <col min="11010" max="11010" width="26.5703125" style="88" customWidth="1"/>
    <col min="11011" max="11011" width="51.85546875" style="88" customWidth="1"/>
    <col min="11012" max="11012" width="11.7109375" style="88" customWidth="1"/>
    <col min="11013" max="11013" width="13.85546875" style="88" customWidth="1"/>
    <col min="11014" max="11265" width="9.140625" style="88"/>
    <col min="11266" max="11266" width="26.5703125" style="88" customWidth="1"/>
    <col min="11267" max="11267" width="51.85546875" style="88" customWidth="1"/>
    <col min="11268" max="11268" width="11.7109375" style="88" customWidth="1"/>
    <col min="11269" max="11269" width="13.85546875" style="88" customWidth="1"/>
    <col min="11270" max="11521" width="9.140625" style="88"/>
    <col min="11522" max="11522" width="26.5703125" style="88" customWidth="1"/>
    <col min="11523" max="11523" width="51.85546875" style="88" customWidth="1"/>
    <col min="11524" max="11524" width="11.7109375" style="88" customWidth="1"/>
    <col min="11525" max="11525" width="13.85546875" style="88" customWidth="1"/>
    <col min="11526" max="11777" width="9.140625" style="88"/>
    <col min="11778" max="11778" width="26.5703125" style="88" customWidth="1"/>
    <col min="11779" max="11779" width="51.85546875" style="88" customWidth="1"/>
    <col min="11780" max="11780" width="11.7109375" style="88" customWidth="1"/>
    <col min="11781" max="11781" width="13.85546875" style="88" customWidth="1"/>
    <col min="11782" max="12033" width="9.140625" style="88"/>
    <col min="12034" max="12034" width="26.5703125" style="88" customWidth="1"/>
    <col min="12035" max="12035" width="51.85546875" style="88" customWidth="1"/>
    <col min="12036" max="12036" width="11.7109375" style="88" customWidth="1"/>
    <col min="12037" max="12037" width="13.85546875" style="88" customWidth="1"/>
    <col min="12038" max="12289" width="9.140625" style="88"/>
    <col min="12290" max="12290" width="26.5703125" style="88" customWidth="1"/>
    <col min="12291" max="12291" width="51.85546875" style="88" customWidth="1"/>
    <col min="12292" max="12292" width="11.7109375" style="88" customWidth="1"/>
    <col min="12293" max="12293" width="13.85546875" style="88" customWidth="1"/>
    <col min="12294" max="12545" width="9.140625" style="88"/>
    <col min="12546" max="12546" width="26.5703125" style="88" customWidth="1"/>
    <col min="12547" max="12547" width="51.85546875" style="88" customWidth="1"/>
    <col min="12548" max="12548" width="11.7109375" style="88" customWidth="1"/>
    <col min="12549" max="12549" width="13.85546875" style="88" customWidth="1"/>
    <col min="12550" max="12801" width="9.140625" style="88"/>
    <col min="12802" max="12802" width="26.5703125" style="88" customWidth="1"/>
    <col min="12803" max="12803" width="51.85546875" style="88" customWidth="1"/>
    <col min="12804" max="12804" width="11.7109375" style="88" customWidth="1"/>
    <col min="12805" max="12805" width="13.85546875" style="88" customWidth="1"/>
    <col min="12806" max="13057" width="9.140625" style="88"/>
    <col min="13058" max="13058" width="26.5703125" style="88" customWidth="1"/>
    <col min="13059" max="13059" width="51.85546875" style="88" customWidth="1"/>
    <col min="13060" max="13060" width="11.7109375" style="88" customWidth="1"/>
    <col min="13061" max="13061" width="13.85546875" style="88" customWidth="1"/>
    <col min="13062" max="13313" width="9.140625" style="88"/>
    <col min="13314" max="13314" width="26.5703125" style="88" customWidth="1"/>
    <col min="13315" max="13315" width="51.85546875" style="88" customWidth="1"/>
    <col min="13316" max="13316" width="11.7109375" style="88" customWidth="1"/>
    <col min="13317" max="13317" width="13.85546875" style="88" customWidth="1"/>
    <col min="13318" max="13569" width="9.140625" style="88"/>
    <col min="13570" max="13570" width="26.5703125" style="88" customWidth="1"/>
    <col min="13571" max="13571" width="51.85546875" style="88" customWidth="1"/>
    <col min="13572" max="13572" width="11.7109375" style="88" customWidth="1"/>
    <col min="13573" max="13573" width="13.85546875" style="88" customWidth="1"/>
    <col min="13574" max="13825" width="9.140625" style="88"/>
    <col min="13826" max="13826" width="26.5703125" style="88" customWidth="1"/>
    <col min="13827" max="13827" width="51.85546875" style="88" customWidth="1"/>
    <col min="13828" max="13828" width="11.7109375" style="88" customWidth="1"/>
    <col min="13829" max="13829" width="13.85546875" style="88" customWidth="1"/>
    <col min="13830" max="14081" width="9.140625" style="88"/>
    <col min="14082" max="14082" width="26.5703125" style="88" customWidth="1"/>
    <col min="14083" max="14083" width="51.85546875" style="88" customWidth="1"/>
    <col min="14084" max="14084" width="11.7109375" style="88" customWidth="1"/>
    <col min="14085" max="14085" width="13.85546875" style="88" customWidth="1"/>
    <col min="14086" max="14337" width="9.140625" style="88"/>
    <col min="14338" max="14338" width="26.5703125" style="88" customWidth="1"/>
    <col min="14339" max="14339" width="51.85546875" style="88" customWidth="1"/>
    <col min="14340" max="14340" width="11.7109375" style="88" customWidth="1"/>
    <col min="14341" max="14341" width="13.85546875" style="88" customWidth="1"/>
    <col min="14342" max="14593" width="9.140625" style="88"/>
    <col min="14594" max="14594" width="26.5703125" style="88" customWidth="1"/>
    <col min="14595" max="14595" width="51.85546875" style="88" customWidth="1"/>
    <col min="14596" max="14596" width="11.7109375" style="88" customWidth="1"/>
    <col min="14597" max="14597" width="13.85546875" style="88" customWidth="1"/>
    <col min="14598" max="14849" width="9.140625" style="88"/>
    <col min="14850" max="14850" width="26.5703125" style="88" customWidth="1"/>
    <col min="14851" max="14851" width="51.85546875" style="88" customWidth="1"/>
    <col min="14852" max="14852" width="11.7109375" style="88" customWidth="1"/>
    <col min="14853" max="14853" width="13.85546875" style="88" customWidth="1"/>
    <col min="14854" max="15105" width="9.140625" style="88"/>
    <col min="15106" max="15106" width="26.5703125" style="88" customWidth="1"/>
    <col min="15107" max="15107" width="51.85546875" style="88" customWidth="1"/>
    <col min="15108" max="15108" width="11.7109375" style="88" customWidth="1"/>
    <col min="15109" max="15109" width="13.85546875" style="88" customWidth="1"/>
    <col min="15110" max="15361" width="9.140625" style="88"/>
    <col min="15362" max="15362" width="26.5703125" style="88" customWidth="1"/>
    <col min="15363" max="15363" width="51.85546875" style="88" customWidth="1"/>
    <col min="15364" max="15364" width="11.7109375" style="88" customWidth="1"/>
    <col min="15365" max="15365" width="13.85546875" style="88" customWidth="1"/>
    <col min="15366" max="15617" width="9.140625" style="88"/>
    <col min="15618" max="15618" width="26.5703125" style="88" customWidth="1"/>
    <col min="15619" max="15619" width="51.85546875" style="88" customWidth="1"/>
    <col min="15620" max="15620" width="11.7109375" style="88" customWidth="1"/>
    <col min="15621" max="15621" width="13.85546875" style="88" customWidth="1"/>
    <col min="15622" max="15873" width="9.140625" style="88"/>
    <col min="15874" max="15874" width="26.5703125" style="88" customWidth="1"/>
    <col min="15875" max="15875" width="51.85546875" style="88" customWidth="1"/>
    <col min="15876" max="15876" width="11.7109375" style="88" customWidth="1"/>
    <col min="15877" max="15877" width="13.85546875" style="88" customWidth="1"/>
    <col min="15878" max="16129" width="9.140625" style="88"/>
    <col min="16130" max="16130" width="26.5703125" style="88" customWidth="1"/>
    <col min="16131" max="16131" width="51.85546875" style="88" customWidth="1"/>
    <col min="16132" max="16132" width="11.7109375" style="88" customWidth="1"/>
    <col min="16133" max="16133" width="13.85546875" style="88" customWidth="1"/>
    <col min="16134" max="16384" width="9.140625" style="88"/>
  </cols>
  <sheetData>
    <row r="1" spans="1:14">
      <c r="B1" s="13"/>
    </row>
    <row r="2" spans="1:14" ht="45">
      <c r="A2" s="89" t="s">
        <v>352</v>
      </c>
      <c r="B2" s="90" t="s">
        <v>350</v>
      </c>
      <c r="C2" s="90" t="s">
        <v>353</v>
      </c>
      <c r="D2" s="91" t="s">
        <v>354</v>
      </c>
      <c r="E2" s="91" t="s">
        <v>355</v>
      </c>
      <c r="F2" s="92" t="s">
        <v>356</v>
      </c>
      <c r="G2" s="90" t="s">
        <v>357</v>
      </c>
      <c r="H2" s="90" t="s">
        <v>358</v>
      </c>
      <c r="I2" s="90" t="s">
        <v>359</v>
      </c>
      <c r="J2" s="90" t="s">
        <v>360</v>
      </c>
      <c r="K2" s="93" t="s">
        <v>361</v>
      </c>
      <c r="L2" s="90" t="s">
        <v>362</v>
      </c>
      <c r="M2" s="90" t="s">
        <v>363</v>
      </c>
      <c r="N2" s="90" t="s">
        <v>364</v>
      </c>
    </row>
    <row r="3" spans="1:14">
      <c r="A3" s="88">
        <v>1169</v>
      </c>
      <c r="B3" s="13" t="s">
        <v>365</v>
      </c>
      <c r="C3" s="13" t="s">
        <v>366</v>
      </c>
      <c r="D3" s="88">
        <v>68.99666666666667</v>
      </c>
      <c r="E3" s="88">
        <v>-150.28100000000001</v>
      </c>
      <c r="F3" s="88" t="s">
        <v>367</v>
      </c>
      <c r="G3" s="88" t="s">
        <v>368</v>
      </c>
      <c r="H3" s="88" t="s">
        <v>367</v>
      </c>
      <c r="I3" s="88" t="s">
        <v>367</v>
      </c>
      <c r="J3" s="88" t="s">
        <v>369</v>
      </c>
      <c r="K3" s="88" t="s">
        <v>367</v>
      </c>
      <c r="L3" s="88" t="s">
        <v>367</v>
      </c>
      <c r="M3" s="94" t="str">
        <f t="shared" ref="M3:M66" si="0">HYPERLINK("http://maps.google.com/maps?q="&amp;D3&amp;","&amp;E3,"View on Google Map")</f>
        <v>View on Google Map</v>
      </c>
    </row>
    <row r="4" spans="1:14">
      <c r="A4" s="88">
        <v>1170</v>
      </c>
      <c r="B4" s="13" t="s">
        <v>370</v>
      </c>
      <c r="C4" s="13" t="s">
        <v>371</v>
      </c>
      <c r="D4" s="88">
        <v>68.952222222222218</v>
      </c>
      <c r="E4" s="88">
        <v>-150.21249999999998</v>
      </c>
      <c r="F4" s="88" t="s">
        <v>367</v>
      </c>
      <c r="G4" s="88" t="s">
        <v>368</v>
      </c>
      <c r="H4" s="88" t="s">
        <v>367</v>
      </c>
      <c r="I4" s="88" t="s">
        <v>367</v>
      </c>
      <c r="J4" s="88" t="s">
        <v>369</v>
      </c>
      <c r="K4" s="88" t="s">
        <v>367</v>
      </c>
      <c r="L4" s="88" t="s">
        <v>367</v>
      </c>
      <c r="M4" s="94" t="str">
        <f t="shared" si="0"/>
        <v>View on Google Map</v>
      </c>
    </row>
    <row r="5" spans="1:14">
      <c r="A5" s="88">
        <v>1171</v>
      </c>
      <c r="B5" s="13" t="s">
        <v>372</v>
      </c>
      <c r="C5" s="13" t="s">
        <v>373</v>
      </c>
      <c r="D5" s="88">
        <v>68.934444444444452</v>
      </c>
      <c r="E5" s="88">
        <v>-150.2727777777778</v>
      </c>
      <c r="F5" s="88" t="s">
        <v>367</v>
      </c>
      <c r="G5" s="88" t="s">
        <v>368</v>
      </c>
      <c r="H5" s="88" t="s">
        <v>367</v>
      </c>
      <c r="I5" s="88" t="s">
        <v>367</v>
      </c>
      <c r="J5" s="88" t="s">
        <v>374</v>
      </c>
      <c r="K5" s="88" t="s">
        <v>367</v>
      </c>
      <c r="L5" s="88" t="s">
        <v>375</v>
      </c>
      <c r="M5" s="94" t="str">
        <f t="shared" si="0"/>
        <v>View on Google Map</v>
      </c>
    </row>
    <row r="6" spans="1:14">
      <c r="A6" s="88">
        <v>518</v>
      </c>
      <c r="B6" s="88" t="s">
        <v>376</v>
      </c>
      <c r="C6" s="88" t="s">
        <v>377</v>
      </c>
      <c r="D6" s="88">
        <v>68.900986000000003</v>
      </c>
      <c r="E6" s="88">
        <v>-151.308469</v>
      </c>
      <c r="F6" s="88">
        <v>350</v>
      </c>
      <c r="G6" s="88" t="s">
        <v>378</v>
      </c>
      <c r="H6" s="88" t="s">
        <v>367</v>
      </c>
      <c r="I6" s="88" t="s">
        <v>367</v>
      </c>
      <c r="J6" s="88" t="s">
        <v>379</v>
      </c>
      <c r="K6" s="88" t="s">
        <v>367</v>
      </c>
      <c r="L6" s="88" t="s">
        <v>380</v>
      </c>
      <c r="M6" s="94" t="str">
        <f t="shared" si="0"/>
        <v>View on Google Map</v>
      </c>
    </row>
    <row r="7" spans="1:14">
      <c r="A7" s="88">
        <v>478</v>
      </c>
      <c r="B7" s="88" t="s">
        <v>381</v>
      </c>
      <c r="C7" s="88" t="s">
        <v>367</v>
      </c>
      <c r="D7" s="88">
        <v>68.510069999999999</v>
      </c>
      <c r="E7" s="88">
        <v>-149.62691000000001</v>
      </c>
      <c r="F7" s="88">
        <v>996</v>
      </c>
      <c r="G7" s="88" t="s">
        <v>378</v>
      </c>
      <c r="H7" s="88" t="s">
        <v>367</v>
      </c>
      <c r="I7" s="88" t="s">
        <v>367</v>
      </c>
      <c r="J7" s="88" t="s">
        <v>379</v>
      </c>
      <c r="K7" s="88" t="s">
        <v>367</v>
      </c>
      <c r="L7" s="88" t="s">
        <v>367</v>
      </c>
      <c r="M7" s="94" t="str">
        <f t="shared" si="0"/>
        <v>View on Google Map</v>
      </c>
    </row>
    <row r="8" spans="1:14">
      <c r="A8" s="88">
        <v>479</v>
      </c>
      <c r="B8" s="88" t="s">
        <v>382</v>
      </c>
      <c r="C8" s="88" t="s">
        <v>367</v>
      </c>
      <c r="D8" s="88">
        <v>68.505080000000007</v>
      </c>
      <c r="E8" s="88">
        <v>-149.62766999999999</v>
      </c>
      <c r="F8" s="88">
        <v>986</v>
      </c>
      <c r="G8" s="88" t="s">
        <v>378</v>
      </c>
      <c r="H8" s="88" t="s">
        <v>367</v>
      </c>
      <c r="I8" s="88" t="s">
        <v>367</v>
      </c>
      <c r="J8" s="88" t="s">
        <v>379</v>
      </c>
      <c r="K8" s="88" t="s">
        <v>367</v>
      </c>
      <c r="L8" s="88" t="s">
        <v>367</v>
      </c>
      <c r="M8" s="94" t="str">
        <f t="shared" si="0"/>
        <v>View on Google Map</v>
      </c>
    </row>
    <row r="9" spans="1:14">
      <c r="A9" s="88">
        <v>480</v>
      </c>
      <c r="B9" s="88" t="s">
        <v>383</v>
      </c>
      <c r="C9" s="88" t="s">
        <v>367</v>
      </c>
      <c r="D9" s="88">
        <v>68.502449999999996</v>
      </c>
      <c r="E9" s="88">
        <v>-149.63137</v>
      </c>
      <c r="F9" s="88">
        <v>982</v>
      </c>
      <c r="G9" s="88" t="s">
        <v>378</v>
      </c>
      <c r="H9" s="88" t="s">
        <v>367</v>
      </c>
      <c r="I9" s="88" t="s">
        <v>367</v>
      </c>
      <c r="J9" s="88" t="s">
        <v>379</v>
      </c>
      <c r="K9" s="88" t="s">
        <v>367</v>
      </c>
      <c r="L9" s="88" t="s">
        <v>367</v>
      </c>
      <c r="M9" s="94" t="str">
        <f t="shared" si="0"/>
        <v>View on Google Map</v>
      </c>
    </row>
    <row r="10" spans="1:14">
      <c r="B10" s="88" t="s">
        <v>384</v>
      </c>
      <c r="C10" s="88" t="s">
        <v>385</v>
      </c>
      <c r="D10" s="88">
        <v>69.375833333333333</v>
      </c>
      <c r="E10" s="88">
        <v>-150.68138888888899</v>
      </c>
      <c r="G10" s="88" t="s">
        <v>386</v>
      </c>
      <c r="J10" s="88" t="s">
        <v>374</v>
      </c>
      <c r="L10" s="88" t="s">
        <v>375</v>
      </c>
      <c r="M10" s="94" t="str">
        <f t="shared" si="0"/>
        <v>View on Google Map</v>
      </c>
    </row>
    <row r="11" spans="1:14">
      <c r="B11" s="88" t="s">
        <v>387</v>
      </c>
      <c r="C11" s="88" t="s">
        <v>385</v>
      </c>
      <c r="D11" s="88">
        <v>69.322777777777773</v>
      </c>
      <c r="E11" s="88">
        <v>-150.95055555555601</v>
      </c>
      <c r="G11" s="88" t="s">
        <v>386</v>
      </c>
      <c r="J11" s="88" t="s">
        <v>374</v>
      </c>
      <c r="L11" s="88" t="s">
        <v>375</v>
      </c>
      <c r="M11" s="94" t="str">
        <f t="shared" si="0"/>
        <v>View on Google Map</v>
      </c>
    </row>
    <row r="12" spans="1:14">
      <c r="B12" s="88" t="s">
        <v>388</v>
      </c>
      <c r="C12" s="88" t="s">
        <v>385</v>
      </c>
      <c r="D12" s="88">
        <v>69.328055555555565</v>
      </c>
      <c r="E12" s="88">
        <v>-150.238055555556</v>
      </c>
      <c r="G12" s="88" t="s">
        <v>386</v>
      </c>
      <c r="J12" s="88" t="s">
        <v>374</v>
      </c>
      <c r="L12" s="88" t="s">
        <v>375</v>
      </c>
      <c r="M12" s="94" t="str">
        <f t="shared" si="0"/>
        <v>View on Google Map</v>
      </c>
    </row>
    <row r="13" spans="1:14">
      <c r="B13" s="88" t="s">
        <v>389</v>
      </c>
      <c r="C13" s="88" t="s">
        <v>385</v>
      </c>
      <c r="D13" s="88">
        <v>69.30361111111111</v>
      </c>
      <c r="E13" s="88">
        <v>-149.56083333333299</v>
      </c>
      <c r="G13" s="88" t="s">
        <v>386</v>
      </c>
      <c r="J13" s="88" t="s">
        <v>374</v>
      </c>
      <c r="L13" s="88" t="s">
        <v>375</v>
      </c>
      <c r="M13" s="94" t="str">
        <f t="shared" si="0"/>
        <v>View on Google Map</v>
      </c>
    </row>
    <row r="14" spans="1:14">
      <c r="A14" s="88">
        <v>7</v>
      </c>
      <c r="B14" s="88" t="s">
        <v>390</v>
      </c>
      <c r="C14" s="88" t="s">
        <v>391</v>
      </c>
      <c r="D14" s="88">
        <v>68.95</v>
      </c>
      <c r="E14" s="88">
        <v>-148.86666666666667</v>
      </c>
      <c r="F14" s="88">
        <v>360</v>
      </c>
      <c r="G14" s="88" t="s">
        <v>392</v>
      </c>
      <c r="H14" s="88" t="s">
        <v>367</v>
      </c>
      <c r="I14" s="88" t="s">
        <v>367</v>
      </c>
      <c r="J14" s="88" t="s">
        <v>393</v>
      </c>
      <c r="K14" s="88" t="s">
        <v>367</v>
      </c>
      <c r="L14" s="88" t="s">
        <v>394</v>
      </c>
      <c r="M14" s="94" t="str">
        <f t="shared" si="0"/>
        <v>View on Google Map</v>
      </c>
    </row>
    <row r="15" spans="1:14">
      <c r="A15" s="88">
        <v>517</v>
      </c>
      <c r="B15" s="88" t="s">
        <v>395</v>
      </c>
      <c r="C15" s="88" t="s">
        <v>377</v>
      </c>
      <c r="D15" s="88">
        <v>68.467832999999999</v>
      </c>
      <c r="E15" s="88">
        <v>-151.47916699999999</v>
      </c>
      <c r="F15" s="88">
        <v>732</v>
      </c>
      <c r="G15" s="88" t="s">
        <v>378</v>
      </c>
      <c r="H15" s="88" t="s">
        <v>367</v>
      </c>
      <c r="I15" s="88" t="s">
        <v>367</v>
      </c>
      <c r="J15" s="88" t="s">
        <v>379</v>
      </c>
      <c r="K15" s="88" t="s">
        <v>367</v>
      </c>
      <c r="L15" s="88" t="s">
        <v>380</v>
      </c>
      <c r="M15" s="94" t="str">
        <f t="shared" si="0"/>
        <v>View on Google Map</v>
      </c>
    </row>
    <row r="16" spans="1:14">
      <c r="A16" s="88">
        <v>516</v>
      </c>
      <c r="B16" s="88" t="s">
        <v>396</v>
      </c>
      <c r="C16" s="88" t="s">
        <v>377</v>
      </c>
      <c r="D16" s="88">
        <v>68.467500000000001</v>
      </c>
      <c r="E16" s="88">
        <v>-151.49433300000001</v>
      </c>
      <c r="F16" s="88">
        <v>769</v>
      </c>
      <c r="G16" s="88" t="s">
        <v>378</v>
      </c>
      <c r="H16" s="88" t="s">
        <v>367</v>
      </c>
      <c r="I16" s="88" t="s">
        <v>367</v>
      </c>
      <c r="J16" s="88" t="s">
        <v>379</v>
      </c>
      <c r="K16" s="88" t="s">
        <v>367</v>
      </c>
      <c r="L16" s="88" t="s">
        <v>380</v>
      </c>
      <c r="M16" s="94" t="str">
        <f t="shared" si="0"/>
        <v>View on Google Map</v>
      </c>
    </row>
    <row r="17" spans="1:13">
      <c r="A17" s="88">
        <v>515</v>
      </c>
      <c r="B17" s="88" t="s">
        <v>397</v>
      </c>
      <c r="C17" s="88" t="s">
        <v>377</v>
      </c>
      <c r="D17" s="88">
        <v>68.463999999999999</v>
      </c>
      <c r="E17" s="88">
        <v>-151.51516699999999</v>
      </c>
      <c r="F17" s="88">
        <v>809</v>
      </c>
      <c r="G17" s="88" t="s">
        <v>378</v>
      </c>
      <c r="H17" s="88" t="s">
        <v>367</v>
      </c>
      <c r="I17" s="88" t="s">
        <v>367</v>
      </c>
      <c r="J17" s="88" t="s">
        <v>379</v>
      </c>
      <c r="K17" s="88" t="s">
        <v>367</v>
      </c>
      <c r="L17" s="88" t="s">
        <v>380</v>
      </c>
      <c r="M17" s="94" t="str">
        <f t="shared" si="0"/>
        <v>View on Google Map</v>
      </c>
    </row>
    <row r="18" spans="1:13">
      <c r="A18" s="88">
        <v>1177</v>
      </c>
      <c r="B18" s="88" t="s">
        <v>398</v>
      </c>
      <c r="C18" s="88" t="s">
        <v>399</v>
      </c>
      <c r="D18" s="88">
        <v>68.99539</v>
      </c>
      <c r="E18" s="88">
        <v>-150.28278</v>
      </c>
      <c r="F18" s="88" t="s">
        <v>367</v>
      </c>
      <c r="G18" s="88" t="s">
        <v>368</v>
      </c>
      <c r="H18" s="88" t="s">
        <v>367</v>
      </c>
      <c r="I18" s="88" t="s">
        <v>367</v>
      </c>
      <c r="J18" s="88" t="s">
        <v>374</v>
      </c>
      <c r="K18" s="88" t="s">
        <v>367</v>
      </c>
      <c r="L18" s="88" t="s">
        <v>375</v>
      </c>
      <c r="M18" s="94" t="str">
        <f t="shared" si="0"/>
        <v>View on Google Map</v>
      </c>
    </row>
    <row r="19" spans="1:13">
      <c r="A19" s="88">
        <v>1178</v>
      </c>
      <c r="B19" s="88" t="s">
        <v>400</v>
      </c>
      <c r="C19" s="88" t="s">
        <v>399</v>
      </c>
      <c r="D19" s="88">
        <v>68.996089999999995</v>
      </c>
      <c r="E19" s="88">
        <v>-150.29223999999999</v>
      </c>
      <c r="F19" s="88" t="s">
        <v>367</v>
      </c>
      <c r="G19" s="88" t="s">
        <v>368</v>
      </c>
      <c r="H19" s="88" t="s">
        <v>367</v>
      </c>
      <c r="I19" s="88" t="s">
        <v>367</v>
      </c>
      <c r="J19" s="88" t="s">
        <v>374</v>
      </c>
      <c r="K19" s="88" t="s">
        <v>367</v>
      </c>
      <c r="L19" s="88" t="s">
        <v>375</v>
      </c>
      <c r="M19" s="94" t="str">
        <f t="shared" si="0"/>
        <v>View on Google Map</v>
      </c>
    </row>
    <row r="20" spans="1:13">
      <c r="A20" s="88">
        <v>1179</v>
      </c>
      <c r="B20" s="88" t="s">
        <v>401</v>
      </c>
      <c r="C20" s="88" t="s">
        <v>402</v>
      </c>
      <c r="D20" s="88">
        <v>68.953829999999996</v>
      </c>
      <c r="E20" s="88">
        <v>-150.20697000000001</v>
      </c>
      <c r="F20" s="88" t="s">
        <v>367</v>
      </c>
      <c r="G20" s="88" t="s">
        <v>368</v>
      </c>
      <c r="H20" s="88" t="s">
        <v>367</v>
      </c>
      <c r="I20" s="88" t="s">
        <v>367</v>
      </c>
      <c r="J20" s="88" t="s">
        <v>374</v>
      </c>
      <c r="K20" s="88" t="s">
        <v>367</v>
      </c>
      <c r="L20" s="88" t="s">
        <v>375</v>
      </c>
      <c r="M20" s="94" t="str">
        <f t="shared" si="0"/>
        <v>View on Google Map</v>
      </c>
    </row>
    <row r="21" spans="1:13">
      <c r="A21" s="88">
        <v>1180</v>
      </c>
      <c r="B21" s="13" t="s">
        <v>403</v>
      </c>
      <c r="C21" s="88" t="s">
        <v>402</v>
      </c>
      <c r="D21" s="88">
        <v>68.951099999999997</v>
      </c>
      <c r="E21" s="88">
        <v>-150.20966000000001</v>
      </c>
      <c r="F21" s="88" t="s">
        <v>367</v>
      </c>
      <c r="G21" s="88" t="s">
        <v>368</v>
      </c>
      <c r="H21" s="88" t="s">
        <v>367</v>
      </c>
      <c r="I21" s="88" t="s">
        <v>367</v>
      </c>
      <c r="J21" s="88" t="s">
        <v>374</v>
      </c>
      <c r="K21" s="88" t="s">
        <v>367</v>
      </c>
      <c r="L21" s="88" t="s">
        <v>375</v>
      </c>
      <c r="M21" s="94" t="str">
        <f t="shared" si="0"/>
        <v>View on Google Map</v>
      </c>
    </row>
    <row r="22" spans="1:13">
      <c r="A22" s="88">
        <v>1181</v>
      </c>
      <c r="B22" s="13" t="s">
        <v>404</v>
      </c>
      <c r="C22" s="88" t="s">
        <v>402</v>
      </c>
      <c r="D22" s="88">
        <v>68.950720000000004</v>
      </c>
      <c r="E22" s="88">
        <v>-150.19745</v>
      </c>
      <c r="F22" s="88" t="s">
        <v>367</v>
      </c>
      <c r="G22" s="88" t="s">
        <v>368</v>
      </c>
      <c r="H22" s="88" t="s">
        <v>367</v>
      </c>
      <c r="I22" s="88" t="s">
        <v>367</v>
      </c>
      <c r="J22" s="88" t="s">
        <v>374</v>
      </c>
      <c r="K22" s="88" t="s">
        <v>367</v>
      </c>
      <c r="L22" s="88" t="s">
        <v>375</v>
      </c>
      <c r="M22" s="94" t="str">
        <f t="shared" si="0"/>
        <v>View on Google Map</v>
      </c>
    </row>
    <row r="23" spans="1:13">
      <c r="A23" s="88">
        <v>1182</v>
      </c>
      <c r="B23" s="13" t="s">
        <v>405</v>
      </c>
      <c r="C23" s="88" t="s">
        <v>402</v>
      </c>
      <c r="D23" s="88">
        <v>68.950149999999994</v>
      </c>
      <c r="E23" s="88">
        <v>-150.19701000000001</v>
      </c>
      <c r="F23" s="88" t="s">
        <v>367</v>
      </c>
      <c r="G23" s="88" t="s">
        <v>368</v>
      </c>
      <c r="H23" s="88" t="s">
        <v>367</v>
      </c>
      <c r="I23" s="88" t="s">
        <v>367</v>
      </c>
      <c r="J23" s="88" t="s">
        <v>374</v>
      </c>
      <c r="K23" s="88" t="s">
        <v>367</v>
      </c>
      <c r="L23" s="88" t="s">
        <v>375</v>
      </c>
      <c r="M23" s="94" t="str">
        <f t="shared" si="0"/>
        <v>View on Google Map</v>
      </c>
    </row>
    <row r="24" spans="1:13">
      <c r="A24" s="88">
        <v>1183</v>
      </c>
      <c r="B24" s="13" t="s">
        <v>406</v>
      </c>
      <c r="C24" s="88" t="s">
        <v>402</v>
      </c>
      <c r="D24" s="88">
        <v>68.949629999999999</v>
      </c>
      <c r="E24" s="88">
        <v>-150.19672</v>
      </c>
      <c r="F24" s="88" t="s">
        <v>367</v>
      </c>
      <c r="G24" s="88" t="s">
        <v>368</v>
      </c>
      <c r="H24" s="88" t="s">
        <v>367</v>
      </c>
      <c r="I24" s="88" t="s">
        <v>367</v>
      </c>
      <c r="J24" s="88" t="s">
        <v>374</v>
      </c>
      <c r="K24" s="88" t="s">
        <v>367</v>
      </c>
      <c r="L24" s="88" t="s">
        <v>375</v>
      </c>
      <c r="M24" s="94" t="str">
        <f t="shared" si="0"/>
        <v>View on Google Map</v>
      </c>
    </row>
    <row r="25" spans="1:13">
      <c r="A25" s="88">
        <v>1184</v>
      </c>
      <c r="B25" s="13" t="s">
        <v>407</v>
      </c>
      <c r="C25" s="88" t="s">
        <v>402</v>
      </c>
      <c r="D25" s="88">
        <v>68.952349999999996</v>
      </c>
      <c r="E25" s="88">
        <v>-150.20769999999999</v>
      </c>
      <c r="F25" s="88" t="s">
        <v>367</v>
      </c>
      <c r="G25" s="88" t="s">
        <v>368</v>
      </c>
      <c r="H25" s="88" t="s">
        <v>367</v>
      </c>
      <c r="I25" s="88" t="s">
        <v>367</v>
      </c>
      <c r="J25" s="88" t="s">
        <v>374</v>
      </c>
      <c r="K25" s="88" t="s">
        <v>367</v>
      </c>
      <c r="L25" s="88" t="s">
        <v>375</v>
      </c>
      <c r="M25" s="94" t="str">
        <f t="shared" si="0"/>
        <v>View on Google Map</v>
      </c>
    </row>
    <row r="26" spans="1:13">
      <c r="A26" s="88">
        <v>1185</v>
      </c>
      <c r="B26" s="13" t="s">
        <v>408</v>
      </c>
      <c r="C26" s="88" t="s">
        <v>402</v>
      </c>
      <c r="D26" s="88">
        <v>68.933340000000001</v>
      </c>
      <c r="E26" s="88">
        <v>-150.27288999999999</v>
      </c>
      <c r="F26" s="88" t="s">
        <v>367</v>
      </c>
      <c r="G26" s="88" t="s">
        <v>368</v>
      </c>
      <c r="H26" s="88" t="s">
        <v>367</v>
      </c>
      <c r="I26" s="88" t="s">
        <v>367</v>
      </c>
      <c r="J26" s="88" t="s">
        <v>374</v>
      </c>
      <c r="K26" s="88" t="s">
        <v>367</v>
      </c>
      <c r="L26" s="88" t="s">
        <v>375</v>
      </c>
      <c r="M26" s="94" t="str">
        <f t="shared" si="0"/>
        <v>View on Google Map</v>
      </c>
    </row>
    <row r="27" spans="1:13">
      <c r="A27" s="88">
        <v>1186</v>
      </c>
      <c r="B27" s="88" t="s">
        <v>409</v>
      </c>
      <c r="C27" s="88" t="s">
        <v>402</v>
      </c>
      <c r="D27" s="88">
        <v>68.935190000000006</v>
      </c>
      <c r="E27" s="88">
        <v>-150.26884000000001</v>
      </c>
      <c r="F27" s="88" t="s">
        <v>367</v>
      </c>
      <c r="G27" s="88" t="s">
        <v>368</v>
      </c>
      <c r="H27" s="88" t="s">
        <v>367</v>
      </c>
      <c r="I27" s="88" t="s">
        <v>367</v>
      </c>
      <c r="J27" s="88" t="s">
        <v>374</v>
      </c>
      <c r="K27" s="88" t="s">
        <v>367</v>
      </c>
      <c r="L27" s="88" t="s">
        <v>375</v>
      </c>
      <c r="M27" s="94" t="str">
        <f t="shared" si="0"/>
        <v>View on Google Map</v>
      </c>
    </row>
    <row r="28" spans="1:13">
      <c r="A28" s="88">
        <v>1187</v>
      </c>
      <c r="B28" s="13" t="s">
        <v>410</v>
      </c>
      <c r="C28" s="88" t="s">
        <v>402</v>
      </c>
      <c r="D28" s="88">
        <v>68.997339999999994</v>
      </c>
      <c r="E28" s="88">
        <v>-150.30745999999999</v>
      </c>
      <c r="F28" s="88" t="s">
        <v>367</v>
      </c>
      <c r="G28" s="88" t="s">
        <v>368</v>
      </c>
      <c r="H28" s="88" t="s">
        <v>367</v>
      </c>
      <c r="I28" s="88" t="s">
        <v>367</v>
      </c>
      <c r="J28" s="88" t="s">
        <v>374</v>
      </c>
      <c r="K28" s="88" t="s">
        <v>367</v>
      </c>
      <c r="L28" s="88" t="s">
        <v>375</v>
      </c>
      <c r="M28" s="94" t="str">
        <f t="shared" si="0"/>
        <v>View on Google Map</v>
      </c>
    </row>
    <row r="29" spans="1:13">
      <c r="A29" s="88">
        <v>1188</v>
      </c>
      <c r="B29" s="13" t="s">
        <v>411</v>
      </c>
      <c r="C29" s="88" t="s">
        <v>402</v>
      </c>
      <c r="D29" s="88">
        <v>68.950779999999995</v>
      </c>
      <c r="E29" s="88">
        <v>-150.19788</v>
      </c>
      <c r="F29" s="88" t="s">
        <v>367</v>
      </c>
      <c r="G29" s="88" t="s">
        <v>368</v>
      </c>
      <c r="H29" s="88" t="s">
        <v>367</v>
      </c>
      <c r="I29" s="88" t="s">
        <v>367</v>
      </c>
      <c r="J29" s="88" t="s">
        <v>374</v>
      </c>
      <c r="K29" s="88" t="s">
        <v>367</v>
      </c>
      <c r="L29" s="88" t="s">
        <v>375</v>
      </c>
      <c r="M29" s="94" t="str">
        <f t="shared" si="0"/>
        <v>View on Google Map</v>
      </c>
    </row>
    <row r="30" spans="1:13">
      <c r="A30" s="88">
        <v>1189</v>
      </c>
      <c r="B30" s="13" t="s">
        <v>412</v>
      </c>
      <c r="C30" s="88" t="s">
        <v>402</v>
      </c>
      <c r="D30" s="88">
        <v>68.954440000000005</v>
      </c>
      <c r="E30" s="88">
        <v>-150.20644999999999</v>
      </c>
      <c r="F30" s="88" t="s">
        <v>367</v>
      </c>
      <c r="G30" s="88" t="s">
        <v>368</v>
      </c>
      <c r="H30" s="88" t="s">
        <v>367</v>
      </c>
      <c r="I30" s="88" t="s">
        <v>367</v>
      </c>
      <c r="J30" s="88" t="s">
        <v>374</v>
      </c>
      <c r="K30" s="88" t="s">
        <v>367</v>
      </c>
      <c r="L30" s="88" t="s">
        <v>375</v>
      </c>
      <c r="M30" s="94" t="str">
        <f t="shared" si="0"/>
        <v>View on Google Map</v>
      </c>
    </row>
    <row r="31" spans="1:13">
      <c r="A31" s="88">
        <v>1190</v>
      </c>
      <c r="B31" s="13" t="s">
        <v>413</v>
      </c>
      <c r="C31" s="88" t="s">
        <v>402</v>
      </c>
      <c r="D31" s="88">
        <v>69.116330000000005</v>
      </c>
      <c r="E31" s="88">
        <v>-150.79077000000001</v>
      </c>
      <c r="F31" s="88" t="s">
        <v>367</v>
      </c>
      <c r="G31" s="88" t="s">
        <v>368</v>
      </c>
      <c r="H31" s="88" t="s">
        <v>367</v>
      </c>
      <c r="I31" s="88" t="s">
        <v>367</v>
      </c>
      <c r="J31" s="88" t="s">
        <v>374</v>
      </c>
      <c r="K31" s="88" t="s">
        <v>367</v>
      </c>
      <c r="L31" s="88" t="s">
        <v>375</v>
      </c>
      <c r="M31" s="94" t="str">
        <f t="shared" si="0"/>
        <v>View on Google Map</v>
      </c>
    </row>
    <row r="32" spans="1:13">
      <c r="A32" s="88">
        <v>1191</v>
      </c>
      <c r="B32" s="13" t="s">
        <v>414</v>
      </c>
      <c r="C32" s="88" t="s">
        <v>402</v>
      </c>
      <c r="D32" s="88">
        <v>69.116150000000005</v>
      </c>
      <c r="E32" s="88">
        <v>-150.79553999999999</v>
      </c>
      <c r="F32" s="88" t="s">
        <v>367</v>
      </c>
      <c r="G32" s="88" t="s">
        <v>368</v>
      </c>
      <c r="H32" s="88" t="s">
        <v>367</v>
      </c>
      <c r="I32" s="88" t="s">
        <v>367</v>
      </c>
      <c r="J32" s="88" t="s">
        <v>374</v>
      </c>
      <c r="K32" s="88" t="s">
        <v>367</v>
      </c>
      <c r="L32" s="88" t="s">
        <v>375</v>
      </c>
      <c r="M32" s="94" t="str">
        <f t="shared" si="0"/>
        <v>View on Google Map</v>
      </c>
    </row>
    <row r="33" spans="1:14">
      <c r="A33" s="88">
        <v>3</v>
      </c>
      <c r="B33" s="88" t="s">
        <v>415</v>
      </c>
      <c r="C33" s="88" t="s">
        <v>416</v>
      </c>
      <c r="D33" s="88">
        <v>68.266666666666666</v>
      </c>
      <c r="E33" s="88">
        <v>-149.44999999999999</v>
      </c>
      <c r="F33" s="88">
        <v>914</v>
      </c>
      <c r="G33" s="88" t="s">
        <v>392</v>
      </c>
      <c r="H33" s="88" t="s">
        <v>367</v>
      </c>
      <c r="I33" s="88" t="s">
        <v>367</v>
      </c>
      <c r="J33" s="88" t="s">
        <v>393</v>
      </c>
      <c r="K33" s="88" t="s">
        <v>367</v>
      </c>
      <c r="L33" s="88" t="s">
        <v>394</v>
      </c>
      <c r="M33" s="94" t="str">
        <f t="shared" si="0"/>
        <v>View on Google Map</v>
      </c>
    </row>
    <row r="34" spans="1:14">
      <c r="A34" s="88">
        <v>2</v>
      </c>
      <c r="B34" s="88" t="s">
        <v>417</v>
      </c>
      <c r="C34" s="88" t="s">
        <v>418</v>
      </c>
      <c r="D34" s="88">
        <v>68.266666666666666</v>
      </c>
      <c r="E34" s="88">
        <v>-149.46666666666667</v>
      </c>
      <c r="F34" s="88">
        <v>914</v>
      </c>
      <c r="G34" s="88" t="s">
        <v>392</v>
      </c>
      <c r="H34" s="88" t="s">
        <v>367</v>
      </c>
      <c r="I34" s="88" t="s">
        <v>367</v>
      </c>
      <c r="J34" s="88" t="s">
        <v>393</v>
      </c>
      <c r="K34" s="88" t="s">
        <v>367</v>
      </c>
      <c r="L34" s="88" t="s">
        <v>394</v>
      </c>
      <c r="M34" s="94" t="str">
        <f t="shared" si="0"/>
        <v>View on Google Map</v>
      </c>
    </row>
    <row r="35" spans="1:14">
      <c r="A35" s="88">
        <v>25</v>
      </c>
      <c r="B35" s="88" t="s">
        <v>419</v>
      </c>
      <c r="C35" s="88" t="s">
        <v>367</v>
      </c>
      <c r="D35" s="88" t="s">
        <v>367</v>
      </c>
      <c r="E35" s="88" t="s">
        <v>367</v>
      </c>
      <c r="F35" s="88">
        <v>1097</v>
      </c>
      <c r="G35" s="88" t="s">
        <v>392</v>
      </c>
      <c r="H35" s="88" t="s">
        <v>420</v>
      </c>
      <c r="I35" s="88" t="s">
        <v>367</v>
      </c>
      <c r="J35" s="88" t="s">
        <v>393</v>
      </c>
      <c r="K35" s="88" t="s">
        <v>367</v>
      </c>
      <c r="L35" s="88" t="s">
        <v>367</v>
      </c>
      <c r="M35" s="94" t="str">
        <f t="shared" si="0"/>
        <v>View on Google Map</v>
      </c>
    </row>
    <row r="36" spans="1:14">
      <c r="A36" s="88">
        <v>26</v>
      </c>
      <c r="B36" s="88" t="s">
        <v>421</v>
      </c>
      <c r="C36" s="88" t="s">
        <v>367</v>
      </c>
      <c r="D36" s="88" t="s">
        <v>367</v>
      </c>
      <c r="E36" s="88" t="s">
        <v>367</v>
      </c>
      <c r="F36" s="88">
        <v>1280</v>
      </c>
      <c r="G36" s="88" t="s">
        <v>392</v>
      </c>
      <c r="H36" s="88" t="s">
        <v>422</v>
      </c>
      <c r="I36" s="88" t="s">
        <v>367</v>
      </c>
      <c r="J36" s="88" t="s">
        <v>393</v>
      </c>
      <c r="K36" s="88" t="s">
        <v>367</v>
      </c>
      <c r="L36" s="88" t="s">
        <v>367</v>
      </c>
      <c r="M36" s="94" t="str">
        <f t="shared" si="0"/>
        <v>View on Google Map</v>
      </c>
    </row>
    <row r="37" spans="1:14">
      <c r="A37" s="88">
        <v>27</v>
      </c>
      <c r="B37" s="88" t="s">
        <v>423</v>
      </c>
      <c r="C37" s="88" t="s">
        <v>367</v>
      </c>
      <c r="D37" s="88" t="s">
        <v>367</v>
      </c>
      <c r="E37" s="88" t="s">
        <v>367</v>
      </c>
      <c r="F37" s="88">
        <v>1555</v>
      </c>
      <c r="G37" s="88" t="s">
        <v>392</v>
      </c>
      <c r="H37" s="88" t="s">
        <v>424</v>
      </c>
      <c r="I37" s="88" t="s">
        <v>367</v>
      </c>
      <c r="J37" s="88" t="s">
        <v>393</v>
      </c>
      <c r="K37" s="88" t="s">
        <v>367</v>
      </c>
      <c r="L37" s="88" t="s">
        <v>367</v>
      </c>
      <c r="M37" s="94" t="str">
        <f t="shared" si="0"/>
        <v>View on Google Map</v>
      </c>
    </row>
    <row r="38" spans="1:14" ht="12.75" customHeight="1">
      <c r="A38" s="88">
        <v>138</v>
      </c>
      <c r="B38" s="88" t="s">
        <v>425</v>
      </c>
      <c r="C38" s="88" t="s">
        <v>367</v>
      </c>
      <c r="D38" s="88">
        <v>70.283333333333331</v>
      </c>
      <c r="E38" s="88">
        <v>-148.30000000000001</v>
      </c>
      <c r="F38" s="88">
        <v>6</v>
      </c>
      <c r="G38" s="88" t="s">
        <v>378</v>
      </c>
      <c r="H38" s="88" t="s">
        <v>426</v>
      </c>
      <c r="I38" s="88" t="s">
        <v>367</v>
      </c>
      <c r="J38" s="88" t="s">
        <v>393</v>
      </c>
      <c r="K38" s="88" t="s">
        <v>367</v>
      </c>
      <c r="L38" s="88" t="s">
        <v>394</v>
      </c>
      <c r="M38" s="94" t="str">
        <f t="shared" si="0"/>
        <v>View on Google Map</v>
      </c>
    </row>
    <row r="39" spans="1:14" ht="12.75" customHeight="1">
      <c r="A39" s="88">
        <v>31</v>
      </c>
      <c r="B39" s="88" t="s">
        <v>427</v>
      </c>
      <c r="C39" s="88" t="s">
        <v>367</v>
      </c>
      <c r="D39" s="88">
        <v>68.957566666999995</v>
      </c>
      <c r="E39" s="88">
        <v>-150.236266667</v>
      </c>
      <c r="F39" s="88">
        <v>386.18</v>
      </c>
      <c r="G39" s="88" t="s">
        <v>392</v>
      </c>
      <c r="H39" s="88" t="s">
        <v>367</v>
      </c>
      <c r="I39" s="88" t="s">
        <v>367</v>
      </c>
      <c r="J39" s="88" t="s">
        <v>428</v>
      </c>
      <c r="K39" s="88" t="s">
        <v>367</v>
      </c>
      <c r="L39" s="88" t="s">
        <v>375</v>
      </c>
      <c r="M39" s="94" t="str">
        <f t="shared" si="0"/>
        <v>View on Google Map</v>
      </c>
    </row>
    <row r="40" spans="1:14" ht="12.75" customHeight="1">
      <c r="A40" s="88">
        <v>131</v>
      </c>
      <c r="B40" s="88" t="s">
        <v>429</v>
      </c>
      <c r="C40" s="88" t="s">
        <v>367</v>
      </c>
      <c r="D40" s="88">
        <v>70.333333333333329</v>
      </c>
      <c r="E40" s="88">
        <v>-148.93333333333334</v>
      </c>
      <c r="F40" s="88">
        <v>3</v>
      </c>
      <c r="G40" s="88" t="s">
        <v>378</v>
      </c>
      <c r="H40" s="88" t="s">
        <v>430</v>
      </c>
      <c r="I40" s="88" t="s">
        <v>367</v>
      </c>
      <c r="J40" s="88" t="s">
        <v>393</v>
      </c>
      <c r="K40" s="88" t="s">
        <v>367</v>
      </c>
      <c r="L40" s="88" t="s">
        <v>394</v>
      </c>
      <c r="M40" s="94" t="str">
        <f t="shared" si="0"/>
        <v>View on Google Map</v>
      </c>
    </row>
    <row r="41" spans="1:14" s="95" customFormat="1" ht="12.75" customHeight="1">
      <c r="A41" s="88">
        <v>132</v>
      </c>
      <c r="B41" s="88" t="s">
        <v>431</v>
      </c>
      <c r="C41" s="88" t="s">
        <v>367</v>
      </c>
      <c r="D41" s="88">
        <v>70.333333333333329</v>
      </c>
      <c r="E41" s="88">
        <v>-148.93333333333334</v>
      </c>
      <c r="F41" s="88">
        <v>3</v>
      </c>
      <c r="G41" s="88" t="s">
        <v>378</v>
      </c>
      <c r="H41" s="88" t="s">
        <v>432</v>
      </c>
      <c r="I41" s="88" t="s">
        <v>367</v>
      </c>
      <c r="J41" s="88" t="s">
        <v>393</v>
      </c>
      <c r="K41" s="88" t="s">
        <v>367</v>
      </c>
      <c r="L41" s="88" t="s">
        <v>394</v>
      </c>
      <c r="M41" s="94" t="str">
        <f t="shared" si="0"/>
        <v>View on Google Map</v>
      </c>
      <c r="N41" s="88"/>
    </row>
    <row r="42" spans="1:14" ht="12.75" customHeight="1">
      <c r="A42" s="88">
        <v>141</v>
      </c>
      <c r="B42" s="88" t="s">
        <v>433</v>
      </c>
      <c r="C42" s="88" t="s">
        <v>434</v>
      </c>
      <c r="D42" s="88">
        <v>68.63333333333334</v>
      </c>
      <c r="E42" s="88">
        <v>-149.6</v>
      </c>
      <c r="F42" s="88">
        <v>720</v>
      </c>
      <c r="G42" s="88" t="s">
        <v>378</v>
      </c>
      <c r="H42" s="88" t="s">
        <v>435</v>
      </c>
      <c r="I42" s="88" t="s">
        <v>436</v>
      </c>
      <c r="J42" s="88" t="s">
        <v>393</v>
      </c>
      <c r="K42" s="88" t="s">
        <v>367</v>
      </c>
      <c r="L42" s="88" t="s">
        <v>394</v>
      </c>
      <c r="M42" s="94" t="str">
        <f t="shared" si="0"/>
        <v>View on Google Map</v>
      </c>
    </row>
    <row r="43" spans="1:14" ht="12.75" customHeight="1">
      <c r="A43" s="88">
        <v>160</v>
      </c>
      <c r="B43" s="88" t="s">
        <v>437</v>
      </c>
      <c r="C43" s="88" t="s">
        <v>367</v>
      </c>
      <c r="D43" s="88">
        <v>68.599999999999994</v>
      </c>
      <c r="E43" s="88">
        <v>-149.18333333333334</v>
      </c>
      <c r="F43" s="88">
        <v>864</v>
      </c>
      <c r="G43" s="88" t="s">
        <v>378</v>
      </c>
      <c r="H43" s="88" t="s">
        <v>438</v>
      </c>
      <c r="I43" s="88" t="s">
        <v>439</v>
      </c>
      <c r="J43" s="88" t="s">
        <v>393</v>
      </c>
      <c r="K43" s="88">
        <v>246</v>
      </c>
      <c r="L43" s="88" t="s">
        <v>394</v>
      </c>
      <c r="M43" s="94" t="str">
        <f t="shared" si="0"/>
        <v>View on Google Map</v>
      </c>
    </row>
    <row r="44" spans="1:14" ht="12.75" customHeight="1">
      <c r="A44" s="88">
        <v>481</v>
      </c>
      <c r="B44" s="88" t="s">
        <v>440</v>
      </c>
      <c r="C44" s="88" t="s">
        <v>367</v>
      </c>
      <c r="D44" s="88">
        <v>68.976716667000005</v>
      </c>
      <c r="E44" s="88">
        <v>-150.20383333300001</v>
      </c>
      <c r="F44" s="88">
        <v>362</v>
      </c>
      <c r="G44" s="88" t="s">
        <v>378</v>
      </c>
      <c r="H44" s="88" t="s">
        <v>367</v>
      </c>
      <c r="I44" s="88" t="s">
        <v>367</v>
      </c>
      <c r="J44" s="88" t="s">
        <v>428</v>
      </c>
      <c r="K44" s="88" t="s">
        <v>367</v>
      </c>
      <c r="L44" s="88" t="s">
        <v>375</v>
      </c>
      <c r="M44" s="94" t="str">
        <f t="shared" si="0"/>
        <v>View on Google Map</v>
      </c>
    </row>
    <row r="45" spans="1:14">
      <c r="A45" s="88">
        <v>21</v>
      </c>
      <c r="B45" s="88" t="s">
        <v>441</v>
      </c>
      <c r="C45" s="88" t="s">
        <v>367</v>
      </c>
      <c r="D45" s="88" t="s">
        <v>367</v>
      </c>
      <c r="E45" s="88" t="s">
        <v>367</v>
      </c>
      <c r="F45" s="88" t="s">
        <v>367</v>
      </c>
      <c r="G45" s="88" t="s">
        <v>392</v>
      </c>
      <c r="H45" s="88" t="s">
        <v>367</v>
      </c>
      <c r="I45" s="88" t="s">
        <v>367</v>
      </c>
      <c r="J45" s="88" t="s">
        <v>393</v>
      </c>
      <c r="K45" s="88" t="s">
        <v>367</v>
      </c>
      <c r="L45" s="88" t="s">
        <v>367</v>
      </c>
      <c r="M45" s="94" t="str">
        <f t="shared" si="0"/>
        <v>View on Google Map</v>
      </c>
      <c r="N45" s="95"/>
    </row>
    <row r="46" spans="1:14">
      <c r="A46" s="88">
        <v>470</v>
      </c>
      <c r="B46" s="88" t="s">
        <v>442</v>
      </c>
      <c r="C46" s="88" t="s">
        <v>367</v>
      </c>
      <c r="D46" s="88">
        <v>68.829459999999997</v>
      </c>
      <c r="E46" s="88">
        <v>-149.77891</v>
      </c>
      <c r="F46" s="88">
        <v>634</v>
      </c>
      <c r="G46" s="88" t="s">
        <v>378</v>
      </c>
      <c r="H46" s="88" t="s">
        <v>367</v>
      </c>
      <c r="I46" s="88" t="s">
        <v>367</v>
      </c>
      <c r="J46" s="88" t="s">
        <v>379</v>
      </c>
      <c r="K46" s="88" t="s">
        <v>367</v>
      </c>
      <c r="L46" s="88" t="s">
        <v>367</v>
      </c>
      <c r="M46" s="94" t="str">
        <f t="shared" si="0"/>
        <v>View on Google Map</v>
      </c>
    </row>
    <row r="47" spans="1:14">
      <c r="A47" s="88">
        <v>471</v>
      </c>
      <c r="B47" s="88" t="s">
        <v>443</v>
      </c>
      <c r="C47" s="88" t="s">
        <v>367</v>
      </c>
      <c r="D47" s="88">
        <v>68.832939999999994</v>
      </c>
      <c r="E47" s="88">
        <v>-149.76775000000001</v>
      </c>
      <c r="F47" s="88">
        <v>624</v>
      </c>
      <c r="G47" s="88" t="s">
        <v>378</v>
      </c>
      <c r="H47" s="88" t="s">
        <v>367</v>
      </c>
      <c r="I47" s="88" t="s">
        <v>367</v>
      </c>
      <c r="J47" s="88" t="s">
        <v>379</v>
      </c>
      <c r="K47" s="88" t="s">
        <v>367</v>
      </c>
      <c r="L47" s="88" t="s">
        <v>367</v>
      </c>
      <c r="M47" s="94" t="str">
        <f t="shared" si="0"/>
        <v>View on Google Map</v>
      </c>
    </row>
    <row r="48" spans="1:14">
      <c r="A48" s="88">
        <v>472</v>
      </c>
      <c r="B48" s="88" t="s">
        <v>444</v>
      </c>
      <c r="C48" s="88" t="s">
        <v>367</v>
      </c>
      <c r="D48" s="88">
        <v>68.828059999999994</v>
      </c>
      <c r="E48" s="88">
        <v>-149.76449</v>
      </c>
      <c r="F48" s="88">
        <v>624</v>
      </c>
      <c r="G48" s="88" t="s">
        <v>378</v>
      </c>
      <c r="H48" s="88" t="s">
        <v>367</v>
      </c>
      <c r="I48" s="88" t="s">
        <v>367</v>
      </c>
      <c r="J48" s="88" t="s">
        <v>379</v>
      </c>
      <c r="K48" s="88" t="s">
        <v>367</v>
      </c>
      <c r="L48" s="88" t="s">
        <v>367</v>
      </c>
      <c r="M48" s="94" t="str">
        <f t="shared" si="0"/>
        <v>View on Google Map</v>
      </c>
    </row>
    <row r="49" spans="1:13">
      <c r="A49" s="88">
        <v>473</v>
      </c>
      <c r="B49" s="88" t="s">
        <v>445</v>
      </c>
      <c r="C49" s="88" t="s">
        <v>367</v>
      </c>
      <c r="D49" s="88">
        <v>68.826400000000007</v>
      </c>
      <c r="E49" s="88">
        <v>-149.7585</v>
      </c>
      <c r="F49" s="88">
        <v>592</v>
      </c>
      <c r="G49" s="88" t="s">
        <v>378</v>
      </c>
      <c r="H49" s="88" t="s">
        <v>367</v>
      </c>
      <c r="I49" s="88" t="s">
        <v>367</v>
      </c>
      <c r="J49" s="88" t="s">
        <v>379</v>
      </c>
      <c r="K49" s="88" t="s">
        <v>367</v>
      </c>
      <c r="L49" s="88" t="s">
        <v>367</v>
      </c>
      <c r="M49" s="94" t="str">
        <f t="shared" si="0"/>
        <v>View on Google Map</v>
      </c>
    </row>
    <row r="50" spans="1:13">
      <c r="A50" s="88">
        <v>474</v>
      </c>
      <c r="B50" s="88" t="s">
        <v>446</v>
      </c>
      <c r="C50" s="88" t="s">
        <v>367</v>
      </c>
      <c r="D50" s="88">
        <v>68.827349999999996</v>
      </c>
      <c r="E50" s="88">
        <v>-149.74993000000001</v>
      </c>
      <c r="F50" s="88">
        <v>592</v>
      </c>
      <c r="G50" s="88" t="s">
        <v>378</v>
      </c>
      <c r="H50" s="88" t="s">
        <v>367</v>
      </c>
      <c r="I50" s="88" t="s">
        <v>367</v>
      </c>
      <c r="J50" s="88" t="s">
        <v>379</v>
      </c>
      <c r="K50" s="88" t="s">
        <v>367</v>
      </c>
      <c r="L50" s="88" t="s">
        <v>367</v>
      </c>
      <c r="M50" s="94" t="str">
        <f t="shared" si="0"/>
        <v>View on Google Map</v>
      </c>
    </row>
    <row r="51" spans="1:13">
      <c r="A51" s="88">
        <v>475</v>
      </c>
      <c r="B51" s="88" t="s">
        <v>447</v>
      </c>
      <c r="C51" s="88" t="s">
        <v>367</v>
      </c>
      <c r="D51" s="88">
        <v>68.831180000000003</v>
      </c>
      <c r="E51" s="88">
        <v>-149.74606</v>
      </c>
      <c r="F51" s="88">
        <v>593</v>
      </c>
      <c r="G51" s="88" t="s">
        <v>378</v>
      </c>
      <c r="H51" s="88" t="s">
        <v>448</v>
      </c>
      <c r="I51" s="88" t="s">
        <v>367</v>
      </c>
      <c r="J51" s="88" t="s">
        <v>379</v>
      </c>
      <c r="K51" s="88" t="s">
        <v>367</v>
      </c>
      <c r="L51" s="88" t="s">
        <v>367</v>
      </c>
      <c r="M51" s="94" t="str">
        <f t="shared" si="0"/>
        <v>View on Google Map</v>
      </c>
    </row>
    <row r="52" spans="1:13">
      <c r="A52" s="88">
        <v>476</v>
      </c>
      <c r="B52" s="88" t="s">
        <v>449</v>
      </c>
      <c r="C52" s="88" t="s">
        <v>367</v>
      </c>
      <c r="D52" s="88">
        <v>68.825339999999997</v>
      </c>
      <c r="E52" s="88">
        <v>-149.76837</v>
      </c>
      <c r="F52" s="88">
        <v>621</v>
      </c>
      <c r="G52" s="88" t="s">
        <v>378</v>
      </c>
      <c r="H52" s="88" t="s">
        <v>367</v>
      </c>
      <c r="I52" s="88" t="s">
        <v>367</v>
      </c>
      <c r="J52" s="88" t="s">
        <v>379</v>
      </c>
      <c r="K52" s="88" t="s">
        <v>367</v>
      </c>
      <c r="L52" s="88" t="s">
        <v>367</v>
      </c>
      <c r="M52" s="94" t="str">
        <f t="shared" si="0"/>
        <v>View on Google Map</v>
      </c>
    </row>
    <row r="53" spans="1:13">
      <c r="A53" s="88">
        <v>477</v>
      </c>
      <c r="B53" s="88" t="s">
        <v>450</v>
      </c>
      <c r="C53" s="88" t="s">
        <v>367</v>
      </c>
      <c r="D53" s="88">
        <v>68.821740000000005</v>
      </c>
      <c r="E53" s="88">
        <v>-149.76378</v>
      </c>
      <c r="F53" s="88">
        <v>605</v>
      </c>
      <c r="G53" s="88" t="s">
        <v>378</v>
      </c>
      <c r="H53" s="88" t="s">
        <v>367</v>
      </c>
      <c r="I53" s="88" t="s">
        <v>367</v>
      </c>
      <c r="J53" s="88" t="s">
        <v>379</v>
      </c>
      <c r="K53" s="88" t="s">
        <v>367</v>
      </c>
      <c r="L53" s="88" t="s">
        <v>367</v>
      </c>
      <c r="M53" s="94" t="str">
        <f t="shared" si="0"/>
        <v>View on Google Map</v>
      </c>
    </row>
    <row r="54" spans="1:13">
      <c r="A54" s="88">
        <v>1174</v>
      </c>
      <c r="B54" s="88" t="s">
        <v>451</v>
      </c>
      <c r="C54" s="88" t="s">
        <v>367</v>
      </c>
      <c r="D54" s="88">
        <v>68.933938330000004</v>
      </c>
      <c r="E54" s="88">
        <v>-150.27111830000001</v>
      </c>
      <c r="F54" s="88" t="s">
        <v>367</v>
      </c>
      <c r="G54" s="88" t="s">
        <v>368</v>
      </c>
      <c r="H54" s="88" t="s">
        <v>367</v>
      </c>
      <c r="I54" s="88" t="s">
        <v>367</v>
      </c>
      <c r="J54" s="88" t="s">
        <v>374</v>
      </c>
      <c r="K54" s="88" t="s">
        <v>367</v>
      </c>
      <c r="L54" s="88" t="s">
        <v>375</v>
      </c>
      <c r="M54" s="94" t="str">
        <f t="shared" si="0"/>
        <v>View on Google Map</v>
      </c>
    </row>
    <row r="55" spans="1:13">
      <c r="A55" s="88">
        <v>242</v>
      </c>
      <c r="B55" s="88" t="s">
        <v>452</v>
      </c>
      <c r="C55" s="88" t="s">
        <v>367</v>
      </c>
      <c r="D55" s="88" t="s">
        <v>367</v>
      </c>
      <c r="E55" s="88" t="s">
        <v>367</v>
      </c>
      <c r="F55" s="88">
        <v>390.2439024390244</v>
      </c>
      <c r="G55" s="88" t="s">
        <v>378</v>
      </c>
      <c r="H55" s="88" t="s">
        <v>367</v>
      </c>
      <c r="I55" s="88" t="s">
        <v>367</v>
      </c>
      <c r="J55" s="88" t="s">
        <v>393</v>
      </c>
      <c r="K55" s="88" t="s">
        <v>367</v>
      </c>
      <c r="L55" s="88" t="s">
        <v>453</v>
      </c>
      <c r="M55" s="94" t="str">
        <f t="shared" si="0"/>
        <v>View on Google Map</v>
      </c>
    </row>
    <row r="56" spans="1:13">
      <c r="A56" s="88">
        <v>192</v>
      </c>
      <c r="B56" s="88" t="s">
        <v>454</v>
      </c>
      <c r="C56" s="88" t="s">
        <v>367</v>
      </c>
      <c r="D56" s="88">
        <v>69.233333333333334</v>
      </c>
      <c r="E56" s="88">
        <v>-148.94999999999999</v>
      </c>
      <c r="F56" s="88">
        <v>325</v>
      </c>
      <c r="G56" s="88" t="s">
        <v>378</v>
      </c>
      <c r="H56" s="88" t="s">
        <v>455</v>
      </c>
      <c r="I56" s="88" t="s">
        <v>367</v>
      </c>
      <c r="J56" s="88" t="s">
        <v>393</v>
      </c>
      <c r="K56" s="88" t="s">
        <v>367</v>
      </c>
      <c r="L56" s="88" t="s">
        <v>456</v>
      </c>
      <c r="M56" s="94" t="str">
        <f t="shared" si="0"/>
        <v>View on Google Map</v>
      </c>
    </row>
    <row r="57" spans="1:13">
      <c r="A57" s="88">
        <v>277</v>
      </c>
      <c r="B57" s="88" t="s">
        <v>454</v>
      </c>
      <c r="C57" s="88" t="s">
        <v>367</v>
      </c>
      <c r="D57" s="88">
        <v>70.374600000000001</v>
      </c>
      <c r="E57" s="88">
        <v>-149.06383333333332</v>
      </c>
      <c r="F57" s="88">
        <v>6</v>
      </c>
      <c r="G57" s="88" t="s">
        <v>378</v>
      </c>
      <c r="H57" s="88" t="s">
        <v>457</v>
      </c>
      <c r="I57" s="88" t="s">
        <v>367</v>
      </c>
      <c r="J57" s="88" t="s">
        <v>393</v>
      </c>
      <c r="K57" s="88" t="s">
        <v>367</v>
      </c>
      <c r="L57" s="88" t="s">
        <v>458</v>
      </c>
      <c r="M57" s="94" t="str">
        <f t="shared" si="0"/>
        <v>View on Google Map</v>
      </c>
    </row>
    <row r="58" spans="1:13">
      <c r="A58" s="88">
        <v>193</v>
      </c>
      <c r="B58" s="88" t="s">
        <v>459</v>
      </c>
      <c r="C58" s="88" t="s">
        <v>367</v>
      </c>
      <c r="D58" s="88">
        <v>69.283333333333331</v>
      </c>
      <c r="E58" s="88">
        <v>-148.9</v>
      </c>
      <c r="F58" s="88">
        <v>346</v>
      </c>
      <c r="G58" s="88" t="s">
        <v>378</v>
      </c>
      <c r="H58" s="88" t="s">
        <v>460</v>
      </c>
      <c r="I58" s="88" t="s">
        <v>367</v>
      </c>
      <c r="J58" s="88" t="s">
        <v>393</v>
      </c>
      <c r="K58" s="88" t="s">
        <v>367</v>
      </c>
      <c r="L58" s="88" t="s">
        <v>456</v>
      </c>
      <c r="M58" s="94" t="str">
        <f t="shared" si="0"/>
        <v>View on Google Map</v>
      </c>
    </row>
    <row r="59" spans="1:13">
      <c r="A59" s="88">
        <v>278</v>
      </c>
      <c r="B59" s="88" t="s">
        <v>459</v>
      </c>
      <c r="C59" s="88" t="s">
        <v>367</v>
      </c>
      <c r="D59" s="88">
        <v>70.374600000000001</v>
      </c>
      <c r="E59" s="88">
        <v>-149.06383333333332</v>
      </c>
      <c r="F59" s="88">
        <v>6</v>
      </c>
      <c r="G59" s="88" t="s">
        <v>378</v>
      </c>
      <c r="H59" s="88" t="s">
        <v>461</v>
      </c>
      <c r="I59" s="88" t="s">
        <v>367</v>
      </c>
      <c r="J59" s="88" t="s">
        <v>393</v>
      </c>
      <c r="K59" s="88" t="s">
        <v>367</v>
      </c>
      <c r="L59" s="88" t="s">
        <v>458</v>
      </c>
      <c r="M59" s="94" t="str">
        <f t="shared" si="0"/>
        <v>View on Google Map</v>
      </c>
    </row>
    <row r="60" spans="1:13">
      <c r="A60" s="88">
        <v>194</v>
      </c>
      <c r="B60" s="88" t="s">
        <v>462</v>
      </c>
      <c r="C60" s="88" t="s">
        <v>367</v>
      </c>
      <c r="D60" s="88">
        <v>69.716666666666669</v>
      </c>
      <c r="E60" s="88">
        <v>-149.44999999999999</v>
      </c>
      <c r="F60" s="88">
        <v>91</v>
      </c>
      <c r="G60" s="88" t="s">
        <v>378</v>
      </c>
      <c r="H60" s="88" t="s">
        <v>463</v>
      </c>
      <c r="I60" s="88" t="s">
        <v>367</v>
      </c>
      <c r="J60" s="88" t="s">
        <v>393</v>
      </c>
      <c r="K60" s="88" t="s">
        <v>367</v>
      </c>
      <c r="L60" s="88" t="s">
        <v>456</v>
      </c>
      <c r="M60" s="94" t="str">
        <f t="shared" si="0"/>
        <v>View on Google Map</v>
      </c>
    </row>
    <row r="61" spans="1:13">
      <c r="A61" s="88">
        <v>279</v>
      </c>
      <c r="B61" s="88" t="s">
        <v>462</v>
      </c>
      <c r="C61" s="88" t="s">
        <v>367</v>
      </c>
      <c r="D61" s="88">
        <v>70.367750000000001</v>
      </c>
      <c r="E61" s="88">
        <v>-148.8357</v>
      </c>
      <c r="F61" s="88">
        <v>6</v>
      </c>
      <c r="G61" s="88" t="s">
        <v>378</v>
      </c>
      <c r="H61" s="88" t="s">
        <v>464</v>
      </c>
      <c r="I61" s="88" t="s">
        <v>367</v>
      </c>
      <c r="J61" s="88" t="s">
        <v>393</v>
      </c>
      <c r="K61" s="88" t="s">
        <v>367</v>
      </c>
      <c r="L61" s="88" t="s">
        <v>458</v>
      </c>
      <c r="M61" s="94" t="str">
        <f t="shared" si="0"/>
        <v>View on Google Map</v>
      </c>
    </row>
    <row r="62" spans="1:13">
      <c r="A62" s="88">
        <v>195</v>
      </c>
      <c r="B62" s="88" t="s">
        <v>465</v>
      </c>
      <c r="C62" s="88" t="s">
        <v>367</v>
      </c>
      <c r="D62" s="88">
        <v>69.716666666666669</v>
      </c>
      <c r="E62" s="88">
        <v>-149.44999999999999</v>
      </c>
      <c r="F62" s="88">
        <v>91</v>
      </c>
      <c r="G62" s="88" t="s">
        <v>378</v>
      </c>
      <c r="H62" s="88" t="s">
        <v>466</v>
      </c>
      <c r="I62" s="88" t="s">
        <v>367</v>
      </c>
      <c r="J62" s="88" t="s">
        <v>393</v>
      </c>
      <c r="K62" s="88" t="s">
        <v>367</v>
      </c>
      <c r="L62" s="88" t="s">
        <v>456</v>
      </c>
      <c r="M62" s="94" t="str">
        <f t="shared" si="0"/>
        <v>View on Google Map</v>
      </c>
    </row>
    <row r="63" spans="1:13">
      <c r="A63" s="88">
        <v>280</v>
      </c>
      <c r="B63" s="88" t="s">
        <v>465</v>
      </c>
      <c r="C63" s="88" t="s">
        <v>367</v>
      </c>
      <c r="D63" s="88">
        <v>70.367750000000001</v>
      </c>
      <c r="E63" s="88">
        <v>-148.8357</v>
      </c>
      <c r="F63" s="88">
        <v>6</v>
      </c>
      <c r="G63" s="88" t="s">
        <v>378</v>
      </c>
      <c r="H63" s="88" t="s">
        <v>467</v>
      </c>
      <c r="I63" s="88" t="s">
        <v>367</v>
      </c>
      <c r="J63" s="88" t="s">
        <v>393</v>
      </c>
      <c r="K63" s="88" t="s">
        <v>367</v>
      </c>
      <c r="L63" s="88" t="s">
        <v>458</v>
      </c>
      <c r="M63" s="94" t="str">
        <f t="shared" si="0"/>
        <v>View on Google Map</v>
      </c>
    </row>
    <row r="64" spans="1:13">
      <c r="A64" s="88">
        <v>196</v>
      </c>
      <c r="B64" s="88" t="s">
        <v>468</v>
      </c>
      <c r="C64" s="88" t="s">
        <v>367</v>
      </c>
      <c r="D64" s="88">
        <v>69.833333333333329</v>
      </c>
      <c r="E64" s="88">
        <v>-149.75</v>
      </c>
      <c r="F64" s="88">
        <v>80</v>
      </c>
      <c r="G64" s="88" t="s">
        <v>378</v>
      </c>
      <c r="H64" s="88" t="s">
        <v>469</v>
      </c>
      <c r="I64" s="88" t="s">
        <v>367</v>
      </c>
      <c r="J64" s="88" t="s">
        <v>393</v>
      </c>
      <c r="K64" s="88" t="s">
        <v>367</v>
      </c>
      <c r="L64" s="88" t="s">
        <v>456</v>
      </c>
      <c r="M64" s="94" t="str">
        <f t="shared" si="0"/>
        <v>View on Google Map</v>
      </c>
    </row>
    <row r="65" spans="1:13">
      <c r="A65" s="88">
        <v>281</v>
      </c>
      <c r="B65" s="88" t="s">
        <v>468</v>
      </c>
      <c r="C65" s="88" t="s">
        <v>367</v>
      </c>
      <c r="D65" s="88">
        <v>70.26821666666666</v>
      </c>
      <c r="E65" s="88">
        <v>-149.20859999999999</v>
      </c>
      <c r="F65" s="88">
        <v>15</v>
      </c>
      <c r="G65" s="88" t="s">
        <v>378</v>
      </c>
      <c r="H65" s="88" t="s">
        <v>470</v>
      </c>
      <c r="I65" s="88" t="s">
        <v>367</v>
      </c>
      <c r="J65" s="88" t="s">
        <v>393</v>
      </c>
      <c r="K65" s="88" t="s">
        <v>367</v>
      </c>
      <c r="L65" s="88" t="s">
        <v>458</v>
      </c>
      <c r="M65" s="94" t="str">
        <f t="shared" si="0"/>
        <v>View on Google Map</v>
      </c>
    </row>
    <row r="66" spans="1:13">
      <c r="A66" s="88">
        <v>197</v>
      </c>
      <c r="B66" s="88" t="s">
        <v>471</v>
      </c>
      <c r="C66" s="88" t="s">
        <v>367</v>
      </c>
      <c r="D66" s="88">
        <v>70.283333333333331</v>
      </c>
      <c r="E66" s="88">
        <v>-150.19999999999999</v>
      </c>
      <c r="F66" s="88">
        <v>12</v>
      </c>
      <c r="G66" s="88" t="s">
        <v>378</v>
      </c>
      <c r="H66" s="88" t="s">
        <v>472</v>
      </c>
      <c r="I66" s="88" t="s">
        <v>367</v>
      </c>
      <c r="J66" s="88" t="s">
        <v>393</v>
      </c>
      <c r="K66" s="88" t="s">
        <v>367</v>
      </c>
      <c r="L66" s="88" t="s">
        <v>456</v>
      </c>
      <c r="M66" s="94" t="str">
        <f t="shared" si="0"/>
        <v>View on Google Map</v>
      </c>
    </row>
    <row r="67" spans="1:13">
      <c r="A67" s="88">
        <v>282</v>
      </c>
      <c r="B67" s="88" t="s">
        <v>471</v>
      </c>
      <c r="C67" s="88" t="s">
        <v>367</v>
      </c>
      <c r="D67" s="88">
        <v>70.26821666666666</v>
      </c>
      <c r="E67" s="88">
        <v>-149.20859999999999</v>
      </c>
      <c r="F67" s="88">
        <v>15</v>
      </c>
      <c r="G67" s="88" t="s">
        <v>378</v>
      </c>
      <c r="H67" s="88" t="s">
        <v>473</v>
      </c>
      <c r="I67" s="88" t="s">
        <v>367</v>
      </c>
      <c r="J67" s="88" t="s">
        <v>393</v>
      </c>
      <c r="K67" s="88" t="s">
        <v>367</v>
      </c>
      <c r="L67" s="88" t="s">
        <v>458</v>
      </c>
      <c r="M67" s="94" t="str">
        <f t="shared" ref="M67:M130" si="1">HYPERLINK("http://maps.google.com/maps?q="&amp;D67&amp;","&amp;E67,"View on Google Map")</f>
        <v>View on Google Map</v>
      </c>
    </row>
    <row r="68" spans="1:13">
      <c r="A68" s="88">
        <v>198</v>
      </c>
      <c r="B68" s="88" t="s">
        <v>474</v>
      </c>
      <c r="C68" s="88" t="s">
        <v>367</v>
      </c>
      <c r="D68" s="88">
        <v>70.283333333333331</v>
      </c>
      <c r="E68" s="88">
        <v>-150.19999999999999</v>
      </c>
      <c r="F68" s="88">
        <v>12</v>
      </c>
      <c r="G68" s="88" t="s">
        <v>378</v>
      </c>
      <c r="H68" s="88" t="s">
        <v>475</v>
      </c>
      <c r="I68" s="88" t="s">
        <v>367</v>
      </c>
      <c r="J68" s="88" t="s">
        <v>393</v>
      </c>
      <c r="K68" s="88" t="s">
        <v>367</v>
      </c>
      <c r="L68" s="88" t="s">
        <v>456</v>
      </c>
      <c r="M68" s="94" t="str">
        <f t="shared" si="1"/>
        <v>View on Google Map</v>
      </c>
    </row>
    <row r="69" spans="1:13">
      <c r="A69" s="88">
        <v>283</v>
      </c>
      <c r="B69" s="88" t="s">
        <v>474</v>
      </c>
      <c r="C69" s="88" t="s">
        <v>367</v>
      </c>
      <c r="D69" s="88">
        <v>70.184266666666673</v>
      </c>
      <c r="E69" s="88">
        <v>-149.15443333333334</v>
      </c>
      <c r="F69" s="88">
        <v>15</v>
      </c>
      <c r="G69" s="88" t="s">
        <v>378</v>
      </c>
      <c r="H69" s="88" t="s">
        <v>476</v>
      </c>
      <c r="I69" s="88" t="s">
        <v>367</v>
      </c>
      <c r="J69" s="88" t="s">
        <v>393</v>
      </c>
      <c r="K69" s="88" t="s">
        <v>367</v>
      </c>
      <c r="L69" s="88" t="s">
        <v>458</v>
      </c>
      <c r="M69" s="94" t="str">
        <f t="shared" si="1"/>
        <v>View on Google Map</v>
      </c>
    </row>
    <row r="70" spans="1:13">
      <c r="A70" s="88">
        <v>199</v>
      </c>
      <c r="B70" s="88" t="s">
        <v>477</v>
      </c>
      <c r="C70" s="88" t="s">
        <v>367</v>
      </c>
      <c r="D70" s="88">
        <v>70.416666666666671</v>
      </c>
      <c r="E70" s="88">
        <v>-150.19999999999999</v>
      </c>
      <c r="F70" s="88">
        <v>4</v>
      </c>
      <c r="G70" s="88" t="s">
        <v>378</v>
      </c>
      <c r="H70" s="88" t="s">
        <v>478</v>
      </c>
      <c r="I70" s="88" t="s">
        <v>367</v>
      </c>
      <c r="J70" s="88" t="s">
        <v>393</v>
      </c>
      <c r="K70" s="88" t="s">
        <v>367</v>
      </c>
      <c r="L70" s="88" t="s">
        <v>456</v>
      </c>
      <c r="M70" s="94" t="str">
        <f t="shared" si="1"/>
        <v>View on Google Map</v>
      </c>
    </row>
    <row r="71" spans="1:13">
      <c r="A71" s="88">
        <v>284</v>
      </c>
      <c r="B71" s="88" t="s">
        <v>477</v>
      </c>
      <c r="C71" s="88" t="s">
        <v>367</v>
      </c>
      <c r="D71" s="88">
        <v>70.184266666666673</v>
      </c>
      <c r="E71" s="88">
        <v>-149.15443333333334</v>
      </c>
      <c r="F71" s="88">
        <v>15</v>
      </c>
      <c r="G71" s="88" t="s">
        <v>378</v>
      </c>
      <c r="H71" s="88" t="s">
        <v>479</v>
      </c>
      <c r="I71" s="88" t="s">
        <v>367</v>
      </c>
      <c r="J71" s="88" t="s">
        <v>393</v>
      </c>
      <c r="K71" s="88" t="s">
        <v>367</v>
      </c>
      <c r="L71" s="88" t="s">
        <v>458</v>
      </c>
      <c r="M71" s="94" t="str">
        <f t="shared" si="1"/>
        <v>View on Google Map</v>
      </c>
    </row>
    <row r="72" spans="1:13">
      <c r="A72" s="88">
        <v>200</v>
      </c>
      <c r="B72" s="88" t="s">
        <v>480</v>
      </c>
      <c r="C72" s="88" t="s">
        <v>367</v>
      </c>
      <c r="D72" s="88">
        <v>70.283333333333331</v>
      </c>
      <c r="E72" s="88">
        <v>-149.81666666666666</v>
      </c>
      <c r="F72" s="88">
        <v>28.963414634146343</v>
      </c>
      <c r="G72" s="88" t="s">
        <v>378</v>
      </c>
      <c r="H72" s="88" t="s">
        <v>481</v>
      </c>
      <c r="I72" s="88" t="s">
        <v>367</v>
      </c>
      <c r="J72" s="88" t="s">
        <v>393</v>
      </c>
      <c r="K72" s="88" t="s">
        <v>367</v>
      </c>
      <c r="L72" s="88" t="s">
        <v>456</v>
      </c>
      <c r="M72" s="94" t="str">
        <f t="shared" si="1"/>
        <v>View on Google Map</v>
      </c>
    </row>
    <row r="73" spans="1:13">
      <c r="A73" s="88">
        <v>285</v>
      </c>
      <c r="B73" s="88" t="s">
        <v>480</v>
      </c>
      <c r="C73" s="88" t="s">
        <v>367</v>
      </c>
      <c r="D73" s="88">
        <v>70.126099999999994</v>
      </c>
      <c r="E73" s="88">
        <v>-149.33773333333335</v>
      </c>
      <c r="F73" s="88">
        <v>30</v>
      </c>
      <c r="G73" s="88" t="s">
        <v>378</v>
      </c>
      <c r="H73" s="88" t="s">
        <v>482</v>
      </c>
      <c r="I73" s="88" t="s">
        <v>367</v>
      </c>
      <c r="J73" s="88" t="s">
        <v>393</v>
      </c>
      <c r="K73" s="88" t="s">
        <v>367</v>
      </c>
      <c r="L73" s="88" t="s">
        <v>458</v>
      </c>
      <c r="M73" s="94" t="str">
        <f t="shared" si="1"/>
        <v>View on Google Map</v>
      </c>
    </row>
    <row r="74" spans="1:13">
      <c r="A74" s="88">
        <v>201</v>
      </c>
      <c r="B74" s="88" t="s">
        <v>483</v>
      </c>
      <c r="C74" s="88" t="s">
        <v>367</v>
      </c>
      <c r="D74" s="88">
        <v>70.283333333333331</v>
      </c>
      <c r="E74" s="88">
        <v>-149.81666666666666</v>
      </c>
      <c r="F74" s="88">
        <v>28.963414634146343</v>
      </c>
      <c r="G74" s="88" t="s">
        <v>378</v>
      </c>
      <c r="H74" s="88" t="s">
        <v>484</v>
      </c>
      <c r="I74" s="88" t="s">
        <v>367</v>
      </c>
      <c r="J74" s="88" t="s">
        <v>393</v>
      </c>
      <c r="K74" s="88" t="s">
        <v>367</v>
      </c>
      <c r="L74" s="88" t="s">
        <v>456</v>
      </c>
      <c r="M74" s="94" t="str">
        <f t="shared" si="1"/>
        <v>View on Google Map</v>
      </c>
    </row>
    <row r="75" spans="1:13">
      <c r="A75" s="88">
        <v>286</v>
      </c>
      <c r="B75" s="88" t="s">
        <v>483</v>
      </c>
      <c r="C75" s="88" t="s">
        <v>367</v>
      </c>
      <c r="D75" s="88">
        <v>70.126099999999994</v>
      </c>
      <c r="E75" s="88">
        <v>-149.33773333333335</v>
      </c>
      <c r="F75" s="88">
        <v>30</v>
      </c>
      <c r="G75" s="88" t="s">
        <v>378</v>
      </c>
      <c r="H75" s="88" t="s">
        <v>485</v>
      </c>
      <c r="I75" s="88" t="s">
        <v>367</v>
      </c>
      <c r="J75" s="88" t="s">
        <v>393</v>
      </c>
      <c r="K75" s="88" t="s">
        <v>367</v>
      </c>
      <c r="L75" s="88" t="s">
        <v>458</v>
      </c>
      <c r="M75" s="94" t="str">
        <f t="shared" si="1"/>
        <v>View on Google Map</v>
      </c>
    </row>
    <row r="76" spans="1:13">
      <c r="A76" s="88">
        <v>202</v>
      </c>
      <c r="B76" s="88" t="s">
        <v>486</v>
      </c>
      <c r="C76" s="88" t="s">
        <v>367</v>
      </c>
      <c r="D76" s="88">
        <v>70.45</v>
      </c>
      <c r="E76" s="88">
        <v>-149.16666666666666</v>
      </c>
      <c r="F76" s="88">
        <v>4.8780487804878048</v>
      </c>
      <c r="G76" s="88" t="s">
        <v>378</v>
      </c>
      <c r="H76" s="88" t="s">
        <v>487</v>
      </c>
      <c r="I76" s="88" t="s">
        <v>367</v>
      </c>
      <c r="J76" s="88" t="s">
        <v>393</v>
      </c>
      <c r="K76" s="88" t="s">
        <v>367</v>
      </c>
      <c r="L76" s="88" t="s">
        <v>456</v>
      </c>
      <c r="M76" s="94" t="str">
        <f t="shared" si="1"/>
        <v>View on Google Map</v>
      </c>
    </row>
    <row r="77" spans="1:13">
      <c r="A77" s="88">
        <v>287</v>
      </c>
      <c r="B77" s="88" t="s">
        <v>486</v>
      </c>
      <c r="C77" s="88" t="s">
        <v>367</v>
      </c>
      <c r="D77" s="88">
        <v>69.9221</v>
      </c>
      <c r="E77" s="88">
        <v>-149.34523333333334</v>
      </c>
      <c r="F77" s="88">
        <v>61</v>
      </c>
      <c r="G77" s="88" t="s">
        <v>378</v>
      </c>
      <c r="H77" s="88" t="s">
        <v>488</v>
      </c>
      <c r="I77" s="88" t="s">
        <v>367</v>
      </c>
      <c r="J77" s="88" t="s">
        <v>393</v>
      </c>
      <c r="K77" s="88" t="s">
        <v>367</v>
      </c>
      <c r="L77" s="88" t="s">
        <v>458</v>
      </c>
      <c r="M77" s="94" t="str">
        <f t="shared" si="1"/>
        <v>View on Google Map</v>
      </c>
    </row>
    <row r="78" spans="1:13">
      <c r="A78" s="88">
        <v>203</v>
      </c>
      <c r="B78" s="88" t="s">
        <v>489</v>
      </c>
      <c r="C78" s="88" t="s">
        <v>367</v>
      </c>
      <c r="D78" s="88">
        <v>70.233333333333334</v>
      </c>
      <c r="E78" s="88">
        <v>-148.88333333333333</v>
      </c>
      <c r="F78" s="88">
        <v>17.682926829268293</v>
      </c>
      <c r="G78" s="88" t="s">
        <v>378</v>
      </c>
      <c r="H78" s="88" t="s">
        <v>490</v>
      </c>
      <c r="I78" s="88" t="s">
        <v>367</v>
      </c>
      <c r="J78" s="88" t="s">
        <v>393</v>
      </c>
      <c r="K78" s="88" t="s">
        <v>367</v>
      </c>
      <c r="L78" s="88" t="s">
        <v>456</v>
      </c>
      <c r="M78" s="94" t="str">
        <f t="shared" si="1"/>
        <v>View on Google Map</v>
      </c>
    </row>
    <row r="79" spans="1:13">
      <c r="A79" s="88">
        <v>288</v>
      </c>
      <c r="B79" s="88" t="s">
        <v>489</v>
      </c>
      <c r="C79" s="88" t="s">
        <v>367</v>
      </c>
      <c r="D79" s="88">
        <v>69.9221</v>
      </c>
      <c r="E79" s="88">
        <v>-149.34523333333334</v>
      </c>
      <c r="F79" s="88">
        <v>61</v>
      </c>
      <c r="G79" s="88" t="s">
        <v>378</v>
      </c>
      <c r="H79" s="88" t="s">
        <v>491</v>
      </c>
      <c r="I79" s="88" t="s">
        <v>367</v>
      </c>
      <c r="J79" s="88" t="s">
        <v>393</v>
      </c>
      <c r="K79" s="88" t="s">
        <v>367</v>
      </c>
      <c r="L79" s="88" t="s">
        <v>458</v>
      </c>
      <c r="M79" s="94" t="str">
        <f t="shared" si="1"/>
        <v>View on Google Map</v>
      </c>
    </row>
    <row r="80" spans="1:13">
      <c r="A80" s="88">
        <v>204</v>
      </c>
      <c r="B80" s="88" t="s">
        <v>492</v>
      </c>
      <c r="C80" s="88" t="s">
        <v>367</v>
      </c>
      <c r="D80" s="88">
        <v>70.233333333333334</v>
      </c>
      <c r="E80" s="88">
        <v>-148.88333333333333</v>
      </c>
      <c r="F80" s="88">
        <v>17.682926829268293</v>
      </c>
      <c r="G80" s="88" t="s">
        <v>378</v>
      </c>
      <c r="H80" s="88" t="s">
        <v>493</v>
      </c>
      <c r="I80" s="88" t="s">
        <v>367</v>
      </c>
      <c r="J80" s="88" t="s">
        <v>393</v>
      </c>
      <c r="K80" s="88" t="s">
        <v>367</v>
      </c>
      <c r="L80" s="88" t="s">
        <v>456</v>
      </c>
      <c r="M80" s="94" t="str">
        <f t="shared" si="1"/>
        <v>View on Google Map</v>
      </c>
    </row>
    <row r="81" spans="1:13">
      <c r="A81" s="88">
        <v>289</v>
      </c>
      <c r="B81" s="88" t="s">
        <v>492</v>
      </c>
      <c r="C81" s="88" t="s">
        <v>367</v>
      </c>
      <c r="D81" s="88">
        <v>69.986533333333327</v>
      </c>
      <c r="E81" s="88">
        <v>-150.08543333333333</v>
      </c>
      <c r="F81" s="88">
        <v>125</v>
      </c>
      <c r="G81" s="88" t="s">
        <v>378</v>
      </c>
      <c r="H81" s="88" t="s">
        <v>494</v>
      </c>
      <c r="I81" s="88" t="s">
        <v>367</v>
      </c>
      <c r="J81" s="88" t="s">
        <v>393</v>
      </c>
      <c r="K81" s="88" t="s">
        <v>367</v>
      </c>
      <c r="L81" s="88" t="s">
        <v>458</v>
      </c>
      <c r="M81" s="94" t="str">
        <f t="shared" si="1"/>
        <v>View on Google Map</v>
      </c>
    </row>
    <row r="82" spans="1:13">
      <c r="A82" s="88">
        <v>205</v>
      </c>
      <c r="B82" s="88" t="s">
        <v>495</v>
      </c>
      <c r="C82" s="88" t="s">
        <v>367</v>
      </c>
      <c r="D82" s="88">
        <v>70.13333333333334</v>
      </c>
      <c r="E82" s="88">
        <v>-148.6</v>
      </c>
      <c r="F82" s="88">
        <v>24.390243902439025</v>
      </c>
      <c r="G82" s="88" t="s">
        <v>378</v>
      </c>
      <c r="H82" s="88" t="s">
        <v>496</v>
      </c>
      <c r="I82" s="88" t="s">
        <v>367</v>
      </c>
      <c r="J82" s="88" t="s">
        <v>393</v>
      </c>
      <c r="K82" s="88" t="s">
        <v>367</v>
      </c>
      <c r="L82" s="88" t="s">
        <v>456</v>
      </c>
      <c r="M82" s="94" t="str">
        <f t="shared" si="1"/>
        <v>View on Google Map</v>
      </c>
    </row>
    <row r="83" spans="1:13">
      <c r="A83" s="88">
        <v>290</v>
      </c>
      <c r="B83" s="88" t="s">
        <v>495</v>
      </c>
      <c r="C83" s="88" t="s">
        <v>367</v>
      </c>
      <c r="D83" s="88">
        <v>69.986533333333327</v>
      </c>
      <c r="E83" s="88">
        <v>-150.08543333333333</v>
      </c>
      <c r="F83" s="88">
        <v>125</v>
      </c>
      <c r="G83" s="88" t="s">
        <v>378</v>
      </c>
      <c r="H83" s="88" t="s">
        <v>497</v>
      </c>
      <c r="I83" s="88" t="s">
        <v>367</v>
      </c>
      <c r="J83" s="88" t="s">
        <v>393</v>
      </c>
      <c r="K83" s="88" t="s">
        <v>367</v>
      </c>
      <c r="L83" s="88" t="s">
        <v>458</v>
      </c>
      <c r="M83" s="94" t="str">
        <f t="shared" si="1"/>
        <v>View on Google Map</v>
      </c>
    </row>
    <row r="84" spans="1:13">
      <c r="A84" s="88">
        <v>291</v>
      </c>
      <c r="B84" s="88" t="s">
        <v>498</v>
      </c>
      <c r="C84" s="88" t="s">
        <v>367</v>
      </c>
      <c r="D84" s="88">
        <v>69.639166666666668</v>
      </c>
      <c r="E84" s="88">
        <v>-149.73946666666666</v>
      </c>
      <c r="F84" s="88">
        <v>91</v>
      </c>
      <c r="G84" s="88" t="s">
        <v>378</v>
      </c>
      <c r="H84" s="88" t="s">
        <v>499</v>
      </c>
      <c r="I84" s="88" t="s">
        <v>367</v>
      </c>
      <c r="J84" s="88" t="s">
        <v>393</v>
      </c>
      <c r="K84" s="88" t="s">
        <v>367</v>
      </c>
      <c r="L84" s="88" t="s">
        <v>458</v>
      </c>
      <c r="M84" s="94" t="str">
        <f t="shared" si="1"/>
        <v>View on Google Map</v>
      </c>
    </row>
    <row r="85" spans="1:13">
      <c r="A85" s="88">
        <v>206</v>
      </c>
      <c r="B85" s="88" t="s">
        <v>500</v>
      </c>
      <c r="C85" s="88" t="s">
        <v>367</v>
      </c>
      <c r="D85" s="88">
        <v>70.11666666666666</v>
      </c>
      <c r="E85" s="88">
        <v>-146.16666666666666</v>
      </c>
      <c r="F85" s="88">
        <v>3.0487804878048781</v>
      </c>
      <c r="G85" s="88" t="s">
        <v>378</v>
      </c>
      <c r="H85" s="88" t="s">
        <v>501</v>
      </c>
      <c r="I85" s="88" t="s">
        <v>367</v>
      </c>
      <c r="J85" s="88" t="s">
        <v>393</v>
      </c>
      <c r="K85" s="88" t="s">
        <v>367</v>
      </c>
      <c r="L85" s="88" t="s">
        <v>456</v>
      </c>
      <c r="M85" s="94" t="str">
        <f t="shared" si="1"/>
        <v>View on Google Map</v>
      </c>
    </row>
    <row r="86" spans="1:13">
      <c r="A86" s="88">
        <v>292</v>
      </c>
      <c r="B86" s="88" t="s">
        <v>500</v>
      </c>
      <c r="C86" s="88" t="s">
        <v>367</v>
      </c>
      <c r="D86" s="88">
        <v>69.639166666666668</v>
      </c>
      <c r="E86" s="88">
        <v>-149.73946666666666</v>
      </c>
      <c r="F86" s="88">
        <v>91</v>
      </c>
      <c r="G86" s="88" t="s">
        <v>378</v>
      </c>
      <c r="H86" s="88" t="s">
        <v>502</v>
      </c>
      <c r="I86" s="88" t="s">
        <v>367</v>
      </c>
      <c r="J86" s="88" t="s">
        <v>393</v>
      </c>
      <c r="K86" s="88" t="s">
        <v>367</v>
      </c>
      <c r="L86" s="88" t="s">
        <v>458</v>
      </c>
      <c r="M86" s="94" t="str">
        <f t="shared" si="1"/>
        <v>View on Google Map</v>
      </c>
    </row>
    <row r="87" spans="1:13">
      <c r="A87" s="88">
        <v>207</v>
      </c>
      <c r="B87" s="88" t="s">
        <v>503</v>
      </c>
      <c r="C87" s="88" t="s">
        <v>367</v>
      </c>
      <c r="D87" s="88">
        <v>70.099999999999994</v>
      </c>
      <c r="E87" s="88">
        <v>-146.26666666666668</v>
      </c>
      <c r="F87" s="88">
        <v>9.1463414634146343</v>
      </c>
      <c r="G87" s="88" t="s">
        <v>378</v>
      </c>
      <c r="H87" s="88" t="s">
        <v>504</v>
      </c>
      <c r="I87" s="88" t="s">
        <v>367</v>
      </c>
      <c r="J87" s="88" t="s">
        <v>393</v>
      </c>
      <c r="K87" s="88" t="s">
        <v>367</v>
      </c>
      <c r="L87" s="88" t="s">
        <v>456</v>
      </c>
      <c r="M87" s="94" t="str">
        <f t="shared" si="1"/>
        <v>View on Google Map</v>
      </c>
    </row>
    <row r="88" spans="1:13">
      <c r="A88" s="88">
        <v>293</v>
      </c>
      <c r="B88" s="88" t="s">
        <v>503</v>
      </c>
      <c r="C88" s="88" t="s">
        <v>367</v>
      </c>
      <c r="D88" s="88">
        <v>68.820783333333338</v>
      </c>
      <c r="E88" s="88">
        <v>-149.7646</v>
      </c>
      <c r="F88" s="88">
        <v>579</v>
      </c>
      <c r="G88" s="88" t="s">
        <v>378</v>
      </c>
      <c r="H88" s="88" t="s">
        <v>505</v>
      </c>
      <c r="I88" s="88" t="s">
        <v>367</v>
      </c>
      <c r="J88" s="88" t="s">
        <v>393</v>
      </c>
      <c r="K88" s="88" t="s">
        <v>367</v>
      </c>
      <c r="L88" s="88" t="s">
        <v>458</v>
      </c>
      <c r="M88" s="94" t="str">
        <f t="shared" si="1"/>
        <v>View on Google Map</v>
      </c>
    </row>
    <row r="89" spans="1:13">
      <c r="A89" s="88">
        <v>208</v>
      </c>
      <c r="B89" s="88" t="s">
        <v>506</v>
      </c>
      <c r="C89" s="88" t="s">
        <v>367</v>
      </c>
      <c r="D89" s="88">
        <v>70.05</v>
      </c>
      <c r="E89" s="88">
        <v>-146.98333333333332</v>
      </c>
      <c r="F89" s="88">
        <v>24.390243902439025</v>
      </c>
      <c r="G89" s="88" t="s">
        <v>378</v>
      </c>
      <c r="H89" s="88" t="s">
        <v>507</v>
      </c>
      <c r="I89" s="88" t="s">
        <v>367</v>
      </c>
      <c r="J89" s="88" t="s">
        <v>393</v>
      </c>
      <c r="K89" s="88" t="s">
        <v>367</v>
      </c>
      <c r="L89" s="88" t="s">
        <v>456</v>
      </c>
      <c r="M89" s="94" t="str">
        <f t="shared" si="1"/>
        <v>View on Google Map</v>
      </c>
    </row>
    <row r="90" spans="1:13">
      <c r="A90" s="88">
        <v>294</v>
      </c>
      <c r="B90" s="88" t="s">
        <v>506</v>
      </c>
      <c r="C90" s="88" t="s">
        <v>367</v>
      </c>
      <c r="D90" s="88">
        <v>68.820616666666666</v>
      </c>
      <c r="E90" s="88">
        <v>-149.74383333333333</v>
      </c>
      <c r="F90" s="88">
        <v>579</v>
      </c>
      <c r="G90" s="88" t="s">
        <v>378</v>
      </c>
      <c r="H90" s="88" t="s">
        <v>508</v>
      </c>
      <c r="I90" s="88" t="s">
        <v>367</v>
      </c>
      <c r="J90" s="88" t="s">
        <v>393</v>
      </c>
      <c r="K90" s="88" t="s">
        <v>367</v>
      </c>
      <c r="L90" s="88" t="s">
        <v>458</v>
      </c>
      <c r="M90" s="94" t="str">
        <f t="shared" si="1"/>
        <v>View on Google Map</v>
      </c>
    </row>
    <row r="91" spans="1:13">
      <c r="A91" s="88">
        <v>209</v>
      </c>
      <c r="B91" s="88" t="s">
        <v>509</v>
      </c>
      <c r="C91" s="88" t="s">
        <v>367</v>
      </c>
      <c r="D91" s="88">
        <v>70.05</v>
      </c>
      <c r="E91" s="88">
        <v>-146.98333333333332</v>
      </c>
      <c r="F91" s="88">
        <v>24.390243902439025</v>
      </c>
      <c r="G91" s="88" t="s">
        <v>378</v>
      </c>
      <c r="H91" s="88" t="s">
        <v>510</v>
      </c>
      <c r="I91" s="88" t="s">
        <v>367</v>
      </c>
      <c r="J91" s="88" t="s">
        <v>393</v>
      </c>
      <c r="K91" s="88" t="s">
        <v>367</v>
      </c>
      <c r="L91" s="88" t="s">
        <v>456</v>
      </c>
      <c r="M91" s="94" t="str">
        <f t="shared" si="1"/>
        <v>View on Google Map</v>
      </c>
    </row>
    <row r="92" spans="1:13">
      <c r="A92" s="88">
        <v>295</v>
      </c>
      <c r="B92" s="88" t="s">
        <v>509</v>
      </c>
      <c r="C92" s="88" t="s">
        <v>367</v>
      </c>
      <c r="D92" s="88">
        <v>68.821529999999996</v>
      </c>
      <c r="E92" s="88">
        <v>-149.05867000000001</v>
      </c>
      <c r="F92" s="88">
        <v>518</v>
      </c>
      <c r="G92" s="88" t="s">
        <v>378</v>
      </c>
      <c r="H92" s="88" t="s">
        <v>511</v>
      </c>
      <c r="I92" s="88" t="s">
        <v>367</v>
      </c>
      <c r="J92" s="88" t="s">
        <v>393</v>
      </c>
      <c r="K92" s="88" t="s">
        <v>367</v>
      </c>
      <c r="L92" s="88" t="s">
        <v>458</v>
      </c>
      <c r="M92" s="94" t="str">
        <f t="shared" si="1"/>
        <v>View on Google Map</v>
      </c>
    </row>
    <row r="93" spans="1:13">
      <c r="A93" s="88">
        <v>210</v>
      </c>
      <c r="B93" s="88" t="s">
        <v>512</v>
      </c>
      <c r="C93" s="88" t="s">
        <v>367</v>
      </c>
      <c r="D93" s="88">
        <v>70.150000000000006</v>
      </c>
      <c r="E93" s="88">
        <v>-147.36666666666667</v>
      </c>
      <c r="F93" s="88">
        <v>6.7073170731707323</v>
      </c>
      <c r="G93" s="88" t="s">
        <v>378</v>
      </c>
      <c r="H93" s="88" t="s">
        <v>513</v>
      </c>
      <c r="I93" s="88" t="s">
        <v>367</v>
      </c>
      <c r="J93" s="88" t="s">
        <v>393</v>
      </c>
      <c r="K93" s="88" t="s">
        <v>367</v>
      </c>
      <c r="L93" s="88" t="s">
        <v>456</v>
      </c>
      <c r="M93" s="94" t="str">
        <f t="shared" si="1"/>
        <v>View on Google Map</v>
      </c>
    </row>
    <row r="94" spans="1:13">
      <c r="A94" s="88">
        <v>296</v>
      </c>
      <c r="B94" s="88" t="s">
        <v>512</v>
      </c>
      <c r="C94" s="88" t="s">
        <v>367</v>
      </c>
      <c r="D94" s="88">
        <v>68.817116666666664</v>
      </c>
      <c r="E94" s="88">
        <v>-149.05956666666665</v>
      </c>
      <c r="F94" s="88">
        <v>518</v>
      </c>
      <c r="G94" s="88" t="s">
        <v>378</v>
      </c>
      <c r="H94" s="88" t="s">
        <v>514</v>
      </c>
      <c r="I94" s="88" t="s">
        <v>367</v>
      </c>
      <c r="J94" s="88" t="s">
        <v>393</v>
      </c>
      <c r="K94" s="88" t="s">
        <v>367</v>
      </c>
      <c r="L94" s="88" t="s">
        <v>458</v>
      </c>
      <c r="M94" s="94" t="str">
        <f t="shared" si="1"/>
        <v>View on Google Map</v>
      </c>
    </row>
    <row r="95" spans="1:13">
      <c r="A95" s="88">
        <v>211</v>
      </c>
      <c r="B95" s="88" t="s">
        <v>515</v>
      </c>
      <c r="C95" s="88" t="s">
        <v>367</v>
      </c>
      <c r="D95" s="88">
        <v>70.150000000000006</v>
      </c>
      <c r="E95" s="88">
        <v>-147.36666666666667</v>
      </c>
      <c r="F95" s="88">
        <v>6.7073170731707323</v>
      </c>
      <c r="G95" s="88" t="s">
        <v>378</v>
      </c>
      <c r="H95" s="88" t="s">
        <v>516</v>
      </c>
      <c r="I95" s="88" t="s">
        <v>367</v>
      </c>
      <c r="J95" s="88" t="s">
        <v>393</v>
      </c>
      <c r="K95" s="88" t="s">
        <v>367</v>
      </c>
      <c r="L95" s="88" t="s">
        <v>456</v>
      </c>
      <c r="M95" s="94" t="str">
        <f t="shared" si="1"/>
        <v>View on Google Map</v>
      </c>
    </row>
    <row r="96" spans="1:13">
      <c r="A96" s="88">
        <v>297</v>
      </c>
      <c r="B96" s="88" t="s">
        <v>515</v>
      </c>
      <c r="C96" s="88" t="s">
        <v>367</v>
      </c>
      <c r="D96" s="88">
        <v>69.356183333333334</v>
      </c>
      <c r="E96" s="88">
        <v>-150.21899999999999</v>
      </c>
      <c r="F96" s="88">
        <v>168</v>
      </c>
      <c r="G96" s="88" t="s">
        <v>378</v>
      </c>
      <c r="H96" s="88" t="s">
        <v>517</v>
      </c>
      <c r="I96" s="88" t="s">
        <v>367</v>
      </c>
      <c r="J96" s="88" t="s">
        <v>393</v>
      </c>
      <c r="K96" s="88" t="s">
        <v>367</v>
      </c>
      <c r="L96" s="88" t="s">
        <v>458</v>
      </c>
      <c r="M96" s="94" t="str">
        <f t="shared" si="1"/>
        <v>View on Google Map</v>
      </c>
    </row>
    <row r="97" spans="1:13">
      <c r="A97" s="88">
        <v>212</v>
      </c>
      <c r="B97" s="88" t="s">
        <v>518</v>
      </c>
      <c r="C97" s="88" t="s">
        <v>367</v>
      </c>
      <c r="D97" s="88">
        <v>70.033333333333331</v>
      </c>
      <c r="E97" s="88">
        <v>-147.65</v>
      </c>
      <c r="F97" s="88">
        <v>28.04878048780488</v>
      </c>
      <c r="G97" s="88" t="s">
        <v>378</v>
      </c>
      <c r="H97" s="88" t="s">
        <v>519</v>
      </c>
      <c r="I97" s="88" t="s">
        <v>367</v>
      </c>
      <c r="J97" s="88" t="s">
        <v>393</v>
      </c>
      <c r="K97" s="88" t="s">
        <v>367</v>
      </c>
      <c r="L97" s="88" t="s">
        <v>456</v>
      </c>
      <c r="M97" s="94" t="str">
        <f t="shared" si="1"/>
        <v>View on Google Map</v>
      </c>
    </row>
    <row r="98" spans="1:13">
      <c r="A98" s="88">
        <v>298</v>
      </c>
      <c r="B98" s="88" t="s">
        <v>518</v>
      </c>
      <c r="C98" s="88" t="s">
        <v>367</v>
      </c>
      <c r="D98" s="88">
        <v>69.356183333333334</v>
      </c>
      <c r="E98" s="88">
        <v>-150.21899999999999</v>
      </c>
      <c r="F98" s="88">
        <v>168</v>
      </c>
      <c r="G98" s="88" t="s">
        <v>378</v>
      </c>
      <c r="H98" s="88" t="s">
        <v>520</v>
      </c>
      <c r="I98" s="88" t="s">
        <v>367</v>
      </c>
      <c r="J98" s="88" t="s">
        <v>393</v>
      </c>
      <c r="K98" s="88" t="s">
        <v>367</v>
      </c>
      <c r="L98" s="88" t="s">
        <v>458</v>
      </c>
      <c r="M98" s="94" t="str">
        <f t="shared" si="1"/>
        <v>View on Google Map</v>
      </c>
    </row>
    <row r="99" spans="1:13">
      <c r="A99" s="88">
        <v>213</v>
      </c>
      <c r="B99" s="88" t="s">
        <v>521</v>
      </c>
      <c r="C99" s="88" t="s">
        <v>367</v>
      </c>
      <c r="D99" s="88">
        <v>70.033333333333331</v>
      </c>
      <c r="E99" s="88">
        <v>-147.65</v>
      </c>
      <c r="F99" s="88">
        <v>28.04878048780488</v>
      </c>
      <c r="G99" s="88" t="s">
        <v>378</v>
      </c>
      <c r="H99" s="88" t="s">
        <v>522</v>
      </c>
      <c r="I99" s="88" t="s">
        <v>367</v>
      </c>
      <c r="J99" s="88" t="s">
        <v>393</v>
      </c>
      <c r="K99" s="88" t="s">
        <v>367</v>
      </c>
      <c r="L99" s="88" t="s">
        <v>456</v>
      </c>
      <c r="M99" s="94" t="str">
        <f t="shared" si="1"/>
        <v>View on Google Map</v>
      </c>
    </row>
    <row r="100" spans="1:13">
      <c r="A100" s="88">
        <v>299</v>
      </c>
      <c r="B100" s="88" t="s">
        <v>521</v>
      </c>
      <c r="C100" s="88" t="s">
        <v>367</v>
      </c>
      <c r="D100" s="88">
        <v>69.5458</v>
      </c>
      <c r="E100" s="88">
        <v>-150.37883333333335</v>
      </c>
      <c r="F100" s="88">
        <v>107</v>
      </c>
      <c r="G100" s="88" t="s">
        <v>378</v>
      </c>
      <c r="H100" s="88" t="s">
        <v>523</v>
      </c>
      <c r="I100" s="88" t="s">
        <v>367</v>
      </c>
      <c r="J100" s="88" t="s">
        <v>393</v>
      </c>
      <c r="K100" s="88" t="s">
        <v>367</v>
      </c>
      <c r="L100" s="88" t="s">
        <v>458</v>
      </c>
      <c r="M100" s="94" t="str">
        <f t="shared" si="1"/>
        <v>View on Google Map</v>
      </c>
    </row>
    <row r="101" spans="1:13">
      <c r="A101" s="88">
        <v>214</v>
      </c>
      <c r="B101" s="88" t="s">
        <v>524</v>
      </c>
      <c r="C101" s="88" t="s">
        <v>367</v>
      </c>
      <c r="D101" s="88">
        <v>69.833333333333329</v>
      </c>
      <c r="E101" s="88">
        <v>-147.93333333333334</v>
      </c>
      <c r="F101" s="88">
        <v>92.987804878048792</v>
      </c>
      <c r="G101" s="88" t="s">
        <v>378</v>
      </c>
      <c r="H101" s="88" t="s">
        <v>525</v>
      </c>
      <c r="I101" s="88" t="s">
        <v>367</v>
      </c>
      <c r="J101" s="88" t="s">
        <v>393</v>
      </c>
      <c r="K101" s="88" t="s">
        <v>367</v>
      </c>
      <c r="L101" s="88" t="s">
        <v>456</v>
      </c>
      <c r="M101" s="94" t="str">
        <f t="shared" si="1"/>
        <v>View on Google Map</v>
      </c>
    </row>
    <row r="102" spans="1:13">
      <c r="A102" s="88">
        <v>300</v>
      </c>
      <c r="B102" s="88" t="s">
        <v>524</v>
      </c>
      <c r="C102" s="88" t="s">
        <v>367</v>
      </c>
      <c r="D102" s="88">
        <v>69.5458</v>
      </c>
      <c r="E102" s="88">
        <v>-150.37883333333335</v>
      </c>
      <c r="F102" s="88">
        <v>107</v>
      </c>
      <c r="G102" s="88" t="s">
        <v>378</v>
      </c>
      <c r="H102" s="88" t="s">
        <v>526</v>
      </c>
      <c r="I102" s="88" t="s">
        <v>367</v>
      </c>
      <c r="J102" s="88" t="s">
        <v>393</v>
      </c>
      <c r="K102" s="88" t="s">
        <v>367</v>
      </c>
      <c r="L102" s="88" t="s">
        <v>458</v>
      </c>
      <c r="M102" s="94" t="str">
        <f t="shared" si="1"/>
        <v>View on Google Map</v>
      </c>
    </row>
    <row r="103" spans="1:13">
      <c r="A103" s="88">
        <v>215</v>
      </c>
      <c r="B103" s="88" t="s">
        <v>527</v>
      </c>
      <c r="C103" s="88" t="s">
        <v>367</v>
      </c>
      <c r="D103" s="88">
        <v>69.833333333333329</v>
      </c>
      <c r="E103" s="88">
        <v>-147.93333333333334</v>
      </c>
      <c r="F103" s="88">
        <v>92.987804878048792</v>
      </c>
      <c r="G103" s="88" t="s">
        <v>378</v>
      </c>
      <c r="H103" s="88" t="s">
        <v>528</v>
      </c>
      <c r="I103" s="88" t="s">
        <v>367</v>
      </c>
      <c r="J103" s="88" t="s">
        <v>393</v>
      </c>
      <c r="K103" s="88" t="s">
        <v>367</v>
      </c>
      <c r="L103" s="88" t="s">
        <v>456</v>
      </c>
      <c r="M103" s="94" t="str">
        <f t="shared" si="1"/>
        <v>View on Google Map</v>
      </c>
    </row>
    <row r="104" spans="1:13">
      <c r="A104" s="88">
        <v>301</v>
      </c>
      <c r="B104" s="88" t="s">
        <v>527</v>
      </c>
      <c r="C104" s="88" t="s">
        <v>367</v>
      </c>
      <c r="D104" s="88">
        <v>69.523700000000005</v>
      </c>
      <c r="E104" s="88">
        <v>-150.55269999999999</v>
      </c>
      <c r="F104" s="88">
        <v>107</v>
      </c>
      <c r="G104" s="88" t="s">
        <v>378</v>
      </c>
      <c r="H104" s="88" t="s">
        <v>529</v>
      </c>
      <c r="I104" s="88" t="s">
        <v>367</v>
      </c>
      <c r="J104" s="88" t="s">
        <v>393</v>
      </c>
      <c r="K104" s="88" t="s">
        <v>367</v>
      </c>
      <c r="L104" s="88" t="s">
        <v>458</v>
      </c>
      <c r="M104" s="94" t="str">
        <f t="shared" si="1"/>
        <v>View on Google Map</v>
      </c>
    </row>
    <row r="105" spans="1:13">
      <c r="A105" s="88">
        <v>216</v>
      </c>
      <c r="B105" s="88" t="s">
        <v>530</v>
      </c>
      <c r="C105" s="88" t="s">
        <v>367</v>
      </c>
      <c r="D105" s="88">
        <v>69.88333333333334</v>
      </c>
      <c r="E105" s="88">
        <v>-148.63333333333333</v>
      </c>
      <c r="F105" s="88">
        <v>118.90243902439025</v>
      </c>
      <c r="G105" s="88" t="s">
        <v>378</v>
      </c>
      <c r="H105" s="88" t="s">
        <v>531</v>
      </c>
      <c r="I105" s="88" t="s">
        <v>367</v>
      </c>
      <c r="J105" s="88" t="s">
        <v>393</v>
      </c>
      <c r="K105" s="88" t="s">
        <v>367</v>
      </c>
      <c r="L105" s="88" t="s">
        <v>456</v>
      </c>
      <c r="M105" s="94" t="str">
        <f t="shared" si="1"/>
        <v>View on Google Map</v>
      </c>
    </row>
    <row r="106" spans="1:13">
      <c r="A106" s="88">
        <v>302</v>
      </c>
      <c r="B106" s="88" t="s">
        <v>530</v>
      </c>
      <c r="C106" s="88" t="s">
        <v>367</v>
      </c>
      <c r="D106" s="88">
        <v>69.523700000000005</v>
      </c>
      <c r="E106" s="88">
        <v>-150.55269999999999</v>
      </c>
      <c r="F106" s="88">
        <v>107</v>
      </c>
      <c r="G106" s="88" t="s">
        <v>378</v>
      </c>
      <c r="H106" s="88" t="s">
        <v>532</v>
      </c>
      <c r="I106" s="88" t="s">
        <v>367</v>
      </c>
      <c r="J106" s="88" t="s">
        <v>393</v>
      </c>
      <c r="K106" s="88" t="s">
        <v>367</v>
      </c>
      <c r="L106" s="88" t="s">
        <v>458</v>
      </c>
      <c r="M106" s="94" t="str">
        <f t="shared" si="1"/>
        <v>View on Google Map</v>
      </c>
    </row>
    <row r="107" spans="1:13">
      <c r="A107" s="88">
        <v>217</v>
      </c>
      <c r="B107" s="88" t="s">
        <v>533</v>
      </c>
      <c r="C107" s="88" t="s">
        <v>367</v>
      </c>
      <c r="D107" s="88">
        <v>69.7</v>
      </c>
      <c r="E107" s="88">
        <v>-148.48333333333332</v>
      </c>
      <c r="F107" s="88">
        <v>125</v>
      </c>
      <c r="G107" s="88" t="s">
        <v>378</v>
      </c>
      <c r="H107" s="88" t="s">
        <v>534</v>
      </c>
      <c r="I107" s="88" t="s">
        <v>367</v>
      </c>
      <c r="J107" s="88" t="s">
        <v>393</v>
      </c>
      <c r="K107" s="88" t="s">
        <v>367</v>
      </c>
      <c r="L107" s="88" t="s">
        <v>456</v>
      </c>
      <c r="M107" s="94" t="str">
        <f t="shared" si="1"/>
        <v>View on Google Map</v>
      </c>
    </row>
    <row r="108" spans="1:13">
      <c r="A108" s="88">
        <v>303</v>
      </c>
      <c r="B108" s="88" t="s">
        <v>533</v>
      </c>
      <c r="C108" s="88" t="s">
        <v>367</v>
      </c>
      <c r="D108" s="88">
        <v>69.610399999999998</v>
      </c>
      <c r="E108" s="88">
        <v>-148.82113333333334</v>
      </c>
      <c r="F108" s="88">
        <v>107</v>
      </c>
      <c r="G108" s="88" t="s">
        <v>378</v>
      </c>
      <c r="H108" s="88" t="s">
        <v>535</v>
      </c>
      <c r="I108" s="88" t="s">
        <v>367</v>
      </c>
      <c r="J108" s="88" t="s">
        <v>393</v>
      </c>
      <c r="K108" s="88" t="s">
        <v>367</v>
      </c>
      <c r="L108" s="88" t="s">
        <v>458</v>
      </c>
      <c r="M108" s="94" t="str">
        <f t="shared" si="1"/>
        <v>View on Google Map</v>
      </c>
    </row>
    <row r="109" spans="1:13">
      <c r="A109" s="88">
        <v>218</v>
      </c>
      <c r="B109" s="88" t="s">
        <v>536</v>
      </c>
      <c r="C109" s="88" t="s">
        <v>367</v>
      </c>
      <c r="D109" s="88">
        <v>69.7</v>
      </c>
      <c r="E109" s="88">
        <v>-148.48333333333332</v>
      </c>
      <c r="F109" s="88">
        <v>125</v>
      </c>
      <c r="G109" s="88" t="s">
        <v>378</v>
      </c>
      <c r="H109" s="88" t="s">
        <v>537</v>
      </c>
      <c r="I109" s="88" t="s">
        <v>367</v>
      </c>
      <c r="J109" s="88" t="s">
        <v>393</v>
      </c>
      <c r="K109" s="88" t="s">
        <v>367</v>
      </c>
      <c r="L109" s="88" t="s">
        <v>456</v>
      </c>
      <c r="M109" s="94" t="str">
        <f t="shared" si="1"/>
        <v>View on Google Map</v>
      </c>
    </row>
    <row r="110" spans="1:13">
      <c r="A110" s="88">
        <v>304</v>
      </c>
      <c r="B110" s="88" t="s">
        <v>536</v>
      </c>
      <c r="C110" s="88" t="s">
        <v>367</v>
      </c>
      <c r="D110" s="88">
        <v>69.610399999999998</v>
      </c>
      <c r="E110" s="88">
        <v>-148.82113333333334</v>
      </c>
      <c r="F110" s="88">
        <v>107</v>
      </c>
      <c r="G110" s="88" t="s">
        <v>378</v>
      </c>
      <c r="H110" s="88" t="s">
        <v>538</v>
      </c>
      <c r="I110" s="88" t="s">
        <v>367</v>
      </c>
      <c r="J110" s="88" t="s">
        <v>393</v>
      </c>
      <c r="K110" s="88" t="s">
        <v>367</v>
      </c>
      <c r="L110" s="88" t="s">
        <v>458</v>
      </c>
      <c r="M110" s="94" t="str">
        <f t="shared" si="1"/>
        <v>View on Google Map</v>
      </c>
    </row>
    <row r="111" spans="1:13">
      <c r="A111" s="88">
        <v>232</v>
      </c>
      <c r="B111" s="88" t="s">
        <v>539</v>
      </c>
      <c r="C111" s="88" t="s">
        <v>367</v>
      </c>
      <c r="D111" s="88">
        <v>69.266666666666666</v>
      </c>
      <c r="E111" s="88">
        <v>-148.46666666666667</v>
      </c>
      <c r="F111" s="88">
        <v>338.71951219512198</v>
      </c>
      <c r="G111" s="88" t="s">
        <v>378</v>
      </c>
      <c r="H111" s="88" t="s">
        <v>540</v>
      </c>
      <c r="I111" s="88" t="s">
        <v>367</v>
      </c>
      <c r="J111" s="88" t="s">
        <v>393</v>
      </c>
      <c r="K111" s="88" t="s">
        <v>367</v>
      </c>
      <c r="L111" s="88" t="s">
        <v>456</v>
      </c>
      <c r="M111" s="94" t="str">
        <f t="shared" si="1"/>
        <v>View on Google Map</v>
      </c>
    </row>
    <row r="112" spans="1:13">
      <c r="A112" s="88">
        <v>239</v>
      </c>
      <c r="B112" s="88" t="s">
        <v>541</v>
      </c>
      <c r="C112" s="88" t="s">
        <v>542</v>
      </c>
      <c r="D112" s="88" t="s">
        <v>367</v>
      </c>
      <c r="E112" s="88" t="s">
        <v>367</v>
      </c>
      <c r="F112" s="88" t="s">
        <v>367</v>
      </c>
      <c r="G112" s="88" t="s">
        <v>378</v>
      </c>
      <c r="H112" s="88" t="s">
        <v>367</v>
      </c>
      <c r="I112" s="88" t="s">
        <v>367</v>
      </c>
      <c r="J112" s="88" t="s">
        <v>393</v>
      </c>
      <c r="K112" s="88" t="s">
        <v>367</v>
      </c>
      <c r="L112" s="88" t="s">
        <v>543</v>
      </c>
      <c r="M112" s="94" t="str">
        <f t="shared" si="1"/>
        <v>View on Google Map</v>
      </c>
    </row>
    <row r="113" spans="1:13">
      <c r="A113" s="88">
        <v>144</v>
      </c>
      <c r="B113" s="88" t="s">
        <v>544</v>
      </c>
      <c r="C113" s="88" t="s">
        <v>545</v>
      </c>
      <c r="D113" s="88">
        <v>68.63333333333334</v>
      </c>
      <c r="E113" s="88">
        <v>-149.6</v>
      </c>
      <c r="F113" s="88">
        <v>719</v>
      </c>
      <c r="G113" s="88" t="s">
        <v>378</v>
      </c>
      <c r="H113" s="88" t="s">
        <v>367</v>
      </c>
      <c r="I113" s="88" t="s">
        <v>367</v>
      </c>
      <c r="J113" s="88" t="s">
        <v>393</v>
      </c>
      <c r="K113" s="88" t="s">
        <v>367</v>
      </c>
      <c r="L113" s="88" t="s">
        <v>394</v>
      </c>
      <c r="M113" s="94" t="str">
        <f t="shared" si="1"/>
        <v>View on Google Map</v>
      </c>
    </row>
    <row r="114" spans="1:13">
      <c r="A114" s="88">
        <v>401</v>
      </c>
      <c r="B114" s="88" t="s">
        <v>546</v>
      </c>
      <c r="C114" s="88" t="s">
        <v>367</v>
      </c>
      <c r="D114" s="88" t="s">
        <v>367</v>
      </c>
      <c r="E114" s="88" t="s">
        <v>367</v>
      </c>
      <c r="F114" s="88" t="s">
        <v>367</v>
      </c>
      <c r="G114" s="88" t="s">
        <v>378</v>
      </c>
      <c r="H114" s="88" t="s">
        <v>367</v>
      </c>
      <c r="I114" s="88" t="s">
        <v>367</v>
      </c>
      <c r="J114" s="88" t="s">
        <v>393</v>
      </c>
      <c r="K114" s="88" t="s">
        <v>367</v>
      </c>
      <c r="L114" s="88" t="s">
        <v>547</v>
      </c>
      <c r="M114" s="94" t="str">
        <f t="shared" si="1"/>
        <v>View on Google Map</v>
      </c>
    </row>
    <row r="115" spans="1:13">
      <c r="A115" s="88">
        <v>403</v>
      </c>
      <c r="B115" s="88" t="s">
        <v>548</v>
      </c>
      <c r="C115" s="88" t="s">
        <v>367</v>
      </c>
      <c r="D115" s="88" t="s">
        <v>367</v>
      </c>
      <c r="E115" s="88" t="s">
        <v>367</v>
      </c>
      <c r="F115" s="88" t="s">
        <v>367</v>
      </c>
      <c r="G115" s="88" t="s">
        <v>378</v>
      </c>
      <c r="H115" s="88" t="s">
        <v>367</v>
      </c>
      <c r="I115" s="88" t="s">
        <v>367</v>
      </c>
      <c r="J115" s="88" t="s">
        <v>393</v>
      </c>
      <c r="K115" s="88" t="s">
        <v>367</v>
      </c>
      <c r="L115" s="88" t="s">
        <v>549</v>
      </c>
      <c r="M115" s="94" t="str">
        <f t="shared" si="1"/>
        <v>View on Google Map</v>
      </c>
    </row>
    <row r="116" spans="1:13">
      <c r="A116" s="88">
        <v>403</v>
      </c>
      <c r="B116" s="88" t="s">
        <v>548</v>
      </c>
      <c r="C116" s="88" t="s">
        <v>367</v>
      </c>
      <c r="D116" s="88" t="s">
        <v>367</v>
      </c>
      <c r="E116" s="88" t="s">
        <v>367</v>
      </c>
      <c r="F116" s="88" t="s">
        <v>367</v>
      </c>
      <c r="G116" s="88" t="s">
        <v>378</v>
      </c>
      <c r="H116" s="88" t="s">
        <v>367</v>
      </c>
      <c r="I116" s="88" t="s">
        <v>367</v>
      </c>
      <c r="J116" s="88" t="s">
        <v>393</v>
      </c>
      <c r="K116" s="88" t="s">
        <v>367</v>
      </c>
      <c r="L116" s="88" t="s">
        <v>549</v>
      </c>
      <c r="M116" s="94" t="str">
        <f t="shared" si="1"/>
        <v>View on Google Map</v>
      </c>
    </row>
    <row r="117" spans="1:13">
      <c r="A117" s="88">
        <v>1209</v>
      </c>
      <c r="B117" s="88" t="s">
        <v>550</v>
      </c>
      <c r="C117" s="88" t="s">
        <v>551</v>
      </c>
      <c r="D117" s="88">
        <v>68.934420000000003</v>
      </c>
      <c r="E117" s="88">
        <v>-150.21242000000001</v>
      </c>
      <c r="F117" s="88" t="s">
        <v>367</v>
      </c>
      <c r="G117" s="88" t="s">
        <v>368</v>
      </c>
      <c r="H117" s="88" t="s">
        <v>367</v>
      </c>
      <c r="I117" s="88" t="s">
        <v>367</v>
      </c>
      <c r="J117" s="88" t="s">
        <v>374</v>
      </c>
      <c r="K117" s="88" t="s">
        <v>367</v>
      </c>
      <c r="L117" s="88" t="s">
        <v>375</v>
      </c>
      <c r="M117" s="94" t="str">
        <f t="shared" si="1"/>
        <v>View on Google Map</v>
      </c>
    </row>
    <row r="118" spans="1:13">
      <c r="A118" s="88">
        <v>482</v>
      </c>
      <c r="B118" s="88" t="s">
        <v>552</v>
      </c>
      <c r="C118" s="88" t="s">
        <v>367</v>
      </c>
      <c r="D118" s="88">
        <v>68.951483332999999</v>
      </c>
      <c r="E118" s="88">
        <v>-150.194333333</v>
      </c>
      <c r="F118" s="88">
        <v>399</v>
      </c>
      <c r="G118" s="88" t="s">
        <v>378</v>
      </c>
      <c r="H118" s="88" t="s">
        <v>367</v>
      </c>
      <c r="I118" s="88" t="s">
        <v>367</v>
      </c>
      <c r="J118" s="88" t="s">
        <v>428</v>
      </c>
      <c r="K118" s="88" t="s">
        <v>367</v>
      </c>
      <c r="L118" s="88" t="s">
        <v>375</v>
      </c>
      <c r="M118" s="94" t="str">
        <f t="shared" si="1"/>
        <v>View on Google Map</v>
      </c>
    </row>
    <row r="119" spans="1:13">
      <c r="A119" s="88">
        <v>483</v>
      </c>
      <c r="B119" s="88" t="s">
        <v>553</v>
      </c>
      <c r="C119" s="88" t="s">
        <v>367</v>
      </c>
      <c r="D119" s="88">
        <v>68.950783333000004</v>
      </c>
      <c r="E119" s="88">
        <v>-150.19835</v>
      </c>
      <c r="F119" s="88">
        <v>399</v>
      </c>
      <c r="G119" s="88" t="s">
        <v>392</v>
      </c>
      <c r="H119" s="88" t="s">
        <v>554</v>
      </c>
      <c r="I119" s="88" t="s">
        <v>367</v>
      </c>
      <c r="J119" s="88" t="s">
        <v>428</v>
      </c>
      <c r="K119" s="88" t="s">
        <v>367</v>
      </c>
      <c r="L119" s="88" t="s">
        <v>375</v>
      </c>
      <c r="M119" s="94" t="str">
        <f t="shared" si="1"/>
        <v>View on Google Map</v>
      </c>
    </row>
    <row r="120" spans="1:13">
      <c r="A120" s="88">
        <v>484</v>
      </c>
      <c r="B120" s="88" t="s">
        <v>555</v>
      </c>
      <c r="C120" s="88" t="s">
        <v>367</v>
      </c>
      <c r="D120" s="88">
        <v>68.957549999999998</v>
      </c>
      <c r="E120" s="88">
        <v>-150.200916667</v>
      </c>
      <c r="F120" s="88">
        <v>399</v>
      </c>
      <c r="G120" s="88" t="s">
        <v>378</v>
      </c>
      <c r="H120" s="88" t="s">
        <v>556</v>
      </c>
      <c r="I120" s="88" t="s">
        <v>557</v>
      </c>
      <c r="J120" s="88" t="s">
        <v>428</v>
      </c>
      <c r="K120" s="88" t="s">
        <v>367</v>
      </c>
      <c r="L120" s="88" t="s">
        <v>375</v>
      </c>
      <c r="M120" s="94" t="str">
        <f t="shared" si="1"/>
        <v>View on Google Map</v>
      </c>
    </row>
    <row r="121" spans="1:13">
      <c r="A121" s="88">
        <v>485</v>
      </c>
      <c r="B121" s="88" t="s">
        <v>558</v>
      </c>
      <c r="C121" s="88" t="s">
        <v>367</v>
      </c>
      <c r="D121" s="88">
        <v>68.95675</v>
      </c>
      <c r="E121" s="88">
        <v>-150.19700833300001</v>
      </c>
      <c r="F121" s="88">
        <v>399</v>
      </c>
      <c r="G121" s="88" t="s">
        <v>378</v>
      </c>
      <c r="H121" s="88" t="s">
        <v>559</v>
      </c>
      <c r="I121" s="88" t="s">
        <v>367</v>
      </c>
      <c r="J121" s="88" t="s">
        <v>428</v>
      </c>
      <c r="K121" s="88" t="s">
        <v>367</v>
      </c>
      <c r="L121" s="88" t="s">
        <v>375</v>
      </c>
      <c r="M121" s="94" t="str">
        <f t="shared" si="1"/>
        <v>View on Google Map</v>
      </c>
    </row>
    <row r="122" spans="1:13">
      <c r="A122" s="88">
        <v>514</v>
      </c>
      <c r="B122" s="88" t="s">
        <v>560</v>
      </c>
      <c r="C122" s="88" t="s">
        <v>377</v>
      </c>
      <c r="D122" s="88">
        <v>68.418130000000005</v>
      </c>
      <c r="E122" s="88">
        <v>-151.58454</v>
      </c>
      <c r="F122" s="88">
        <v>876</v>
      </c>
      <c r="G122" s="88" t="s">
        <v>378</v>
      </c>
      <c r="H122" s="88" t="s">
        <v>367</v>
      </c>
      <c r="I122" s="88" t="s">
        <v>367</v>
      </c>
      <c r="J122" s="88" t="s">
        <v>379</v>
      </c>
      <c r="K122" s="88" t="s">
        <v>367</v>
      </c>
      <c r="L122" s="88" t="s">
        <v>380</v>
      </c>
      <c r="M122" s="94" t="str">
        <f t="shared" si="1"/>
        <v>View on Google Map</v>
      </c>
    </row>
    <row r="123" spans="1:13">
      <c r="A123" s="88">
        <v>400</v>
      </c>
      <c r="B123" s="88" t="s">
        <v>561</v>
      </c>
      <c r="C123" s="88" t="s">
        <v>367</v>
      </c>
      <c r="D123" s="88" t="s">
        <v>367</v>
      </c>
      <c r="E123" s="88" t="s">
        <v>367</v>
      </c>
      <c r="F123" s="88" t="s">
        <v>367</v>
      </c>
      <c r="G123" s="88" t="s">
        <v>378</v>
      </c>
      <c r="H123" s="88" t="s">
        <v>367</v>
      </c>
      <c r="I123" s="88" t="s">
        <v>367</v>
      </c>
      <c r="J123" s="88" t="s">
        <v>393</v>
      </c>
      <c r="K123" s="88" t="s">
        <v>367</v>
      </c>
      <c r="L123" s="88" t="s">
        <v>547</v>
      </c>
      <c r="M123" s="94" t="str">
        <f t="shared" si="1"/>
        <v>View on Google Map</v>
      </c>
    </row>
    <row r="124" spans="1:13">
      <c r="A124" s="88">
        <v>137</v>
      </c>
      <c r="B124" s="88" t="s">
        <v>562</v>
      </c>
      <c r="C124" s="88" t="s">
        <v>367</v>
      </c>
      <c r="D124" s="88">
        <v>70.3</v>
      </c>
      <c r="E124" s="88">
        <v>-148.28333333333333</v>
      </c>
      <c r="F124" s="88">
        <v>6</v>
      </c>
      <c r="G124" s="88" t="s">
        <v>378</v>
      </c>
      <c r="H124" s="88" t="s">
        <v>563</v>
      </c>
      <c r="I124" s="88" t="s">
        <v>367</v>
      </c>
      <c r="J124" s="88" t="s">
        <v>393</v>
      </c>
      <c r="K124" s="88" t="s">
        <v>367</v>
      </c>
      <c r="L124" s="88" t="s">
        <v>394</v>
      </c>
      <c r="M124" s="94" t="str">
        <f t="shared" si="1"/>
        <v>View on Google Map</v>
      </c>
    </row>
    <row r="125" spans="1:13">
      <c r="A125" s="88">
        <v>146</v>
      </c>
      <c r="B125" s="88" t="s">
        <v>564</v>
      </c>
      <c r="C125" s="88" t="s">
        <v>367</v>
      </c>
      <c r="D125" s="88">
        <v>68.626195602799996</v>
      </c>
      <c r="E125" s="88">
        <v>-149.55534770599999</v>
      </c>
      <c r="F125" s="88">
        <v>762</v>
      </c>
      <c r="G125" s="88" t="s">
        <v>378</v>
      </c>
      <c r="H125" s="88" t="s">
        <v>565</v>
      </c>
      <c r="I125" s="88" t="s">
        <v>566</v>
      </c>
      <c r="J125" s="88" t="s">
        <v>393</v>
      </c>
      <c r="K125" s="88" t="s">
        <v>367</v>
      </c>
      <c r="L125" s="88" t="s">
        <v>367</v>
      </c>
      <c r="M125" s="94" t="str">
        <f t="shared" si="1"/>
        <v>View on Google Map</v>
      </c>
    </row>
    <row r="126" spans="1:13">
      <c r="A126" s="88">
        <v>18</v>
      </c>
      <c r="B126" s="88" t="s">
        <v>567</v>
      </c>
      <c r="C126" s="88" t="s">
        <v>367</v>
      </c>
      <c r="D126" s="88" t="s">
        <v>367</v>
      </c>
      <c r="E126" s="88" t="s">
        <v>367</v>
      </c>
      <c r="F126" s="88">
        <v>762</v>
      </c>
      <c r="G126" s="88" t="s">
        <v>392</v>
      </c>
      <c r="H126" s="88" t="s">
        <v>568</v>
      </c>
      <c r="I126" s="88" t="s">
        <v>569</v>
      </c>
      <c r="J126" s="88" t="s">
        <v>393</v>
      </c>
      <c r="K126" s="88" t="s">
        <v>367</v>
      </c>
      <c r="L126" s="88" t="s">
        <v>367</v>
      </c>
      <c r="M126" s="94" t="str">
        <f t="shared" si="1"/>
        <v>View on Google Map</v>
      </c>
    </row>
    <row r="127" spans="1:13">
      <c r="A127" s="88">
        <v>310</v>
      </c>
      <c r="B127" s="88" t="s">
        <v>570</v>
      </c>
      <c r="C127" s="88" t="s">
        <v>367</v>
      </c>
      <c r="D127" s="88">
        <v>68.622894947099994</v>
      </c>
      <c r="E127" s="88">
        <v>-149.54328383999999</v>
      </c>
      <c r="F127" s="88" t="s">
        <v>367</v>
      </c>
      <c r="G127" s="88" t="s">
        <v>378</v>
      </c>
      <c r="H127" s="88" t="s">
        <v>571</v>
      </c>
      <c r="I127" s="88" t="s">
        <v>572</v>
      </c>
      <c r="J127" s="88" t="s">
        <v>393</v>
      </c>
      <c r="K127" s="88" t="s">
        <v>367</v>
      </c>
      <c r="L127" s="88" t="s">
        <v>367</v>
      </c>
      <c r="M127" s="94" t="str">
        <f t="shared" si="1"/>
        <v>View on Google Map</v>
      </c>
    </row>
    <row r="128" spans="1:13">
      <c r="A128" s="88">
        <v>311</v>
      </c>
      <c r="B128" s="88" t="s">
        <v>573</v>
      </c>
      <c r="C128" s="88" t="s">
        <v>367</v>
      </c>
      <c r="D128" s="88">
        <v>68.623910828999996</v>
      </c>
      <c r="E128" s="88">
        <v>-149.53118563999999</v>
      </c>
      <c r="F128" s="88" t="s">
        <v>367</v>
      </c>
      <c r="G128" s="88" t="s">
        <v>378</v>
      </c>
      <c r="H128" s="88" t="s">
        <v>574</v>
      </c>
      <c r="I128" s="88" t="s">
        <v>575</v>
      </c>
      <c r="J128" s="88" t="s">
        <v>393</v>
      </c>
      <c r="K128" s="88" t="s">
        <v>367</v>
      </c>
      <c r="L128" s="88" t="s">
        <v>367</v>
      </c>
      <c r="M128" s="94" t="str">
        <f t="shared" si="1"/>
        <v>View on Google Map</v>
      </c>
    </row>
    <row r="129" spans="1:13">
      <c r="A129" s="88">
        <v>312</v>
      </c>
      <c r="B129" s="88" t="s">
        <v>576</v>
      </c>
      <c r="C129" s="88" t="s">
        <v>367</v>
      </c>
      <c r="D129" s="88">
        <v>68.6277698106</v>
      </c>
      <c r="E129" s="88">
        <v>-149.497737003</v>
      </c>
      <c r="F129" s="88" t="s">
        <v>367</v>
      </c>
      <c r="G129" s="88" t="s">
        <v>378</v>
      </c>
      <c r="H129" s="88" t="s">
        <v>577</v>
      </c>
      <c r="I129" s="88" t="s">
        <v>578</v>
      </c>
      <c r="J129" s="88" t="s">
        <v>393</v>
      </c>
      <c r="K129" s="88" t="s">
        <v>367</v>
      </c>
      <c r="L129" s="88" t="s">
        <v>367</v>
      </c>
      <c r="M129" s="94" t="str">
        <f t="shared" si="1"/>
        <v>View on Google Map</v>
      </c>
    </row>
    <row r="130" spans="1:13">
      <c r="A130" s="88">
        <v>145</v>
      </c>
      <c r="B130" s="88" t="s">
        <v>579</v>
      </c>
      <c r="C130" s="88" t="s">
        <v>367</v>
      </c>
      <c r="D130" s="88">
        <v>68.642611000000002</v>
      </c>
      <c r="E130" s="88">
        <v>-149.458079</v>
      </c>
      <c r="F130" s="88">
        <v>800</v>
      </c>
      <c r="G130" s="88" t="s">
        <v>378</v>
      </c>
      <c r="H130" s="88" t="s">
        <v>580</v>
      </c>
      <c r="I130" s="88" t="s">
        <v>581</v>
      </c>
      <c r="J130" s="88" t="s">
        <v>393</v>
      </c>
      <c r="K130" s="88" t="s">
        <v>367</v>
      </c>
      <c r="L130" s="88" t="s">
        <v>367</v>
      </c>
      <c r="M130" s="94" t="str">
        <f t="shared" si="1"/>
        <v>View on Google Map</v>
      </c>
    </row>
    <row r="131" spans="1:13">
      <c r="A131" s="88">
        <v>399</v>
      </c>
      <c r="B131" s="88" t="s">
        <v>582</v>
      </c>
      <c r="C131" s="88" t="s">
        <v>367</v>
      </c>
      <c r="D131" s="88">
        <v>68.643427058300006</v>
      </c>
      <c r="E131" s="88">
        <v>-149.44056459199999</v>
      </c>
      <c r="F131" s="88">
        <v>792</v>
      </c>
      <c r="G131" s="88" t="s">
        <v>378</v>
      </c>
      <c r="H131" s="88" t="s">
        <v>583</v>
      </c>
      <c r="I131" s="88" t="s">
        <v>584</v>
      </c>
      <c r="J131" s="88" t="s">
        <v>393</v>
      </c>
      <c r="K131" s="88" t="s">
        <v>367</v>
      </c>
      <c r="L131" s="88" t="s">
        <v>367</v>
      </c>
      <c r="M131" s="94" t="str">
        <f t="shared" ref="M131:M194" si="2">HYPERLINK("http://maps.google.com/maps?q="&amp;D131&amp;","&amp;E131,"View on Google Map")</f>
        <v>View on Google Map</v>
      </c>
    </row>
    <row r="132" spans="1:13">
      <c r="A132" s="88">
        <v>1605</v>
      </c>
      <c r="B132" s="88" t="s">
        <v>585</v>
      </c>
      <c r="C132" s="88" t="s">
        <v>367</v>
      </c>
      <c r="D132" s="88" t="s">
        <v>367</v>
      </c>
      <c r="E132" s="88" t="s">
        <v>367</v>
      </c>
      <c r="F132" s="88" t="s">
        <v>367</v>
      </c>
      <c r="G132" s="88" t="s">
        <v>392</v>
      </c>
      <c r="H132" s="88" t="s">
        <v>586</v>
      </c>
      <c r="I132" s="88" t="s">
        <v>587</v>
      </c>
      <c r="J132" s="88" t="s">
        <v>393</v>
      </c>
      <c r="K132" s="88" t="s">
        <v>367</v>
      </c>
      <c r="L132" s="88" t="s">
        <v>367</v>
      </c>
      <c r="M132" s="94" t="str">
        <f t="shared" si="2"/>
        <v>View on Google Map</v>
      </c>
    </row>
    <row r="133" spans="1:13">
      <c r="A133" s="88">
        <v>1606</v>
      </c>
      <c r="B133" s="88" t="s">
        <v>588</v>
      </c>
      <c r="C133" s="88" t="s">
        <v>367</v>
      </c>
      <c r="D133" s="88" t="s">
        <v>367</v>
      </c>
      <c r="E133" s="88" t="s">
        <v>367</v>
      </c>
      <c r="F133" s="88" t="s">
        <v>367</v>
      </c>
      <c r="G133" s="88" t="s">
        <v>392</v>
      </c>
      <c r="H133" s="88" t="s">
        <v>589</v>
      </c>
      <c r="I133" s="88" t="s">
        <v>590</v>
      </c>
      <c r="J133" s="88" t="s">
        <v>393</v>
      </c>
      <c r="K133" s="88" t="s">
        <v>367</v>
      </c>
      <c r="L133" s="88" t="s">
        <v>367</v>
      </c>
      <c r="M133" s="94" t="str">
        <f t="shared" si="2"/>
        <v>View on Google Map</v>
      </c>
    </row>
    <row r="134" spans="1:13">
      <c r="A134" s="88">
        <v>1604</v>
      </c>
      <c r="B134" s="88" t="s">
        <v>591</v>
      </c>
      <c r="C134" s="88" t="s">
        <v>367</v>
      </c>
      <c r="D134" s="88" t="s">
        <v>367</v>
      </c>
      <c r="E134" s="88" t="s">
        <v>367</v>
      </c>
      <c r="F134" s="88" t="s">
        <v>367</v>
      </c>
      <c r="G134" s="88" t="s">
        <v>392</v>
      </c>
      <c r="H134" s="88" t="s">
        <v>592</v>
      </c>
      <c r="I134" s="88" t="s">
        <v>593</v>
      </c>
      <c r="J134" s="88" t="s">
        <v>393</v>
      </c>
      <c r="K134" s="88" t="s">
        <v>367</v>
      </c>
      <c r="L134" s="88" t="s">
        <v>367</v>
      </c>
      <c r="M134" s="94" t="str">
        <f t="shared" si="2"/>
        <v>View on Google Map</v>
      </c>
    </row>
    <row r="135" spans="1:13">
      <c r="A135" s="88">
        <v>24</v>
      </c>
      <c r="B135" s="88" t="s">
        <v>594</v>
      </c>
      <c r="C135" s="88" t="s">
        <v>367</v>
      </c>
      <c r="D135" s="88" t="s">
        <v>367</v>
      </c>
      <c r="E135" s="88" t="s">
        <v>367</v>
      </c>
      <c r="F135" s="88" t="s">
        <v>367</v>
      </c>
      <c r="G135" s="88" t="s">
        <v>392</v>
      </c>
      <c r="H135" s="88" t="s">
        <v>367</v>
      </c>
      <c r="I135" s="88" t="s">
        <v>367</v>
      </c>
      <c r="J135" s="88" t="s">
        <v>393</v>
      </c>
      <c r="K135" s="88" t="s">
        <v>367</v>
      </c>
      <c r="L135" s="88" t="s">
        <v>367</v>
      </c>
      <c r="M135" s="94" t="str">
        <f t="shared" si="2"/>
        <v>View on Google Map</v>
      </c>
    </row>
    <row r="136" spans="1:13">
      <c r="A136" s="88">
        <v>143</v>
      </c>
      <c r="B136" s="88" t="s">
        <v>595</v>
      </c>
      <c r="C136" s="88" t="s">
        <v>596</v>
      </c>
      <c r="D136" s="88">
        <v>68.650000000000006</v>
      </c>
      <c r="E136" s="88">
        <v>-148.5</v>
      </c>
      <c r="F136" s="88">
        <v>525</v>
      </c>
      <c r="G136" s="88" t="s">
        <v>378</v>
      </c>
      <c r="H136" s="88" t="s">
        <v>367</v>
      </c>
      <c r="I136" s="88" t="s">
        <v>367</v>
      </c>
      <c r="J136" s="88" t="s">
        <v>393</v>
      </c>
      <c r="K136" s="88" t="s">
        <v>367</v>
      </c>
      <c r="L136" s="88" t="s">
        <v>394</v>
      </c>
      <c r="M136" s="94" t="str">
        <f t="shared" si="2"/>
        <v>View on Google Map</v>
      </c>
    </row>
    <row r="137" spans="1:13">
      <c r="A137" s="88">
        <v>464</v>
      </c>
      <c r="B137" s="88" t="s">
        <v>597</v>
      </c>
      <c r="C137" s="88" t="s">
        <v>367</v>
      </c>
      <c r="D137" s="88">
        <v>68.793719999999993</v>
      </c>
      <c r="E137" s="88">
        <v>-149.47560999999999</v>
      </c>
      <c r="F137" s="88">
        <v>702</v>
      </c>
      <c r="G137" s="88" t="s">
        <v>378</v>
      </c>
      <c r="H137" s="88" t="s">
        <v>367</v>
      </c>
      <c r="I137" s="88" t="s">
        <v>367</v>
      </c>
      <c r="J137" s="88" t="s">
        <v>379</v>
      </c>
      <c r="K137" s="88" t="s">
        <v>367</v>
      </c>
      <c r="L137" s="88" t="s">
        <v>367</v>
      </c>
      <c r="M137" s="94" t="str">
        <f t="shared" si="2"/>
        <v>View on Google Map</v>
      </c>
    </row>
    <row r="138" spans="1:13">
      <c r="A138" s="88">
        <v>465</v>
      </c>
      <c r="B138" s="88" t="s">
        <v>598</v>
      </c>
      <c r="C138" s="88" t="s">
        <v>367</v>
      </c>
      <c r="D138" s="88">
        <v>68.796220000000005</v>
      </c>
      <c r="E138" s="88">
        <v>-149.48222000000001</v>
      </c>
      <c r="F138" s="88">
        <v>698</v>
      </c>
      <c r="G138" s="88" t="s">
        <v>378</v>
      </c>
      <c r="H138" s="88" t="s">
        <v>367</v>
      </c>
      <c r="I138" s="88" t="s">
        <v>367</v>
      </c>
      <c r="J138" s="88" t="s">
        <v>379</v>
      </c>
      <c r="K138" s="88" t="s">
        <v>367</v>
      </c>
      <c r="L138" s="88" t="s">
        <v>367</v>
      </c>
      <c r="M138" s="94" t="str">
        <f t="shared" si="2"/>
        <v>View on Google Map</v>
      </c>
    </row>
    <row r="139" spans="1:13">
      <c r="A139" s="88">
        <v>466</v>
      </c>
      <c r="B139" s="88" t="s">
        <v>599</v>
      </c>
      <c r="C139" s="88" t="s">
        <v>367</v>
      </c>
      <c r="D139" s="88">
        <v>68.798249999999996</v>
      </c>
      <c r="E139" s="88">
        <v>-149.47832</v>
      </c>
      <c r="F139" s="88">
        <v>697</v>
      </c>
      <c r="G139" s="88" t="s">
        <v>378</v>
      </c>
      <c r="H139" s="88" t="s">
        <v>367</v>
      </c>
      <c r="I139" s="88" t="s">
        <v>367</v>
      </c>
      <c r="J139" s="88" t="s">
        <v>379</v>
      </c>
      <c r="K139" s="88" t="s">
        <v>367</v>
      </c>
      <c r="L139" s="88" t="s">
        <v>367</v>
      </c>
      <c r="M139" s="94" t="str">
        <f t="shared" si="2"/>
        <v>View on Google Map</v>
      </c>
    </row>
    <row r="140" spans="1:13">
      <c r="A140" s="88">
        <v>467</v>
      </c>
      <c r="B140" s="88" t="s">
        <v>600</v>
      </c>
      <c r="C140" s="88" t="s">
        <v>367</v>
      </c>
      <c r="D140" s="88">
        <v>68.794659999999993</v>
      </c>
      <c r="E140" s="88">
        <v>-149.46985000000001</v>
      </c>
      <c r="F140" s="88">
        <v>702</v>
      </c>
      <c r="G140" s="88" t="s">
        <v>378</v>
      </c>
      <c r="H140" s="88" t="s">
        <v>367</v>
      </c>
      <c r="I140" s="88" t="s">
        <v>367</v>
      </c>
      <c r="J140" s="88" t="s">
        <v>379</v>
      </c>
      <c r="K140" s="88" t="s">
        <v>367</v>
      </c>
      <c r="L140" s="88" t="s">
        <v>367</v>
      </c>
      <c r="M140" s="94" t="str">
        <f t="shared" si="2"/>
        <v>View on Google Map</v>
      </c>
    </row>
    <row r="141" spans="1:13">
      <c r="A141" s="88">
        <v>468</v>
      </c>
      <c r="B141" s="88" t="s">
        <v>601</v>
      </c>
      <c r="C141" s="88" t="s">
        <v>367</v>
      </c>
      <c r="D141" s="88">
        <v>68.797669999999997</v>
      </c>
      <c r="E141" s="88">
        <v>-149.46574000000001</v>
      </c>
      <c r="F141" s="88">
        <v>692</v>
      </c>
      <c r="G141" s="88" t="s">
        <v>378</v>
      </c>
      <c r="H141" s="88" t="s">
        <v>367</v>
      </c>
      <c r="I141" s="88" t="s">
        <v>367</v>
      </c>
      <c r="J141" s="88" t="s">
        <v>379</v>
      </c>
      <c r="K141" s="88" t="s">
        <v>367</v>
      </c>
      <c r="L141" s="88" t="s">
        <v>367</v>
      </c>
      <c r="M141" s="94" t="str">
        <f t="shared" si="2"/>
        <v>View on Google Map</v>
      </c>
    </row>
    <row r="142" spans="1:13">
      <c r="A142" s="88">
        <v>469</v>
      </c>
      <c r="B142" s="88" t="s">
        <v>602</v>
      </c>
      <c r="C142" s="88" t="s">
        <v>367</v>
      </c>
      <c r="D142" s="88">
        <v>68.802390000000003</v>
      </c>
      <c r="E142" s="88">
        <v>-149.46473</v>
      </c>
      <c r="F142" s="88">
        <v>683</v>
      </c>
      <c r="G142" s="88" t="s">
        <v>378</v>
      </c>
      <c r="H142" s="88" t="s">
        <v>367</v>
      </c>
      <c r="I142" s="88" t="s">
        <v>367</v>
      </c>
      <c r="J142" s="88" t="s">
        <v>379</v>
      </c>
      <c r="K142" s="88" t="s">
        <v>367</v>
      </c>
      <c r="L142" s="88" t="s">
        <v>367</v>
      </c>
      <c r="M142" s="94" t="str">
        <f t="shared" si="2"/>
        <v>View on Google Map</v>
      </c>
    </row>
    <row r="143" spans="1:13">
      <c r="A143" s="88">
        <v>406</v>
      </c>
      <c r="B143" s="88" t="s">
        <v>603</v>
      </c>
      <c r="C143" s="88" t="s">
        <v>367</v>
      </c>
      <c r="D143" s="88" t="s">
        <v>367</v>
      </c>
      <c r="E143" s="88" t="s">
        <v>367</v>
      </c>
      <c r="F143" s="88" t="s">
        <v>367</v>
      </c>
      <c r="G143" s="88" t="s">
        <v>378</v>
      </c>
      <c r="H143" s="88" t="s">
        <v>367</v>
      </c>
      <c r="I143" s="88" t="s">
        <v>367</v>
      </c>
      <c r="J143" s="88" t="s">
        <v>393</v>
      </c>
      <c r="K143" s="88" t="s">
        <v>367</v>
      </c>
      <c r="L143" s="88" t="s">
        <v>549</v>
      </c>
      <c r="M143" s="94" t="str">
        <f t="shared" si="2"/>
        <v>View on Google Map</v>
      </c>
    </row>
    <row r="144" spans="1:13">
      <c r="A144" s="88">
        <v>407</v>
      </c>
      <c r="B144" s="88" t="s">
        <v>604</v>
      </c>
      <c r="C144" s="88" t="s">
        <v>367</v>
      </c>
      <c r="D144" s="88" t="s">
        <v>367</v>
      </c>
      <c r="E144" s="88" t="s">
        <v>367</v>
      </c>
      <c r="F144" s="88" t="s">
        <v>367</v>
      </c>
      <c r="G144" s="88" t="s">
        <v>378</v>
      </c>
      <c r="H144" s="88" t="s">
        <v>367</v>
      </c>
      <c r="I144" s="88" t="s">
        <v>367</v>
      </c>
      <c r="J144" s="88" t="s">
        <v>393</v>
      </c>
      <c r="K144" s="88" t="s">
        <v>367</v>
      </c>
      <c r="L144" s="88" t="s">
        <v>549</v>
      </c>
      <c r="M144" s="94" t="str">
        <f t="shared" si="2"/>
        <v>View on Google Map</v>
      </c>
    </row>
    <row r="145" spans="1:13">
      <c r="A145" s="88">
        <v>164</v>
      </c>
      <c r="B145" s="88" t="s">
        <v>605</v>
      </c>
      <c r="C145" s="88" t="s">
        <v>367</v>
      </c>
      <c r="D145" s="88">
        <v>68.683333333333337</v>
      </c>
      <c r="E145" s="88">
        <v>-149.07666666666699</v>
      </c>
      <c r="F145" s="88">
        <v>770</v>
      </c>
      <c r="G145" s="88" t="s">
        <v>378</v>
      </c>
      <c r="H145" s="88" t="s">
        <v>606</v>
      </c>
      <c r="I145" s="88" t="s">
        <v>607</v>
      </c>
      <c r="J145" s="88" t="s">
        <v>393</v>
      </c>
      <c r="K145" s="88">
        <v>274</v>
      </c>
      <c r="L145" s="88" t="s">
        <v>367</v>
      </c>
      <c r="M145" s="94" t="str">
        <f t="shared" si="2"/>
        <v>View on Google Map</v>
      </c>
    </row>
    <row r="146" spans="1:13">
      <c r="A146" s="88">
        <v>165</v>
      </c>
      <c r="B146" s="88" t="s">
        <v>608</v>
      </c>
      <c r="C146" s="88" t="s">
        <v>367</v>
      </c>
      <c r="D146" s="88">
        <v>68.683333333333337</v>
      </c>
      <c r="E146" s="88">
        <v>-149.1</v>
      </c>
      <c r="F146" s="88">
        <v>785</v>
      </c>
      <c r="G146" s="88" t="s">
        <v>378</v>
      </c>
      <c r="H146" s="88" t="s">
        <v>609</v>
      </c>
      <c r="I146" s="88" t="s">
        <v>610</v>
      </c>
      <c r="J146" s="88" t="s">
        <v>393</v>
      </c>
      <c r="K146" s="88">
        <v>275</v>
      </c>
      <c r="L146" s="88" t="s">
        <v>367</v>
      </c>
      <c r="M146" s="94" t="str">
        <f t="shared" si="2"/>
        <v>View on Google Map</v>
      </c>
    </row>
    <row r="147" spans="1:13">
      <c r="A147" s="88">
        <v>166</v>
      </c>
      <c r="B147" s="88" t="s">
        <v>611</v>
      </c>
      <c r="C147" s="88" t="s">
        <v>367</v>
      </c>
      <c r="D147" s="88">
        <v>68.666666666666671</v>
      </c>
      <c r="E147" s="88">
        <v>-149.1</v>
      </c>
      <c r="F147" s="88">
        <v>792</v>
      </c>
      <c r="G147" s="88" t="s">
        <v>378</v>
      </c>
      <c r="H147" s="88" t="s">
        <v>612</v>
      </c>
      <c r="I147" s="88" t="s">
        <v>613</v>
      </c>
      <c r="J147" s="88" t="s">
        <v>393</v>
      </c>
      <c r="K147" s="88">
        <v>276</v>
      </c>
      <c r="L147" s="88" t="s">
        <v>367</v>
      </c>
      <c r="M147" s="94" t="str">
        <f t="shared" si="2"/>
        <v>View on Google Map</v>
      </c>
    </row>
    <row r="148" spans="1:13">
      <c r="A148" s="88">
        <v>167</v>
      </c>
      <c r="B148" s="88" t="s">
        <v>614</v>
      </c>
      <c r="C148" s="88" t="s">
        <v>367</v>
      </c>
      <c r="D148" s="88">
        <v>68.680000000000007</v>
      </c>
      <c r="E148" s="88">
        <v>-149.071666666667</v>
      </c>
      <c r="F148" s="88">
        <v>754</v>
      </c>
      <c r="G148" s="88" t="s">
        <v>378</v>
      </c>
      <c r="H148" s="88" t="s">
        <v>615</v>
      </c>
      <c r="I148" s="88" t="s">
        <v>616</v>
      </c>
      <c r="J148" s="88" t="s">
        <v>393</v>
      </c>
      <c r="K148" s="88" t="s">
        <v>367</v>
      </c>
      <c r="L148" s="88" t="s">
        <v>367</v>
      </c>
      <c r="M148" s="94" t="str">
        <f t="shared" si="2"/>
        <v>View on Google Map</v>
      </c>
    </row>
    <row r="149" spans="1:13">
      <c r="A149" s="88">
        <v>168</v>
      </c>
      <c r="B149" s="88" t="s">
        <v>617</v>
      </c>
      <c r="C149" s="88" t="s">
        <v>367</v>
      </c>
      <c r="D149" s="88">
        <v>68.674999999999997</v>
      </c>
      <c r="E149" s="88">
        <v>-149.06</v>
      </c>
      <c r="F149" s="88" t="s">
        <v>367</v>
      </c>
      <c r="G149" s="88" t="s">
        <v>378</v>
      </c>
      <c r="H149" s="88" t="s">
        <v>618</v>
      </c>
      <c r="I149" s="88" t="s">
        <v>619</v>
      </c>
      <c r="J149" s="88" t="s">
        <v>393</v>
      </c>
      <c r="K149" s="88" t="s">
        <v>367</v>
      </c>
      <c r="L149" s="88" t="s">
        <v>367</v>
      </c>
      <c r="M149" s="94" t="str">
        <f t="shared" si="2"/>
        <v>View on Google Map</v>
      </c>
    </row>
    <row r="150" spans="1:13">
      <c r="A150" s="88">
        <v>124</v>
      </c>
      <c r="B150" s="88" t="s">
        <v>620</v>
      </c>
      <c r="C150" s="88" t="s">
        <v>367</v>
      </c>
      <c r="D150" s="88">
        <v>68.466666666666669</v>
      </c>
      <c r="E150" s="88">
        <v>-149.5</v>
      </c>
      <c r="F150" s="88">
        <v>802</v>
      </c>
      <c r="G150" s="88" t="s">
        <v>378</v>
      </c>
      <c r="H150" s="88" t="s">
        <v>621</v>
      </c>
      <c r="I150" s="88" t="s">
        <v>367</v>
      </c>
      <c r="J150" s="88" t="s">
        <v>393</v>
      </c>
      <c r="K150" s="88" t="s">
        <v>367</v>
      </c>
      <c r="L150" s="88" t="s">
        <v>394</v>
      </c>
      <c r="M150" s="94" t="str">
        <f t="shared" si="2"/>
        <v>View on Google Map</v>
      </c>
    </row>
    <row r="151" spans="1:13">
      <c r="A151" s="88">
        <v>432</v>
      </c>
      <c r="B151" s="88" t="s">
        <v>622</v>
      </c>
      <c r="C151" s="88" t="s">
        <v>367</v>
      </c>
      <c r="D151" s="88" t="s">
        <v>367</v>
      </c>
      <c r="E151" s="88" t="s">
        <v>367</v>
      </c>
      <c r="F151" s="88">
        <v>800</v>
      </c>
      <c r="G151" s="88" t="s">
        <v>378</v>
      </c>
      <c r="H151" s="88" t="s">
        <v>623</v>
      </c>
      <c r="I151" s="88" t="s">
        <v>367</v>
      </c>
      <c r="J151" s="88" t="s">
        <v>393</v>
      </c>
      <c r="K151" s="88" t="s">
        <v>367</v>
      </c>
      <c r="L151" s="88" t="s">
        <v>624</v>
      </c>
      <c r="M151" s="94" t="str">
        <f t="shared" si="2"/>
        <v>View on Google Map</v>
      </c>
    </row>
    <row r="152" spans="1:13">
      <c r="A152" s="88">
        <v>433</v>
      </c>
      <c r="B152" s="88" t="s">
        <v>625</v>
      </c>
      <c r="C152" s="88" t="s">
        <v>367</v>
      </c>
      <c r="D152" s="88" t="s">
        <v>367</v>
      </c>
      <c r="E152" s="88" t="s">
        <v>367</v>
      </c>
      <c r="F152" s="88">
        <v>800</v>
      </c>
      <c r="G152" s="88" t="s">
        <v>378</v>
      </c>
      <c r="H152" s="88" t="s">
        <v>626</v>
      </c>
      <c r="I152" s="88" t="s">
        <v>367</v>
      </c>
      <c r="J152" s="88" t="s">
        <v>393</v>
      </c>
      <c r="K152" s="88" t="s">
        <v>367</v>
      </c>
      <c r="L152" s="88" t="s">
        <v>624</v>
      </c>
      <c r="M152" s="94" t="str">
        <f t="shared" si="2"/>
        <v>View on Google Map</v>
      </c>
    </row>
    <row r="153" spans="1:13">
      <c r="A153" s="88">
        <v>434</v>
      </c>
      <c r="B153" s="88" t="s">
        <v>627</v>
      </c>
      <c r="C153" s="88" t="s">
        <v>367</v>
      </c>
      <c r="D153" s="88" t="s">
        <v>367</v>
      </c>
      <c r="E153" s="88" t="s">
        <v>367</v>
      </c>
      <c r="F153" s="88">
        <v>801</v>
      </c>
      <c r="G153" s="88" t="s">
        <v>378</v>
      </c>
      <c r="H153" s="88" t="s">
        <v>628</v>
      </c>
      <c r="I153" s="88" t="s">
        <v>367</v>
      </c>
      <c r="J153" s="88" t="s">
        <v>393</v>
      </c>
      <c r="K153" s="88" t="s">
        <v>367</v>
      </c>
      <c r="L153" s="88" t="s">
        <v>624</v>
      </c>
      <c r="M153" s="94" t="str">
        <f t="shared" si="2"/>
        <v>View on Google Map</v>
      </c>
    </row>
    <row r="154" spans="1:13">
      <c r="A154" s="88">
        <v>435</v>
      </c>
      <c r="B154" s="88" t="s">
        <v>629</v>
      </c>
      <c r="C154" s="88" t="s">
        <v>367</v>
      </c>
      <c r="D154" s="88" t="s">
        <v>367</v>
      </c>
      <c r="E154" s="88" t="s">
        <v>367</v>
      </c>
      <c r="F154" s="88">
        <v>802</v>
      </c>
      <c r="G154" s="88" t="s">
        <v>378</v>
      </c>
      <c r="H154" s="88" t="s">
        <v>630</v>
      </c>
      <c r="I154" s="88" t="s">
        <v>367</v>
      </c>
      <c r="J154" s="88" t="s">
        <v>393</v>
      </c>
      <c r="K154" s="88" t="s">
        <v>367</v>
      </c>
      <c r="L154" s="88" t="s">
        <v>624</v>
      </c>
      <c r="M154" s="94" t="str">
        <f t="shared" si="2"/>
        <v>View on Google Map</v>
      </c>
    </row>
    <row r="155" spans="1:13">
      <c r="A155" s="88">
        <v>436</v>
      </c>
      <c r="B155" s="88" t="s">
        <v>631</v>
      </c>
      <c r="C155" s="88" t="s">
        <v>367</v>
      </c>
      <c r="D155" s="88" t="s">
        <v>367</v>
      </c>
      <c r="E155" s="88" t="s">
        <v>367</v>
      </c>
      <c r="F155" s="88">
        <v>803</v>
      </c>
      <c r="G155" s="88" t="s">
        <v>378</v>
      </c>
      <c r="H155" s="88" t="s">
        <v>632</v>
      </c>
      <c r="I155" s="88" t="s">
        <v>367</v>
      </c>
      <c r="J155" s="88" t="s">
        <v>393</v>
      </c>
      <c r="K155" s="88" t="s">
        <v>367</v>
      </c>
      <c r="L155" s="88" t="s">
        <v>624</v>
      </c>
      <c r="M155" s="94" t="str">
        <f t="shared" si="2"/>
        <v>View on Google Map</v>
      </c>
    </row>
    <row r="156" spans="1:13">
      <c r="A156" s="88">
        <v>437</v>
      </c>
      <c r="B156" s="88" t="s">
        <v>633</v>
      </c>
      <c r="C156" s="88" t="s">
        <v>367</v>
      </c>
      <c r="D156" s="88" t="s">
        <v>367</v>
      </c>
      <c r="E156" s="88" t="s">
        <v>367</v>
      </c>
      <c r="F156" s="88">
        <v>804</v>
      </c>
      <c r="G156" s="88" t="s">
        <v>378</v>
      </c>
      <c r="H156" s="88" t="s">
        <v>634</v>
      </c>
      <c r="I156" s="88" t="s">
        <v>367</v>
      </c>
      <c r="J156" s="88" t="s">
        <v>393</v>
      </c>
      <c r="K156" s="88" t="s">
        <v>367</v>
      </c>
      <c r="L156" s="88" t="s">
        <v>624</v>
      </c>
      <c r="M156" s="94" t="str">
        <f t="shared" si="2"/>
        <v>View on Google Map</v>
      </c>
    </row>
    <row r="157" spans="1:13">
      <c r="A157" s="88">
        <v>438</v>
      </c>
      <c r="B157" s="88" t="s">
        <v>635</v>
      </c>
      <c r="C157" s="88" t="s">
        <v>367</v>
      </c>
      <c r="D157" s="88" t="s">
        <v>367</v>
      </c>
      <c r="E157" s="88" t="s">
        <v>367</v>
      </c>
      <c r="F157" s="88">
        <v>805</v>
      </c>
      <c r="G157" s="88" t="s">
        <v>378</v>
      </c>
      <c r="H157" s="88" t="s">
        <v>636</v>
      </c>
      <c r="I157" s="88" t="s">
        <v>367</v>
      </c>
      <c r="J157" s="88" t="s">
        <v>393</v>
      </c>
      <c r="K157" s="88" t="s">
        <v>367</v>
      </c>
      <c r="L157" s="88" t="s">
        <v>624</v>
      </c>
      <c r="M157" s="94" t="str">
        <f t="shared" si="2"/>
        <v>View on Google Map</v>
      </c>
    </row>
    <row r="158" spans="1:13">
      <c r="A158" s="88">
        <v>439</v>
      </c>
      <c r="B158" s="88" t="s">
        <v>637</v>
      </c>
      <c r="C158" s="88" t="s">
        <v>367</v>
      </c>
      <c r="D158" s="88" t="s">
        <v>367</v>
      </c>
      <c r="E158" s="88" t="s">
        <v>367</v>
      </c>
      <c r="F158" s="88">
        <v>807</v>
      </c>
      <c r="G158" s="88" t="s">
        <v>378</v>
      </c>
      <c r="H158" s="88" t="s">
        <v>638</v>
      </c>
      <c r="I158" s="88" t="s">
        <v>367</v>
      </c>
      <c r="J158" s="88" t="s">
        <v>393</v>
      </c>
      <c r="K158" s="88" t="s">
        <v>367</v>
      </c>
      <c r="L158" s="88" t="s">
        <v>624</v>
      </c>
      <c r="M158" s="94" t="str">
        <f t="shared" si="2"/>
        <v>View on Google Map</v>
      </c>
    </row>
    <row r="159" spans="1:13">
      <c r="A159" s="88">
        <v>440</v>
      </c>
      <c r="B159" s="88" t="s">
        <v>639</v>
      </c>
      <c r="C159" s="88" t="s">
        <v>367</v>
      </c>
      <c r="D159" s="88" t="s">
        <v>367</v>
      </c>
      <c r="E159" s="88" t="s">
        <v>367</v>
      </c>
      <c r="F159" s="88">
        <v>805</v>
      </c>
      <c r="G159" s="88" t="s">
        <v>378</v>
      </c>
      <c r="H159" s="88" t="s">
        <v>640</v>
      </c>
      <c r="I159" s="88" t="s">
        <v>367</v>
      </c>
      <c r="J159" s="88" t="s">
        <v>393</v>
      </c>
      <c r="K159" s="88" t="s">
        <v>367</v>
      </c>
      <c r="L159" s="88" t="s">
        <v>624</v>
      </c>
      <c r="M159" s="94" t="str">
        <f t="shared" si="2"/>
        <v>View on Google Map</v>
      </c>
    </row>
    <row r="160" spans="1:13">
      <c r="A160" s="88">
        <v>441</v>
      </c>
      <c r="B160" s="88" t="s">
        <v>641</v>
      </c>
      <c r="C160" s="88" t="s">
        <v>367</v>
      </c>
      <c r="D160" s="88" t="s">
        <v>367</v>
      </c>
      <c r="E160" s="88" t="s">
        <v>367</v>
      </c>
      <c r="F160" s="88">
        <v>805</v>
      </c>
      <c r="G160" s="88" t="s">
        <v>378</v>
      </c>
      <c r="H160" s="88" t="s">
        <v>642</v>
      </c>
      <c r="I160" s="88" t="s">
        <v>367</v>
      </c>
      <c r="J160" s="88" t="s">
        <v>393</v>
      </c>
      <c r="K160" s="88" t="s">
        <v>367</v>
      </c>
      <c r="L160" s="88" t="s">
        <v>624</v>
      </c>
      <c r="M160" s="94" t="str">
        <f t="shared" si="2"/>
        <v>View on Google Map</v>
      </c>
    </row>
    <row r="161" spans="1:14">
      <c r="A161" s="88">
        <v>442</v>
      </c>
      <c r="B161" s="88" t="s">
        <v>643</v>
      </c>
      <c r="C161" s="88" t="s">
        <v>367</v>
      </c>
      <c r="D161" s="88" t="s">
        <v>367</v>
      </c>
      <c r="E161" s="88" t="s">
        <v>367</v>
      </c>
      <c r="F161" s="88">
        <v>805</v>
      </c>
      <c r="G161" s="88" t="s">
        <v>378</v>
      </c>
      <c r="H161" s="88" t="s">
        <v>644</v>
      </c>
      <c r="I161" s="88" t="s">
        <v>367</v>
      </c>
      <c r="J161" s="88" t="s">
        <v>393</v>
      </c>
      <c r="K161" s="88" t="s">
        <v>367</v>
      </c>
      <c r="L161" s="88" t="s">
        <v>624</v>
      </c>
      <c r="M161" s="94" t="str">
        <f t="shared" si="2"/>
        <v>View on Google Map</v>
      </c>
    </row>
    <row r="162" spans="1:14">
      <c r="A162" s="88">
        <v>443</v>
      </c>
      <c r="B162" s="88" t="s">
        <v>645</v>
      </c>
      <c r="C162" s="88" t="s">
        <v>367</v>
      </c>
      <c r="D162" s="88" t="s">
        <v>367</v>
      </c>
      <c r="E162" s="88" t="s">
        <v>367</v>
      </c>
      <c r="F162" s="88">
        <v>812</v>
      </c>
      <c r="G162" s="88" t="s">
        <v>378</v>
      </c>
      <c r="H162" s="88" t="s">
        <v>646</v>
      </c>
      <c r="I162" s="88" t="s">
        <v>367</v>
      </c>
      <c r="J162" s="88" t="s">
        <v>393</v>
      </c>
      <c r="K162" s="88" t="s">
        <v>367</v>
      </c>
      <c r="L162" s="88" t="s">
        <v>624</v>
      </c>
      <c r="M162" s="94" t="str">
        <f t="shared" si="2"/>
        <v>View on Google Map</v>
      </c>
    </row>
    <row r="163" spans="1:14">
      <c r="A163" s="88">
        <v>28</v>
      </c>
      <c r="B163" s="88" t="s">
        <v>647</v>
      </c>
      <c r="C163" s="88" t="s">
        <v>367</v>
      </c>
      <c r="D163" s="88" t="s">
        <v>367</v>
      </c>
      <c r="E163" s="88" t="s">
        <v>367</v>
      </c>
      <c r="F163" s="88">
        <v>1189</v>
      </c>
      <c r="G163" s="88" t="s">
        <v>392</v>
      </c>
      <c r="H163" s="88" t="s">
        <v>648</v>
      </c>
      <c r="I163" s="88" t="s">
        <v>367</v>
      </c>
      <c r="J163" s="88" t="s">
        <v>393</v>
      </c>
      <c r="K163" s="88" t="s">
        <v>367</v>
      </c>
      <c r="L163" s="88" t="s">
        <v>367</v>
      </c>
      <c r="M163" s="94" t="str">
        <f t="shared" si="2"/>
        <v>View on Google Map</v>
      </c>
    </row>
    <row r="164" spans="1:14">
      <c r="A164" s="88">
        <v>29</v>
      </c>
      <c r="B164" s="88" t="s">
        <v>649</v>
      </c>
      <c r="C164" s="88" t="s">
        <v>367</v>
      </c>
      <c r="D164" s="88" t="s">
        <v>367</v>
      </c>
      <c r="E164" s="88" t="s">
        <v>367</v>
      </c>
      <c r="F164" s="88">
        <v>1372</v>
      </c>
      <c r="G164" s="88" t="s">
        <v>392</v>
      </c>
      <c r="H164" s="88" t="s">
        <v>650</v>
      </c>
      <c r="I164" s="88" t="s">
        <v>367</v>
      </c>
      <c r="J164" s="88" t="s">
        <v>393</v>
      </c>
      <c r="K164" s="88" t="s">
        <v>367</v>
      </c>
      <c r="L164" s="88" t="s">
        <v>367</v>
      </c>
      <c r="M164" s="94" t="str">
        <f t="shared" si="2"/>
        <v>View on Google Map</v>
      </c>
    </row>
    <row r="165" spans="1:14">
      <c r="A165" s="88">
        <v>30</v>
      </c>
      <c r="B165" s="88" t="s">
        <v>651</v>
      </c>
      <c r="C165" s="88" t="s">
        <v>367</v>
      </c>
      <c r="D165" s="88" t="s">
        <v>367</v>
      </c>
      <c r="E165" s="88" t="s">
        <v>367</v>
      </c>
      <c r="F165" s="88">
        <v>1463</v>
      </c>
      <c r="G165" s="88" t="s">
        <v>392</v>
      </c>
      <c r="H165" s="88" t="s">
        <v>652</v>
      </c>
      <c r="I165" s="88" t="s">
        <v>367</v>
      </c>
      <c r="J165" s="88" t="s">
        <v>393</v>
      </c>
      <c r="K165" s="88" t="s">
        <v>367</v>
      </c>
      <c r="L165" s="88" t="s">
        <v>367</v>
      </c>
      <c r="M165" s="94" t="str">
        <f t="shared" si="2"/>
        <v>View on Google Map</v>
      </c>
    </row>
    <row r="166" spans="1:14">
      <c r="A166" s="88">
        <v>142</v>
      </c>
      <c r="B166" s="88" t="s">
        <v>653</v>
      </c>
      <c r="C166" s="88" t="s">
        <v>654</v>
      </c>
      <c r="D166" s="88">
        <v>68.53698</v>
      </c>
      <c r="E166" s="88">
        <v>-149.23740000000001</v>
      </c>
      <c r="F166" s="88">
        <v>883</v>
      </c>
      <c r="G166" s="88" t="s">
        <v>378</v>
      </c>
      <c r="H166" s="88" t="s">
        <v>655</v>
      </c>
      <c r="I166" s="88" t="s">
        <v>656</v>
      </c>
      <c r="J166" s="88" t="s">
        <v>393</v>
      </c>
      <c r="K166" s="88" t="s">
        <v>367</v>
      </c>
      <c r="L166" s="88" t="s">
        <v>394</v>
      </c>
      <c r="M166" s="94" t="str">
        <f t="shared" si="2"/>
        <v>View on Google Map</v>
      </c>
    </row>
    <row r="167" spans="1:14">
      <c r="A167" s="88">
        <v>416</v>
      </c>
      <c r="B167" s="88" t="s">
        <v>657</v>
      </c>
      <c r="C167" s="88" t="s">
        <v>658</v>
      </c>
      <c r="D167" s="88">
        <v>68.496079978500006</v>
      </c>
      <c r="E167" s="88">
        <v>-149.60215567200001</v>
      </c>
      <c r="F167" s="88">
        <v>938</v>
      </c>
      <c r="G167" s="88" t="s">
        <v>378</v>
      </c>
      <c r="H167" s="88" t="s">
        <v>659</v>
      </c>
      <c r="I167" s="88" t="s">
        <v>367</v>
      </c>
      <c r="J167" s="88" t="s">
        <v>660</v>
      </c>
      <c r="K167" s="88" t="s">
        <v>367</v>
      </c>
      <c r="L167" s="88" t="s">
        <v>661</v>
      </c>
      <c r="M167" s="94" t="str">
        <f t="shared" si="2"/>
        <v>View on Google Map</v>
      </c>
      <c r="N167" s="88">
        <f>VALUE(MID(B167,5,3))</f>
        <v>100</v>
      </c>
    </row>
    <row r="168" spans="1:14">
      <c r="A168" s="88">
        <v>417</v>
      </c>
      <c r="B168" s="88" t="s">
        <v>662</v>
      </c>
      <c r="C168" s="88" t="s">
        <v>663</v>
      </c>
      <c r="D168" s="88">
        <v>68.491641939700003</v>
      </c>
      <c r="E168" s="88">
        <v>-149.60743984699999</v>
      </c>
      <c r="F168" s="88">
        <v>937</v>
      </c>
      <c r="G168" s="88" t="s">
        <v>378</v>
      </c>
      <c r="H168" s="88" t="s">
        <v>664</v>
      </c>
      <c r="I168" s="88" t="s">
        <v>367</v>
      </c>
      <c r="J168" s="88" t="s">
        <v>660</v>
      </c>
      <c r="K168" s="88" t="s">
        <v>367</v>
      </c>
      <c r="L168" s="88" t="s">
        <v>661</v>
      </c>
      <c r="M168" s="94" t="str">
        <f t="shared" si="2"/>
        <v>View on Google Map</v>
      </c>
      <c r="N168" s="88">
        <f>VALUE(MID(B168,5,3))</f>
        <v>101</v>
      </c>
    </row>
    <row r="169" spans="1:14">
      <c r="A169" s="88">
        <v>418</v>
      </c>
      <c r="B169" s="88" t="s">
        <v>665</v>
      </c>
      <c r="C169" s="88" t="s">
        <v>666</v>
      </c>
      <c r="D169" s="88">
        <v>68.485971524799993</v>
      </c>
      <c r="E169" s="88">
        <v>-149.611957343</v>
      </c>
      <c r="F169" s="88">
        <v>936</v>
      </c>
      <c r="G169" s="88" t="s">
        <v>378</v>
      </c>
      <c r="H169" s="88" t="s">
        <v>367</v>
      </c>
      <c r="I169" s="88" t="s">
        <v>367</v>
      </c>
      <c r="J169" s="88" t="s">
        <v>660</v>
      </c>
      <c r="K169" s="88" t="s">
        <v>367</v>
      </c>
      <c r="L169" s="88" t="s">
        <v>661</v>
      </c>
      <c r="M169" s="94" t="str">
        <f t="shared" si="2"/>
        <v>View on Google Map</v>
      </c>
      <c r="N169" s="88">
        <f>VALUE(MID(B169,5,3))</f>
        <v>102</v>
      </c>
    </row>
    <row r="170" spans="1:14">
      <c r="A170" s="88">
        <v>419</v>
      </c>
      <c r="B170" s="88" t="s">
        <v>667</v>
      </c>
      <c r="C170" s="88" t="s">
        <v>668</v>
      </c>
      <c r="D170" s="88">
        <v>68.486418246300005</v>
      </c>
      <c r="E170" s="88">
        <v>-149.623539768</v>
      </c>
      <c r="F170" s="88">
        <v>934</v>
      </c>
      <c r="G170" s="88" t="s">
        <v>378</v>
      </c>
      <c r="H170" s="88" t="s">
        <v>669</v>
      </c>
      <c r="I170" s="88" t="s">
        <v>367</v>
      </c>
      <c r="J170" s="88" t="s">
        <v>660</v>
      </c>
      <c r="K170" s="88" t="s">
        <v>367</v>
      </c>
      <c r="L170" s="88" t="s">
        <v>661</v>
      </c>
      <c r="M170" s="94" t="str">
        <f t="shared" si="2"/>
        <v>View on Google Map</v>
      </c>
      <c r="N170" s="88">
        <f>VALUE(MID(B170,5,3))</f>
        <v>103</v>
      </c>
    </row>
    <row r="171" spans="1:14">
      <c r="A171" s="88">
        <v>420</v>
      </c>
      <c r="B171" s="88" t="s">
        <v>670</v>
      </c>
      <c r="C171" s="88" t="s">
        <v>671</v>
      </c>
      <c r="D171" s="88">
        <v>68.480358182399996</v>
      </c>
      <c r="E171" s="88">
        <v>-149.621808276</v>
      </c>
      <c r="F171" s="88" t="s">
        <v>367</v>
      </c>
      <c r="G171" s="88" t="s">
        <v>378</v>
      </c>
      <c r="H171" s="88" t="s">
        <v>670</v>
      </c>
      <c r="I171" s="88" t="s">
        <v>367</v>
      </c>
      <c r="J171" s="88" t="s">
        <v>660</v>
      </c>
      <c r="K171" s="88" t="s">
        <v>367</v>
      </c>
      <c r="L171" s="88" t="s">
        <v>661</v>
      </c>
      <c r="M171" s="94" t="str">
        <f t="shared" si="2"/>
        <v>View on Google Map</v>
      </c>
      <c r="N171" s="88">
        <f t="shared" ref="N171:N198" si="3">VALUE(MID(H171,5,3))</f>
        <v>104</v>
      </c>
    </row>
    <row r="172" spans="1:14">
      <c r="A172" s="88">
        <v>421</v>
      </c>
      <c r="B172" s="88" t="s">
        <v>672</v>
      </c>
      <c r="C172" s="88" t="s">
        <v>673</v>
      </c>
      <c r="D172" s="88">
        <v>68.487163894299997</v>
      </c>
      <c r="E172" s="88">
        <v>-149.57470926400001</v>
      </c>
      <c r="F172" s="88" t="s">
        <v>367</v>
      </c>
      <c r="G172" s="88" t="s">
        <v>378</v>
      </c>
      <c r="H172" s="88" t="s">
        <v>672</v>
      </c>
      <c r="I172" s="88" t="s">
        <v>367</v>
      </c>
      <c r="J172" s="88" t="s">
        <v>660</v>
      </c>
      <c r="K172" s="88" t="s">
        <v>367</v>
      </c>
      <c r="L172" s="88" t="s">
        <v>661</v>
      </c>
      <c r="M172" s="94" t="str">
        <f t="shared" si="2"/>
        <v>View on Google Map</v>
      </c>
      <c r="N172" s="88">
        <f t="shared" si="3"/>
        <v>105</v>
      </c>
    </row>
    <row r="173" spans="1:14">
      <c r="A173" s="88">
        <v>422</v>
      </c>
      <c r="B173" s="88" t="s">
        <v>674</v>
      </c>
      <c r="C173" s="88" t="s">
        <v>675</v>
      </c>
      <c r="D173" s="88">
        <v>68.482007853900001</v>
      </c>
      <c r="E173" s="88">
        <v>-149.57357543099999</v>
      </c>
      <c r="F173" s="88" t="s">
        <v>367</v>
      </c>
      <c r="G173" s="88" t="s">
        <v>378</v>
      </c>
      <c r="H173" s="88" t="s">
        <v>674</v>
      </c>
      <c r="I173" s="88" t="s">
        <v>367</v>
      </c>
      <c r="J173" s="88" t="s">
        <v>660</v>
      </c>
      <c r="K173" s="88" t="s">
        <v>367</v>
      </c>
      <c r="L173" s="88" t="s">
        <v>661</v>
      </c>
      <c r="M173" s="94" t="str">
        <f t="shared" si="2"/>
        <v>View on Google Map</v>
      </c>
      <c r="N173" s="88">
        <f t="shared" si="3"/>
        <v>106</v>
      </c>
    </row>
    <row r="174" spans="1:14">
      <c r="A174" s="88">
        <v>423</v>
      </c>
      <c r="B174" s="88" t="s">
        <v>676</v>
      </c>
      <c r="C174" s="88" t="s">
        <v>677</v>
      </c>
      <c r="D174" s="88">
        <v>68.480117783099999</v>
      </c>
      <c r="E174" s="88">
        <v>-149.553733964</v>
      </c>
      <c r="F174" s="88" t="s">
        <v>367</v>
      </c>
      <c r="G174" s="88" t="s">
        <v>378</v>
      </c>
      <c r="H174" s="88" t="s">
        <v>676</v>
      </c>
      <c r="I174" s="88" t="s">
        <v>367</v>
      </c>
      <c r="J174" s="88" t="s">
        <v>660</v>
      </c>
      <c r="K174" s="88" t="s">
        <v>367</v>
      </c>
      <c r="L174" s="88" t="s">
        <v>661</v>
      </c>
      <c r="M174" s="94" t="str">
        <f t="shared" si="2"/>
        <v>View on Google Map</v>
      </c>
      <c r="N174" s="88">
        <f t="shared" si="3"/>
        <v>107</v>
      </c>
    </row>
    <row r="175" spans="1:14">
      <c r="A175" s="88">
        <v>424</v>
      </c>
      <c r="B175" s="88" t="s">
        <v>678</v>
      </c>
      <c r="C175" s="88" t="s">
        <v>679</v>
      </c>
      <c r="D175" s="88">
        <v>68.553470657600002</v>
      </c>
      <c r="E175" s="88">
        <v>-149.16702515599999</v>
      </c>
      <c r="F175" s="88" t="s">
        <v>367</v>
      </c>
      <c r="G175" s="88" t="s">
        <v>378</v>
      </c>
      <c r="H175" s="88" t="s">
        <v>678</v>
      </c>
      <c r="I175" s="88" t="s">
        <v>367</v>
      </c>
      <c r="J175" s="88" t="s">
        <v>660</v>
      </c>
      <c r="K175" s="88" t="s">
        <v>367</v>
      </c>
      <c r="L175" s="88" t="s">
        <v>661</v>
      </c>
      <c r="M175" s="94" t="str">
        <f t="shared" si="2"/>
        <v>View on Google Map</v>
      </c>
      <c r="N175" s="88">
        <f t="shared" si="3"/>
        <v>108</v>
      </c>
    </row>
    <row r="176" spans="1:14">
      <c r="A176" s="88">
        <v>425</v>
      </c>
      <c r="B176" s="88" t="s">
        <v>680</v>
      </c>
      <c r="C176" s="88" t="s">
        <v>681</v>
      </c>
      <c r="D176" s="88">
        <v>68.557082457700005</v>
      </c>
      <c r="E176" s="88">
        <v>-149.154445686</v>
      </c>
      <c r="F176" s="88" t="s">
        <v>367</v>
      </c>
      <c r="G176" s="88" t="s">
        <v>378</v>
      </c>
      <c r="H176" s="88" t="s">
        <v>680</v>
      </c>
      <c r="I176" s="88" t="s">
        <v>367</v>
      </c>
      <c r="J176" s="88" t="s">
        <v>660</v>
      </c>
      <c r="K176" s="88" t="s">
        <v>367</v>
      </c>
      <c r="L176" s="88" t="s">
        <v>661</v>
      </c>
      <c r="M176" s="94" t="str">
        <f t="shared" si="2"/>
        <v>View on Google Map</v>
      </c>
      <c r="N176" s="88">
        <f t="shared" si="3"/>
        <v>109</v>
      </c>
    </row>
    <row r="177" spans="1:14">
      <c r="A177" s="88">
        <v>426</v>
      </c>
      <c r="B177" s="88" t="s">
        <v>682</v>
      </c>
      <c r="C177" s="88" t="s">
        <v>683</v>
      </c>
      <c r="D177" s="88">
        <v>68.732874005799999</v>
      </c>
      <c r="E177" s="88">
        <v>-149.401461627</v>
      </c>
      <c r="F177" s="88" t="s">
        <v>367</v>
      </c>
      <c r="G177" s="88" t="s">
        <v>378</v>
      </c>
      <c r="H177" s="88" t="s">
        <v>682</v>
      </c>
      <c r="I177" s="88" t="s">
        <v>367</v>
      </c>
      <c r="J177" s="88" t="s">
        <v>660</v>
      </c>
      <c r="K177" s="88" t="s">
        <v>367</v>
      </c>
      <c r="L177" s="88" t="s">
        <v>661</v>
      </c>
      <c r="M177" s="94" t="str">
        <f t="shared" si="2"/>
        <v>View on Google Map</v>
      </c>
      <c r="N177" s="88">
        <f t="shared" si="3"/>
        <v>110</v>
      </c>
    </row>
    <row r="178" spans="1:14">
      <c r="A178" s="88">
        <v>427</v>
      </c>
      <c r="B178" s="88" t="s">
        <v>684</v>
      </c>
      <c r="C178" s="88" t="s">
        <v>685</v>
      </c>
      <c r="D178" s="88">
        <v>68.728437910899999</v>
      </c>
      <c r="E178" s="88">
        <v>-149.39298449200001</v>
      </c>
      <c r="F178" s="88" t="s">
        <v>367</v>
      </c>
      <c r="G178" s="88" t="s">
        <v>378</v>
      </c>
      <c r="H178" s="88" t="s">
        <v>684</v>
      </c>
      <c r="I178" s="88" t="s">
        <v>367</v>
      </c>
      <c r="J178" s="88" t="s">
        <v>660</v>
      </c>
      <c r="K178" s="88" t="s">
        <v>367</v>
      </c>
      <c r="L178" s="88" t="s">
        <v>661</v>
      </c>
      <c r="M178" s="94" t="str">
        <f t="shared" si="2"/>
        <v>View on Google Map</v>
      </c>
      <c r="N178" s="88">
        <f t="shared" si="3"/>
        <v>111</v>
      </c>
    </row>
    <row r="179" spans="1:14">
      <c r="A179" s="88">
        <v>428</v>
      </c>
      <c r="B179" s="88" t="s">
        <v>686</v>
      </c>
      <c r="C179" s="88" t="s">
        <v>687</v>
      </c>
      <c r="D179" s="88">
        <v>68.671908805499996</v>
      </c>
      <c r="E179" s="88">
        <v>-149.24817348299999</v>
      </c>
      <c r="F179" s="88" t="s">
        <v>367</v>
      </c>
      <c r="G179" s="88" t="s">
        <v>378</v>
      </c>
      <c r="H179" s="88" t="s">
        <v>686</v>
      </c>
      <c r="I179" s="88" t="s">
        <v>367</v>
      </c>
      <c r="J179" s="88" t="s">
        <v>660</v>
      </c>
      <c r="K179" s="88" t="s">
        <v>367</v>
      </c>
      <c r="L179" s="88" t="s">
        <v>661</v>
      </c>
      <c r="M179" s="94" t="str">
        <f t="shared" si="2"/>
        <v>View on Google Map</v>
      </c>
      <c r="N179" s="88">
        <f t="shared" si="3"/>
        <v>112</v>
      </c>
    </row>
    <row r="180" spans="1:14">
      <c r="A180" s="88">
        <v>429</v>
      </c>
      <c r="B180" s="88" t="s">
        <v>688</v>
      </c>
      <c r="C180" s="88" t="s">
        <v>689</v>
      </c>
      <c r="D180" s="88">
        <v>68.679427639400004</v>
      </c>
      <c r="E180" s="88">
        <v>-149.23947084900001</v>
      </c>
      <c r="F180" s="88" t="s">
        <v>367</v>
      </c>
      <c r="G180" s="88" t="s">
        <v>378</v>
      </c>
      <c r="H180" s="88" t="s">
        <v>688</v>
      </c>
      <c r="I180" s="88" t="s">
        <v>367</v>
      </c>
      <c r="J180" s="88" t="s">
        <v>660</v>
      </c>
      <c r="K180" s="88" t="s">
        <v>367</v>
      </c>
      <c r="L180" s="88" t="s">
        <v>661</v>
      </c>
      <c r="M180" s="94" t="str">
        <f t="shared" si="2"/>
        <v>View on Google Map</v>
      </c>
      <c r="N180" s="88">
        <f t="shared" si="3"/>
        <v>113</v>
      </c>
    </row>
    <row r="181" spans="1:14">
      <c r="A181" s="88">
        <v>430</v>
      </c>
      <c r="B181" s="88" t="s">
        <v>690</v>
      </c>
      <c r="C181" s="88" t="s">
        <v>691</v>
      </c>
      <c r="D181" s="88">
        <v>68.679424428600001</v>
      </c>
      <c r="E181" s="88">
        <v>-149.22969695099999</v>
      </c>
      <c r="F181" s="88" t="s">
        <v>367</v>
      </c>
      <c r="G181" s="88" t="s">
        <v>378</v>
      </c>
      <c r="H181" s="88" t="s">
        <v>690</v>
      </c>
      <c r="I181" s="88" t="s">
        <v>367</v>
      </c>
      <c r="J181" s="88" t="s">
        <v>660</v>
      </c>
      <c r="K181" s="88" t="s">
        <v>367</v>
      </c>
      <c r="L181" s="88" t="s">
        <v>661</v>
      </c>
      <c r="M181" s="94" t="str">
        <f t="shared" si="2"/>
        <v>View on Google Map</v>
      </c>
      <c r="N181" s="88">
        <f t="shared" si="3"/>
        <v>114</v>
      </c>
    </row>
    <row r="182" spans="1:14">
      <c r="A182" s="88">
        <v>398</v>
      </c>
      <c r="B182" s="88" t="s">
        <v>692</v>
      </c>
      <c r="C182" s="88" t="s">
        <v>693</v>
      </c>
      <c r="D182" s="88">
        <v>68.569791782099998</v>
      </c>
      <c r="E182" s="88">
        <v>-149.43938491</v>
      </c>
      <c r="F182" s="88" t="s">
        <v>367</v>
      </c>
      <c r="G182" s="88" t="s">
        <v>378</v>
      </c>
      <c r="H182" s="88" t="s">
        <v>692</v>
      </c>
      <c r="I182" s="88" t="s">
        <v>367</v>
      </c>
      <c r="J182" s="88" t="s">
        <v>660</v>
      </c>
      <c r="K182" s="88" t="s">
        <v>367</v>
      </c>
      <c r="L182" s="88" t="s">
        <v>661</v>
      </c>
      <c r="M182" s="94" t="str">
        <f t="shared" si="2"/>
        <v>View on Google Map</v>
      </c>
      <c r="N182" s="88">
        <f t="shared" si="3"/>
        <v>82</v>
      </c>
    </row>
    <row r="183" spans="1:14">
      <c r="A183" s="88">
        <v>389</v>
      </c>
      <c r="B183" s="88" t="s">
        <v>694</v>
      </c>
      <c r="C183" s="88" t="s">
        <v>695</v>
      </c>
      <c r="D183" s="88">
        <v>68.568883214500005</v>
      </c>
      <c r="E183" s="88">
        <v>-149.432996798</v>
      </c>
      <c r="F183" s="88" t="s">
        <v>367</v>
      </c>
      <c r="G183" s="88" t="s">
        <v>378</v>
      </c>
      <c r="H183" s="88" t="s">
        <v>694</v>
      </c>
      <c r="I183" s="88" t="s">
        <v>367</v>
      </c>
      <c r="J183" s="88" t="s">
        <v>660</v>
      </c>
      <c r="K183" s="88" t="s">
        <v>367</v>
      </c>
      <c r="L183" s="88" t="s">
        <v>661</v>
      </c>
      <c r="M183" s="94" t="str">
        <f t="shared" si="2"/>
        <v>View on Google Map</v>
      </c>
      <c r="N183" s="88">
        <f t="shared" si="3"/>
        <v>83</v>
      </c>
    </row>
    <row r="184" spans="1:14">
      <c r="A184" s="88">
        <v>390</v>
      </c>
      <c r="B184" s="88" t="s">
        <v>696</v>
      </c>
      <c r="C184" s="88" t="s">
        <v>697</v>
      </c>
      <c r="D184" s="88">
        <v>68.571446755099998</v>
      </c>
      <c r="E184" s="88">
        <v>-149.43614776499999</v>
      </c>
      <c r="F184" s="88" t="s">
        <v>367</v>
      </c>
      <c r="G184" s="88" t="s">
        <v>378</v>
      </c>
      <c r="H184" s="88" t="s">
        <v>696</v>
      </c>
      <c r="I184" s="88" t="s">
        <v>367</v>
      </c>
      <c r="J184" s="88" t="s">
        <v>660</v>
      </c>
      <c r="K184" s="88" t="s">
        <v>367</v>
      </c>
      <c r="L184" s="88" t="s">
        <v>661</v>
      </c>
      <c r="M184" s="94" t="str">
        <f t="shared" si="2"/>
        <v>View on Google Map</v>
      </c>
      <c r="N184" s="88">
        <f t="shared" si="3"/>
        <v>84</v>
      </c>
    </row>
    <row r="185" spans="1:14">
      <c r="A185" s="88">
        <v>391</v>
      </c>
      <c r="B185" s="88" t="s">
        <v>698</v>
      </c>
      <c r="C185" s="88" t="s">
        <v>699</v>
      </c>
      <c r="D185" s="88">
        <v>68.600419015400007</v>
      </c>
      <c r="E185" s="88">
        <v>-149.438677388</v>
      </c>
      <c r="F185" s="88" t="s">
        <v>367</v>
      </c>
      <c r="G185" s="88" t="s">
        <v>378</v>
      </c>
      <c r="H185" s="88" t="s">
        <v>698</v>
      </c>
      <c r="I185" s="88" t="s">
        <v>367</v>
      </c>
      <c r="J185" s="88" t="s">
        <v>660</v>
      </c>
      <c r="K185" s="88" t="s">
        <v>367</v>
      </c>
      <c r="L185" s="88" t="s">
        <v>661</v>
      </c>
      <c r="M185" s="94" t="str">
        <f t="shared" si="2"/>
        <v>View on Google Map</v>
      </c>
      <c r="N185" s="88">
        <f t="shared" si="3"/>
        <v>85</v>
      </c>
    </row>
    <row r="186" spans="1:14">
      <c r="A186" s="88">
        <v>392</v>
      </c>
      <c r="B186" s="88" t="s">
        <v>700</v>
      </c>
      <c r="C186" s="88" t="s">
        <v>701</v>
      </c>
      <c r="D186" s="88">
        <v>68.632424610200005</v>
      </c>
      <c r="E186" s="88">
        <v>-149.41874062799999</v>
      </c>
      <c r="F186" s="88" t="s">
        <v>367</v>
      </c>
      <c r="G186" s="88" t="s">
        <v>378</v>
      </c>
      <c r="H186" s="88" t="s">
        <v>700</v>
      </c>
      <c r="I186" s="88" t="s">
        <v>367</v>
      </c>
      <c r="J186" s="88" t="s">
        <v>660</v>
      </c>
      <c r="K186" s="88" t="s">
        <v>367</v>
      </c>
      <c r="L186" s="88" t="s">
        <v>661</v>
      </c>
      <c r="M186" s="94" t="str">
        <f t="shared" si="2"/>
        <v>View on Google Map</v>
      </c>
      <c r="N186" s="88">
        <f t="shared" si="3"/>
        <v>86</v>
      </c>
    </row>
    <row r="187" spans="1:14">
      <c r="A187" s="88">
        <v>393</v>
      </c>
      <c r="B187" s="88" t="s">
        <v>702</v>
      </c>
      <c r="C187" s="88" t="s">
        <v>703</v>
      </c>
      <c r="D187" s="88">
        <v>68.505704965899994</v>
      </c>
      <c r="E187" s="88">
        <v>-149.516276081</v>
      </c>
      <c r="F187" s="88" t="s">
        <v>367</v>
      </c>
      <c r="G187" s="88" t="s">
        <v>378</v>
      </c>
      <c r="H187" s="88" t="s">
        <v>702</v>
      </c>
      <c r="I187" s="88" t="s">
        <v>367</v>
      </c>
      <c r="J187" s="88" t="s">
        <v>660</v>
      </c>
      <c r="K187" s="88" t="s">
        <v>367</v>
      </c>
      <c r="L187" s="88" t="s">
        <v>661</v>
      </c>
      <c r="M187" s="94" t="str">
        <f t="shared" si="2"/>
        <v>View on Google Map</v>
      </c>
      <c r="N187" s="88">
        <f t="shared" si="3"/>
        <v>87</v>
      </c>
    </row>
    <row r="188" spans="1:14">
      <c r="A188" s="88">
        <v>394</v>
      </c>
      <c r="B188" s="88" t="s">
        <v>704</v>
      </c>
      <c r="C188" s="88" t="s">
        <v>705</v>
      </c>
      <c r="D188" s="88">
        <v>68.509234808599999</v>
      </c>
      <c r="E188" s="88">
        <v>-149.58917678500001</v>
      </c>
      <c r="F188" s="88" t="s">
        <v>367</v>
      </c>
      <c r="G188" s="88" t="s">
        <v>378</v>
      </c>
      <c r="H188" s="88" t="s">
        <v>704</v>
      </c>
      <c r="I188" s="88" t="s">
        <v>367</v>
      </c>
      <c r="J188" s="88" t="s">
        <v>660</v>
      </c>
      <c r="K188" s="88" t="s">
        <v>367</v>
      </c>
      <c r="L188" s="88" t="s">
        <v>661</v>
      </c>
      <c r="M188" s="94" t="str">
        <f t="shared" si="2"/>
        <v>View on Google Map</v>
      </c>
      <c r="N188" s="88">
        <f t="shared" si="3"/>
        <v>88</v>
      </c>
    </row>
    <row r="189" spans="1:14">
      <c r="A189" s="88">
        <v>395</v>
      </c>
      <c r="B189" s="88" t="s">
        <v>706</v>
      </c>
      <c r="C189" s="88" t="s">
        <v>707</v>
      </c>
      <c r="D189" s="88">
        <v>68.525650531300002</v>
      </c>
      <c r="E189" s="88">
        <v>-149.54161982299999</v>
      </c>
      <c r="F189" s="88" t="s">
        <v>367</v>
      </c>
      <c r="G189" s="88" t="s">
        <v>378</v>
      </c>
      <c r="H189" s="88" t="s">
        <v>706</v>
      </c>
      <c r="I189" s="88" t="s">
        <v>367</v>
      </c>
      <c r="J189" s="88" t="s">
        <v>660</v>
      </c>
      <c r="K189" s="88" t="s">
        <v>367</v>
      </c>
      <c r="L189" s="88" t="s">
        <v>661</v>
      </c>
      <c r="M189" s="94" t="str">
        <f t="shared" si="2"/>
        <v>View on Google Map</v>
      </c>
      <c r="N189" s="88">
        <f t="shared" si="3"/>
        <v>89</v>
      </c>
    </row>
    <row r="190" spans="1:14">
      <c r="A190" s="88">
        <v>396</v>
      </c>
      <c r="B190" s="88" t="s">
        <v>708</v>
      </c>
      <c r="C190" s="88" t="s">
        <v>709</v>
      </c>
      <c r="D190" s="88">
        <v>68.531020060399996</v>
      </c>
      <c r="E190" s="88">
        <v>-149.54062336999999</v>
      </c>
      <c r="F190" s="88" t="s">
        <v>367</v>
      </c>
      <c r="G190" s="88" t="s">
        <v>378</v>
      </c>
      <c r="H190" s="88" t="s">
        <v>708</v>
      </c>
      <c r="I190" s="88" t="s">
        <v>367</v>
      </c>
      <c r="J190" s="88" t="s">
        <v>660</v>
      </c>
      <c r="K190" s="88" t="s">
        <v>367</v>
      </c>
      <c r="L190" s="88" t="s">
        <v>661</v>
      </c>
      <c r="M190" s="94" t="str">
        <f t="shared" si="2"/>
        <v>View on Google Map</v>
      </c>
      <c r="N190" s="88">
        <f t="shared" si="3"/>
        <v>90</v>
      </c>
    </row>
    <row r="191" spans="1:14">
      <c r="A191" s="88">
        <v>397</v>
      </c>
      <c r="B191" s="88" t="s">
        <v>710</v>
      </c>
      <c r="C191" s="88" t="s">
        <v>711</v>
      </c>
      <c r="D191" s="88">
        <v>68.623892844400004</v>
      </c>
      <c r="E191" s="88">
        <v>-149.46955988600001</v>
      </c>
      <c r="F191" s="88" t="s">
        <v>367</v>
      </c>
      <c r="G191" s="88" t="s">
        <v>378</v>
      </c>
      <c r="H191" s="88" t="s">
        <v>710</v>
      </c>
      <c r="I191" s="88" t="s">
        <v>367</v>
      </c>
      <c r="J191" s="88" t="s">
        <v>660</v>
      </c>
      <c r="K191" s="88" t="s">
        <v>367</v>
      </c>
      <c r="L191" s="88" t="s">
        <v>661</v>
      </c>
      <c r="M191" s="94" t="str">
        <f t="shared" si="2"/>
        <v>View on Google Map</v>
      </c>
      <c r="N191" s="88">
        <f t="shared" si="3"/>
        <v>91</v>
      </c>
    </row>
    <row r="192" spans="1:14">
      <c r="A192" s="88">
        <v>408</v>
      </c>
      <c r="B192" s="88" t="s">
        <v>712</v>
      </c>
      <c r="C192" s="88" t="s">
        <v>713</v>
      </c>
      <c r="D192" s="88">
        <v>68.606945965400001</v>
      </c>
      <c r="E192" s="88">
        <v>-149.195806014</v>
      </c>
      <c r="F192" s="88" t="s">
        <v>367</v>
      </c>
      <c r="G192" s="88" t="s">
        <v>378</v>
      </c>
      <c r="H192" s="88" t="s">
        <v>712</v>
      </c>
      <c r="I192" s="88" t="s">
        <v>367</v>
      </c>
      <c r="J192" s="88" t="s">
        <v>660</v>
      </c>
      <c r="K192" s="88" t="s">
        <v>367</v>
      </c>
      <c r="L192" s="88" t="s">
        <v>661</v>
      </c>
      <c r="M192" s="94" t="str">
        <f t="shared" si="2"/>
        <v>View on Google Map</v>
      </c>
      <c r="N192" s="88">
        <f t="shared" si="3"/>
        <v>92</v>
      </c>
    </row>
    <row r="193" spans="1:14">
      <c r="A193" s="88">
        <v>409</v>
      </c>
      <c r="B193" s="88" t="s">
        <v>714</v>
      </c>
      <c r="C193" s="88" t="s">
        <v>715</v>
      </c>
      <c r="D193" s="88">
        <v>68.613688053999994</v>
      </c>
      <c r="E193" s="88">
        <v>-149.20287565500001</v>
      </c>
      <c r="F193" s="88" t="s">
        <v>367</v>
      </c>
      <c r="G193" s="88" t="s">
        <v>378</v>
      </c>
      <c r="H193" s="88" t="s">
        <v>714</v>
      </c>
      <c r="I193" s="88" t="s">
        <v>367</v>
      </c>
      <c r="J193" s="88" t="s">
        <v>660</v>
      </c>
      <c r="K193" s="88" t="s">
        <v>367</v>
      </c>
      <c r="L193" s="88" t="s">
        <v>661</v>
      </c>
      <c r="M193" s="94" t="str">
        <f t="shared" si="2"/>
        <v>View on Google Map</v>
      </c>
      <c r="N193" s="88">
        <f t="shared" si="3"/>
        <v>93</v>
      </c>
    </row>
    <row r="194" spans="1:14">
      <c r="A194" s="88">
        <v>410</v>
      </c>
      <c r="B194" s="88" t="s">
        <v>716</v>
      </c>
      <c r="C194" s="88" t="s">
        <v>717</v>
      </c>
      <c r="D194" s="88">
        <v>68.617322837200007</v>
      </c>
      <c r="E194" s="88">
        <v>-149.21640989900001</v>
      </c>
      <c r="F194" s="88" t="s">
        <v>367</v>
      </c>
      <c r="G194" s="88" t="s">
        <v>378</v>
      </c>
      <c r="H194" s="88" t="s">
        <v>716</v>
      </c>
      <c r="I194" s="88" t="s">
        <v>367</v>
      </c>
      <c r="J194" s="88" t="s">
        <v>660</v>
      </c>
      <c r="K194" s="88" t="s">
        <v>367</v>
      </c>
      <c r="L194" s="88" t="s">
        <v>661</v>
      </c>
      <c r="M194" s="94" t="str">
        <f t="shared" si="2"/>
        <v>View on Google Map</v>
      </c>
      <c r="N194" s="88">
        <f t="shared" si="3"/>
        <v>94</v>
      </c>
    </row>
    <row r="195" spans="1:14">
      <c r="A195" s="88">
        <v>411</v>
      </c>
      <c r="B195" s="88" t="s">
        <v>718</v>
      </c>
      <c r="C195" s="88" t="s">
        <v>719</v>
      </c>
      <c r="D195" s="88">
        <v>68.613551663999999</v>
      </c>
      <c r="E195" s="88">
        <v>-149.21844056</v>
      </c>
      <c r="F195" s="88" t="s">
        <v>367</v>
      </c>
      <c r="G195" s="88" t="s">
        <v>378</v>
      </c>
      <c r="H195" s="88" t="s">
        <v>718</v>
      </c>
      <c r="I195" s="88" t="s">
        <v>367</v>
      </c>
      <c r="J195" s="88" t="s">
        <v>660</v>
      </c>
      <c r="K195" s="88" t="s">
        <v>367</v>
      </c>
      <c r="L195" s="88" t="s">
        <v>661</v>
      </c>
      <c r="M195" s="94" t="str">
        <f t="shared" ref="M195:M258" si="4">HYPERLINK("http://maps.google.com/maps?q="&amp;D195&amp;","&amp;E195,"View on Google Map")</f>
        <v>View on Google Map</v>
      </c>
      <c r="N195" s="88">
        <f t="shared" si="3"/>
        <v>95</v>
      </c>
    </row>
    <row r="196" spans="1:14">
      <c r="A196" s="88">
        <v>412</v>
      </c>
      <c r="B196" s="88" t="s">
        <v>720</v>
      </c>
      <c r="C196" s="88" t="s">
        <v>721</v>
      </c>
      <c r="D196" s="88">
        <v>68.609572079800003</v>
      </c>
      <c r="E196" s="88">
        <v>-149.20865205600001</v>
      </c>
      <c r="F196" s="88" t="s">
        <v>367</v>
      </c>
      <c r="G196" s="88" t="s">
        <v>378</v>
      </c>
      <c r="H196" s="88" t="s">
        <v>720</v>
      </c>
      <c r="I196" s="88" t="s">
        <v>367</v>
      </c>
      <c r="J196" s="88" t="s">
        <v>660</v>
      </c>
      <c r="K196" s="88" t="s">
        <v>367</v>
      </c>
      <c r="L196" s="88" t="s">
        <v>661</v>
      </c>
      <c r="M196" s="94" t="str">
        <f t="shared" si="4"/>
        <v>View on Google Map</v>
      </c>
      <c r="N196" s="88">
        <f t="shared" si="3"/>
        <v>96</v>
      </c>
    </row>
    <row r="197" spans="1:14">
      <c r="A197" s="88">
        <v>413</v>
      </c>
      <c r="B197" s="88" t="s">
        <v>722</v>
      </c>
      <c r="C197" s="88" t="s">
        <v>723</v>
      </c>
      <c r="D197" s="88">
        <v>68.607097540200002</v>
      </c>
      <c r="E197" s="88">
        <v>-149.21482030499999</v>
      </c>
      <c r="F197" s="88" t="s">
        <v>367</v>
      </c>
      <c r="G197" s="88" t="s">
        <v>378</v>
      </c>
      <c r="H197" s="88" t="s">
        <v>722</v>
      </c>
      <c r="I197" s="88" t="s">
        <v>367</v>
      </c>
      <c r="J197" s="88" t="s">
        <v>660</v>
      </c>
      <c r="K197" s="88" t="s">
        <v>367</v>
      </c>
      <c r="L197" s="88" t="s">
        <v>661</v>
      </c>
      <c r="M197" s="94" t="str">
        <f t="shared" si="4"/>
        <v>View on Google Map</v>
      </c>
      <c r="N197" s="88">
        <f t="shared" si="3"/>
        <v>97</v>
      </c>
    </row>
    <row r="198" spans="1:14">
      <c r="A198" s="88">
        <v>414</v>
      </c>
      <c r="B198" s="88" t="s">
        <v>724</v>
      </c>
      <c r="C198" s="88" t="s">
        <v>725</v>
      </c>
      <c r="D198" s="88">
        <v>68.605198711400007</v>
      </c>
      <c r="E198" s="88">
        <v>-149.27215046800001</v>
      </c>
      <c r="F198" s="88" t="s">
        <v>367</v>
      </c>
      <c r="G198" s="88" t="s">
        <v>378</v>
      </c>
      <c r="H198" s="88" t="s">
        <v>724</v>
      </c>
      <c r="I198" s="88" t="s">
        <v>367</v>
      </c>
      <c r="J198" s="88" t="s">
        <v>660</v>
      </c>
      <c r="K198" s="88" t="s">
        <v>367</v>
      </c>
      <c r="L198" s="88" t="s">
        <v>661</v>
      </c>
      <c r="M198" s="94" t="str">
        <f t="shared" si="4"/>
        <v>View on Google Map</v>
      </c>
      <c r="N198" s="88">
        <f t="shared" si="3"/>
        <v>98</v>
      </c>
    </row>
    <row r="199" spans="1:14">
      <c r="A199" s="88">
        <v>415</v>
      </c>
      <c r="B199" s="88" t="s">
        <v>726</v>
      </c>
      <c r="C199" s="88" t="s">
        <v>727</v>
      </c>
      <c r="D199" s="88">
        <v>68.498375922400001</v>
      </c>
      <c r="E199" s="88">
        <v>-149.59842284699999</v>
      </c>
      <c r="F199" s="88">
        <v>947</v>
      </c>
      <c r="G199" s="88" t="s">
        <v>378</v>
      </c>
      <c r="H199" s="88" t="s">
        <v>728</v>
      </c>
      <c r="I199" s="88" t="s">
        <v>367</v>
      </c>
      <c r="J199" s="88" t="s">
        <v>660</v>
      </c>
      <c r="K199" s="88" t="s">
        <v>367</v>
      </c>
      <c r="L199" s="88" t="s">
        <v>661</v>
      </c>
      <c r="M199" s="94" t="str">
        <f t="shared" si="4"/>
        <v>View on Google Map</v>
      </c>
      <c r="N199" s="88">
        <f>VALUE(MID(B199,5,3))</f>
        <v>99</v>
      </c>
    </row>
    <row r="200" spans="1:14">
      <c r="A200" s="88">
        <v>402</v>
      </c>
      <c r="B200" s="88" t="s">
        <v>729</v>
      </c>
      <c r="C200" s="88" t="s">
        <v>367</v>
      </c>
      <c r="D200" s="88" t="s">
        <v>367</v>
      </c>
      <c r="E200" s="88" t="s">
        <v>367</v>
      </c>
      <c r="F200" s="88" t="s">
        <v>367</v>
      </c>
      <c r="G200" s="88" t="s">
        <v>378</v>
      </c>
      <c r="H200" s="88" t="s">
        <v>367</v>
      </c>
      <c r="I200" s="88" t="s">
        <v>367</v>
      </c>
      <c r="J200" s="88" t="s">
        <v>393</v>
      </c>
      <c r="K200" s="88" t="s">
        <v>367</v>
      </c>
      <c r="L200" s="88" t="s">
        <v>547</v>
      </c>
      <c r="M200" s="94" t="str">
        <f t="shared" si="4"/>
        <v>View on Google Map</v>
      </c>
    </row>
    <row r="201" spans="1:14">
      <c r="A201" s="88">
        <v>8</v>
      </c>
      <c r="B201" s="88" t="s">
        <v>730</v>
      </c>
      <c r="C201" s="88" t="s">
        <v>391</v>
      </c>
      <c r="D201" s="88">
        <v>69.150000000000006</v>
      </c>
      <c r="E201" s="88">
        <v>-148.83333333333334</v>
      </c>
      <c r="F201" s="88">
        <v>290</v>
      </c>
      <c r="G201" s="88" t="s">
        <v>392</v>
      </c>
      <c r="H201" s="88" t="s">
        <v>367</v>
      </c>
      <c r="I201" s="88" t="s">
        <v>367</v>
      </c>
      <c r="J201" s="88" t="s">
        <v>393</v>
      </c>
      <c r="K201" s="88" t="s">
        <v>367</v>
      </c>
      <c r="L201" s="88" t="s">
        <v>394</v>
      </c>
      <c r="M201" s="94" t="str">
        <f t="shared" si="4"/>
        <v>View on Google Map</v>
      </c>
    </row>
    <row r="202" spans="1:14">
      <c r="A202" s="88">
        <v>219</v>
      </c>
      <c r="B202" s="88" t="s">
        <v>731</v>
      </c>
      <c r="C202" s="88" t="s">
        <v>367</v>
      </c>
      <c r="D202" s="88">
        <v>69.8</v>
      </c>
      <c r="E202" s="88">
        <v>-151.83333333333334</v>
      </c>
      <c r="F202" s="88">
        <v>60.365853658536601</v>
      </c>
      <c r="G202" s="88" t="s">
        <v>378</v>
      </c>
      <c r="H202" s="88" t="s">
        <v>732</v>
      </c>
      <c r="I202" s="88" t="s">
        <v>367</v>
      </c>
      <c r="J202" s="88" t="s">
        <v>393</v>
      </c>
      <c r="K202" s="88" t="s">
        <v>367</v>
      </c>
      <c r="L202" s="88" t="s">
        <v>733</v>
      </c>
      <c r="M202" s="94" t="str">
        <f t="shared" si="4"/>
        <v>View on Google Map</v>
      </c>
    </row>
    <row r="203" spans="1:14">
      <c r="A203" s="88">
        <v>220</v>
      </c>
      <c r="B203" s="88" t="s">
        <v>734</v>
      </c>
      <c r="C203" s="88" t="s">
        <v>367</v>
      </c>
      <c r="D203" s="88">
        <v>69.75</v>
      </c>
      <c r="E203" s="88">
        <v>-151.5</v>
      </c>
      <c r="F203" s="88">
        <v>60.365853658536587</v>
      </c>
      <c r="G203" s="88" t="s">
        <v>378</v>
      </c>
      <c r="H203" s="88" t="s">
        <v>735</v>
      </c>
      <c r="I203" s="88" t="s">
        <v>367</v>
      </c>
      <c r="J203" s="88" t="s">
        <v>393</v>
      </c>
      <c r="K203" s="88" t="s">
        <v>367</v>
      </c>
      <c r="L203" s="88" t="s">
        <v>733</v>
      </c>
      <c r="M203" s="94" t="str">
        <f t="shared" si="4"/>
        <v>View on Google Map</v>
      </c>
    </row>
    <row r="204" spans="1:14">
      <c r="A204" s="88">
        <v>221</v>
      </c>
      <c r="B204" s="88" t="s">
        <v>736</v>
      </c>
      <c r="C204" s="88" t="s">
        <v>367</v>
      </c>
      <c r="D204" s="88">
        <v>69.75</v>
      </c>
      <c r="E204" s="88">
        <v>-151.5</v>
      </c>
      <c r="F204" s="88">
        <v>30.487804878048781</v>
      </c>
      <c r="G204" s="88" t="s">
        <v>378</v>
      </c>
      <c r="H204" s="88" t="s">
        <v>737</v>
      </c>
      <c r="I204" s="88" t="s">
        <v>367</v>
      </c>
      <c r="J204" s="88" t="s">
        <v>393</v>
      </c>
      <c r="K204" s="88" t="s">
        <v>367</v>
      </c>
      <c r="L204" s="88" t="s">
        <v>733</v>
      </c>
      <c r="M204" s="94" t="str">
        <f t="shared" si="4"/>
        <v>View on Google Map</v>
      </c>
    </row>
    <row r="205" spans="1:14">
      <c r="A205" s="88">
        <v>222</v>
      </c>
      <c r="B205" s="88" t="s">
        <v>738</v>
      </c>
      <c r="C205" s="88" t="s">
        <v>367</v>
      </c>
      <c r="D205" s="88">
        <v>69.7</v>
      </c>
      <c r="E205" s="88">
        <v>-151.16666666666666</v>
      </c>
      <c r="F205" s="88">
        <v>42.682926829268297</v>
      </c>
      <c r="G205" s="88" t="s">
        <v>378</v>
      </c>
      <c r="H205" s="88" t="s">
        <v>739</v>
      </c>
      <c r="I205" s="88" t="s">
        <v>367</v>
      </c>
      <c r="J205" s="88" t="s">
        <v>393</v>
      </c>
      <c r="K205" s="88" t="s">
        <v>367</v>
      </c>
      <c r="L205" s="88" t="s">
        <v>733</v>
      </c>
      <c r="M205" s="94" t="str">
        <f t="shared" si="4"/>
        <v>View on Google Map</v>
      </c>
    </row>
    <row r="206" spans="1:14">
      <c r="A206" s="88">
        <v>223</v>
      </c>
      <c r="B206" s="88" t="s">
        <v>740</v>
      </c>
      <c r="C206" s="88" t="s">
        <v>367</v>
      </c>
      <c r="D206" s="88">
        <v>69.7</v>
      </c>
      <c r="E206" s="88">
        <v>-151.16666666666666</v>
      </c>
      <c r="F206" s="88">
        <v>42.682926829268297</v>
      </c>
      <c r="G206" s="88" t="s">
        <v>378</v>
      </c>
      <c r="H206" s="88" t="s">
        <v>741</v>
      </c>
      <c r="I206" s="88" t="s">
        <v>367</v>
      </c>
      <c r="J206" s="88" t="s">
        <v>393</v>
      </c>
      <c r="K206" s="88" t="s">
        <v>367</v>
      </c>
      <c r="L206" s="88" t="s">
        <v>733</v>
      </c>
      <c r="M206" s="94" t="str">
        <f t="shared" si="4"/>
        <v>View on Google Map</v>
      </c>
    </row>
    <row r="207" spans="1:14">
      <c r="A207" s="88">
        <v>224</v>
      </c>
      <c r="B207" s="88" t="s">
        <v>742</v>
      </c>
      <c r="C207" s="88" t="s">
        <v>367</v>
      </c>
      <c r="D207" s="88">
        <v>69.516666666666666</v>
      </c>
      <c r="E207" s="88">
        <v>-150.86666666666667</v>
      </c>
      <c r="F207" s="88">
        <v>60.975609756097562</v>
      </c>
      <c r="G207" s="88" t="s">
        <v>378</v>
      </c>
      <c r="H207" s="88" t="s">
        <v>743</v>
      </c>
      <c r="I207" s="88" t="s">
        <v>367</v>
      </c>
      <c r="J207" s="88" t="s">
        <v>393</v>
      </c>
      <c r="K207" s="88" t="s">
        <v>367</v>
      </c>
      <c r="L207" s="88" t="s">
        <v>733</v>
      </c>
      <c r="M207" s="94" t="str">
        <f t="shared" si="4"/>
        <v>View on Google Map</v>
      </c>
    </row>
    <row r="208" spans="1:14">
      <c r="A208" s="88">
        <v>225</v>
      </c>
      <c r="B208" s="88" t="s">
        <v>744</v>
      </c>
      <c r="C208" s="88" t="s">
        <v>367</v>
      </c>
      <c r="D208" s="88">
        <v>69.516666666666666</v>
      </c>
      <c r="E208" s="88">
        <v>-150.86666666666667</v>
      </c>
      <c r="F208" s="88">
        <v>60.975609756097562</v>
      </c>
      <c r="G208" s="88" t="s">
        <v>378</v>
      </c>
      <c r="H208" s="88" t="s">
        <v>745</v>
      </c>
      <c r="I208" s="88" t="s">
        <v>367</v>
      </c>
      <c r="J208" s="88" t="s">
        <v>393</v>
      </c>
      <c r="K208" s="88" t="s">
        <v>367</v>
      </c>
      <c r="L208" s="88" t="s">
        <v>733</v>
      </c>
      <c r="M208" s="94" t="str">
        <f t="shared" si="4"/>
        <v>View on Google Map</v>
      </c>
    </row>
    <row r="209" spans="1:13">
      <c r="A209" s="88">
        <v>226</v>
      </c>
      <c r="B209" s="88" t="s">
        <v>746</v>
      </c>
      <c r="C209" s="88" t="s">
        <v>367</v>
      </c>
      <c r="D209" s="88">
        <v>69.25</v>
      </c>
      <c r="E209" s="88">
        <v>-150.43333333333334</v>
      </c>
      <c r="F209" s="88">
        <v>182.92682926829269</v>
      </c>
      <c r="G209" s="88" t="s">
        <v>378</v>
      </c>
      <c r="H209" s="88" t="s">
        <v>747</v>
      </c>
      <c r="I209" s="88" t="s">
        <v>367</v>
      </c>
      <c r="J209" s="88" t="s">
        <v>393</v>
      </c>
      <c r="K209" s="88" t="s">
        <v>367</v>
      </c>
      <c r="L209" s="88" t="s">
        <v>733</v>
      </c>
      <c r="M209" s="94" t="str">
        <f t="shared" si="4"/>
        <v>View on Google Map</v>
      </c>
    </row>
    <row r="210" spans="1:13">
      <c r="A210" s="88">
        <v>227</v>
      </c>
      <c r="B210" s="88" t="s">
        <v>748</v>
      </c>
      <c r="C210" s="88" t="s">
        <v>367</v>
      </c>
      <c r="D210" s="88">
        <v>69.25</v>
      </c>
      <c r="E210" s="88">
        <v>-150.43333333333334</v>
      </c>
      <c r="F210" s="88">
        <v>182.92682926829269</v>
      </c>
      <c r="G210" s="88" t="s">
        <v>378</v>
      </c>
      <c r="H210" s="88" t="s">
        <v>749</v>
      </c>
      <c r="I210" s="88" t="s">
        <v>367</v>
      </c>
      <c r="J210" s="88" t="s">
        <v>393</v>
      </c>
      <c r="K210" s="88" t="s">
        <v>367</v>
      </c>
      <c r="L210" s="88" t="s">
        <v>733</v>
      </c>
      <c r="M210" s="94" t="str">
        <f t="shared" si="4"/>
        <v>View on Google Map</v>
      </c>
    </row>
    <row r="211" spans="1:13">
      <c r="A211" s="88">
        <v>228</v>
      </c>
      <c r="B211" s="88" t="s">
        <v>750</v>
      </c>
      <c r="C211" s="88" t="s">
        <v>367</v>
      </c>
      <c r="D211" s="88">
        <v>69.25</v>
      </c>
      <c r="E211" s="88">
        <v>-151.16666666666666</v>
      </c>
      <c r="F211" s="88">
        <v>182.92682926829269</v>
      </c>
      <c r="G211" s="88" t="s">
        <v>378</v>
      </c>
      <c r="H211" s="88" t="s">
        <v>751</v>
      </c>
      <c r="I211" s="88" t="s">
        <v>367</v>
      </c>
      <c r="J211" s="88" t="s">
        <v>393</v>
      </c>
      <c r="K211" s="88" t="s">
        <v>367</v>
      </c>
      <c r="L211" s="88" t="s">
        <v>733</v>
      </c>
      <c r="M211" s="94" t="str">
        <f t="shared" si="4"/>
        <v>View on Google Map</v>
      </c>
    </row>
    <row r="212" spans="1:13">
      <c r="A212" s="88">
        <v>229</v>
      </c>
      <c r="B212" s="88" t="s">
        <v>752</v>
      </c>
      <c r="C212" s="88" t="s">
        <v>367</v>
      </c>
      <c r="D212" s="88">
        <v>69.233333333333334</v>
      </c>
      <c r="E212" s="88">
        <v>-151.63333333333333</v>
      </c>
      <c r="F212" s="88">
        <v>178.35365853658539</v>
      </c>
      <c r="G212" s="88" t="s">
        <v>378</v>
      </c>
      <c r="H212" s="88" t="s">
        <v>753</v>
      </c>
      <c r="I212" s="88" t="s">
        <v>367</v>
      </c>
      <c r="J212" s="88" t="s">
        <v>393</v>
      </c>
      <c r="K212" s="88" t="s">
        <v>367</v>
      </c>
      <c r="L212" s="88" t="s">
        <v>733</v>
      </c>
      <c r="M212" s="94" t="str">
        <f t="shared" si="4"/>
        <v>View on Google Map</v>
      </c>
    </row>
    <row r="213" spans="1:13">
      <c r="A213" s="88">
        <v>230</v>
      </c>
      <c r="B213" s="88" t="s">
        <v>754</v>
      </c>
      <c r="C213" s="88" t="s">
        <v>367</v>
      </c>
      <c r="D213" s="88">
        <v>68.900000000000006</v>
      </c>
      <c r="E213" s="88">
        <v>-151.28333333333333</v>
      </c>
      <c r="F213" s="88">
        <v>335.36585365853659</v>
      </c>
      <c r="G213" s="88" t="s">
        <v>378</v>
      </c>
      <c r="H213" s="88" t="s">
        <v>755</v>
      </c>
      <c r="I213" s="88" t="s">
        <v>367</v>
      </c>
      <c r="J213" s="88" t="s">
        <v>393</v>
      </c>
      <c r="K213" s="88" t="s">
        <v>367</v>
      </c>
      <c r="L213" s="88" t="s">
        <v>733</v>
      </c>
      <c r="M213" s="94" t="str">
        <f t="shared" si="4"/>
        <v>View on Google Map</v>
      </c>
    </row>
    <row r="214" spans="1:13">
      <c r="A214" s="88">
        <v>231</v>
      </c>
      <c r="B214" s="88" t="s">
        <v>756</v>
      </c>
      <c r="C214" s="88" t="s">
        <v>367</v>
      </c>
      <c r="D214" s="88">
        <v>68.8</v>
      </c>
      <c r="E214" s="88">
        <v>-150.80000000000001</v>
      </c>
      <c r="F214" s="88">
        <v>411.58536585365857</v>
      </c>
      <c r="G214" s="88" t="s">
        <v>378</v>
      </c>
      <c r="H214" s="88" t="s">
        <v>757</v>
      </c>
      <c r="I214" s="88" t="s">
        <v>367</v>
      </c>
      <c r="J214" s="88" t="s">
        <v>393</v>
      </c>
      <c r="K214" s="88" t="s">
        <v>367</v>
      </c>
      <c r="L214" s="88" t="s">
        <v>733</v>
      </c>
      <c r="M214" s="94" t="str">
        <f t="shared" si="4"/>
        <v>View on Google Map</v>
      </c>
    </row>
    <row r="215" spans="1:13">
      <c r="A215" s="88">
        <v>237</v>
      </c>
      <c r="B215" s="88" t="s">
        <v>758</v>
      </c>
      <c r="C215" s="88" t="s">
        <v>367</v>
      </c>
      <c r="D215" s="88">
        <v>68.783333333333331</v>
      </c>
      <c r="E215" s="88" t="s">
        <v>367</v>
      </c>
      <c r="F215" s="88">
        <v>681.40243902439033</v>
      </c>
      <c r="G215" s="88" t="s">
        <v>378</v>
      </c>
      <c r="H215" s="88" t="s">
        <v>759</v>
      </c>
      <c r="I215" s="88" t="s">
        <v>760</v>
      </c>
      <c r="J215" s="88" t="s">
        <v>393</v>
      </c>
      <c r="K215" s="88" t="s">
        <v>367</v>
      </c>
      <c r="L215" s="88" t="s">
        <v>733</v>
      </c>
      <c r="M215" s="94" t="str">
        <f t="shared" si="4"/>
        <v>View on Google Map</v>
      </c>
    </row>
    <row r="216" spans="1:13">
      <c r="A216" s="88">
        <v>238</v>
      </c>
      <c r="B216" s="88" t="s">
        <v>761</v>
      </c>
      <c r="C216" s="88" t="s">
        <v>367</v>
      </c>
      <c r="D216" s="88">
        <v>68.783333333333331</v>
      </c>
      <c r="E216" s="88" t="s">
        <v>367</v>
      </c>
      <c r="F216" s="88">
        <v>681.40243902439033</v>
      </c>
      <c r="G216" s="88" t="s">
        <v>378</v>
      </c>
      <c r="H216" s="88" t="s">
        <v>762</v>
      </c>
      <c r="I216" s="88" t="s">
        <v>760</v>
      </c>
      <c r="J216" s="88" t="s">
        <v>393</v>
      </c>
      <c r="K216" s="88" t="s">
        <v>367</v>
      </c>
      <c r="L216" s="88" t="s">
        <v>733</v>
      </c>
      <c r="M216" s="94" t="str">
        <f t="shared" si="4"/>
        <v>View on Google Map</v>
      </c>
    </row>
    <row r="217" spans="1:13">
      <c r="A217" s="88">
        <v>10</v>
      </c>
      <c r="B217" s="88" t="s">
        <v>763</v>
      </c>
      <c r="C217" s="88" t="s">
        <v>764</v>
      </c>
      <c r="D217" s="88">
        <v>68.644702925000004</v>
      </c>
      <c r="E217" s="88">
        <v>-149.41200613611099</v>
      </c>
      <c r="F217" s="88">
        <v>751.33799999999997</v>
      </c>
      <c r="G217" s="88" t="s">
        <v>392</v>
      </c>
      <c r="H217" s="88" t="s">
        <v>367</v>
      </c>
      <c r="I217" s="88" t="s">
        <v>367</v>
      </c>
      <c r="J217" s="88" t="s">
        <v>393</v>
      </c>
      <c r="K217" s="88" t="s">
        <v>367</v>
      </c>
      <c r="L217" s="88" t="s">
        <v>367</v>
      </c>
      <c r="M217" s="94" t="str">
        <f t="shared" si="4"/>
        <v>View on Google Map</v>
      </c>
    </row>
    <row r="218" spans="1:13">
      <c r="A218" s="88">
        <v>486</v>
      </c>
      <c r="B218" s="88" t="s">
        <v>765</v>
      </c>
      <c r="C218" s="88" t="s">
        <v>367</v>
      </c>
      <c r="D218" s="88">
        <v>68.958333332999999</v>
      </c>
      <c r="E218" s="88">
        <v>-150.302016667</v>
      </c>
      <c r="F218" s="88">
        <v>382</v>
      </c>
      <c r="G218" s="88" t="s">
        <v>378</v>
      </c>
      <c r="H218" s="88" t="s">
        <v>367</v>
      </c>
      <c r="I218" s="88" t="s">
        <v>367</v>
      </c>
      <c r="J218" s="88" t="s">
        <v>428</v>
      </c>
      <c r="K218" s="88" t="s">
        <v>367</v>
      </c>
      <c r="L218" s="88" t="s">
        <v>375</v>
      </c>
      <c r="M218" s="94" t="str">
        <f t="shared" si="4"/>
        <v>View on Google Map</v>
      </c>
    </row>
    <row r="219" spans="1:13">
      <c r="A219" s="88">
        <v>388</v>
      </c>
      <c r="B219" s="88" t="s">
        <v>766</v>
      </c>
      <c r="C219" s="88" t="s">
        <v>367</v>
      </c>
      <c r="D219" s="88">
        <v>68.556340000000006</v>
      </c>
      <c r="E219" s="88">
        <v>-149.56628000000001</v>
      </c>
      <c r="F219" s="88">
        <v>801</v>
      </c>
      <c r="G219" s="88" t="s">
        <v>378</v>
      </c>
      <c r="H219" s="88" t="s">
        <v>367</v>
      </c>
      <c r="I219" s="88" t="s">
        <v>367</v>
      </c>
      <c r="J219" s="88" t="s">
        <v>393</v>
      </c>
      <c r="K219" s="88" t="s">
        <v>367</v>
      </c>
      <c r="L219" s="88" t="s">
        <v>767</v>
      </c>
      <c r="M219" s="94" t="str">
        <f t="shared" si="4"/>
        <v>View on Google Map</v>
      </c>
    </row>
    <row r="220" spans="1:13">
      <c r="A220" s="88">
        <v>450</v>
      </c>
      <c r="B220" s="88" t="s">
        <v>768</v>
      </c>
      <c r="C220" s="88" t="s">
        <v>367</v>
      </c>
      <c r="D220" s="88">
        <v>68.553610000000006</v>
      </c>
      <c r="E220" s="88">
        <v>-149.53397000000001</v>
      </c>
      <c r="F220" s="88">
        <v>820</v>
      </c>
      <c r="G220" s="88" t="s">
        <v>378</v>
      </c>
      <c r="H220" s="88" t="s">
        <v>769</v>
      </c>
      <c r="I220" s="88" t="s">
        <v>367</v>
      </c>
      <c r="J220" s="88" t="s">
        <v>379</v>
      </c>
      <c r="K220" s="88" t="s">
        <v>367</v>
      </c>
      <c r="L220" s="88" t="s">
        <v>367</v>
      </c>
      <c r="M220" s="94" t="str">
        <f t="shared" si="4"/>
        <v>View on Google Map</v>
      </c>
    </row>
    <row r="221" spans="1:13">
      <c r="A221" s="88">
        <v>451</v>
      </c>
      <c r="B221" s="88" t="s">
        <v>770</v>
      </c>
      <c r="C221" s="88" t="s">
        <v>367</v>
      </c>
      <c r="D221" s="88">
        <v>68.545929999999998</v>
      </c>
      <c r="E221" s="88">
        <v>-149.54213999999999</v>
      </c>
      <c r="F221" s="88">
        <v>852</v>
      </c>
      <c r="G221" s="88" t="s">
        <v>378</v>
      </c>
      <c r="H221" s="88" t="s">
        <v>771</v>
      </c>
      <c r="I221" s="88" t="s">
        <v>367</v>
      </c>
      <c r="J221" s="88" t="s">
        <v>379</v>
      </c>
      <c r="K221" s="88" t="s">
        <v>367</v>
      </c>
      <c r="L221" s="88" t="s">
        <v>367</v>
      </c>
      <c r="M221" s="94" t="str">
        <f t="shared" si="4"/>
        <v>View on Google Map</v>
      </c>
    </row>
    <row r="222" spans="1:13">
      <c r="A222" s="88">
        <v>531</v>
      </c>
      <c r="B222" s="88" t="s">
        <v>772</v>
      </c>
      <c r="C222" s="88" t="s">
        <v>773</v>
      </c>
      <c r="D222" s="88">
        <v>68.556769000000003</v>
      </c>
      <c r="E222" s="88">
        <v>-149.555385</v>
      </c>
      <c r="F222" s="88">
        <v>805</v>
      </c>
      <c r="G222" s="88" t="s">
        <v>392</v>
      </c>
      <c r="H222" s="88" t="s">
        <v>367</v>
      </c>
      <c r="I222" s="88" t="s">
        <v>367</v>
      </c>
      <c r="J222" s="88" t="s">
        <v>379</v>
      </c>
      <c r="K222" s="88" t="s">
        <v>367</v>
      </c>
      <c r="L222" s="88" t="s">
        <v>774</v>
      </c>
      <c r="M222" s="94" t="str">
        <f t="shared" si="4"/>
        <v>View on Google Map</v>
      </c>
    </row>
    <row r="223" spans="1:13">
      <c r="A223" s="88">
        <v>532</v>
      </c>
      <c r="B223" s="88" t="s">
        <v>775</v>
      </c>
      <c r="C223" s="88" t="s">
        <v>773</v>
      </c>
      <c r="D223" s="88">
        <v>68.556635999999997</v>
      </c>
      <c r="E223" s="88">
        <v>-149.574457</v>
      </c>
      <c r="F223" s="88">
        <v>803</v>
      </c>
      <c r="G223" s="88" t="s">
        <v>392</v>
      </c>
      <c r="H223" s="88" t="s">
        <v>367</v>
      </c>
      <c r="I223" s="88" t="s">
        <v>367</v>
      </c>
      <c r="J223" s="88" t="s">
        <v>379</v>
      </c>
      <c r="K223" s="88" t="s">
        <v>367</v>
      </c>
      <c r="L223" s="88" t="s">
        <v>774</v>
      </c>
      <c r="M223" s="94" t="str">
        <f t="shared" si="4"/>
        <v>View on Google Map</v>
      </c>
    </row>
    <row r="224" spans="1:13">
      <c r="A224" s="88">
        <v>120</v>
      </c>
      <c r="B224" s="88" t="s">
        <v>776</v>
      </c>
      <c r="C224" s="88" t="s">
        <v>367</v>
      </c>
      <c r="D224" s="88">
        <v>68.610781000000003</v>
      </c>
      <c r="E224" s="88">
        <v>-149.600742</v>
      </c>
      <c r="F224" s="88">
        <v>736</v>
      </c>
      <c r="G224" s="88" t="s">
        <v>378</v>
      </c>
      <c r="H224" s="88" t="s">
        <v>777</v>
      </c>
      <c r="I224" s="88" t="s">
        <v>367</v>
      </c>
      <c r="J224" s="88" t="s">
        <v>393</v>
      </c>
      <c r="K224" s="88">
        <v>313</v>
      </c>
      <c r="L224" s="88" t="s">
        <v>767</v>
      </c>
      <c r="M224" s="94" t="str">
        <f t="shared" si="4"/>
        <v>View on Google Map</v>
      </c>
    </row>
    <row r="225" spans="1:13">
      <c r="A225" s="88">
        <v>191</v>
      </c>
      <c r="B225" s="88" t="s">
        <v>778</v>
      </c>
      <c r="C225" s="88" t="s">
        <v>779</v>
      </c>
      <c r="D225" s="88">
        <v>68.610349999999997</v>
      </c>
      <c r="E225" s="88">
        <v>-149.59976599999999</v>
      </c>
      <c r="F225" s="88">
        <v>736</v>
      </c>
      <c r="G225" s="88" t="s">
        <v>392</v>
      </c>
      <c r="H225" s="88" t="s">
        <v>780</v>
      </c>
      <c r="I225" s="88" t="s">
        <v>781</v>
      </c>
      <c r="J225" s="88" t="s">
        <v>393</v>
      </c>
      <c r="K225" s="88" t="s">
        <v>367</v>
      </c>
      <c r="L225" s="88" t="s">
        <v>782</v>
      </c>
      <c r="M225" s="94" t="str">
        <f t="shared" si="4"/>
        <v>View on Google Map</v>
      </c>
    </row>
    <row r="226" spans="1:13">
      <c r="A226" s="88">
        <v>243</v>
      </c>
      <c r="B226" s="88" t="s">
        <v>783</v>
      </c>
      <c r="C226" s="88" t="s">
        <v>367</v>
      </c>
      <c r="D226" s="88">
        <v>68.611682999999999</v>
      </c>
      <c r="E226" s="88">
        <v>-149.599254</v>
      </c>
      <c r="F226" s="88">
        <v>736</v>
      </c>
      <c r="G226" s="88" t="s">
        <v>392</v>
      </c>
      <c r="H226" s="88" t="s">
        <v>784</v>
      </c>
      <c r="I226" s="88" t="s">
        <v>785</v>
      </c>
      <c r="J226" s="88" t="s">
        <v>393</v>
      </c>
      <c r="K226" s="88" t="s">
        <v>367</v>
      </c>
      <c r="L226" s="88" t="s">
        <v>782</v>
      </c>
      <c r="M226" s="94" t="str">
        <f t="shared" si="4"/>
        <v>View on Google Map</v>
      </c>
    </row>
    <row r="227" spans="1:13">
      <c r="A227" s="88">
        <v>111</v>
      </c>
      <c r="B227" s="88" t="s">
        <v>786</v>
      </c>
      <c r="C227" s="88" t="s">
        <v>367</v>
      </c>
      <c r="D227" s="88">
        <v>68.568713078900004</v>
      </c>
      <c r="E227" s="88">
        <v>-149.58807625</v>
      </c>
      <c r="F227" s="88">
        <v>785</v>
      </c>
      <c r="G227" s="88" t="s">
        <v>378</v>
      </c>
      <c r="H227" s="88" t="s">
        <v>787</v>
      </c>
      <c r="I227" s="88" t="s">
        <v>788</v>
      </c>
      <c r="J227" s="88" t="s">
        <v>393</v>
      </c>
      <c r="K227" s="88" t="s">
        <v>367</v>
      </c>
      <c r="L227" s="88" t="s">
        <v>767</v>
      </c>
      <c r="M227" s="94" t="str">
        <f t="shared" si="4"/>
        <v>View on Google Map</v>
      </c>
    </row>
    <row r="228" spans="1:13">
      <c r="A228" s="88">
        <v>175</v>
      </c>
      <c r="B228" s="88" t="s">
        <v>789</v>
      </c>
      <c r="C228" s="88" t="s">
        <v>367</v>
      </c>
      <c r="D228" s="88">
        <v>68.573999999999998</v>
      </c>
      <c r="E228" s="88">
        <v>-149.58356599999999</v>
      </c>
      <c r="F228" s="88">
        <v>774</v>
      </c>
      <c r="G228" s="88" t="s">
        <v>392</v>
      </c>
      <c r="H228" s="88" t="s">
        <v>790</v>
      </c>
      <c r="I228" s="88" t="s">
        <v>791</v>
      </c>
      <c r="J228" s="88" t="s">
        <v>393</v>
      </c>
      <c r="K228" s="88" t="s">
        <v>367</v>
      </c>
      <c r="L228" s="88" t="s">
        <v>782</v>
      </c>
      <c r="M228" s="94" t="str">
        <f t="shared" si="4"/>
        <v>View on Google Map</v>
      </c>
    </row>
    <row r="229" spans="1:13">
      <c r="A229" s="88">
        <v>174</v>
      </c>
      <c r="B229" s="88" t="s">
        <v>792</v>
      </c>
      <c r="C229" s="88" t="s">
        <v>367</v>
      </c>
      <c r="D229" s="88">
        <v>68.572295999999994</v>
      </c>
      <c r="E229" s="88">
        <v>-149.58101400000001</v>
      </c>
      <c r="F229" s="88">
        <v>785</v>
      </c>
      <c r="G229" s="88" t="s">
        <v>392</v>
      </c>
      <c r="H229" s="88" t="s">
        <v>793</v>
      </c>
      <c r="I229" s="88" t="s">
        <v>794</v>
      </c>
      <c r="J229" s="88" t="s">
        <v>393</v>
      </c>
      <c r="K229" s="88" t="s">
        <v>367</v>
      </c>
      <c r="L229" s="88" t="s">
        <v>782</v>
      </c>
      <c r="M229" s="94" t="str">
        <f t="shared" si="4"/>
        <v>View on Google Map</v>
      </c>
    </row>
    <row r="230" spans="1:13">
      <c r="A230" s="88">
        <v>112</v>
      </c>
      <c r="B230" s="88" t="s">
        <v>795</v>
      </c>
      <c r="C230" s="88" t="s">
        <v>367</v>
      </c>
      <c r="D230" s="88">
        <v>68.571319563299994</v>
      </c>
      <c r="E230" s="88">
        <v>-149.56588161799999</v>
      </c>
      <c r="F230" s="88">
        <v>785</v>
      </c>
      <c r="G230" s="88" t="s">
        <v>378</v>
      </c>
      <c r="H230" s="88" t="s">
        <v>796</v>
      </c>
      <c r="I230" s="88" t="s">
        <v>797</v>
      </c>
      <c r="J230" s="88" t="s">
        <v>393</v>
      </c>
      <c r="K230" s="88" t="s">
        <v>367</v>
      </c>
      <c r="L230" s="88" t="s">
        <v>767</v>
      </c>
      <c r="M230" s="94" t="str">
        <f t="shared" si="4"/>
        <v>View on Google Map</v>
      </c>
    </row>
    <row r="231" spans="1:13">
      <c r="A231" s="88">
        <v>176</v>
      </c>
      <c r="B231" s="88" t="s">
        <v>798</v>
      </c>
      <c r="C231" s="88" t="s">
        <v>367</v>
      </c>
      <c r="D231" s="88">
        <v>68.574783330000002</v>
      </c>
      <c r="E231" s="88">
        <v>-149.58205000000001</v>
      </c>
      <c r="F231" s="88">
        <v>774</v>
      </c>
      <c r="G231" s="88" t="s">
        <v>392</v>
      </c>
      <c r="H231" s="88" t="s">
        <v>799</v>
      </c>
      <c r="I231" s="88" t="s">
        <v>800</v>
      </c>
      <c r="J231" s="88" t="s">
        <v>393</v>
      </c>
      <c r="K231" s="88" t="s">
        <v>367</v>
      </c>
      <c r="L231" s="88" t="s">
        <v>782</v>
      </c>
      <c r="M231" s="94" t="str">
        <f t="shared" si="4"/>
        <v>View on Google Map</v>
      </c>
    </row>
    <row r="232" spans="1:13">
      <c r="A232" s="88">
        <v>173</v>
      </c>
      <c r="B232" s="88" t="s">
        <v>801</v>
      </c>
      <c r="C232" s="88" t="s">
        <v>367</v>
      </c>
      <c r="D232" s="88">
        <v>68.572546000000003</v>
      </c>
      <c r="E232" s="88">
        <v>-149.570268</v>
      </c>
      <c r="F232" s="88">
        <v>785</v>
      </c>
      <c r="G232" s="88" t="s">
        <v>392</v>
      </c>
      <c r="H232" s="88" t="s">
        <v>802</v>
      </c>
      <c r="I232" s="88" t="s">
        <v>803</v>
      </c>
      <c r="J232" s="88" t="s">
        <v>393</v>
      </c>
      <c r="K232" s="88" t="s">
        <v>367</v>
      </c>
      <c r="L232" s="88" t="s">
        <v>782</v>
      </c>
      <c r="M232" s="94" t="str">
        <f t="shared" si="4"/>
        <v>View on Google Map</v>
      </c>
    </row>
    <row r="233" spans="1:13">
      <c r="A233" s="88">
        <v>113</v>
      </c>
      <c r="B233" s="88" t="s">
        <v>804</v>
      </c>
      <c r="C233" s="88" t="s">
        <v>367</v>
      </c>
      <c r="D233" s="88">
        <v>68.575536630100004</v>
      </c>
      <c r="E233" s="88">
        <v>-149.583644456</v>
      </c>
      <c r="F233" s="88">
        <v>774</v>
      </c>
      <c r="G233" s="88" t="s">
        <v>378</v>
      </c>
      <c r="H233" s="88" t="s">
        <v>805</v>
      </c>
      <c r="I233" s="88" t="s">
        <v>806</v>
      </c>
      <c r="J233" s="88" t="s">
        <v>393</v>
      </c>
      <c r="K233" s="88" t="s">
        <v>367</v>
      </c>
      <c r="L233" s="88" t="s">
        <v>767</v>
      </c>
      <c r="M233" s="94" t="str">
        <f t="shared" si="4"/>
        <v>View on Google Map</v>
      </c>
    </row>
    <row r="234" spans="1:13">
      <c r="A234" s="88">
        <v>177</v>
      </c>
      <c r="B234" s="88" t="s">
        <v>807</v>
      </c>
      <c r="C234" s="88" t="s">
        <v>367</v>
      </c>
      <c r="D234" s="88">
        <v>68.577539999999999</v>
      </c>
      <c r="E234" s="88">
        <v>-149.58200299999999</v>
      </c>
      <c r="F234" s="88">
        <v>774</v>
      </c>
      <c r="G234" s="88" t="s">
        <v>392</v>
      </c>
      <c r="H234" s="88" t="s">
        <v>808</v>
      </c>
      <c r="I234" s="88" t="s">
        <v>809</v>
      </c>
      <c r="J234" s="88" t="s">
        <v>393</v>
      </c>
      <c r="K234" s="88" t="s">
        <v>367</v>
      </c>
      <c r="L234" s="88" t="s">
        <v>782</v>
      </c>
      <c r="M234" s="94" t="str">
        <f t="shared" si="4"/>
        <v>View on Google Map</v>
      </c>
    </row>
    <row r="235" spans="1:13">
      <c r="A235" s="88">
        <v>114</v>
      </c>
      <c r="B235" s="88" t="s">
        <v>810</v>
      </c>
      <c r="C235" s="88" t="s">
        <v>367</v>
      </c>
      <c r="D235" s="88">
        <v>68.579567150000003</v>
      </c>
      <c r="E235" s="88">
        <v>-149.58405938000001</v>
      </c>
      <c r="F235" s="88">
        <v>770</v>
      </c>
      <c r="G235" s="88" t="s">
        <v>378</v>
      </c>
      <c r="H235" s="88" t="s">
        <v>811</v>
      </c>
      <c r="I235" s="88" t="s">
        <v>812</v>
      </c>
      <c r="J235" s="88" t="s">
        <v>393</v>
      </c>
      <c r="K235" s="88" t="s">
        <v>367</v>
      </c>
      <c r="L235" s="88" t="s">
        <v>767</v>
      </c>
      <c r="M235" s="94" t="str">
        <f t="shared" si="4"/>
        <v>View on Google Map</v>
      </c>
    </row>
    <row r="236" spans="1:13">
      <c r="A236" s="88">
        <v>179</v>
      </c>
      <c r="B236" s="88" t="s">
        <v>813</v>
      </c>
      <c r="C236" s="88" t="s">
        <v>367</v>
      </c>
      <c r="D236" s="88">
        <v>68.584233330000004</v>
      </c>
      <c r="E236" s="88">
        <v>-149.58359999999999</v>
      </c>
      <c r="F236" s="88">
        <v>770</v>
      </c>
      <c r="G236" s="88" t="s">
        <v>392</v>
      </c>
      <c r="H236" s="88" t="s">
        <v>814</v>
      </c>
      <c r="I236" s="88" t="s">
        <v>815</v>
      </c>
      <c r="J236" s="88" t="s">
        <v>393</v>
      </c>
      <c r="K236" s="88" t="s">
        <v>367</v>
      </c>
      <c r="L236" s="88" t="s">
        <v>782</v>
      </c>
      <c r="M236" s="94" t="str">
        <f t="shared" si="4"/>
        <v>View on Google Map</v>
      </c>
    </row>
    <row r="237" spans="1:13">
      <c r="A237" s="88">
        <v>178</v>
      </c>
      <c r="B237" s="88" t="s">
        <v>816</v>
      </c>
      <c r="C237" s="88" t="s">
        <v>367</v>
      </c>
      <c r="D237" s="88">
        <v>68.581429999999997</v>
      </c>
      <c r="E237" s="88">
        <v>-149.58609999999999</v>
      </c>
      <c r="F237" s="88">
        <v>770</v>
      </c>
      <c r="G237" s="88" t="s">
        <v>392</v>
      </c>
      <c r="H237" s="88" t="s">
        <v>817</v>
      </c>
      <c r="I237" s="88" t="s">
        <v>818</v>
      </c>
      <c r="J237" s="88" t="s">
        <v>393</v>
      </c>
      <c r="K237" s="88" t="s">
        <v>367</v>
      </c>
      <c r="L237" s="88" t="s">
        <v>782</v>
      </c>
      <c r="M237" s="94" t="str">
        <f t="shared" si="4"/>
        <v>View on Google Map</v>
      </c>
    </row>
    <row r="238" spans="1:13">
      <c r="A238" s="88">
        <v>115</v>
      </c>
      <c r="B238" s="88" t="s">
        <v>819</v>
      </c>
      <c r="C238" s="88" t="s">
        <v>367</v>
      </c>
      <c r="D238" s="88">
        <v>68.587387439099999</v>
      </c>
      <c r="E238" s="88">
        <v>-149.589625877</v>
      </c>
      <c r="F238" s="88">
        <v>767</v>
      </c>
      <c r="G238" s="88" t="s">
        <v>378</v>
      </c>
      <c r="H238" s="88" t="s">
        <v>820</v>
      </c>
      <c r="I238" s="88" t="s">
        <v>821</v>
      </c>
      <c r="J238" s="88" t="s">
        <v>393</v>
      </c>
      <c r="K238" s="88" t="s">
        <v>367</v>
      </c>
      <c r="L238" s="88" t="s">
        <v>767</v>
      </c>
      <c r="M238" s="94" t="str">
        <f t="shared" si="4"/>
        <v>View on Google Map</v>
      </c>
    </row>
    <row r="239" spans="1:13">
      <c r="A239" s="88">
        <v>181</v>
      </c>
      <c r="B239" s="88" t="s">
        <v>822</v>
      </c>
      <c r="C239" s="88" t="s">
        <v>367</v>
      </c>
      <c r="D239" s="88">
        <v>68.594916670000003</v>
      </c>
      <c r="E239" s="88">
        <v>-149.58631600000001</v>
      </c>
      <c r="F239" s="88">
        <v>754</v>
      </c>
      <c r="G239" s="88" t="s">
        <v>392</v>
      </c>
      <c r="H239" s="88" t="s">
        <v>823</v>
      </c>
      <c r="I239" s="88" t="s">
        <v>824</v>
      </c>
      <c r="J239" s="88" t="s">
        <v>393</v>
      </c>
      <c r="K239" s="88" t="s">
        <v>367</v>
      </c>
      <c r="L239" s="88" t="s">
        <v>782</v>
      </c>
      <c r="M239" s="94" t="str">
        <f t="shared" si="4"/>
        <v>View on Google Map</v>
      </c>
    </row>
    <row r="240" spans="1:13">
      <c r="A240" s="88">
        <v>180</v>
      </c>
      <c r="B240" s="88" t="s">
        <v>825</v>
      </c>
      <c r="C240" s="88" t="s">
        <v>367</v>
      </c>
      <c r="D240" s="88">
        <v>68.589087000000006</v>
      </c>
      <c r="E240" s="88">
        <v>-149.58921900000001</v>
      </c>
      <c r="F240" s="88">
        <v>767</v>
      </c>
      <c r="G240" s="88" t="s">
        <v>392</v>
      </c>
      <c r="H240" s="88" t="s">
        <v>826</v>
      </c>
      <c r="I240" s="88" t="s">
        <v>827</v>
      </c>
      <c r="J240" s="88" t="s">
        <v>393</v>
      </c>
      <c r="K240" s="88" t="s">
        <v>367</v>
      </c>
      <c r="L240" s="88" t="s">
        <v>782</v>
      </c>
      <c r="M240" s="94" t="str">
        <f t="shared" si="4"/>
        <v>View on Google Map</v>
      </c>
    </row>
    <row r="241" spans="1:13">
      <c r="A241" s="88">
        <v>116</v>
      </c>
      <c r="B241" s="88" t="s">
        <v>828</v>
      </c>
      <c r="C241" s="88" t="s">
        <v>367</v>
      </c>
      <c r="D241" s="88">
        <v>68.596592403900004</v>
      </c>
      <c r="E241" s="88">
        <v>-149.59264335</v>
      </c>
      <c r="F241" s="88">
        <v>754</v>
      </c>
      <c r="G241" s="88" t="s">
        <v>378</v>
      </c>
      <c r="H241" s="88" t="s">
        <v>829</v>
      </c>
      <c r="I241" s="88" t="s">
        <v>830</v>
      </c>
      <c r="J241" s="88" t="s">
        <v>393</v>
      </c>
      <c r="K241" s="88" t="s">
        <v>367</v>
      </c>
      <c r="L241" s="88" t="s">
        <v>767</v>
      </c>
      <c r="M241" s="94" t="str">
        <f t="shared" si="4"/>
        <v>View on Google Map</v>
      </c>
    </row>
    <row r="242" spans="1:13">
      <c r="A242" s="88">
        <v>431</v>
      </c>
      <c r="B242" s="88" t="s">
        <v>831</v>
      </c>
      <c r="C242" s="88" t="s">
        <v>367</v>
      </c>
      <c r="D242" s="88">
        <v>68.582061999999993</v>
      </c>
      <c r="E242" s="88">
        <v>-149.62293199999999</v>
      </c>
      <c r="F242" s="88">
        <v>806</v>
      </c>
      <c r="G242" s="88" t="s">
        <v>378</v>
      </c>
      <c r="H242" s="88" t="s">
        <v>832</v>
      </c>
      <c r="I242" s="88" t="s">
        <v>833</v>
      </c>
      <c r="J242" s="88" t="s">
        <v>393</v>
      </c>
      <c r="K242" s="88" t="s">
        <v>367</v>
      </c>
      <c r="L242" s="88" t="s">
        <v>767</v>
      </c>
      <c r="M242" s="94" t="str">
        <f t="shared" si="4"/>
        <v>View on Google Map</v>
      </c>
    </row>
    <row r="243" spans="1:13">
      <c r="A243" s="88">
        <v>444</v>
      </c>
      <c r="B243" s="88" t="s">
        <v>834</v>
      </c>
      <c r="C243" s="88" t="s">
        <v>367</v>
      </c>
      <c r="D243" s="88">
        <v>68.578643</v>
      </c>
      <c r="E243" s="88">
        <v>-149.62110200000001</v>
      </c>
      <c r="F243" s="88">
        <v>808</v>
      </c>
      <c r="G243" s="88" t="s">
        <v>392</v>
      </c>
      <c r="H243" s="88" t="s">
        <v>835</v>
      </c>
      <c r="I243" s="88" t="s">
        <v>836</v>
      </c>
      <c r="J243" s="88" t="s">
        <v>393</v>
      </c>
      <c r="K243" s="88" t="s">
        <v>367</v>
      </c>
      <c r="L243" s="88" t="s">
        <v>782</v>
      </c>
      <c r="M243" s="94" t="str">
        <f t="shared" si="4"/>
        <v>View on Google Map</v>
      </c>
    </row>
    <row r="244" spans="1:13">
      <c r="A244" s="88">
        <v>535</v>
      </c>
      <c r="B244" s="88" t="s">
        <v>837</v>
      </c>
      <c r="C244" s="88" t="s">
        <v>838</v>
      </c>
      <c r="D244" s="88">
        <v>68.585839000000007</v>
      </c>
      <c r="E244" s="88">
        <v>-149.62222299999999</v>
      </c>
      <c r="F244" s="88">
        <v>805</v>
      </c>
      <c r="G244" s="88" t="s">
        <v>392</v>
      </c>
      <c r="H244" s="88" t="s">
        <v>367</v>
      </c>
      <c r="I244" s="88" t="s">
        <v>367</v>
      </c>
      <c r="J244" s="88" t="s">
        <v>379</v>
      </c>
      <c r="K244" s="88" t="s">
        <v>367</v>
      </c>
      <c r="L244" s="88" t="s">
        <v>839</v>
      </c>
      <c r="M244" s="94" t="str">
        <f t="shared" si="4"/>
        <v>View on Google Map</v>
      </c>
    </row>
    <row r="245" spans="1:13">
      <c r="A245" s="88">
        <v>536</v>
      </c>
      <c r="B245" s="88" t="s">
        <v>840</v>
      </c>
      <c r="C245" s="88" t="s">
        <v>838</v>
      </c>
      <c r="D245" s="88">
        <v>68.591329999999999</v>
      </c>
      <c r="E245" s="88">
        <v>-149.61154199999999</v>
      </c>
      <c r="F245" s="88">
        <v>775</v>
      </c>
      <c r="G245" s="88" t="s">
        <v>392</v>
      </c>
      <c r="H245" s="88" t="s">
        <v>367</v>
      </c>
      <c r="I245" s="88" t="s">
        <v>367</v>
      </c>
      <c r="J245" s="88" t="s">
        <v>379</v>
      </c>
      <c r="K245" s="88" t="s">
        <v>367</v>
      </c>
      <c r="L245" s="88" t="s">
        <v>839</v>
      </c>
      <c r="M245" s="94" t="str">
        <f t="shared" si="4"/>
        <v>View on Google Map</v>
      </c>
    </row>
    <row r="246" spans="1:13">
      <c r="A246" s="88">
        <v>445</v>
      </c>
      <c r="B246" s="88" t="s">
        <v>841</v>
      </c>
      <c r="C246" s="88" t="s">
        <v>367</v>
      </c>
      <c r="D246" s="88">
        <v>68.583569999999995</v>
      </c>
      <c r="E246" s="88">
        <v>-149.62384</v>
      </c>
      <c r="F246" s="88">
        <v>808</v>
      </c>
      <c r="G246" s="88" t="s">
        <v>392</v>
      </c>
      <c r="H246" s="88" t="s">
        <v>842</v>
      </c>
      <c r="I246" s="88" t="s">
        <v>843</v>
      </c>
      <c r="J246" s="88" t="s">
        <v>393</v>
      </c>
      <c r="K246" s="88" t="s">
        <v>367</v>
      </c>
      <c r="L246" s="88" t="s">
        <v>782</v>
      </c>
      <c r="M246" s="94" t="str">
        <f t="shared" si="4"/>
        <v>View on Google Map</v>
      </c>
    </row>
    <row r="247" spans="1:13">
      <c r="A247" s="88">
        <v>182</v>
      </c>
      <c r="B247" s="88" t="s">
        <v>844</v>
      </c>
      <c r="C247" s="88" t="s">
        <v>367</v>
      </c>
      <c r="D247" s="88">
        <v>68.596883329999997</v>
      </c>
      <c r="E247" s="88">
        <v>-149.60124999999999</v>
      </c>
      <c r="F247" s="88">
        <v>754</v>
      </c>
      <c r="G247" s="88" t="s">
        <v>392</v>
      </c>
      <c r="H247" s="88" t="s">
        <v>845</v>
      </c>
      <c r="I247" s="88" t="s">
        <v>846</v>
      </c>
      <c r="J247" s="88" t="s">
        <v>393</v>
      </c>
      <c r="K247" s="88" t="s">
        <v>367</v>
      </c>
      <c r="L247" s="88" t="s">
        <v>782</v>
      </c>
      <c r="M247" s="94" t="str">
        <f t="shared" si="4"/>
        <v>View on Google Map</v>
      </c>
    </row>
    <row r="248" spans="1:13">
      <c r="A248" s="88">
        <v>183</v>
      </c>
      <c r="B248" s="88" t="s">
        <v>847</v>
      </c>
      <c r="C248" s="88" t="s">
        <v>367</v>
      </c>
      <c r="D248" s="88">
        <v>68.598684000000006</v>
      </c>
      <c r="E248" s="88">
        <v>-149.599853</v>
      </c>
      <c r="F248" s="88">
        <v>754</v>
      </c>
      <c r="G248" s="88" t="s">
        <v>392</v>
      </c>
      <c r="H248" s="88" t="s">
        <v>848</v>
      </c>
      <c r="I248" s="88" t="s">
        <v>849</v>
      </c>
      <c r="J248" s="88" t="s">
        <v>393</v>
      </c>
      <c r="K248" s="88" t="s">
        <v>367</v>
      </c>
      <c r="L248" s="88" t="s">
        <v>782</v>
      </c>
      <c r="M248" s="94" t="str">
        <f t="shared" si="4"/>
        <v>View on Google Map</v>
      </c>
    </row>
    <row r="249" spans="1:13">
      <c r="A249" s="88">
        <v>117</v>
      </c>
      <c r="B249" s="88" t="s">
        <v>850</v>
      </c>
      <c r="C249" s="88" t="s">
        <v>367</v>
      </c>
      <c r="D249" s="88">
        <v>68.600874798199996</v>
      </c>
      <c r="E249" s="88">
        <v>-149.596582063</v>
      </c>
      <c r="F249" s="88">
        <v>742</v>
      </c>
      <c r="G249" s="88" t="s">
        <v>378</v>
      </c>
      <c r="H249" s="88" t="s">
        <v>851</v>
      </c>
      <c r="I249" s="88" t="s">
        <v>852</v>
      </c>
      <c r="J249" s="88" t="s">
        <v>393</v>
      </c>
      <c r="K249" s="88" t="s">
        <v>367</v>
      </c>
      <c r="L249" s="88" t="s">
        <v>767</v>
      </c>
      <c r="M249" s="94" t="str">
        <f t="shared" si="4"/>
        <v>View on Google Map</v>
      </c>
    </row>
    <row r="250" spans="1:13">
      <c r="A250" s="88">
        <v>187</v>
      </c>
      <c r="B250" s="88" t="s">
        <v>853</v>
      </c>
      <c r="C250" s="88" t="s">
        <v>367</v>
      </c>
      <c r="D250" s="88">
        <v>68.618183329999994</v>
      </c>
      <c r="E250" s="88">
        <v>-149.596766</v>
      </c>
      <c r="F250" s="88">
        <v>728</v>
      </c>
      <c r="G250" s="88" t="s">
        <v>392</v>
      </c>
      <c r="H250" s="88" t="s">
        <v>854</v>
      </c>
      <c r="I250" s="88" t="s">
        <v>855</v>
      </c>
      <c r="J250" s="88" t="s">
        <v>393</v>
      </c>
      <c r="K250" s="88" t="s">
        <v>367</v>
      </c>
      <c r="L250" s="88" t="s">
        <v>782</v>
      </c>
      <c r="M250" s="94" t="str">
        <f t="shared" si="4"/>
        <v>View on Google Map</v>
      </c>
    </row>
    <row r="251" spans="1:13">
      <c r="A251" s="88">
        <v>184</v>
      </c>
      <c r="B251" s="88" t="s">
        <v>856</v>
      </c>
      <c r="C251" s="88" t="s">
        <v>367</v>
      </c>
      <c r="D251" s="88">
        <v>68.601830000000007</v>
      </c>
      <c r="E251" s="88">
        <v>-149.59671299999999</v>
      </c>
      <c r="F251" s="88">
        <v>742</v>
      </c>
      <c r="G251" s="88" t="s">
        <v>392</v>
      </c>
      <c r="H251" s="88" t="s">
        <v>857</v>
      </c>
      <c r="I251" s="88" t="s">
        <v>858</v>
      </c>
      <c r="J251" s="88" t="s">
        <v>393</v>
      </c>
      <c r="K251" s="88" t="s">
        <v>367</v>
      </c>
      <c r="L251" s="88" t="s">
        <v>782</v>
      </c>
      <c r="M251" s="94" t="str">
        <f t="shared" si="4"/>
        <v>View on Google Map</v>
      </c>
    </row>
    <row r="252" spans="1:13">
      <c r="A252" s="88">
        <v>118</v>
      </c>
      <c r="B252" s="88" t="s">
        <v>859</v>
      </c>
      <c r="C252" s="88" t="s">
        <v>367</v>
      </c>
      <c r="D252" s="88">
        <v>68.6101575207</v>
      </c>
      <c r="E252" s="88">
        <v>-149.582211513</v>
      </c>
      <c r="F252" s="88">
        <v>744</v>
      </c>
      <c r="G252" s="88" t="s">
        <v>378</v>
      </c>
      <c r="H252" s="88" t="s">
        <v>860</v>
      </c>
      <c r="I252" s="88" t="s">
        <v>861</v>
      </c>
      <c r="J252" s="88" t="s">
        <v>393</v>
      </c>
      <c r="K252" s="88" t="s">
        <v>367</v>
      </c>
      <c r="L252" s="88" t="s">
        <v>767</v>
      </c>
      <c r="M252" s="94" t="str">
        <f t="shared" si="4"/>
        <v>View on Google Map</v>
      </c>
    </row>
    <row r="253" spans="1:13">
      <c r="A253" s="88">
        <v>172</v>
      </c>
      <c r="B253" s="88" t="s">
        <v>862</v>
      </c>
      <c r="C253" s="88" t="s">
        <v>367</v>
      </c>
      <c r="D253" s="88">
        <v>68.573666666666668</v>
      </c>
      <c r="E253" s="88">
        <v>-149.53716666666699</v>
      </c>
      <c r="F253" s="88">
        <v>808</v>
      </c>
      <c r="G253" s="88" t="s">
        <v>392</v>
      </c>
      <c r="H253" s="88" t="s">
        <v>863</v>
      </c>
      <c r="I253" s="88" t="s">
        <v>864</v>
      </c>
      <c r="J253" s="88" t="s">
        <v>393</v>
      </c>
      <c r="K253" s="88" t="s">
        <v>367</v>
      </c>
      <c r="L253" s="88" t="s">
        <v>782</v>
      </c>
      <c r="M253" s="94" t="str">
        <f t="shared" si="4"/>
        <v>View on Google Map</v>
      </c>
    </row>
    <row r="254" spans="1:13">
      <c r="A254" s="88">
        <v>533</v>
      </c>
      <c r="B254" s="88" t="s">
        <v>865</v>
      </c>
      <c r="C254" s="88" t="s">
        <v>838</v>
      </c>
      <c r="D254" s="88">
        <v>68.599999999999994</v>
      </c>
      <c r="E254" s="88">
        <v>-149.57599999999999</v>
      </c>
      <c r="F254" s="88">
        <v>762</v>
      </c>
      <c r="G254" s="88" t="s">
        <v>392</v>
      </c>
      <c r="H254" s="88" t="s">
        <v>367</v>
      </c>
      <c r="I254" s="88" t="s">
        <v>367</v>
      </c>
      <c r="J254" s="88" t="s">
        <v>379</v>
      </c>
      <c r="K254" s="88" t="s">
        <v>367</v>
      </c>
      <c r="L254" s="88" t="s">
        <v>839</v>
      </c>
      <c r="M254" s="94" t="str">
        <f t="shared" si="4"/>
        <v>View on Google Map</v>
      </c>
    </row>
    <row r="255" spans="1:13">
      <c r="A255" s="88">
        <v>534</v>
      </c>
      <c r="B255" s="88" t="s">
        <v>866</v>
      </c>
      <c r="C255" s="88" t="s">
        <v>838</v>
      </c>
      <c r="D255" s="88">
        <v>68.601493000000005</v>
      </c>
      <c r="E255" s="88">
        <v>-149.579071</v>
      </c>
      <c r="F255" s="88">
        <v>760</v>
      </c>
      <c r="G255" s="88" t="s">
        <v>392</v>
      </c>
      <c r="H255" s="88" t="s">
        <v>367</v>
      </c>
      <c r="I255" s="88" t="s">
        <v>367</v>
      </c>
      <c r="J255" s="88" t="s">
        <v>379</v>
      </c>
      <c r="K255" s="88" t="s">
        <v>367</v>
      </c>
      <c r="L255" s="88" t="s">
        <v>839</v>
      </c>
      <c r="M255" s="94" t="str">
        <f t="shared" si="4"/>
        <v>View on Google Map</v>
      </c>
    </row>
    <row r="256" spans="1:13">
      <c r="A256" s="88">
        <v>185</v>
      </c>
      <c r="B256" s="88" t="s">
        <v>867</v>
      </c>
      <c r="C256" s="88" t="s">
        <v>367</v>
      </c>
      <c r="D256" s="88">
        <v>68.60853333</v>
      </c>
      <c r="E256" s="88">
        <v>-149.58763300000001</v>
      </c>
      <c r="F256" s="88">
        <v>744</v>
      </c>
      <c r="G256" s="88" t="s">
        <v>392</v>
      </c>
      <c r="H256" s="88" t="s">
        <v>868</v>
      </c>
      <c r="I256" s="88" t="s">
        <v>869</v>
      </c>
      <c r="J256" s="88" t="s">
        <v>393</v>
      </c>
      <c r="K256" s="88" t="s">
        <v>367</v>
      </c>
      <c r="L256" s="88" t="s">
        <v>782</v>
      </c>
      <c r="M256" s="94" t="str">
        <f t="shared" si="4"/>
        <v>View on Google Map</v>
      </c>
    </row>
    <row r="257" spans="1:13">
      <c r="A257" s="88">
        <v>547</v>
      </c>
      <c r="B257" s="88" t="s">
        <v>870</v>
      </c>
      <c r="C257" s="88" t="s">
        <v>871</v>
      </c>
      <c r="D257" s="88">
        <v>68.611012000000002</v>
      </c>
      <c r="E257" s="88">
        <v>-149.57365200000001</v>
      </c>
      <c r="F257" s="88">
        <v>744</v>
      </c>
      <c r="G257" s="88" t="s">
        <v>392</v>
      </c>
      <c r="H257" s="88" t="s">
        <v>367</v>
      </c>
      <c r="I257" s="88" t="s">
        <v>367</v>
      </c>
      <c r="J257" s="88" t="s">
        <v>872</v>
      </c>
      <c r="K257" s="88" t="s">
        <v>367</v>
      </c>
      <c r="L257" s="88" t="s">
        <v>873</v>
      </c>
      <c r="M257" s="94" t="str">
        <f t="shared" si="4"/>
        <v>View on Google Map</v>
      </c>
    </row>
    <row r="258" spans="1:13">
      <c r="A258" s="88">
        <v>548</v>
      </c>
      <c r="B258" s="88" t="s">
        <v>874</v>
      </c>
      <c r="C258" s="88" t="s">
        <v>871</v>
      </c>
      <c r="D258" s="88">
        <v>68.612117999999995</v>
      </c>
      <c r="E258" s="88">
        <v>-149.576359</v>
      </c>
      <c r="F258" s="88">
        <v>744</v>
      </c>
      <c r="G258" s="88" t="s">
        <v>392</v>
      </c>
      <c r="H258" s="88" t="s">
        <v>367</v>
      </c>
      <c r="I258" s="88" t="s">
        <v>367</v>
      </c>
      <c r="J258" s="88" t="s">
        <v>872</v>
      </c>
      <c r="K258" s="88" t="s">
        <v>367</v>
      </c>
      <c r="L258" s="88" t="s">
        <v>873</v>
      </c>
      <c r="M258" s="94" t="str">
        <f t="shared" si="4"/>
        <v>View on Google Map</v>
      </c>
    </row>
    <row r="259" spans="1:13">
      <c r="A259" s="88">
        <v>546</v>
      </c>
      <c r="B259" s="88" t="s">
        <v>875</v>
      </c>
      <c r="C259" s="88" t="s">
        <v>871</v>
      </c>
      <c r="D259" s="88">
        <v>68.608949999999993</v>
      </c>
      <c r="E259" s="88">
        <v>-149.57907399999999</v>
      </c>
      <c r="F259" s="88">
        <v>744</v>
      </c>
      <c r="G259" s="88" t="s">
        <v>392</v>
      </c>
      <c r="H259" s="88" t="s">
        <v>367</v>
      </c>
      <c r="I259" s="88" t="s">
        <v>367</v>
      </c>
      <c r="J259" s="88" t="s">
        <v>872</v>
      </c>
      <c r="K259" s="88" t="s">
        <v>367</v>
      </c>
      <c r="L259" s="88" t="s">
        <v>873</v>
      </c>
      <c r="M259" s="94" t="str">
        <f t="shared" ref="M259:M322" si="5">HYPERLINK("http://maps.google.com/maps?q="&amp;D259&amp;","&amp;E259,"View on Google Map")</f>
        <v>View on Google Map</v>
      </c>
    </row>
    <row r="260" spans="1:13">
      <c r="A260" s="88">
        <v>545</v>
      </c>
      <c r="B260" s="88" t="s">
        <v>876</v>
      </c>
      <c r="C260" s="88" t="s">
        <v>871</v>
      </c>
      <c r="D260" s="88">
        <v>68.609307999999999</v>
      </c>
      <c r="E260" s="88">
        <v>-149.57375200000001</v>
      </c>
      <c r="F260" s="88">
        <v>744</v>
      </c>
      <c r="G260" s="88" t="s">
        <v>392</v>
      </c>
      <c r="H260" s="88" t="s">
        <v>367</v>
      </c>
      <c r="I260" s="88" t="s">
        <v>367</v>
      </c>
      <c r="J260" s="88" t="s">
        <v>872</v>
      </c>
      <c r="K260" s="88" t="s">
        <v>367</v>
      </c>
      <c r="L260" s="88" t="s">
        <v>873</v>
      </c>
      <c r="M260" s="94" t="str">
        <f t="shared" si="5"/>
        <v>View on Google Map</v>
      </c>
    </row>
    <row r="261" spans="1:13">
      <c r="A261" s="88">
        <v>549</v>
      </c>
      <c r="B261" s="88" t="s">
        <v>877</v>
      </c>
      <c r="C261" s="88" t="s">
        <v>367</v>
      </c>
      <c r="D261" s="88" t="s">
        <v>367</v>
      </c>
      <c r="E261" s="88" t="s">
        <v>367</v>
      </c>
      <c r="F261" s="88" t="s">
        <v>367</v>
      </c>
      <c r="G261" s="88" t="s">
        <v>392</v>
      </c>
      <c r="H261" s="88" t="s">
        <v>367</v>
      </c>
      <c r="I261" s="88" t="s">
        <v>367</v>
      </c>
      <c r="J261" s="88" t="s">
        <v>379</v>
      </c>
      <c r="K261" s="88" t="s">
        <v>367</v>
      </c>
      <c r="L261" s="88" t="s">
        <v>878</v>
      </c>
      <c r="M261" s="94" t="str">
        <f t="shared" si="5"/>
        <v>View on Google Map</v>
      </c>
    </row>
    <row r="262" spans="1:13">
      <c r="A262" s="88">
        <v>188</v>
      </c>
      <c r="B262" s="88" t="s">
        <v>879</v>
      </c>
      <c r="C262" s="88" t="s">
        <v>367</v>
      </c>
      <c r="D262" s="88">
        <v>68.61838333</v>
      </c>
      <c r="E262" s="88">
        <v>-149.59649999999999</v>
      </c>
      <c r="F262" s="88">
        <v>728</v>
      </c>
      <c r="G262" s="88" t="s">
        <v>392</v>
      </c>
      <c r="H262" s="88" t="s">
        <v>880</v>
      </c>
      <c r="I262" s="88" t="s">
        <v>881</v>
      </c>
      <c r="J262" s="88" t="s">
        <v>393</v>
      </c>
      <c r="K262" s="88" t="s">
        <v>367</v>
      </c>
      <c r="L262" s="88" t="s">
        <v>782</v>
      </c>
      <c r="M262" s="94" t="str">
        <f t="shared" si="5"/>
        <v>View on Google Map</v>
      </c>
    </row>
    <row r="263" spans="1:13">
      <c r="A263" s="88">
        <v>541</v>
      </c>
      <c r="B263" s="88" t="s">
        <v>882</v>
      </c>
      <c r="C263" s="88" t="s">
        <v>871</v>
      </c>
      <c r="D263" s="88">
        <v>68.609846000000005</v>
      </c>
      <c r="E263" s="88">
        <v>-149.58295100000001</v>
      </c>
      <c r="F263" s="88">
        <v>744</v>
      </c>
      <c r="G263" s="88" t="s">
        <v>378</v>
      </c>
      <c r="H263" s="88" t="s">
        <v>367</v>
      </c>
      <c r="I263" s="88" t="s">
        <v>367</v>
      </c>
      <c r="J263" s="88" t="s">
        <v>872</v>
      </c>
      <c r="K263" s="88" t="s">
        <v>367</v>
      </c>
      <c r="L263" s="88" t="s">
        <v>873</v>
      </c>
      <c r="M263" s="94" t="str">
        <f t="shared" si="5"/>
        <v>View on Google Map</v>
      </c>
    </row>
    <row r="264" spans="1:13">
      <c r="A264" s="88">
        <v>539</v>
      </c>
      <c r="B264" s="88" t="s">
        <v>883</v>
      </c>
      <c r="C264" s="88" t="s">
        <v>871</v>
      </c>
      <c r="D264" s="88">
        <v>68.610575999999995</v>
      </c>
      <c r="E264" s="88">
        <v>-149.576018</v>
      </c>
      <c r="F264" s="88">
        <v>744</v>
      </c>
      <c r="G264" s="88" t="s">
        <v>378</v>
      </c>
      <c r="H264" s="88" t="s">
        <v>367</v>
      </c>
      <c r="I264" s="88" t="s">
        <v>367</v>
      </c>
      <c r="J264" s="88" t="s">
        <v>872</v>
      </c>
      <c r="K264" s="88" t="s">
        <v>367</v>
      </c>
      <c r="L264" s="88" t="s">
        <v>873</v>
      </c>
      <c r="M264" s="94" t="str">
        <f t="shared" si="5"/>
        <v>View on Google Map</v>
      </c>
    </row>
    <row r="265" spans="1:13">
      <c r="A265" s="88">
        <v>538</v>
      </c>
      <c r="B265" s="88" t="s">
        <v>884</v>
      </c>
      <c r="C265" s="88" t="s">
        <v>871</v>
      </c>
      <c r="D265" s="88">
        <v>68.610889</v>
      </c>
      <c r="E265" s="88">
        <v>-149.576108</v>
      </c>
      <c r="F265" s="88">
        <v>744</v>
      </c>
      <c r="G265" s="88" t="s">
        <v>392</v>
      </c>
      <c r="H265" s="88" t="s">
        <v>367</v>
      </c>
      <c r="I265" s="88" t="s">
        <v>367</v>
      </c>
      <c r="J265" s="88" t="s">
        <v>872</v>
      </c>
      <c r="K265" s="88" t="s">
        <v>367</v>
      </c>
      <c r="L265" s="88" t="s">
        <v>873</v>
      </c>
      <c r="M265" s="94" t="str">
        <f t="shared" si="5"/>
        <v>View on Google Map</v>
      </c>
    </row>
    <row r="266" spans="1:13">
      <c r="A266" s="88">
        <v>544</v>
      </c>
      <c r="B266" s="88" t="s">
        <v>885</v>
      </c>
      <c r="C266" s="88" t="s">
        <v>871</v>
      </c>
      <c r="D266" s="88">
        <v>68.610529</v>
      </c>
      <c r="E266" s="88">
        <v>-149.58864199999999</v>
      </c>
      <c r="F266" s="88">
        <v>744</v>
      </c>
      <c r="G266" s="88" t="s">
        <v>378</v>
      </c>
      <c r="H266" s="88" t="s">
        <v>367</v>
      </c>
      <c r="I266" s="88" t="s">
        <v>367</v>
      </c>
      <c r="J266" s="88" t="s">
        <v>872</v>
      </c>
      <c r="K266" s="88" t="s">
        <v>367</v>
      </c>
      <c r="L266" s="88" t="s">
        <v>873</v>
      </c>
      <c r="M266" s="94" t="str">
        <f t="shared" si="5"/>
        <v>View on Google Map</v>
      </c>
    </row>
    <row r="267" spans="1:13">
      <c r="A267" s="88">
        <v>540</v>
      </c>
      <c r="B267" s="88" t="s">
        <v>886</v>
      </c>
      <c r="C267" s="88" t="s">
        <v>871</v>
      </c>
      <c r="D267" s="88">
        <v>68.609842</v>
      </c>
      <c r="E267" s="88">
        <v>-149.575346</v>
      </c>
      <c r="F267" s="88">
        <v>744</v>
      </c>
      <c r="G267" s="88" t="s">
        <v>378</v>
      </c>
      <c r="H267" s="88" t="s">
        <v>367</v>
      </c>
      <c r="I267" s="88" t="s">
        <v>367</v>
      </c>
      <c r="J267" s="88" t="s">
        <v>872</v>
      </c>
      <c r="K267" s="88" t="s">
        <v>367</v>
      </c>
      <c r="L267" s="88" t="s">
        <v>873</v>
      </c>
      <c r="M267" s="94" t="str">
        <f t="shared" si="5"/>
        <v>View on Google Map</v>
      </c>
    </row>
    <row r="268" spans="1:13">
      <c r="A268" s="88">
        <v>542</v>
      </c>
      <c r="B268" s="88" t="s">
        <v>887</v>
      </c>
      <c r="C268" s="88" t="s">
        <v>871</v>
      </c>
      <c r="D268" s="88">
        <v>68.609202999999994</v>
      </c>
      <c r="E268" s="88">
        <v>-149.588257</v>
      </c>
      <c r="F268" s="88">
        <v>744</v>
      </c>
      <c r="G268" s="88" t="s">
        <v>378</v>
      </c>
      <c r="H268" s="88" t="s">
        <v>367</v>
      </c>
      <c r="I268" s="88" t="s">
        <v>367</v>
      </c>
      <c r="J268" s="88" t="s">
        <v>872</v>
      </c>
      <c r="K268" s="88" t="s">
        <v>367</v>
      </c>
      <c r="L268" s="88" t="s">
        <v>873</v>
      </c>
      <c r="M268" s="94" t="str">
        <f t="shared" si="5"/>
        <v>View on Google Map</v>
      </c>
    </row>
    <row r="269" spans="1:13">
      <c r="A269" s="88">
        <v>543</v>
      </c>
      <c r="B269" s="88" t="s">
        <v>888</v>
      </c>
      <c r="C269" s="88" t="s">
        <v>871</v>
      </c>
      <c r="D269" s="88">
        <v>68.610028</v>
      </c>
      <c r="E269" s="88">
        <v>-149.588391</v>
      </c>
      <c r="F269" s="88">
        <v>744</v>
      </c>
      <c r="G269" s="88" t="s">
        <v>378</v>
      </c>
      <c r="H269" s="88" t="s">
        <v>367</v>
      </c>
      <c r="I269" s="88" t="s">
        <v>367</v>
      </c>
      <c r="J269" s="88" t="s">
        <v>872</v>
      </c>
      <c r="K269" s="88" t="s">
        <v>367</v>
      </c>
      <c r="L269" s="88" t="s">
        <v>873</v>
      </c>
      <c r="M269" s="94" t="str">
        <f t="shared" si="5"/>
        <v>View on Google Map</v>
      </c>
    </row>
    <row r="270" spans="1:13">
      <c r="A270" s="88">
        <v>537</v>
      </c>
      <c r="B270" s="88" t="s">
        <v>889</v>
      </c>
      <c r="C270" s="88" t="s">
        <v>871</v>
      </c>
      <c r="D270" s="88">
        <v>68.611514</v>
      </c>
      <c r="E270" s="88">
        <v>-149.577617</v>
      </c>
      <c r="F270" s="88">
        <v>744</v>
      </c>
      <c r="G270" s="88" t="s">
        <v>392</v>
      </c>
      <c r="H270" s="88" t="s">
        <v>367</v>
      </c>
      <c r="I270" s="88" t="s">
        <v>367</v>
      </c>
      <c r="J270" s="88" t="s">
        <v>872</v>
      </c>
      <c r="K270" s="88" t="s">
        <v>367</v>
      </c>
      <c r="L270" s="88" t="s">
        <v>873</v>
      </c>
      <c r="M270" s="94" t="str">
        <f t="shared" si="5"/>
        <v>View on Google Map</v>
      </c>
    </row>
    <row r="271" spans="1:13">
      <c r="A271" s="88">
        <v>15</v>
      </c>
      <c r="B271" s="88" t="s">
        <v>890</v>
      </c>
      <c r="C271" s="88" t="s">
        <v>367</v>
      </c>
      <c r="D271" s="88" t="s">
        <v>367</v>
      </c>
      <c r="E271" s="88" t="s">
        <v>367</v>
      </c>
      <c r="F271" s="88">
        <v>744</v>
      </c>
      <c r="G271" s="88" t="s">
        <v>392</v>
      </c>
      <c r="H271" s="88" t="s">
        <v>891</v>
      </c>
      <c r="I271" s="88" t="s">
        <v>892</v>
      </c>
      <c r="J271" s="88" t="s">
        <v>393</v>
      </c>
      <c r="K271" s="88">
        <v>186</v>
      </c>
      <c r="L271" s="88" t="s">
        <v>367</v>
      </c>
      <c r="M271" s="94" t="str">
        <f t="shared" si="5"/>
        <v>View on Google Map</v>
      </c>
    </row>
    <row r="272" spans="1:13">
      <c r="A272" s="88">
        <v>305</v>
      </c>
      <c r="B272" s="88" t="s">
        <v>893</v>
      </c>
      <c r="C272" s="88" t="s">
        <v>894</v>
      </c>
      <c r="D272" s="88" t="s">
        <v>367</v>
      </c>
      <c r="E272" s="88" t="s">
        <v>367</v>
      </c>
      <c r="F272" s="88" t="s">
        <v>367</v>
      </c>
      <c r="G272" s="88" t="s">
        <v>392</v>
      </c>
      <c r="H272" s="88" t="s">
        <v>895</v>
      </c>
      <c r="I272" s="88" t="s">
        <v>896</v>
      </c>
      <c r="J272" s="88" t="s">
        <v>393</v>
      </c>
      <c r="K272" s="88" t="s">
        <v>367</v>
      </c>
      <c r="L272" s="88" t="s">
        <v>782</v>
      </c>
      <c r="M272" s="94" t="str">
        <f t="shared" si="5"/>
        <v>View on Google Map</v>
      </c>
    </row>
    <row r="273" spans="1:13">
      <c r="A273" s="88">
        <v>119</v>
      </c>
      <c r="B273" s="88" t="s">
        <v>897</v>
      </c>
      <c r="C273" s="88" t="s">
        <v>367</v>
      </c>
      <c r="D273" s="88">
        <v>68.618964513199998</v>
      </c>
      <c r="E273" s="88">
        <v>-149.59549733099999</v>
      </c>
      <c r="F273" s="88">
        <v>728</v>
      </c>
      <c r="G273" s="88" t="s">
        <v>378</v>
      </c>
      <c r="H273" s="88" t="s">
        <v>898</v>
      </c>
      <c r="I273" s="88" t="s">
        <v>899</v>
      </c>
      <c r="J273" s="88" t="s">
        <v>393</v>
      </c>
      <c r="K273" s="88" t="s">
        <v>367</v>
      </c>
      <c r="L273" s="88" t="s">
        <v>767</v>
      </c>
      <c r="M273" s="94" t="str">
        <f t="shared" si="5"/>
        <v>View on Google Map</v>
      </c>
    </row>
    <row r="274" spans="1:13">
      <c r="A274" s="88">
        <v>244</v>
      </c>
      <c r="B274" s="88" t="s">
        <v>900</v>
      </c>
      <c r="C274" s="88" t="s">
        <v>367</v>
      </c>
      <c r="D274" s="88">
        <v>68.619383330000005</v>
      </c>
      <c r="E274" s="88">
        <v>-149.59528299999999</v>
      </c>
      <c r="F274" s="88">
        <v>728</v>
      </c>
      <c r="G274" s="88" t="s">
        <v>392</v>
      </c>
      <c r="H274" s="88" t="s">
        <v>901</v>
      </c>
      <c r="I274" s="88" t="s">
        <v>902</v>
      </c>
      <c r="J274" s="88" t="s">
        <v>393</v>
      </c>
      <c r="K274" s="88" t="s">
        <v>367</v>
      </c>
      <c r="L274" s="88" t="s">
        <v>782</v>
      </c>
      <c r="M274" s="94" t="str">
        <f t="shared" si="5"/>
        <v>View on Google Map</v>
      </c>
    </row>
    <row r="275" spans="1:13">
      <c r="B275" s="88" t="s">
        <v>903</v>
      </c>
      <c r="C275" s="88" t="s">
        <v>764</v>
      </c>
      <c r="D275" s="88">
        <v>68.544377999999995</v>
      </c>
      <c r="E275" s="88">
        <v>-149.521467</v>
      </c>
      <c r="G275" s="88" t="s">
        <v>904</v>
      </c>
      <c r="J275" s="13" t="s">
        <v>393</v>
      </c>
      <c r="M275" s="94" t="str">
        <f t="shared" si="5"/>
        <v>View on Google Map</v>
      </c>
    </row>
    <row r="276" spans="1:13">
      <c r="B276" s="88" t="s">
        <v>905</v>
      </c>
      <c r="C276" s="88" t="s">
        <v>764</v>
      </c>
      <c r="D276" s="88">
        <v>68.548204999999996</v>
      </c>
      <c r="E276" s="88">
        <v>-149.52195</v>
      </c>
      <c r="G276" s="88" t="s">
        <v>904</v>
      </c>
      <c r="J276" s="13" t="s">
        <v>393</v>
      </c>
      <c r="M276" s="94" t="str">
        <f t="shared" si="5"/>
        <v>View on Google Map</v>
      </c>
    </row>
    <row r="277" spans="1:13">
      <c r="B277" s="88" t="s">
        <v>906</v>
      </c>
      <c r="C277" s="88" t="s">
        <v>764</v>
      </c>
      <c r="D277" s="88">
        <v>68.548062999999999</v>
      </c>
      <c r="E277" s="88">
        <v>-149.521309</v>
      </c>
      <c r="G277" s="88" t="s">
        <v>904</v>
      </c>
      <c r="J277" s="13" t="s">
        <v>393</v>
      </c>
      <c r="M277" s="94" t="str">
        <f t="shared" si="5"/>
        <v>View on Google Map</v>
      </c>
    </row>
    <row r="278" spans="1:13">
      <c r="B278" s="88" t="s">
        <v>907</v>
      </c>
      <c r="C278" s="88" t="s">
        <v>764</v>
      </c>
      <c r="D278" s="88">
        <v>68.544113999999993</v>
      </c>
      <c r="E278" s="88">
        <v>-149.52220800000001</v>
      </c>
      <c r="G278" s="88" t="s">
        <v>904</v>
      </c>
      <c r="J278" s="13" t="s">
        <v>393</v>
      </c>
      <c r="M278" s="94" t="str">
        <f t="shared" si="5"/>
        <v>View on Google Map</v>
      </c>
    </row>
    <row r="279" spans="1:13">
      <c r="B279" s="88" t="s">
        <v>908</v>
      </c>
      <c r="C279" s="88" t="s">
        <v>764</v>
      </c>
      <c r="D279" s="88">
        <v>68.547873999999993</v>
      </c>
      <c r="E279" s="88">
        <v>-149.52158900000001</v>
      </c>
      <c r="G279" s="88" t="s">
        <v>904</v>
      </c>
      <c r="J279" s="13" t="s">
        <v>393</v>
      </c>
      <c r="M279" s="94" t="str">
        <f t="shared" si="5"/>
        <v>View on Google Map</v>
      </c>
    </row>
    <row r="280" spans="1:13">
      <c r="B280" s="88" t="s">
        <v>909</v>
      </c>
      <c r="C280" s="88" t="s">
        <v>764</v>
      </c>
      <c r="D280" s="88">
        <v>68.616620304999998</v>
      </c>
      <c r="E280" s="88">
        <v>-149.31797396100001</v>
      </c>
      <c r="F280" s="88">
        <v>880.55700000000002</v>
      </c>
      <c r="G280" s="88" t="s">
        <v>904</v>
      </c>
      <c r="J280" s="13" t="s">
        <v>393</v>
      </c>
      <c r="M280" s="94" t="str">
        <f t="shared" si="5"/>
        <v>View on Google Map</v>
      </c>
    </row>
    <row r="281" spans="1:13">
      <c r="B281" s="88" t="s">
        <v>910</v>
      </c>
      <c r="C281" s="88" t="s">
        <v>764</v>
      </c>
      <c r="D281" s="88">
        <v>68.618287679000005</v>
      </c>
      <c r="E281" s="88">
        <v>-149.318578011</v>
      </c>
      <c r="F281" s="88">
        <v>877.59500000000003</v>
      </c>
      <c r="G281" s="88" t="s">
        <v>904</v>
      </c>
      <c r="J281" s="13" t="s">
        <v>393</v>
      </c>
      <c r="M281" s="94" t="str">
        <f t="shared" si="5"/>
        <v>View on Google Map</v>
      </c>
    </row>
    <row r="282" spans="1:13">
      <c r="B282" s="88" t="s">
        <v>911</v>
      </c>
      <c r="C282" s="88" t="s">
        <v>764</v>
      </c>
      <c r="D282" s="88">
        <v>68.619548409999993</v>
      </c>
      <c r="E282" s="88">
        <v>-149.31832187699999</v>
      </c>
      <c r="F282" s="88">
        <v>875.59299999999996</v>
      </c>
      <c r="G282" s="88" t="s">
        <v>904</v>
      </c>
      <c r="J282" s="13" t="s">
        <v>393</v>
      </c>
      <c r="M282" s="94" t="str">
        <f t="shared" si="5"/>
        <v>View on Google Map</v>
      </c>
    </row>
    <row r="283" spans="1:13">
      <c r="B283" s="88" t="s">
        <v>912</v>
      </c>
      <c r="C283" s="88" t="s">
        <v>764</v>
      </c>
      <c r="D283" s="88">
        <v>68.621317497999996</v>
      </c>
      <c r="E283" s="88">
        <v>-149.31921364300001</v>
      </c>
      <c r="F283" s="88">
        <v>874.15200000000004</v>
      </c>
      <c r="G283" s="88" t="s">
        <v>904</v>
      </c>
      <c r="J283" s="13" t="s">
        <v>393</v>
      </c>
      <c r="M283" s="94" t="str">
        <f t="shared" si="5"/>
        <v>View on Google Map</v>
      </c>
    </row>
    <row r="284" spans="1:13">
      <c r="A284" s="88">
        <v>11</v>
      </c>
      <c r="B284" s="88" t="s">
        <v>913</v>
      </c>
      <c r="C284" s="88" t="s">
        <v>367</v>
      </c>
      <c r="D284" s="88" t="s">
        <v>367</v>
      </c>
      <c r="E284" s="88" t="s">
        <v>367</v>
      </c>
      <c r="F284" s="88">
        <v>884</v>
      </c>
      <c r="G284" s="88" t="s">
        <v>392</v>
      </c>
      <c r="H284" s="88" t="s">
        <v>914</v>
      </c>
      <c r="I284" s="88" t="s">
        <v>915</v>
      </c>
      <c r="J284" s="88" t="s">
        <v>393</v>
      </c>
      <c r="K284" s="88" t="s">
        <v>367</v>
      </c>
      <c r="L284" s="88" t="s">
        <v>367</v>
      </c>
      <c r="M284" s="94" t="str">
        <f t="shared" si="5"/>
        <v>View on Google Map</v>
      </c>
    </row>
    <row r="285" spans="1:13">
      <c r="B285" s="88" t="s">
        <v>916</v>
      </c>
      <c r="C285" s="88" t="s">
        <v>764</v>
      </c>
      <c r="D285" s="88">
        <v>68.625256622999999</v>
      </c>
      <c r="E285" s="88">
        <v>-149.32463380199999</v>
      </c>
      <c r="F285" s="88">
        <v>862.80799999999999</v>
      </c>
      <c r="G285" s="88" t="s">
        <v>904</v>
      </c>
      <c r="J285" s="13" t="s">
        <v>393</v>
      </c>
      <c r="M285" s="94" t="str">
        <f t="shared" si="5"/>
        <v>View on Google Map</v>
      </c>
    </row>
    <row r="286" spans="1:13">
      <c r="B286" s="88" t="s">
        <v>917</v>
      </c>
      <c r="C286" s="88" t="s">
        <v>764</v>
      </c>
      <c r="D286" s="88">
        <v>68.641922837999999</v>
      </c>
      <c r="E286" s="88">
        <v>-149.342972559</v>
      </c>
      <c r="F286" s="88">
        <v>834.62599999999998</v>
      </c>
      <c r="G286" s="88" t="s">
        <v>904</v>
      </c>
      <c r="J286" s="13" t="s">
        <v>393</v>
      </c>
      <c r="M286" s="94" t="str">
        <f t="shared" si="5"/>
        <v>View on Google Map</v>
      </c>
    </row>
    <row r="287" spans="1:13">
      <c r="A287" s="88">
        <v>1141</v>
      </c>
      <c r="B287" s="88" t="s">
        <v>918</v>
      </c>
      <c r="C287" s="88" t="s">
        <v>367</v>
      </c>
      <c r="D287" s="88" t="s">
        <v>367</v>
      </c>
      <c r="E287" s="88" t="s">
        <v>367</v>
      </c>
      <c r="F287" s="88" t="s">
        <v>367</v>
      </c>
      <c r="G287" s="88" t="s">
        <v>368</v>
      </c>
      <c r="H287" s="88" t="s">
        <v>919</v>
      </c>
      <c r="I287" s="88" t="s">
        <v>367</v>
      </c>
      <c r="J287" s="88" t="s">
        <v>393</v>
      </c>
      <c r="K287" s="88" t="s">
        <v>367</v>
      </c>
      <c r="L287" s="88" t="s">
        <v>367</v>
      </c>
      <c r="M287" s="94" t="str">
        <f t="shared" si="5"/>
        <v>View on Google Map</v>
      </c>
    </row>
    <row r="288" spans="1:13">
      <c r="A288" s="88">
        <v>1142</v>
      </c>
      <c r="B288" s="88" t="s">
        <v>920</v>
      </c>
      <c r="C288" s="88" t="s">
        <v>367</v>
      </c>
      <c r="D288" s="88" t="s">
        <v>367</v>
      </c>
      <c r="E288" s="88" t="s">
        <v>367</v>
      </c>
      <c r="F288" s="88" t="s">
        <v>367</v>
      </c>
      <c r="G288" s="88" t="s">
        <v>392</v>
      </c>
      <c r="H288" s="88" t="s">
        <v>921</v>
      </c>
      <c r="I288" s="88" t="s">
        <v>367</v>
      </c>
      <c r="J288" s="88" t="s">
        <v>922</v>
      </c>
      <c r="K288" s="88" t="s">
        <v>367</v>
      </c>
      <c r="L288" s="88" t="s">
        <v>367</v>
      </c>
      <c r="M288" s="94" t="str">
        <f t="shared" si="5"/>
        <v>View on Google Map</v>
      </c>
    </row>
    <row r="289" spans="1:13">
      <c r="A289" s="88">
        <v>1143</v>
      </c>
      <c r="B289" s="88" t="s">
        <v>923</v>
      </c>
      <c r="C289" s="88" t="s">
        <v>367</v>
      </c>
      <c r="D289" s="88" t="s">
        <v>367</v>
      </c>
      <c r="E289" s="88" t="s">
        <v>367</v>
      </c>
      <c r="F289" s="88" t="s">
        <v>367</v>
      </c>
      <c r="G289" s="88" t="s">
        <v>392</v>
      </c>
      <c r="H289" s="88" t="s">
        <v>367</v>
      </c>
      <c r="I289" s="88" t="s">
        <v>367</v>
      </c>
      <c r="J289" s="88" t="s">
        <v>922</v>
      </c>
      <c r="K289" s="88" t="s">
        <v>367</v>
      </c>
      <c r="L289" s="88" t="s">
        <v>367</v>
      </c>
      <c r="M289" s="94" t="str">
        <f t="shared" si="5"/>
        <v>View on Google Map</v>
      </c>
    </row>
    <row r="290" spans="1:13">
      <c r="A290" s="88">
        <v>1140</v>
      </c>
      <c r="B290" s="88" t="s">
        <v>924</v>
      </c>
      <c r="C290" s="88" t="s">
        <v>367</v>
      </c>
      <c r="D290" s="88" t="s">
        <v>367</v>
      </c>
      <c r="E290" s="88" t="s">
        <v>367</v>
      </c>
      <c r="F290" s="88" t="s">
        <v>367</v>
      </c>
      <c r="G290" s="88" t="s">
        <v>368</v>
      </c>
      <c r="H290" s="88" t="s">
        <v>925</v>
      </c>
      <c r="I290" s="88" t="s">
        <v>926</v>
      </c>
      <c r="J290" s="88" t="s">
        <v>393</v>
      </c>
      <c r="K290" s="88" t="s">
        <v>367</v>
      </c>
      <c r="L290" s="88" t="s">
        <v>367</v>
      </c>
      <c r="M290" s="94" t="str">
        <f t="shared" si="5"/>
        <v>View on Google Map</v>
      </c>
    </row>
    <row r="291" spans="1:13">
      <c r="A291" s="88">
        <v>1173</v>
      </c>
      <c r="B291" s="88" t="s">
        <v>927</v>
      </c>
      <c r="C291" s="88" t="s">
        <v>367</v>
      </c>
      <c r="D291" s="88" t="s">
        <v>367</v>
      </c>
      <c r="E291" s="88" t="s">
        <v>367</v>
      </c>
      <c r="F291" s="88" t="s">
        <v>367</v>
      </c>
      <c r="G291" s="88" t="s">
        <v>368</v>
      </c>
      <c r="H291" s="88" t="s">
        <v>928</v>
      </c>
      <c r="I291" s="88" t="s">
        <v>367</v>
      </c>
      <c r="J291" s="88" t="s">
        <v>374</v>
      </c>
      <c r="K291" s="88" t="s">
        <v>367</v>
      </c>
      <c r="L291" s="88" t="s">
        <v>375</v>
      </c>
      <c r="M291" s="94" t="str">
        <f t="shared" si="5"/>
        <v>View on Google Map</v>
      </c>
    </row>
    <row r="292" spans="1:13">
      <c r="A292" s="88">
        <v>1144</v>
      </c>
      <c r="B292" s="88" t="s">
        <v>929</v>
      </c>
      <c r="C292" s="88" t="s">
        <v>367</v>
      </c>
      <c r="D292" s="88" t="s">
        <v>367</v>
      </c>
      <c r="E292" s="88" t="s">
        <v>367</v>
      </c>
      <c r="F292" s="88" t="s">
        <v>367</v>
      </c>
      <c r="G292" s="88" t="s">
        <v>392</v>
      </c>
      <c r="H292" s="88" t="s">
        <v>929</v>
      </c>
      <c r="I292" s="88" t="s">
        <v>367</v>
      </c>
      <c r="J292" s="88" t="s">
        <v>922</v>
      </c>
      <c r="K292" s="88" t="s">
        <v>367</v>
      </c>
      <c r="L292" s="88" t="s">
        <v>367</v>
      </c>
      <c r="M292" s="94" t="str">
        <f t="shared" si="5"/>
        <v>View on Google Map</v>
      </c>
    </row>
    <row r="293" spans="1:13">
      <c r="A293" s="88">
        <v>1145</v>
      </c>
      <c r="B293" s="88" t="s">
        <v>930</v>
      </c>
      <c r="C293" s="88" t="s">
        <v>367</v>
      </c>
      <c r="D293" s="88" t="s">
        <v>367</v>
      </c>
      <c r="E293" s="88" t="s">
        <v>367</v>
      </c>
      <c r="F293" s="88" t="s">
        <v>367</v>
      </c>
      <c r="G293" s="88" t="s">
        <v>392</v>
      </c>
      <c r="H293" s="88" t="s">
        <v>930</v>
      </c>
      <c r="I293" s="88" t="s">
        <v>367</v>
      </c>
      <c r="J293" s="88" t="s">
        <v>922</v>
      </c>
      <c r="K293" s="88" t="s">
        <v>367</v>
      </c>
      <c r="L293" s="88" t="s">
        <v>367</v>
      </c>
      <c r="M293" s="94" t="str">
        <f t="shared" si="5"/>
        <v>View on Google Map</v>
      </c>
    </row>
    <row r="294" spans="1:13">
      <c r="A294" s="88">
        <v>1146</v>
      </c>
      <c r="B294" s="88" t="s">
        <v>931</v>
      </c>
      <c r="C294" s="88" t="s">
        <v>367</v>
      </c>
      <c r="D294" s="88" t="s">
        <v>367</v>
      </c>
      <c r="E294" s="88" t="s">
        <v>367</v>
      </c>
      <c r="F294" s="88" t="s">
        <v>367</v>
      </c>
      <c r="G294" s="88" t="s">
        <v>368</v>
      </c>
      <c r="H294" s="88" t="s">
        <v>931</v>
      </c>
      <c r="I294" s="88" t="s">
        <v>367</v>
      </c>
      <c r="J294" s="88" t="s">
        <v>922</v>
      </c>
      <c r="K294" s="88" t="s">
        <v>367</v>
      </c>
      <c r="L294" s="88" t="s">
        <v>367</v>
      </c>
      <c r="M294" s="94" t="str">
        <f t="shared" si="5"/>
        <v>View on Google Map</v>
      </c>
    </row>
    <row r="295" spans="1:13">
      <c r="A295" s="88">
        <v>1147</v>
      </c>
      <c r="B295" s="88" t="s">
        <v>932</v>
      </c>
      <c r="C295" s="88" t="s">
        <v>367</v>
      </c>
      <c r="D295" s="88" t="s">
        <v>367</v>
      </c>
      <c r="E295" s="88" t="s">
        <v>367</v>
      </c>
      <c r="F295" s="88" t="s">
        <v>367</v>
      </c>
      <c r="G295" s="88" t="s">
        <v>368</v>
      </c>
      <c r="H295" s="88" t="s">
        <v>932</v>
      </c>
      <c r="I295" s="88" t="s">
        <v>367</v>
      </c>
      <c r="J295" s="88" t="s">
        <v>922</v>
      </c>
      <c r="K295" s="88" t="s">
        <v>367</v>
      </c>
      <c r="L295" s="88" t="s">
        <v>367</v>
      </c>
      <c r="M295" s="94" t="str">
        <f t="shared" si="5"/>
        <v>View on Google Map</v>
      </c>
    </row>
    <row r="296" spans="1:13">
      <c r="A296" s="88">
        <v>1148</v>
      </c>
      <c r="B296" s="88" t="s">
        <v>933</v>
      </c>
      <c r="C296" s="88" t="s">
        <v>367</v>
      </c>
      <c r="D296" s="88" t="s">
        <v>367</v>
      </c>
      <c r="E296" s="88" t="s">
        <v>367</v>
      </c>
      <c r="F296" s="88" t="s">
        <v>367</v>
      </c>
      <c r="G296" s="88" t="s">
        <v>368</v>
      </c>
      <c r="H296" s="88" t="s">
        <v>933</v>
      </c>
      <c r="I296" s="88" t="s">
        <v>934</v>
      </c>
      <c r="J296" s="88" t="s">
        <v>922</v>
      </c>
      <c r="K296" s="88" t="s">
        <v>367</v>
      </c>
      <c r="L296" s="88" t="s">
        <v>367</v>
      </c>
      <c r="M296" s="94" t="str">
        <f t="shared" si="5"/>
        <v>View on Google Map</v>
      </c>
    </row>
    <row r="297" spans="1:13">
      <c r="A297" s="88">
        <v>1149</v>
      </c>
      <c r="B297" s="88" t="s">
        <v>935</v>
      </c>
      <c r="C297" s="88" t="s">
        <v>367</v>
      </c>
      <c r="D297" s="88" t="s">
        <v>367</v>
      </c>
      <c r="E297" s="88" t="s">
        <v>367</v>
      </c>
      <c r="F297" s="88" t="s">
        <v>367</v>
      </c>
      <c r="G297" s="88" t="s">
        <v>368</v>
      </c>
      <c r="H297" s="88" t="s">
        <v>935</v>
      </c>
      <c r="I297" s="88" t="s">
        <v>936</v>
      </c>
      <c r="J297" s="88" t="s">
        <v>922</v>
      </c>
      <c r="K297" s="88" t="s">
        <v>367</v>
      </c>
      <c r="L297" s="88" t="s">
        <v>367</v>
      </c>
      <c r="M297" s="94" t="str">
        <f t="shared" si="5"/>
        <v>View on Google Map</v>
      </c>
    </row>
    <row r="298" spans="1:13">
      <c r="A298" s="88">
        <v>1150</v>
      </c>
      <c r="B298" s="88" t="s">
        <v>937</v>
      </c>
      <c r="C298" s="88" t="s">
        <v>367</v>
      </c>
      <c r="D298" s="88" t="s">
        <v>367</v>
      </c>
      <c r="E298" s="88" t="s">
        <v>367</v>
      </c>
      <c r="F298" s="88" t="s">
        <v>367</v>
      </c>
      <c r="G298" s="88" t="s">
        <v>368</v>
      </c>
      <c r="H298" s="88" t="s">
        <v>937</v>
      </c>
      <c r="I298" s="88" t="s">
        <v>938</v>
      </c>
      <c r="J298" s="88" t="s">
        <v>922</v>
      </c>
      <c r="K298" s="88" t="s">
        <v>367</v>
      </c>
      <c r="L298" s="88" t="s">
        <v>367</v>
      </c>
      <c r="M298" s="94" t="str">
        <f t="shared" si="5"/>
        <v>View on Google Map</v>
      </c>
    </row>
    <row r="299" spans="1:13">
      <c r="A299" s="88">
        <v>1151</v>
      </c>
      <c r="B299" s="88" t="s">
        <v>939</v>
      </c>
      <c r="C299" s="88" t="s">
        <v>367</v>
      </c>
      <c r="D299" s="88" t="s">
        <v>367</v>
      </c>
      <c r="E299" s="88" t="s">
        <v>367</v>
      </c>
      <c r="F299" s="88" t="s">
        <v>367</v>
      </c>
      <c r="G299" s="88" t="s">
        <v>368</v>
      </c>
      <c r="H299" s="88" t="s">
        <v>939</v>
      </c>
      <c r="I299" s="88" t="s">
        <v>940</v>
      </c>
      <c r="J299" s="88" t="s">
        <v>922</v>
      </c>
      <c r="K299" s="88" t="s">
        <v>367</v>
      </c>
      <c r="L299" s="88" t="s">
        <v>367</v>
      </c>
      <c r="M299" s="94" t="str">
        <f t="shared" si="5"/>
        <v>View on Google Map</v>
      </c>
    </row>
    <row r="300" spans="1:13">
      <c r="A300" s="88">
        <v>1152</v>
      </c>
      <c r="B300" s="88" t="s">
        <v>941</v>
      </c>
      <c r="C300" s="88" t="s">
        <v>367</v>
      </c>
      <c r="D300" s="88" t="s">
        <v>367</v>
      </c>
      <c r="E300" s="88" t="s">
        <v>367</v>
      </c>
      <c r="F300" s="88" t="s">
        <v>367</v>
      </c>
      <c r="G300" s="88" t="s">
        <v>368</v>
      </c>
      <c r="H300" s="88" t="s">
        <v>941</v>
      </c>
      <c r="I300" s="88" t="s">
        <v>942</v>
      </c>
      <c r="J300" s="88" t="s">
        <v>922</v>
      </c>
      <c r="K300" s="88" t="s">
        <v>367</v>
      </c>
      <c r="L300" s="88" t="s">
        <v>367</v>
      </c>
      <c r="M300" s="94" t="str">
        <f t="shared" si="5"/>
        <v>View on Google Map</v>
      </c>
    </row>
    <row r="301" spans="1:13">
      <c r="A301" s="88">
        <v>1153</v>
      </c>
      <c r="B301" s="88" t="s">
        <v>943</v>
      </c>
      <c r="C301" s="88" t="s">
        <v>367</v>
      </c>
      <c r="D301" s="88" t="s">
        <v>367</v>
      </c>
      <c r="E301" s="88" t="s">
        <v>367</v>
      </c>
      <c r="F301" s="88" t="s">
        <v>367</v>
      </c>
      <c r="G301" s="88" t="s">
        <v>368</v>
      </c>
      <c r="H301" s="88" t="s">
        <v>943</v>
      </c>
      <c r="I301" s="88" t="s">
        <v>944</v>
      </c>
      <c r="J301" s="88" t="s">
        <v>922</v>
      </c>
      <c r="K301" s="88" t="s">
        <v>367</v>
      </c>
      <c r="L301" s="88" t="s">
        <v>367</v>
      </c>
      <c r="M301" s="94" t="str">
        <f t="shared" si="5"/>
        <v>View on Google Map</v>
      </c>
    </row>
    <row r="302" spans="1:13">
      <c r="A302" s="88">
        <v>1154</v>
      </c>
      <c r="B302" s="88" t="s">
        <v>945</v>
      </c>
      <c r="C302" s="88" t="s">
        <v>367</v>
      </c>
      <c r="D302" s="88" t="s">
        <v>367</v>
      </c>
      <c r="E302" s="88" t="s">
        <v>367</v>
      </c>
      <c r="F302" s="88" t="s">
        <v>367</v>
      </c>
      <c r="G302" s="88" t="s">
        <v>368</v>
      </c>
      <c r="H302" s="88" t="s">
        <v>945</v>
      </c>
      <c r="I302" s="88" t="s">
        <v>946</v>
      </c>
      <c r="J302" s="88" t="s">
        <v>922</v>
      </c>
      <c r="K302" s="88" t="s">
        <v>367</v>
      </c>
      <c r="L302" s="88" t="s">
        <v>367</v>
      </c>
      <c r="M302" s="94" t="str">
        <f t="shared" si="5"/>
        <v>View on Google Map</v>
      </c>
    </row>
    <row r="303" spans="1:13">
      <c r="A303" s="88">
        <v>1155</v>
      </c>
      <c r="B303" s="88" t="s">
        <v>947</v>
      </c>
      <c r="C303" s="88" t="s">
        <v>367</v>
      </c>
      <c r="D303" s="88" t="s">
        <v>367</v>
      </c>
      <c r="E303" s="88" t="s">
        <v>367</v>
      </c>
      <c r="F303" s="88" t="s">
        <v>367</v>
      </c>
      <c r="G303" s="88" t="s">
        <v>368</v>
      </c>
      <c r="H303" s="88" t="s">
        <v>947</v>
      </c>
      <c r="I303" s="88" t="s">
        <v>948</v>
      </c>
      <c r="J303" s="88" t="s">
        <v>922</v>
      </c>
      <c r="K303" s="88" t="s">
        <v>367</v>
      </c>
      <c r="L303" s="88" t="s">
        <v>367</v>
      </c>
      <c r="M303" s="94" t="str">
        <f t="shared" si="5"/>
        <v>View on Google Map</v>
      </c>
    </row>
    <row r="304" spans="1:13">
      <c r="A304" s="88">
        <v>1156</v>
      </c>
      <c r="B304" s="88" t="s">
        <v>949</v>
      </c>
      <c r="C304" s="88" t="s">
        <v>367</v>
      </c>
      <c r="D304" s="88" t="s">
        <v>367</v>
      </c>
      <c r="E304" s="88" t="s">
        <v>367</v>
      </c>
      <c r="F304" s="88" t="s">
        <v>367</v>
      </c>
      <c r="G304" s="88" t="s">
        <v>368</v>
      </c>
      <c r="H304" s="88" t="s">
        <v>949</v>
      </c>
      <c r="I304" s="88" t="s">
        <v>950</v>
      </c>
      <c r="J304" s="88" t="s">
        <v>922</v>
      </c>
      <c r="K304" s="88" t="s">
        <v>367</v>
      </c>
      <c r="L304" s="88" t="s">
        <v>367</v>
      </c>
      <c r="M304" s="94" t="str">
        <f t="shared" si="5"/>
        <v>View on Google Map</v>
      </c>
    </row>
    <row r="305" spans="1:13">
      <c r="A305" s="88">
        <v>1157</v>
      </c>
      <c r="B305" s="88" t="s">
        <v>951</v>
      </c>
      <c r="C305" s="88" t="s">
        <v>367</v>
      </c>
      <c r="D305" s="88" t="s">
        <v>367</v>
      </c>
      <c r="E305" s="88" t="s">
        <v>367</v>
      </c>
      <c r="F305" s="88" t="s">
        <v>367</v>
      </c>
      <c r="G305" s="88" t="s">
        <v>368</v>
      </c>
      <c r="H305" s="88" t="s">
        <v>951</v>
      </c>
      <c r="I305" s="88" t="s">
        <v>952</v>
      </c>
      <c r="J305" s="88" t="s">
        <v>922</v>
      </c>
      <c r="K305" s="88" t="s">
        <v>367</v>
      </c>
      <c r="L305" s="88" t="s">
        <v>367</v>
      </c>
      <c r="M305" s="94" t="str">
        <f t="shared" si="5"/>
        <v>View on Google Map</v>
      </c>
    </row>
    <row r="306" spans="1:13">
      <c r="A306" s="88">
        <v>1158</v>
      </c>
      <c r="B306" s="88" t="s">
        <v>953</v>
      </c>
      <c r="C306" s="88" t="s">
        <v>367</v>
      </c>
      <c r="D306" s="88" t="s">
        <v>367</v>
      </c>
      <c r="E306" s="88" t="s">
        <v>367</v>
      </c>
      <c r="F306" s="88" t="s">
        <v>367</v>
      </c>
      <c r="G306" s="88" t="s">
        <v>368</v>
      </c>
      <c r="H306" s="88" t="s">
        <v>953</v>
      </c>
      <c r="I306" s="88" t="s">
        <v>954</v>
      </c>
      <c r="J306" s="88" t="s">
        <v>922</v>
      </c>
      <c r="K306" s="88" t="s">
        <v>367</v>
      </c>
      <c r="L306" s="88" t="s">
        <v>367</v>
      </c>
      <c r="M306" s="94" t="str">
        <f t="shared" si="5"/>
        <v>View on Google Map</v>
      </c>
    </row>
    <row r="307" spans="1:13">
      <c r="A307" s="88">
        <v>1159</v>
      </c>
      <c r="B307" s="88" t="s">
        <v>955</v>
      </c>
      <c r="C307" s="88" t="s">
        <v>367</v>
      </c>
      <c r="D307" s="88" t="s">
        <v>367</v>
      </c>
      <c r="E307" s="88" t="s">
        <v>367</v>
      </c>
      <c r="F307" s="88" t="s">
        <v>367</v>
      </c>
      <c r="G307" s="88" t="s">
        <v>368</v>
      </c>
      <c r="H307" s="88" t="s">
        <v>955</v>
      </c>
      <c r="I307" s="88" t="s">
        <v>956</v>
      </c>
      <c r="J307" s="88" t="s">
        <v>922</v>
      </c>
      <c r="K307" s="88" t="s">
        <v>367</v>
      </c>
      <c r="L307" s="88" t="s">
        <v>367</v>
      </c>
      <c r="M307" s="94" t="str">
        <f t="shared" si="5"/>
        <v>View on Google Map</v>
      </c>
    </row>
    <row r="308" spans="1:13">
      <c r="A308" s="88">
        <v>1160</v>
      </c>
      <c r="B308" s="88" t="s">
        <v>957</v>
      </c>
      <c r="C308" s="88" t="s">
        <v>367</v>
      </c>
      <c r="D308" s="88" t="s">
        <v>367</v>
      </c>
      <c r="E308" s="88" t="s">
        <v>367</v>
      </c>
      <c r="F308" s="88" t="s">
        <v>367</v>
      </c>
      <c r="G308" s="88" t="s">
        <v>368</v>
      </c>
      <c r="H308" s="88" t="s">
        <v>957</v>
      </c>
      <c r="I308" s="88" t="s">
        <v>958</v>
      </c>
      <c r="J308" s="88" t="s">
        <v>922</v>
      </c>
      <c r="K308" s="88" t="s">
        <v>367</v>
      </c>
      <c r="L308" s="88" t="s">
        <v>367</v>
      </c>
      <c r="M308" s="94" t="str">
        <f t="shared" si="5"/>
        <v>View on Google Map</v>
      </c>
    </row>
    <row r="309" spans="1:13">
      <c r="A309" s="88">
        <v>1161</v>
      </c>
      <c r="B309" s="88" t="s">
        <v>959</v>
      </c>
      <c r="C309" s="88" t="s">
        <v>367</v>
      </c>
      <c r="D309" s="88" t="s">
        <v>367</v>
      </c>
      <c r="E309" s="88" t="s">
        <v>367</v>
      </c>
      <c r="F309" s="88" t="s">
        <v>367</v>
      </c>
      <c r="G309" s="88" t="s">
        <v>368</v>
      </c>
      <c r="H309" s="88" t="s">
        <v>959</v>
      </c>
      <c r="I309" s="88" t="s">
        <v>960</v>
      </c>
      <c r="J309" s="88" t="s">
        <v>922</v>
      </c>
      <c r="K309" s="88" t="s">
        <v>367</v>
      </c>
      <c r="L309" s="88" t="s">
        <v>367</v>
      </c>
      <c r="M309" s="94" t="str">
        <f t="shared" si="5"/>
        <v>View on Google Map</v>
      </c>
    </row>
    <row r="310" spans="1:13">
      <c r="A310" s="88">
        <v>1162</v>
      </c>
      <c r="B310" s="88" t="s">
        <v>961</v>
      </c>
      <c r="C310" s="88" t="s">
        <v>367</v>
      </c>
      <c r="D310" s="88" t="s">
        <v>367</v>
      </c>
      <c r="E310" s="88" t="s">
        <v>367</v>
      </c>
      <c r="F310" s="88" t="s">
        <v>367</v>
      </c>
      <c r="G310" s="88" t="s">
        <v>368</v>
      </c>
      <c r="H310" s="88" t="s">
        <v>961</v>
      </c>
      <c r="I310" s="88" t="s">
        <v>962</v>
      </c>
      <c r="J310" s="88" t="s">
        <v>922</v>
      </c>
      <c r="K310" s="88" t="s">
        <v>367</v>
      </c>
      <c r="L310" s="88" t="s">
        <v>367</v>
      </c>
      <c r="M310" s="94" t="str">
        <f t="shared" si="5"/>
        <v>View on Google Map</v>
      </c>
    </row>
    <row r="311" spans="1:13">
      <c r="A311" s="88">
        <v>1163</v>
      </c>
      <c r="B311" s="88" t="s">
        <v>963</v>
      </c>
      <c r="C311" s="88" t="s">
        <v>367</v>
      </c>
      <c r="D311" s="88" t="s">
        <v>367</v>
      </c>
      <c r="E311" s="88" t="s">
        <v>367</v>
      </c>
      <c r="F311" s="88" t="s">
        <v>367</v>
      </c>
      <c r="G311" s="88" t="s">
        <v>368</v>
      </c>
      <c r="H311" s="88" t="s">
        <v>963</v>
      </c>
      <c r="I311" s="88" t="s">
        <v>964</v>
      </c>
      <c r="J311" s="88" t="s">
        <v>922</v>
      </c>
      <c r="K311" s="88" t="s">
        <v>367</v>
      </c>
      <c r="L311" s="88" t="s">
        <v>367</v>
      </c>
      <c r="M311" s="94" t="str">
        <f t="shared" si="5"/>
        <v>View on Google Map</v>
      </c>
    </row>
    <row r="312" spans="1:13">
      <c r="A312" s="88">
        <v>1164</v>
      </c>
      <c r="B312" s="88" t="s">
        <v>965</v>
      </c>
      <c r="C312" s="88" t="s">
        <v>367</v>
      </c>
      <c r="D312" s="88" t="s">
        <v>367</v>
      </c>
      <c r="E312" s="88" t="s">
        <v>367</v>
      </c>
      <c r="F312" s="88" t="s">
        <v>367</v>
      </c>
      <c r="G312" s="88" t="s">
        <v>368</v>
      </c>
      <c r="H312" s="88" t="s">
        <v>965</v>
      </c>
      <c r="I312" s="88" t="s">
        <v>966</v>
      </c>
      <c r="J312" s="88" t="s">
        <v>922</v>
      </c>
      <c r="K312" s="88" t="s">
        <v>367</v>
      </c>
      <c r="L312" s="88" t="s">
        <v>367</v>
      </c>
      <c r="M312" s="94" t="str">
        <f t="shared" si="5"/>
        <v>View on Google Map</v>
      </c>
    </row>
    <row r="313" spans="1:13">
      <c r="A313" s="88">
        <v>1165</v>
      </c>
      <c r="B313" s="88" t="s">
        <v>967</v>
      </c>
      <c r="C313" s="88" t="s">
        <v>367</v>
      </c>
      <c r="D313" s="88" t="s">
        <v>367</v>
      </c>
      <c r="E313" s="88" t="s">
        <v>367</v>
      </c>
      <c r="F313" s="88" t="s">
        <v>367</v>
      </c>
      <c r="G313" s="88" t="s">
        <v>368</v>
      </c>
      <c r="H313" s="88" t="s">
        <v>967</v>
      </c>
      <c r="I313" s="88" t="s">
        <v>367</v>
      </c>
      <c r="J313" s="88" t="s">
        <v>922</v>
      </c>
      <c r="K313" s="88" t="s">
        <v>367</v>
      </c>
      <c r="L313" s="88" t="s">
        <v>367</v>
      </c>
      <c r="M313" s="94" t="str">
        <f t="shared" si="5"/>
        <v>View on Google Map</v>
      </c>
    </row>
    <row r="314" spans="1:13">
      <c r="A314" s="88">
        <v>1166</v>
      </c>
      <c r="B314" s="88" t="s">
        <v>968</v>
      </c>
      <c r="C314" s="88" t="s">
        <v>367</v>
      </c>
      <c r="D314" s="88" t="s">
        <v>367</v>
      </c>
      <c r="E314" s="88" t="s">
        <v>367</v>
      </c>
      <c r="F314" s="88" t="s">
        <v>367</v>
      </c>
      <c r="G314" s="88" t="s">
        <v>368</v>
      </c>
      <c r="H314" s="88" t="s">
        <v>968</v>
      </c>
      <c r="I314" s="88" t="s">
        <v>367</v>
      </c>
      <c r="J314" s="88" t="s">
        <v>922</v>
      </c>
      <c r="K314" s="88" t="s">
        <v>367</v>
      </c>
      <c r="L314" s="88" t="s">
        <v>367</v>
      </c>
      <c r="M314" s="94" t="str">
        <f t="shared" si="5"/>
        <v>View on Google Map</v>
      </c>
    </row>
    <row r="315" spans="1:13">
      <c r="A315" s="88">
        <v>1167</v>
      </c>
      <c r="B315" s="88" t="s">
        <v>969</v>
      </c>
      <c r="C315" s="88" t="s">
        <v>970</v>
      </c>
      <c r="D315" s="88" t="s">
        <v>367</v>
      </c>
      <c r="E315" s="88" t="s">
        <v>367</v>
      </c>
      <c r="F315" s="88" t="s">
        <v>367</v>
      </c>
      <c r="G315" s="88" t="s">
        <v>368</v>
      </c>
      <c r="H315" s="88" t="s">
        <v>969</v>
      </c>
      <c r="I315" s="88" t="s">
        <v>367</v>
      </c>
      <c r="J315" s="88" t="s">
        <v>369</v>
      </c>
      <c r="K315" s="88" t="s">
        <v>367</v>
      </c>
      <c r="L315" s="88" t="s">
        <v>367</v>
      </c>
      <c r="M315" s="94" t="str">
        <f t="shared" si="5"/>
        <v>View on Google Map</v>
      </c>
    </row>
    <row r="316" spans="1:13">
      <c r="A316" s="88">
        <v>1168</v>
      </c>
      <c r="B316" s="88" t="s">
        <v>971</v>
      </c>
      <c r="C316" s="88" t="s">
        <v>970</v>
      </c>
      <c r="D316" s="88" t="s">
        <v>367</v>
      </c>
      <c r="E316" s="88" t="s">
        <v>367</v>
      </c>
      <c r="F316" s="88" t="s">
        <v>367</v>
      </c>
      <c r="G316" s="88" t="s">
        <v>368</v>
      </c>
      <c r="H316" s="88" t="s">
        <v>971</v>
      </c>
      <c r="I316" s="88" t="s">
        <v>367</v>
      </c>
      <c r="J316" s="88" t="s">
        <v>369</v>
      </c>
      <c r="K316" s="88" t="s">
        <v>367</v>
      </c>
      <c r="L316" s="88" t="s">
        <v>367</v>
      </c>
      <c r="M316" s="94" t="str">
        <f t="shared" si="5"/>
        <v>View on Google Map</v>
      </c>
    </row>
    <row r="317" spans="1:13">
      <c r="A317" s="88">
        <v>125</v>
      </c>
      <c r="B317" s="88" t="s">
        <v>972</v>
      </c>
      <c r="C317" s="88" t="s">
        <v>367</v>
      </c>
      <c r="D317" s="88">
        <v>68.52364</v>
      </c>
      <c r="E317" s="88">
        <v>-149.48141000000001</v>
      </c>
      <c r="F317" s="88">
        <v>881</v>
      </c>
      <c r="G317" s="88" t="s">
        <v>378</v>
      </c>
      <c r="H317" s="88" t="s">
        <v>973</v>
      </c>
      <c r="I317" s="88" t="s">
        <v>367</v>
      </c>
      <c r="J317" s="88" t="s">
        <v>393</v>
      </c>
      <c r="K317" s="88" t="s">
        <v>367</v>
      </c>
      <c r="L317" s="88" t="s">
        <v>394</v>
      </c>
      <c r="M317" s="94" t="str">
        <f t="shared" si="5"/>
        <v>View on Google Map</v>
      </c>
    </row>
    <row r="318" spans="1:13">
      <c r="A318" s="88">
        <v>110</v>
      </c>
      <c r="B318" s="88" t="s">
        <v>974</v>
      </c>
      <c r="C318" s="88" t="s">
        <v>367</v>
      </c>
      <c r="D318" s="88">
        <v>68.687380000000005</v>
      </c>
      <c r="E318" s="88">
        <v>-149.67458999999999</v>
      </c>
      <c r="F318" s="88">
        <v>747</v>
      </c>
      <c r="G318" s="88" t="s">
        <v>378</v>
      </c>
      <c r="H318" s="88" t="s">
        <v>975</v>
      </c>
      <c r="I318" s="88" t="s">
        <v>367</v>
      </c>
      <c r="J318" s="88" t="s">
        <v>393</v>
      </c>
      <c r="K318" s="88" t="s">
        <v>367</v>
      </c>
      <c r="L318" s="88" t="s">
        <v>367</v>
      </c>
      <c r="M318" s="94" t="str">
        <f t="shared" si="5"/>
        <v>View on Google Map</v>
      </c>
    </row>
    <row r="319" spans="1:13">
      <c r="A319" s="88">
        <v>159</v>
      </c>
      <c r="B319" s="88" t="s">
        <v>976</v>
      </c>
      <c r="C319" s="88" t="s">
        <v>367</v>
      </c>
      <c r="D319" s="88">
        <v>68.38333333333334</v>
      </c>
      <c r="E319" s="88">
        <v>-149.91666666666666</v>
      </c>
      <c r="F319" s="88">
        <v>681</v>
      </c>
      <c r="G319" s="88" t="s">
        <v>378</v>
      </c>
      <c r="H319" s="88" t="s">
        <v>977</v>
      </c>
      <c r="I319" s="88" t="s">
        <v>367</v>
      </c>
      <c r="J319" s="88" t="s">
        <v>393</v>
      </c>
      <c r="K319" s="88" t="s">
        <v>367</v>
      </c>
      <c r="L319" s="88" t="s">
        <v>394</v>
      </c>
      <c r="M319" s="94" t="str">
        <f t="shared" si="5"/>
        <v>View on Google Map</v>
      </c>
    </row>
    <row r="320" spans="1:13">
      <c r="B320" s="88" t="s">
        <v>978</v>
      </c>
      <c r="C320" s="88" t="s">
        <v>979</v>
      </c>
      <c r="D320" s="88">
        <v>68.590049999999991</v>
      </c>
      <c r="E320" s="88">
        <v>-149.72444166666699</v>
      </c>
      <c r="G320" s="88" t="s">
        <v>904</v>
      </c>
      <c r="J320" s="13" t="s">
        <v>393</v>
      </c>
      <c r="M320" s="94" t="str">
        <f t="shared" si="5"/>
        <v>View on Google Map</v>
      </c>
    </row>
    <row r="321" spans="1:13">
      <c r="B321" s="88" t="s">
        <v>980</v>
      </c>
      <c r="C321" s="88" t="s">
        <v>979</v>
      </c>
      <c r="D321" s="88">
        <v>68.590219444444443</v>
      </c>
      <c r="E321" s="88">
        <v>-149.725272222222</v>
      </c>
      <c r="G321" s="88" t="s">
        <v>904</v>
      </c>
      <c r="J321" s="13" t="s">
        <v>393</v>
      </c>
      <c r="M321" s="94" t="str">
        <f t="shared" si="5"/>
        <v>View on Google Map</v>
      </c>
    </row>
    <row r="322" spans="1:13">
      <c r="A322" s="88">
        <v>32</v>
      </c>
      <c r="B322" s="88" t="s">
        <v>981</v>
      </c>
      <c r="C322" s="88" t="s">
        <v>367</v>
      </c>
      <c r="D322" s="88">
        <v>68.933499999999995</v>
      </c>
      <c r="E322" s="88">
        <v>-150.30600000000001</v>
      </c>
      <c r="F322" s="88" t="s">
        <v>367</v>
      </c>
      <c r="G322" s="88" t="s">
        <v>392</v>
      </c>
      <c r="H322" s="88" t="s">
        <v>982</v>
      </c>
      <c r="I322" s="88" t="s">
        <v>367</v>
      </c>
      <c r="J322" s="88" t="s">
        <v>428</v>
      </c>
      <c r="K322" s="88" t="s">
        <v>367</v>
      </c>
      <c r="L322" s="88" t="s">
        <v>375</v>
      </c>
      <c r="M322" s="94" t="str">
        <f t="shared" si="5"/>
        <v>View on Google Map</v>
      </c>
    </row>
    <row r="323" spans="1:13">
      <c r="A323" s="88">
        <v>33</v>
      </c>
      <c r="B323" s="88" t="s">
        <v>983</v>
      </c>
      <c r="C323" s="88" t="s">
        <v>367</v>
      </c>
      <c r="D323" s="88">
        <v>68.908000000000001</v>
      </c>
      <c r="E323" s="88">
        <v>-150.114</v>
      </c>
      <c r="F323" s="88" t="s">
        <v>367</v>
      </c>
      <c r="G323" s="88" t="s">
        <v>392</v>
      </c>
      <c r="H323" s="88" t="s">
        <v>984</v>
      </c>
      <c r="I323" s="88" t="s">
        <v>367</v>
      </c>
      <c r="J323" s="88" t="s">
        <v>428</v>
      </c>
      <c r="K323" s="88" t="s">
        <v>367</v>
      </c>
      <c r="L323" s="88" t="s">
        <v>375</v>
      </c>
      <c r="M323" s="94" t="str">
        <f t="shared" ref="M323:M386" si="6">HYPERLINK("http://maps.google.com/maps?q="&amp;D323&amp;","&amp;E323,"View on Google Map")</f>
        <v>View on Google Map</v>
      </c>
    </row>
    <row r="324" spans="1:13">
      <c r="A324" s="88">
        <v>1</v>
      </c>
      <c r="B324" s="88" t="s">
        <v>985</v>
      </c>
      <c r="C324" s="88" t="s">
        <v>986</v>
      </c>
      <c r="D324" s="88">
        <v>68.639103747222222</v>
      </c>
      <c r="E324" s="88">
        <v>-149.39432556944399</v>
      </c>
      <c r="F324" s="88">
        <v>750.56600000000003</v>
      </c>
      <c r="G324" s="88" t="s">
        <v>904</v>
      </c>
      <c r="J324" s="13" t="s">
        <v>393</v>
      </c>
      <c r="M324" s="94" t="str">
        <f t="shared" si="6"/>
        <v>View on Google Map</v>
      </c>
    </row>
    <row r="325" spans="1:13">
      <c r="A325" s="88">
        <v>1</v>
      </c>
      <c r="B325" s="88" t="s">
        <v>987</v>
      </c>
      <c r="C325" s="88" t="s">
        <v>979</v>
      </c>
      <c r="D325" s="88">
        <v>68.638060455555561</v>
      </c>
      <c r="E325" s="88">
        <v>-149.391843363889</v>
      </c>
      <c r="F325" s="88">
        <v>750.601</v>
      </c>
      <c r="G325" s="88" t="s">
        <v>904</v>
      </c>
      <c r="J325" s="13" t="s">
        <v>393</v>
      </c>
      <c r="M325" s="94" t="str">
        <f t="shared" si="6"/>
        <v>View on Google Map</v>
      </c>
    </row>
    <row r="326" spans="1:13">
      <c r="A326" s="88">
        <v>1</v>
      </c>
      <c r="B326" s="88" t="s">
        <v>988</v>
      </c>
      <c r="C326" s="88" t="s">
        <v>989</v>
      </c>
      <c r="D326" s="88">
        <v>68.640747866666672</v>
      </c>
      <c r="E326" s="88">
        <v>-149.40056111111099</v>
      </c>
      <c r="F326" s="88">
        <v>747.74400000000003</v>
      </c>
      <c r="G326" s="88" t="s">
        <v>904</v>
      </c>
      <c r="J326" s="13" t="s">
        <v>393</v>
      </c>
      <c r="M326" s="94" t="str">
        <f t="shared" si="6"/>
        <v>View on Google Map</v>
      </c>
    </row>
    <row r="327" spans="1:13">
      <c r="A327" s="88">
        <v>1</v>
      </c>
      <c r="B327" s="88" t="s">
        <v>990</v>
      </c>
      <c r="C327" s="88" t="s">
        <v>979</v>
      </c>
      <c r="D327" s="88">
        <v>68.638399647222229</v>
      </c>
      <c r="E327" s="88">
        <v>-149.38922950555599</v>
      </c>
      <c r="F327" s="88">
        <v>752.79899999999998</v>
      </c>
      <c r="G327" s="88" t="s">
        <v>904</v>
      </c>
      <c r="J327" s="13" t="s">
        <v>393</v>
      </c>
      <c r="M327" s="94" t="str">
        <f t="shared" si="6"/>
        <v>View on Google Map</v>
      </c>
    </row>
    <row r="328" spans="1:13">
      <c r="A328" s="88">
        <v>1</v>
      </c>
      <c r="B328" s="88" t="s">
        <v>991</v>
      </c>
      <c r="C328" s="88" t="s">
        <v>979</v>
      </c>
      <c r="D328" s="88">
        <v>68.637445127777781</v>
      </c>
      <c r="E328" s="88">
        <v>-149.386685694444</v>
      </c>
      <c r="F328" s="88">
        <v>753.32</v>
      </c>
      <c r="G328" s="88" t="s">
        <v>904</v>
      </c>
      <c r="J328" s="13" t="s">
        <v>393</v>
      </c>
      <c r="M328" s="94" t="str">
        <f t="shared" si="6"/>
        <v>View on Google Map</v>
      </c>
    </row>
    <row r="329" spans="1:13">
      <c r="A329" s="88">
        <v>1</v>
      </c>
      <c r="B329" s="88" t="s">
        <v>992</v>
      </c>
      <c r="C329" s="88" t="s">
        <v>764</v>
      </c>
      <c r="D329" s="88">
        <v>68.642054250000001</v>
      </c>
      <c r="E329" s="88">
        <v>-149.40350056666699</v>
      </c>
      <c r="F329" s="88">
        <v>746.26800000000003</v>
      </c>
      <c r="G329" s="88" t="s">
        <v>904</v>
      </c>
      <c r="J329" s="13" t="s">
        <v>393</v>
      </c>
      <c r="M329" s="94" t="str">
        <f t="shared" si="6"/>
        <v>View on Google Map</v>
      </c>
    </row>
    <row r="330" spans="1:13">
      <c r="A330" s="88">
        <v>1</v>
      </c>
      <c r="B330" s="88" t="s">
        <v>993</v>
      </c>
      <c r="C330" s="88" t="s">
        <v>994</v>
      </c>
      <c r="D330" s="88">
        <v>68.641460652777781</v>
      </c>
      <c r="E330" s="88">
        <v>-149.40187098888899</v>
      </c>
      <c r="F330" s="88">
        <v>747.17499999999995</v>
      </c>
      <c r="G330" s="88" t="s">
        <v>904</v>
      </c>
      <c r="J330" s="13" t="s">
        <v>393</v>
      </c>
      <c r="M330" s="94" t="str">
        <f t="shared" si="6"/>
        <v>View on Google Map</v>
      </c>
    </row>
    <row r="331" spans="1:13">
      <c r="A331" s="88">
        <v>1</v>
      </c>
      <c r="B331" s="88" t="s">
        <v>995</v>
      </c>
      <c r="C331" s="88" t="s">
        <v>764</v>
      </c>
      <c r="D331" s="88">
        <v>68.643159841666673</v>
      </c>
      <c r="E331" s="88">
        <v>-149.40326701388901</v>
      </c>
      <c r="F331" s="88">
        <v>746.55200000000002</v>
      </c>
      <c r="G331" s="88" t="s">
        <v>904</v>
      </c>
      <c r="J331" s="13" t="s">
        <v>393</v>
      </c>
      <c r="M331" s="94" t="str">
        <f t="shared" si="6"/>
        <v>View on Google Map</v>
      </c>
    </row>
    <row r="332" spans="1:13">
      <c r="A332" s="88">
        <v>1</v>
      </c>
      <c r="B332" s="88" t="s">
        <v>996</v>
      </c>
      <c r="C332" s="88" t="s">
        <v>989</v>
      </c>
      <c r="D332" s="88">
        <v>68.636731430555557</v>
      </c>
      <c r="E332" s="88">
        <v>-149.38318683611101</v>
      </c>
      <c r="F332" s="88">
        <v>755.19299999999998</v>
      </c>
      <c r="G332" s="88" t="s">
        <v>904</v>
      </c>
      <c r="J332" s="13" t="s">
        <v>393</v>
      </c>
      <c r="M332" s="94" t="str">
        <f t="shared" si="6"/>
        <v>View on Google Map</v>
      </c>
    </row>
    <row r="333" spans="1:13">
      <c r="A333" s="88">
        <v>1</v>
      </c>
      <c r="B333" s="88" t="s">
        <v>997</v>
      </c>
      <c r="C333" s="88" t="s">
        <v>989</v>
      </c>
      <c r="D333" s="88">
        <v>68.643629936111111</v>
      </c>
      <c r="E333" s="88">
        <v>-149.40249773333301</v>
      </c>
      <c r="F333" s="88">
        <v>745.85199999999998</v>
      </c>
      <c r="G333" s="88" t="s">
        <v>904</v>
      </c>
      <c r="J333" s="13" t="s">
        <v>393</v>
      </c>
      <c r="M333" s="94" t="str">
        <f t="shared" si="6"/>
        <v>View on Google Map</v>
      </c>
    </row>
    <row r="334" spans="1:13">
      <c r="A334" s="88">
        <v>1</v>
      </c>
      <c r="B334" s="88" t="s">
        <v>998</v>
      </c>
      <c r="C334" s="88" t="s">
        <v>979</v>
      </c>
      <c r="D334" s="88">
        <v>68.644659113888892</v>
      </c>
      <c r="E334" s="88">
        <v>-149.405160461111</v>
      </c>
      <c r="F334" s="88">
        <v>744.06100000000004</v>
      </c>
      <c r="G334" s="88" t="s">
        <v>904</v>
      </c>
      <c r="J334" s="13" t="s">
        <v>393</v>
      </c>
      <c r="M334" s="94" t="str">
        <f t="shared" si="6"/>
        <v>View on Google Map</v>
      </c>
    </row>
    <row r="335" spans="1:13">
      <c r="A335" s="88">
        <v>1</v>
      </c>
      <c r="B335" s="88" t="s">
        <v>999</v>
      </c>
      <c r="C335" s="88" t="s">
        <v>764</v>
      </c>
      <c r="D335" s="88">
        <v>68.646338200000002</v>
      </c>
      <c r="E335" s="88">
        <v>-149.41002641666699</v>
      </c>
      <c r="F335" s="88">
        <v>741.68899999999996</v>
      </c>
      <c r="G335" s="88" t="s">
        <v>904</v>
      </c>
      <c r="J335" s="13" t="s">
        <v>393</v>
      </c>
      <c r="M335" s="94" t="str">
        <f t="shared" si="6"/>
        <v>View on Google Map</v>
      </c>
    </row>
    <row r="336" spans="1:13">
      <c r="A336" s="88">
        <v>1</v>
      </c>
      <c r="B336" s="88" t="s">
        <v>1000</v>
      </c>
      <c r="C336" s="88" t="s">
        <v>1001</v>
      </c>
      <c r="D336" s="88">
        <v>68.646228841666669</v>
      </c>
      <c r="E336" s="88">
        <v>-149.40909021388899</v>
      </c>
      <c r="F336" s="88">
        <v>742.04</v>
      </c>
      <c r="G336" s="88" t="s">
        <v>904</v>
      </c>
      <c r="J336" s="13" t="s">
        <v>393</v>
      </c>
      <c r="M336" s="94" t="str">
        <f t="shared" si="6"/>
        <v>View on Google Map</v>
      </c>
    </row>
    <row r="337" spans="1:13">
      <c r="A337" s="88">
        <v>1</v>
      </c>
      <c r="B337" s="88" t="s">
        <v>1002</v>
      </c>
      <c r="C337" s="88" t="s">
        <v>979</v>
      </c>
      <c r="D337" s="88">
        <v>68.647812641666675</v>
      </c>
      <c r="E337" s="88">
        <v>-149.41565431111101</v>
      </c>
      <c r="F337" s="88">
        <v>738.87300000000005</v>
      </c>
      <c r="G337" s="88" t="s">
        <v>904</v>
      </c>
      <c r="J337" s="13" t="s">
        <v>393</v>
      </c>
      <c r="M337" s="94" t="str">
        <f t="shared" si="6"/>
        <v>View on Google Map</v>
      </c>
    </row>
    <row r="338" spans="1:13">
      <c r="A338" s="88">
        <v>1</v>
      </c>
      <c r="B338" s="88" t="s">
        <v>1003</v>
      </c>
      <c r="C338" s="88" t="s">
        <v>764</v>
      </c>
      <c r="D338" s="88">
        <v>68.649547222222225</v>
      </c>
      <c r="E338" s="88">
        <v>-149.41615246388901</v>
      </c>
      <c r="F338" s="88">
        <v>737.07399999999996</v>
      </c>
      <c r="G338" s="88" t="s">
        <v>904</v>
      </c>
      <c r="J338" s="13" t="s">
        <v>393</v>
      </c>
      <c r="M338" s="94" t="str">
        <f t="shared" si="6"/>
        <v>View on Google Map</v>
      </c>
    </row>
    <row r="339" spans="1:13">
      <c r="A339" s="88">
        <v>1</v>
      </c>
      <c r="B339" s="88" t="s">
        <v>1004</v>
      </c>
      <c r="C339" s="88" t="s">
        <v>989</v>
      </c>
      <c r="D339" s="88">
        <v>68.65164966388889</v>
      </c>
      <c r="E339" s="88">
        <v>-149.41647778611099</v>
      </c>
      <c r="F339" s="88">
        <v>735.41800000000001</v>
      </c>
      <c r="G339" s="88" t="s">
        <v>904</v>
      </c>
      <c r="J339" s="13" t="s">
        <v>393</v>
      </c>
      <c r="M339" s="94" t="str">
        <f t="shared" si="6"/>
        <v>View on Google Map</v>
      </c>
    </row>
    <row r="340" spans="1:13">
      <c r="A340" s="88">
        <v>1</v>
      </c>
      <c r="B340" s="88" t="s">
        <v>1005</v>
      </c>
      <c r="C340" s="88" t="s">
        <v>764</v>
      </c>
      <c r="D340" s="88">
        <v>68.652284541666674</v>
      </c>
      <c r="E340" s="88">
        <v>-149.41517665000001</v>
      </c>
      <c r="F340" s="88">
        <v>734.78499999999997</v>
      </c>
      <c r="G340" s="88" t="s">
        <v>904</v>
      </c>
      <c r="J340" s="13" t="s">
        <v>393</v>
      </c>
      <c r="M340" s="94" t="str">
        <f t="shared" si="6"/>
        <v>View on Google Map</v>
      </c>
    </row>
    <row r="341" spans="1:13">
      <c r="A341" s="88">
        <v>1</v>
      </c>
      <c r="B341" s="88" t="s">
        <v>1006</v>
      </c>
      <c r="C341" s="88" t="s">
        <v>979</v>
      </c>
      <c r="D341" s="88">
        <v>68.653667241666668</v>
      </c>
      <c r="E341" s="88">
        <v>-149.420855111111</v>
      </c>
      <c r="F341" s="88">
        <v>732.173</v>
      </c>
      <c r="G341" s="88" t="s">
        <v>904</v>
      </c>
      <c r="J341" s="13" t="s">
        <v>393</v>
      </c>
      <c r="M341" s="94" t="str">
        <f t="shared" si="6"/>
        <v>View on Google Map</v>
      </c>
    </row>
    <row r="342" spans="1:13">
      <c r="A342" s="88">
        <v>1</v>
      </c>
      <c r="B342" s="88" t="s">
        <v>1007</v>
      </c>
      <c r="C342" s="88" t="s">
        <v>764</v>
      </c>
      <c r="D342" s="88">
        <v>68.658785577777778</v>
      </c>
      <c r="E342" s="88">
        <v>-149.42446433055599</v>
      </c>
      <c r="F342" s="88">
        <v>726.91899999999998</v>
      </c>
      <c r="G342" s="88" t="s">
        <v>904</v>
      </c>
      <c r="J342" s="13" t="s">
        <v>393</v>
      </c>
      <c r="M342" s="94" t="str">
        <f t="shared" si="6"/>
        <v>View on Google Map</v>
      </c>
    </row>
    <row r="343" spans="1:13">
      <c r="A343" s="88">
        <v>1</v>
      </c>
      <c r="B343" s="88" t="s">
        <v>1008</v>
      </c>
      <c r="C343" s="88" t="s">
        <v>1009</v>
      </c>
      <c r="D343" s="88">
        <v>68.638340663999998</v>
      </c>
      <c r="E343" s="88">
        <v>-149.39350505600001</v>
      </c>
      <c r="G343" s="88" t="s">
        <v>904</v>
      </c>
      <c r="J343" s="13" t="s">
        <v>393</v>
      </c>
      <c r="M343" s="94" t="str">
        <f t="shared" si="6"/>
        <v>View on Google Map</v>
      </c>
    </row>
    <row r="344" spans="1:13">
      <c r="A344" s="88">
        <v>1</v>
      </c>
      <c r="B344" s="13" t="s">
        <v>1010</v>
      </c>
      <c r="C344" s="13" t="s">
        <v>1010</v>
      </c>
      <c r="D344" s="88">
        <v>68.647525999999999</v>
      </c>
      <c r="E344" s="88">
        <v>-149.411416</v>
      </c>
      <c r="F344" s="88">
        <v>731</v>
      </c>
      <c r="G344" s="88" t="s">
        <v>392</v>
      </c>
      <c r="H344" s="88" t="s">
        <v>1011</v>
      </c>
      <c r="I344" s="88" t="s">
        <v>367</v>
      </c>
      <c r="J344" s="88" t="s">
        <v>393</v>
      </c>
      <c r="K344" s="88" t="s">
        <v>367</v>
      </c>
      <c r="L344" s="88" t="s">
        <v>367</v>
      </c>
      <c r="M344" s="94" t="str">
        <f t="shared" si="6"/>
        <v>View on Google Map</v>
      </c>
    </row>
    <row r="345" spans="1:13">
      <c r="A345" s="88">
        <v>19</v>
      </c>
      <c r="B345" s="88" t="s">
        <v>1012</v>
      </c>
      <c r="C345" s="88" t="s">
        <v>367</v>
      </c>
      <c r="D345" s="88">
        <v>68.967611000000005</v>
      </c>
      <c r="E345" s="88">
        <v>-149.705342</v>
      </c>
      <c r="F345" s="88">
        <v>411</v>
      </c>
      <c r="G345" s="88" t="s">
        <v>392</v>
      </c>
      <c r="H345" s="88" t="s">
        <v>1013</v>
      </c>
      <c r="I345" s="88" t="s">
        <v>367</v>
      </c>
      <c r="J345" s="88" t="s">
        <v>393</v>
      </c>
      <c r="K345" s="88" t="s">
        <v>367</v>
      </c>
      <c r="L345" s="88" t="s">
        <v>367</v>
      </c>
      <c r="M345" s="94" t="str">
        <f t="shared" si="6"/>
        <v>View on Google Map</v>
      </c>
    </row>
    <row r="346" spans="1:13">
      <c r="A346" s="88">
        <v>16</v>
      </c>
      <c r="B346" s="88" t="s">
        <v>1014</v>
      </c>
      <c r="C346" s="88" t="s">
        <v>367</v>
      </c>
      <c r="D346" s="88" t="s">
        <v>367</v>
      </c>
      <c r="E346" s="88" t="s">
        <v>367</v>
      </c>
      <c r="F346" s="88" t="s">
        <v>367</v>
      </c>
      <c r="G346" s="88" t="s">
        <v>392</v>
      </c>
      <c r="H346" s="88" t="s">
        <v>367</v>
      </c>
      <c r="I346" s="88" t="s">
        <v>367</v>
      </c>
      <c r="J346" s="88" t="s">
        <v>393</v>
      </c>
      <c r="K346" s="88" t="s">
        <v>367</v>
      </c>
      <c r="L346" s="88" t="s">
        <v>367</v>
      </c>
      <c r="M346" s="94" t="str">
        <f t="shared" si="6"/>
        <v>View on Google Map</v>
      </c>
    </row>
    <row r="347" spans="1:13">
      <c r="A347" s="88">
        <v>1198</v>
      </c>
      <c r="B347" s="88" t="s">
        <v>1015</v>
      </c>
      <c r="C347" s="88" t="s">
        <v>551</v>
      </c>
      <c r="D347" s="88">
        <v>69.297460909999998</v>
      </c>
      <c r="E347" s="88">
        <v>-150.32340117999999</v>
      </c>
      <c r="F347" s="88" t="s">
        <v>367</v>
      </c>
      <c r="G347" s="88" t="s">
        <v>368</v>
      </c>
      <c r="H347" s="88" t="s">
        <v>367</v>
      </c>
      <c r="I347" s="88" t="s">
        <v>367</v>
      </c>
      <c r="J347" s="88" t="s">
        <v>374</v>
      </c>
      <c r="K347" s="88" t="s">
        <v>367</v>
      </c>
      <c r="L347" s="88" t="s">
        <v>375</v>
      </c>
      <c r="M347" s="94" t="str">
        <f t="shared" si="6"/>
        <v>View on Google Map</v>
      </c>
    </row>
    <row r="348" spans="1:13">
      <c r="A348" s="88">
        <v>135</v>
      </c>
      <c r="B348" s="88" t="s">
        <v>1016</v>
      </c>
      <c r="C348" s="88" t="s">
        <v>367</v>
      </c>
      <c r="D348" s="88">
        <v>70.333333333333329</v>
      </c>
      <c r="E348" s="88">
        <v>-148.80000000000001</v>
      </c>
      <c r="F348" s="88">
        <v>4</v>
      </c>
      <c r="G348" s="88" t="s">
        <v>378</v>
      </c>
      <c r="H348" s="88" t="s">
        <v>1017</v>
      </c>
      <c r="I348" s="88" t="s">
        <v>367</v>
      </c>
      <c r="J348" s="88" t="s">
        <v>393</v>
      </c>
      <c r="K348" s="88" t="s">
        <v>367</v>
      </c>
      <c r="L348" s="88" t="s">
        <v>394</v>
      </c>
      <c r="M348" s="94" t="str">
        <f t="shared" si="6"/>
        <v>View on Google Map</v>
      </c>
    </row>
    <row r="349" spans="1:13">
      <c r="A349" s="88">
        <v>126</v>
      </c>
      <c r="B349" s="88" t="s">
        <v>1018</v>
      </c>
      <c r="C349" s="88" t="s">
        <v>367</v>
      </c>
      <c r="D349" s="88">
        <v>68.733333333333334</v>
      </c>
      <c r="E349" s="88">
        <v>-148.93333333333334</v>
      </c>
      <c r="F349" s="88">
        <v>556</v>
      </c>
      <c r="G349" s="88" t="s">
        <v>378</v>
      </c>
      <c r="H349" s="88" t="s">
        <v>1019</v>
      </c>
      <c r="I349" s="88" t="s">
        <v>367</v>
      </c>
      <c r="J349" s="88" t="s">
        <v>393</v>
      </c>
      <c r="K349" s="88" t="s">
        <v>367</v>
      </c>
      <c r="L349" s="88" t="s">
        <v>394</v>
      </c>
      <c r="M349" s="94" t="str">
        <f t="shared" si="6"/>
        <v>View on Google Map</v>
      </c>
    </row>
    <row r="350" spans="1:13">
      <c r="A350" s="88">
        <v>134</v>
      </c>
      <c r="B350" s="88" t="s">
        <v>1020</v>
      </c>
      <c r="C350" s="88" t="s">
        <v>367</v>
      </c>
      <c r="D350" s="88">
        <v>70.349999999999994</v>
      </c>
      <c r="E350" s="88">
        <v>-148.58333333333334</v>
      </c>
      <c r="F350" s="88">
        <v>2</v>
      </c>
      <c r="G350" s="88" t="s">
        <v>378</v>
      </c>
      <c r="H350" s="88" t="s">
        <v>1021</v>
      </c>
      <c r="I350" s="88" t="s">
        <v>367</v>
      </c>
      <c r="J350" s="88" t="s">
        <v>393</v>
      </c>
      <c r="K350" s="88" t="s">
        <v>367</v>
      </c>
      <c r="L350" s="88" t="s">
        <v>394</v>
      </c>
      <c r="M350" s="94" t="str">
        <f t="shared" si="6"/>
        <v>View on Google Map</v>
      </c>
    </row>
    <row r="351" spans="1:13">
      <c r="A351" s="88">
        <v>128</v>
      </c>
      <c r="B351" s="88" t="s">
        <v>1022</v>
      </c>
      <c r="C351" s="88" t="s">
        <v>367</v>
      </c>
      <c r="D351" s="88">
        <v>69.033333333333331</v>
      </c>
      <c r="E351" s="88">
        <v>-148.85</v>
      </c>
      <c r="F351" s="88">
        <v>319</v>
      </c>
      <c r="G351" s="88" t="s">
        <v>378</v>
      </c>
      <c r="H351" s="88" t="s">
        <v>1023</v>
      </c>
      <c r="I351" s="88" t="s">
        <v>367</v>
      </c>
      <c r="J351" s="88" t="s">
        <v>393</v>
      </c>
      <c r="K351" s="88" t="s">
        <v>367</v>
      </c>
      <c r="L351" s="88" t="s">
        <v>394</v>
      </c>
      <c r="M351" s="94" t="str">
        <f t="shared" si="6"/>
        <v>View on Google Map</v>
      </c>
    </row>
    <row r="352" spans="1:13">
      <c r="A352" s="88">
        <v>139</v>
      </c>
      <c r="B352" s="88" t="s">
        <v>1024</v>
      </c>
      <c r="C352" s="88" t="s">
        <v>367</v>
      </c>
      <c r="D352" s="88">
        <v>70.216666666666669</v>
      </c>
      <c r="E352" s="88">
        <v>-142.46666666666701</v>
      </c>
      <c r="F352" s="88">
        <v>15</v>
      </c>
      <c r="G352" s="88" t="s">
        <v>378</v>
      </c>
      <c r="H352" s="88" t="s">
        <v>1025</v>
      </c>
      <c r="I352" s="88" t="s">
        <v>1026</v>
      </c>
      <c r="J352" s="88" t="s">
        <v>393</v>
      </c>
      <c r="K352" s="88" t="s">
        <v>367</v>
      </c>
      <c r="L352" s="88" t="s">
        <v>394</v>
      </c>
      <c r="M352" s="94" t="str">
        <f t="shared" si="6"/>
        <v>View on Google Map</v>
      </c>
    </row>
    <row r="353" spans="1:14">
      <c r="A353" s="88">
        <v>127</v>
      </c>
      <c r="B353" s="88" t="s">
        <v>1027</v>
      </c>
      <c r="C353" s="88" t="s">
        <v>367</v>
      </c>
      <c r="D353" s="88">
        <v>68.733333333333334</v>
      </c>
      <c r="E353" s="88">
        <v>-148.96666666666667</v>
      </c>
      <c r="F353" s="88">
        <v>597</v>
      </c>
      <c r="G353" s="88" t="s">
        <v>378</v>
      </c>
      <c r="H353" s="88" t="s">
        <v>1028</v>
      </c>
      <c r="I353" s="88" t="s">
        <v>367</v>
      </c>
      <c r="J353" s="88" t="s">
        <v>393</v>
      </c>
      <c r="K353" s="88" t="s">
        <v>367</v>
      </c>
      <c r="L353" s="88" t="s">
        <v>394</v>
      </c>
      <c r="M353" s="94" t="str">
        <f t="shared" si="6"/>
        <v>View on Google Map</v>
      </c>
    </row>
    <row r="354" spans="1:14">
      <c r="A354" s="88">
        <v>133</v>
      </c>
      <c r="B354" s="88" t="s">
        <v>1029</v>
      </c>
      <c r="C354" s="88" t="s">
        <v>367</v>
      </c>
      <c r="D354" s="88">
        <v>70.36666666666666</v>
      </c>
      <c r="E354" s="88">
        <v>-148.5</v>
      </c>
      <c r="F354" s="88">
        <v>2</v>
      </c>
      <c r="G354" s="88" t="s">
        <v>378</v>
      </c>
      <c r="H354" s="88" t="s">
        <v>1030</v>
      </c>
      <c r="I354" s="88" t="s">
        <v>367</v>
      </c>
      <c r="J354" s="88" t="s">
        <v>393</v>
      </c>
      <c r="K354" s="88" t="s">
        <v>367</v>
      </c>
      <c r="L354" s="88" t="s">
        <v>394</v>
      </c>
      <c r="M354" s="94" t="str">
        <f t="shared" si="6"/>
        <v>View on Google Map</v>
      </c>
    </row>
    <row r="355" spans="1:14">
      <c r="A355" s="88">
        <v>140</v>
      </c>
      <c r="B355" s="88" t="s">
        <v>1031</v>
      </c>
      <c r="C355" s="88" t="s">
        <v>367</v>
      </c>
      <c r="D355" s="88">
        <v>69.583333333333329</v>
      </c>
      <c r="E355" s="88">
        <v>-148.63333333333301</v>
      </c>
      <c r="F355" s="88">
        <v>145</v>
      </c>
      <c r="G355" s="88" t="s">
        <v>378</v>
      </c>
      <c r="H355" s="88" t="s">
        <v>1032</v>
      </c>
      <c r="I355" s="88" t="s">
        <v>1033</v>
      </c>
      <c r="J355" s="88" t="s">
        <v>393</v>
      </c>
      <c r="K355" s="88" t="s">
        <v>367</v>
      </c>
      <c r="L355" s="88" t="s">
        <v>394</v>
      </c>
      <c r="M355" s="94" t="str">
        <f t="shared" si="6"/>
        <v>View on Google Map</v>
      </c>
    </row>
    <row r="356" spans="1:14">
      <c r="A356" s="88">
        <v>247</v>
      </c>
      <c r="B356" s="88" t="s">
        <v>1034</v>
      </c>
      <c r="C356" s="88" t="s">
        <v>1035</v>
      </c>
      <c r="D356" s="88">
        <v>68.687318124800001</v>
      </c>
      <c r="E356" s="88">
        <v>-150.043661294</v>
      </c>
      <c r="F356" s="88">
        <v>670</v>
      </c>
      <c r="G356" s="88" t="s">
        <v>378</v>
      </c>
      <c r="H356" s="88" t="s">
        <v>1036</v>
      </c>
      <c r="I356" s="88" t="s">
        <v>367</v>
      </c>
      <c r="J356" s="88" t="s">
        <v>660</v>
      </c>
      <c r="K356" s="88" t="s">
        <v>367</v>
      </c>
      <c r="L356" s="88" t="s">
        <v>661</v>
      </c>
      <c r="M356" s="94" t="str">
        <f t="shared" si="6"/>
        <v>View on Google Map</v>
      </c>
      <c r="N356" s="88">
        <f t="shared" ref="N356:N419" si="7">VALUE(MID(H356,5,3))</f>
        <v>1</v>
      </c>
    </row>
    <row r="357" spans="1:14">
      <c r="A357" s="88">
        <v>248</v>
      </c>
      <c r="B357" s="88" t="s">
        <v>1037</v>
      </c>
      <c r="C357" s="88" t="s">
        <v>1038</v>
      </c>
      <c r="D357" s="88">
        <v>68.691799913400004</v>
      </c>
      <c r="E357" s="88">
        <v>-150.04995633499999</v>
      </c>
      <c r="F357" s="88">
        <v>670</v>
      </c>
      <c r="G357" s="88" t="s">
        <v>378</v>
      </c>
      <c r="H357" s="88" t="s">
        <v>1039</v>
      </c>
      <c r="I357" s="88" t="s">
        <v>367</v>
      </c>
      <c r="J357" s="88" t="s">
        <v>660</v>
      </c>
      <c r="K357" s="88" t="s">
        <v>367</v>
      </c>
      <c r="L357" s="88" t="s">
        <v>661</v>
      </c>
      <c r="M357" s="94" t="str">
        <f t="shared" si="6"/>
        <v>View on Google Map</v>
      </c>
      <c r="N357" s="88">
        <f t="shared" si="7"/>
        <v>2</v>
      </c>
    </row>
    <row r="358" spans="1:14">
      <c r="A358" s="88">
        <v>249</v>
      </c>
      <c r="B358" s="88" t="s">
        <v>1040</v>
      </c>
      <c r="C358" s="88" t="s">
        <v>1041</v>
      </c>
      <c r="D358" s="88">
        <v>68.692272706200001</v>
      </c>
      <c r="E358" s="88">
        <v>-150.05393183499999</v>
      </c>
      <c r="F358" s="88">
        <v>670</v>
      </c>
      <c r="G358" s="88" t="s">
        <v>378</v>
      </c>
      <c r="H358" s="88" t="s">
        <v>1042</v>
      </c>
      <c r="I358" s="88" t="s">
        <v>367</v>
      </c>
      <c r="J358" s="88" t="s">
        <v>660</v>
      </c>
      <c r="K358" s="88" t="s">
        <v>367</v>
      </c>
      <c r="L358" s="88" t="s">
        <v>661</v>
      </c>
      <c r="M358" s="94" t="str">
        <f t="shared" si="6"/>
        <v>View on Google Map</v>
      </c>
      <c r="N358" s="88">
        <f t="shared" si="7"/>
        <v>3</v>
      </c>
    </row>
    <row r="359" spans="1:14">
      <c r="A359" s="88">
        <v>250</v>
      </c>
      <c r="B359" s="88" t="s">
        <v>1043</v>
      </c>
      <c r="C359" s="88" t="s">
        <v>1044</v>
      </c>
      <c r="D359" s="88">
        <v>68.694180615799993</v>
      </c>
      <c r="E359" s="88">
        <v>-150.05828837300001</v>
      </c>
      <c r="F359" s="88">
        <v>670</v>
      </c>
      <c r="G359" s="88" t="s">
        <v>378</v>
      </c>
      <c r="H359" s="88" t="s">
        <v>1045</v>
      </c>
      <c r="I359" s="88" t="s">
        <v>367</v>
      </c>
      <c r="J359" s="88" t="s">
        <v>660</v>
      </c>
      <c r="K359" s="88" t="s">
        <v>367</v>
      </c>
      <c r="L359" s="88" t="s">
        <v>661</v>
      </c>
      <c r="M359" s="94" t="str">
        <f t="shared" si="6"/>
        <v>View on Google Map</v>
      </c>
      <c r="N359" s="88">
        <f t="shared" si="7"/>
        <v>4</v>
      </c>
    </row>
    <row r="360" spans="1:14">
      <c r="A360" s="88">
        <v>251</v>
      </c>
      <c r="B360" s="88" t="s">
        <v>1046</v>
      </c>
      <c r="C360" s="88" t="s">
        <v>1047</v>
      </c>
      <c r="D360" s="88">
        <v>68.7077131315</v>
      </c>
      <c r="E360" s="88">
        <v>-150.04654580600001</v>
      </c>
      <c r="F360" s="88">
        <v>580</v>
      </c>
      <c r="G360" s="88" t="s">
        <v>378</v>
      </c>
      <c r="H360" s="88" t="s">
        <v>1048</v>
      </c>
      <c r="I360" s="88" t="s">
        <v>367</v>
      </c>
      <c r="J360" s="88" t="s">
        <v>660</v>
      </c>
      <c r="K360" s="88" t="s">
        <v>367</v>
      </c>
      <c r="L360" s="88" t="s">
        <v>661</v>
      </c>
      <c r="M360" s="94" t="str">
        <f t="shared" si="6"/>
        <v>View on Google Map</v>
      </c>
      <c r="N360" s="88">
        <f t="shared" si="7"/>
        <v>5</v>
      </c>
    </row>
    <row r="361" spans="1:14">
      <c r="A361" s="88">
        <v>252</v>
      </c>
      <c r="B361" s="88" t="s">
        <v>1049</v>
      </c>
      <c r="C361" s="88" t="s">
        <v>1050</v>
      </c>
      <c r="D361" s="88">
        <v>68.713583961699996</v>
      </c>
      <c r="E361" s="88">
        <v>-150.03096474</v>
      </c>
      <c r="F361" s="88">
        <v>550</v>
      </c>
      <c r="G361" s="88" t="s">
        <v>378</v>
      </c>
      <c r="H361" s="88" t="s">
        <v>1051</v>
      </c>
      <c r="I361" s="88" t="s">
        <v>367</v>
      </c>
      <c r="J361" s="88" t="s">
        <v>660</v>
      </c>
      <c r="K361" s="88" t="s">
        <v>367</v>
      </c>
      <c r="L361" s="88" t="s">
        <v>661</v>
      </c>
      <c r="M361" s="94" t="str">
        <f t="shared" si="6"/>
        <v>View on Google Map</v>
      </c>
      <c r="N361" s="88">
        <f t="shared" si="7"/>
        <v>6</v>
      </c>
    </row>
    <row r="362" spans="1:14">
      <c r="A362" s="88">
        <v>253</v>
      </c>
      <c r="B362" s="88" t="s">
        <v>1052</v>
      </c>
      <c r="C362" s="88" t="s">
        <v>1053</v>
      </c>
      <c r="D362" s="88">
        <v>68.717696468200003</v>
      </c>
      <c r="E362" s="88">
        <v>-150.03558023400001</v>
      </c>
      <c r="F362" s="88">
        <v>550</v>
      </c>
      <c r="G362" s="88" t="s">
        <v>378</v>
      </c>
      <c r="H362" s="88" t="s">
        <v>1054</v>
      </c>
      <c r="I362" s="88" t="s">
        <v>367</v>
      </c>
      <c r="J362" s="88" t="s">
        <v>660</v>
      </c>
      <c r="K362" s="88" t="s">
        <v>367</v>
      </c>
      <c r="L362" s="88" t="s">
        <v>661</v>
      </c>
      <c r="M362" s="94" t="str">
        <f t="shared" si="6"/>
        <v>View on Google Map</v>
      </c>
      <c r="N362" s="88">
        <f t="shared" si="7"/>
        <v>7</v>
      </c>
    </row>
    <row r="363" spans="1:14">
      <c r="A363" s="88">
        <v>254</v>
      </c>
      <c r="B363" s="88" t="s">
        <v>1055</v>
      </c>
      <c r="C363" s="88" t="s">
        <v>1056</v>
      </c>
      <c r="D363" s="88">
        <v>68.724625849299997</v>
      </c>
      <c r="E363" s="88">
        <v>-150.02664640699999</v>
      </c>
      <c r="F363" s="88">
        <v>520</v>
      </c>
      <c r="G363" s="88" t="s">
        <v>378</v>
      </c>
      <c r="H363" s="88" t="s">
        <v>1057</v>
      </c>
      <c r="I363" s="88" t="s">
        <v>367</v>
      </c>
      <c r="J363" s="88" t="s">
        <v>660</v>
      </c>
      <c r="K363" s="88" t="s">
        <v>367</v>
      </c>
      <c r="L363" s="88" t="s">
        <v>661</v>
      </c>
      <c r="M363" s="94" t="str">
        <f t="shared" si="6"/>
        <v>View on Google Map</v>
      </c>
      <c r="N363" s="88">
        <f t="shared" si="7"/>
        <v>8</v>
      </c>
    </row>
    <row r="364" spans="1:14">
      <c r="A364" s="88">
        <v>255</v>
      </c>
      <c r="B364" s="88" t="s">
        <v>1058</v>
      </c>
      <c r="C364" s="88" t="s">
        <v>1059</v>
      </c>
      <c r="D364" s="88">
        <v>68.728073916699998</v>
      </c>
      <c r="E364" s="88">
        <v>-150.03359923599999</v>
      </c>
      <c r="F364" s="88">
        <v>520</v>
      </c>
      <c r="G364" s="88" t="s">
        <v>378</v>
      </c>
      <c r="H364" s="88" t="s">
        <v>1060</v>
      </c>
      <c r="I364" s="88" t="s">
        <v>367</v>
      </c>
      <c r="J364" s="88" t="s">
        <v>660</v>
      </c>
      <c r="K364" s="88" t="s">
        <v>367</v>
      </c>
      <c r="L364" s="88" t="s">
        <v>661</v>
      </c>
      <c r="M364" s="94" t="str">
        <f t="shared" si="6"/>
        <v>View on Google Map</v>
      </c>
      <c r="N364" s="88">
        <f t="shared" si="7"/>
        <v>9</v>
      </c>
    </row>
    <row r="365" spans="1:14">
      <c r="A365" s="88">
        <v>256</v>
      </c>
      <c r="B365" s="88" t="s">
        <v>1061</v>
      </c>
      <c r="C365" s="88" t="s">
        <v>1062</v>
      </c>
      <c r="D365" s="88">
        <v>68.701700654700005</v>
      </c>
      <c r="E365" s="88">
        <v>-149.74902999599999</v>
      </c>
      <c r="F365" s="88">
        <v>760</v>
      </c>
      <c r="G365" s="88" t="s">
        <v>378</v>
      </c>
      <c r="H365" s="88" t="s">
        <v>1063</v>
      </c>
      <c r="I365" s="88" t="s">
        <v>367</v>
      </c>
      <c r="J365" s="88" t="s">
        <v>660</v>
      </c>
      <c r="K365" s="88" t="s">
        <v>367</v>
      </c>
      <c r="L365" s="88" t="s">
        <v>661</v>
      </c>
      <c r="M365" s="94" t="str">
        <f t="shared" si="6"/>
        <v>View on Google Map</v>
      </c>
      <c r="N365" s="88">
        <f t="shared" si="7"/>
        <v>10</v>
      </c>
    </row>
    <row r="366" spans="1:14">
      <c r="A366" s="88">
        <v>257</v>
      </c>
      <c r="B366" s="88" t="s">
        <v>1064</v>
      </c>
      <c r="C366" s="88" t="s">
        <v>1065</v>
      </c>
      <c r="D366" s="88">
        <v>68.701945515000006</v>
      </c>
      <c r="E366" s="88">
        <v>-149.745520981</v>
      </c>
      <c r="F366" s="88">
        <v>760</v>
      </c>
      <c r="G366" s="88" t="s">
        <v>378</v>
      </c>
      <c r="H366" s="88" t="s">
        <v>1066</v>
      </c>
      <c r="I366" s="88" t="s">
        <v>367</v>
      </c>
      <c r="J366" s="88" t="s">
        <v>660</v>
      </c>
      <c r="K366" s="88" t="s">
        <v>367</v>
      </c>
      <c r="L366" s="88" t="s">
        <v>661</v>
      </c>
      <c r="M366" s="94" t="str">
        <f t="shared" si="6"/>
        <v>View on Google Map</v>
      </c>
      <c r="N366" s="88">
        <f t="shared" si="7"/>
        <v>11</v>
      </c>
    </row>
    <row r="367" spans="1:14">
      <c r="A367" s="88">
        <v>258</v>
      </c>
      <c r="B367" s="88" t="s">
        <v>1067</v>
      </c>
      <c r="C367" s="88" t="s">
        <v>1068</v>
      </c>
      <c r="D367" s="88">
        <v>68.704802601699996</v>
      </c>
      <c r="E367" s="88">
        <v>-149.73409678600001</v>
      </c>
      <c r="F367" s="88">
        <v>730</v>
      </c>
      <c r="G367" s="88" t="s">
        <v>378</v>
      </c>
      <c r="H367" s="88" t="s">
        <v>1069</v>
      </c>
      <c r="I367" s="88" t="s">
        <v>367</v>
      </c>
      <c r="J367" s="88" t="s">
        <v>660</v>
      </c>
      <c r="K367" s="88" t="s">
        <v>367</v>
      </c>
      <c r="L367" s="88" t="s">
        <v>661</v>
      </c>
      <c r="M367" s="94" t="str">
        <f t="shared" si="6"/>
        <v>View on Google Map</v>
      </c>
      <c r="N367" s="88">
        <f t="shared" si="7"/>
        <v>12</v>
      </c>
    </row>
    <row r="368" spans="1:14">
      <c r="A368" s="88">
        <v>259</v>
      </c>
      <c r="B368" s="88" t="s">
        <v>1070</v>
      </c>
      <c r="C368" s="88" t="s">
        <v>1071</v>
      </c>
      <c r="D368" s="88">
        <v>68.703579720799993</v>
      </c>
      <c r="E368" s="88">
        <v>-149.717697128</v>
      </c>
      <c r="F368" s="88">
        <v>690</v>
      </c>
      <c r="G368" s="88" t="s">
        <v>378</v>
      </c>
      <c r="H368" s="88" t="s">
        <v>1072</v>
      </c>
      <c r="I368" s="88" t="s">
        <v>367</v>
      </c>
      <c r="J368" s="88" t="s">
        <v>660</v>
      </c>
      <c r="K368" s="88" t="s">
        <v>367</v>
      </c>
      <c r="L368" s="88" t="s">
        <v>661</v>
      </c>
      <c r="M368" s="94" t="str">
        <f t="shared" si="6"/>
        <v>View on Google Map</v>
      </c>
      <c r="N368" s="88">
        <f t="shared" si="7"/>
        <v>13</v>
      </c>
    </row>
    <row r="369" spans="1:14">
      <c r="A369" s="88">
        <v>260</v>
      </c>
      <c r="B369" s="88" t="s">
        <v>1073</v>
      </c>
      <c r="C369" s="88" t="s">
        <v>1074</v>
      </c>
      <c r="D369" s="88">
        <v>68.702004088500004</v>
      </c>
      <c r="E369" s="88">
        <v>-149.71011160800001</v>
      </c>
      <c r="F369" s="88">
        <v>650</v>
      </c>
      <c r="G369" s="88" t="s">
        <v>378</v>
      </c>
      <c r="H369" s="88" t="s">
        <v>1075</v>
      </c>
      <c r="I369" s="88" t="s">
        <v>367</v>
      </c>
      <c r="J369" s="88" t="s">
        <v>660</v>
      </c>
      <c r="K369" s="88" t="s">
        <v>367</v>
      </c>
      <c r="L369" s="88" t="s">
        <v>661</v>
      </c>
      <c r="M369" s="94" t="str">
        <f t="shared" si="6"/>
        <v>View on Google Map</v>
      </c>
      <c r="N369" s="88">
        <f t="shared" si="7"/>
        <v>14</v>
      </c>
    </row>
    <row r="370" spans="1:14">
      <c r="A370" s="88">
        <v>261</v>
      </c>
      <c r="B370" s="88" t="s">
        <v>1076</v>
      </c>
      <c r="C370" s="88" t="s">
        <v>1077</v>
      </c>
      <c r="D370" s="88">
        <v>68.707978848899998</v>
      </c>
      <c r="E370" s="88">
        <v>-149.715105897</v>
      </c>
      <c r="F370" s="88">
        <v>650</v>
      </c>
      <c r="G370" s="88" t="s">
        <v>378</v>
      </c>
      <c r="H370" s="88" t="s">
        <v>1078</v>
      </c>
      <c r="I370" s="88" t="s">
        <v>367</v>
      </c>
      <c r="J370" s="88" t="s">
        <v>660</v>
      </c>
      <c r="K370" s="88" t="s">
        <v>367</v>
      </c>
      <c r="L370" s="88" t="s">
        <v>661</v>
      </c>
      <c r="M370" s="94" t="str">
        <f t="shared" si="6"/>
        <v>View on Google Map</v>
      </c>
      <c r="N370" s="88">
        <f t="shared" si="7"/>
        <v>15</v>
      </c>
    </row>
    <row r="371" spans="1:14">
      <c r="A371" s="88">
        <v>262</v>
      </c>
      <c r="B371" s="88" t="s">
        <v>1079</v>
      </c>
      <c r="C371" s="88" t="s">
        <v>1080</v>
      </c>
      <c r="D371" s="88">
        <v>68.707847844300005</v>
      </c>
      <c r="E371" s="88">
        <v>-149.69962200099999</v>
      </c>
      <c r="F371" s="88">
        <v>650</v>
      </c>
      <c r="G371" s="88" t="s">
        <v>378</v>
      </c>
      <c r="H371" s="88" t="s">
        <v>1081</v>
      </c>
      <c r="I371" s="88" t="s">
        <v>367</v>
      </c>
      <c r="J371" s="88" t="s">
        <v>660</v>
      </c>
      <c r="K371" s="88" t="s">
        <v>367</v>
      </c>
      <c r="L371" s="88" t="s">
        <v>661</v>
      </c>
      <c r="M371" s="94" t="str">
        <f t="shared" si="6"/>
        <v>View on Google Map</v>
      </c>
      <c r="N371" s="88">
        <f t="shared" si="7"/>
        <v>16</v>
      </c>
    </row>
    <row r="372" spans="1:14">
      <c r="A372" s="88">
        <v>263</v>
      </c>
      <c r="B372" s="88" t="s">
        <v>1082</v>
      </c>
      <c r="C372" s="88" t="s">
        <v>1083</v>
      </c>
      <c r="D372" s="88">
        <v>68.7041606871</v>
      </c>
      <c r="E372" s="88">
        <v>-149.68743035400001</v>
      </c>
      <c r="F372" s="88">
        <v>650</v>
      </c>
      <c r="G372" s="88" t="s">
        <v>378</v>
      </c>
      <c r="H372" s="88" t="s">
        <v>1084</v>
      </c>
      <c r="I372" s="88" t="s">
        <v>367</v>
      </c>
      <c r="J372" s="88" t="s">
        <v>660</v>
      </c>
      <c r="K372" s="88" t="s">
        <v>367</v>
      </c>
      <c r="L372" s="88" t="s">
        <v>661</v>
      </c>
      <c r="M372" s="94" t="str">
        <f t="shared" si="6"/>
        <v>View on Google Map</v>
      </c>
      <c r="N372" s="88">
        <f t="shared" si="7"/>
        <v>17</v>
      </c>
    </row>
    <row r="373" spans="1:14">
      <c r="A373" s="88">
        <v>264</v>
      </c>
      <c r="B373" s="88" t="s">
        <v>1085</v>
      </c>
      <c r="C373" s="88" t="s">
        <v>1086</v>
      </c>
      <c r="D373" s="88">
        <v>68.699385523999993</v>
      </c>
      <c r="E373" s="88">
        <v>-149.69396666399999</v>
      </c>
      <c r="F373" s="88">
        <v>650</v>
      </c>
      <c r="G373" s="88" t="s">
        <v>378</v>
      </c>
      <c r="H373" s="88" t="s">
        <v>1087</v>
      </c>
      <c r="I373" s="88" t="s">
        <v>367</v>
      </c>
      <c r="J373" s="88" t="s">
        <v>660</v>
      </c>
      <c r="K373" s="88" t="s">
        <v>367</v>
      </c>
      <c r="L373" s="88" t="s">
        <v>661</v>
      </c>
      <c r="M373" s="94" t="str">
        <f t="shared" si="6"/>
        <v>View on Google Map</v>
      </c>
      <c r="N373" s="88">
        <f t="shared" si="7"/>
        <v>18</v>
      </c>
    </row>
    <row r="374" spans="1:14">
      <c r="A374" s="88">
        <v>265</v>
      </c>
      <c r="B374" s="88" t="s">
        <v>1088</v>
      </c>
      <c r="C374" s="88" t="s">
        <v>1089</v>
      </c>
      <c r="D374" s="88">
        <v>68.7022801743</v>
      </c>
      <c r="E374" s="88">
        <v>-149.70382138400001</v>
      </c>
      <c r="F374" s="88">
        <v>650</v>
      </c>
      <c r="G374" s="88" t="s">
        <v>378</v>
      </c>
      <c r="H374" s="88" t="s">
        <v>1090</v>
      </c>
      <c r="I374" s="88" t="s">
        <v>367</v>
      </c>
      <c r="J374" s="88" t="s">
        <v>660</v>
      </c>
      <c r="K374" s="88" t="s">
        <v>367</v>
      </c>
      <c r="L374" s="88" t="s">
        <v>661</v>
      </c>
      <c r="M374" s="94" t="str">
        <f t="shared" si="6"/>
        <v>View on Google Map</v>
      </c>
      <c r="N374" s="88">
        <f t="shared" si="7"/>
        <v>19</v>
      </c>
    </row>
    <row r="375" spans="1:14">
      <c r="A375" s="88">
        <v>266</v>
      </c>
      <c r="B375" s="88" t="s">
        <v>1091</v>
      </c>
      <c r="C375" s="88" t="s">
        <v>1092</v>
      </c>
      <c r="D375" s="88">
        <v>68.691324054399999</v>
      </c>
      <c r="E375" s="88">
        <v>-149.78520674699999</v>
      </c>
      <c r="F375" s="88">
        <v>650</v>
      </c>
      <c r="G375" s="88" t="s">
        <v>378</v>
      </c>
      <c r="H375" s="88" t="s">
        <v>1093</v>
      </c>
      <c r="I375" s="88" t="s">
        <v>367</v>
      </c>
      <c r="J375" s="88" t="s">
        <v>660</v>
      </c>
      <c r="K375" s="88" t="s">
        <v>367</v>
      </c>
      <c r="L375" s="88" t="s">
        <v>661</v>
      </c>
      <c r="M375" s="94" t="str">
        <f t="shared" si="6"/>
        <v>View on Google Map</v>
      </c>
      <c r="N375" s="88">
        <f t="shared" si="7"/>
        <v>20</v>
      </c>
    </row>
    <row r="376" spans="1:14">
      <c r="A376" s="88">
        <v>267</v>
      </c>
      <c r="B376" s="88" t="s">
        <v>1094</v>
      </c>
      <c r="C376" s="88" t="s">
        <v>1095</v>
      </c>
      <c r="D376" s="88">
        <v>68.682528721799997</v>
      </c>
      <c r="E376" s="88">
        <v>-149.77156908800001</v>
      </c>
      <c r="F376" s="88">
        <v>630</v>
      </c>
      <c r="G376" s="88" t="s">
        <v>378</v>
      </c>
      <c r="H376" s="88" t="s">
        <v>1096</v>
      </c>
      <c r="I376" s="88" t="s">
        <v>367</v>
      </c>
      <c r="J376" s="88" t="s">
        <v>660</v>
      </c>
      <c r="K376" s="88" t="s">
        <v>367</v>
      </c>
      <c r="L376" s="88" t="s">
        <v>661</v>
      </c>
      <c r="M376" s="94" t="str">
        <f t="shared" si="6"/>
        <v>View on Google Map</v>
      </c>
      <c r="N376" s="88">
        <f t="shared" si="7"/>
        <v>21</v>
      </c>
    </row>
    <row r="377" spans="1:14">
      <c r="A377" s="88">
        <v>268</v>
      </c>
      <c r="B377" s="88" t="s">
        <v>1097</v>
      </c>
      <c r="C377" s="88" t="s">
        <v>1098</v>
      </c>
      <c r="D377" s="88">
        <v>68.6833666064</v>
      </c>
      <c r="E377" s="88">
        <v>-149.78602037900001</v>
      </c>
      <c r="F377" s="88">
        <v>620</v>
      </c>
      <c r="G377" s="88" t="s">
        <v>378</v>
      </c>
      <c r="H377" s="88" t="s">
        <v>1099</v>
      </c>
      <c r="I377" s="88" t="s">
        <v>367</v>
      </c>
      <c r="J377" s="88" t="s">
        <v>660</v>
      </c>
      <c r="K377" s="88" t="s">
        <v>367</v>
      </c>
      <c r="L377" s="88" t="s">
        <v>661</v>
      </c>
      <c r="M377" s="94" t="str">
        <f t="shared" si="6"/>
        <v>View on Google Map</v>
      </c>
      <c r="N377" s="88">
        <f t="shared" si="7"/>
        <v>22</v>
      </c>
    </row>
    <row r="378" spans="1:14">
      <c r="A378" s="88">
        <v>269</v>
      </c>
      <c r="B378" s="88" t="s">
        <v>1100</v>
      </c>
      <c r="C378" s="88" t="s">
        <v>1101</v>
      </c>
      <c r="D378" s="88">
        <v>68.685049484000004</v>
      </c>
      <c r="E378" s="88">
        <v>-149.801322572</v>
      </c>
      <c r="F378" s="88">
        <v>590</v>
      </c>
      <c r="G378" s="88" t="s">
        <v>378</v>
      </c>
      <c r="H378" s="88" t="s">
        <v>1102</v>
      </c>
      <c r="I378" s="88" t="s">
        <v>367</v>
      </c>
      <c r="J378" s="88" t="s">
        <v>660</v>
      </c>
      <c r="K378" s="88" t="s">
        <v>367</v>
      </c>
      <c r="L378" s="88" t="s">
        <v>661</v>
      </c>
      <c r="M378" s="94" t="str">
        <f t="shared" si="6"/>
        <v>View on Google Map</v>
      </c>
      <c r="N378" s="88">
        <f t="shared" si="7"/>
        <v>23</v>
      </c>
    </row>
    <row r="379" spans="1:14">
      <c r="A379" s="88">
        <v>270</v>
      </c>
      <c r="B379" s="88" t="s">
        <v>1103</v>
      </c>
      <c r="C379" s="88" t="s">
        <v>1104</v>
      </c>
      <c r="D379" s="88">
        <v>68.6853960145</v>
      </c>
      <c r="E379" s="88">
        <v>-149.80798693200001</v>
      </c>
      <c r="F379" s="88">
        <v>590</v>
      </c>
      <c r="G379" s="88" t="s">
        <v>378</v>
      </c>
      <c r="H379" s="88" t="s">
        <v>1105</v>
      </c>
      <c r="I379" s="88" t="s">
        <v>367</v>
      </c>
      <c r="J379" s="88" t="s">
        <v>660</v>
      </c>
      <c r="K379" s="88" t="s">
        <v>367</v>
      </c>
      <c r="L379" s="88" t="s">
        <v>661</v>
      </c>
      <c r="M379" s="94" t="str">
        <f t="shared" si="6"/>
        <v>View on Google Map</v>
      </c>
      <c r="N379" s="88">
        <f t="shared" si="7"/>
        <v>24</v>
      </c>
    </row>
    <row r="380" spans="1:14">
      <c r="A380" s="88">
        <v>271</v>
      </c>
      <c r="B380" s="88" t="s">
        <v>1106</v>
      </c>
      <c r="C380" s="88" t="s">
        <v>1107</v>
      </c>
      <c r="D380" s="88">
        <v>68.682885549900007</v>
      </c>
      <c r="E380" s="88">
        <v>-149.809163652</v>
      </c>
      <c r="F380" s="88">
        <v>590</v>
      </c>
      <c r="G380" s="88" t="s">
        <v>378</v>
      </c>
      <c r="H380" s="88" t="s">
        <v>1108</v>
      </c>
      <c r="I380" s="88" t="s">
        <v>367</v>
      </c>
      <c r="J380" s="88" t="s">
        <v>660</v>
      </c>
      <c r="K380" s="88" t="s">
        <v>367</v>
      </c>
      <c r="L380" s="88" t="s">
        <v>661</v>
      </c>
      <c r="M380" s="94" t="str">
        <f t="shared" si="6"/>
        <v>View on Google Map</v>
      </c>
      <c r="N380" s="88">
        <f t="shared" si="7"/>
        <v>25</v>
      </c>
    </row>
    <row r="381" spans="1:14">
      <c r="A381" s="88">
        <v>272</v>
      </c>
      <c r="B381" s="88" t="s">
        <v>1109</v>
      </c>
      <c r="C381" s="88" t="s">
        <v>1110</v>
      </c>
      <c r="D381" s="88">
        <v>68.682270906200003</v>
      </c>
      <c r="E381" s="88">
        <v>-149.81202356599999</v>
      </c>
      <c r="F381" s="88" t="s">
        <v>367</v>
      </c>
      <c r="G381" s="88" t="s">
        <v>378</v>
      </c>
      <c r="H381" s="88" t="s">
        <v>1111</v>
      </c>
      <c r="I381" s="88" t="s">
        <v>367</v>
      </c>
      <c r="J381" s="88" t="s">
        <v>660</v>
      </c>
      <c r="K381" s="88" t="s">
        <v>367</v>
      </c>
      <c r="L381" s="88" t="s">
        <v>661</v>
      </c>
      <c r="M381" s="94" t="str">
        <f t="shared" si="6"/>
        <v>View on Google Map</v>
      </c>
      <c r="N381" s="88">
        <f t="shared" si="7"/>
        <v>26</v>
      </c>
    </row>
    <row r="382" spans="1:14">
      <c r="A382" s="88">
        <v>315</v>
      </c>
      <c r="B382" s="88" t="s">
        <v>1112</v>
      </c>
      <c r="C382" s="88" t="s">
        <v>1113</v>
      </c>
      <c r="D382" s="88">
        <v>68.568206306199997</v>
      </c>
      <c r="E382" s="88">
        <v>-149.167395043</v>
      </c>
      <c r="F382" s="88" t="s">
        <v>367</v>
      </c>
      <c r="G382" s="88" t="s">
        <v>378</v>
      </c>
      <c r="H382" s="88" t="s">
        <v>1114</v>
      </c>
      <c r="I382" s="88" t="s">
        <v>367</v>
      </c>
      <c r="J382" s="88" t="s">
        <v>660</v>
      </c>
      <c r="K382" s="88" t="s">
        <v>367</v>
      </c>
      <c r="L382" s="88" t="s">
        <v>661</v>
      </c>
      <c r="M382" s="94" t="str">
        <f t="shared" si="6"/>
        <v>View on Google Map</v>
      </c>
      <c r="N382" s="88">
        <f t="shared" si="7"/>
        <v>27</v>
      </c>
    </row>
    <row r="383" spans="1:14">
      <c r="A383" s="88">
        <v>316</v>
      </c>
      <c r="B383" s="88" t="s">
        <v>1115</v>
      </c>
      <c r="C383" s="88" t="s">
        <v>1116</v>
      </c>
      <c r="D383" s="88">
        <v>68.563566134699997</v>
      </c>
      <c r="E383" s="88">
        <v>-149.17548626199999</v>
      </c>
      <c r="F383" s="88" t="s">
        <v>367</v>
      </c>
      <c r="G383" s="88" t="s">
        <v>378</v>
      </c>
      <c r="H383" s="88" t="s">
        <v>1117</v>
      </c>
      <c r="I383" s="88" t="s">
        <v>367</v>
      </c>
      <c r="J383" s="88" t="s">
        <v>660</v>
      </c>
      <c r="K383" s="88" t="s">
        <v>367</v>
      </c>
      <c r="L383" s="88" t="s">
        <v>661</v>
      </c>
      <c r="M383" s="94" t="str">
        <f t="shared" si="6"/>
        <v>View on Google Map</v>
      </c>
      <c r="N383" s="88">
        <f t="shared" si="7"/>
        <v>28</v>
      </c>
    </row>
    <row r="384" spans="1:14">
      <c r="A384" s="88">
        <v>317</v>
      </c>
      <c r="B384" s="88" t="s">
        <v>1118</v>
      </c>
      <c r="C384" s="88" t="s">
        <v>1119</v>
      </c>
      <c r="D384" s="88">
        <v>68.567753827800004</v>
      </c>
      <c r="E384" s="88">
        <v>-149.18255546</v>
      </c>
      <c r="F384" s="88" t="s">
        <v>367</v>
      </c>
      <c r="G384" s="88" t="s">
        <v>378</v>
      </c>
      <c r="H384" s="88" t="s">
        <v>1120</v>
      </c>
      <c r="I384" s="88" t="s">
        <v>367</v>
      </c>
      <c r="J384" s="88" t="s">
        <v>660</v>
      </c>
      <c r="K384" s="88" t="s">
        <v>367</v>
      </c>
      <c r="L384" s="88" t="s">
        <v>661</v>
      </c>
      <c r="M384" s="94" t="str">
        <f t="shared" si="6"/>
        <v>View on Google Map</v>
      </c>
      <c r="N384" s="88">
        <f t="shared" si="7"/>
        <v>29</v>
      </c>
    </row>
    <row r="385" spans="1:14">
      <c r="A385" s="88">
        <v>318</v>
      </c>
      <c r="B385" s="88" t="s">
        <v>1121</v>
      </c>
      <c r="C385" s="88" t="s">
        <v>1122</v>
      </c>
      <c r="D385" s="88">
        <v>68.575143231300004</v>
      </c>
      <c r="E385" s="88">
        <v>-149.187493434</v>
      </c>
      <c r="F385" s="88">
        <v>899</v>
      </c>
      <c r="G385" s="88" t="s">
        <v>378</v>
      </c>
      <c r="H385" s="88" t="s">
        <v>1123</v>
      </c>
      <c r="I385" s="88" t="s">
        <v>367</v>
      </c>
      <c r="J385" s="88" t="s">
        <v>660</v>
      </c>
      <c r="K385" s="88" t="s">
        <v>367</v>
      </c>
      <c r="L385" s="88" t="s">
        <v>661</v>
      </c>
      <c r="M385" s="94" t="str">
        <f t="shared" si="6"/>
        <v>View on Google Map</v>
      </c>
      <c r="N385" s="88">
        <f t="shared" si="7"/>
        <v>30</v>
      </c>
    </row>
    <row r="386" spans="1:14">
      <c r="A386" s="88">
        <v>319</v>
      </c>
      <c r="B386" s="88" t="s">
        <v>1124</v>
      </c>
      <c r="C386" s="88" t="s">
        <v>1125</v>
      </c>
      <c r="D386" s="88">
        <v>68.575979722100001</v>
      </c>
      <c r="E386" s="88">
        <v>-149.19939190100001</v>
      </c>
      <c r="F386" s="88" t="s">
        <v>367</v>
      </c>
      <c r="G386" s="88" t="s">
        <v>378</v>
      </c>
      <c r="H386" s="88" t="s">
        <v>1126</v>
      </c>
      <c r="I386" s="88" t="s">
        <v>367</v>
      </c>
      <c r="J386" s="88" t="s">
        <v>660</v>
      </c>
      <c r="K386" s="88" t="s">
        <v>367</v>
      </c>
      <c r="L386" s="88" t="s">
        <v>661</v>
      </c>
      <c r="M386" s="94" t="str">
        <f t="shared" si="6"/>
        <v>View on Google Map</v>
      </c>
      <c r="N386" s="88">
        <f t="shared" si="7"/>
        <v>31</v>
      </c>
    </row>
    <row r="387" spans="1:14">
      <c r="A387" s="88">
        <v>320</v>
      </c>
      <c r="B387" s="88" t="s">
        <v>1127</v>
      </c>
      <c r="C387" s="88" t="s">
        <v>1128</v>
      </c>
      <c r="D387" s="88">
        <v>68.576887217199996</v>
      </c>
      <c r="E387" s="88">
        <v>-149.17782305899999</v>
      </c>
      <c r="F387" s="88">
        <v>891</v>
      </c>
      <c r="G387" s="88" t="s">
        <v>378</v>
      </c>
      <c r="H387" s="88" t="s">
        <v>1129</v>
      </c>
      <c r="I387" s="88" t="s">
        <v>367</v>
      </c>
      <c r="J387" s="88" t="s">
        <v>660</v>
      </c>
      <c r="K387" s="88" t="s">
        <v>367</v>
      </c>
      <c r="L387" s="88" t="s">
        <v>661</v>
      </c>
      <c r="M387" s="94" t="str">
        <f t="shared" ref="M387:M450" si="8">HYPERLINK("http://maps.google.com/maps?q="&amp;D387&amp;","&amp;E387,"View on Google Map")</f>
        <v>View on Google Map</v>
      </c>
      <c r="N387" s="88">
        <f t="shared" si="7"/>
        <v>32</v>
      </c>
    </row>
    <row r="388" spans="1:14">
      <c r="A388" s="88">
        <v>321</v>
      </c>
      <c r="B388" s="88" t="s">
        <v>1130</v>
      </c>
      <c r="C388" s="88" t="s">
        <v>1131</v>
      </c>
      <c r="D388" s="88">
        <v>68.581215404199995</v>
      </c>
      <c r="E388" s="88">
        <v>-149.17874205800001</v>
      </c>
      <c r="F388" s="88">
        <v>891</v>
      </c>
      <c r="G388" s="88" t="s">
        <v>378</v>
      </c>
      <c r="H388" s="88" t="s">
        <v>1132</v>
      </c>
      <c r="I388" s="88" t="s">
        <v>367</v>
      </c>
      <c r="J388" s="88" t="s">
        <v>660</v>
      </c>
      <c r="K388" s="88" t="s">
        <v>367</v>
      </c>
      <c r="L388" s="88" t="s">
        <v>661</v>
      </c>
      <c r="M388" s="94" t="str">
        <f t="shared" si="8"/>
        <v>View on Google Map</v>
      </c>
      <c r="N388" s="88">
        <f t="shared" si="7"/>
        <v>33</v>
      </c>
    </row>
    <row r="389" spans="1:14">
      <c r="A389" s="88">
        <v>322</v>
      </c>
      <c r="B389" s="88" t="s">
        <v>1133</v>
      </c>
      <c r="C389" s="88" t="s">
        <v>1134</v>
      </c>
      <c r="D389" s="88">
        <v>68.587382761699999</v>
      </c>
      <c r="E389" s="88">
        <v>-149.144248847</v>
      </c>
      <c r="F389" s="88" t="s">
        <v>367</v>
      </c>
      <c r="G389" s="88" t="s">
        <v>378</v>
      </c>
      <c r="H389" s="88" t="s">
        <v>1135</v>
      </c>
      <c r="I389" s="88" t="s">
        <v>367</v>
      </c>
      <c r="J389" s="88" t="s">
        <v>660</v>
      </c>
      <c r="K389" s="88" t="s">
        <v>367</v>
      </c>
      <c r="L389" s="88" t="s">
        <v>661</v>
      </c>
      <c r="M389" s="94" t="str">
        <f t="shared" si="8"/>
        <v>View on Google Map</v>
      </c>
      <c r="N389" s="88">
        <f t="shared" si="7"/>
        <v>34</v>
      </c>
    </row>
    <row r="390" spans="1:14">
      <c r="A390" s="88">
        <v>323</v>
      </c>
      <c r="B390" s="88" t="s">
        <v>1136</v>
      </c>
      <c r="C390" s="88" t="s">
        <v>1137</v>
      </c>
      <c r="D390" s="88">
        <v>68.548407480700007</v>
      </c>
      <c r="E390" s="88">
        <v>-150.03700547700001</v>
      </c>
      <c r="F390" s="88" t="s">
        <v>367</v>
      </c>
      <c r="G390" s="88" t="s">
        <v>378</v>
      </c>
      <c r="H390" s="88" t="s">
        <v>1138</v>
      </c>
      <c r="I390" s="88" t="s">
        <v>367</v>
      </c>
      <c r="J390" s="88" t="s">
        <v>660</v>
      </c>
      <c r="K390" s="88" t="s">
        <v>367</v>
      </c>
      <c r="L390" s="88" t="s">
        <v>661</v>
      </c>
      <c r="M390" s="94" t="str">
        <f t="shared" si="8"/>
        <v>View on Google Map</v>
      </c>
      <c r="N390" s="88">
        <f t="shared" si="7"/>
        <v>35</v>
      </c>
    </row>
    <row r="391" spans="1:14">
      <c r="A391" s="88">
        <v>324</v>
      </c>
      <c r="B391" s="88" t="s">
        <v>1139</v>
      </c>
      <c r="C391" s="88" t="s">
        <v>1140</v>
      </c>
      <c r="D391" s="88">
        <v>68.550052273099993</v>
      </c>
      <c r="E391" s="88">
        <v>-150.02948327199999</v>
      </c>
      <c r="F391" s="88" t="s">
        <v>367</v>
      </c>
      <c r="G391" s="88" t="s">
        <v>378</v>
      </c>
      <c r="H391" s="88" t="s">
        <v>1141</v>
      </c>
      <c r="I391" s="88" t="s">
        <v>367</v>
      </c>
      <c r="J391" s="88" t="s">
        <v>660</v>
      </c>
      <c r="K391" s="88" t="s">
        <v>367</v>
      </c>
      <c r="L391" s="88" t="s">
        <v>661</v>
      </c>
      <c r="M391" s="94" t="str">
        <f t="shared" si="8"/>
        <v>View on Google Map</v>
      </c>
      <c r="N391" s="88">
        <f t="shared" si="7"/>
        <v>36</v>
      </c>
    </row>
    <row r="392" spans="1:14">
      <c r="A392" s="88">
        <v>325</v>
      </c>
      <c r="B392" s="88" t="s">
        <v>1142</v>
      </c>
      <c r="C392" s="88" t="s">
        <v>1143</v>
      </c>
      <c r="D392" s="88">
        <v>68.5460242857</v>
      </c>
      <c r="E392" s="88">
        <v>-150.02463014</v>
      </c>
      <c r="F392" s="88" t="s">
        <v>367</v>
      </c>
      <c r="G392" s="88" t="s">
        <v>378</v>
      </c>
      <c r="H392" s="88" t="s">
        <v>1144</v>
      </c>
      <c r="I392" s="88" t="s">
        <v>367</v>
      </c>
      <c r="J392" s="88" t="s">
        <v>660</v>
      </c>
      <c r="K392" s="88" t="s">
        <v>367</v>
      </c>
      <c r="L392" s="88" t="s">
        <v>661</v>
      </c>
      <c r="M392" s="94" t="str">
        <f t="shared" si="8"/>
        <v>View on Google Map</v>
      </c>
      <c r="N392" s="88">
        <f t="shared" si="7"/>
        <v>37</v>
      </c>
    </row>
    <row r="393" spans="1:14">
      <c r="A393" s="88">
        <v>326</v>
      </c>
      <c r="B393" s="88" t="s">
        <v>1145</v>
      </c>
      <c r="C393" s="88" t="s">
        <v>1146</v>
      </c>
      <c r="D393" s="88">
        <v>68.550135830100004</v>
      </c>
      <c r="E393" s="88">
        <v>-150.01499602000001</v>
      </c>
      <c r="F393" s="88" t="s">
        <v>367</v>
      </c>
      <c r="G393" s="88" t="s">
        <v>378</v>
      </c>
      <c r="H393" s="88" t="s">
        <v>1147</v>
      </c>
      <c r="I393" s="88" t="s">
        <v>367</v>
      </c>
      <c r="J393" s="88" t="s">
        <v>660</v>
      </c>
      <c r="K393" s="88" t="s">
        <v>367</v>
      </c>
      <c r="L393" s="88" t="s">
        <v>661</v>
      </c>
      <c r="M393" s="94" t="str">
        <f t="shared" si="8"/>
        <v>View on Google Map</v>
      </c>
      <c r="N393" s="88">
        <f t="shared" si="7"/>
        <v>38</v>
      </c>
    </row>
    <row r="394" spans="1:14">
      <c r="A394" s="88">
        <v>327</v>
      </c>
      <c r="B394" s="88" t="s">
        <v>1148</v>
      </c>
      <c r="C394" s="88" t="s">
        <v>1149</v>
      </c>
      <c r="D394" s="88">
        <v>68.556356553000001</v>
      </c>
      <c r="E394" s="88">
        <v>-150.01283142599999</v>
      </c>
      <c r="F394" s="88" t="s">
        <v>367</v>
      </c>
      <c r="G394" s="88" t="s">
        <v>378</v>
      </c>
      <c r="H394" s="88" t="s">
        <v>1150</v>
      </c>
      <c r="I394" s="88" t="s">
        <v>367</v>
      </c>
      <c r="J394" s="88" t="s">
        <v>660</v>
      </c>
      <c r="K394" s="88" t="s">
        <v>367</v>
      </c>
      <c r="L394" s="88" t="s">
        <v>661</v>
      </c>
      <c r="M394" s="94" t="str">
        <f t="shared" si="8"/>
        <v>View on Google Map</v>
      </c>
      <c r="N394" s="88">
        <f t="shared" si="7"/>
        <v>39</v>
      </c>
    </row>
    <row r="395" spans="1:14">
      <c r="A395" s="88">
        <v>328</v>
      </c>
      <c r="B395" s="88" t="s">
        <v>1151</v>
      </c>
      <c r="C395" s="88" t="s">
        <v>1152</v>
      </c>
      <c r="D395" s="88">
        <v>68.565564884200001</v>
      </c>
      <c r="E395" s="88">
        <v>-150.00164362699999</v>
      </c>
      <c r="F395" s="88" t="s">
        <v>367</v>
      </c>
      <c r="G395" s="88" t="s">
        <v>378</v>
      </c>
      <c r="H395" s="88" t="s">
        <v>1153</v>
      </c>
      <c r="I395" s="88" t="s">
        <v>367</v>
      </c>
      <c r="J395" s="88" t="s">
        <v>660</v>
      </c>
      <c r="K395" s="88" t="s">
        <v>367</v>
      </c>
      <c r="L395" s="88" t="s">
        <v>661</v>
      </c>
      <c r="M395" s="94" t="str">
        <f t="shared" si="8"/>
        <v>View on Google Map</v>
      </c>
      <c r="N395" s="88">
        <f t="shared" si="7"/>
        <v>40</v>
      </c>
    </row>
    <row r="396" spans="1:14">
      <c r="A396" s="88">
        <v>329</v>
      </c>
      <c r="B396" s="88" t="s">
        <v>1154</v>
      </c>
      <c r="C396" s="88" t="s">
        <v>1155</v>
      </c>
      <c r="D396" s="88">
        <v>68.567838099200003</v>
      </c>
      <c r="E396" s="88">
        <v>-149.99849875500001</v>
      </c>
      <c r="F396" s="88" t="s">
        <v>367</v>
      </c>
      <c r="G396" s="88" t="s">
        <v>378</v>
      </c>
      <c r="H396" s="88" t="s">
        <v>1156</v>
      </c>
      <c r="I396" s="88" t="s">
        <v>367</v>
      </c>
      <c r="J396" s="88" t="s">
        <v>660</v>
      </c>
      <c r="K396" s="88" t="s">
        <v>367</v>
      </c>
      <c r="L396" s="88" t="s">
        <v>661</v>
      </c>
      <c r="M396" s="94" t="str">
        <f t="shared" si="8"/>
        <v>View on Google Map</v>
      </c>
      <c r="N396" s="88">
        <f t="shared" si="7"/>
        <v>41</v>
      </c>
    </row>
    <row r="397" spans="1:14">
      <c r="A397" s="88">
        <v>330</v>
      </c>
      <c r="B397" s="88" t="s">
        <v>1157</v>
      </c>
      <c r="C397" s="88" t="s">
        <v>1158</v>
      </c>
      <c r="D397" s="88">
        <v>68.5855663241</v>
      </c>
      <c r="E397" s="88">
        <v>-149.98167511</v>
      </c>
      <c r="F397" s="88" t="s">
        <v>367</v>
      </c>
      <c r="G397" s="88" t="s">
        <v>378</v>
      </c>
      <c r="H397" s="88" t="s">
        <v>1159</v>
      </c>
      <c r="I397" s="88" t="s">
        <v>367</v>
      </c>
      <c r="J397" s="88" t="s">
        <v>660</v>
      </c>
      <c r="K397" s="88" t="s">
        <v>367</v>
      </c>
      <c r="L397" s="88" t="s">
        <v>661</v>
      </c>
      <c r="M397" s="94" t="str">
        <f t="shared" si="8"/>
        <v>View on Google Map</v>
      </c>
      <c r="N397" s="88">
        <f t="shared" si="7"/>
        <v>42</v>
      </c>
    </row>
    <row r="398" spans="1:14">
      <c r="A398" s="88">
        <v>331</v>
      </c>
      <c r="B398" s="88" t="s">
        <v>1160</v>
      </c>
      <c r="C398" s="88" t="s">
        <v>1161</v>
      </c>
      <c r="D398" s="88">
        <v>68.534049837699996</v>
      </c>
      <c r="E398" s="88">
        <v>-149.157309078</v>
      </c>
      <c r="F398" s="88">
        <v>926</v>
      </c>
      <c r="G398" s="88" t="s">
        <v>378</v>
      </c>
      <c r="H398" s="88" t="s">
        <v>1162</v>
      </c>
      <c r="I398" s="88" t="s">
        <v>367</v>
      </c>
      <c r="J398" s="88" t="s">
        <v>660</v>
      </c>
      <c r="K398" s="88" t="s">
        <v>367</v>
      </c>
      <c r="L398" s="88" t="s">
        <v>661</v>
      </c>
      <c r="M398" s="94" t="str">
        <f t="shared" si="8"/>
        <v>View on Google Map</v>
      </c>
      <c r="N398" s="88">
        <f t="shared" si="7"/>
        <v>43</v>
      </c>
    </row>
    <row r="399" spans="1:14">
      <c r="A399" s="88">
        <v>332</v>
      </c>
      <c r="B399" s="88" t="s">
        <v>1163</v>
      </c>
      <c r="C399" s="88" t="s">
        <v>1164</v>
      </c>
      <c r="D399" s="88">
        <v>68.533584622000006</v>
      </c>
      <c r="E399" s="88">
        <v>-149.16705049699999</v>
      </c>
      <c r="F399" s="88" t="s">
        <v>367</v>
      </c>
      <c r="G399" s="88" t="s">
        <v>378</v>
      </c>
      <c r="H399" s="88" t="s">
        <v>1165</v>
      </c>
      <c r="I399" s="88" t="s">
        <v>367</v>
      </c>
      <c r="J399" s="88" t="s">
        <v>660</v>
      </c>
      <c r="K399" s="88" t="s">
        <v>367</v>
      </c>
      <c r="L399" s="88" t="s">
        <v>661</v>
      </c>
      <c r="M399" s="94" t="str">
        <f t="shared" si="8"/>
        <v>View on Google Map</v>
      </c>
      <c r="N399" s="88">
        <f t="shared" si="7"/>
        <v>44</v>
      </c>
    </row>
    <row r="400" spans="1:14">
      <c r="A400" s="88">
        <v>333</v>
      </c>
      <c r="B400" s="88" t="s">
        <v>1166</v>
      </c>
      <c r="C400" s="88" t="s">
        <v>1167</v>
      </c>
      <c r="D400" s="88">
        <v>68.533269411600003</v>
      </c>
      <c r="E400" s="88">
        <v>-149.19565723900001</v>
      </c>
      <c r="F400" s="88">
        <v>899</v>
      </c>
      <c r="G400" s="88" t="s">
        <v>378</v>
      </c>
      <c r="H400" s="88" t="s">
        <v>1168</v>
      </c>
      <c r="I400" s="88" t="s">
        <v>367</v>
      </c>
      <c r="J400" s="88" t="s">
        <v>660</v>
      </c>
      <c r="K400" s="88" t="s">
        <v>367</v>
      </c>
      <c r="L400" s="88" t="s">
        <v>661</v>
      </c>
      <c r="M400" s="94" t="str">
        <f t="shared" si="8"/>
        <v>View on Google Map</v>
      </c>
      <c r="N400" s="88">
        <f t="shared" si="7"/>
        <v>45</v>
      </c>
    </row>
    <row r="401" spans="1:14">
      <c r="A401" s="88">
        <v>335</v>
      </c>
      <c r="B401" s="88" t="s">
        <v>1169</v>
      </c>
      <c r="C401" s="88" t="s">
        <v>1170</v>
      </c>
      <c r="D401" s="88">
        <v>68.516771954500001</v>
      </c>
      <c r="E401" s="88">
        <v>-150.05742084799999</v>
      </c>
      <c r="F401" s="88" t="s">
        <v>367</v>
      </c>
      <c r="G401" s="88" t="s">
        <v>378</v>
      </c>
      <c r="H401" s="88" t="s">
        <v>1171</v>
      </c>
      <c r="I401" s="88" t="s">
        <v>367</v>
      </c>
      <c r="J401" s="88" t="s">
        <v>660</v>
      </c>
      <c r="K401" s="88" t="s">
        <v>367</v>
      </c>
      <c r="L401" s="88" t="s">
        <v>661</v>
      </c>
      <c r="M401" s="94" t="str">
        <f t="shared" si="8"/>
        <v>View on Google Map</v>
      </c>
      <c r="N401" s="88">
        <f t="shared" si="7"/>
        <v>47</v>
      </c>
    </row>
    <row r="402" spans="1:14">
      <c r="A402" s="88">
        <v>336</v>
      </c>
      <c r="B402" s="88" t="s">
        <v>1172</v>
      </c>
      <c r="C402" s="88" t="s">
        <v>1173</v>
      </c>
      <c r="D402" s="88">
        <v>68.531484729400006</v>
      </c>
      <c r="E402" s="88">
        <v>-150.04821666999999</v>
      </c>
      <c r="F402" s="88" t="s">
        <v>367</v>
      </c>
      <c r="G402" s="88" t="s">
        <v>378</v>
      </c>
      <c r="H402" s="88" t="s">
        <v>1174</v>
      </c>
      <c r="I402" s="88" t="s">
        <v>367</v>
      </c>
      <c r="J402" s="88" t="s">
        <v>660</v>
      </c>
      <c r="K402" s="88" t="s">
        <v>367</v>
      </c>
      <c r="L402" s="88" t="s">
        <v>661</v>
      </c>
      <c r="M402" s="94" t="str">
        <f t="shared" si="8"/>
        <v>View on Google Map</v>
      </c>
      <c r="N402" s="88">
        <f t="shared" si="7"/>
        <v>48</v>
      </c>
    </row>
    <row r="403" spans="1:14">
      <c r="A403" s="88">
        <v>337</v>
      </c>
      <c r="B403" s="88" t="s">
        <v>1175</v>
      </c>
      <c r="C403" s="88" t="s">
        <v>1176</v>
      </c>
      <c r="D403" s="88">
        <v>68.525496449800002</v>
      </c>
      <c r="E403" s="88">
        <v>-150.03164010200001</v>
      </c>
      <c r="F403" s="88" t="s">
        <v>367</v>
      </c>
      <c r="G403" s="88" t="s">
        <v>378</v>
      </c>
      <c r="H403" s="88" t="s">
        <v>1177</v>
      </c>
      <c r="I403" s="88" t="s">
        <v>367</v>
      </c>
      <c r="J403" s="88" t="s">
        <v>660</v>
      </c>
      <c r="K403" s="88" t="s">
        <v>367</v>
      </c>
      <c r="L403" s="88" t="s">
        <v>661</v>
      </c>
      <c r="M403" s="94" t="str">
        <f t="shared" si="8"/>
        <v>View on Google Map</v>
      </c>
      <c r="N403" s="88">
        <f t="shared" si="7"/>
        <v>49</v>
      </c>
    </row>
    <row r="404" spans="1:14">
      <c r="A404" s="88">
        <v>338</v>
      </c>
      <c r="B404" s="88" t="s">
        <v>1178</v>
      </c>
      <c r="C404" s="88" t="s">
        <v>1179</v>
      </c>
      <c r="D404" s="88">
        <v>68.522395926599998</v>
      </c>
      <c r="E404" s="88">
        <v>-150.02260567299999</v>
      </c>
      <c r="F404" s="88" t="s">
        <v>367</v>
      </c>
      <c r="G404" s="88" t="s">
        <v>378</v>
      </c>
      <c r="H404" s="88" t="s">
        <v>1180</v>
      </c>
      <c r="I404" s="88" t="s">
        <v>367</v>
      </c>
      <c r="J404" s="88" t="s">
        <v>660</v>
      </c>
      <c r="K404" s="88" t="s">
        <v>367</v>
      </c>
      <c r="L404" s="88" t="s">
        <v>661</v>
      </c>
      <c r="M404" s="94" t="str">
        <f t="shared" si="8"/>
        <v>View on Google Map</v>
      </c>
      <c r="N404" s="88">
        <f t="shared" si="7"/>
        <v>50</v>
      </c>
    </row>
    <row r="405" spans="1:14">
      <c r="A405" s="88">
        <v>339</v>
      </c>
      <c r="B405" s="88" t="s">
        <v>1181</v>
      </c>
      <c r="C405" s="88" t="s">
        <v>1182</v>
      </c>
      <c r="D405" s="88">
        <v>68.574095052399997</v>
      </c>
      <c r="E405" s="88">
        <v>-149.97662969199999</v>
      </c>
      <c r="F405" s="88" t="s">
        <v>367</v>
      </c>
      <c r="G405" s="88" t="s">
        <v>378</v>
      </c>
      <c r="H405" s="88" t="s">
        <v>1183</v>
      </c>
      <c r="I405" s="88" t="s">
        <v>367</v>
      </c>
      <c r="J405" s="88" t="s">
        <v>660</v>
      </c>
      <c r="K405" s="88" t="s">
        <v>367</v>
      </c>
      <c r="L405" s="88" t="s">
        <v>661</v>
      </c>
      <c r="M405" s="94" t="str">
        <f t="shared" si="8"/>
        <v>View on Google Map</v>
      </c>
      <c r="N405" s="88">
        <f t="shared" si="7"/>
        <v>51</v>
      </c>
    </row>
    <row r="406" spans="1:14">
      <c r="A406" s="88">
        <v>340</v>
      </c>
      <c r="B406" s="88" t="s">
        <v>1184</v>
      </c>
      <c r="C406" s="88" t="s">
        <v>1185</v>
      </c>
      <c r="D406" s="88">
        <v>68.571671305899997</v>
      </c>
      <c r="E406" s="88">
        <v>-149.972667672</v>
      </c>
      <c r="F406" s="88" t="s">
        <v>367</v>
      </c>
      <c r="G406" s="88" t="s">
        <v>378</v>
      </c>
      <c r="H406" s="88" t="s">
        <v>1186</v>
      </c>
      <c r="I406" s="88" t="s">
        <v>367</v>
      </c>
      <c r="J406" s="88" t="s">
        <v>660</v>
      </c>
      <c r="K406" s="88" t="s">
        <v>367</v>
      </c>
      <c r="L406" s="88" t="s">
        <v>661</v>
      </c>
      <c r="M406" s="94" t="str">
        <f t="shared" si="8"/>
        <v>View on Google Map</v>
      </c>
      <c r="N406" s="88">
        <f t="shared" si="7"/>
        <v>52</v>
      </c>
    </row>
    <row r="407" spans="1:14">
      <c r="A407" s="88">
        <v>341</v>
      </c>
      <c r="B407" s="88" t="s">
        <v>1187</v>
      </c>
      <c r="C407" s="88" t="s">
        <v>1188</v>
      </c>
      <c r="D407" s="88">
        <v>68.562791718200003</v>
      </c>
      <c r="E407" s="88">
        <v>-149.977791473</v>
      </c>
      <c r="F407" s="88" t="s">
        <v>367</v>
      </c>
      <c r="G407" s="88" t="s">
        <v>378</v>
      </c>
      <c r="H407" s="88" t="s">
        <v>1189</v>
      </c>
      <c r="I407" s="88" t="s">
        <v>367</v>
      </c>
      <c r="J407" s="88" t="s">
        <v>660</v>
      </c>
      <c r="K407" s="88" t="s">
        <v>367</v>
      </c>
      <c r="L407" s="88" t="s">
        <v>661</v>
      </c>
      <c r="M407" s="94" t="str">
        <f t="shared" si="8"/>
        <v>View on Google Map</v>
      </c>
      <c r="N407" s="88">
        <f t="shared" si="7"/>
        <v>53</v>
      </c>
    </row>
    <row r="408" spans="1:14">
      <c r="A408" s="88">
        <v>342</v>
      </c>
      <c r="B408" s="88" t="s">
        <v>1190</v>
      </c>
      <c r="C408" s="88" t="s">
        <v>1191</v>
      </c>
      <c r="D408" s="88">
        <v>68.556077412199997</v>
      </c>
      <c r="E408" s="88">
        <v>-149.93361884199999</v>
      </c>
      <c r="F408" s="88" t="s">
        <v>367</v>
      </c>
      <c r="G408" s="88" t="s">
        <v>378</v>
      </c>
      <c r="H408" s="88" t="s">
        <v>1192</v>
      </c>
      <c r="I408" s="88" t="s">
        <v>367</v>
      </c>
      <c r="J408" s="88" t="s">
        <v>660</v>
      </c>
      <c r="K408" s="88" t="s">
        <v>367</v>
      </c>
      <c r="L408" s="88" t="s">
        <v>661</v>
      </c>
      <c r="M408" s="94" t="str">
        <f t="shared" si="8"/>
        <v>View on Google Map</v>
      </c>
      <c r="N408" s="88">
        <f t="shared" si="7"/>
        <v>54</v>
      </c>
    </row>
    <row r="409" spans="1:14">
      <c r="A409" s="88">
        <v>343</v>
      </c>
      <c r="B409" s="88" t="s">
        <v>1193</v>
      </c>
      <c r="C409" s="88" t="s">
        <v>1194</v>
      </c>
      <c r="D409" s="88">
        <v>68.567959712100006</v>
      </c>
      <c r="E409" s="88">
        <v>-149.89938475599999</v>
      </c>
      <c r="F409" s="88" t="s">
        <v>367</v>
      </c>
      <c r="G409" s="88" t="s">
        <v>378</v>
      </c>
      <c r="H409" s="88" t="s">
        <v>1195</v>
      </c>
      <c r="I409" s="88" t="s">
        <v>367</v>
      </c>
      <c r="J409" s="88" t="s">
        <v>660</v>
      </c>
      <c r="K409" s="88" t="s">
        <v>367</v>
      </c>
      <c r="L409" s="88" t="s">
        <v>661</v>
      </c>
      <c r="M409" s="94" t="str">
        <f t="shared" si="8"/>
        <v>View on Google Map</v>
      </c>
      <c r="N409" s="88">
        <f t="shared" si="7"/>
        <v>55</v>
      </c>
    </row>
    <row r="410" spans="1:14">
      <c r="A410" s="88">
        <v>344</v>
      </c>
      <c r="B410" s="88" t="s">
        <v>1196</v>
      </c>
      <c r="C410" s="88" t="s">
        <v>1197</v>
      </c>
      <c r="D410" s="88">
        <v>68.615854386999999</v>
      </c>
      <c r="E410" s="88">
        <v>-149.123111674</v>
      </c>
      <c r="F410" s="88" t="s">
        <v>367</v>
      </c>
      <c r="G410" s="88" t="s">
        <v>378</v>
      </c>
      <c r="H410" s="88" t="s">
        <v>1198</v>
      </c>
      <c r="I410" s="88" t="s">
        <v>367</v>
      </c>
      <c r="J410" s="88" t="s">
        <v>660</v>
      </c>
      <c r="K410" s="88" t="s">
        <v>367</v>
      </c>
      <c r="L410" s="88" t="s">
        <v>661</v>
      </c>
      <c r="M410" s="94" t="str">
        <f t="shared" si="8"/>
        <v>View on Google Map</v>
      </c>
      <c r="N410" s="88">
        <f t="shared" si="7"/>
        <v>56</v>
      </c>
    </row>
    <row r="411" spans="1:14">
      <c r="A411" s="88">
        <v>345</v>
      </c>
      <c r="B411" s="88" t="s">
        <v>1199</v>
      </c>
      <c r="C411" s="88" t="s">
        <v>1200</v>
      </c>
      <c r="D411" s="88">
        <v>68.622759303600006</v>
      </c>
      <c r="E411" s="88">
        <v>-149.15087640600001</v>
      </c>
      <c r="F411" s="88">
        <v>861</v>
      </c>
      <c r="G411" s="88" t="s">
        <v>378</v>
      </c>
      <c r="H411" s="88" t="s">
        <v>1201</v>
      </c>
      <c r="I411" s="88" t="s">
        <v>367</v>
      </c>
      <c r="J411" s="88" t="s">
        <v>660</v>
      </c>
      <c r="K411" s="88" t="s">
        <v>367</v>
      </c>
      <c r="L411" s="88" t="s">
        <v>661</v>
      </c>
      <c r="M411" s="94" t="str">
        <f t="shared" si="8"/>
        <v>View on Google Map</v>
      </c>
      <c r="N411" s="88">
        <f t="shared" si="7"/>
        <v>57</v>
      </c>
    </row>
    <row r="412" spans="1:14">
      <c r="A412" s="88">
        <v>346</v>
      </c>
      <c r="B412" s="88" t="s">
        <v>1202</v>
      </c>
      <c r="C412" s="88" t="s">
        <v>1203</v>
      </c>
      <c r="D412" s="88">
        <v>68.625381351599998</v>
      </c>
      <c r="E412" s="88">
        <v>-149.13918719200001</v>
      </c>
      <c r="F412" s="88">
        <v>877</v>
      </c>
      <c r="G412" s="88" t="s">
        <v>378</v>
      </c>
      <c r="H412" s="88" t="s">
        <v>1204</v>
      </c>
      <c r="I412" s="88" t="s">
        <v>367</v>
      </c>
      <c r="J412" s="88" t="s">
        <v>660</v>
      </c>
      <c r="K412" s="88" t="s">
        <v>367</v>
      </c>
      <c r="L412" s="88" t="s">
        <v>661</v>
      </c>
      <c r="M412" s="94" t="str">
        <f t="shared" si="8"/>
        <v>View on Google Map</v>
      </c>
      <c r="N412" s="88">
        <f t="shared" si="7"/>
        <v>58</v>
      </c>
    </row>
    <row r="413" spans="1:14">
      <c r="A413" s="88">
        <v>347</v>
      </c>
      <c r="B413" s="88" t="s">
        <v>1205</v>
      </c>
      <c r="C413" s="88" t="s">
        <v>1206</v>
      </c>
      <c r="D413" s="88">
        <v>68.630955107899993</v>
      </c>
      <c r="E413" s="88">
        <v>-149.161535972</v>
      </c>
      <c r="F413" s="88">
        <v>858</v>
      </c>
      <c r="G413" s="88" t="s">
        <v>378</v>
      </c>
      <c r="H413" s="88" t="s">
        <v>1207</v>
      </c>
      <c r="I413" s="88" t="s">
        <v>367</v>
      </c>
      <c r="J413" s="88" t="s">
        <v>660</v>
      </c>
      <c r="K413" s="88" t="s">
        <v>367</v>
      </c>
      <c r="L413" s="88" t="s">
        <v>661</v>
      </c>
      <c r="M413" s="94" t="str">
        <f t="shared" si="8"/>
        <v>View on Google Map</v>
      </c>
      <c r="N413" s="88">
        <f t="shared" si="7"/>
        <v>59</v>
      </c>
    </row>
    <row r="414" spans="1:14">
      <c r="A414" s="88">
        <v>348</v>
      </c>
      <c r="B414" s="88" t="s">
        <v>1208</v>
      </c>
      <c r="C414" s="88" t="s">
        <v>1209</v>
      </c>
      <c r="D414" s="88">
        <v>68.636431312400006</v>
      </c>
      <c r="E414" s="88">
        <v>-149.14390222200001</v>
      </c>
      <c r="F414" s="88" t="s">
        <v>367</v>
      </c>
      <c r="G414" s="88" t="s">
        <v>378</v>
      </c>
      <c r="H414" s="88" t="s">
        <v>1210</v>
      </c>
      <c r="I414" s="88" t="s">
        <v>367</v>
      </c>
      <c r="J414" s="88" t="s">
        <v>660</v>
      </c>
      <c r="K414" s="88" t="s">
        <v>367</v>
      </c>
      <c r="L414" s="88" t="s">
        <v>661</v>
      </c>
      <c r="M414" s="94" t="str">
        <f t="shared" si="8"/>
        <v>View on Google Map</v>
      </c>
      <c r="N414" s="88">
        <f t="shared" si="7"/>
        <v>60</v>
      </c>
    </row>
    <row r="415" spans="1:14">
      <c r="A415" s="88">
        <v>349</v>
      </c>
      <c r="B415" s="88" t="s">
        <v>1211</v>
      </c>
      <c r="C415" s="88" t="s">
        <v>1212</v>
      </c>
      <c r="D415" s="88">
        <v>68.638723598300004</v>
      </c>
      <c r="E415" s="88">
        <v>-149.17862426400001</v>
      </c>
      <c r="F415" s="88" t="s">
        <v>367</v>
      </c>
      <c r="G415" s="88" t="s">
        <v>378</v>
      </c>
      <c r="H415" s="88" t="s">
        <v>1213</v>
      </c>
      <c r="I415" s="88" t="s">
        <v>367</v>
      </c>
      <c r="J415" s="88" t="s">
        <v>660</v>
      </c>
      <c r="K415" s="88" t="s">
        <v>367</v>
      </c>
      <c r="L415" s="88" t="s">
        <v>661</v>
      </c>
      <c r="M415" s="94" t="str">
        <f t="shared" si="8"/>
        <v>View on Google Map</v>
      </c>
      <c r="N415" s="88">
        <f t="shared" si="7"/>
        <v>61</v>
      </c>
    </row>
    <row r="416" spans="1:14">
      <c r="A416" s="88">
        <v>350</v>
      </c>
      <c r="B416" s="88" t="s">
        <v>1214</v>
      </c>
      <c r="C416" s="88" t="s">
        <v>1215</v>
      </c>
      <c r="D416" s="88">
        <v>68.634874735899999</v>
      </c>
      <c r="E416" s="88">
        <v>-149.193728236</v>
      </c>
      <c r="F416" s="88" t="s">
        <v>367</v>
      </c>
      <c r="G416" s="88" t="s">
        <v>378</v>
      </c>
      <c r="H416" s="88" t="s">
        <v>1216</v>
      </c>
      <c r="I416" s="88" t="s">
        <v>367</v>
      </c>
      <c r="J416" s="88" t="s">
        <v>660</v>
      </c>
      <c r="K416" s="88" t="s">
        <v>367</v>
      </c>
      <c r="L416" s="88" t="s">
        <v>661</v>
      </c>
      <c r="M416" s="94" t="str">
        <f t="shared" si="8"/>
        <v>View on Google Map</v>
      </c>
      <c r="N416" s="88">
        <f t="shared" si="7"/>
        <v>62</v>
      </c>
    </row>
    <row r="417" spans="1:14">
      <c r="A417" s="88">
        <v>351</v>
      </c>
      <c r="B417" s="88" t="s">
        <v>1217</v>
      </c>
      <c r="C417" s="88" t="s">
        <v>1218</v>
      </c>
      <c r="D417" s="88">
        <v>68.630921065799996</v>
      </c>
      <c r="E417" s="88">
        <v>-149.19135200100001</v>
      </c>
      <c r="F417" s="88" t="s">
        <v>367</v>
      </c>
      <c r="G417" s="88" t="s">
        <v>378</v>
      </c>
      <c r="H417" s="88" t="s">
        <v>1219</v>
      </c>
      <c r="I417" s="88" t="s">
        <v>367</v>
      </c>
      <c r="J417" s="88" t="s">
        <v>660</v>
      </c>
      <c r="K417" s="88" t="s">
        <v>367</v>
      </c>
      <c r="L417" s="88" t="s">
        <v>661</v>
      </c>
      <c r="M417" s="94" t="str">
        <f t="shared" si="8"/>
        <v>View on Google Map</v>
      </c>
      <c r="N417" s="88">
        <f t="shared" si="7"/>
        <v>63</v>
      </c>
    </row>
    <row r="418" spans="1:14">
      <c r="A418" s="88">
        <v>352</v>
      </c>
      <c r="B418" s="88" t="s">
        <v>1220</v>
      </c>
      <c r="C418" s="88" t="s">
        <v>1221</v>
      </c>
      <c r="D418" s="88">
        <v>68.635774522800006</v>
      </c>
      <c r="E418" s="88">
        <v>-149.20688041899999</v>
      </c>
      <c r="F418" s="88" t="s">
        <v>367</v>
      </c>
      <c r="G418" s="88" t="s">
        <v>378</v>
      </c>
      <c r="H418" s="88" t="s">
        <v>1222</v>
      </c>
      <c r="I418" s="88" t="s">
        <v>367</v>
      </c>
      <c r="J418" s="88" t="s">
        <v>660</v>
      </c>
      <c r="K418" s="88" t="s">
        <v>367</v>
      </c>
      <c r="L418" s="88" t="s">
        <v>661</v>
      </c>
      <c r="M418" s="94" t="str">
        <f t="shared" si="8"/>
        <v>View on Google Map</v>
      </c>
      <c r="N418" s="88">
        <f t="shared" si="7"/>
        <v>64</v>
      </c>
    </row>
    <row r="419" spans="1:14">
      <c r="A419" s="88">
        <v>353</v>
      </c>
      <c r="B419" s="88" t="s">
        <v>1223</v>
      </c>
      <c r="C419" s="88" t="s">
        <v>1224</v>
      </c>
      <c r="D419" s="88">
        <v>68.585080002200002</v>
      </c>
      <c r="E419" s="88">
        <v>-149.208359645</v>
      </c>
      <c r="F419" s="88">
        <v>898</v>
      </c>
      <c r="G419" s="88" t="s">
        <v>378</v>
      </c>
      <c r="H419" s="88" t="s">
        <v>1225</v>
      </c>
      <c r="I419" s="88" t="s">
        <v>367</v>
      </c>
      <c r="J419" s="88" t="s">
        <v>660</v>
      </c>
      <c r="K419" s="88" t="s">
        <v>367</v>
      </c>
      <c r="L419" s="88" t="s">
        <v>661</v>
      </c>
      <c r="M419" s="94" t="str">
        <f t="shared" si="8"/>
        <v>View on Google Map</v>
      </c>
      <c r="N419" s="88">
        <f t="shared" si="7"/>
        <v>65</v>
      </c>
    </row>
    <row r="420" spans="1:14">
      <c r="A420" s="88">
        <v>354</v>
      </c>
      <c r="B420" s="88" t="s">
        <v>1226</v>
      </c>
      <c r="C420" s="88" t="s">
        <v>1227</v>
      </c>
      <c r="D420" s="88">
        <v>68.583148055099997</v>
      </c>
      <c r="E420" s="88">
        <v>-149.19950362399999</v>
      </c>
      <c r="F420" s="88">
        <v>896</v>
      </c>
      <c r="G420" s="88" t="s">
        <v>378</v>
      </c>
      <c r="H420" s="88" t="s">
        <v>1228</v>
      </c>
      <c r="I420" s="88" t="s">
        <v>367</v>
      </c>
      <c r="J420" s="88" t="s">
        <v>660</v>
      </c>
      <c r="K420" s="88" t="s">
        <v>367</v>
      </c>
      <c r="L420" s="88" t="s">
        <v>661</v>
      </c>
      <c r="M420" s="94" t="str">
        <f t="shared" si="8"/>
        <v>View on Google Map</v>
      </c>
      <c r="N420" s="88">
        <f t="shared" ref="N420:N434" si="9">VALUE(MID(H420,5,3))</f>
        <v>66</v>
      </c>
    </row>
    <row r="421" spans="1:14">
      <c r="A421" s="88">
        <v>355</v>
      </c>
      <c r="B421" s="88" t="s">
        <v>1229</v>
      </c>
      <c r="C421" s="88" t="s">
        <v>1230</v>
      </c>
      <c r="D421" s="88">
        <v>68.589302268899999</v>
      </c>
      <c r="E421" s="88">
        <v>-149.18432651699999</v>
      </c>
      <c r="F421" s="88">
        <v>880</v>
      </c>
      <c r="G421" s="88" t="s">
        <v>378</v>
      </c>
      <c r="H421" s="88" t="s">
        <v>1231</v>
      </c>
      <c r="I421" s="88" t="s">
        <v>367</v>
      </c>
      <c r="J421" s="88" t="s">
        <v>660</v>
      </c>
      <c r="K421" s="88" t="s">
        <v>367</v>
      </c>
      <c r="L421" s="88" t="s">
        <v>661</v>
      </c>
      <c r="M421" s="94" t="str">
        <f t="shared" si="8"/>
        <v>View on Google Map</v>
      </c>
      <c r="N421" s="88">
        <f t="shared" si="9"/>
        <v>67</v>
      </c>
    </row>
    <row r="422" spans="1:14">
      <c r="A422" s="88">
        <v>357</v>
      </c>
      <c r="B422" s="88" t="s">
        <v>1232</v>
      </c>
      <c r="C422" s="88" t="s">
        <v>1233</v>
      </c>
      <c r="D422" s="88">
        <v>68.595953562800005</v>
      </c>
      <c r="E422" s="88">
        <v>-149.161045868</v>
      </c>
      <c r="F422" s="88" t="s">
        <v>367</v>
      </c>
      <c r="G422" s="88" t="s">
        <v>378</v>
      </c>
      <c r="H422" s="88" t="s">
        <v>1234</v>
      </c>
      <c r="I422" s="88" t="s">
        <v>367</v>
      </c>
      <c r="J422" s="88" t="s">
        <v>660</v>
      </c>
      <c r="K422" s="88" t="s">
        <v>367</v>
      </c>
      <c r="L422" s="88" t="s">
        <v>661</v>
      </c>
      <c r="M422" s="94" t="str">
        <f t="shared" si="8"/>
        <v>View on Google Map</v>
      </c>
      <c r="N422" s="88">
        <f t="shared" si="9"/>
        <v>69</v>
      </c>
    </row>
    <row r="423" spans="1:14">
      <c r="A423" s="88">
        <v>358</v>
      </c>
      <c r="B423" s="88" t="s">
        <v>1235</v>
      </c>
      <c r="C423" s="88" t="s">
        <v>1236</v>
      </c>
      <c r="D423" s="88">
        <v>68.590721600400002</v>
      </c>
      <c r="E423" s="88">
        <v>-149.17612158099999</v>
      </c>
      <c r="F423" s="88" t="s">
        <v>367</v>
      </c>
      <c r="G423" s="88" t="s">
        <v>378</v>
      </c>
      <c r="H423" s="88" t="s">
        <v>1237</v>
      </c>
      <c r="I423" s="88" t="s">
        <v>367</v>
      </c>
      <c r="J423" s="88" t="s">
        <v>660</v>
      </c>
      <c r="K423" s="88" t="s">
        <v>367</v>
      </c>
      <c r="L423" s="88" t="s">
        <v>661</v>
      </c>
      <c r="M423" s="94" t="str">
        <f t="shared" si="8"/>
        <v>View on Google Map</v>
      </c>
      <c r="N423" s="88">
        <f t="shared" si="9"/>
        <v>70</v>
      </c>
    </row>
    <row r="424" spans="1:14">
      <c r="A424" s="88">
        <v>359</v>
      </c>
      <c r="B424" s="88" t="s">
        <v>1238</v>
      </c>
      <c r="C424" s="88" t="s">
        <v>1239</v>
      </c>
      <c r="D424" s="88">
        <v>68.600362864999994</v>
      </c>
      <c r="E424" s="88">
        <v>-149.14055367099999</v>
      </c>
      <c r="F424" s="88" t="s">
        <v>367</v>
      </c>
      <c r="G424" s="88" t="s">
        <v>378</v>
      </c>
      <c r="H424" s="88" t="s">
        <v>1240</v>
      </c>
      <c r="I424" s="88" t="s">
        <v>367</v>
      </c>
      <c r="J424" s="88" t="s">
        <v>660</v>
      </c>
      <c r="K424" s="88" t="s">
        <v>367</v>
      </c>
      <c r="L424" s="88" t="s">
        <v>661</v>
      </c>
      <c r="M424" s="94" t="str">
        <f t="shared" si="8"/>
        <v>View on Google Map</v>
      </c>
      <c r="N424" s="88">
        <f t="shared" si="9"/>
        <v>71</v>
      </c>
    </row>
    <row r="425" spans="1:14">
      <c r="A425" s="88">
        <v>360</v>
      </c>
      <c r="B425" s="88" t="s">
        <v>1241</v>
      </c>
      <c r="C425" s="88" t="s">
        <v>1242</v>
      </c>
      <c r="D425" s="88">
        <v>68.610380375800005</v>
      </c>
      <c r="E425" s="88">
        <v>-149.15074315300001</v>
      </c>
      <c r="F425" s="88" t="s">
        <v>367</v>
      </c>
      <c r="G425" s="88" t="s">
        <v>378</v>
      </c>
      <c r="H425" s="88" t="s">
        <v>1243</v>
      </c>
      <c r="I425" s="88" t="s">
        <v>367</v>
      </c>
      <c r="J425" s="88" t="s">
        <v>660</v>
      </c>
      <c r="K425" s="88" t="s">
        <v>367</v>
      </c>
      <c r="L425" s="88" t="s">
        <v>661</v>
      </c>
      <c r="M425" s="94" t="str">
        <f t="shared" si="8"/>
        <v>View on Google Map</v>
      </c>
      <c r="N425" s="88">
        <f t="shared" si="9"/>
        <v>72</v>
      </c>
    </row>
    <row r="426" spans="1:14">
      <c r="A426" s="88">
        <v>361</v>
      </c>
      <c r="B426" s="88" t="s">
        <v>1244</v>
      </c>
      <c r="C426" s="88" t="s">
        <v>1245</v>
      </c>
      <c r="D426" s="88">
        <v>68.6163784405</v>
      </c>
      <c r="E426" s="88">
        <v>-149.16060521700001</v>
      </c>
      <c r="F426" s="88" t="s">
        <v>367</v>
      </c>
      <c r="G426" s="88" t="s">
        <v>378</v>
      </c>
      <c r="H426" s="88" t="s">
        <v>1246</v>
      </c>
      <c r="I426" s="88" t="s">
        <v>367</v>
      </c>
      <c r="J426" s="88" t="s">
        <v>660</v>
      </c>
      <c r="K426" s="88" t="s">
        <v>367</v>
      </c>
      <c r="L426" s="88" t="s">
        <v>661</v>
      </c>
      <c r="M426" s="94" t="str">
        <f t="shared" si="8"/>
        <v>View on Google Map</v>
      </c>
      <c r="N426" s="88">
        <f t="shared" si="9"/>
        <v>73</v>
      </c>
    </row>
    <row r="427" spans="1:14">
      <c r="A427" s="88">
        <v>362</v>
      </c>
      <c r="B427" s="88" t="s">
        <v>1247</v>
      </c>
      <c r="C427" s="88" t="s">
        <v>1248</v>
      </c>
      <c r="D427" s="88">
        <v>68.617934232500005</v>
      </c>
      <c r="E427" s="88">
        <v>-149.18594585299999</v>
      </c>
      <c r="F427" s="88" t="s">
        <v>367</v>
      </c>
      <c r="G427" s="88" t="s">
        <v>378</v>
      </c>
      <c r="H427" s="88" t="s">
        <v>1249</v>
      </c>
      <c r="I427" s="88" t="s">
        <v>367</v>
      </c>
      <c r="J427" s="88" t="s">
        <v>660</v>
      </c>
      <c r="K427" s="88" t="s">
        <v>367</v>
      </c>
      <c r="L427" s="88" t="s">
        <v>661</v>
      </c>
      <c r="M427" s="94" t="str">
        <f t="shared" si="8"/>
        <v>View on Google Map</v>
      </c>
      <c r="N427" s="88">
        <f t="shared" si="9"/>
        <v>74</v>
      </c>
    </row>
    <row r="428" spans="1:14">
      <c r="A428" s="88">
        <v>363</v>
      </c>
      <c r="B428" s="88" t="s">
        <v>1250</v>
      </c>
      <c r="C428" s="88" t="s">
        <v>1251</v>
      </c>
      <c r="D428" s="88">
        <v>68.614396448299999</v>
      </c>
      <c r="E428" s="88">
        <v>-149.19403818800001</v>
      </c>
      <c r="F428" s="88" t="s">
        <v>367</v>
      </c>
      <c r="G428" s="88" t="s">
        <v>378</v>
      </c>
      <c r="H428" s="88" t="s">
        <v>1252</v>
      </c>
      <c r="I428" s="88" t="s">
        <v>367</v>
      </c>
      <c r="J428" s="88" t="s">
        <v>660</v>
      </c>
      <c r="K428" s="88" t="s">
        <v>367</v>
      </c>
      <c r="L428" s="88" t="s">
        <v>661</v>
      </c>
      <c r="M428" s="94" t="str">
        <f t="shared" si="8"/>
        <v>View on Google Map</v>
      </c>
      <c r="N428" s="88">
        <f t="shared" si="9"/>
        <v>75</v>
      </c>
    </row>
    <row r="429" spans="1:14">
      <c r="A429" s="88">
        <v>364</v>
      </c>
      <c r="B429" s="88" t="s">
        <v>1253</v>
      </c>
      <c r="C429" s="88" t="s">
        <v>1254</v>
      </c>
      <c r="D429" s="88">
        <v>68.694256581000005</v>
      </c>
      <c r="E429" s="88">
        <v>-149.73679655699999</v>
      </c>
      <c r="F429" s="88" t="s">
        <v>367</v>
      </c>
      <c r="G429" s="88" t="s">
        <v>378</v>
      </c>
      <c r="H429" s="88" t="s">
        <v>1255</v>
      </c>
      <c r="I429" s="88" t="s">
        <v>367</v>
      </c>
      <c r="J429" s="88" t="s">
        <v>660</v>
      </c>
      <c r="K429" s="88" t="s">
        <v>367</v>
      </c>
      <c r="L429" s="88" t="s">
        <v>661</v>
      </c>
      <c r="M429" s="94" t="str">
        <f t="shared" si="8"/>
        <v>View on Google Map</v>
      </c>
      <c r="N429" s="88">
        <f t="shared" si="9"/>
        <v>76</v>
      </c>
    </row>
    <row r="430" spans="1:14">
      <c r="A430" s="88">
        <v>365</v>
      </c>
      <c r="B430" s="88" t="s">
        <v>1256</v>
      </c>
      <c r="C430" s="88" t="s">
        <v>1257</v>
      </c>
      <c r="D430" s="88">
        <v>68.696056827099994</v>
      </c>
      <c r="E430" s="88">
        <v>-149.73131395300001</v>
      </c>
      <c r="F430" s="88" t="s">
        <v>367</v>
      </c>
      <c r="G430" s="88" t="s">
        <v>378</v>
      </c>
      <c r="H430" s="88" t="s">
        <v>1258</v>
      </c>
      <c r="I430" s="88" t="s">
        <v>367</v>
      </c>
      <c r="J430" s="88" t="s">
        <v>660</v>
      </c>
      <c r="K430" s="88" t="s">
        <v>367</v>
      </c>
      <c r="L430" s="88" t="s">
        <v>661</v>
      </c>
      <c r="M430" s="94" t="str">
        <f t="shared" si="8"/>
        <v>View on Google Map</v>
      </c>
      <c r="N430" s="88">
        <f t="shared" si="9"/>
        <v>77</v>
      </c>
    </row>
    <row r="431" spans="1:14">
      <c r="A431" s="88">
        <v>366</v>
      </c>
      <c r="B431" s="88" t="s">
        <v>1259</v>
      </c>
      <c r="C431" s="88" t="s">
        <v>1260</v>
      </c>
      <c r="D431" s="88">
        <v>68.696468206399999</v>
      </c>
      <c r="E431" s="88">
        <v>-149.708828248</v>
      </c>
      <c r="F431" s="88" t="s">
        <v>367</v>
      </c>
      <c r="G431" s="88" t="s">
        <v>378</v>
      </c>
      <c r="H431" s="88" t="s">
        <v>1261</v>
      </c>
      <c r="I431" s="88" t="s">
        <v>367</v>
      </c>
      <c r="J431" s="88" t="s">
        <v>660</v>
      </c>
      <c r="K431" s="88" t="s">
        <v>367</v>
      </c>
      <c r="L431" s="88" t="s">
        <v>661</v>
      </c>
      <c r="M431" s="94" t="str">
        <f t="shared" si="8"/>
        <v>View on Google Map</v>
      </c>
      <c r="N431" s="88">
        <f t="shared" si="9"/>
        <v>78</v>
      </c>
    </row>
    <row r="432" spans="1:14">
      <c r="A432" s="88">
        <v>367</v>
      </c>
      <c r="B432" s="88" t="s">
        <v>1262</v>
      </c>
      <c r="C432" s="88" t="s">
        <v>1263</v>
      </c>
      <c r="D432" s="88">
        <v>68.688141157800004</v>
      </c>
      <c r="E432" s="88">
        <v>-149.73555264800001</v>
      </c>
      <c r="F432" s="88" t="s">
        <v>367</v>
      </c>
      <c r="G432" s="88" t="s">
        <v>378</v>
      </c>
      <c r="H432" s="88" t="s">
        <v>1264</v>
      </c>
      <c r="I432" s="88" t="s">
        <v>367</v>
      </c>
      <c r="J432" s="88" t="s">
        <v>660</v>
      </c>
      <c r="K432" s="88" t="s">
        <v>367</v>
      </c>
      <c r="L432" s="88" t="s">
        <v>661</v>
      </c>
      <c r="M432" s="94" t="str">
        <f t="shared" si="8"/>
        <v>View on Google Map</v>
      </c>
      <c r="N432" s="88">
        <f t="shared" si="9"/>
        <v>79</v>
      </c>
    </row>
    <row r="433" spans="1:14">
      <c r="A433" s="88">
        <v>368</v>
      </c>
      <c r="B433" s="88" t="s">
        <v>1265</v>
      </c>
      <c r="C433" s="88" t="s">
        <v>1266</v>
      </c>
      <c r="D433" s="88">
        <v>68.682810930000002</v>
      </c>
      <c r="E433" s="88">
        <v>-149.73974315500001</v>
      </c>
      <c r="F433" s="88" t="s">
        <v>367</v>
      </c>
      <c r="G433" s="88" t="s">
        <v>378</v>
      </c>
      <c r="H433" s="88" t="s">
        <v>1267</v>
      </c>
      <c r="I433" s="88" t="s">
        <v>367</v>
      </c>
      <c r="J433" s="88" t="s">
        <v>660</v>
      </c>
      <c r="K433" s="88" t="s">
        <v>367</v>
      </c>
      <c r="L433" s="88" t="s">
        <v>661</v>
      </c>
      <c r="M433" s="94" t="str">
        <f t="shared" si="8"/>
        <v>View on Google Map</v>
      </c>
      <c r="N433" s="88">
        <f t="shared" si="9"/>
        <v>80</v>
      </c>
    </row>
    <row r="434" spans="1:14">
      <c r="A434" s="88">
        <v>369</v>
      </c>
      <c r="B434" s="88" t="s">
        <v>1268</v>
      </c>
      <c r="C434" s="88" t="s">
        <v>1269</v>
      </c>
      <c r="D434" s="88">
        <v>68.682815967099998</v>
      </c>
      <c r="E434" s="88">
        <v>-149.759701116</v>
      </c>
      <c r="F434" s="88" t="s">
        <v>367</v>
      </c>
      <c r="G434" s="88" t="s">
        <v>378</v>
      </c>
      <c r="H434" s="88" t="s">
        <v>1270</v>
      </c>
      <c r="I434" s="88" t="s">
        <v>367</v>
      </c>
      <c r="J434" s="88" t="s">
        <v>660</v>
      </c>
      <c r="K434" s="88" t="s">
        <v>367</v>
      </c>
      <c r="L434" s="88" t="s">
        <v>661</v>
      </c>
      <c r="M434" s="94" t="str">
        <f t="shared" si="8"/>
        <v>View on Google Map</v>
      </c>
      <c r="N434" s="88">
        <f t="shared" si="9"/>
        <v>81</v>
      </c>
    </row>
    <row r="435" spans="1:14">
      <c r="A435" s="88">
        <v>1225</v>
      </c>
      <c r="B435" s="88" t="s">
        <v>1271</v>
      </c>
      <c r="C435" s="13" t="s">
        <v>1272</v>
      </c>
      <c r="D435" s="88">
        <v>68.641727000000003</v>
      </c>
      <c r="E435" s="88">
        <v>-149.58665300000001</v>
      </c>
      <c r="F435" s="88">
        <v>724</v>
      </c>
      <c r="G435" s="88" t="s">
        <v>368</v>
      </c>
      <c r="H435" s="88" t="s">
        <v>367</v>
      </c>
      <c r="I435" s="88" t="s">
        <v>367</v>
      </c>
      <c r="J435" s="88" t="s">
        <v>393</v>
      </c>
      <c r="K435" s="88" t="s">
        <v>367</v>
      </c>
      <c r="L435" s="88" t="s">
        <v>367</v>
      </c>
      <c r="M435" s="94" t="str">
        <f t="shared" si="8"/>
        <v>View on Google Map</v>
      </c>
    </row>
    <row r="436" spans="1:14">
      <c r="B436" s="88" t="s">
        <v>1273</v>
      </c>
      <c r="C436" s="96" t="s">
        <v>1274</v>
      </c>
      <c r="D436" s="88">
        <v>68.622865000000004</v>
      </c>
      <c r="E436" s="88">
        <v>-149.60854499999999</v>
      </c>
      <c r="F436" s="88">
        <v>758</v>
      </c>
      <c r="G436" s="88" t="s">
        <v>368</v>
      </c>
      <c r="J436" s="88" t="s">
        <v>393</v>
      </c>
      <c r="M436" s="94" t="str">
        <f t="shared" si="8"/>
        <v>View on Google Map</v>
      </c>
    </row>
    <row r="437" spans="1:14">
      <c r="A437" s="88">
        <v>1220</v>
      </c>
      <c r="B437" s="88" t="s">
        <v>1275</v>
      </c>
      <c r="C437" s="13" t="s">
        <v>1276</v>
      </c>
      <c r="D437" s="88">
        <v>68.624410999999995</v>
      </c>
      <c r="E437" s="88">
        <v>-149.609589</v>
      </c>
      <c r="F437" s="88">
        <v>750</v>
      </c>
      <c r="G437" s="88" t="s">
        <v>368</v>
      </c>
      <c r="H437" s="88" t="s">
        <v>367</v>
      </c>
      <c r="I437" s="88" t="s">
        <v>367</v>
      </c>
      <c r="J437" s="88" t="s">
        <v>393</v>
      </c>
      <c r="K437" s="88" t="s">
        <v>367</v>
      </c>
      <c r="L437" s="88" t="s">
        <v>367</v>
      </c>
      <c r="M437" s="94" t="str">
        <f t="shared" si="8"/>
        <v>View on Google Map</v>
      </c>
    </row>
    <row r="438" spans="1:14">
      <c r="A438" s="88">
        <v>1222</v>
      </c>
      <c r="B438" s="88" t="s">
        <v>1277</v>
      </c>
      <c r="C438" s="13" t="s">
        <v>1278</v>
      </c>
      <c r="D438" s="88">
        <v>68.629636000000005</v>
      </c>
      <c r="E438" s="88">
        <v>-149.57565600000001</v>
      </c>
      <c r="F438" s="88">
        <v>755</v>
      </c>
      <c r="G438" s="88" t="s">
        <v>368</v>
      </c>
      <c r="H438" s="88" t="s">
        <v>367</v>
      </c>
      <c r="I438" s="88" t="s">
        <v>367</v>
      </c>
      <c r="J438" s="88" t="s">
        <v>393</v>
      </c>
      <c r="K438" s="88" t="s">
        <v>367</v>
      </c>
      <c r="L438" s="88" t="s">
        <v>367</v>
      </c>
      <c r="M438" s="94" t="str">
        <f t="shared" si="8"/>
        <v>View on Google Map</v>
      </c>
    </row>
    <row r="439" spans="1:14">
      <c r="A439" s="88">
        <v>1228</v>
      </c>
      <c r="B439" s="88" t="s">
        <v>1279</v>
      </c>
      <c r="C439" s="13" t="s">
        <v>1280</v>
      </c>
      <c r="D439" s="88">
        <v>68.634530999999996</v>
      </c>
      <c r="E439" s="88">
        <v>-149.64205799999999</v>
      </c>
      <c r="F439" s="88">
        <v>748</v>
      </c>
      <c r="G439" s="88" t="s">
        <v>368</v>
      </c>
      <c r="H439" s="88" t="s">
        <v>367</v>
      </c>
      <c r="I439" s="88" t="s">
        <v>367</v>
      </c>
      <c r="J439" s="88" t="s">
        <v>393</v>
      </c>
      <c r="K439" s="88" t="s">
        <v>367</v>
      </c>
      <c r="L439" s="88" t="s">
        <v>367</v>
      </c>
      <c r="M439" s="94" t="str">
        <f t="shared" si="8"/>
        <v>View on Google Map</v>
      </c>
    </row>
    <row r="440" spans="1:14">
      <c r="A440" s="88">
        <v>1227</v>
      </c>
      <c r="B440" s="88" t="s">
        <v>1281</v>
      </c>
      <c r="C440" s="13" t="s">
        <v>1282</v>
      </c>
      <c r="D440" s="88">
        <v>68.634039000000001</v>
      </c>
      <c r="E440" s="88">
        <v>-149.63704899999999</v>
      </c>
      <c r="F440" s="88">
        <v>750</v>
      </c>
      <c r="G440" s="88" t="s">
        <v>368</v>
      </c>
      <c r="H440" s="88" t="s">
        <v>367</v>
      </c>
      <c r="I440" s="88" t="s">
        <v>367</v>
      </c>
      <c r="J440" s="88" t="s">
        <v>393</v>
      </c>
      <c r="K440" s="88" t="s">
        <v>367</v>
      </c>
      <c r="L440" s="88" t="s">
        <v>367</v>
      </c>
      <c r="M440" s="94" t="str">
        <f t="shared" si="8"/>
        <v>View on Google Map</v>
      </c>
    </row>
    <row r="441" spans="1:14">
      <c r="A441" s="88">
        <v>1223</v>
      </c>
      <c r="B441" s="88" t="s">
        <v>1283</v>
      </c>
      <c r="C441" s="13" t="s">
        <v>1284</v>
      </c>
      <c r="D441" s="88">
        <v>68.635624000000007</v>
      </c>
      <c r="E441" s="88">
        <v>-149.587064</v>
      </c>
      <c r="F441" s="88">
        <v>745</v>
      </c>
      <c r="G441" s="88" t="s">
        <v>368</v>
      </c>
      <c r="H441" s="88" t="s">
        <v>367</v>
      </c>
      <c r="I441" s="88" t="s">
        <v>367</v>
      </c>
      <c r="J441" s="88" t="s">
        <v>393</v>
      </c>
      <c r="K441" s="88" t="s">
        <v>367</v>
      </c>
      <c r="L441" s="88" t="s">
        <v>367</v>
      </c>
      <c r="M441" s="94" t="str">
        <f t="shared" si="8"/>
        <v>View on Google Map</v>
      </c>
    </row>
    <row r="442" spans="1:14">
      <c r="A442" s="88">
        <v>1224</v>
      </c>
      <c r="B442" s="88" t="s">
        <v>1285</v>
      </c>
      <c r="C442" s="13" t="s">
        <v>1286</v>
      </c>
      <c r="D442" s="88">
        <v>68.638692000000006</v>
      </c>
      <c r="E442" s="88">
        <v>-149.567789</v>
      </c>
      <c r="F442" s="88">
        <v>731</v>
      </c>
      <c r="G442" s="88" t="s">
        <v>368</v>
      </c>
      <c r="H442" s="88" t="s">
        <v>367</v>
      </c>
      <c r="I442" s="88" t="s">
        <v>367</v>
      </c>
      <c r="J442" s="88" t="s">
        <v>393</v>
      </c>
      <c r="K442" s="88" t="s">
        <v>367</v>
      </c>
      <c r="L442" s="88" t="s">
        <v>367</v>
      </c>
      <c r="M442" s="94" t="str">
        <f t="shared" si="8"/>
        <v>View on Google Map</v>
      </c>
    </row>
    <row r="443" spans="1:14">
      <c r="A443" s="88">
        <v>1221</v>
      </c>
      <c r="B443" s="88" t="s">
        <v>1287</v>
      </c>
      <c r="C443" s="13" t="s">
        <v>1288</v>
      </c>
      <c r="D443" s="88">
        <v>68.625440999999995</v>
      </c>
      <c r="E443" s="88">
        <v>-149.60287299999999</v>
      </c>
      <c r="F443" s="88">
        <v>717</v>
      </c>
      <c r="G443" s="88" t="s">
        <v>368</v>
      </c>
      <c r="H443" s="88" t="s">
        <v>367</v>
      </c>
      <c r="I443" s="88" t="s">
        <v>367</v>
      </c>
      <c r="J443" s="88" t="s">
        <v>393</v>
      </c>
      <c r="K443" s="88" t="s">
        <v>367</v>
      </c>
      <c r="L443" s="88" t="s">
        <v>367</v>
      </c>
      <c r="M443" s="94" t="str">
        <f t="shared" si="8"/>
        <v>View on Google Map</v>
      </c>
    </row>
    <row r="444" spans="1:14">
      <c r="A444" s="88">
        <v>1226</v>
      </c>
      <c r="B444" s="13" t="s">
        <v>1289</v>
      </c>
      <c r="C444" s="13" t="s">
        <v>1290</v>
      </c>
      <c r="D444" s="88">
        <v>68.647621999999998</v>
      </c>
      <c r="E444" s="88">
        <v>-149.57729800000001</v>
      </c>
      <c r="F444" s="88">
        <v>719</v>
      </c>
      <c r="G444" s="88" t="s">
        <v>368</v>
      </c>
      <c r="H444" s="88" t="s">
        <v>367</v>
      </c>
      <c r="I444" s="88" t="s">
        <v>367</v>
      </c>
      <c r="J444" s="88" t="s">
        <v>393</v>
      </c>
      <c r="K444" s="88" t="s">
        <v>367</v>
      </c>
      <c r="L444" s="88" t="s">
        <v>367</v>
      </c>
      <c r="M444" s="94" t="str">
        <f t="shared" si="8"/>
        <v>View on Google Map</v>
      </c>
    </row>
    <row r="445" spans="1:14">
      <c r="A445" s="88">
        <v>487</v>
      </c>
      <c r="B445" s="88" t="s">
        <v>1291</v>
      </c>
      <c r="C445" s="88" t="s">
        <v>367</v>
      </c>
      <c r="D445" s="88">
        <v>68.961583332999993</v>
      </c>
      <c r="E445" s="88">
        <v>-150.20961666700001</v>
      </c>
      <c r="F445" s="88">
        <v>380</v>
      </c>
      <c r="G445" s="88" t="s">
        <v>378</v>
      </c>
      <c r="H445" s="88" t="s">
        <v>367</v>
      </c>
      <c r="I445" s="88" t="s">
        <v>367</v>
      </c>
      <c r="J445" s="88" t="s">
        <v>428</v>
      </c>
      <c r="K445" s="88" t="s">
        <v>367</v>
      </c>
      <c r="L445" s="88" t="s">
        <v>375</v>
      </c>
      <c r="M445" s="94" t="str">
        <f t="shared" si="8"/>
        <v>View on Google Map</v>
      </c>
    </row>
    <row r="446" spans="1:14">
      <c r="A446" s="88">
        <v>23</v>
      </c>
      <c r="B446" s="88" t="s">
        <v>1292</v>
      </c>
      <c r="C446" s="88" t="s">
        <v>367</v>
      </c>
      <c r="D446" s="88" t="s">
        <v>367</v>
      </c>
      <c r="E446" s="88" t="s">
        <v>367</v>
      </c>
      <c r="F446" s="88" t="s">
        <v>367</v>
      </c>
      <c r="G446" s="88" t="s">
        <v>392</v>
      </c>
      <c r="H446" s="88" t="s">
        <v>367</v>
      </c>
      <c r="I446" s="88" t="s">
        <v>367</v>
      </c>
      <c r="J446" s="88" t="s">
        <v>393</v>
      </c>
      <c r="K446" s="88" t="s">
        <v>367</v>
      </c>
      <c r="L446" s="88" t="s">
        <v>367</v>
      </c>
      <c r="M446" s="94" t="str">
        <f t="shared" si="8"/>
        <v>View on Google Map</v>
      </c>
    </row>
    <row r="447" spans="1:14">
      <c r="A447" s="88">
        <v>529</v>
      </c>
      <c r="B447" s="88" t="s">
        <v>1293</v>
      </c>
      <c r="C447" s="88" t="s">
        <v>773</v>
      </c>
      <c r="D447" s="88">
        <v>68.672934999999995</v>
      </c>
      <c r="E447" s="88">
        <v>-149.61752300000001</v>
      </c>
      <c r="F447" s="88">
        <v>708</v>
      </c>
      <c r="G447" s="88" t="s">
        <v>378</v>
      </c>
      <c r="H447" s="88" t="s">
        <v>367</v>
      </c>
      <c r="I447" s="88" t="s">
        <v>367</v>
      </c>
      <c r="J447" s="88" t="s">
        <v>379</v>
      </c>
      <c r="K447" s="88" t="s">
        <v>367</v>
      </c>
      <c r="L447" s="88" t="s">
        <v>774</v>
      </c>
      <c r="M447" s="94" t="str">
        <f t="shared" si="8"/>
        <v>View on Google Map</v>
      </c>
    </row>
    <row r="448" spans="1:14">
      <c r="A448" s="88">
        <v>494</v>
      </c>
      <c r="B448" s="88" t="s">
        <v>1294</v>
      </c>
      <c r="C448" s="88" t="s">
        <v>367</v>
      </c>
      <c r="D448" s="88">
        <v>68.673756999999995</v>
      </c>
      <c r="E448" s="88">
        <v>-149.618268</v>
      </c>
      <c r="F448" s="88">
        <v>701</v>
      </c>
      <c r="G448" s="88" t="s">
        <v>392</v>
      </c>
      <c r="H448" s="88" t="s">
        <v>367</v>
      </c>
      <c r="I448" s="88" t="s">
        <v>367</v>
      </c>
      <c r="J448" s="88" t="s">
        <v>1295</v>
      </c>
      <c r="K448" s="88" t="s">
        <v>367</v>
      </c>
      <c r="L448" s="88" t="s">
        <v>774</v>
      </c>
      <c r="M448" s="94" t="str">
        <f t="shared" si="8"/>
        <v>View on Google Map</v>
      </c>
    </row>
    <row r="449" spans="1:13">
      <c r="A449" s="88">
        <v>189</v>
      </c>
      <c r="B449" s="88" t="s">
        <v>1296</v>
      </c>
      <c r="C449" s="88" t="s">
        <v>367</v>
      </c>
      <c r="D449" s="88">
        <v>68.622</v>
      </c>
      <c r="E449" s="88">
        <v>-149.590666</v>
      </c>
      <c r="F449" s="88">
        <v>725</v>
      </c>
      <c r="G449" s="88" t="s">
        <v>392</v>
      </c>
      <c r="H449" s="88" t="s">
        <v>1297</v>
      </c>
      <c r="I449" s="88" t="s">
        <v>1298</v>
      </c>
      <c r="J449" s="88" t="s">
        <v>393</v>
      </c>
      <c r="K449" s="88" t="s">
        <v>367</v>
      </c>
      <c r="L449" s="88" t="s">
        <v>782</v>
      </c>
      <c r="M449" s="94" t="str">
        <f t="shared" si="8"/>
        <v>View on Google Map</v>
      </c>
    </row>
    <row r="450" spans="1:13">
      <c r="A450" s="88">
        <v>273</v>
      </c>
      <c r="B450" s="88" t="s">
        <v>1299</v>
      </c>
      <c r="C450" s="88" t="s">
        <v>367</v>
      </c>
      <c r="D450" s="88">
        <v>68.620166670000003</v>
      </c>
      <c r="E450" s="88">
        <v>-149.56816599999999</v>
      </c>
      <c r="F450" s="88">
        <v>739</v>
      </c>
      <c r="G450" s="88" t="s">
        <v>392</v>
      </c>
      <c r="H450" s="88" t="s">
        <v>1300</v>
      </c>
      <c r="I450" s="88" t="s">
        <v>1301</v>
      </c>
      <c r="J450" s="88" t="s">
        <v>393</v>
      </c>
      <c r="K450" s="88" t="s">
        <v>367</v>
      </c>
      <c r="L450" s="88" t="s">
        <v>782</v>
      </c>
      <c r="M450" s="94" t="str">
        <f t="shared" si="8"/>
        <v>View on Google Map</v>
      </c>
    </row>
    <row r="451" spans="1:13">
      <c r="A451" s="88">
        <v>1175</v>
      </c>
      <c r="B451" s="88" t="s">
        <v>1302</v>
      </c>
      <c r="C451" s="88" t="s">
        <v>367</v>
      </c>
      <c r="D451" s="88">
        <v>68.951925000000003</v>
      </c>
      <c r="E451" s="88">
        <v>-150.20976669999999</v>
      </c>
      <c r="F451" s="88" t="s">
        <v>367</v>
      </c>
      <c r="G451" s="88" t="s">
        <v>392</v>
      </c>
      <c r="H451" s="88" t="s">
        <v>367</v>
      </c>
      <c r="I451" s="88" t="s">
        <v>367</v>
      </c>
      <c r="J451" s="88" t="s">
        <v>922</v>
      </c>
      <c r="K451" s="88" t="s">
        <v>367</v>
      </c>
      <c r="L451" s="88" t="s">
        <v>367</v>
      </c>
      <c r="M451" s="94" t="str">
        <f t="shared" ref="M451:M514" si="10">HYPERLINK("http://maps.google.com/maps?q="&amp;D451&amp;","&amp;E451,"View on Google Map")</f>
        <v>View on Google Map</v>
      </c>
    </row>
    <row r="452" spans="1:13">
      <c r="A452" s="88">
        <v>103</v>
      </c>
      <c r="B452" s="88" t="s">
        <v>1303</v>
      </c>
      <c r="C452" s="88" t="s">
        <v>367</v>
      </c>
      <c r="D452" s="88">
        <v>68.639893935800004</v>
      </c>
      <c r="E452" s="88">
        <v>-149.606965643</v>
      </c>
      <c r="F452" s="88">
        <v>731</v>
      </c>
      <c r="G452" s="88" t="s">
        <v>378</v>
      </c>
      <c r="H452" s="88" t="s">
        <v>1304</v>
      </c>
      <c r="I452" s="88" t="s">
        <v>1305</v>
      </c>
      <c r="J452" s="88" t="s">
        <v>393</v>
      </c>
      <c r="K452" s="88" t="s">
        <v>367</v>
      </c>
      <c r="L452" s="88" t="s">
        <v>367</v>
      </c>
      <c r="M452" s="94" t="str">
        <f t="shared" si="10"/>
        <v>View on Google Map</v>
      </c>
    </row>
    <row r="453" spans="1:13">
      <c r="A453" s="88">
        <v>104</v>
      </c>
      <c r="B453" s="88" t="s">
        <v>1306</v>
      </c>
      <c r="C453" s="88" t="s">
        <v>367</v>
      </c>
      <c r="D453" s="88">
        <v>68.640947234500004</v>
      </c>
      <c r="E453" s="88">
        <v>-149.625086307</v>
      </c>
      <c r="F453" s="88">
        <v>724</v>
      </c>
      <c r="G453" s="88" t="s">
        <v>378</v>
      </c>
      <c r="H453" s="88" t="s">
        <v>1307</v>
      </c>
      <c r="I453" s="88" t="s">
        <v>1308</v>
      </c>
      <c r="J453" s="88" t="s">
        <v>393</v>
      </c>
      <c r="K453" s="88" t="s">
        <v>367</v>
      </c>
      <c r="L453" s="88" t="s">
        <v>367</v>
      </c>
      <c r="M453" s="94" t="str">
        <f t="shared" si="10"/>
        <v>View on Google Map</v>
      </c>
    </row>
    <row r="454" spans="1:13">
      <c r="A454" s="88">
        <v>105</v>
      </c>
      <c r="B454" s="88" t="s">
        <v>1309</v>
      </c>
      <c r="C454" s="88" t="s">
        <v>367</v>
      </c>
      <c r="D454" s="88">
        <v>68.642385337299999</v>
      </c>
      <c r="E454" s="88">
        <v>-149.630769851</v>
      </c>
      <c r="F454" s="88" t="s">
        <v>367</v>
      </c>
      <c r="G454" s="88" t="s">
        <v>378</v>
      </c>
      <c r="H454" s="88" t="s">
        <v>1310</v>
      </c>
      <c r="I454" s="88" t="s">
        <v>367</v>
      </c>
      <c r="J454" s="88" t="s">
        <v>393</v>
      </c>
      <c r="K454" s="88" t="s">
        <v>367</v>
      </c>
      <c r="L454" s="88" t="s">
        <v>367</v>
      </c>
      <c r="M454" s="94" t="str">
        <f t="shared" si="10"/>
        <v>View on Google Map</v>
      </c>
    </row>
    <row r="455" spans="1:13">
      <c r="A455" s="88">
        <v>245</v>
      </c>
      <c r="B455" s="88" t="s">
        <v>1311</v>
      </c>
      <c r="C455" s="88" t="s">
        <v>367</v>
      </c>
      <c r="D455" s="88">
        <v>68.645120702900002</v>
      </c>
      <c r="E455" s="88">
        <v>-149.64028014900001</v>
      </c>
      <c r="F455" s="88" t="s">
        <v>367</v>
      </c>
      <c r="G455" s="88" t="s">
        <v>378</v>
      </c>
      <c r="H455" s="88" t="s">
        <v>1312</v>
      </c>
      <c r="I455" s="88" t="s">
        <v>367</v>
      </c>
      <c r="J455" s="88" t="s">
        <v>393</v>
      </c>
      <c r="K455" s="88" t="s">
        <v>367</v>
      </c>
      <c r="L455" s="88" t="s">
        <v>367</v>
      </c>
      <c r="M455" s="94" t="str">
        <f t="shared" si="10"/>
        <v>View on Google Map</v>
      </c>
    </row>
    <row r="456" spans="1:13">
      <c r="A456" s="88">
        <v>240</v>
      </c>
      <c r="B456" s="88" t="s">
        <v>1313</v>
      </c>
      <c r="C456" s="88" t="s">
        <v>367</v>
      </c>
      <c r="D456" s="88">
        <v>68.645428204500007</v>
      </c>
      <c r="E456" s="88">
        <v>-149.62885531000001</v>
      </c>
      <c r="F456" s="88" t="s">
        <v>367</v>
      </c>
      <c r="G456" s="88" t="s">
        <v>378</v>
      </c>
      <c r="H456" s="88" t="s">
        <v>1314</v>
      </c>
      <c r="I456" s="88" t="s">
        <v>367</v>
      </c>
      <c r="J456" s="88" t="s">
        <v>393</v>
      </c>
      <c r="K456" s="88" t="s">
        <v>367</v>
      </c>
      <c r="L456" s="88" t="s">
        <v>367</v>
      </c>
      <c r="M456" s="94" t="str">
        <f t="shared" si="10"/>
        <v>View on Google Map</v>
      </c>
    </row>
    <row r="457" spans="1:13">
      <c r="A457" s="88">
        <v>508</v>
      </c>
      <c r="B457" s="88" t="s">
        <v>1315</v>
      </c>
      <c r="C457" s="88" t="s">
        <v>377</v>
      </c>
      <c r="D457" s="88">
        <v>68.396288999999996</v>
      </c>
      <c r="E457" s="88">
        <v>-150.58781500000001</v>
      </c>
      <c r="F457" s="88">
        <v>841</v>
      </c>
      <c r="G457" s="88" t="s">
        <v>378</v>
      </c>
      <c r="H457" s="88" t="s">
        <v>380</v>
      </c>
      <c r="I457" s="88" t="s">
        <v>367</v>
      </c>
      <c r="J457" s="88" t="s">
        <v>379</v>
      </c>
      <c r="K457" s="88" t="s">
        <v>367</v>
      </c>
      <c r="L457" s="88" t="s">
        <v>380</v>
      </c>
      <c r="M457" s="94" t="str">
        <f t="shared" si="10"/>
        <v>View on Google Map</v>
      </c>
    </row>
    <row r="458" spans="1:13">
      <c r="A458" s="88">
        <v>513</v>
      </c>
      <c r="B458" s="88" t="s">
        <v>1316</v>
      </c>
      <c r="C458" s="88" t="s">
        <v>377</v>
      </c>
      <c r="D458" s="88">
        <v>68.362488999999997</v>
      </c>
      <c r="E458" s="88">
        <v>-151.70717300000001</v>
      </c>
      <c r="F458" s="88">
        <v>792</v>
      </c>
      <c r="G458" s="88" t="s">
        <v>378</v>
      </c>
      <c r="H458" s="88" t="s">
        <v>367</v>
      </c>
      <c r="I458" s="88" t="s">
        <v>367</v>
      </c>
      <c r="J458" s="88" t="s">
        <v>379</v>
      </c>
      <c r="K458" s="88" t="s">
        <v>367</v>
      </c>
      <c r="L458" s="88" t="s">
        <v>380</v>
      </c>
      <c r="M458" s="94" t="str">
        <f t="shared" si="10"/>
        <v>View on Google Map</v>
      </c>
    </row>
    <row r="459" spans="1:13">
      <c r="A459" s="88">
        <v>512</v>
      </c>
      <c r="B459" s="88" t="s">
        <v>1317</v>
      </c>
      <c r="C459" s="88" t="s">
        <v>377</v>
      </c>
      <c r="D459" s="88">
        <v>68.351332999999997</v>
      </c>
      <c r="E459" s="88">
        <v>-151.702167</v>
      </c>
      <c r="F459" s="88">
        <v>789</v>
      </c>
      <c r="G459" s="88" t="s">
        <v>378</v>
      </c>
      <c r="H459" s="88" t="s">
        <v>367</v>
      </c>
      <c r="I459" s="88" t="s">
        <v>367</v>
      </c>
      <c r="J459" s="88" t="s">
        <v>379</v>
      </c>
      <c r="K459" s="88" t="s">
        <v>367</v>
      </c>
      <c r="L459" s="88" t="s">
        <v>380</v>
      </c>
      <c r="M459" s="94" t="str">
        <f t="shared" si="10"/>
        <v>View on Google Map</v>
      </c>
    </row>
    <row r="460" spans="1:13">
      <c r="A460" s="88">
        <v>511</v>
      </c>
      <c r="B460" s="88" t="s">
        <v>1318</v>
      </c>
      <c r="C460" s="88" t="s">
        <v>377</v>
      </c>
      <c r="D460" s="88">
        <v>68.347333000000006</v>
      </c>
      <c r="E460" s="88">
        <v>-151.70316700000001</v>
      </c>
      <c r="F460" s="88">
        <v>798</v>
      </c>
      <c r="G460" s="88" t="s">
        <v>378</v>
      </c>
      <c r="H460" s="88" t="s">
        <v>367</v>
      </c>
      <c r="I460" s="88" t="s">
        <v>367</v>
      </c>
      <c r="J460" s="88" t="s">
        <v>379</v>
      </c>
      <c r="K460" s="88" t="s">
        <v>367</v>
      </c>
      <c r="L460" s="88" t="s">
        <v>380</v>
      </c>
      <c r="M460" s="94" t="str">
        <f t="shared" si="10"/>
        <v>View on Google Map</v>
      </c>
    </row>
    <row r="461" spans="1:13">
      <c r="A461" s="88">
        <v>510</v>
      </c>
      <c r="B461" s="88" t="s">
        <v>1319</v>
      </c>
      <c r="C461" s="88" t="s">
        <v>377</v>
      </c>
      <c r="D461" s="88">
        <v>68.351332999999997</v>
      </c>
      <c r="E461" s="88">
        <v>-151.702167</v>
      </c>
      <c r="F461" s="88">
        <v>810</v>
      </c>
      <c r="G461" s="88" t="s">
        <v>378</v>
      </c>
      <c r="H461" s="88" t="s">
        <v>367</v>
      </c>
      <c r="I461" s="88" t="s">
        <v>367</v>
      </c>
      <c r="J461" s="88" t="s">
        <v>379</v>
      </c>
      <c r="K461" s="88" t="s">
        <v>367</v>
      </c>
      <c r="L461" s="88" t="s">
        <v>380</v>
      </c>
      <c r="M461" s="94" t="str">
        <f t="shared" si="10"/>
        <v>View on Google Map</v>
      </c>
    </row>
    <row r="462" spans="1:13">
      <c r="A462" s="88">
        <v>233</v>
      </c>
      <c r="B462" s="88" t="s">
        <v>1320</v>
      </c>
      <c r="C462" s="88" t="s">
        <v>367</v>
      </c>
      <c r="D462" s="88">
        <v>68.643783170000006</v>
      </c>
      <c r="E462" s="88">
        <v>-149.58949436200001</v>
      </c>
      <c r="F462" s="88">
        <v>716</v>
      </c>
      <c r="G462" s="88" t="s">
        <v>378</v>
      </c>
      <c r="H462" s="88" t="s">
        <v>1321</v>
      </c>
      <c r="I462" s="88" t="s">
        <v>367</v>
      </c>
      <c r="J462" s="88" t="s">
        <v>393</v>
      </c>
      <c r="K462" s="88" t="s">
        <v>367</v>
      </c>
      <c r="L462" s="88" t="s">
        <v>367</v>
      </c>
      <c r="M462" s="94" t="str">
        <f t="shared" si="10"/>
        <v>View on Google Map</v>
      </c>
    </row>
    <row r="463" spans="1:13">
      <c r="A463" s="88">
        <v>147</v>
      </c>
      <c r="B463" s="88" t="s">
        <v>1322</v>
      </c>
      <c r="C463" s="88" t="s">
        <v>367</v>
      </c>
      <c r="D463" s="88">
        <v>68.646325005500003</v>
      </c>
      <c r="E463" s="88">
        <v>-149.58272243900001</v>
      </c>
      <c r="F463" s="88">
        <v>716</v>
      </c>
      <c r="G463" s="88" t="s">
        <v>378</v>
      </c>
      <c r="H463" s="88" t="s">
        <v>1323</v>
      </c>
      <c r="I463" s="88" t="s">
        <v>367</v>
      </c>
      <c r="J463" s="88" t="s">
        <v>393</v>
      </c>
      <c r="K463" s="88" t="s">
        <v>367</v>
      </c>
      <c r="L463" s="88" t="s">
        <v>367</v>
      </c>
      <c r="M463" s="94" t="str">
        <f t="shared" si="10"/>
        <v>View on Google Map</v>
      </c>
    </row>
    <row r="464" spans="1:13">
      <c r="A464" s="88">
        <v>234</v>
      </c>
      <c r="B464" s="88" t="s">
        <v>1324</v>
      </c>
      <c r="C464" s="88" t="s">
        <v>367</v>
      </c>
      <c r="D464" s="88">
        <v>68.650192520999994</v>
      </c>
      <c r="E464" s="88">
        <v>-149.58255972500001</v>
      </c>
      <c r="F464" s="88">
        <v>731</v>
      </c>
      <c r="G464" s="88" t="s">
        <v>378</v>
      </c>
      <c r="H464" s="88" t="s">
        <v>1325</v>
      </c>
      <c r="I464" s="88" t="s">
        <v>367</v>
      </c>
      <c r="J464" s="88" t="s">
        <v>393</v>
      </c>
      <c r="K464" s="88" t="s">
        <v>367</v>
      </c>
      <c r="L464" s="88" t="s">
        <v>367</v>
      </c>
      <c r="M464" s="94" t="str">
        <f t="shared" si="10"/>
        <v>View on Google Map</v>
      </c>
    </row>
    <row r="465" spans="1:13">
      <c r="A465" s="88">
        <v>306</v>
      </c>
      <c r="B465" s="88" t="s">
        <v>1326</v>
      </c>
      <c r="C465" s="88" t="s">
        <v>367</v>
      </c>
      <c r="D465" s="88" t="s">
        <v>367</v>
      </c>
      <c r="E465" s="88" t="s">
        <v>367</v>
      </c>
      <c r="F465" s="88">
        <v>731</v>
      </c>
      <c r="G465" s="88" t="s">
        <v>378</v>
      </c>
      <c r="H465" s="88" t="s">
        <v>1327</v>
      </c>
      <c r="I465" s="88" t="s">
        <v>367</v>
      </c>
      <c r="J465" s="88" t="s">
        <v>393</v>
      </c>
      <c r="K465" s="88" t="s">
        <v>367</v>
      </c>
      <c r="L465" s="88" t="s">
        <v>367</v>
      </c>
      <c r="M465" s="94" t="str">
        <f t="shared" si="10"/>
        <v>View on Google Map</v>
      </c>
    </row>
    <row r="466" spans="1:13">
      <c r="A466" s="88">
        <v>235</v>
      </c>
      <c r="B466" s="88" t="s">
        <v>1328</v>
      </c>
      <c r="C466" s="88" t="s">
        <v>367</v>
      </c>
      <c r="D466" s="88" t="s">
        <v>367</v>
      </c>
      <c r="E466" s="88" t="s">
        <v>367</v>
      </c>
      <c r="F466" s="88">
        <v>716</v>
      </c>
      <c r="G466" s="88" t="s">
        <v>378</v>
      </c>
      <c r="H466" s="88" t="s">
        <v>1329</v>
      </c>
      <c r="I466" s="88" t="s">
        <v>367</v>
      </c>
      <c r="J466" s="88" t="s">
        <v>393</v>
      </c>
      <c r="K466" s="88" t="s">
        <v>367</v>
      </c>
      <c r="L466" s="88" t="s">
        <v>367</v>
      </c>
      <c r="M466" s="94" t="str">
        <f t="shared" si="10"/>
        <v>View on Google Map</v>
      </c>
    </row>
    <row r="467" spans="1:13">
      <c r="A467" s="88">
        <v>307</v>
      </c>
      <c r="B467" s="88" t="s">
        <v>1330</v>
      </c>
      <c r="C467" s="88" t="s">
        <v>367</v>
      </c>
      <c r="D467" s="88" t="s">
        <v>367</v>
      </c>
      <c r="E467" s="88" t="s">
        <v>367</v>
      </c>
      <c r="F467" s="88">
        <v>716</v>
      </c>
      <c r="G467" s="88" t="s">
        <v>378</v>
      </c>
      <c r="H467" s="88" t="s">
        <v>1331</v>
      </c>
      <c r="I467" s="88" t="s">
        <v>367</v>
      </c>
      <c r="J467" s="88" t="s">
        <v>393</v>
      </c>
      <c r="K467" s="88" t="s">
        <v>367</v>
      </c>
      <c r="L467" s="88" t="s">
        <v>367</v>
      </c>
      <c r="M467" s="94" t="str">
        <f t="shared" si="10"/>
        <v>View on Google Map</v>
      </c>
    </row>
    <row r="468" spans="1:13">
      <c r="A468" s="88">
        <v>236</v>
      </c>
      <c r="B468" s="88" t="s">
        <v>1332</v>
      </c>
      <c r="C468" s="88" t="s">
        <v>367</v>
      </c>
      <c r="D468" s="88">
        <v>68.653572283900004</v>
      </c>
      <c r="E468" s="88">
        <v>-149.58091106399999</v>
      </c>
      <c r="F468" s="88">
        <v>731</v>
      </c>
      <c r="G468" s="88" t="s">
        <v>378</v>
      </c>
      <c r="H468" s="88" t="s">
        <v>1333</v>
      </c>
      <c r="I468" s="88" t="s">
        <v>367</v>
      </c>
      <c r="J468" s="88" t="s">
        <v>393</v>
      </c>
      <c r="K468" s="88" t="s">
        <v>367</v>
      </c>
      <c r="L468" s="88" t="s">
        <v>367</v>
      </c>
      <c r="M468" s="94" t="str">
        <f t="shared" si="10"/>
        <v>View on Google Map</v>
      </c>
    </row>
    <row r="469" spans="1:13">
      <c r="A469" s="88">
        <v>308</v>
      </c>
      <c r="B469" s="88" t="s">
        <v>1334</v>
      </c>
      <c r="C469" s="88" t="s">
        <v>367</v>
      </c>
      <c r="D469" s="88">
        <v>68.652551279199997</v>
      </c>
      <c r="E469" s="88">
        <v>-149.58676006799999</v>
      </c>
      <c r="F469" s="88">
        <v>731</v>
      </c>
      <c r="G469" s="88" t="s">
        <v>378</v>
      </c>
      <c r="H469" s="88" t="s">
        <v>1335</v>
      </c>
      <c r="I469" s="88" t="s">
        <v>367</v>
      </c>
      <c r="J469" s="88" t="s">
        <v>393</v>
      </c>
      <c r="K469" s="88" t="s">
        <v>367</v>
      </c>
      <c r="L469" s="88" t="s">
        <v>367</v>
      </c>
      <c r="M469" s="94" t="str">
        <f t="shared" si="10"/>
        <v>View on Google Map</v>
      </c>
    </row>
    <row r="470" spans="1:13">
      <c r="A470" s="88">
        <v>446</v>
      </c>
      <c r="B470" s="88" t="s">
        <v>1336</v>
      </c>
      <c r="C470" s="88" t="s">
        <v>367</v>
      </c>
      <c r="D470" s="88">
        <v>68.653536133599999</v>
      </c>
      <c r="E470" s="88">
        <v>-149.59622183299999</v>
      </c>
      <c r="F470" s="88">
        <v>747</v>
      </c>
      <c r="G470" s="88" t="s">
        <v>378</v>
      </c>
      <c r="H470" s="88" t="s">
        <v>1337</v>
      </c>
      <c r="I470" s="88" t="s">
        <v>367</v>
      </c>
      <c r="J470" s="88" t="s">
        <v>393</v>
      </c>
      <c r="K470" s="88" t="s">
        <v>367</v>
      </c>
      <c r="L470" s="88" t="s">
        <v>367</v>
      </c>
      <c r="M470" s="94" t="str">
        <f t="shared" si="10"/>
        <v>View on Google Map</v>
      </c>
    </row>
    <row r="471" spans="1:13">
      <c r="A471" s="88">
        <v>447</v>
      </c>
      <c r="B471" s="88" t="s">
        <v>1338</v>
      </c>
      <c r="C471" s="88" t="s">
        <v>367</v>
      </c>
      <c r="D471" s="88">
        <v>68.652588284900006</v>
      </c>
      <c r="E471" s="88">
        <v>-149.60764069300001</v>
      </c>
      <c r="F471" s="88" t="s">
        <v>367</v>
      </c>
      <c r="G471" s="88" t="s">
        <v>378</v>
      </c>
      <c r="H471" s="88" t="s">
        <v>1339</v>
      </c>
      <c r="I471" s="88" t="s">
        <v>367</v>
      </c>
      <c r="J471" s="88" t="s">
        <v>393</v>
      </c>
      <c r="K471" s="88" t="s">
        <v>367</v>
      </c>
      <c r="L471" s="88" t="s">
        <v>367</v>
      </c>
      <c r="M471" s="94" t="str">
        <f t="shared" si="10"/>
        <v>View on Google Map</v>
      </c>
    </row>
    <row r="472" spans="1:13">
      <c r="A472" s="88">
        <v>504</v>
      </c>
      <c r="B472" s="88" t="s">
        <v>1340</v>
      </c>
      <c r="C472" s="88" t="s">
        <v>367</v>
      </c>
      <c r="D472" s="88">
        <v>68.647407723699999</v>
      </c>
      <c r="E472" s="88">
        <v>-149.60936597400001</v>
      </c>
      <c r="F472" s="88">
        <v>731</v>
      </c>
      <c r="G472" s="88" t="s">
        <v>378</v>
      </c>
      <c r="H472" s="88" t="s">
        <v>367</v>
      </c>
      <c r="I472" s="88" t="s">
        <v>367</v>
      </c>
      <c r="J472" s="88" t="s">
        <v>393</v>
      </c>
      <c r="K472" s="88" t="s">
        <v>367</v>
      </c>
      <c r="L472" s="88" t="s">
        <v>367</v>
      </c>
      <c r="M472" s="94" t="str">
        <f t="shared" si="10"/>
        <v>View on Google Map</v>
      </c>
    </row>
    <row r="473" spans="1:13">
      <c r="A473" s="88">
        <v>108</v>
      </c>
      <c r="B473" s="88" t="s">
        <v>1341</v>
      </c>
      <c r="C473" s="88" t="s">
        <v>367</v>
      </c>
      <c r="D473" s="88">
        <v>68.650000000000006</v>
      </c>
      <c r="E473" s="88">
        <v>-149.61666666666667</v>
      </c>
      <c r="F473" s="88">
        <v>699</v>
      </c>
      <c r="G473" s="88" t="s">
        <v>378</v>
      </c>
      <c r="H473" s="88" t="s">
        <v>1342</v>
      </c>
      <c r="I473" s="88" t="s">
        <v>367</v>
      </c>
      <c r="J473" s="88" t="s">
        <v>393</v>
      </c>
      <c r="K473" s="88" t="s">
        <v>367</v>
      </c>
      <c r="L473" s="88" t="s">
        <v>367</v>
      </c>
      <c r="M473" s="94" t="str">
        <f t="shared" si="10"/>
        <v>View on Google Map</v>
      </c>
    </row>
    <row r="474" spans="1:13">
      <c r="A474" s="88">
        <v>309</v>
      </c>
      <c r="B474" s="88" t="s">
        <v>1343</v>
      </c>
      <c r="C474" s="88" t="s">
        <v>367</v>
      </c>
      <c r="D474" s="88" t="s">
        <v>367</v>
      </c>
      <c r="E474" s="88" t="s">
        <v>367</v>
      </c>
      <c r="F474" s="88" t="s">
        <v>367</v>
      </c>
      <c r="G474" s="88" t="s">
        <v>378</v>
      </c>
      <c r="H474" s="88" t="s">
        <v>1344</v>
      </c>
      <c r="I474" s="88" t="s">
        <v>367</v>
      </c>
      <c r="J474" s="88" t="s">
        <v>393</v>
      </c>
      <c r="K474" s="88" t="s">
        <v>367</v>
      </c>
      <c r="L474" s="88" t="s">
        <v>367</v>
      </c>
      <c r="M474" s="94" t="str">
        <f t="shared" si="10"/>
        <v>View on Google Map</v>
      </c>
    </row>
    <row r="475" spans="1:13">
      <c r="A475" s="88">
        <v>109</v>
      </c>
      <c r="B475" s="88" t="s">
        <v>1345</v>
      </c>
      <c r="C475" s="88" t="s">
        <v>367</v>
      </c>
      <c r="D475" s="88">
        <v>68.683333333333337</v>
      </c>
      <c r="E475" s="88">
        <v>-149.61666666666667</v>
      </c>
      <c r="F475" s="88">
        <v>701</v>
      </c>
      <c r="G475" s="88" t="s">
        <v>378</v>
      </c>
      <c r="H475" s="88" t="s">
        <v>1346</v>
      </c>
      <c r="I475" s="88" t="s">
        <v>367</v>
      </c>
      <c r="J475" s="88" t="s">
        <v>393</v>
      </c>
      <c r="K475" s="88" t="s">
        <v>367</v>
      </c>
      <c r="L475" s="88" t="s">
        <v>367</v>
      </c>
      <c r="M475" s="94" t="str">
        <f t="shared" si="10"/>
        <v>View on Google Map</v>
      </c>
    </row>
    <row r="476" spans="1:13">
      <c r="A476" s="88">
        <v>497</v>
      </c>
      <c r="B476" s="88" t="s">
        <v>1347</v>
      </c>
      <c r="C476" s="88" t="s">
        <v>1348</v>
      </c>
      <c r="D476" s="88">
        <v>68.674931999999998</v>
      </c>
      <c r="E476" s="88">
        <v>-149.625439</v>
      </c>
      <c r="F476" s="88">
        <v>701</v>
      </c>
      <c r="G476" s="88" t="s">
        <v>378</v>
      </c>
      <c r="H476" s="88" t="s">
        <v>367</v>
      </c>
      <c r="I476" s="88" t="s">
        <v>367</v>
      </c>
      <c r="J476" s="88" t="s">
        <v>1295</v>
      </c>
      <c r="K476" s="88" t="s">
        <v>367</v>
      </c>
      <c r="L476" s="88" t="s">
        <v>774</v>
      </c>
      <c r="M476" s="94" t="str">
        <f t="shared" si="10"/>
        <v>View on Google Map</v>
      </c>
    </row>
    <row r="477" spans="1:13">
      <c r="A477" s="88">
        <v>498</v>
      </c>
      <c r="B477" s="88" t="s">
        <v>1349</v>
      </c>
      <c r="C477" s="88" t="s">
        <v>367</v>
      </c>
      <c r="D477" s="88">
        <v>68.677723</v>
      </c>
      <c r="E477" s="88">
        <v>-149.62402800000001</v>
      </c>
      <c r="F477" s="88">
        <v>701</v>
      </c>
      <c r="G477" s="88" t="s">
        <v>392</v>
      </c>
      <c r="H477" s="88" t="s">
        <v>367</v>
      </c>
      <c r="I477" s="88" t="s">
        <v>367</v>
      </c>
      <c r="J477" s="88" t="s">
        <v>1295</v>
      </c>
      <c r="K477" s="88" t="s">
        <v>367</v>
      </c>
      <c r="L477" s="88" t="s">
        <v>774</v>
      </c>
      <c r="M477" s="94" t="str">
        <f t="shared" si="10"/>
        <v>View on Google Map</v>
      </c>
    </row>
    <row r="478" spans="1:13">
      <c r="A478" s="88">
        <v>495</v>
      </c>
      <c r="B478" s="88" t="s">
        <v>1350</v>
      </c>
      <c r="C478" s="88" t="s">
        <v>367</v>
      </c>
      <c r="D478" s="88">
        <v>68.674121999999997</v>
      </c>
      <c r="E478" s="88">
        <v>-149.62885</v>
      </c>
      <c r="F478" s="88">
        <v>701</v>
      </c>
      <c r="G478" s="88" t="s">
        <v>392</v>
      </c>
      <c r="H478" s="88" t="s">
        <v>367</v>
      </c>
      <c r="I478" s="88" t="s">
        <v>367</v>
      </c>
      <c r="J478" s="88" t="s">
        <v>1295</v>
      </c>
      <c r="K478" s="88" t="s">
        <v>367</v>
      </c>
      <c r="L478" s="88" t="s">
        <v>774</v>
      </c>
      <c r="M478" s="94" t="str">
        <f t="shared" si="10"/>
        <v>View on Google Map</v>
      </c>
    </row>
    <row r="479" spans="1:13">
      <c r="A479" s="88">
        <v>448</v>
      </c>
      <c r="B479" s="88" t="s">
        <v>1351</v>
      </c>
      <c r="C479" s="88" t="s">
        <v>367</v>
      </c>
      <c r="D479" s="88">
        <v>68.655874034999997</v>
      </c>
      <c r="E479" s="88">
        <v>-149.58555905599999</v>
      </c>
      <c r="F479" s="88" t="s">
        <v>367</v>
      </c>
      <c r="G479" s="88" t="s">
        <v>378</v>
      </c>
      <c r="H479" s="88" t="s">
        <v>1352</v>
      </c>
      <c r="I479" s="88" t="s">
        <v>367</v>
      </c>
      <c r="J479" s="88" t="s">
        <v>393</v>
      </c>
      <c r="K479" s="88" t="s">
        <v>367</v>
      </c>
      <c r="L479" s="88" t="s">
        <v>367</v>
      </c>
      <c r="M479" s="94" t="str">
        <f t="shared" si="10"/>
        <v>View on Google Map</v>
      </c>
    </row>
    <row r="480" spans="1:13">
      <c r="A480" s="88">
        <v>449</v>
      </c>
      <c r="B480" s="88" t="s">
        <v>1353</v>
      </c>
      <c r="C480" s="88" t="s">
        <v>367</v>
      </c>
      <c r="D480" s="88">
        <v>68.661045276899998</v>
      </c>
      <c r="E480" s="88">
        <v>-149.586664767</v>
      </c>
      <c r="F480" s="88" t="s">
        <v>367</v>
      </c>
      <c r="G480" s="88" t="s">
        <v>378</v>
      </c>
      <c r="H480" s="88" t="s">
        <v>1354</v>
      </c>
      <c r="I480" s="88" t="s">
        <v>367</v>
      </c>
      <c r="J480" s="88" t="s">
        <v>393</v>
      </c>
      <c r="K480" s="88" t="s">
        <v>367</v>
      </c>
      <c r="L480" s="88" t="s">
        <v>367</v>
      </c>
      <c r="M480" s="94" t="str">
        <f t="shared" si="10"/>
        <v>View on Google Map</v>
      </c>
    </row>
    <row r="481" spans="1:13">
      <c r="A481" s="88">
        <v>171</v>
      </c>
      <c r="B481" s="88" t="s">
        <v>1355</v>
      </c>
      <c r="C481" s="88" t="s">
        <v>367</v>
      </c>
      <c r="D481" s="88">
        <v>68.652645483100002</v>
      </c>
      <c r="E481" s="88">
        <v>-149.59947366200001</v>
      </c>
      <c r="F481" s="88">
        <v>747</v>
      </c>
      <c r="G481" s="88" t="s">
        <v>378</v>
      </c>
      <c r="H481" s="88" t="s">
        <v>1356</v>
      </c>
      <c r="I481" s="88" t="s">
        <v>1357</v>
      </c>
      <c r="J481" s="88" t="s">
        <v>393</v>
      </c>
      <c r="K481" s="88" t="s">
        <v>367</v>
      </c>
      <c r="L481" s="88" t="s">
        <v>367</v>
      </c>
      <c r="M481" s="94" t="str">
        <f t="shared" si="10"/>
        <v>View on Google Map</v>
      </c>
    </row>
    <row r="482" spans="1:13">
      <c r="A482" s="88">
        <v>499</v>
      </c>
      <c r="B482" s="88" t="s">
        <v>1358</v>
      </c>
      <c r="C482" s="88" t="s">
        <v>367</v>
      </c>
      <c r="D482" s="88">
        <v>68.829610000000002</v>
      </c>
      <c r="E482" s="88">
        <v>-149.77901</v>
      </c>
      <c r="F482" s="88">
        <v>633</v>
      </c>
      <c r="G482" s="88" t="s">
        <v>378</v>
      </c>
      <c r="H482" s="88" t="s">
        <v>1359</v>
      </c>
      <c r="I482" s="88" t="s">
        <v>1360</v>
      </c>
      <c r="J482" s="88" t="s">
        <v>379</v>
      </c>
      <c r="K482" s="88" t="s">
        <v>367</v>
      </c>
      <c r="L482" s="88" t="s">
        <v>367</v>
      </c>
      <c r="M482" s="94" t="str">
        <f t="shared" si="10"/>
        <v>View on Google Map</v>
      </c>
    </row>
    <row r="483" spans="1:13">
      <c r="A483" s="88">
        <v>500</v>
      </c>
      <c r="B483" s="88" t="s">
        <v>1361</v>
      </c>
      <c r="C483" s="88" t="s">
        <v>367</v>
      </c>
      <c r="D483" s="88">
        <v>68.832999999999998</v>
      </c>
      <c r="E483" s="88">
        <v>-149.76808</v>
      </c>
      <c r="F483" s="88">
        <v>624</v>
      </c>
      <c r="G483" s="88" t="s">
        <v>378</v>
      </c>
      <c r="H483" s="88" t="s">
        <v>1362</v>
      </c>
      <c r="I483" s="88" t="s">
        <v>1363</v>
      </c>
      <c r="J483" s="88" t="s">
        <v>379</v>
      </c>
      <c r="K483" s="88" t="s">
        <v>367</v>
      </c>
      <c r="L483" s="88" t="s">
        <v>367</v>
      </c>
      <c r="M483" s="94" t="str">
        <f t="shared" si="10"/>
        <v>View on Google Map</v>
      </c>
    </row>
    <row r="484" spans="1:13">
      <c r="A484" s="88">
        <v>501</v>
      </c>
      <c r="B484" s="88" t="s">
        <v>1364</v>
      </c>
      <c r="C484" s="88" t="s">
        <v>367</v>
      </c>
      <c r="D484" s="88">
        <v>68.828299999999999</v>
      </c>
      <c r="E484" s="88">
        <v>-149.76473999999999</v>
      </c>
      <c r="F484" s="88">
        <v>624</v>
      </c>
      <c r="G484" s="88" t="s">
        <v>378</v>
      </c>
      <c r="H484" s="88" t="s">
        <v>1365</v>
      </c>
      <c r="I484" s="88" t="s">
        <v>1366</v>
      </c>
      <c r="J484" s="88" t="s">
        <v>379</v>
      </c>
      <c r="K484" s="88" t="s">
        <v>367</v>
      </c>
      <c r="L484" s="88" t="s">
        <v>367</v>
      </c>
      <c r="M484" s="94" t="str">
        <f t="shared" si="10"/>
        <v>View on Google Map</v>
      </c>
    </row>
    <row r="485" spans="1:13">
      <c r="A485" s="88">
        <v>502</v>
      </c>
      <c r="B485" s="88" t="s">
        <v>1367</v>
      </c>
      <c r="C485" s="88" t="s">
        <v>367</v>
      </c>
      <c r="D485" s="88">
        <v>68.826520000000002</v>
      </c>
      <c r="E485" s="88">
        <v>-149.75897000000001</v>
      </c>
      <c r="F485" s="88">
        <v>592</v>
      </c>
      <c r="G485" s="88" t="s">
        <v>378</v>
      </c>
      <c r="H485" s="88" t="s">
        <v>1368</v>
      </c>
      <c r="I485" s="88" t="s">
        <v>1369</v>
      </c>
      <c r="J485" s="88" t="s">
        <v>379</v>
      </c>
      <c r="K485" s="88" t="s">
        <v>367</v>
      </c>
      <c r="L485" s="88" t="s">
        <v>367</v>
      </c>
      <c r="M485" s="94" t="str">
        <f t="shared" si="10"/>
        <v>View on Google Map</v>
      </c>
    </row>
    <row r="486" spans="1:13">
      <c r="A486" s="88">
        <v>503</v>
      </c>
      <c r="B486" s="88" t="s">
        <v>1370</v>
      </c>
      <c r="C486" s="88" t="s">
        <v>367</v>
      </c>
      <c r="D486" s="88">
        <v>68.827259999999995</v>
      </c>
      <c r="E486" s="88">
        <v>-149.75089</v>
      </c>
      <c r="F486" s="88">
        <v>592</v>
      </c>
      <c r="G486" s="88" t="s">
        <v>378</v>
      </c>
      <c r="H486" s="88" t="s">
        <v>1371</v>
      </c>
      <c r="I486" s="88" t="s">
        <v>1372</v>
      </c>
      <c r="J486" s="88" t="s">
        <v>379</v>
      </c>
      <c r="K486" s="88" t="s">
        <v>367</v>
      </c>
      <c r="L486" s="88" t="s">
        <v>367</v>
      </c>
      <c r="M486" s="94" t="str">
        <f t="shared" si="10"/>
        <v>View on Google Map</v>
      </c>
    </row>
    <row r="487" spans="1:13">
      <c r="A487" s="88">
        <v>488</v>
      </c>
      <c r="B487" s="88" t="s">
        <v>1373</v>
      </c>
      <c r="C487" s="88" t="s">
        <v>367</v>
      </c>
      <c r="D487" s="88">
        <v>69.329949999999997</v>
      </c>
      <c r="E487" s="88">
        <v>-150.95275000000001</v>
      </c>
      <c r="F487" s="88">
        <v>127</v>
      </c>
      <c r="G487" s="88" t="s">
        <v>378</v>
      </c>
      <c r="H487" s="88" t="s">
        <v>367</v>
      </c>
      <c r="I487" s="88" t="s">
        <v>367</v>
      </c>
      <c r="J487" s="88" t="s">
        <v>428</v>
      </c>
      <c r="K487" s="88" t="s">
        <v>367</v>
      </c>
      <c r="L487" s="88" t="s">
        <v>375</v>
      </c>
      <c r="M487" s="94" t="str">
        <f t="shared" si="10"/>
        <v>View on Google Map</v>
      </c>
    </row>
    <row r="488" spans="1:13">
      <c r="A488" s="88">
        <v>489</v>
      </c>
      <c r="B488" s="88" t="s">
        <v>1374</v>
      </c>
      <c r="C488" s="88" t="s">
        <v>367</v>
      </c>
      <c r="D488" s="88" t="s">
        <v>367</v>
      </c>
      <c r="E488" s="88" t="s">
        <v>367</v>
      </c>
      <c r="F488" s="88">
        <v>127</v>
      </c>
      <c r="G488" s="88" t="s">
        <v>392</v>
      </c>
      <c r="H488" s="88" t="s">
        <v>367</v>
      </c>
      <c r="I488" s="88" t="s">
        <v>367</v>
      </c>
      <c r="J488" s="88" t="s">
        <v>428</v>
      </c>
      <c r="K488" s="88" t="s">
        <v>367</v>
      </c>
      <c r="L488" s="88" t="s">
        <v>375</v>
      </c>
      <c r="M488" s="94" t="str">
        <f t="shared" si="10"/>
        <v>View on Google Map</v>
      </c>
    </row>
    <row r="489" spans="1:13">
      <c r="A489" s="88">
        <v>490</v>
      </c>
      <c r="B489" s="88" t="s">
        <v>1375</v>
      </c>
      <c r="C489" s="88" t="s">
        <v>367</v>
      </c>
      <c r="D489" s="88" t="s">
        <v>367</v>
      </c>
      <c r="E489" s="88" t="s">
        <v>367</v>
      </c>
      <c r="F489" s="88">
        <v>127</v>
      </c>
      <c r="G489" s="88" t="s">
        <v>378</v>
      </c>
      <c r="H489" s="88" t="s">
        <v>367</v>
      </c>
      <c r="I489" s="88" t="s">
        <v>367</v>
      </c>
      <c r="J489" s="88" t="s">
        <v>428</v>
      </c>
      <c r="K489" s="88" t="s">
        <v>367</v>
      </c>
      <c r="L489" s="88" t="s">
        <v>375</v>
      </c>
      <c r="M489" s="94" t="str">
        <f t="shared" si="10"/>
        <v>View on Google Map</v>
      </c>
    </row>
    <row r="490" spans="1:13">
      <c r="A490" s="88">
        <v>34</v>
      </c>
      <c r="B490" s="88" t="s">
        <v>1376</v>
      </c>
      <c r="C490" s="88" t="s">
        <v>367</v>
      </c>
      <c r="D490" s="88">
        <v>69.057400000000001</v>
      </c>
      <c r="E490" s="88">
        <v>-150.39599999999999</v>
      </c>
      <c r="F490" s="88">
        <v>274</v>
      </c>
      <c r="G490" s="88" t="s">
        <v>392</v>
      </c>
      <c r="H490" s="88" t="s">
        <v>367</v>
      </c>
      <c r="I490" s="88" t="s">
        <v>367</v>
      </c>
      <c r="J490" s="88" t="s">
        <v>428</v>
      </c>
      <c r="K490" s="88" t="s">
        <v>367</v>
      </c>
      <c r="L490" s="88" t="s">
        <v>375</v>
      </c>
      <c r="M490" s="94" t="str">
        <f t="shared" si="10"/>
        <v>View on Google Map</v>
      </c>
    </row>
    <row r="491" spans="1:13">
      <c r="A491" s="88">
        <v>45</v>
      </c>
      <c r="B491" s="88" t="s">
        <v>1377</v>
      </c>
      <c r="C491" s="88" t="s">
        <v>367</v>
      </c>
      <c r="D491" s="88">
        <v>69.063298000000003</v>
      </c>
      <c r="E491" s="88">
        <v>-150.394711</v>
      </c>
      <c r="F491" s="88" t="s">
        <v>367</v>
      </c>
      <c r="G491" s="88" t="s">
        <v>392</v>
      </c>
      <c r="H491" s="88" t="s">
        <v>367</v>
      </c>
      <c r="I491" s="88" t="s">
        <v>367</v>
      </c>
      <c r="J491" s="88" t="s">
        <v>1378</v>
      </c>
      <c r="K491" s="88" t="s">
        <v>367</v>
      </c>
      <c r="L491" s="88" t="s">
        <v>375</v>
      </c>
      <c r="M491" s="94" t="str">
        <f t="shared" si="10"/>
        <v>View on Google Map</v>
      </c>
    </row>
    <row r="492" spans="1:13">
      <c r="B492" s="88" t="s">
        <v>1379</v>
      </c>
      <c r="C492" s="88" t="s">
        <v>1380</v>
      </c>
      <c r="D492" s="88">
        <v>69.138333333333335</v>
      </c>
      <c r="E492" s="88">
        <v>-150.64916666666701</v>
      </c>
      <c r="G492" s="88" t="s">
        <v>386</v>
      </c>
      <c r="J492" s="88" t="s">
        <v>374</v>
      </c>
      <c r="L492" s="88" t="s">
        <v>375</v>
      </c>
      <c r="M492" s="94" t="str">
        <f t="shared" si="10"/>
        <v>View on Google Map</v>
      </c>
    </row>
    <row r="493" spans="1:13">
      <c r="B493" s="88" t="s">
        <v>1381</v>
      </c>
      <c r="C493" s="88" t="s">
        <v>764</v>
      </c>
      <c r="D493" s="88">
        <v>69.152500000000003</v>
      </c>
      <c r="E493" s="88">
        <v>-150.706111111111</v>
      </c>
      <c r="G493" s="88" t="s">
        <v>386</v>
      </c>
      <c r="J493" s="88" t="s">
        <v>374</v>
      </c>
      <c r="L493" s="88" t="s">
        <v>375</v>
      </c>
      <c r="M493" s="94" t="str">
        <f t="shared" si="10"/>
        <v>View on Google Map</v>
      </c>
    </row>
    <row r="494" spans="1:13">
      <c r="A494" s="88">
        <v>35</v>
      </c>
      <c r="B494" s="88" t="s">
        <v>1382</v>
      </c>
      <c r="C494" s="88" t="s">
        <v>367</v>
      </c>
      <c r="D494" s="88">
        <v>69.063333333333333</v>
      </c>
      <c r="E494" s="88">
        <v>-150.39333333333335</v>
      </c>
      <c r="F494" s="88">
        <v>281</v>
      </c>
      <c r="G494" s="88" t="s">
        <v>392</v>
      </c>
      <c r="H494" s="88" t="s">
        <v>367</v>
      </c>
      <c r="I494" s="88" t="s">
        <v>367</v>
      </c>
      <c r="J494" s="88" t="s">
        <v>428</v>
      </c>
      <c r="K494" s="88" t="s">
        <v>367</v>
      </c>
      <c r="L494" s="88" t="s">
        <v>375</v>
      </c>
      <c r="M494" s="94" t="str">
        <f t="shared" si="10"/>
        <v>View on Google Map</v>
      </c>
    </row>
    <row r="495" spans="1:13">
      <c r="A495" s="88">
        <v>161</v>
      </c>
      <c r="B495" s="88" t="s">
        <v>1383</v>
      </c>
      <c r="C495" s="88" t="s">
        <v>1384</v>
      </c>
      <c r="D495" s="88">
        <v>68.599999999999994</v>
      </c>
      <c r="E495" s="88">
        <v>-149.18333333333334</v>
      </c>
      <c r="F495" s="88">
        <v>876</v>
      </c>
      <c r="G495" s="88" t="s">
        <v>378</v>
      </c>
      <c r="H495" s="88" t="s">
        <v>1385</v>
      </c>
      <c r="I495" s="88" t="s">
        <v>367</v>
      </c>
      <c r="J495" s="88" t="s">
        <v>393</v>
      </c>
      <c r="K495" s="88" t="s">
        <v>367</v>
      </c>
      <c r="L495" s="88" t="s">
        <v>394</v>
      </c>
      <c r="M495" s="94" t="str">
        <f t="shared" si="10"/>
        <v>View on Google Map</v>
      </c>
    </row>
    <row r="496" spans="1:13">
      <c r="A496" s="88">
        <v>162</v>
      </c>
      <c r="B496" s="88" t="s">
        <v>1386</v>
      </c>
      <c r="C496" s="88" t="s">
        <v>1384</v>
      </c>
      <c r="D496" s="88">
        <v>68.583333333333329</v>
      </c>
      <c r="E496" s="88">
        <v>-149.19999999999999</v>
      </c>
      <c r="F496" s="88">
        <v>892</v>
      </c>
      <c r="G496" s="88" t="s">
        <v>378</v>
      </c>
      <c r="H496" s="88" t="s">
        <v>1387</v>
      </c>
      <c r="I496" s="88" t="s">
        <v>367</v>
      </c>
      <c r="J496" s="88" t="s">
        <v>393</v>
      </c>
      <c r="K496" s="88" t="s">
        <v>367</v>
      </c>
      <c r="L496" s="88" t="s">
        <v>394</v>
      </c>
      <c r="M496" s="94" t="str">
        <f t="shared" si="10"/>
        <v>View on Google Map</v>
      </c>
    </row>
    <row r="497" spans="1:13">
      <c r="A497" s="88">
        <v>163</v>
      </c>
      <c r="B497" s="88" t="s">
        <v>1388</v>
      </c>
      <c r="C497" s="88" t="s">
        <v>1384</v>
      </c>
      <c r="D497" s="88">
        <v>68.599999999999994</v>
      </c>
      <c r="E497" s="88">
        <v>-149.16666666666666</v>
      </c>
      <c r="F497" s="88">
        <v>876</v>
      </c>
      <c r="G497" s="88" t="s">
        <v>378</v>
      </c>
      <c r="H497" s="88" t="s">
        <v>1389</v>
      </c>
      <c r="I497" s="88" t="s">
        <v>367</v>
      </c>
      <c r="J497" s="88" t="s">
        <v>393</v>
      </c>
      <c r="K497" s="88" t="s">
        <v>367</v>
      </c>
      <c r="L497" s="88" t="s">
        <v>394</v>
      </c>
      <c r="M497" s="94" t="str">
        <f t="shared" si="10"/>
        <v>View on Google Map</v>
      </c>
    </row>
    <row r="498" spans="1:13">
      <c r="A498" s="88">
        <v>5</v>
      </c>
      <c r="B498" s="88" t="s">
        <v>1390</v>
      </c>
      <c r="C498" s="88" t="s">
        <v>979</v>
      </c>
      <c r="D498" s="88">
        <v>68.671486221999999</v>
      </c>
      <c r="E498" s="88">
        <v>-149.1281271</v>
      </c>
      <c r="F498" s="88">
        <v>761.75599999999997</v>
      </c>
      <c r="G498" s="88" t="s">
        <v>904</v>
      </c>
      <c r="J498" s="13" t="s">
        <v>393</v>
      </c>
      <c r="M498" s="94" t="str">
        <f t="shared" si="10"/>
        <v>View on Google Map</v>
      </c>
    </row>
    <row r="499" spans="1:13">
      <c r="A499" s="88">
        <v>5</v>
      </c>
      <c r="B499" s="88" t="s">
        <v>1391</v>
      </c>
      <c r="C499" s="88" t="s">
        <v>979</v>
      </c>
      <c r="D499" s="88">
        <v>68.671371694000001</v>
      </c>
      <c r="E499" s="88">
        <v>-149.131155484</v>
      </c>
      <c r="F499" s="88">
        <v>763.88099999999997</v>
      </c>
      <c r="G499" s="88" t="s">
        <v>904</v>
      </c>
      <c r="J499" s="13" t="s">
        <v>393</v>
      </c>
      <c r="M499" s="94" t="str">
        <f t="shared" si="10"/>
        <v>View on Google Map</v>
      </c>
    </row>
    <row r="500" spans="1:13">
      <c r="A500" s="88">
        <v>5</v>
      </c>
      <c r="B500" s="88" t="s">
        <v>1392</v>
      </c>
      <c r="C500" s="88" t="s">
        <v>979</v>
      </c>
      <c r="D500" s="88">
        <v>68.671018009999997</v>
      </c>
      <c r="E500" s="88">
        <v>-149.13789268599999</v>
      </c>
      <c r="F500" s="88">
        <v>764.53700000000003</v>
      </c>
      <c r="G500" s="88" t="s">
        <v>904</v>
      </c>
      <c r="J500" s="13" t="s">
        <v>393</v>
      </c>
      <c r="M500" s="94" t="str">
        <f t="shared" si="10"/>
        <v>View on Google Map</v>
      </c>
    </row>
    <row r="501" spans="1:13">
      <c r="A501" s="88">
        <v>5</v>
      </c>
      <c r="B501" s="88" t="s">
        <v>1393</v>
      </c>
      <c r="C501" s="88" t="s">
        <v>989</v>
      </c>
      <c r="D501" s="88">
        <v>68.677193270000004</v>
      </c>
      <c r="E501" s="88">
        <v>-149.121792258</v>
      </c>
      <c r="F501" s="88">
        <v>763.74300000000005</v>
      </c>
      <c r="G501" s="88" t="s">
        <v>904</v>
      </c>
      <c r="J501" s="13" t="s">
        <v>393</v>
      </c>
      <c r="M501" s="94" t="str">
        <f t="shared" si="10"/>
        <v>View on Google Map</v>
      </c>
    </row>
    <row r="502" spans="1:13">
      <c r="A502" s="88">
        <v>5</v>
      </c>
      <c r="B502" s="88" t="s">
        <v>1394</v>
      </c>
      <c r="C502" s="88" t="s">
        <v>989</v>
      </c>
      <c r="D502" s="88">
        <v>68.679780992000005</v>
      </c>
      <c r="E502" s="88">
        <v>-149.114206438</v>
      </c>
      <c r="F502" s="88">
        <v>762.678</v>
      </c>
      <c r="G502" s="88" t="s">
        <v>904</v>
      </c>
      <c r="J502" s="13" t="s">
        <v>393</v>
      </c>
      <c r="M502" s="94" t="str">
        <f t="shared" si="10"/>
        <v>View on Google Map</v>
      </c>
    </row>
    <row r="503" spans="1:13">
      <c r="A503" s="88">
        <v>5</v>
      </c>
      <c r="B503" s="88" t="s">
        <v>1395</v>
      </c>
      <c r="C503" s="88" t="s">
        <v>391</v>
      </c>
      <c r="D503" s="88">
        <v>68.687399999999997</v>
      </c>
      <c r="E503" s="88">
        <v>-149.095</v>
      </c>
      <c r="F503" s="88">
        <v>754</v>
      </c>
      <c r="G503" s="88" t="s">
        <v>392</v>
      </c>
      <c r="H503" s="88" t="s">
        <v>1396</v>
      </c>
      <c r="I503" s="88" t="s">
        <v>1397</v>
      </c>
      <c r="J503" s="88" t="s">
        <v>393</v>
      </c>
      <c r="K503" s="88" t="s">
        <v>367</v>
      </c>
      <c r="L503" s="88" t="s">
        <v>394</v>
      </c>
      <c r="M503" s="94" t="str">
        <f t="shared" si="10"/>
        <v>View on Google Map</v>
      </c>
    </row>
    <row r="504" spans="1:13">
      <c r="A504" s="88">
        <v>5</v>
      </c>
      <c r="B504" s="88" t="s">
        <v>1398</v>
      </c>
      <c r="C504" s="88" t="s">
        <v>1009</v>
      </c>
      <c r="D504" s="88">
        <v>68.672870447999998</v>
      </c>
      <c r="E504" s="88">
        <v>-149.124843486</v>
      </c>
      <c r="G504" s="88" t="s">
        <v>904</v>
      </c>
      <c r="J504" s="13" t="s">
        <v>393</v>
      </c>
      <c r="M504" s="94" t="str">
        <f t="shared" si="10"/>
        <v>View on Google Map</v>
      </c>
    </row>
    <row r="505" spans="1:13">
      <c r="A505" s="88">
        <v>5</v>
      </c>
      <c r="B505" s="88" t="s">
        <v>1399</v>
      </c>
      <c r="C505" s="88" t="s">
        <v>1400</v>
      </c>
      <c r="D505" s="88">
        <v>68.686037823000007</v>
      </c>
      <c r="E505" s="88">
        <v>-149.0990032</v>
      </c>
      <c r="G505" s="88" t="s">
        <v>904</v>
      </c>
      <c r="J505" s="13" t="s">
        <v>393</v>
      </c>
      <c r="M505" s="94" t="str">
        <f t="shared" si="10"/>
        <v>View on Google Map</v>
      </c>
    </row>
    <row r="506" spans="1:13">
      <c r="A506" s="88">
        <v>491</v>
      </c>
      <c r="B506" s="88" t="s">
        <v>1401</v>
      </c>
      <c r="C506" s="88" t="s">
        <v>367</v>
      </c>
      <c r="D506" s="88">
        <v>68.941266666999994</v>
      </c>
      <c r="E506" s="88">
        <v>-150.5068</v>
      </c>
      <c r="F506" s="88">
        <v>408</v>
      </c>
      <c r="G506" s="88" t="s">
        <v>378</v>
      </c>
      <c r="H506" s="88" t="s">
        <v>1402</v>
      </c>
      <c r="I506" s="88" t="s">
        <v>367</v>
      </c>
      <c r="J506" s="88" t="s">
        <v>428</v>
      </c>
      <c r="K506" s="88" t="s">
        <v>367</v>
      </c>
      <c r="L506" s="88" t="s">
        <v>375</v>
      </c>
      <c r="M506" s="94" t="str">
        <f t="shared" si="10"/>
        <v>View on Google Map</v>
      </c>
    </row>
    <row r="507" spans="1:13">
      <c r="A507" s="88">
        <v>492</v>
      </c>
      <c r="B507" s="88" t="s">
        <v>1403</v>
      </c>
      <c r="C507" s="88" t="s">
        <v>367</v>
      </c>
      <c r="D507" s="88" t="s">
        <v>367</v>
      </c>
      <c r="E507" s="88" t="s">
        <v>367</v>
      </c>
      <c r="F507" s="88">
        <v>408</v>
      </c>
      <c r="G507" s="88" t="s">
        <v>378</v>
      </c>
      <c r="H507" s="88" t="s">
        <v>1404</v>
      </c>
      <c r="I507" s="88" t="s">
        <v>367</v>
      </c>
      <c r="J507" s="88" t="s">
        <v>428</v>
      </c>
      <c r="K507" s="88" t="s">
        <v>367</v>
      </c>
      <c r="L507" s="88" t="s">
        <v>375</v>
      </c>
      <c r="M507" s="94" t="str">
        <f t="shared" si="10"/>
        <v>View on Google Map</v>
      </c>
    </row>
    <row r="508" spans="1:13">
      <c r="A508" s="88">
        <v>1172</v>
      </c>
      <c r="B508" s="88" t="s">
        <v>1405</v>
      </c>
      <c r="C508" s="88" t="s">
        <v>367</v>
      </c>
      <c r="D508" s="88">
        <v>68.99666666666667</v>
      </c>
      <c r="E508" s="88">
        <v>-150.21249999999998</v>
      </c>
      <c r="F508" s="88" t="s">
        <v>367</v>
      </c>
      <c r="G508" s="88" t="s">
        <v>368</v>
      </c>
      <c r="H508" s="88" t="s">
        <v>1406</v>
      </c>
      <c r="I508" s="88" t="s">
        <v>367</v>
      </c>
      <c r="J508" s="88" t="s">
        <v>374</v>
      </c>
      <c r="K508" s="88" t="s">
        <v>367</v>
      </c>
      <c r="L508" s="88" t="s">
        <v>375</v>
      </c>
      <c r="M508" s="94" t="str">
        <f t="shared" si="10"/>
        <v>View on Google Map</v>
      </c>
    </row>
    <row r="509" spans="1:13">
      <c r="A509" s="88">
        <v>493</v>
      </c>
      <c r="B509" s="88" t="s">
        <v>1407</v>
      </c>
      <c r="C509" s="88" t="s">
        <v>367</v>
      </c>
      <c r="D509" s="88">
        <v>68.974933332999996</v>
      </c>
      <c r="E509" s="88">
        <v>-150.221066667</v>
      </c>
      <c r="F509" s="88">
        <v>364</v>
      </c>
      <c r="G509" s="88" t="s">
        <v>378</v>
      </c>
      <c r="H509" s="88" t="s">
        <v>367</v>
      </c>
      <c r="I509" s="88" t="s">
        <v>367</v>
      </c>
      <c r="J509" s="88" t="s">
        <v>428</v>
      </c>
      <c r="K509" s="88" t="s">
        <v>367</v>
      </c>
      <c r="L509" s="88" t="s">
        <v>375</v>
      </c>
      <c r="M509" s="94" t="str">
        <f t="shared" si="10"/>
        <v>View on Google Map</v>
      </c>
    </row>
    <row r="510" spans="1:13">
      <c r="A510" s="88">
        <v>405</v>
      </c>
      <c r="B510" s="88" t="s">
        <v>1408</v>
      </c>
      <c r="C510" s="88" t="s">
        <v>367</v>
      </c>
      <c r="D510" s="88" t="s">
        <v>367</v>
      </c>
      <c r="E510" s="88" t="s">
        <v>367</v>
      </c>
      <c r="F510" s="88" t="s">
        <v>367</v>
      </c>
      <c r="G510" s="88" t="s">
        <v>378</v>
      </c>
      <c r="H510" s="88" t="s">
        <v>367</v>
      </c>
      <c r="I510" s="88" t="s">
        <v>367</v>
      </c>
      <c r="J510" s="88" t="s">
        <v>393</v>
      </c>
      <c r="K510" s="88" t="s">
        <v>367</v>
      </c>
      <c r="L510" s="88" t="s">
        <v>549</v>
      </c>
      <c r="M510" s="94" t="str">
        <f t="shared" si="10"/>
        <v>View on Google Map</v>
      </c>
    </row>
    <row r="511" spans="1:13">
      <c r="A511" s="88">
        <v>505</v>
      </c>
      <c r="B511" s="88" t="s">
        <v>1409</v>
      </c>
      <c r="C511" s="88" t="s">
        <v>367</v>
      </c>
      <c r="D511" s="88">
        <v>68.921059</v>
      </c>
      <c r="E511" s="88">
        <v>-150.34784300000001</v>
      </c>
      <c r="F511" s="88" t="s">
        <v>367</v>
      </c>
      <c r="G511" s="88" t="s">
        <v>378</v>
      </c>
      <c r="H511" s="88" t="s">
        <v>367</v>
      </c>
      <c r="I511" s="88" t="s">
        <v>367</v>
      </c>
      <c r="J511" s="88" t="s">
        <v>428</v>
      </c>
      <c r="K511" s="88" t="s">
        <v>367</v>
      </c>
      <c r="L511" s="88" t="s">
        <v>375</v>
      </c>
      <c r="M511" s="94" t="str">
        <f t="shared" si="10"/>
        <v>View on Google Map</v>
      </c>
    </row>
    <row r="512" spans="1:13">
      <c r="A512" s="88">
        <v>506</v>
      </c>
      <c r="B512" s="88" t="s">
        <v>1410</v>
      </c>
      <c r="C512" s="88" t="s">
        <v>367</v>
      </c>
      <c r="D512" s="88">
        <v>68.921186000000006</v>
      </c>
      <c r="E512" s="88">
        <v>-150.37015</v>
      </c>
      <c r="F512" s="88" t="s">
        <v>367</v>
      </c>
      <c r="G512" s="88" t="s">
        <v>378</v>
      </c>
      <c r="H512" s="88" t="s">
        <v>367</v>
      </c>
      <c r="I512" s="88" t="s">
        <v>367</v>
      </c>
      <c r="J512" s="88" t="s">
        <v>428</v>
      </c>
      <c r="K512" s="88" t="s">
        <v>367</v>
      </c>
      <c r="L512" s="88" t="s">
        <v>375</v>
      </c>
      <c r="M512" s="94" t="str">
        <f t="shared" si="10"/>
        <v>View on Google Map</v>
      </c>
    </row>
    <row r="513" spans="1:13">
      <c r="A513" s="88">
        <v>507</v>
      </c>
      <c r="B513" s="88" t="s">
        <v>1411</v>
      </c>
      <c r="C513" s="88" t="s">
        <v>367</v>
      </c>
      <c r="D513" s="88">
        <v>68.936953000000003</v>
      </c>
      <c r="E513" s="88">
        <v>-150.35309699999999</v>
      </c>
      <c r="F513" s="88" t="s">
        <v>367</v>
      </c>
      <c r="G513" s="88" t="s">
        <v>378</v>
      </c>
      <c r="H513" s="88" t="s">
        <v>367</v>
      </c>
      <c r="I513" s="88" t="s">
        <v>367</v>
      </c>
      <c r="J513" s="88" t="s">
        <v>428</v>
      </c>
      <c r="K513" s="88" t="s">
        <v>367</v>
      </c>
      <c r="L513" s="88" t="s">
        <v>375</v>
      </c>
      <c r="M513" s="94" t="str">
        <f t="shared" si="10"/>
        <v>View on Google Map</v>
      </c>
    </row>
    <row r="514" spans="1:13">
      <c r="A514" s="88">
        <v>12</v>
      </c>
      <c r="B514" s="88" t="s">
        <v>1412</v>
      </c>
      <c r="C514" s="88" t="s">
        <v>367</v>
      </c>
      <c r="D514" s="88" t="s">
        <v>367</v>
      </c>
      <c r="E514" s="88" t="s">
        <v>367</v>
      </c>
      <c r="F514" s="88" t="s">
        <v>367</v>
      </c>
      <c r="G514" s="88" t="s">
        <v>392</v>
      </c>
      <c r="H514" s="88" t="s">
        <v>367</v>
      </c>
      <c r="I514" s="88" t="s">
        <v>367</v>
      </c>
      <c r="J514" s="88" t="s">
        <v>393</v>
      </c>
      <c r="K514" s="88" t="s">
        <v>367</v>
      </c>
      <c r="L514" s="88" t="s">
        <v>367</v>
      </c>
      <c r="M514" s="94" t="str">
        <f t="shared" si="10"/>
        <v>View on Google Map</v>
      </c>
    </row>
    <row r="515" spans="1:13">
      <c r="A515" s="88">
        <v>4</v>
      </c>
      <c r="B515" s="88" t="s">
        <v>1413</v>
      </c>
      <c r="C515" s="88" t="s">
        <v>391</v>
      </c>
      <c r="D515" s="88">
        <v>68.38333333333334</v>
      </c>
      <c r="E515" s="88">
        <v>-149.31666666666666</v>
      </c>
      <c r="F515" s="88">
        <v>869</v>
      </c>
      <c r="G515" s="88" t="s">
        <v>392</v>
      </c>
      <c r="H515" s="88" t="s">
        <v>1414</v>
      </c>
      <c r="I515" s="88" t="s">
        <v>1415</v>
      </c>
      <c r="J515" s="88" t="s">
        <v>393</v>
      </c>
      <c r="K515" s="88" t="s">
        <v>367</v>
      </c>
      <c r="L515" s="88" t="s">
        <v>394</v>
      </c>
      <c r="M515" s="94" t="str">
        <f t="shared" ref="M515:M578" si="11">HYPERLINK("http://maps.google.com/maps?q="&amp;D515&amp;","&amp;E515,"View on Google Map")</f>
        <v>View on Google Map</v>
      </c>
    </row>
    <row r="516" spans="1:13">
      <c r="A516" s="88">
        <v>148</v>
      </c>
      <c r="B516" s="88" t="s">
        <v>1416</v>
      </c>
      <c r="C516" s="88" t="s">
        <v>367</v>
      </c>
      <c r="D516" s="88">
        <v>68.624535966600007</v>
      </c>
      <c r="E516" s="88">
        <v>-149.60216609099999</v>
      </c>
      <c r="F516" s="88">
        <v>720</v>
      </c>
      <c r="G516" s="88" t="s">
        <v>378</v>
      </c>
      <c r="H516" s="88" t="s">
        <v>367</v>
      </c>
      <c r="I516" s="88" t="s">
        <v>367</v>
      </c>
      <c r="J516" s="88" t="s">
        <v>393</v>
      </c>
      <c r="K516" s="88" t="s">
        <v>367</v>
      </c>
      <c r="L516" s="88" t="s">
        <v>367</v>
      </c>
      <c r="M516" s="94" t="str">
        <f t="shared" si="11"/>
        <v>View on Google Map</v>
      </c>
    </row>
    <row r="517" spans="1:13">
      <c r="A517" s="88">
        <v>241</v>
      </c>
      <c r="B517" s="88" t="s">
        <v>1416</v>
      </c>
      <c r="C517" s="88" t="s">
        <v>367</v>
      </c>
      <c r="D517" s="88">
        <v>68.624535966600007</v>
      </c>
      <c r="E517" s="88">
        <v>-149.60216609099999</v>
      </c>
      <c r="F517" s="88" t="s">
        <v>367</v>
      </c>
      <c r="G517" s="88" t="s">
        <v>378</v>
      </c>
      <c r="H517" s="88" t="s">
        <v>367</v>
      </c>
      <c r="I517" s="88" t="s">
        <v>367</v>
      </c>
      <c r="J517" s="88" t="s">
        <v>393</v>
      </c>
      <c r="K517" s="88" t="s">
        <v>367</v>
      </c>
      <c r="L517" s="88" t="s">
        <v>367</v>
      </c>
      <c r="M517" s="94" t="str">
        <f t="shared" si="11"/>
        <v>View on Google Map</v>
      </c>
    </row>
    <row r="518" spans="1:13">
      <c r="A518" s="88">
        <v>149</v>
      </c>
      <c r="B518" s="88" t="s">
        <v>1417</v>
      </c>
      <c r="C518" s="88" t="s">
        <v>367</v>
      </c>
      <c r="D518" s="88">
        <v>68.627169078600005</v>
      </c>
      <c r="E518" s="88">
        <v>-149.61135296200001</v>
      </c>
      <c r="F518" s="88">
        <v>720</v>
      </c>
      <c r="G518" s="88" t="s">
        <v>378</v>
      </c>
      <c r="H518" s="88" t="s">
        <v>367</v>
      </c>
      <c r="I518" s="88" t="s">
        <v>367</v>
      </c>
      <c r="J518" s="88" t="s">
        <v>393</v>
      </c>
      <c r="K518" s="88" t="s">
        <v>367</v>
      </c>
      <c r="L518" s="88" t="s">
        <v>367</v>
      </c>
      <c r="M518" s="94" t="str">
        <f t="shared" si="11"/>
        <v>View on Google Map</v>
      </c>
    </row>
    <row r="519" spans="1:13">
      <c r="A519" s="88">
        <v>150</v>
      </c>
      <c r="B519" s="88" t="s">
        <v>1418</v>
      </c>
      <c r="C519" s="88" t="s">
        <v>367</v>
      </c>
      <c r="D519" s="88">
        <v>68.628818623300006</v>
      </c>
      <c r="E519" s="88">
        <v>-149.62482197599999</v>
      </c>
      <c r="F519" s="88">
        <v>720</v>
      </c>
      <c r="G519" s="88" t="s">
        <v>378</v>
      </c>
      <c r="H519" s="88" t="s">
        <v>367</v>
      </c>
      <c r="I519" s="88" t="s">
        <v>367</v>
      </c>
      <c r="J519" s="88" t="s">
        <v>393</v>
      </c>
      <c r="K519" s="88" t="s">
        <v>367</v>
      </c>
      <c r="L519" s="88" t="s">
        <v>367</v>
      </c>
      <c r="M519" s="94" t="str">
        <f t="shared" si="11"/>
        <v>View on Google Map</v>
      </c>
    </row>
    <row r="520" spans="1:13">
      <c r="A520" s="88">
        <v>151</v>
      </c>
      <c r="B520" s="88" t="s">
        <v>1419</v>
      </c>
      <c r="C520" s="88" t="s">
        <v>367</v>
      </c>
      <c r="D520" s="88">
        <v>68.630949932700005</v>
      </c>
      <c r="E520" s="88">
        <v>-149.62993150400001</v>
      </c>
      <c r="F520" s="88" t="s">
        <v>367</v>
      </c>
      <c r="G520" s="88" t="s">
        <v>378</v>
      </c>
      <c r="H520" s="88" t="s">
        <v>367</v>
      </c>
      <c r="I520" s="88" t="s">
        <v>367</v>
      </c>
      <c r="J520" s="88" t="s">
        <v>393</v>
      </c>
      <c r="K520" s="88" t="s">
        <v>367</v>
      </c>
      <c r="L520" s="88" t="s">
        <v>367</v>
      </c>
      <c r="M520" s="94" t="str">
        <f t="shared" si="11"/>
        <v>View on Google Map</v>
      </c>
    </row>
    <row r="521" spans="1:13">
      <c r="A521" s="88">
        <v>106</v>
      </c>
      <c r="B521" s="88" t="s">
        <v>1420</v>
      </c>
      <c r="C521" s="88" t="s">
        <v>367</v>
      </c>
      <c r="D521" s="88">
        <v>68.631431924799998</v>
      </c>
      <c r="E521" s="88">
        <v>-149.63669249099999</v>
      </c>
      <c r="F521" s="88">
        <v>725</v>
      </c>
      <c r="G521" s="88" t="s">
        <v>378</v>
      </c>
      <c r="H521" s="88" t="s">
        <v>1421</v>
      </c>
      <c r="I521" s="88" t="s">
        <v>367</v>
      </c>
      <c r="J521" s="88" t="s">
        <v>393</v>
      </c>
      <c r="K521" s="88" t="s">
        <v>367</v>
      </c>
      <c r="L521" s="88" t="s">
        <v>367</v>
      </c>
      <c r="M521" s="94" t="str">
        <f t="shared" si="11"/>
        <v>View on Google Map</v>
      </c>
    </row>
    <row r="522" spans="1:13">
      <c r="A522" s="88">
        <v>107</v>
      </c>
      <c r="B522" s="88" t="s">
        <v>1422</v>
      </c>
      <c r="C522" s="88" t="s">
        <v>367</v>
      </c>
      <c r="D522" s="88">
        <v>68.629379781599994</v>
      </c>
      <c r="E522" s="88">
        <v>-149.64162329499999</v>
      </c>
      <c r="F522" s="88">
        <v>731</v>
      </c>
      <c r="G522" s="88" t="s">
        <v>378</v>
      </c>
      <c r="H522" s="88" t="s">
        <v>1423</v>
      </c>
      <c r="I522" s="88" t="s">
        <v>367</v>
      </c>
      <c r="J522" s="88" t="s">
        <v>393</v>
      </c>
      <c r="K522" s="88" t="s">
        <v>367</v>
      </c>
      <c r="L522" s="88" t="s">
        <v>367</v>
      </c>
      <c r="M522" s="94" t="str">
        <f t="shared" si="11"/>
        <v>View on Google Map</v>
      </c>
    </row>
    <row r="523" spans="1:13">
      <c r="A523" s="88">
        <v>1603</v>
      </c>
      <c r="B523" s="88" t="s">
        <v>1424</v>
      </c>
      <c r="C523" s="88" t="s">
        <v>367</v>
      </c>
      <c r="D523" s="88" t="s">
        <v>367</v>
      </c>
      <c r="E523" s="88" t="s">
        <v>367</v>
      </c>
      <c r="F523" s="88" t="s">
        <v>367</v>
      </c>
      <c r="G523" s="88" t="s">
        <v>392</v>
      </c>
      <c r="H523" s="88" t="s">
        <v>1425</v>
      </c>
      <c r="I523" s="88" t="s">
        <v>1426</v>
      </c>
      <c r="J523" s="88" t="s">
        <v>393</v>
      </c>
      <c r="K523" s="88" t="s">
        <v>367</v>
      </c>
      <c r="L523" s="88" t="s">
        <v>367</v>
      </c>
      <c r="M523" s="94" t="str">
        <f t="shared" si="11"/>
        <v>View on Google Map</v>
      </c>
    </row>
    <row r="524" spans="1:13">
      <c r="A524" s="88">
        <v>152</v>
      </c>
      <c r="B524" s="88" t="s">
        <v>1427</v>
      </c>
      <c r="C524" s="88" t="s">
        <v>367</v>
      </c>
      <c r="D524" s="88">
        <v>68.630062744699998</v>
      </c>
      <c r="E524" s="88">
        <v>-149.64444178900001</v>
      </c>
      <c r="F524" s="88">
        <v>731</v>
      </c>
      <c r="G524" s="88" t="s">
        <v>378</v>
      </c>
      <c r="H524" s="88" t="s">
        <v>367</v>
      </c>
      <c r="I524" s="88" t="s">
        <v>367</v>
      </c>
      <c r="J524" s="88" t="s">
        <v>393</v>
      </c>
      <c r="K524" s="88" t="s">
        <v>367</v>
      </c>
      <c r="L524" s="88" t="s">
        <v>367</v>
      </c>
      <c r="M524" s="94" t="str">
        <f t="shared" si="11"/>
        <v>View on Google Map</v>
      </c>
    </row>
    <row r="525" spans="1:13">
      <c r="A525" s="88">
        <v>1601</v>
      </c>
      <c r="B525" s="88" t="s">
        <v>1428</v>
      </c>
      <c r="C525" s="88" t="s">
        <v>367</v>
      </c>
      <c r="D525" s="88" t="s">
        <v>367</v>
      </c>
      <c r="E525" s="88" t="s">
        <v>367</v>
      </c>
      <c r="F525" s="88" t="s">
        <v>367</v>
      </c>
      <c r="G525" s="88" t="s">
        <v>367</v>
      </c>
      <c r="H525" s="88" t="s">
        <v>1429</v>
      </c>
      <c r="I525" s="88" t="s">
        <v>1430</v>
      </c>
      <c r="J525" s="13" t="s">
        <v>393</v>
      </c>
      <c r="K525" s="88" t="s">
        <v>367</v>
      </c>
      <c r="L525" s="88" t="s">
        <v>367</v>
      </c>
      <c r="M525" s="94" t="str">
        <f t="shared" si="11"/>
        <v>View on Google Map</v>
      </c>
    </row>
    <row r="526" spans="1:13">
      <c r="A526" s="88">
        <v>1602</v>
      </c>
      <c r="B526" s="88" t="s">
        <v>1431</v>
      </c>
      <c r="C526" s="88" t="s">
        <v>367</v>
      </c>
      <c r="D526" s="88" t="s">
        <v>367</v>
      </c>
      <c r="E526" s="88" t="s">
        <v>367</v>
      </c>
      <c r="F526" s="88" t="s">
        <v>367</v>
      </c>
      <c r="G526" s="88" t="s">
        <v>367</v>
      </c>
      <c r="H526" s="88" t="s">
        <v>1432</v>
      </c>
      <c r="I526" s="88" t="s">
        <v>1433</v>
      </c>
      <c r="J526" s="13" t="s">
        <v>393</v>
      </c>
      <c r="K526" s="88" t="s">
        <v>367</v>
      </c>
      <c r="L526" s="88" t="s">
        <v>367</v>
      </c>
      <c r="M526" s="94" t="str">
        <f t="shared" si="11"/>
        <v>View on Google Map</v>
      </c>
    </row>
    <row r="527" spans="1:13">
      <c r="A527" s="88">
        <v>153</v>
      </c>
      <c r="B527" s="88" t="s">
        <v>1434</v>
      </c>
      <c r="C527" s="88" t="s">
        <v>367</v>
      </c>
      <c r="D527" s="88" t="s">
        <v>367</v>
      </c>
      <c r="E527" s="88" t="s">
        <v>367</v>
      </c>
      <c r="F527" s="88" t="s">
        <v>367</v>
      </c>
      <c r="G527" s="88" t="s">
        <v>378</v>
      </c>
      <c r="H527" s="88" t="s">
        <v>367</v>
      </c>
      <c r="I527" s="88" t="s">
        <v>367</v>
      </c>
      <c r="J527" s="88" t="s">
        <v>393</v>
      </c>
      <c r="K527" s="88" t="s">
        <v>367</v>
      </c>
      <c r="L527" s="88" t="s">
        <v>367</v>
      </c>
      <c r="M527" s="94" t="str">
        <f t="shared" si="11"/>
        <v>View on Google Map</v>
      </c>
    </row>
    <row r="528" spans="1:13">
      <c r="A528" s="88">
        <v>154</v>
      </c>
      <c r="B528" s="88" t="s">
        <v>1435</v>
      </c>
      <c r="C528" s="88" t="s">
        <v>367</v>
      </c>
      <c r="D528" s="88" t="s">
        <v>367</v>
      </c>
      <c r="E528" s="88" t="s">
        <v>367</v>
      </c>
      <c r="F528" s="88" t="s">
        <v>367</v>
      </c>
      <c r="G528" s="88" t="s">
        <v>378</v>
      </c>
      <c r="H528" s="88" t="s">
        <v>367</v>
      </c>
      <c r="I528" s="88" t="s">
        <v>367</v>
      </c>
      <c r="J528" s="88" t="s">
        <v>393</v>
      </c>
      <c r="K528" s="88" t="s">
        <v>367</v>
      </c>
      <c r="L528" s="88" t="s">
        <v>367</v>
      </c>
      <c r="M528" s="94" t="str">
        <f t="shared" si="11"/>
        <v>View on Google Map</v>
      </c>
    </row>
    <row r="529" spans="1:13">
      <c r="A529" s="88">
        <v>155</v>
      </c>
      <c r="B529" s="88" t="s">
        <v>1436</v>
      </c>
      <c r="C529" s="88" t="s">
        <v>367</v>
      </c>
      <c r="D529" s="88" t="s">
        <v>367</v>
      </c>
      <c r="E529" s="88" t="s">
        <v>367</v>
      </c>
      <c r="F529" s="88" t="s">
        <v>367</v>
      </c>
      <c r="G529" s="88" t="s">
        <v>378</v>
      </c>
      <c r="H529" s="88" t="s">
        <v>367</v>
      </c>
      <c r="I529" s="88" t="s">
        <v>367</v>
      </c>
      <c r="J529" s="88" t="s">
        <v>393</v>
      </c>
      <c r="K529" s="88" t="s">
        <v>367</v>
      </c>
      <c r="L529" s="88" t="s">
        <v>367</v>
      </c>
      <c r="M529" s="94" t="str">
        <f t="shared" si="11"/>
        <v>View on Google Map</v>
      </c>
    </row>
    <row r="530" spans="1:13">
      <c r="A530" s="88">
        <v>156</v>
      </c>
      <c r="B530" s="88" t="s">
        <v>1437</v>
      </c>
      <c r="C530" s="88" t="s">
        <v>367</v>
      </c>
      <c r="D530" s="88">
        <v>68.630148048999999</v>
      </c>
      <c r="E530" s="88">
        <v>-149.65057914499999</v>
      </c>
      <c r="F530" s="88">
        <v>750</v>
      </c>
      <c r="G530" s="88" t="s">
        <v>378</v>
      </c>
      <c r="H530" s="88" t="s">
        <v>367</v>
      </c>
      <c r="I530" s="88" t="s">
        <v>367</v>
      </c>
      <c r="J530" s="88" t="s">
        <v>393</v>
      </c>
      <c r="K530" s="88" t="s">
        <v>367</v>
      </c>
      <c r="L530" s="88" t="s">
        <v>367</v>
      </c>
      <c r="M530" s="94" t="str">
        <f t="shared" si="11"/>
        <v>View on Google Map</v>
      </c>
    </row>
    <row r="531" spans="1:13">
      <c r="A531" s="88">
        <v>157</v>
      </c>
      <c r="B531" s="88" t="s">
        <v>1438</v>
      </c>
      <c r="C531" s="88" t="s">
        <v>367</v>
      </c>
      <c r="D531" s="88">
        <v>68.629627802900004</v>
      </c>
      <c r="E531" s="88">
        <v>-149.655880887</v>
      </c>
      <c r="F531" s="88">
        <v>754</v>
      </c>
      <c r="G531" s="88" t="s">
        <v>378</v>
      </c>
      <c r="H531" s="88" t="s">
        <v>367</v>
      </c>
      <c r="I531" s="88" t="s">
        <v>367</v>
      </c>
      <c r="J531" s="88" t="s">
        <v>393</v>
      </c>
      <c r="K531" s="88" t="s">
        <v>367</v>
      </c>
      <c r="L531" s="88" t="s">
        <v>367</v>
      </c>
      <c r="M531" s="94" t="str">
        <f t="shared" si="11"/>
        <v>View on Google Map</v>
      </c>
    </row>
    <row r="532" spans="1:13">
      <c r="A532" s="88">
        <v>158</v>
      </c>
      <c r="B532" s="88" t="s">
        <v>1439</v>
      </c>
      <c r="C532" s="88" t="s">
        <v>367</v>
      </c>
      <c r="D532" s="88">
        <v>68.631486568699998</v>
      </c>
      <c r="E532" s="88">
        <v>-149.65910231699999</v>
      </c>
      <c r="F532" s="88">
        <v>754</v>
      </c>
      <c r="G532" s="88" t="s">
        <v>378</v>
      </c>
      <c r="H532" s="88" t="s">
        <v>367</v>
      </c>
      <c r="I532" s="88" t="s">
        <v>367</v>
      </c>
      <c r="J532" s="88" t="s">
        <v>393</v>
      </c>
      <c r="K532" s="88" t="s">
        <v>367</v>
      </c>
      <c r="L532" s="88" t="s">
        <v>367</v>
      </c>
      <c r="M532" s="94" t="str">
        <f t="shared" si="11"/>
        <v>View on Google Map</v>
      </c>
    </row>
    <row r="533" spans="1:13">
      <c r="A533" s="88">
        <v>169</v>
      </c>
      <c r="B533" s="88" t="s">
        <v>1440</v>
      </c>
      <c r="C533" s="88" t="s">
        <v>367</v>
      </c>
      <c r="D533" s="88" t="s">
        <v>367</v>
      </c>
      <c r="E533" s="88" t="s">
        <v>367</v>
      </c>
      <c r="F533" s="88" t="s">
        <v>367</v>
      </c>
      <c r="G533" s="88" t="s">
        <v>378</v>
      </c>
      <c r="H533" s="88" t="s">
        <v>367</v>
      </c>
      <c r="I533" s="88" t="s">
        <v>367</v>
      </c>
      <c r="J533" s="88" t="s">
        <v>393</v>
      </c>
      <c r="K533" s="88" t="s">
        <v>367</v>
      </c>
      <c r="L533" s="88" t="s">
        <v>367</v>
      </c>
      <c r="M533" s="94" t="str">
        <f t="shared" si="11"/>
        <v>View on Google Map</v>
      </c>
    </row>
    <row r="534" spans="1:13">
      <c r="A534" s="88">
        <v>170</v>
      </c>
      <c r="B534" s="88" t="s">
        <v>1441</v>
      </c>
      <c r="C534" s="88" t="s">
        <v>367</v>
      </c>
      <c r="D534" s="88" t="s">
        <v>367</v>
      </c>
      <c r="E534" s="88" t="s">
        <v>367</v>
      </c>
      <c r="F534" s="88" t="s">
        <v>367</v>
      </c>
      <c r="G534" s="88" t="s">
        <v>378</v>
      </c>
      <c r="H534" s="88" t="s">
        <v>367</v>
      </c>
      <c r="I534" s="88" t="s">
        <v>367</v>
      </c>
      <c r="J534" s="88" t="s">
        <v>393</v>
      </c>
      <c r="K534" s="88" t="s">
        <v>367</v>
      </c>
      <c r="L534" s="88" t="s">
        <v>367</v>
      </c>
      <c r="M534" s="94" t="str">
        <f t="shared" si="11"/>
        <v>View on Google Map</v>
      </c>
    </row>
    <row r="535" spans="1:13">
      <c r="A535" s="88">
        <v>136</v>
      </c>
      <c r="B535" s="88" t="s">
        <v>1442</v>
      </c>
      <c r="C535" s="88" t="s">
        <v>367</v>
      </c>
      <c r="D535" s="88">
        <v>70.233333333333334</v>
      </c>
      <c r="E535" s="88">
        <v>-148.25</v>
      </c>
      <c r="F535" s="88">
        <v>10</v>
      </c>
      <c r="G535" s="88" t="s">
        <v>378</v>
      </c>
      <c r="H535" s="88" t="s">
        <v>1443</v>
      </c>
      <c r="I535" s="88" t="s">
        <v>367</v>
      </c>
      <c r="J535" s="88" t="s">
        <v>393</v>
      </c>
      <c r="K535" s="88" t="s">
        <v>367</v>
      </c>
      <c r="L535" s="88" t="s">
        <v>394</v>
      </c>
      <c r="M535" s="94" t="str">
        <f t="shared" si="11"/>
        <v>View on Google Map</v>
      </c>
    </row>
    <row r="536" spans="1:13">
      <c r="A536" s="88">
        <v>6</v>
      </c>
      <c r="B536" s="88" t="s">
        <v>1444</v>
      </c>
      <c r="C536" s="88" t="s">
        <v>367</v>
      </c>
      <c r="D536" s="88" t="s">
        <v>367</v>
      </c>
      <c r="E536" s="88" t="s">
        <v>367</v>
      </c>
      <c r="F536" s="88">
        <v>457</v>
      </c>
      <c r="G536" s="88" t="s">
        <v>392</v>
      </c>
      <c r="H536" s="88" t="s">
        <v>1445</v>
      </c>
      <c r="I536" s="88" t="s">
        <v>1446</v>
      </c>
      <c r="J536" s="88" t="s">
        <v>393</v>
      </c>
      <c r="K536" s="88" t="s">
        <v>367</v>
      </c>
      <c r="L536" s="88" t="s">
        <v>394</v>
      </c>
      <c r="M536" s="94" t="str">
        <f t="shared" si="11"/>
        <v>View on Google Map</v>
      </c>
    </row>
    <row r="537" spans="1:13">
      <c r="A537" s="88">
        <v>20</v>
      </c>
      <c r="B537" s="88" t="s">
        <v>1447</v>
      </c>
      <c r="C537" s="88" t="s">
        <v>367</v>
      </c>
      <c r="D537" s="88" t="s">
        <v>367</v>
      </c>
      <c r="E537" s="88" t="s">
        <v>367</v>
      </c>
      <c r="F537" s="88" t="s">
        <v>367</v>
      </c>
      <c r="G537" s="88" t="s">
        <v>392</v>
      </c>
      <c r="H537" s="88" t="s">
        <v>367</v>
      </c>
      <c r="I537" s="88" t="s">
        <v>367</v>
      </c>
      <c r="J537" s="88" t="s">
        <v>393</v>
      </c>
      <c r="K537" s="88" t="s">
        <v>367</v>
      </c>
      <c r="L537" s="88" t="s">
        <v>367</v>
      </c>
      <c r="M537" s="94" t="str">
        <f t="shared" si="11"/>
        <v>View on Google Map</v>
      </c>
    </row>
    <row r="538" spans="1:13">
      <c r="A538" s="88">
        <v>1176</v>
      </c>
      <c r="B538" s="88" t="s">
        <v>1448</v>
      </c>
      <c r="C538" s="88" t="s">
        <v>399</v>
      </c>
      <c r="D538" s="88">
        <v>68.996418329999997</v>
      </c>
      <c r="E538" s="88">
        <v>-150.27895670000001</v>
      </c>
      <c r="F538" s="88" t="s">
        <v>367</v>
      </c>
      <c r="G538" s="88" t="s">
        <v>368</v>
      </c>
      <c r="H538" s="88" t="s">
        <v>367</v>
      </c>
      <c r="I538" s="88" t="s">
        <v>367</v>
      </c>
      <c r="J538" s="88" t="s">
        <v>374</v>
      </c>
      <c r="K538" s="88" t="s">
        <v>367</v>
      </c>
      <c r="L538" s="88" t="s">
        <v>375</v>
      </c>
      <c r="M538" s="94" t="str">
        <f t="shared" si="11"/>
        <v>View on Google Map</v>
      </c>
    </row>
    <row r="539" spans="1:13">
      <c r="A539" s="88">
        <v>509</v>
      </c>
      <c r="B539" s="88" t="s">
        <v>1449</v>
      </c>
      <c r="C539" s="88" t="s">
        <v>377</v>
      </c>
      <c r="D539" s="88">
        <v>68.338126000000003</v>
      </c>
      <c r="E539" s="88">
        <v>-151.061735</v>
      </c>
      <c r="F539" s="88">
        <v>840</v>
      </c>
      <c r="G539" s="88" t="s">
        <v>378</v>
      </c>
      <c r="H539" s="88" t="s">
        <v>367</v>
      </c>
      <c r="I539" s="88" t="s">
        <v>367</v>
      </c>
      <c r="J539" s="88" t="s">
        <v>379</v>
      </c>
      <c r="K539" s="88" t="s">
        <v>367</v>
      </c>
      <c r="L539" s="88" t="s">
        <v>380</v>
      </c>
      <c r="M539" s="94" t="str">
        <f t="shared" si="11"/>
        <v>View on Google Map</v>
      </c>
    </row>
    <row r="540" spans="1:13">
      <c r="A540" s="88">
        <v>36</v>
      </c>
      <c r="B540" s="88" t="s">
        <v>1450</v>
      </c>
      <c r="C540" s="88" t="s">
        <v>367</v>
      </c>
      <c r="D540" s="88">
        <v>69.233333333333334</v>
      </c>
      <c r="E540" s="88">
        <v>-150.804383333</v>
      </c>
      <c r="F540" s="88">
        <v>181.97</v>
      </c>
      <c r="G540" s="88" t="s">
        <v>392</v>
      </c>
      <c r="H540" s="88" t="s">
        <v>367</v>
      </c>
      <c r="I540" s="88" t="s">
        <v>367</v>
      </c>
      <c r="J540" s="88" t="s">
        <v>428</v>
      </c>
      <c r="K540" s="88" t="s">
        <v>367</v>
      </c>
      <c r="L540" s="88" t="s">
        <v>375</v>
      </c>
      <c r="M540" s="94" t="str">
        <f t="shared" si="11"/>
        <v>View on Google Map</v>
      </c>
    </row>
    <row r="541" spans="1:13">
      <c r="A541" s="88">
        <v>37</v>
      </c>
      <c r="B541" s="88" t="s">
        <v>1451</v>
      </c>
      <c r="C541" s="88" t="s">
        <v>367</v>
      </c>
      <c r="D541" s="88">
        <v>68.289683333333329</v>
      </c>
      <c r="E541" s="88">
        <v>-150.91499999999999</v>
      </c>
      <c r="F541" s="88">
        <v>392</v>
      </c>
      <c r="G541" s="88" t="s">
        <v>392</v>
      </c>
      <c r="H541" s="88" t="s">
        <v>367</v>
      </c>
      <c r="I541" s="88" t="s">
        <v>367</v>
      </c>
      <c r="J541" s="88" t="s">
        <v>428</v>
      </c>
      <c r="K541" s="88" t="s">
        <v>367</v>
      </c>
      <c r="L541" s="88" t="s">
        <v>375</v>
      </c>
      <c r="M541" s="94" t="str">
        <f t="shared" si="11"/>
        <v>View on Google Map</v>
      </c>
    </row>
    <row r="542" spans="1:13">
      <c r="A542" s="88">
        <v>130</v>
      </c>
      <c r="B542" s="88" t="s">
        <v>1452</v>
      </c>
      <c r="C542" s="88" t="s">
        <v>1453</v>
      </c>
      <c r="D542" s="88">
        <v>70.083333333333329</v>
      </c>
      <c r="E542" s="88">
        <v>-148.53333333333299</v>
      </c>
      <c r="F542" s="88">
        <v>24</v>
      </c>
      <c r="G542" s="88" t="s">
        <v>378</v>
      </c>
      <c r="H542" s="88" t="s">
        <v>1454</v>
      </c>
      <c r="I542" s="88" t="s">
        <v>367</v>
      </c>
      <c r="J542" s="88" t="s">
        <v>393</v>
      </c>
      <c r="K542" s="88" t="s">
        <v>367</v>
      </c>
      <c r="L542" s="88" t="s">
        <v>394</v>
      </c>
      <c r="M542" s="94" t="str">
        <f t="shared" si="11"/>
        <v>View on Google Map</v>
      </c>
    </row>
    <row r="543" spans="1:13">
      <c r="A543" s="88">
        <v>519</v>
      </c>
      <c r="B543" s="88" t="s">
        <v>1455</v>
      </c>
      <c r="C543" s="88" t="s">
        <v>377</v>
      </c>
      <c r="D543" s="88">
        <v>68.802636000000007</v>
      </c>
      <c r="E543" s="88">
        <v>-150.78539699999999</v>
      </c>
      <c r="F543" s="88">
        <v>411</v>
      </c>
      <c r="G543" s="88" t="s">
        <v>378</v>
      </c>
      <c r="H543" s="88" t="s">
        <v>367</v>
      </c>
      <c r="I543" s="88" t="s">
        <v>367</v>
      </c>
      <c r="J543" s="88" t="s">
        <v>379</v>
      </c>
      <c r="K543" s="88" t="s">
        <v>367</v>
      </c>
      <c r="L543" s="88" t="s">
        <v>380</v>
      </c>
      <c r="M543" s="94" t="str">
        <f t="shared" si="11"/>
        <v>View on Google Map</v>
      </c>
    </row>
    <row r="544" spans="1:13">
      <c r="A544" s="88">
        <v>452</v>
      </c>
      <c r="B544" s="88" t="s">
        <v>1456</v>
      </c>
      <c r="C544" s="88" t="s">
        <v>367</v>
      </c>
      <c r="D544" s="88">
        <v>68.794960000000003</v>
      </c>
      <c r="E544" s="88">
        <v>-149.04813999999999</v>
      </c>
      <c r="F544" s="88">
        <v>754</v>
      </c>
      <c r="G544" s="88" t="s">
        <v>378</v>
      </c>
      <c r="H544" s="88" t="s">
        <v>367</v>
      </c>
      <c r="I544" s="88" t="s">
        <v>367</v>
      </c>
      <c r="J544" s="88" t="s">
        <v>379</v>
      </c>
      <c r="K544" s="88" t="s">
        <v>367</v>
      </c>
      <c r="L544" s="88" t="s">
        <v>367</v>
      </c>
      <c r="M544" s="94" t="str">
        <f t="shared" si="11"/>
        <v>View on Google Map</v>
      </c>
    </row>
    <row r="545" spans="1:13">
      <c r="A545" s="88">
        <v>453</v>
      </c>
      <c r="B545" s="88" t="s">
        <v>1457</v>
      </c>
      <c r="C545" s="88" t="s">
        <v>367</v>
      </c>
      <c r="D545" s="88">
        <v>68.810460000000006</v>
      </c>
      <c r="E545" s="88">
        <v>-149.05207999999999</v>
      </c>
      <c r="F545" s="88">
        <v>727</v>
      </c>
      <c r="G545" s="88" t="s">
        <v>378</v>
      </c>
      <c r="H545" s="88" t="s">
        <v>367</v>
      </c>
      <c r="I545" s="88" t="s">
        <v>367</v>
      </c>
      <c r="J545" s="88" t="s">
        <v>379</v>
      </c>
      <c r="K545" s="88" t="s">
        <v>367</v>
      </c>
      <c r="L545" s="88" t="s">
        <v>367</v>
      </c>
      <c r="M545" s="94" t="str">
        <f t="shared" si="11"/>
        <v>View on Google Map</v>
      </c>
    </row>
    <row r="546" spans="1:13">
      <c r="A546" s="88">
        <v>454</v>
      </c>
      <c r="B546" s="88" t="s">
        <v>1458</v>
      </c>
      <c r="C546" s="88" t="s">
        <v>367</v>
      </c>
      <c r="D546" s="88">
        <v>68.815870000000004</v>
      </c>
      <c r="E546" s="88">
        <v>-149.06173999999999</v>
      </c>
      <c r="F546" s="88">
        <v>715</v>
      </c>
      <c r="G546" s="88" t="s">
        <v>378</v>
      </c>
      <c r="H546" s="88" t="s">
        <v>367</v>
      </c>
      <c r="I546" s="88" t="s">
        <v>367</v>
      </c>
      <c r="J546" s="88" t="s">
        <v>379</v>
      </c>
      <c r="K546" s="88" t="s">
        <v>367</v>
      </c>
      <c r="L546" s="88" t="s">
        <v>367</v>
      </c>
      <c r="M546" s="94" t="str">
        <f t="shared" si="11"/>
        <v>View on Google Map</v>
      </c>
    </row>
    <row r="547" spans="1:13">
      <c r="A547" s="88">
        <v>455</v>
      </c>
      <c r="B547" s="88" t="s">
        <v>1459</v>
      </c>
      <c r="C547" s="88" t="s">
        <v>367</v>
      </c>
      <c r="D547" s="88">
        <v>68.810519999999997</v>
      </c>
      <c r="E547" s="88">
        <v>-149.06282999999999</v>
      </c>
      <c r="F547" s="88">
        <v>728</v>
      </c>
      <c r="G547" s="88" t="s">
        <v>378</v>
      </c>
      <c r="H547" s="88" t="s">
        <v>367</v>
      </c>
      <c r="I547" s="88" t="s">
        <v>367</v>
      </c>
      <c r="J547" s="88" t="s">
        <v>379</v>
      </c>
      <c r="K547" s="88" t="s">
        <v>367</v>
      </c>
      <c r="L547" s="88" t="s">
        <v>367</v>
      </c>
      <c r="M547" s="94" t="str">
        <f t="shared" si="11"/>
        <v>View on Google Map</v>
      </c>
    </row>
    <row r="548" spans="1:13">
      <c r="A548" s="88">
        <v>456</v>
      </c>
      <c r="B548" s="88" t="s">
        <v>1460</v>
      </c>
      <c r="C548" s="88" t="s">
        <v>367</v>
      </c>
      <c r="D548" s="88">
        <v>68.812290000000004</v>
      </c>
      <c r="E548" s="88">
        <v>-149.06899000000001</v>
      </c>
      <c r="F548" s="88">
        <v>730</v>
      </c>
      <c r="G548" s="88" t="s">
        <v>378</v>
      </c>
      <c r="H548" s="88" t="s">
        <v>367</v>
      </c>
      <c r="I548" s="88" t="s">
        <v>367</v>
      </c>
      <c r="J548" s="88" t="s">
        <v>379</v>
      </c>
      <c r="K548" s="88" t="s">
        <v>367</v>
      </c>
      <c r="L548" s="88" t="s">
        <v>367</v>
      </c>
      <c r="M548" s="94" t="str">
        <f t="shared" si="11"/>
        <v>View on Google Map</v>
      </c>
    </row>
    <row r="549" spans="1:13">
      <c r="A549" s="88">
        <v>457</v>
      </c>
      <c r="B549" s="88" t="s">
        <v>1461</v>
      </c>
      <c r="C549" s="88" t="s">
        <v>367</v>
      </c>
      <c r="D549" s="88">
        <v>68.814369999999997</v>
      </c>
      <c r="E549" s="88">
        <v>-149.06774999999999</v>
      </c>
      <c r="F549" s="88">
        <v>724</v>
      </c>
      <c r="G549" s="88" t="s">
        <v>378</v>
      </c>
      <c r="H549" s="88" t="s">
        <v>367</v>
      </c>
      <c r="I549" s="88" t="s">
        <v>367</v>
      </c>
      <c r="J549" s="88" t="s">
        <v>379</v>
      </c>
      <c r="K549" s="88" t="s">
        <v>367</v>
      </c>
      <c r="L549" s="88" t="s">
        <v>367</v>
      </c>
      <c r="M549" s="94" t="str">
        <f t="shared" si="11"/>
        <v>View on Google Map</v>
      </c>
    </row>
    <row r="550" spans="1:13">
      <c r="A550" s="88">
        <v>38</v>
      </c>
      <c r="B550" s="88" t="s">
        <v>1462</v>
      </c>
      <c r="C550" s="88" t="s">
        <v>367</v>
      </c>
      <c r="D550" s="88">
        <v>69.011899999999997</v>
      </c>
      <c r="E550" s="88">
        <v>-150.30000000000001</v>
      </c>
      <c r="F550" s="88">
        <v>321</v>
      </c>
      <c r="G550" s="88" t="s">
        <v>392</v>
      </c>
      <c r="H550" s="88" t="s">
        <v>1463</v>
      </c>
      <c r="I550" s="88" t="s">
        <v>1464</v>
      </c>
      <c r="J550" s="88" t="s">
        <v>428</v>
      </c>
      <c r="K550" s="88" t="s">
        <v>367</v>
      </c>
      <c r="L550" s="88" t="s">
        <v>375</v>
      </c>
      <c r="M550" s="94" t="str">
        <f t="shared" si="11"/>
        <v>View on Google Map</v>
      </c>
    </row>
    <row r="551" spans="1:13">
      <c r="A551" s="88">
        <v>1211</v>
      </c>
      <c r="B551" s="88" t="s">
        <v>1465</v>
      </c>
      <c r="C551" s="88" t="s">
        <v>551</v>
      </c>
      <c r="D551" s="88">
        <v>68.996700000000004</v>
      </c>
      <c r="E551" s="88">
        <v>-150.28142</v>
      </c>
      <c r="F551" s="88" t="s">
        <v>367</v>
      </c>
      <c r="G551" s="88" t="s">
        <v>368</v>
      </c>
      <c r="H551" s="88" t="s">
        <v>367</v>
      </c>
      <c r="I551" s="88" t="s">
        <v>367</v>
      </c>
      <c r="J551" s="88" t="s">
        <v>374</v>
      </c>
      <c r="K551" s="88" t="s">
        <v>367</v>
      </c>
      <c r="L551" s="88" t="s">
        <v>375</v>
      </c>
      <c r="M551" s="94" t="str">
        <f t="shared" si="11"/>
        <v>View on Google Map</v>
      </c>
    </row>
    <row r="552" spans="1:13">
      <c r="A552" s="88">
        <v>1210</v>
      </c>
      <c r="B552" s="88" t="s">
        <v>1466</v>
      </c>
      <c r="C552" s="88" t="s">
        <v>551</v>
      </c>
      <c r="D552" s="88">
        <v>68.996700000000004</v>
      </c>
      <c r="E552" s="88">
        <v>-150.28142</v>
      </c>
      <c r="F552" s="88" t="s">
        <v>367</v>
      </c>
      <c r="G552" s="88" t="s">
        <v>368</v>
      </c>
      <c r="H552" s="88" t="s">
        <v>367</v>
      </c>
      <c r="I552" s="88" t="s">
        <v>367</v>
      </c>
      <c r="J552" s="88" t="s">
        <v>374</v>
      </c>
      <c r="K552" s="88" t="s">
        <v>367</v>
      </c>
      <c r="L552" s="88" t="s">
        <v>375</v>
      </c>
      <c r="M552" s="94" t="str">
        <f t="shared" si="11"/>
        <v>View on Google Map</v>
      </c>
    </row>
    <row r="553" spans="1:13">
      <c r="B553" s="88" t="s">
        <v>1467</v>
      </c>
      <c r="C553" s="88" t="s">
        <v>1380</v>
      </c>
      <c r="D553" s="88">
        <v>69.007500000000007</v>
      </c>
      <c r="E553" s="88">
        <v>-150.31388888888901</v>
      </c>
      <c r="G553" s="88" t="s">
        <v>386</v>
      </c>
      <c r="J553" s="88" t="s">
        <v>374</v>
      </c>
      <c r="L553" s="88" t="s">
        <v>375</v>
      </c>
      <c r="M553" s="94" t="str">
        <f t="shared" si="11"/>
        <v>View on Google Map</v>
      </c>
    </row>
    <row r="554" spans="1:13">
      <c r="B554" s="88" t="s">
        <v>1468</v>
      </c>
      <c r="C554" s="88" t="s">
        <v>764</v>
      </c>
      <c r="D554" s="88">
        <v>69.043055555555554</v>
      </c>
      <c r="E554" s="88">
        <v>-150.42916666666699</v>
      </c>
      <c r="G554" s="88" t="s">
        <v>386</v>
      </c>
      <c r="J554" s="88" t="s">
        <v>374</v>
      </c>
      <c r="L554" s="88" t="s">
        <v>375</v>
      </c>
      <c r="M554" s="94" t="str">
        <f t="shared" si="11"/>
        <v>View on Google Map</v>
      </c>
    </row>
    <row r="555" spans="1:13">
      <c r="A555" s="88">
        <v>39</v>
      </c>
      <c r="B555" s="88" t="s">
        <v>1469</v>
      </c>
      <c r="C555" s="88" t="s">
        <v>367</v>
      </c>
      <c r="D555" s="88">
        <v>68.994600000000005</v>
      </c>
      <c r="E555" s="88">
        <v>-150.30699999999999</v>
      </c>
      <c r="F555" s="88">
        <v>307</v>
      </c>
      <c r="G555" s="88" t="s">
        <v>392</v>
      </c>
      <c r="H555" s="88" t="s">
        <v>1470</v>
      </c>
      <c r="I555" s="88" t="s">
        <v>367</v>
      </c>
      <c r="J555" s="88" t="s">
        <v>428</v>
      </c>
      <c r="K555" s="88" t="s">
        <v>367</v>
      </c>
      <c r="L555" s="88" t="s">
        <v>375</v>
      </c>
      <c r="M555" s="94" t="str">
        <f t="shared" si="11"/>
        <v>View on Google Map</v>
      </c>
    </row>
    <row r="556" spans="1:13">
      <c r="B556" s="88" t="s">
        <v>1471</v>
      </c>
      <c r="C556" s="88" t="s">
        <v>385</v>
      </c>
      <c r="D556" s="88">
        <v>69.570555555555558</v>
      </c>
      <c r="E556" s="88">
        <v>-150.893333333333</v>
      </c>
      <c r="G556" s="88" t="s">
        <v>386</v>
      </c>
      <c r="J556" s="88" t="s">
        <v>374</v>
      </c>
      <c r="L556" s="88" t="s">
        <v>375</v>
      </c>
      <c r="M556" s="94" t="str">
        <f t="shared" si="11"/>
        <v>View on Google Map</v>
      </c>
    </row>
    <row r="557" spans="1:13">
      <c r="A557" s="88">
        <v>46</v>
      </c>
      <c r="B557" s="88" t="s">
        <v>1472</v>
      </c>
      <c r="C557" s="88" t="s">
        <v>367</v>
      </c>
      <c r="D557" s="88">
        <v>68.891069000000002</v>
      </c>
      <c r="E557" s="88">
        <v>-150.58501899999999</v>
      </c>
      <c r="F557" s="88" t="s">
        <v>367</v>
      </c>
      <c r="G557" s="88" t="s">
        <v>392</v>
      </c>
      <c r="H557" s="88" t="s">
        <v>367</v>
      </c>
      <c r="I557" s="88" t="s">
        <v>367</v>
      </c>
      <c r="J557" s="88" t="s">
        <v>1378</v>
      </c>
      <c r="K557" s="88" t="s">
        <v>367</v>
      </c>
      <c r="L557" s="88" t="s">
        <v>375</v>
      </c>
      <c r="M557" s="94" t="str">
        <f t="shared" si="11"/>
        <v>View on Google Map</v>
      </c>
    </row>
    <row r="558" spans="1:13">
      <c r="A558" s="88">
        <v>47</v>
      </c>
      <c r="B558" s="88" t="s">
        <v>1473</v>
      </c>
      <c r="C558" s="88" t="s">
        <v>367</v>
      </c>
      <c r="D558" s="88">
        <v>68.966999999999999</v>
      </c>
      <c r="E558" s="88">
        <v>-150.56673000000001</v>
      </c>
      <c r="F558" s="88" t="s">
        <v>367</v>
      </c>
      <c r="G558" s="88" t="s">
        <v>392</v>
      </c>
      <c r="H558" s="88" t="s">
        <v>367</v>
      </c>
      <c r="I558" s="88" t="s">
        <v>367</v>
      </c>
      <c r="J558" s="88" t="s">
        <v>1378</v>
      </c>
      <c r="K558" s="88" t="s">
        <v>367</v>
      </c>
      <c r="L558" s="88" t="s">
        <v>375</v>
      </c>
      <c r="M558" s="94" t="str">
        <f t="shared" si="11"/>
        <v>View on Google Map</v>
      </c>
    </row>
    <row r="559" spans="1:13">
      <c r="A559" s="88">
        <v>100</v>
      </c>
      <c r="B559" s="88" t="s">
        <v>1474</v>
      </c>
      <c r="C559" s="88" t="s">
        <v>1475</v>
      </c>
      <c r="D559" s="88">
        <v>68.629960999999994</v>
      </c>
      <c r="E559" s="88">
        <v>-149.61263299999999</v>
      </c>
      <c r="F559" s="88">
        <v>719</v>
      </c>
      <c r="G559" s="88" t="s">
        <v>378</v>
      </c>
      <c r="H559" s="88" t="s">
        <v>1476</v>
      </c>
      <c r="I559" s="88" t="s">
        <v>1477</v>
      </c>
      <c r="J559" s="88" t="s">
        <v>393</v>
      </c>
      <c r="K559" s="88" t="s">
        <v>367</v>
      </c>
      <c r="L559" s="88" t="s">
        <v>367</v>
      </c>
      <c r="M559" s="94" t="str">
        <f t="shared" si="11"/>
        <v>View on Google Map</v>
      </c>
    </row>
    <row r="560" spans="1:13">
      <c r="A560" s="88">
        <v>523</v>
      </c>
      <c r="B560" s="88" t="s">
        <v>1478</v>
      </c>
      <c r="C560" s="88" t="s">
        <v>1479</v>
      </c>
      <c r="D560" s="88">
        <v>68.626671999999999</v>
      </c>
      <c r="E560" s="88">
        <v>-149.59784400000001</v>
      </c>
      <c r="F560" s="88">
        <v>719</v>
      </c>
      <c r="G560" s="88" t="s">
        <v>378</v>
      </c>
      <c r="H560" s="88" t="s">
        <v>367</v>
      </c>
      <c r="I560" s="88" t="s">
        <v>367</v>
      </c>
      <c r="J560" s="88" t="s">
        <v>379</v>
      </c>
      <c r="K560" s="88" t="s">
        <v>367</v>
      </c>
      <c r="L560" s="88" t="s">
        <v>1480</v>
      </c>
      <c r="M560" s="94" t="str">
        <f t="shared" si="11"/>
        <v>View on Google Map</v>
      </c>
    </row>
    <row r="561" spans="1:13">
      <c r="A561" s="88">
        <v>524</v>
      </c>
      <c r="B561" s="88" t="s">
        <v>1481</v>
      </c>
      <c r="C561" s="88" t="s">
        <v>1479</v>
      </c>
      <c r="D561" s="88">
        <v>68.632586000000003</v>
      </c>
      <c r="E561" s="88">
        <v>-149.60089500000001</v>
      </c>
      <c r="F561" s="88">
        <v>719</v>
      </c>
      <c r="G561" s="88" t="s">
        <v>378</v>
      </c>
      <c r="H561" s="88" t="s">
        <v>367</v>
      </c>
      <c r="I561" s="88" t="s">
        <v>367</v>
      </c>
      <c r="J561" s="88" t="s">
        <v>379</v>
      </c>
      <c r="K561" s="88" t="s">
        <v>367</v>
      </c>
      <c r="L561" s="88" t="s">
        <v>1480</v>
      </c>
      <c r="M561" s="94" t="str">
        <f t="shared" si="11"/>
        <v>View on Google Map</v>
      </c>
    </row>
    <row r="562" spans="1:13">
      <c r="A562" s="88">
        <v>525</v>
      </c>
      <c r="B562" s="88" t="s">
        <v>1482</v>
      </c>
      <c r="C562" s="88" t="s">
        <v>1479</v>
      </c>
      <c r="D562" s="88">
        <v>68.636390000000006</v>
      </c>
      <c r="E562" s="88">
        <v>-149.594774</v>
      </c>
      <c r="F562" s="88">
        <v>719</v>
      </c>
      <c r="G562" s="88" t="s">
        <v>378</v>
      </c>
      <c r="H562" s="88" t="s">
        <v>367</v>
      </c>
      <c r="I562" s="88" t="s">
        <v>367</v>
      </c>
      <c r="J562" s="88" t="s">
        <v>379</v>
      </c>
      <c r="K562" s="88" t="s">
        <v>367</v>
      </c>
      <c r="L562" s="88" t="s">
        <v>1480</v>
      </c>
      <c r="M562" s="94" t="str">
        <f t="shared" si="11"/>
        <v>View on Google Map</v>
      </c>
    </row>
    <row r="563" spans="1:13">
      <c r="A563" s="88">
        <v>13</v>
      </c>
      <c r="B563" s="88" t="s">
        <v>1483</v>
      </c>
      <c r="C563" s="88" t="s">
        <v>367</v>
      </c>
      <c r="D563" s="88">
        <v>68.625600000000006</v>
      </c>
      <c r="E563" s="88">
        <v>-149.59604999999999</v>
      </c>
      <c r="F563" s="88">
        <v>719</v>
      </c>
      <c r="G563" s="88" t="s">
        <v>392</v>
      </c>
      <c r="H563" s="88" t="s">
        <v>1484</v>
      </c>
      <c r="I563" s="88" t="s">
        <v>1485</v>
      </c>
      <c r="J563" s="88" t="s">
        <v>393</v>
      </c>
      <c r="K563" s="88">
        <v>190</v>
      </c>
      <c r="L563" s="88" t="s">
        <v>782</v>
      </c>
      <c r="M563" s="94" t="str">
        <f t="shared" si="11"/>
        <v>View on Google Map</v>
      </c>
    </row>
    <row r="564" spans="1:13">
      <c r="A564" s="88">
        <v>522</v>
      </c>
      <c r="B564" s="88" t="s">
        <v>1486</v>
      </c>
      <c r="C564" s="88" t="s">
        <v>1479</v>
      </c>
      <c r="D564" s="88">
        <v>68.625966000000005</v>
      </c>
      <c r="E564" s="88">
        <v>-149.59902199999999</v>
      </c>
      <c r="F564" s="88">
        <v>719</v>
      </c>
      <c r="G564" s="88" t="s">
        <v>378</v>
      </c>
      <c r="H564" s="88" t="s">
        <v>367</v>
      </c>
      <c r="I564" s="88" t="s">
        <v>367</v>
      </c>
      <c r="J564" s="88" t="s">
        <v>379</v>
      </c>
      <c r="K564" s="88" t="s">
        <v>367</v>
      </c>
      <c r="L564" s="88" t="s">
        <v>1480</v>
      </c>
      <c r="M564" s="94" t="str">
        <f t="shared" si="11"/>
        <v>View on Google Map</v>
      </c>
    </row>
    <row r="565" spans="1:13">
      <c r="A565" s="88">
        <v>101</v>
      </c>
      <c r="B565" s="88" t="s">
        <v>1487</v>
      </c>
      <c r="C565" s="88" t="s">
        <v>1488</v>
      </c>
      <c r="D565" s="88" t="s">
        <v>367</v>
      </c>
      <c r="E565" s="88" t="s">
        <v>367</v>
      </c>
      <c r="F565" s="88">
        <v>719</v>
      </c>
      <c r="G565" s="88" t="s">
        <v>378</v>
      </c>
      <c r="H565" s="88" t="s">
        <v>367</v>
      </c>
      <c r="I565" s="88" t="s">
        <v>367</v>
      </c>
      <c r="J565" s="88" t="s">
        <v>393</v>
      </c>
      <c r="K565" s="88" t="s">
        <v>367</v>
      </c>
      <c r="L565" s="88" t="s">
        <v>367</v>
      </c>
      <c r="M565" s="94" t="str">
        <f t="shared" si="11"/>
        <v>View on Google Map</v>
      </c>
    </row>
    <row r="566" spans="1:13">
      <c r="A566" s="88">
        <v>102</v>
      </c>
      <c r="B566" s="88" t="s">
        <v>1489</v>
      </c>
      <c r="C566" s="88" t="s">
        <v>1490</v>
      </c>
      <c r="D566" s="88">
        <v>68.638623999999993</v>
      </c>
      <c r="E566" s="88">
        <v>-149.610737</v>
      </c>
      <c r="F566" s="88">
        <v>719</v>
      </c>
      <c r="G566" s="88" t="s">
        <v>378</v>
      </c>
      <c r="H566" s="88" t="s">
        <v>1491</v>
      </c>
      <c r="I566" s="88" t="s">
        <v>1492</v>
      </c>
      <c r="J566" s="88" t="s">
        <v>393</v>
      </c>
      <c r="K566" s="88" t="s">
        <v>367</v>
      </c>
      <c r="L566" s="88" t="s">
        <v>367</v>
      </c>
      <c r="M566" s="94" t="str">
        <f t="shared" si="11"/>
        <v>View on Google Map</v>
      </c>
    </row>
    <row r="567" spans="1:13">
      <c r="A567" s="88">
        <v>526</v>
      </c>
      <c r="B567" s="88" t="s">
        <v>1493</v>
      </c>
      <c r="C567" s="88" t="s">
        <v>1479</v>
      </c>
      <c r="D567" s="88">
        <v>68.633232000000007</v>
      </c>
      <c r="E567" s="88">
        <v>-149.61149</v>
      </c>
      <c r="F567" s="88">
        <v>719</v>
      </c>
      <c r="G567" s="88" t="s">
        <v>378</v>
      </c>
      <c r="H567" s="88" t="s">
        <v>367</v>
      </c>
      <c r="I567" s="88" t="s">
        <v>367</v>
      </c>
      <c r="J567" s="88" t="s">
        <v>379</v>
      </c>
      <c r="K567" s="88" t="s">
        <v>367</v>
      </c>
      <c r="L567" s="88" t="s">
        <v>1480</v>
      </c>
      <c r="M567" s="94" t="str">
        <f t="shared" si="11"/>
        <v>View on Google Map</v>
      </c>
    </row>
    <row r="568" spans="1:13">
      <c r="A568" s="88">
        <v>14</v>
      </c>
      <c r="B568" s="88" t="s">
        <v>1494</v>
      </c>
      <c r="C568" s="88" t="s">
        <v>367</v>
      </c>
      <c r="D568" s="88" t="s">
        <v>367</v>
      </c>
      <c r="E568" s="88" t="s">
        <v>367</v>
      </c>
      <c r="F568" s="88">
        <v>719</v>
      </c>
      <c r="G568" s="88" t="s">
        <v>392</v>
      </c>
      <c r="H568" s="88" t="s">
        <v>1495</v>
      </c>
      <c r="I568" s="88" t="s">
        <v>367</v>
      </c>
      <c r="J568" s="88" t="s">
        <v>393</v>
      </c>
      <c r="K568" s="88" t="s">
        <v>367</v>
      </c>
      <c r="L568" s="88" t="s">
        <v>367</v>
      </c>
      <c r="M568" s="94" t="str">
        <f t="shared" si="11"/>
        <v>View on Google Map</v>
      </c>
    </row>
    <row r="569" spans="1:13">
      <c r="A569" s="88">
        <v>527</v>
      </c>
      <c r="B569" s="88" t="s">
        <v>1496</v>
      </c>
      <c r="C569" s="88" t="s">
        <v>1479</v>
      </c>
      <c r="D569" s="88">
        <v>68.639894999999996</v>
      </c>
      <c r="E569" s="88">
        <v>-149.59610599999999</v>
      </c>
      <c r="F569" s="88">
        <v>719</v>
      </c>
      <c r="G569" s="88" t="s">
        <v>378</v>
      </c>
      <c r="H569" s="88" t="s">
        <v>367</v>
      </c>
      <c r="I569" s="88" t="s">
        <v>367</v>
      </c>
      <c r="J569" s="88" t="s">
        <v>379</v>
      </c>
      <c r="K569" s="88" t="s">
        <v>367</v>
      </c>
      <c r="L569" s="88" t="s">
        <v>1480</v>
      </c>
      <c r="M569" s="94" t="str">
        <f t="shared" si="11"/>
        <v>View on Google Map</v>
      </c>
    </row>
    <row r="570" spans="1:13">
      <c r="A570" s="88">
        <v>9</v>
      </c>
      <c r="B570" s="88" t="s">
        <v>1497</v>
      </c>
      <c r="C570" s="88" t="s">
        <v>367</v>
      </c>
      <c r="D570" s="88" t="s">
        <v>367</v>
      </c>
      <c r="E570" s="88" t="s">
        <v>367</v>
      </c>
      <c r="F570" s="88">
        <v>823</v>
      </c>
      <c r="G570" s="88" t="s">
        <v>392</v>
      </c>
      <c r="H570" s="88" t="s">
        <v>367</v>
      </c>
      <c r="I570" s="88" t="s">
        <v>367</v>
      </c>
      <c r="J570" s="88" t="s">
        <v>393</v>
      </c>
      <c r="K570" s="88" t="s">
        <v>367</v>
      </c>
      <c r="L570" s="88" t="s">
        <v>367</v>
      </c>
      <c r="M570" s="94" t="str">
        <f t="shared" si="11"/>
        <v>View on Google Map</v>
      </c>
    </row>
    <row r="571" spans="1:13">
      <c r="A571" s="88">
        <v>22</v>
      </c>
      <c r="B571" s="88" t="s">
        <v>1498</v>
      </c>
      <c r="C571" s="88" t="s">
        <v>367</v>
      </c>
      <c r="D571" s="88" t="s">
        <v>367</v>
      </c>
      <c r="E571" s="88" t="s">
        <v>367</v>
      </c>
      <c r="F571" s="88" t="s">
        <v>367</v>
      </c>
      <c r="G571" s="88" t="s">
        <v>392</v>
      </c>
      <c r="H571" s="88" t="s">
        <v>1499</v>
      </c>
      <c r="I571" s="88" t="s">
        <v>367</v>
      </c>
      <c r="J571" s="88" t="s">
        <v>393</v>
      </c>
      <c r="K571" s="88" t="s">
        <v>367</v>
      </c>
      <c r="L571" s="88" t="s">
        <v>367</v>
      </c>
      <c r="M571" s="94" t="str">
        <f t="shared" si="11"/>
        <v>View on Google Map</v>
      </c>
    </row>
    <row r="572" spans="1:13">
      <c r="A572" s="88">
        <v>528</v>
      </c>
      <c r="B572" s="88" t="s">
        <v>1500</v>
      </c>
      <c r="C572" s="88" t="s">
        <v>1479</v>
      </c>
      <c r="D572" s="88">
        <v>68.634241000000003</v>
      </c>
      <c r="E572" s="88">
        <v>-149.60275899999999</v>
      </c>
      <c r="F572" s="88">
        <v>719</v>
      </c>
      <c r="G572" s="88" t="s">
        <v>378</v>
      </c>
      <c r="H572" s="88" t="s">
        <v>367</v>
      </c>
      <c r="I572" s="88" t="s">
        <v>367</v>
      </c>
      <c r="J572" s="88" t="s">
        <v>379</v>
      </c>
      <c r="K572" s="88" t="s">
        <v>367</v>
      </c>
      <c r="L572" s="88" t="s">
        <v>1480</v>
      </c>
      <c r="M572" s="94" t="str">
        <f t="shared" si="11"/>
        <v>View on Google Map</v>
      </c>
    </row>
    <row r="573" spans="1:13">
      <c r="A573" s="88">
        <v>521</v>
      </c>
      <c r="B573" s="88" t="s">
        <v>1501</v>
      </c>
      <c r="C573" s="88" t="s">
        <v>1479</v>
      </c>
      <c r="D573" s="88">
        <v>68.628656000000007</v>
      </c>
      <c r="E573" s="88">
        <v>-149.59960599999999</v>
      </c>
      <c r="F573" s="88">
        <v>719</v>
      </c>
      <c r="G573" s="88" t="s">
        <v>378</v>
      </c>
      <c r="H573" s="88" t="s">
        <v>367</v>
      </c>
      <c r="I573" s="88" t="s">
        <v>367</v>
      </c>
      <c r="J573" s="88" t="s">
        <v>379</v>
      </c>
      <c r="K573" s="88" t="s">
        <v>367</v>
      </c>
      <c r="L573" s="88" t="s">
        <v>1480</v>
      </c>
      <c r="M573" s="94" t="str">
        <f t="shared" si="11"/>
        <v>View on Google Map</v>
      </c>
    </row>
    <row r="574" spans="1:13">
      <c r="A574" s="88">
        <v>520</v>
      </c>
      <c r="B574" s="88" t="s">
        <v>1502</v>
      </c>
      <c r="C574" s="88" t="s">
        <v>1479</v>
      </c>
      <c r="D574" s="88">
        <v>68.633064000000005</v>
      </c>
      <c r="E574" s="88">
        <v>-149.62826999999999</v>
      </c>
      <c r="F574" s="88">
        <v>719</v>
      </c>
      <c r="G574" s="88" t="s">
        <v>378</v>
      </c>
      <c r="H574" s="88" t="s">
        <v>367</v>
      </c>
      <c r="I574" s="88" t="s">
        <v>367</v>
      </c>
      <c r="J574" s="88" t="s">
        <v>379</v>
      </c>
      <c r="K574" s="88" t="s">
        <v>367</v>
      </c>
      <c r="L574" s="88" t="s">
        <v>1480</v>
      </c>
      <c r="M574" s="94" t="str">
        <f t="shared" si="11"/>
        <v>View on Google Map</v>
      </c>
    </row>
    <row r="575" spans="1:13">
      <c r="B575" s="88" t="s">
        <v>1503</v>
      </c>
      <c r="C575" s="88" t="s">
        <v>764</v>
      </c>
      <c r="D575" s="88">
        <v>68.695505999999995</v>
      </c>
      <c r="E575" s="88">
        <v>-149.207807</v>
      </c>
      <c r="G575" s="88" t="s">
        <v>904</v>
      </c>
      <c r="J575" s="13" t="s">
        <v>393</v>
      </c>
      <c r="M575" s="94" t="str">
        <f t="shared" si="11"/>
        <v>View on Google Map</v>
      </c>
    </row>
    <row r="576" spans="1:13">
      <c r="B576" s="88" t="s">
        <v>1504</v>
      </c>
      <c r="C576" s="88" t="s">
        <v>764</v>
      </c>
      <c r="D576" s="88">
        <v>68.695696999999996</v>
      </c>
      <c r="E576" s="88">
        <v>-149.20482699999999</v>
      </c>
      <c r="G576" s="88" t="s">
        <v>904</v>
      </c>
      <c r="J576" s="13" t="s">
        <v>393</v>
      </c>
      <c r="M576" s="94" t="str">
        <f t="shared" si="11"/>
        <v>View on Google Map</v>
      </c>
    </row>
    <row r="577" spans="1:13">
      <c r="B577" s="88" t="s">
        <v>1505</v>
      </c>
      <c r="C577" s="88" t="s">
        <v>764</v>
      </c>
      <c r="D577" s="88">
        <v>68.690700000000007</v>
      </c>
      <c r="E577" s="88">
        <v>-149.208371</v>
      </c>
      <c r="G577" s="88" t="s">
        <v>904</v>
      </c>
      <c r="J577" s="13" t="s">
        <v>393</v>
      </c>
      <c r="M577" s="94" t="str">
        <f t="shared" si="11"/>
        <v>View on Google Map</v>
      </c>
    </row>
    <row r="578" spans="1:13">
      <c r="B578" s="88" t="s">
        <v>1506</v>
      </c>
      <c r="C578" s="88" t="s">
        <v>764</v>
      </c>
      <c r="D578" s="88">
        <v>68.693759</v>
      </c>
      <c r="E578" s="88">
        <v>-149.20405500000001</v>
      </c>
      <c r="G578" s="88" t="s">
        <v>904</v>
      </c>
      <c r="J578" s="13" t="s">
        <v>393</v>
      </c>
      <c r="M578" s="94" t="str">
        <f t="shared" si="11"/>
        <v>View on Google Map</v>
      </c>
    </row>
    <row r="579" spans="1:13">
      <c r="A579" s="88">
        <v>901</v>
      </c>
      <c r="B579" s="88" t="s">
        <v>1507</v>
      </c>
      <c r="C579" s="88" t="s">
        <v>1508</v>
      </c>
      <c r="D579" s="88" t="s">
        <v>367</v>
      </c>
      <c r="E579" s="88" t="s">
        <v>367</v>
      </c>
      <c r="F579" s="88" t="s">
        <v>367</v>
      </c>
      <c r="G579" s="88" t="s">
        <v>367</v>
      </c>
      <c r="H579" s="88" t="s">
        <v>1509</v>
      </c>
      <c r="I579" s="88" t="s">
        <v>367</v>
      </c>
      <c r="J579" s="13" t="s">
        <v>393</v>
      </c>
      <c r="K579" s="88" t="s">
        <v>367</v>
      </c>
      <c r="L579" s="88" t="s">
        <v>367</v>
      </c>
      <c r="M579" s="94" t="str">
        <f t="shared" ref="M579:M637" si="12">HYPERLINK("http://maps.google.com/maps?q="&amp;D579&amp;","&amp;E579,"View on Google Map")</f>
        <v>View on Google Map</v>
      </c>
    </row>
    <row r="580" spans="1:13">
      <c r="A580" s="88">
        <v>902</v>
      </c>
      <c r="B580" s="88" t="s">
        <v>1510</v>
      </c>
      <c r="C580" s="88" t="s">
        <v>1508</v>
      </c>
      <c r="D580" s="88" t="s">
        <v>367</v>
      </c>
      <c r="E580" s="88" t="s">
        <v>367</v>
      </c>
      <c r="F580" s="88">
        <v>757</v>
      </c>
      <c r="G580" s="88" t="s">
        <v>368</v>
      </c>
      <c r="H580" s="88" t="s">
        <v>1511</v>
      </c>
      <c r="I580" s="88" t="s">
        <v>367</v>
      </c>
      <c r="J580" s="88" t="s">
        <v>393</v>
      </c>
      <c r="K580" s="88" t="s">
        <v>367</v>
      </c>
      <c r="L580" s="88" t="s">
        <v>367</v>
      </c>
      <c r="M580" s="94" t="str">
        <f t="shared" si="12"/>
        <v>View on Google Map</v>
      </c>
    </row>
    <row r="581" spans="1:13">
      <c r="A581" s="88">
        <v>903</v>
      </c>
      <c r="B581" s="88" t="s">
        <v>1512</v>
      </c>
      <c r="C581" s="88" t="s">
        <v>1508</v>
      </c>
      <c r="D581" s="88" t="s">
        <v>367</v>
      </c>
      <c r="E581" s="88" t="s">
        <v>367</v>
      </c>
      <c r="F581" s="88">
        <v>770</v>
      </c>
      <c r="G581" s="88" t="s">
        <v>368</v>
      </c>
      <c r="H581" s="88" t="s">
        <v>1513</v>
      </c>
      <c r="I581" s="88" t="s">
        <v>367</v>
      </c>
      <c r="J581" s="88" t="s">
        <v>393</v>
      </c>
      <c r="K581" s="88" t="s">
        <v>367</v>
      </c>
      <c r="L581" s="88" t="s">
        <v>367</v>
      </c>
      <c r="M581" s="94" t="str">
        <f t="shared" si="12"/>
        <v>View on Google Map</v>
      </c>
    </row>
    <row r="582" spans="1:13">
      <c r="A582" s="88">
        <v>904</v>
      </c>
      <c r="B582" s="88" t="s">
        <v>1514</v>
      </c>
      <c r="C582" s="88" t="s">
        <v>1508</v>
      </c>
      <c r="D582" s="88" t="s">
        <v>367</v>
      </c>
      <c r="E582" s="88" t="s">
        <v>367</v>
      </c>
      <c r="F582" s="88">
        <v>770</v>
      </c>
      <c r="G582" s="88" t="s">
        <v>368</v>
      </c>
      <c r="H582" s="88" t="s">
        <v>1515</v>
      </c>
      <c r="I582" s="88" t="s">
        <v>367</v>
      </c>
      <c r="J582" s="88" t="s">
        <v>393</v>
      </c>
      <c r="K582" s="88" t="s">
        <v>367</v>
      </c>
      <c r="L582" s="88" t="s">
        <v>367</v>
      </c>
      <c r="M582" s="94" t="str">
        <f t="shared" si="12"/>
        <v>View on Google Map</v>
      </c>
    </row>
    <row r="583" spans="1:13">
      <c r="A583" s="88">
        <v>905</v>
      </c>
      <c r="B583" s="88" t="s">
        <v>1516</v>
      </c>
      <c r="C583" s="88" t="s">
        <v>1508</v>
      </c>
      <c r="D583" s="88" t="s">
        <v>367</v>
      </c>
      <c r="E583" s="88" t="s">
        <v>367</v>
      </c>
      <c r="F583" s="88">
        <v>769</v>
      </c>
      <c r="G583" s="88" t="s">
        <v>368</v>
      </c>
      <c r="H583" s="88" t="s">
        <v>1517</v>
      </c>
      <c r="I583" s="88" t="s">
        <v>367</v>
      </c>
      <c r="J583" s="88" t="s">
        <v>393</v>
      </c>
      <c r="K583" s="88" t="s">
        <v>367</v>
      </c>
      <c r="L583" s="88" t="s">
        <v>367</v>
      </c>
      <c r="M583" s="94" t="str">
        <f t="shared" si="12"/>
        <v>View on Google Map</v>
      </c>
    </row>
    <row r="584" spans="1:13">
      <c r="A584" s="88">
        <v>906</v>
      </c>
      <c r="B584" s="88" t="s">
        <v>1518</v>
      </c>
      <c r="C584" s="88" t="s">
        <v>1508</v>
      </c>
      <c r="D584" s="88" t="s">
        <v>367</v>
      </c>
      <c r="E584" s="88" t="s">
        <v>367</v>
      </c>
      <c r="F584" s="88">
        <v>769</v>
      </c>
      <c r="G584" s="88" t="s">
        <v>368</v>
      </c>
      <c r="H584" s="88" t="s">
        <v>1519</v>
      </c>
      <c r="I584" s="88" t="s">
        <v>367</v>
      </c>
      <c r="J584" s="88" t="s">
        <v>393</v>
      </c>
      <c r="K584" s="88" t="s">
        <v>367</v>
      </c>
      <c r="L584" s="88" t="s">
        <v>367</v>
      </c>
      <c r="M584" s="94" t="str">
        <f t="shared" si="12"/>
        <v>View on Google Map</v>
      </c>
    </row>
    <row r="585" spans="1:13">
      <c r="A585" s="88">
        <v>907</v>
      </c>
      <c r="B585" s="88" t="s">
        <v>1520</v>
      </c>
      <c r="C585" s="88" t="s">
        <v>1508</v>
      </c>
      <c r="D585" s="88" t="s">
        <v>367</v>
      </c>
      <c r="E585" s="88" t="s">
        <v>367</v>
      </c>
      <c r="F585" s="88">
        <v>770</v>
      </c>
      <c r="G585" s="88" t="s">
        <v>368</v>
      </c>
      <c r="H585" s="88" t="s">
        <v>1521</v>
      </c>
      <c r="I585" s="88" t="s">
        <v>367</v>
      </c>
      <c r="J585" s="88" t="s">
        <v>393</v>
      </c>
      <c r="K585" s="88" t="s">
        <v>367</v>
      </c>
      <c r="L585" s="88" t="s">
        <v>367</v>
      </c>
      <c r="M585" s="94" t="str">
        <f t="shared" si="12"/>
        <v>View on Google Map</v>
      </c>
    </row>
    <row r="586" spans="1:13">
      <c r="A586" s="88">
        <v>908</v>
      </c>
      <c r="B586" s="88" t="s">
        <v>1522</v>
      </c>
      <c r="C586" s="88" t="s">
        <v>1508</v>
      </c>
      <c r="D586" s="88" t="s">
        <v>367</v>
      </c>
      <c r="E586" s="88" t="s">
        <v>367</v>
      </c>
      <c r="F586" s="88">
        <v>770</v>
      </c>
      <c r="G586" s="88" t="s">
        <v>368</v>
      </c>
      <c r="H586" s="88" t="s">
        <v>1523</v>
      </c>
      <c r="I586" s="88" t="s">
        <v>367</v>
      </c>
      <c r="J586" s="88" t="s">
        <v>393</v>
      </c>
      <c r="K586" s="88" t="s">
        <v>367</v>
      </c>
      <c r="L586" s="88" t="s">
        <v>367</v>
      </c>
      <c r="M586" s="94" t="str">
        <f t="shared" si="12"/>
        <v>View on Google Map</v>
      </c>
    </row>
    <row r="587" spans="1:13">
      <c r="A587" s="88">
        <v>909</v>
      </c>
      <c r="B587" s="88" t="s">
        <v>1524</v>
      </c>
      <c r="C587" s="88" t="s">
        <v>1508</v>
      </c>
      <c r="D587" s="88" t="s">
        <v>367</v>
      </c>
      <c r="E587" s="88" t="s">
        <v>367</v>
      </c>
      <c r="F587" s="88">
        <v>764</v>
      </c>
      <c r="G587" s="88" t="s">
        <v>368</v>
      </c>
      <c r="H587" s="88" t="s">
        <v>1525</v>
      </c>
      <c r="I587" s="88" t="s">
        <v>367</v>
      </c>
      <c r="J587" s="88" t="s">
        <v>393</v>
      </c>
      <c r="K587" s="88" t="s">
        <v>367</v>
      </c>
      <c r="L587" s="88" t="s">
        <v>367</v>
      </c>
      <c r="M587" s="94" t="str">
        <f t="shared" si="12"/>
        <v>View on Google Map</v>
      </c>
    </row>
    <row r="588" spans="1:13">
      <c r="A588" s="88">
        <v>910</v>
      </c>
      <c r="B588" s="88" t="s">
        <v>1526</v>
      </c>
      <c r="C588" s="88" t="s">
        <v>1508</v>
      </c>
      <c r="D588" s="88" t="s">
        <v>367</v>
      </c>
      <c r="E588" s="88" t="s">
        <v>367</v>
      </c>
      <c r="F588" s="88">
        <v>764</v>
      </c>
      <c r="G588" s="88" t="s">
        <v>368</v>
      </c>
      <c r="H588" s="88" t="s">
        <v>1527</v>
      </c>
      <c r="I588" s="88" t="s">
        <v>367</v>
      </c>
      <c r="J588" s="88" t="s">
        <v>393</v>
      </c>
      <c r="K588" s="88" t="s">
        <v>367</v>
      </c>
      <c r="L588" s="88" t="s">
        <v>367</v>
      </c>
      <c r="M588" s="94" t="str">
        <f t="shared" si="12"/>
        <v>View on Google Map</v>
      </c>
    </row>
    <row r="589" spans="1:13">
      <c r="A589" s="88">
        <v>911</v>
      </c>
      <c r="B589" s="88" t="s">
        <v>1528</v>
      </c>
      <c r="C589" s="88" t="s">
        <v>1508</v>
      </c>
      <c r="D589" s="88" t="s">
        <v>367</v>
      </c>
      <c r="E589" s="88" t="s">
        <v>367</v>
      </c>
      <c r="F589" s="88">
        <v>760</v>
      </c>
      <c r="G589" s="88" t="s">
        <v>368</v>
      </c>
      <c r="H589" s="88" t="s">
        <v>1529</v>
      </c>
      <c r="I589" s="88" t="s">
        <v>367</v>
      </c>
      <c r="J589" s="88" t="s">
        <v>393</v>
      </c>
      <c r="K589" s="88" t="s">
        <v>367</v>
      </c>
      <c r="L589" s="88" t="s">
        <v>367</v>
      </c>
      <c r="M589" s="94" t="str">
        <f t="shared" si="12"/>
        <v>View on Google Map</v>
      </c>
    </row>
    <row r="590" spans="1:13">
      <c r="A590" s="88">
        <v>912</v>
      </c>
      <c r="B590" s="88" t="s">
        <v>1530</v>
      </c>
      <c r="C590" s="88" t="s">
        <v>1508</v>
      </c>
      <c r="D590" s="88" t="s">
        <v>367</v>
      </c>
      <c r="E590" s="88" t="s">
        <v>367</v>
      </c>
      <c r="F590" s="88">
        <v>760</v>
      </c>
      <c r="G590" s="88" t="s">
        <v>368</v>
      </c>
      <c r="H590" s="88" t="s">
        <v>1531</v>
      </c>
      <c r="I590" s="88" t="s">
        <v>367</v>
      </c>
      <c r="J590" s="88" t="s">
        <v>393</v>
      </c>
      <c r="K590" s="88" t="s">
        <v>367</v>
      </c>
      <c r="L590" s="88" t="s">
        <v>367</v>
      </c>
      <c r="M590" s="94" t="str">
        <f t="shared" si="12"/>
        <v>View on Google Map</v>
      </c>
    </row>
    <row r="591" spans="1:13">
      <c r="A591" s="88">
        <v>913</v>
      </c>
      <c r="B591" s="88" t="s">
        <v>1532</v>
      </c>
      <c r="C591" s="88" t="s">
        <v>1508</v>
      </c>
      <c r="D591" s="88" t="s">
        <v>367</v>
      </c>
      <c r="E591" s="88" t="s">
        <v>367</v>
      </c>
      <c r="F591" s="88">
        <v>759</v>
      </c>
      <c r="G591" s="88" t="s">
        <v>368</v>
      </c>
      <c r="H591" s="88" t="s">
        <v>1533</v>
      </c>
      <c r="I591" s="88" t="s">
        <v>367</v>
      </c>
      <c r="J591" s="88" t="s">
        <v>393</v>
      </c>
      <c r="K591" s="88" t="s">
        <v>367</v>
      </c>
      <c r="L591" s="88" t="s">
        <v>367</v>
      </c>
      <c r="M591" s="94" t="str">
        <f t="shared" si="12"/>
        <v>View on Google Map</v>
      </c>
    </row>
    <row r="592" spans="1:13">
      <c r="A592" s="88">
        <v>914</v>
      </c>
      <c r="B592" s="88" t="s">
        <v>1534</v>
      </c>
      <c r="C592" s="88" t="s">
        <v>1508</v>
      </c>
      <c r="D592" s="88" t="s">
        <v>367</v>
      </c>
      <c r="E592" s="88" t="s">
        <v>367</v>
      </c>
      <c r="F592" s="88">
        <v>758</v>
      </c>
      <c r="G592" s="88" t="s">
        <v>368</v>
      </c>
      <c r="H592" s="88" t="s">
        <v>1535</v>
      </c>
      <c r="I592" s="88" t="s">
        <v>367</v>
      </c>
      <c r="J592" s="88" t="s">
        <v>393</v>
      </c>
      <c r="K592" s="88" t="s">
        <v>367</v>
      </c>
      <c r="L592" s="88" t="s">
        <v>367</v>
      </c>
      <c r="M592" s="94" t="str">
        <f t="shared" si="12"/>
        <v>View on Google Map</v>
      </c>
    </row>
    <row r="593" spans="1:13">
      <c r="A593" s="88">
        <v>915</v>
      </c>
      <c r="B593" s="88" t="s">
        <v>1536</v>
      </c>
      <c r="C593" s="88" t="s">
        <v>1537</v>
      </c>
      <c r="D593" s="88">
        <v>68.627900999999994</v>
      </c>
      <c r="E593" s="88">
        <v>-149.61295100000001</v>
      </c>
      <c r="F593" s="88">
        <v>759</v>
      </c>
      <c r="G593" s="88" t="s">
        <v>368</v>
      </c>
      <c r="H593" s="88" t="s">
        <v>1538</v>
      </c>
      <c r="I593" s="88" t="s">
        <v>1539</v>
      </c>
      <c r="J593" s="88" t="s">
        <v>393</v>
      </c>
      <c r="K593" s="88" t="s">
        <v>367</v>
      </c>
      <c r="L593" s="88" t="s">
        <v>367</v>
      </c>
      <c r="M593" s="94" t="str">
        <f t="shared" si="12"/>
        <v>View on Google Map</v>
      </c>
    </row>
    <row r="594" spans="1:13">
      <c r="A594" s="88">
        <v>900</v>
      </c>
      <c r="B594" s="88" t="s">
        <v>1540</v>
      </c>
      <c r="C594" s="88" t="s">
        <v>367</v>
      </c>
      <c r="D594" s="88">
        <v>68.623487999999995</v>
      </c>
      <c r="E594" s="88">
        <v>-149.616559</v>
      </c>
      <c r="F594" s="88">
        <v>761</v>
      </c>
      <c r="G594" s="88" t="s">
        <v>368</v>
      </c>
      <c r="H594" s="88" t="s">
        <v>1541</v>
      </c>
      <c r="I594" s="88" t="s">
        <v>1542</v>
      </c>
      <c r="J594" s="88" t="s">
        <v>393</v>
      </c>
      <c r="K594" s="88" t="s">
        <v>367</v>
      </c>
      <c r="L594" s="88" t="s">
        <v>367</v>
      </c>
      <c r="M594" s="94" t="str">
        <f t="shared" si="12"/>
        <v>View on Google Map</v>
      </c>
    </row>
    <row r="595" spans="1:13">
      <c r="B595" s="88" t="s">
        <v>1543</v>
      </c>
      <c r="C595" s="88" t="s">
        <v>979</v>
      </c>
      <c r="D595" s="88">
        <v>68.549263888888888</v>
      </c>
      <c r="E595" s="88">
        <v>-149.306022222222</v>
      </c>
      <c r="G595" s="88" t="s">
        <v>904</v>
      </c>
      <c r="J595" s="13" t="s">
        <v>393</v>
      </c>
      <c r="M595" s="94" t="str">
        <f t="shared" si="12"/>
        <v>View on Google Map</v>
      </c>
    </row>
    <row r="596" spans="1:13">
      <c r="B596" s="88" t="s">
        <v>1544</v>
      </c>
      <c r="C596" s="88" t="s">
        <v>979</v>
      </c>
      <c r="D596" s="88">
        <v>68.550188888888883</v>
      </c>
      <c r="E596" s="88">
        <v>-149.310305555556</v>
      </c>
      <c r="G596" s="88" t="s">
        <v>904</v>
      </c>
      <c r="J596" s="13" t="s">
        <v>393</v>
      </c>
      <c r="M596" s="94" t="str">
        <f t="shared" si="12"/>
        <v>View on Google Map</v>
      </c>
    </row>
    <row r="597" spans="1:13">
      <c r="B597" s="88" t="s">
        <v>1545</v>
      </c>
      <c r="C597" s="88" t="s">
        <v>979</v>
      </c>
      <c r="D597" s="88">
        <v>68.549108333333336</v>
      </c>
      <c r="E597" s="88">
        <v>-149.30837777777799</v>
      </c>
      <c r="G597" s="88" t="s">
        <v>904</v>
      </c>
      <c r="J597" s="13" t="s">
        <v>393</v>
      </c>
      <c r="M597" s="94" t="str">
        <f t="shared" si="12"/>
        <v>View on Google Map</v>
      </c>
    </row>
    <row r="598" spans="1:13">
      <c r="A598" s="88">
        <v>42</v>
      </c>
      <c r="B598" s="88" t="s">
        <v>1546</v>
      </c>
      <c r="C598" s="88" t="s">
        <v>367</v>
      </c>
      <c r="D598" s="88">
        <v>68.960555999999997</v>
      </c>
      <c r="E598" s="88">
        <v>-150.63055600000001</v>
      </c>
      <c r="F598" s="88" t="s">
        <v>367</v>
      </c>
      <c r="G598" s="88" t="s">
        <v>392</v>
      </c>
      <c r="H598" s="88" t="s">
        <v>1547</v>
      </c>
      <c r="I598" s="88" t="s">
        <v>367</v>
      </c>
      <c r="J598" s="88" t="s">
        <v>1378</v>
      </c>
      <c r="K598" s="88" t="s">
        <v>367</v>
      </c>
      <c r="L598" s="88" t="s">
        <v>375</v>
      </c>
      <c r="M598" s="94" t="str">
        <f t="shared" si="12"/>
        <v>View on Google Map</v>
      </c>
    </row>
    <row r="599" spans="1:13">
      <c r="A599" s="88">
        <v>43</v>
      </c>
      <c r="B599" s="88" t="s">
        <v>1548</v>
      </c>
      <c r="C599" s="88" t="s">
        <v>367</v>
      </c>
      <c r="D599" s="88">
        <v>68.935101000000003</v>
      </c>
      <c r="E599" s="88">
        <v>-150.68391700000001</v>
      </c>
      <c r="F599" s="88" t="s">
        <v>367</v>
      </c>
      <c r="G599" s="88" t="s">
        <v>392</v>
      </c>
      <c r="H599" s="88" t="s">
        <v>1549</v>
      </c>
      <c r="I599" s="88" t="s">
        <v>367</v>
      </c>
      <c r="J599" s="88" t="s">
        <v>1378</v>
      </c>
      <c r="K599" s="88" t="s">
        <v>367</v>
      </c>
      <c r="L599" s="88" t="s">
        <v>375</v>
      </c>
      <c r="M599" s="94" t="str">
        <f t="shared" si="12"/>
        <v>View on Google Map</v>
      </c>
    </row>
    <row r="600" spans="1:13">
      <c r="A600" s="88">
        <v>44</v>
      </c>
      <c r="B600" s="88" t="s">
        <v>1550</v>
      </c>
      <c r="C600" s="88" t="s">
        <v>367</v>
      </c>
      <c r="D600" s="88">
        <v>68.916987000000006</v>
      </c>
      <c r="E600" s="88">
        <v>-150.659291</v>
      </c>
      <c r="F600" s="88" t="s">
        <v>367</v>
      </c>
      <c r="G600" s="88" t="s">
        <v>392</v>
      </c>
      <c r="H600" s="88" t="s">
        <v>1551</v>
      </c>
      <c r="I600" s="88" t="s">
        <v>367</v>
      </c>
      <c r="J600" s="88" t="s">
        <v>1378</v>
      </c>
      <c r="K600" s="88" t="s">
        <v>367</v>
      </c>
      <c r="L600" s="88" t="s">
        <v>375</v>
      </c>
      <c r="M600" s="94" t="str">
        <f t="shared" si="12"/>
        <v>View on Google Map</v>
      </c>
    </row>
    <row r="601" spans="1:13">
      <c r="B601" s="88" t="s">
        <v>1552</v>
      </c>
      <c r="C601" s="88" t="s">
        <v>1380</v>
      </c>
      <c r="D601" s="88">
        <v>69.132777777777775</v>
      </c>
      <c r="E601" s="88">
        <v>-150.710833333333</v>
      </c>
      <c r="G601" s="88" t="s">
        <v>386</v>
      </c>
      <c r="J601" s="88" t="s">
        <v>374</v>
      </c>
      <c r="L601" s="88" t="s">
        <v>375</v>
      </c>
      <c r="M601" s="94" t="str">
        <f t="shared" si="12"/>
        <v>View on Google Map</v>
      </c>
    </row>
    <row r="602" spans="1:13">
      <c r="B602" s="88" t="s">
        <v>1553</v>
      </c>
      <c r="C602" s="88" t="s">
        <v>764</v>
      </c>
      <c r="D602" s="88">
        <v>69.13944444444445</v>
      </c>
      <c r="E602" s="88">
        <v>-150.68388888888899</v>
      </c>
      <c r="G602" s="88" t="s">
        <v>386</v>
      </c>
      <c r="J602" s="88" t="s">
        <v>374</v>
      </c>
      <c r="L602" s="88" t="s">
        <v>375</v>
      </c>
      <c r="M602" s="94" t="str">
        <f t="shared" si="12"/>
        <v>View on Google Map</v>
      </c>
    </row>
    <row r="603" spans="1:13">
      <c r="B603" s="88" t="s">
        <v>1554</v>
      </c>
      <c r="C603" s="88" t="s">
        <v>1380</v>
      </c>
      <c r="D603" s="88">
        <v>68.960833333333341</v>
      </c>
      <c r="E603" s="88">
        <v>-150.719722222222</v>
      </c>
      <c r="G603" s="88" t="s">
        <v>386</v>
      </c>
      <c r="J603" s="88" t="s">
        <v>374</v>
      </c>
      <c r="L603" s="88" t="s">
        <v>375</v>
      </c>
      <c r="M603" s="94" t="str">
        <f t="shared" si="12"/>
        <v>View on Google Map</v>
      </c>
    </row>
    <row r="604" spans="1:13">
      <c r="B604" s="88" t="s">
        <v>1555</v>
      </c>
      <c r="C604" s="88" t="s">
        <v>764</v>
      </c>
      <c r="D604" s="88">
        <v>69.055277777777775</v>
      </c>
      <c r="E604" s="88">
        <v>-150.80972222222201</v>
      </c>
      <c r="G604" s="88" t="s">
        <v>386</v>
      </c>
      <c r="J604" s="88" t="s">
        <v>374</v>
      </c>
      <c r="L604" s="88" t="s">
        <v>375</v>
      </c>
      <c r="M604" s="94" t="str">
        <f t="shared" si="12"/>
        <v>View on Google Map</v>
      </c>
    </row>
    <row r="605" spans="1:13">
      <c r="A605" s="88">
        <v>932</v>
      </c>
      <c r="B605" s="88" t="s">
        <v>1556</v>
      </c>
      <c r="C605" s="88" t="s">
        <v>367</v>
      </c>
      <c r="D605" s="88" t="s">
        <v>367</v>
      </c>
      <c r="E605" s="88" t="s">
        <v>367</v>
      </c>
      <c r="F605" s="88">
        <v>750</v>
      </c>
      <c r="G605" s="88" t="s">
        <v>368</v>
      </c>
      <c r="H605" s="88" t="s">
        <v>1557</v>
      </c>
      <c r="I605" s="88" t="s">
        <v>1558</v>
      </c>
      <c r="J605" s="88" t="s">
        <v>393</v>
      </c>
      <c r="K605" s="88" t="s">
        <v>367</v>
      </c>
      <c r="L605" s="88" t="s">
        <v>367</v>
      </c>
      <c r="M605" s="94" t="str">
        <f t="shared" si="12"/>
        <v>View on Google Map</v>
      </c>
    </row>
    <row r="606" spans="1:13">
      <c r="A606" s="88">
        <v>920</v>
      </c>
      <c r="B606" s="88" t="s">
        <v>1559</v>
      </c>
      <c r="C606" s="88" t="s">
        <v>367</v>
      </c>
      <c r="D606" s="88" t="s">
        <v>367</v>
      </c>
      <c r="E606" s="88" t="s">
        <v>367</v>
      </c>
      <c r="F606" s="88">
        <v>760</v>
      </c>
      <c r="G606" s="88" t="s">
        <v>368</v>
      </c>
      <c r="H606" s="88" t="s">
        <v>1560</v>
      </c>
      <c r="I606" s="88" t="s">
        <v>1561</v>
      </c>
      <c r="J606" s="88" t="s">
        <v>393</v>
      </c>
      <c r="K606" s="88" t="s">
        <v>367</v>
      </c>
      <c r="L606" s="88" t="s">
        <v>367</v>
      </c>
      <c r="M606" s="94" t="str">
        <f t="shared" si="12"/>
        <v>View on Google Map</v>
      </c>
    </row>
    <row r="607" spans="1:13">
      <c r="A607" s="88">
        <v>921</v>
      </c>
      <c r="B607" s="88" t="s">
        <v>1562</v>
      </c>
      <c r="C607" s="88" t="s">
        <v>367</v>
      </c>
      <c r="D607" s="88" t="s">
        <v>367</v>
      </c>
      <c r="E607" s="88" t="s">
        <v>367</v>
      </c>
      <c r="F607" s="88">
        <v>720</v>
      </c>
      <c r="G607" s="88" t="s">
        <v>368</v>
      </c>
      <c r="H607" s="88" t="s">
        <v>1563</v>
      </c>
      <c r="I607" s="88" t="s">
        <v>1564</v>
      </c>
      <c r="J607" s="88" t="s">
        <v>393</v>
      </c>
      <c r="K607" s="88" t="s">
        <v>367</v>
      </c>
      <c r="L607" s="88" t="s">
        <v>367</v>
      </c>
      <c r="M607" s="94" t="str">
        <f t="shared" si="12"/>
        <v>View on Google Map</v>
      </c>
    </row>
    <row r="608" spans="1:13">
      <c r="A608" s="88">
        <v>922</v>
      </c>
      <c r="B608" s="88" t="s">
        <v>1565</v>
      </c>
      <c r="C608" s="88" t="s">
        <v>367</v>
      </c>
      <c r="D608" s="88" t="s">
        <v>367</v>
      </c>
      <c r="E608" s="88" t="s">
        <v>367</v>
      </c>
      <c r="F608" s="88">
        <v>750</v>
      </c>
      <c r="G608" s="88" t="s">
        <v>368</v>
      </c>
      <c r="H608" s="88" t="s">
        <v>1566</v>
      </c>
      <c r="I608" s="88" t="s">
        <v>1567</v>
      </c>
      <c r="J608" s="88" t="s">
        <v>393</v>
      </c>
      <c r="K608" s="88" t="s">
        <v>367</v>
      </c>
      <c r="L608" s="88" t="s">
        <v>367</v>
      </c>
      <c r="M608" s="94" t="str">
        <f t="shared" si="12"/>
        <v>View on Google Map</v>
      </c>
    </row>
    <row r="609" spans="1:13">
      <c r="A609" s="88">
        <v>923</v>
      </c>
      <c r="B609" s="88" t="s">
        <v>1568</v>
      </c>
      <c r="C609" s="88" t="s">
        <v>367</v>
      </c>
      <c r="D609" s="88" t="s">
        <v>367</v>
      </c>
      <c r="E609" s="88" t="s">
        <v>367</v>
      </c>
      <c r="F609" s="88">
        <v>750</v>
      </c>
      <c r="G609" s="88" t="s">
        <v>368</v>
      </c>
      <c r="H609" s="88" t="s">
        <v>1569</v>
      </c>
      <c r="I609" s="88" t="s">
        <v>1570</v>
      </c>
      <c r="J609" s="88" t="s">
        <v>393</v>
      </c>
      <c r="K609" s="88" t="s">
        <v>367</v>
      </c>
      <c r="L609" s="88" t="s">
        <v>367</v>
      </c>
      <c r="M609" s="94" t="str">
        <f t="shared" si="12"/>
        <v>View on Google Map</v>
      </c>
    </row>
    <row r="610" spans="1:13">
      <c r="A610" s="88">
        <v>924</v>
      </c>
      <c r="B610" s="88" t="s">
        <v>1571</v>
      </c>
      <c r="C610" s="88" t="s">
        <v>367</v>
      </c>
      <c r="D610" s="88" t="s">
        <v>367</v>
      </c>
      <c r="E610" s="88" t="s">
        <v>367</v>
      </c>
      <c r="F610" s="88">
        <v>750</v>
      </c>
      <c r="G610" s="88" t="s">
        <v>368</v>
      </c>
      <c r="H610" s="88" t="s">
        <v>1572</v>
      </c>
      <c r="I610" s="88" t="s">
        <v>1573</v>
      </c>
      <c r="J610" s="88" t="s">
        <v>393</v>
      </c>
      <c r="K610" s="88" t="s">
        <v>367</v>
      </c>
      <c r="L610" s="88" t="s">
        <v>367</v>
      </c>
      <c r="M610" s="94" t="str">
        <f t="shared" si="12"/>
        <v>View on Google Map</v>
      </c>
    </row>
    <row r="611" spans="1:13">
      <c r="A611" s="88">
        <v>925</v>
      </c>
      <c r="B611" s="88" t="s">
        <v>1574</v>
      </c>
      <c r="C611" s="88" t="s">
        <v>367</v>
      </c>
      <c r="D611" s="88" t="s">
        <v>367</v>
      </c>
      <c r="E611" s="88" t="s">
        <v>367</v>
      </c>
      <c r="F611" s="88">
        <v>750</v>
      </c>
      <c r="G611" s="88" t="s">
        <v>368</v>
      </c>
      <c r="H611" s="88" t="s">
        <v>1575</v>
      </c>
      <c r="I611" s="88" t="s">
        <v>1576</v>
      </c>
      <c r="J611" s="88" t="s">
        <v>393</v>
      </c>
      <c r="K611" s="88" t="s">
        <v>367</v>
      </c>
      <c r="L611" s="88" t="s">
        <v>367</v>
      </c>
      <c r="M611" s="94" t="str">
        <f t="shared" si="12"/>
        <v>View on Google Map</v>
      </c>
    </row>
    <row r="612" spans="1:13">
      <c r="A612" s="88">
        <v>926</v>
      </c>
      <c r="B612" s="88" t="s">
        <v>1577</v>
      </c>
      <c r="C612" s="88" t="s">
        <v>367</v>
      </c>
      <c r="D612" s="88" t="s">
        <v>367</v>
      </c>
      <c r="E612" s="88" t="s">
        <v>367</v>
      </c>
      <c r="F612" s="88">
        <v>750</v>
      </c>
      <c r="G612" s="88" t="s">
        <v>368</v>
      </c>
      <c r="H612" s="88" t="s">
        <v>1578</v>
      </c>
      <c r="I612" s="88" t="s">
        <v>1579</v>
      </c>
      <c r="J612" s="88" t="s">
        <v>393</v>
      </c>
      <c r="K612" s="88" t="s">
        <v>367</v>
      </c>
      <c r="L612" s="88" t="s">
        <v>367</v>
      </c>
      <c r="M612" s="94" t="str">
        <f t="shared" si="12"/>
        <v>View on Google Map</v>
      </c>
    </row>
    <row r="613" spans="1:13">
      <c r="A613" s="88">
        <v>927</v>
      </c>
      <c r="B613" s="88" t="s">
        <v>1580</v>
      </c>
      <c r="C613" s="88" t="s">
        <v>367</v>
      </c>
      <c r="D613" s="88" t="s">
        <v>367</v>
      </c>
      <c r="E613" s="88" t="s">
        <v>367</v>
      </c>
      <c r="F613" s="88">
        <v>750</v>
      </c>
      <c r="G613" s="88" t="s">
        <v>368</v>
      </c>
      <c r="H613" s="88" t="s">
        <v>1581</v>
      </c>
      <c r="I613" s="88" t="s">
        <v>1582</v>
      </c>
      <c r="J613" s="88" t="s">
        <v>393</v>
      </c>
      <c r="K613" s="88" t="s">
        <v>367</v>
      </c>
      <c r="L613" s="88" t="s">
        <v>367</v>
      </c>
      <c r="M613" s="94" t="str">
        <f t="shared" si="12"/>
        <v>View on Google Map</v>
      </c>
    </row>
    <row r="614" spans="1:13">
      <c r="A614" s="88">
        <v>928</v>
      </c>
      <c r="B614" s="88" t="s">
        <v>1583</v>
      </c>
      <c r="C614" s="88" t="s">
        <v>367</v>
      </c>
      <c r="D614" s="88" t="s">
        <v>367</v>
      </c>
      <c r="E614" s="88" t="s">
        <v>367</v>
      </c>
      <c r="F614" s="88">
        <v>750</v>
      </c>
      <c r="G614" s="88" t="s">
        <v>368</v>
      </c>
      <c r="H614" s="88" t="s">
        <v>1584</v>
      </c>
      <c r="I614" s="88" t="s">
        <v>1585</v>
      </c>
      <c r="J614" s="88" t="s">
        <v>393</v>
      </c>
      <c r="K614" s="88" t="s">
        <v>367</v>
      </c>
      <c r="L614" s="88" t="s">
        <v>367</v>
      </c>
      <c r="M614" s="94" t="str">
        <f t="shared" si="12"/>
        <v>View on Google Map</v>
      </c>
    </row>
    <row r="615" spans="1:13">
      <c r="A615" s="88">
        <v>929</v>
      </c>
      <c r="B615" s="88" t="s">
        <v>1586</v>
      </c>
      <c r="C615" s="88" t="s">
        <v>367</v>
      </c>
      <c r="D615" s="88" t="s">
        <v>367</v>
      </c>
      <c r="E615" s="88" t="s">
        <v>367</v>
      </c>
      <c r="F615" s="88">
        <v>750</v>
      </c>
      <c r="G615" s="88" t="s">
        <v>368</v>
      </c>
      <c r="H615" s="88" t="s">
        <v>1587</v>
      </c>
      <c r="I615" s="88" t="s">
        <v>1588</v>
      </c>
      <c r="J615" s="88" t="s">
        <v>393</v>
      </c>
      <c r="K615" s="88" t="s">
        <v>367</v>
      </c>
      <c r="L615" s="88" t="s">
        <v>367</v>
      </c>
      <c r="M615" s="94" t="str">
        <f t="shared" si="12"/>
        <v>View on Google Map</v>
      </c>
    </row>
    <row r="616" spans="1:13">
      <c r="A616" s="88">
        <v>930</v>
      </c>
      <c r="B616" s="88" t="s">
        <v>1589</v>
      </c>
      <c r="C616" s="88" t="s">
        <v>367</v>
      </c>
      <c r="D616" s="88" t="s">
        <v>367</v>
      </c>
      <c r="E616" s="88" t="s">
        <v>367</v>
      </c>
      <c r="F616" s="88">
        <v>750</v>
      </c>
      <c r="G616" s="88" t="s">
        <v>368</v>
      </c>
      <c r="H616" s="88" t="s">
        <v>1590</v>
      </c>
      <c r="I616" s="88" t="s">
        <v>1591</v>
      </c>
      <c r="J616" s="88" t="s">
        <v>393</v>
      </c>
      <c r="K616" s="88" t="s">
        <v>367</v>
      </c>
      <c r="L616" s="88" t="s">
        <v>367</v>
      </c>
      <c r="M616" s="94" t="str">
        <f t="shared" si="12"/>
        <v>View on Google Map</v>
      </c>
    </row>
    <row r="617" spans="1:13">
      <c r="A617" s="88">
        <v>931</v>
      </c>
      <c r="B617" s="88" t="s">
        <v>1592</v>
      </c>
      <c r="C617" s="88" t="s">
        <v>367</v>
      </c>
      <c r="D617" s="88" t="s">
        <v>367</v>
      </c>
      <c r="E617" s="88" t="s">
        <v>367</v>
      </c>
      <c r="F617" s="88">
        <v>750</v>
      </c>
      <c r="G617" s="88" t="s">
        <v>368</v>
      </c>
      <c r="H617" s="88" t="s">
        <v>1593</v>
      </c>
      <c r="I617" s="88" t="s">
        <v>1594</v>
      </c>
      <c r="J617" s="88" t="s">
        <v>393</v>
      </c>
      <c r="K617" s="88" t="s">
        <v>367</v>
      </c>
      <c r="L617" s="88" t="s">
        <v>367</v>
      </c>
      <c r="M617" s="94" t="str">
        <f t="shared" si="12"/>
        <v>View on Google Map</v>
      </c>
    </row>
    <row r="618" spans="1:13">
      <c r="A618" s="88">
        <v>370</v>
      </c>
      <c r="B618" s="88" t="s">
        <v>1595</v>
      </c>
      <c r="C618" s="88" t="s">
        <v>367</v>
      </c>
      <c r="D618" s="88" t="s">
        <v>367</v>
      </c>
      <c r="E618" s="88" t="s">
        <v>367</v>
      </c>
      <c r="F618" s="88" t="s">
        <v>367</v>
      </c>
      <c r="G618" s="88" t="s">
        <v>378</v>
      </c>
      <c r="H618" s="88" t="s">
        <v>367</v>
      </c>
      <c r="I618" s="88" t="s">
        <v>367</v>
      </c>
      <c r="J618" s="88" t="s">
        <v>393</v>
      </c>
      <c r="K618" s="88" t="s">
        <v>367</v>
      </c>
      <c r="L618" s="88" t="s">
        <v>1596</v>
      </c>
      <c r="M618" s="94" t="str">
        <f t="shared" si="12"/>
        <v>View on Google Map</v>
      </c>
    </row>
    <row r="619" spans="1:13">
      <c r="A619" s="88">
        <v>371</v>
      </c>
      <c r="B619" s="88" t="s">
        <v>1597</v>
      </c>
      <c r="C619" s="88" t="s">
        <v>367</v>
      </c>
      <c r="D619" s="88" t="s">
        <v>367</v>
      </c>
      <c r="E619" s="88" t="s">
        <v>367</v>
      </c>
      <c r="F619" s="88" t="s">
        <v>367</v>
      </c>
      <c r="G619" s="88" t="s">
        <v>378</v>
      </c>
      <c r="H619" s="88" t="s">
        <v>367</v>
      </c>
      <c r="I619" s="88" t="s">
        <v>367</v>
      </c>
      <c r="J619" s="88" t="s">
        <v>393</v>
      </c>
      <c r="K619" s="88" t="s">
        <v>367</v>
      </c>
      <c r="L619" s="88" t="s">
        <v>1596</v>
      </c>
      <c r="M619" s="94" t="str">
        <f t="shared" si="12"/>
        <v>View on Google Map</v>
      </c>
    </row>
    <row r="620" spans="1:13">
      <c r="A620" s="88">
        <v>372</v>
      </c>
      <c r="B620" s="88" t="s">
        <v>1598</v>
      </c>
      <c r="C620" s="88" t="s">
        <v>367</v>
      </c>
      <c r="D620" s="88" t="s">
        <v>367</v>
      </c>
      <c r="E620" s="88" t="s">
        <v>367</v>
      </c>
      <c r="F620" s="88" t="s">
        <v>367</v>
      </c>
      <c r="G620" s="88" t="s">
        <v>378</v>
      </c>
      <c r="H620" s="88" t="s">
        <v>367</v>
      </c>
      <c r="I620" s="88" t="s">
        <v>367</v>
      </c>
      <c r="J620" s="88" t="s">
        <v>393</v>
      </c>
      <c r="K620" s="88" t="s">
        <v>367</v>
      </c>
      <c r="L620" s="88" t="s">
        <v>1596</v>
      </c>
      <c r="M620" s="94" t="str">
        <f t="shared" si="12"/>
        <v>View on Google Map</v>
      </c>
    </row>
    <row r="621" spans="1:13">
      <c r="A621" s="88">
        <v>373</v>
      </c>
      <c r="B621" s="88" t="s">
        <v>1599</v>
      </c>
      <c r="C621" s="88" t="s">
        <v>367</v>
      </c>
      <c r="D621" s="88" t="s">
        <v>367</v>
      </c>
      <c r="E621" s="88" t="s">
        <v>367</v>
      </c>
      <c r="F621" s="88" t="s">
        <v>367</v>
      </c>
      <c r="G621" s="88" t="s">
        <v>378</v>
      </c>
      <c r="H621" s="88" t="s">
        <v>367</v>
      </c>
      <c r="I621" s="88" t="s">
        <v>367</v>
      </c>
      <c r="J621" s="88" t="s">
        <v>393</v>
      </c>
      <c r="K621" s="88" t="s">
        <v>367</v>
      </c>
      <c r="L621" s="88" t="s">
        <v>1596</v>
      </c>
      <c r="M621" s="94" t="str">
        <f t="shared" si="12"/>
        <v>View on Google Map</v>
      </c>
    </row>
    <row r="622" spans="1:13">
      <c r="A622" s="88">
        <v>374</v>
      </c>
      <c r="B622" s="88" t="s">
        <v>1600</v>
      </c>
      <c r="C622" s="88" t="s">
        <v>367</v>
      </c>
      <c r="D622" s="88" t="s">
        <v>367</v>
      </c>
      <c r="E622" s="88" t="s">
        <v>367</v>
      </c>
      <c r="F622" s="88" t="s">
        <v>367</v>
      </c>
      <c r="G622" s="88" t="s">
        <v>378</v>
      </c>
      <c r="H622" s="88" t="s">
        <v>367</v>
      </c>
      <c r="I622" s="88" t="s">
        <v>367</v>
      </c>
      <c r="J622" s="88" t="s">
        <v>393</v>
      </c>
      <c r="K622" s="88" t="s">
        <v>367</v>
      </c>
      <c r="L622" s="88" t="s">
        <v>1596</v>
      </c>
      <c r="M622" s="94" t="str">
        <f t="shared" si="12"/>
        <v>View on Google Map</v>
      </c>
    </row>
    <row r="623" spans="1:13">
      <c r="A623" s="88">
        <v>375</v>
      </c>
      <c r="B623" s="88" t="s">
        <v>1601</v>
      </c>
      <c r="C623" s="88" t="s">
        <v>367</v>
      </c>
      <c r="D623" s="88" t="s">
        <v>367</v>
      </c>
      <c r="E623" s="88" t="s">
        <v>367</v>
      </c>
      <c r="F623" s="88" t="s">
        <v>367</v>
      </c>
      <c r="G623" s="88" t="s">
        <v>378</v>
      </c>
      <c r="H623" s="88" t="s">
        <v>367</v>
      </c>
      <c r="I623" s="88" t="s">
        <v>367</v>
      </c>
      <c r="J623" s="88" t="s">
        <v>393</v>
      </c>
      <c r="K623" s="88" t="s">
        <v>367</v>
      </c>
      <c r="L623" s="88" t="s">
        <v>1596</v>
      </c>
      <c r="M623" s="94" t="str">
        <f t="shared" si="12"/>
        <v>View on Google Map</v>
      </c>
    </row>
    <row r="624" spans="1:13">
      <c r="A624" s="88">
        <v>376</v>
      </c>
      <c r="B624" s="88" t="s">
        <v>1602</v>
      </c>
      <c r="C624" s="88" t="s">
        <v>367</v>
      </c>
      <c r="D624" s="88" t="s">
        <v>367</v>
      </c>
      <c r="E624" s="88" t="s">
        <v>367</v>
      </c>
      <c r="F624" s="88" t="s">
        <v>367</v>
      </c>
      <c r="G624" s="88" t="s">
        <v>378</v>
      </c>
      <c r="H624" s="88" t="s">
        <v>367</v>
      </c>
      <c r="I624" s="88" t="s">
        <v>367</v>
      </c>
      <c r="J624" s="88" t="s">
        <v>393</v>
      </c>
      <c r="K624" s="88" t="s">
        <v>367</v>
      </c>
      <c r="L624" s="88" t="s">
        <v>1596</v>
      </c>
      <c r="M624" s="94" t="str">
        <f t="shared" si="12"/>
        <v>View on Google Map</v>
      </c>
    </row>
    <row r="625" spans="1:13">
      <c r="A625" s="88">
        <v>377</v>
      </c>
      <c r="B625" s="88" t="s">
        <v>1603</v>
      </c>
      <c r="C625" s="88" t="s">
        <v>367</v>
      </c>
      <c r="D625" s="88" t="s">
        <v>367</v>
      </c>
      <c r="E625" s="88" t="s">
        <v>367</v>
      </c>
      <c r="F625" s="88" t="s">
        <v>367</v>
      </c>
      <c r="G625" s="88" t="s">
        <v>378</v>
      </c>
      <c r="H625" s="88" t="s">
        <v>367</v>
      </c>
      <c r="I625" s="88" t="s">
        <v>367</v>
      </c>
      <c r="J625" s="88" t="s">
        <v>393</v>
      </c>
      <c r="K625" s="88" t="s">
        <v>367</v>
      </c>
      <c r="L625" s="88" t="s">
        <v>1596</v>
      </c>
      <c r="M625" s="94" t="str">
        <f t="shared" si="12"/>
        <v>View on Google Map</v>
      </c>
    </row>
    <row r="626" spans="1:13">
      <c r="A626" s="88">
        <v>378</v>
      </c>
      <c r="B626" s="88" t="s">
        <v>1604</v>
      </c>
      <c r="C626" s="88" t="s">
        <v>367</v>
      </c>
      <c r="D626" s="88" t="s">
        <v>367</v>
      </c>
      <c r="E626" s="88" t="s">
        <v>367</v>
      </c>
      <c r="F626" s="88" t="s">
        <v>367</v>
      </c>
      <c r="G626" s="88" t="s">
        <v>378</v>
      </c>
      <c r="H626" s="88" t="s">
        <v>367</v>
      </c>
      <c r="I626" s="88" t="s">
        <v>367</v>
      </c>
      <c r="J626" s="88" t="s">
        <v>393</v>
      </c>
      <c r="K626" s="88" t="s">
        <v>367</v>
      </c>
      <c r="L626" s="88" t="s">
        <v>1596</v>
      </c>
      <c r="M626" s="94" t="str">
        <f t="shared" si="12"/>
        <v>View on Google Map</v>
      </c>
    </row>
    <row r="627" spans="1:13">
      <c r="A627" s="88">
        <v>379</v>
      </c>
      <c r="B627" s="88" t="s">
        <v>1605</v>
      </c>
      <c r="C627" s="88" t="s">
        <v>367</v>
      </c>
      <c r="D627" s="88" t="s">
        <v>367</v>
      </c>
      <c r="E627" s="88" t="s">
        <v>367</v>
      </c>
      <c r="F627" s="88" t="s">
        <v>367</v>
      </c>
      <c r="G627" s="88" t="s">
        <v>378</v>
      </c>
      <c r="H627" s="88" t="s">
        <v>367</v>
      </c>
      <c r="I627" s="88" t="s">
        <v>367</v>
      </c>
      <c r="J627" s="88" t="s">
        <v>393</v>
      </c>
      <c r="K627" s="88" t="s">
        <v>367</v>
      </c>
      <c r="L627" s="88" t="s">
        <v>1596</v>
      </c>
      <c r="M627" s="94" t="str">
        <f t="shared" si="12"/>
        <v>View on Google Map</v>
      </c>
    </row>
    <row r="628" spans="1:13">
      <c r="A628" s="88">
        <v>458</v>
      </c>
      <c r="B628" s="88" t="s">
        <v>1606</v>
      </c>
      <c r="C628" s="88" t="s">
        <v>367</v>
      </c>
      <c r="D628" s="88">
        <v>68.986329999999995</v>
      </c>
      <c r="E628" s="88">
        <v>-149.89803000000001</v>
      </c>
      <c r="F628" s="88">
        <v>419</v>
      </c>
      <c r="G628" s="88" t="s">
        <v>378</v>
      </c>
      <c r="H628" s="88" t="s">
        <v>367</v>
      </c>
      <c r="I628" s="88" t="s">
        <v>367</v>
      </c>
      <c r="J628" s="88" t="s">
        <v>379</v>
      </c>
      <c r="K628" s="88" t="s">
        <v>367</v>
      </c>
      <c r="L628" s="88" t="s">
        <v>367</v>
      </c>
      <c r="M628" s="94" t="str">
        <f t="shared" si="12"/>
        <v>View on Google Map</v>
      </c>
    </row>
    <row r="629" spans="1:13">
      <c r="A629" s="88">
        <v>459</v>
      </c>
      <c r="B629" s="88" t="s">
        <v>1607</v>
      </c>
      <c r="C629" s="88" t="s">
        <v>367</v>
      </c>
      <c r="D629" s="88">
        <v>68.983530000000002</v>
      </c>
      <c r="E629" s="88">
        <v>-149.89436000000001</v>
      </c>
      <c r="F629" s="88">
        <v>408</v>
      </c>
      <c r="G629" s="88" t="s">
        <v>378</v>
      </c>
      <c r="H629" s="88" t="s">
        <v>367</v>
      </c>
      <c r="I629" s="88" t="s">
        <v>367</v>
      </c>
      <c r="J629" s="88" t="s">
        <v>379</v>
      </c>
      <c r="K629" s="88" t="s">
        <v>367</v>
      </c>
      <c r="L629" s="88" t="s">
        <v>367</v>
      </c>
      <c r="M629" s="94" t="str">
        <f t="shared" si="12"/>
        <v>View on Google Map</v>
      </c>
    </row>
    <row r="630" spans="1:13">
      <c r="A630" s="88">
        <v>460</v>
      </c>
      <c r="B630" s="88" t="s">
        <v>1608</v>
      </c>
      <c r="C630" s="88" t="s">
        <v>367</v>
      </c>
      <c r="D630" s="88">
        <v>68.978710000000007</v>
      </c>
      <c r="E630" s="88">
        <v>-149.89182</v>
      </c>
      <c r="F630" s="88">
        <v>394</v>
      </c>
      <c r="G630" s="88" t="s">
        <v>378</v>
      </c>
      <c r="H630" s="88" t="s">
        <v>367</v>
      </c>
      <c r="I630" s="88" t="s">
        <v>367</v>
      </c>
      <c r="J630" s="88" t="s">
        <v>379</v>
      </c>
      <c r="K630" s="88" t="s">
        <v>367</v>
      </c>
      <c r="L630" s="88" t="s">
        <v>367</v>
      </c>
      <c r="M630" s="94" t="str">
        <f t="shared" si="12"/>
        <v>View on Google Map</v>
      </c>
    </row>
    <row r="631" spans="1:13">
      <c r="A631" s="88">
        <v>461</v>
      </c>
      <c r="B631" s="88" t="s">
        <v>1609</v>
      </c>
      <c r="C631" s="88" t="s">
        <v>367</v>
      </c>
      <c r="D631" s="88">
        <v>68.861750000000001</v>
      </c>
      <c r="E631" s="88">
        <v>-149.03908000000001</v>
      </c>
      <c r="F631" s="88">
        <v>651</v>
      </c>
      <c r="G631" s="88" t="s">
        <v>378</v>
      </c>
      <c r="H631" s="88" t="s">
        <v>367</v>
      </c>
      <c r="I631" s="88" t="s">
        <v>367</v>
      </c>
      <c r="J631" s="88" t="s">
        <v>379</v>
      </c>
      <c r="K631" s="88" t="s">
        <v>367</v>
      </c>
      <c r="L631" s="88" t="s">
        <v>367</v>
      </c>
      <c r="M631" s="94" t="str">
        <f t="shared" si="12"/>
        <v>View on Google Map</v>
      </c>
    </row>
    <row r="632" spans="1:13">
      <c r="A632" s="88">
        <v>462</v>
      </c>
      <c r="B632" s="88" t="s">
        <v>1610</v>
      </c>
      <c r="C632" s="88" t="s">
        <v>367</v>
      </c>
      <c r="D632" s="88">
        <v>68.867549999999994</v>
      </c>
      <c r="E632" s="88">
        <v>-149.03557000000001</v>
      </c>
      <c r="F632" s="88">
        <v>638</v>
      </c>
      <c r="G632" s="88" t="s">
        <v>378</v>
      </c>
      <c r="H632" s="88" t="s">
        <v>367</v>
      </c>
      <c r="I632" s="88" t="s">
        <v>367</v>
      </c>
      <c r="J632" s="88" t="s">
        <v>379</v>
      </c>
      <c r="K632" s="88" t="s">
        <v>367</v>
      </c>
      <c r="L632" s="88" t="s">
        <v>367</v>
      </c>
      <c r="M632" s="94" t="str">
        <f t="shared" si="12"/>
        <v>View on Google Map</v>
      </c>
    </row>
    <row r="633" spans="1:13">
      <c r="A633" s="95">
        <v>463</v>
      </c>
      <c r="B633" s="95" t="s">
        <v>1611</v>
      </c>
      <c r="C633" s="95" t="s">
        <v>367</v>
      </c>
      <c r="D633" s="95">
        <v>68.873149999999995</v>
      </c>
      <c r="E633" s="95">
        <v>-149.04128</v>
      </c>
      <c r="F633" s="95">
        <v>637</v>
      </c>
      <c r="G633" s="95" t="s">
        <v>378</v>
      </c>
      <c r="H633" s="95" t="s">
        <v>367</v>
      </c>
      <c r="I633" s="95" t="s">
        <v>367</v>
      </c>
      <c r="J633" s="95" t="s">
        <v>379</v>
      </c>
      <c r="K633" s="95" t="s">
        <v>367</v>
      </c>
      <c r="L633" s="95" t="s">
        <v>367</v>
      </c>
      <c r="M633" s="94" t="str">
        <f t="shared" si="12"/>
        <v>View on Google Map</v>
      </c>
    </row>
    <row r="634" spans="1:13">
      <c r="A634" s="88">
        <v>129</v>
      </c>
      <c r="B634" s="88" t="s">
        <v>1612</v>
      </c>
      <c r="C634" s="88" t="s">
        <v>1453</v>
      </c>
      <c r="D634" s="88">
        <v>69.966666666666669</v>
      </c>
      <c r="E634" s="88">
        <v>-148.73333333333301</v>
      </c>
      <c r="F634" s="88">
        <v>57</v>
      </c>
      <c r="G634" s="88" t="s">
        <v>378</v>
      </c>
      <c r="H634" s="88" t="s">
        <v>1613</v>
      </c>
      <c r="I634" s="88" t="s">
        <v>367</v>
      </c>
      <c r="J634" s="88" t="s">
        <v>393</v>
      </c>
      <c r="K634" s="88" t="s">
        <v>367</v>
      </c>
      <c r="L634" s="88" t="s">
        <v>394</v>
      </c>
      <c r="M634" s="94" t="str">
        <f t="shared" si="12"/>
        <v>View on Google Map</v>
      </c>
    </row>
    <row r="635" spans="1:13">
      <c r="A635" s="88">
        <v>17</v>
      </c>
      <c r="B635" s="88" t="s">
        <v>1614</v>
      </c>
      <c r="C635" s="88" t="s">
        <v>1615</v>
      </c>
      <c r="D635" s="88" t="s">
        <v>367</v>
      </c>
      <c r="E635" s="88" t="s">
        <v>367</v>
      </c>
      <c r="F635" s="88" t="s">
        <v>367</v>
      </c>
      <c r="G635" s="88" t="s">
        <v>392</v>
      </c>
      <c r="H635" s="88" t="s">
        <v>367</v>
      </c>
      <c r="I635" s="88" t="s">
        <v>367</v>
      </c>
      <c r="J635" s="88" t="s">
        <v>393</v>
      </c>
      <c r="K635" s="88" t="s">
        <v>367</v>
      </c>
      <c r="L635" s="88" t="s">
        <v>367</v>
      </c>
      <c r="M635" s="94" t="str">
        <f t="shared" si="12"/>
        <v>View on Google Map</v>
      </c>
    </row>
    <row r="636" spans="1:13">
      <c r="A636" s="88">
        <v>530</v>
      </c>
      <c r="B636" s="88" t="s">
        <v>1616</v>
      </c>
      <c r="C636" s="88" t="s">
        <v>773</v>
      </c>
      <c r="D636" s="88">
        <v>68.674332000000007</v>
      </c>
      <c r="E636" s="88">
        <v>-149.61694399999999</v>
      </c>
      <c r="F636" s="88">
        <v>701</v>
      </c>
      <c r="G636" s="88" t="s">
        <v>378</v>
      </c>
      <c r="H636" s="88" t="s">
        <v>367</v>
      </c>
      <c r="I636" s="88" t="s">
        <v>367</v>
      </c>
      <c r="J636" s="88" t="s">
        <v>379</v>
      </c>
      <c r="K636" s="88" t="s">
        <v>367</v>
      </c>
      <c r="L636" s="88" t="s">
        <v>774</v>
      </c>
      <c r="M636" s="94" t="str">
        <f t="shared" si="12"/>
        <v>View on Google Map</v>
      </c>
    </row>
    <row r="637" spans="1:13">
      <c r="A637" s="88">
        <v>496</v>
      </c>
      <c r="B637" s="88" t="s">
        <v>1617</v>
      </c>
      <c r="C637" s="88" t="s">
        <v>367</v>
      </c>
      <c r="D637" s="88">
        <v>68.674149999999997</v>
      </c>
      <c r="E637" s="88">
        <v>-149.61810299999999</v>
      </c>
      <c r="F637" s="88">
        <v>701</v>
      </c>
      <c r="G637" s="88" t="s">
        <v>392</v>
      </c>
      <c r="H637" s="88" t="s">
        <v>1618</v>
      </c>
      <c r="I637" s="88" t="s">
        <v>367</v>
      </c>
      <c r="J637" s="88" t="s">
        <v>1295</v>
      </c>
      <c r="K637" s="88" t="s">
        <v>367</v>
      </c>
      <c r="L637" s="88" t="s">
        <v>774</v>
      </c>
      <c r="M637" s="94" t="str">
        <f t="shared" si="12"/>
        <v>View on Google Map</v>
      </c>
    </row>
  </sheetData>
  <autoFilter ref="A2:N637">
    <sortState ref="A3:N637">
      <sortCondition ref="B2"/>
    </sortState>
  </autoFilter>
  <conditionalFormatting sqref="B2">
    <cfRule type="cellIs" dxfId="0" priority="1" stopIfTrue="1" operator="equal">
      <formula>"NOT ASSIGNED:"</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122</vt:i4>
      </vt:variant>
    </vt:vector>
  </HeadingPairs>
  <TitlesOfParts>
    <vt:vector size="125" baseType="lpstr">
      <vt:lpstr>Metadata</vt:lpstr>
      <vt:lpstr>Data</vt:lpstr>
      <vt:lpstr>Sites(Do NOT Edit)</vt:lpstr>
      <vt:lpstr>Metadata!ABSTRACT</vt:lpstr>
      <vt:lpstr>'Sites(Do NOT Edit)'!ABSTRACT</vt:lpstr>
      <vt:lpstr>Metadata!Address_line_2</vt:lpstr>
      <vt:lpstr>'Sites(Do NOT Edit)'!Address_line_2</vt:lpstr>
      <vt:lpstr>Metadata!Address_line_3</vt:lpstr>
      <vt:lpstr>'Sites(Do NOT Edit)'!Address_line_3</vt:lpstr>
      <vt:lpstr>Metadata!Availability_Status</vt:lpstr>
      <vt:lpstr>'Sites(Do NOT Edit)'!Availability_Status</vt:lpstr>
      <vt:lpstr>Metadata!Beginning_Date</vt:lpstr>
      <vt:lpstr>'Sites(Do NOT Edit)'!Beginning_Date</vt:lpstr>
      <vt:lpstr>Metadata!City</vt:lpstr>
      <vt:lpstr>'Sites(Do NOT Edit)'!City</vt:lpstr>
      <vt:lpstr>Metadata!Code_Information</vt:lpstr>
      <vt:lpstr>'Sites(Do NOT Edit)'!Code_Information</vt:lpstr>
      <vt:lpstr>Metadata!Country</vt:lpstr>
      <vt:lpstr>'Sites(Do NOT Edit)'!Country</vt:lpstr>
      <vt:lpstr>Metadata!DATA_FILE_INFORMATION</vt:lpstr>
      <vt:lpstr>'Sites(Do NOT Edit)'!DATA_FILE_INFORMATION</vt:lpstr>
      <vt:lpstr>Metadata!Data_File_Name</vt:lpstr>
      <vt:lpstr>'Sites(Do NOT Edit)'!Data_File_Name</vt:lpstr>
      <vt:lpstr>Metadata!Data_File_URL</vt:lpstr>
      <vt:lpstr>'Sites(Do NOT Edit)'!Data_File_URL</vt:lpstr>
      <vt:lpstr>Metadata!Data_Type</vt:lpstr>
      <vt:lpstr>'Sites(Do NOT Edit)'!Data_Type</vt:lpstr>
      <vt:lpstr>Metadata!DATASET_ID</vt:lpstr>
      <vt:lpstr>'Sites(Do NOT Edit)'!DATASET_ID</vt:lpstr>
      <vt:lpstr>Metadata!DATASET_TITLE</vt:lpstr>
      <vt:lpstr>'Sites(Do NOT Edit)'!DATASET_TITLE</vt:lpstr>
      <vt:lpstr>Metadata!DateTime_Format</vt:lpstr>
      <vt:lpstr>'Sites(Do NOT Edit)'!DateTime_Format</vt:lpstr>
      <vt:lpstr>Metadata!Distribution_URL_for_file</vt:lpstr>
      <vt:lpstr>'Sites(Do NOT Edit)'!Distribution_URL_for_file</vt:lpstr>
      <vt:lpstr>Metadata!East_Bounding_Coordinate</vt:lpstr>
      <vt:lpstr>'Sites(Do NOT Edit)'!East_Bounding_Coordinate</vt:lpstr>
      <vt:lpstr>Metadata!Elevation</vt:lpstr>
      <vt:lpstr>'Sites(Do NOT Edit)'!Elevation</vt:lpstr>
      <vt:lpstr>Metadata!Email</vt:lpstr>
      <vt:lpstr>'Sites(Do NOT Edit)'!Email</vt:lpstr>
      <vt:lpstr>Metadata!End_Date</vt:lpstr>
      <vt:lpstr>'Sites(Do NOT Edit)'!End_Date</vt:lpstr>
      <vt:lpstr>Metadata!First_Name</vt:lpstr>
      <vt:lpstr>'Sites(Do NOT Edit)'!First_Name</vt:lpstr>
      <vt:lpstr>Metadata!Geographic_Description</vt:lpstr>
      <vt:lpstr>'Sites(Do NOT Edit)'!Geographic_Description</vt:lpstr>
      <vt:lpstr>Metadata!INVESTIGATOR_INFORMATION</vt:lpstr>
      <vt:lpstr>'Sites(Do NOT Edit)'!INVESTIGATOR_INFORMATION</vt:lpstr>
      <vt:lpstr>Metadata!KEYWORD_INFORMATION</vt:lpstr>
      <vt:lpstr>'Sites(Do NOT Edit)'!KEYWORD_INFORMATION</vt:lpstr>
      <vt:lpstr>Metadata!KEYWORDS</vt:lpstr>
      <vt:lpstr>'Sites(Do NOT Edit)'!KEYWORDS</vt:lpstr>
      <vt:lpstr>Metadata!Last_Name</vt:lpstr>
      <vt:lpstr>'Sites(Do NOT Edit)'!Last_Name</vt:lpstr>
      <vt:lpstr>Metadata!Latitude</vt:lpstr>
      <vt:lpstr>'Sites(Do NOT Edit)'!Latitude</vt:lpstr>
      <vt:lpstr>Link_to_Google_Map</vt:lpstr>
      <vt:lpstr>Metadata!Location_Bounding_Box</vt:lpstr>
      <vt:lpstr>'Sites(Do NOT Edit)'!Location_Bounding_Box</vt:lpstr>
      <vt:lpstr>Location_Name</vt:lpstr>
      <vt:lpstr>Metadata!Log_of_Changes</vt:lpstr>
      <vt:lpstr>'Sites(Do NOT Edit)'!Log_of_Changes</vt:lpstr>
      <vt:lpstr>Metadata!Longitude</vt:lpstr>
      <vt:lpstr>'Sites(Do NOT Edit)'!Longitude</vt:lpstr>
      <vt:lpstr>LTER_Sites_number</vt:lpstr>
      <vt:lpstr>Metadata!Maintenance_Description</vt:lpstr>
      <vt:lpstr>'Sites(Do NOT Edit)'!Maintenance_Description</vt:lpstr>
      <vt:lpstr>Metadata!Metacat_Package_ID</vt:lpstr>
      <vt:lpstr>'Sites(Do NOT Edit)'!Metacat_Package_ID</vt:lpstr>
      <vt:lpstr>Metadata!METHODS</vt:lpstr>
      <vt:lpstr>'Sites(Do NOT Edit)'!METHODS</vt:lpstr>
      <vt:lpstr>Metadata!Missing_Value_Code</vt:lpstr>
      <vt:lpstr>'Sites(Do NOT Edit)'!Missing_Value_Code</vt:lpstr>
      <vt:lpstr>Metadata!North_Bounding_Coordinate</vt:lpstr>
      <vt:lpstr>'Sites(Do NOT Edit)'!North_Bounding_Coordinate</vt:lpstr>
      <vt:lpstr>Metadata!Number_of_Data_Records</vt:lpstr>
      <vt:lpstr>'Sites(Do NOT Edit)'!Number_of_Data_Records</vt:lpstr>
      <vt:lpstr>Metadata!OR</vt:lpstr>
      <vt:lpstr>'Sites(Do NOT Edit)'!OR</vt:lpstr>
      <vt:lpstr>Metadata!OR_if_single_point_location</vt:lpstr>
      <vt:lpstr>'Sites(Do NOT Edit)'!OR_if_single_point_location</vt:lpstr>
      <vt:lpstr>Metadata!Organisms_studied</vt:lpstr>
      <vt:lpstr>'Sites(Do NOT Edit)'!Organisms_studied</vt:lpstr>
      <vt:lpstr>Metadata!Organization</vt:lpstr>
      <vt:lpstr>'Sites(Do NOT Edit)'!Organization</vt:lpstr>
      <vt:lpstr>Metadata!Other_Files_to_Reference</vt:lpstr>
      <vt:lpstr>'Sites(Do NOT Edit)'!Other_Files_to_Reference</vt:lpstr>
      <vt:lpstr>Metadata!Protocol_Document</vt:lpstr>
      <vt:lpstr>'Sites(Do NOT Edit)'!Protocol_Document</vt:lpstr>
      <vt:lpstr>Metadata!Protocol_Title</vt:lpstr>
      <vt:lpstr>'Sites(Do NOT Edit)'!Protocol_Title</vt:lpstr>
      <vt:lpstr>Metadata!Quality_Control_Information</vt:lpstr>
      <vt:lpstr>'Sites(Do NOT Edit)'!Quality_Control_Information</vt:lpstr>
      <vt:lpstr>Metadata!RESEARCH_LOCATION</vt:lpstr>
      <vt:lpstr>'Sites(Do NOT Edit)'!RESEARCH_LOCATION</vt:lpstr>
      <vt:lpstr>Metadata!Role</vt:lpstr>
      <vt:lpstr>'Sites(Do NOT Edit)'!Role</vt:lpstr>
      <vt:lpstr>Metadata!Sampling_and_or_Lab_Protocols</vt:lpstr>
      <vt:lpstr>'Sites(Do NOT Edit)'!Sampling_and_or_Lab_Protocols</vt:lpstr>
      <vt:lpstr>Site_name</vt:lpstr>
      <vt:lpstr>Site_name_list</vt:lpstr>
      <vt:lpstr>Sites</vt:lpstr>
      <vt:lpstr>Metadata!South_Bounding_Coordinate</vt:lpstr>
      <vt:lpstr>'Sites(Do NOT Edit)'!South_Bounding_Coordinate</vt:lpstr>
      <vt:lpstr>Metadata!State</vt:lpstr>
      <vt:lpstr>'Sites(Do NOT Edit)'!State</vt:lpstr>
      <vt:lpstr>Metadata!TAXONOMIC_COVERAGE</vt:lpstr>
      <vt:lpstr>'Sites(Do NOT Edit)'!TAXONOMIC_COVERAGE</vt:lpstr>
      <vt:lpstr>Metadata!Units</vt:lpstr>
      <vt:lpstr>'Sites(Do NOT Edit)'!Units</vt:lpstr>
      <vt:lpstr>Metadata!URL_of_online_Protocol</vt:lpstr>
      <vt:lpstr>'Sites(Do NOT Edit)'!URL_of_online_Protocol</vt:lpstr>
      <vt:lpstr>Metadata!Variable_Description</vt:lpstr>
      <vt:lpstr>'Sites(Do NOT Edit)'!Variable_Description</vt:lpstr>
      <vt:lpstr>Metadata!VARIABLE_DESCRIPTIONS</vt:lpstr>
      <vt:lpstr>'Sites(Do NOT Edit)'!VARIABLE_DESCRIPTIONS</vt:lpstr>
      <vt:lpstr>Metadata!Variable_Name</vt:lpstr>
      <vt:lpstr>'Sites(Do NOT Edit)'!Variable_Name</vt:lpstr>
      <vt:lpstr>Metadata!West_Bounding_Coordinate</vt:lpstr>
      <vt:lpstr>'Sites(Do NOT Edit)'!West_Bounding_Coordinate</vt:lpstr>
      <vt:lpstr>Metadata!Year_Released_to_Public</vt:lpstr>
      <vt:lpstr>'Sites(Do NOT Edit)'!Year_Released_to_Public</vt:lpstr>
      <vt:lpstr>Metadata!Zip_Code</vt:lpstr>
      <vt:lpstr>'Sites(Do NOT Edit)'!Zip_Code</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Michelle C. Mack</dc:creator>
  <cp:lastModifiedBy>Jessica Drysdale</cp:lastModifiedBy>
  <dcterms:created xsi:type="dcterms:W3CDTF">2010-05-28T19:59:32Z</dcterms:created>
  <dcterms:modified xsi:type="dcterms:W3CDTF">2013-11-19T21:01:24Z</dcterms:modified>
</cp:coreProperties>
</file>