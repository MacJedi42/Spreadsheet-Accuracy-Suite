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charts/chart27.xml" ContentType="application/vnd.openxmlformats-officedocument.drawingml.chart+xml"/>
  <Override PartName="/xl/drawings/drawing3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drawings/drawing20.xml" ContentType="application/vnd.openxmlformats-officedocument.drawing+xml"/>
  <Override PartName="/xl/charts/chart25.xml" ContentType="application/vnd.openxmlformats-officedocument.drawingml.chart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drawings/drawing23.xml" ContentType="application/vnd.openxmlformats-officedocument.drawing+xml"/>
  <Override PartName="/xl/charts/chart28.xml" ContentType="application/vnd.openxmlformats-officedocument.drawingml.chart+xml"/>
  <Override PartName="/xl/drawings/drawing32.xml" ContentType="application/vnd.openxmlformats-officedocument.drawing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drawings/drawing21.xml" ContentType="application/vnd.openxmlformats-officedocument.drawing+xml"/>
  <Override PartName="/xl/charts/chart26.xml" ContentType="application/vnd.openxmlformats-officedocument.drawingml.chart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5315" windowHeight="8475" tabRatio="906" activeTab="1"/>
  </bookViews>
  <sheets>
    <sheet name="Rammeplan" sheetId="5" r:id="rId1"/>
    <sheet name="16" sheetId="38" r:id="rId2"/>
    <sheet name="17" sheetId="37" r:id="rId3"/>
    <sheet name="18" sheetId="6" r:id="rId4"/>
    <sheet name="19" sheetId="7" r:id="rId5"/>
    <sheet name="20" sheetId="8" r:id="rId6"/>
    <sheet name="21" sheetId="9" r:id="rId7"/>
    <sheet name="22" sheetId="10" r:id="rId8"/>
    <sheet name="23" sheetId="11" r:id="rId9"/>
    <sheet name="24" sheetId="12" r:id="rId10"/>
    <sheet name="25" sheetId="13" r:id="rId11"/>
    <sheet name="26" sheetId="14" r:id="rId12"/>
    <sheet name="27" sheetId="15" r:id="rId13"/>
    <sheet name="28" sheetId="16" r:id="rId14"/>
    <sheet name="29" sheetId="17" r:id="rId15"/>
    <sheet name="30" sheetId="18" r:id="rId16"/>
    <sheet name="31" sheetId="19" r:id="rId17"/>
    <sheet name="32" sheetId="20" r:id="rId18"/>
    <sheet name="33" sheetId="21" r:id="rId19"/>
    <sheet name="34" sheetId="22" r:id="rId20"/>
    <sheet name="35" sheetId="23" r:id="rId21"/>
    <sheet name="36" sheetId="24" r:id="rId22"/>
    <sheet name="37" sheetId="25" r:id="rId23"/>
    <sheet name="38" sheetId="26" r:id="rId24"/>
    <sheet name="39" sheetId="27" r:id="rId25"/>
    <sheet name="40" sheetId="28" r:id="rId26"/>
    <sheet name="41" sheetId="29" r:id="rId27"/>
    <sheet name="42" sheetId="30" r:id="rId28"/>
    <sheet name="43" sheetId="31" r:id="rId29"/>
    <sheet name="44" sheetId="32" r:id="rId30"/>
    <sheet name="45" sheetId="33" r:id="rId31"/>
    <sheet name="46" sheetId="34" r:id="rId32"/>
    <sheet name="47" sheetId="35" r:id="rId33"/>
    <sheet name="48" sheetId="36" r:id="rId34"/>
  </sheets>
  <calcPr calcId="125725"/>
</workbook>
</file>

<file path=xl/calcChain.xml><?xml version="1.0" encoding="utf-8"?>
<calcChain xmlns="http://schemas.openxmlformats.org/spreadsheetml/2006/main"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37"/>
  <c r="A1" i="38"/>
  <c r="C33"/>
  <c r="Q7" i="37"/>
  <c r="C34" i="38"/>
  <c r="C47" s="1"/>
  <c r="Q8" i="37"/>
  <c r="C35" i="38"/>
  <c r="Q9" i="37"/>
  <c r="S9" s="1"/>
  <c r="C35"/>
  <c r="C35" i="6" s="1"/>
  <c r="C36" i="7" s="1"/>
  <c r="C36" i="8" s="1"/>
  <c r="C36" i="9" s="1"/>
  <c r="Q9" i="7"/>
  <c r="Q9" i="8"/>
  <c r="Q9" i="9"/>
  <c r="Q9" i="10"/>
  <c r="Q9" i="11"/>
  <c r="Q9" i="12"/>
  <c r="Q9" i="13"/>
  <c r="Q9" i="14"/>
  <c r="S9" s="1"/>
  <c r="Q9" i="16"/>
  <c r="Q9" i="17"/>
  <c r="Q9" i="18"/>
  <c r="Q9" i="19"/>
  <c r="Q9" i="20"/>
  <c r="Q9" i="21"/>
  <c r="Q9" i="22"/>
  <c r="Q9" i="23"/>
  <c r="Q9" i="24"/>
  <c r="Q9" i="25"/>
  <c r="Q9" i="26"/>
  <c r="Q9" i="27"/>
  <c r="Q9" i="28"/>
  <c r="Q9" i="29"/>
  <c r="Q9" i="30"/>
  <c r="Q9" i="31"/>
  <c r="Q9" i="32"/>
  <c r="Q9" i="33"/>
  <c r="Q9" i="34"/>
  <c r="Q9" i="35"/>
  <c r="Q9" i="36"/>
  <c r="C36" i="38"/>
  <c r="Q10" i="37"/>
  <c r="C36" s="1"/>
  <c r="C36" i="6"/>
  <c r="C37" i="38"/>
  <c r="Q11" i="37"/>
  <c r="C37" s="1"/>
  <c r="C37" i="6" s="1"/>
  <c r="C38" i="38"/>
  <c r="Q12" i="37"/>
  <c r="C38" s="1"/>
  <c r="C38" i="6" s="1"/>
  <c r="C39" i="7" s="1"/>
  <c r="C39" i="38"/>
  <c r="Q13" i="37"/>
  <c r="C39" s="1"/>
  <c r="C39" i="6" s="1"/>
  <c r="C40" i="38"/>
  <c r="Q14" i="37"/>
  <c r="C41" i="38"/>
  <c r="Q15" i="37"/>
  <c r="C41" s="1"/>
  <c r="C41" i="6" s="1"/>
  <c r="C42" i="38"/>
  <c r="Q16" i="37"/>
  <c r="C42" s="1"/>
  <c r="C42" i="6"/>
  <c r="C43" i="38"/>
  <c r="Q17" i="37"/>
  <c r="Q17" i="7"/>
  <c r="Q17" i="8"/>
  <c r="Q17" i="9"/>
  <c r="Q17" i="10"/>
  <c r="Q17" i="11"/>
  <c r="Q17" i="12"/>
  <c r="Q17" i="13"/>
  <c r="C44" i="38"/>
  <c r="Q18" i="37"/>
  <c r="C45" i="38"/>
  <c r="Q19" i="37"/>
  <c r="C46" i="38"/>
  <c r="Q20" i="37"/>
  <c r="Q20" i="38"/>
  <c r="Q19"/>
  <c r="Q18"/>
  <c r="Q17"/>
  <c r="Q16"/>
  <c r="Q15"/>
  <c r="Q14"/>
  <c r="Q13"/>
  <c r="Q12"/>
  <c r="Q11"/>
  <c r="Q10"/>
  <c r="Q9"/>
  <c r="Q8"/>
  <c r="Q7"/>
  <c r="Q21" s="1"/>
  <c r="R7"/>
  <c r="R8"/>
  <c r="R9"/>
  <c r="E35" s="1"/>
  <c r="R10"/>
  <c r="R11"/>
  <c r="R12"/>
  <c r="S12" s="1"/>
  <c r="R13"/>
  <c r="S13" s="1"/>
  <c r="R14"/>
  <c r="S14" s="1"/>
  <c r="R15"/>
  <c r="E41" s="1"/>
  <c r="R16"/>
  <c r="S16" s="1"/>
  <c r="R17"/>
  <c r="S17" s="1"/>
  <c r="R18"/>
  <c r="S18" s="1"/>
  <c r="R19"/>
  <c r="R20"/>
  <c r="S20" s="1"/>
  <c r="C21"/>
  <c r="E21"/>
  <c r="G21"/>
  <c r="I21"/>
  <c r="K21"/>
  <c r="M21"/>
  <c r="O21"/>
  <c r="E34"/>
  <c r="E39"/>
  <c r="E43"/>
  <c r="R7" i="37"/>
  <c r="R21" s="1"/>
  <c r="E47" s="1"/>
  <c r="R8"/>
  <c r="S8" s="1"/>
  <c r="R9"/>
  <c r="E35" s="1"/>
  <c r="R10"/>
  <c r="E36" s="1"/>
  <c r="R11"/>
  <c r="S11"/>
  <c r="R12"/>
  <c r="R13"/>
  <c r="S13"/>
  <c r="R14"/>
  <c r="S14" s="1"/>
  <c r="R15"/>
  <c r="R16"/>
  <c r="S16" s="1"/>
  <c r="R17"/>
  <c r="S17"/>
  <c r="R18"/>
  <c r="S18" s="1"/>
  <c r="R19"/>
  <c r="R20"/>
  <c r="S20" s="1"/>
  <c r="C21"/>
  <c r="E21"/>
  <c r="G21"/>
  <c r="I21"/>
  <c r="K21"/>
  <c r="M21"/>
  <c r="O21"/>
  <c r="E34"/>
  <c r="E38"/>
  <c r="E39"/>
  <c r="E43"/>
  <c r="E44"/>
  <c r="D21" i="5"/>
  <c r="C21"/>
  <c r="AJ20"/>
  <c r="AJ19"/>
  <c r="AJ18"/>
  <c r="AJ17"/>
  <c r="AJ16"/>
  <c r="AJ15"/>
  <c r="AJ14"/>
  <c r="AJ13"/>
  <c r="AJ12"/>
  <c r="AJ11"/>
  <c r="AJ10"/>
  <c r="AJ9"/>
  <c r="AJ8"/>
  <c r="AJ7"/>
  <c r="AJ5"/>
  <c r="R20" i="14"/>
  <c r="R19"/>
  <c r="R18"/>
  <c r="R17"/>
  <c r="R16"/>
  <c r="R15"/>
  <c r="R14"/>
  <c r="R13"/>
  <c r="R12"/>
  <c r="R11"/>
  <c r="R10"/>
  <c r="R9"/>
  <c r="R8"/>
  <c r="R8" i="12"/>
  <c r="R21" s="1"/>
  <c r="R8" i="11"/>
  <c r="R8" i="6"/>
  <c r="E34"/>
  <c r="E35" i="7" s="1"/>
  <c r="E35" i="8" s="1"/>
  <c r="E35" i="9" s="1"/>
  <c r="R7" i="14"/>
  <c r="R7" i="13"/>
  <c r="R7" i="12"/>
  <c r="R7" i="11"/>
  <c r="R7" i="10"/>
  <c r="R7" i="9"/>
  <c r="R7" i="8"/>
  <c r="R7" i="7"/>
  <c r="R7" i="6"/>
  <c r="R21" s="1"/>
  <c r="E47" s="1"/>
  <c r="Q16" i="11"/>
  <c r="Q7" i="6"/>
  <c r="Q13" i="27"/>
  <c r="Q18" i="19"/>
  <c r="Q17"/>
  <c r="Q16"/>
  <c r="Q16" i="12"/>
  <c r="Q17" i="6"/>
  <c r="Q16"/>
  <c r="Q16" i="7"/>
  <c r="Q16" i="8"/>
  <c r="Q16" i="9"/>
  <c r="Q16" i="10"/>
  <c r="Q16" i="13"/>
  <c r="R7" i="15"/>
  <c r="R7" i="16"/>
  <c r="R7" i="17"/>
  <c r="R7" i="21"/>
  <c r="R7" i="22"/>
  <c r="R7" i="23"/>
  <c r="R7" i="24"/>
  <c r="R7" i="25"/>
  <c r="R7" i="26"/>
  <c r="R7" i="27"/>
  <c r="R7" i="28"/>
  <c r="R7" i="29"/>
  <c r="R7" i="30"/>
  <c r="R7" i="31"/>
  <c r="R7" i="32"/>
  <c r="R7" i="33"/>
  <c r="R7" i="34"/>
  <c r="R7" i="35"/>
  <c r="R7" i="36"/>
  <c r="R11" i="6"/>
  <c r="R11" i="8"/>
  <c r="R11" i="9"/>
  <c r="R11" i="10"/>
  <c r="R11" i="11"/>
  <c r="R11" i="12"/>
  <c r="R11" i="13"/>
  <c r="R11" i="21"/>
  <c r="R11" i="22"/>
  <c r="R11" i="23"/>
  <c r="R11" i="24"/>
  <c r="R11" i="25"/>
  <c r="R11" i="26"/>
  <c r="R11" i="27"/>
  <c r="R11" i="28"/>
  <c r="R11" i="29"/>
  <c r="R11" i="30"/>
  <c r="R11" i="31"/>
  <c r="R11" i="32"/>
  <c r="R11" i="33"/>
  <c r="R11" i="34"/>
  <c r="R11" i="35"/>
  <c r="R11" i="36"/>
  <c r="R14" i="6"/>
  <c r="E40" s="1"/>
  <c r="E41" i="7" s="1"/>
  <c r="R14" i="8"/>
  <c r="R14" i="9"/>
  <c r="R14" i="10"/>
  <c r="R14" i="11"/>
  <c r="R14" i="12"/>
  <c r="R14" i="13"/>
  <c r="R14" i="21"/>
  <c r="R14" i="22"/>
  <c r="R14" i="23"/>
  <c r="R14" i="24"/>
  <c r="R14" i="25"/>
  <c r="R14" i="26"/>
  <c r="R14" i="27"/>
  <c r="R14" i="28"/>
  <c r="R14" i="29"/>
  <c r="R14" i="30"/>
  <c r="R14" i="31"/>
  <c r="R14" i="32"/>
  <c r="R14" i="33"/>
  <c r="R14" i="34"/>
  <c r="R14" i="35"/>
  <c r="R14" i="36"/>
  <c r="R15" i="6"/>
  <c r="E41" s="1"/>
  <c r="E42" i="7" s="1"/>
  <c r="E42" i="8" s="1"/>
  <c r="E42" i="9" s="1"/>
  <c r="R15" i="8"/>
  <c r="R15" i="9"/>
  <c r="R15" i="10"/>
  <c r="R15" i="11"/>
  <c r="R15" i="12"/>
  <c r="R15" i="13"/>
  <c r="R15" i="21"/>
  <c r="R15" i="22"/>
  <c r="R15" i="23"/>
  <c r="R15" i="24"/>
  <c r="R15" i="25"/>
  <c r="R15" i="26"/>
  <c r="R15" i="27"/>
  <c r="R15" i="28"/>
  <c r="R15" i="29"/>
  <c r="R15" i="30"/>
  <c r="R15" i="31"/>
  <c r="R15" i="32"/>
  <c r="R15" i="33"/>
  <c r="R15" i="34"/>
  <c r="R15" i="35"/>
  <c r="R15" i="36"/>
  <c r="R18" i="6"/>
  <c r="E44" s="1"/>
  <c r="E45" i="7" s="1"/>
  <c r="E45" i="8" s="1"/>
  <c r="E45" i="9" s="1"/>
  <c r="E45" i="10" s="1"/>
  <c r="R18" i="8"/>
  <c r="R18" i="9"/>
  <c r="R18" i="10"/>
  <c r="R18" i="11"/>
  <c r="R18" i="12"/>
  <c r="R18" i="13"/>
  <c r="R18" i="21"/>
  <c r="R18" i="22"/>
  <c r="R18" i="23"/>
  <c r="R18" i="24"/>
  <c r="R18" i="25"/>
  <c r="R18" i="26"/>
  <c r="R18" i="27"/>
  <c r="R18" i="28"/>
  <c r="R18" i="29"/>
  <c r="R18" i="30"/>
  <c r="R18" i="31"/>
  <c r="R18" i="32"/>
  <c r="R18" i="33"/>
  <c r="R18" i="34"/>
  <c r="R18" i="35"/>
  <c r="R18" i="36"/>
  <c r="R19" i="6"/>
  <c r="E45" s="1"/>
  <c r="E46" i="7" s="1"/>
  <c r="R19" i="8"/>
  <c r="R19" i="9"/>
  <c r="R19" i="10"/>
  <c r="R19" i="11"/>
  <c r="R19" i="12"/>
  <c r="R19" i="13"/>
  <c r="R19" i="21"/>
  <c r="R19" i="22"/>
  <c r="R19" i="23"/>
  <c r="R19" i="24"/>
  <c r="R19" i="25"/>
  <c r="R19" i="26"/>
  <c r="R19" i="27"/>
  <c r="R19" i="28"/>
  <c r="R19" i="29"/>
  <c r="R19" i="30"/>
  <c r="R19" i="31"/>
  <c r="R19" i="32"/>
  <c r="R19" i="33"/>
  <c r="R19" i="34"/>
  <c r="R19" i="35"/>
  <c r="R19" i="36"/>
  <c r="R20" i="6"/>
  <c r="E46"/>
  <c r="E47" i="7" s="1"/>
  <c r="R20" i="8"/>
  <c r="R20" i="9"/>
  <c r="R20" i="10"/>
  <c r="R20" i="11"/>
  <c r="R20" i="12"/>
  <c r="R20" i="13"/>
  <c r="R20" i="21"/>
  <c r="R20" i="22"/>
  <c r="R20" i="23"/>
  <c r="R20" i="24"/>
  <c r="R20" i="25"/>
  <c r="R20" i="26"/>
  <c r="R20" i="27"/>
  <c r="R20" i="28"/>
  <c r="R20" i="29"/>
  <c r="R20" i="30"/>
  <c r="R20" i="31"/>
  <c r="R20" i="32"/>
  <c r="R20" i="33"/>
  <c r="R20" i="34"/>
  <c r="R20" i="35"/>
  <c r="R20" i="36"/>
  <c r="R8" i="8"/>
  <c r="R8" i="9"/>
  <c r="R8" i="10"/>
  <c r="R8" i="13"/>
  <c r="R8" i="16"/>
  <c r="R8" i="21"/>
  <c r="R8" i="22"/>
  <c r="R8" i="23"/>
  <c r="R8" i="24"/>
  <c r="R8" i="25"/>
  <c r="R8" i="26"/>
  <c r="R8" i="27"/>
  <c r="R8" i="28"/>
  <c r="R8" i="29"/>
  <c r="R8" i="30"/>
  <c r="R8" i="31"/>
  <c r="R8" i="32"/>
  <c r="R8" i="33"/>
  <c r="R8" i="34"/>
  <c r="R8" i="35"/>
  <c r="R8" i="36"/>
  <c r="R9" i="6"/>
  <c r="E35" s="1"/>
  <c r="E36" i="7" s="1"/>
  <c r="R9" i="8"/>
  <c r="R21" s="1"/>
  <c r="R9" i="9"/>
  <c r="S9" s="1"/>
  <c r="R9" i="10"/>
  <c r="R9" i="11"/>
  <c r="R9" i="12"/>
  <c r="R9" i="13"/>
  <c r="S9" s="1"/>
  <c r="R9" i="21"/>
  <c r="R9" i="22"/>
  <c r="S9" s="1"/>
  <c r="R9" i="23"/>
  <c r="R9" i="24"/>
  <c r="R9" i="25"/>
  <c r="R9" i="26"/>
  <c r="S9" s="1"/>
  <c r="R9" i="27"/>
  <c r="R9" i="28"/>
  <c r="R9" i="29"/>
  <c r="R9" i="30"/>
  <c r="S9" s="1"/>
  <c r="R9" i="31"/>
  <c r="R9" i="32"/>
  <c r="R9" i="33"/>
  <c r="R9" i="34"/>
  <c r="S9" s="1"/>
  <c r="R9" i="35"/>
  <c r="R9" i="36"/>
  <c r="R10" i="6"/>
  <c r="E36" s="1"/>
  <c r="E37" i="7" s="1"/>
  <c r="R10" i="8"/>
  <c r="R10" i="9"/>
  <c r="R10" i="10"/>
  <c r="R10" i="11"/>
  <c r="R10" i="12"/>
  <c r="R10" i="13"/>
  <c r="R10" i="21"/>
  <c r="R10" i="22"/>
  <c r="R10" i="23"/>
  <c r="R10" i="24"/>
  <c r="R10" i="25"/>
  <c r="R10" i="26"/>
  <c r="R10" i="27"/>
  <c r="R10" i="28"/>
  <c r="R10" i="29"/>
  <c r="R10" i="30"/>
  <c r="R10" i="31"/>
  <c r="R10" i="32"/>
  <c r="R10" i="33"/>
  <c r="R10" i="34"/>
  <c r="R10" i="35"/>
  <c r="R10" i="36"/>
  <c r="R12" i="6"/>
  <c r="E38"/>
  <c r="E39" i="7" s="1"/>
  <c r="R12" i="8"/>
  <c r="R12" i="9"/>
  <c r="R12" i="10"/>
  <c r="R12" i="11"/>
  <c r="R12" i="12"/>
  <c r="R12" i="13"/>
  <c r="R12" i="21"/>
  <c r="R12" i="22"/>
  <c r="R12" i="23"/>
  <c r="R12" i="24"/>
  <c r="R12" i="25"/>
  <c r="R12" i="26"/>
  <c r="R12" i="27"/>
  <c r="R12" i="28"/>
  <c r="R12" i="29"/>
  <c r="R12" i="30"/>
  <c r="R12" i="31"/>
  <c r="R12" i="32"/>
  <c r="R12" i="33"/>
  <c r="R12" i="34"/>
  <c r="R12" i="35"/>
  <c r="R12" i="36"/>
  <c r="R13" i="6"/>
  <c r="E39" s="1"/>
  <c r="E40" i="7" s="1"/>
  <c r="E40" i="8" s="1"/>
  <c r="E40" i="9" s="1"/>
  <c r="R13" i="8"/>
  <c r="R13" i="9"/>
  <c r="R13" i="10"/>
  <c r="R13" i="11"/>
  <c r="R13" i="12"/>
  <c r="R13" i="13"/>
  <c r="R13" i="21"/>
  <c r="R13" i="22"/>
  <c r="R13" i="23"/>
  <c r="R13" i="24"/>
  <c r="R13" i="25"/>
  <c r="R13" i="26"/>
  <c r="R13" i="27"/>
  <c r="R13" i="28"/>
  <c r="R13" i="29"/>
  <c r="R13" i="30"/>
  <c r="R13" i="31"/>
  <c r="R13" i="32"/>
  <c r="R21" s="1"/>
  <c r="R13" i="33"/>
  <c r="R13" i="34"/>
  <c r="R13" i="35"/>
  <c r="R13" i="36"/>
  <c r="R16" i="6"/>
  <c r="E42" s="1"/>
  <c r="E43" i="7" s="1"/>
  <c r="R16" i="8"/>
  <c r="S16" s="1"/>
  <c r="R16" i="9"/>
  <c r="R16" i="10"/>
  <c r="R16" i="11"/>
  <c r="S16" s="1"/>
  <c r="R16" i="12"/>
  <c r="S16" s="1"/>
  <c r="R16" i="13"/>
  <c r="R16" i="21"/>
  <c r="R16" i="22"/>
  <c r="R16" i="23"/>
  <c r="R16" i="24"/>
  <c r="R16" i="25"/>
  <c r="R16" i="26"/>
  <c r="R16" i="27"/>
  <c r="R16" i="28"/>
  <c r="R16" i="29"/>
  <c r="R16" i="30"/>
  <c r="R16" i="31"/>
  <c r="R16" i="32"/>
  <c r="R16" i="33"/>
  <c r="R16" i="34"/>
  <c r="R16" i="35"/>
  <c r="R16" i="36"/>
  <c r="R17" i="6"/>
  <c r="S17" s="1"/>
  <c r="R17" i="8"/>
  <c r="R17" i="9"/>
  <c r="R17" i="10"/>
  <c r="R17" i="11"/>
  <c r="R17" i="12"/>
  <c r="S17" s="1"/>
  <c r="R17" i="13"/>
  <c r="R17" i="21"/>
  <c r="R17" i="22"/>
  <c r="R17" i="23"/>
  <c r="R17" i="24"/>
  <c r="R17" i="25"/>
  <c r="R17" i="26"/>
  <c r="R17" i="27"/>
  <c r="R17" i="28"/>
  <c r="R17" i="29"/>
  <c r="R17" i="30"/>
  <c r="R17" i="31"/>
  <c r="R17" i="32"/>
  <c r="R17" i="33"/>
  <c r="R21" s="1"/>
  <c r="R17" i="34"/>
  <c r="R17" i="35"/>
  <c r="R17" i="36"/>
  <c r="Q7" i="7"/>
  <c r="Q7" i="8"/>
  <c r="Q7" i="9"/>
  <c r="Q7" i="10"/>
  <c r="Q7" i="11"/>
  <c r="Q7" i="12"/>
  <c r="S7" s="1"/>
  <c r="Q7" i="13"/>
  <c r="Q7" i="14"/>
  <c r="Q7" i="16"/>
  <c r="Q7" i="17"/>
  <c r="Q7" i="18"/>
  <c r="Q7" i="19"/>
  <c r="Q7" i="20"/>
  <c r="Q7" i="21"/>
  <c r="Q7" i="22"/>
  <c r="Q7" i="23"/>
  <c r="Q7" i="24"/>
  <c r="Q7" i="25"/>
  <c r="Q7" i="26"/>
  <c r="Q7" i="27"/>
  <c r="Q7" i="28"/>
  <c r="Q7" i="29"/>
  <c r="Q7" i="30"/>
  <c r="Q7" i="31"/>
  <c r="Q7" i="32"/>
  <c r="Q7" i="33"/>
  <c r="Q7" i="34"/>
  <c r="Q7" i="35"/>
  <c r="Q7" i="36"/>
  <c r="Q8" i="6"/>
  <c r="Q8" i="7"/>
  <c r="Q8" i="8"/>
  <c r="Q8" i="9"/>
  <c r="Q8" i="10"/>
  <c r="Q8" i="11"/>
  <c r="Q8" i="12"/>
  <c r="Q8" i="13"/>
  <c r="Q8" i="14"/>
  <c r="Q8" i="16"/>
  <c r="Q8" i="17"/>
  <c r="Q8" i="18"/>
  <c r="Q8" i="19"/>
  <c r="Q8" i="20"/>
  <c r="Q8" i="21"/>
  <c r="Q8" i="22"/>
  <c r="Q8" i="23"/>
  <c r="Q8" i="24"/>
  <c r="Q8" i="25"/>
  <c r="Q8" i="26"/>
  <c r="Q8" i="27"/>
  <c r="Q8" i="28"/>
  <c r="Q8" i="29"/>
  <c r="S8" s="1"/>
  <c r="Q8" i="30"/>
  <c r="Q8" i="31"/>
  <c r="Q8" i="32"/>
  <c r="Q8" i="33"/>
  <c r="S8" s="1"/>
  <c r="Q8" i="34"/>
  <c r="Q8" i="35"/>
  <c r="Q8" i="36"/>
  <c r="Q9" i="6"/>
  <c r="Q10"/>
  <c r="Q10" i="7"/>
  <c r="Q10" i="8"/>
  <c r="Q10" i="9"/>
  <c r="Q10" i="10"/>
  <c r="Q10" i="11"/>
  <c r="Q10" i="12"/>
  <c r="Q10" i="13"/>
  <c r="Q10" i="14"/>
  <c r="Q10" i="16"/>
  <c r="Q10" i="17"/>
  <c r="Q10" i="18"/>
  <c r="Q10" i="19"/>
  <c r="Q10" i="20"/>
  <c r="Q10" i="21"/>
  <c r="Q10" i="22"/>
  <c r="Q10" i="23"/>
  <c r="Q10" i="24"/>
  <c r="Q10" i="25"/>
  <c r="Q10" i="26"/>
  <c r="Q10" i="27"/>
  <c r="Q10" i="28"/>
  <c r="Q10" i="29"/>
  <c r="Q10" i="30"/>
  <c r="Q10" i="31"/>
  <c r="Q10" i="32"/>
  <c r="Q10" i="33"/>
  <c r="Q10" i="34"/>
  <c r="Q10" i="35"/>
  <c r="Q10" i="36"/>
  <c r="Q11" i="6"/>
  <c r="Q11" i="7"/>
  <c r="Q11" i="8"/>
  <c r="Q11" i="9"/>
  <c r="Q11" i="10"/>
  <c r="Q11" i="11"/>
  <c r="Q11" i="12"/>
  <c r="Q11" i="13"/>
  <c r="Q11" i="14"/>
  <c r="Q11" i="16"/>
  <c r="Q11" i="17"/>
  <c r="Q11" i="18"/>
  <c r="Q11" i="19"/>
  <c r="Q11" i="20"/>
  <c r="Q11" i="21"/>
  <c r="Q11" i="22"/>
  <c r="Q11" i="23"/>
  <c r="Q11" i="24"/>
  <c r="S11" s="1"/>
  <c r="Q11" i="25"/>
  <c r="Q11" i="26"/>
  <c r="Q11" i="27"/>
  <c r="Q11" i="28"/>
  <c r="S11" s="1"/>
  <c r="Q11" i="29"/>
  <c r="Q11" i="30"/>
  <c r="Q11" i="31"/>
  <c r="Q11" i="32"/>
  <c r="S11" s="1"/>
  <c r="Q11" i="33"/>
  <c r="Q11" i="34"/>
  <c r="Q11" i="35"/>
  <c r="Q11" i="36"/>
  <c r="S11" s="1"/>
  <c r="Q12" i="6"/>
  <c r="Q12" i="7"/>
  <c r="Q12" i="8"/>
  <c r="S12" s="1"/>
  <c r="Q12" i="9"/>
  <c r="Q12" i="10"/>
  <c r="Q12" i="11"/>
  <c r="Q12" i="12"/>
  <c r="S12" s="1"/>
  <c r="Q12" i="13"/>
  <c r="Q12" i="14"/>
  <c r="Q12" i="16"/>
  <c r="Q12" i="17"/>
  <c r="Q12" i="18"/>
  <c r="Q12" i="19"/>
  <c r="Q12" i="20"/>
  <c r="Q12" i="21"/>
  <c r="S12" s="1"/>
  <c r="Q12" i="22"/>
  <c r="Q12" i="23"/>
  <c r="Q12" i="24"/>
  <c r="Q12" i="25"/>
  <c r="S12" s="1"/>
  <c r="Q12" i="26"/>
  <c r="Q12" i="27"/>
  <c r="Q12" i="28"/>
  <c r="Q12" i="29"/>
  <c r="S12" s="1"/>
  <c r="Q12" i="30"/>
  <c r="Q12" i="31"/>
  <c r="Q12" i="32"/>
  <c r="Q12" i="33"/>
  <c r="S12" s="1"/>
  <c r="Q12" i="34"/>
  <c r="Q12" i="35"/>
  <c r="Q12" i="36"/>
  <c r="Q13" i="6"/>
  <c r="Q13" i="7"/>
  <c r="Q13" i="8"/>
  <c r="Q13" i="9"/>
  <c r="Q13" i="10"/>
  <c r="S13" s="1"/>
  <c r="Q13" i="11"/>
  <c r="Q13" i="12"/>
  <c r="Q13" i="13"/>
  <c r="Q13" i="14"/>
  <c r="S13" s="1"/>
  <c r="Q13" i="16"/>
  <c r="Q13" i="17"/>
  <c r="Q13" i="18"/>
  <c r="Q13" i="19"/>
  <c r="S13" s="1"/>
  <c r="Q13" i="20"/>
  <c r="Q13" i="21"/>
  <c r="Q13" i="22"/>
  <c r="Q13" i="23"/>
  <c r="S13" s="1"/>
  <c r="Q13" i="24"/>
  <c r="Q13" i="25"/>
  <c r="Q13" i="26"/>
  <c r="Q13" i="28"/>
  <c r="Q13" i="29"/>
  <c r="Q13" i="30"/>
  <c r="Q13" i="31"/>
  <c r="Q13" i="32"/>
  <c r="Q13" i="33"/>
  <c r="Q13" i="34"/>
  <c r="Q13" i="35"/>
  <c r="Q13" i="36"/>
  <c r="Q14" i="6"/>
  <c r="Q14" i="7"/>
  <c r="Q14" i="8"/>
  <c r="Q14" i="9"/>
  <c r="Q14" i="10"/>
  <c r="Q14" i="11"/>
  <c r="Q14" i="12"/>
  <c r="Q14" i="13"/>
  <c r="Q14" i="14"/>
  <c r="Q14" i="16"/>
  <c r="Q14" i="17"/>
  <c r="Q14" i="18"/>
  <c r="Q14" i="19"/>
  <c r="Q14" i="20"/>
  <c r="Q14" i="21"/>
  <c r="Q14" i="22"/>
  <c r="Q14" i="23"/>
  <c r="Q14" i="24"/>
  <c r="S14" s="1"/>
  <c r="Q14" i="25"/>
  <c r="Q14" i="26"/>
  <c r="Q14" i="27"/>
  <c r="Q14" i="28"/>
  <c r="S14" s="1"/>
  <c r="Q14" i="29"/>
  <c r="Q14" i="30"/>
  <c r="Q14" i="31"/>
  <c r="Q14" i="32"/>
  <c r="S14" s="1"/>
  <c r="Q14" i="33"/>
  <c r="Q14" i="34"/>
  <c r="Q14" i="35"/>
  <c r="Q14" i="36"/>
  <c r="S14" s="1"/>
  <c r="Q15" i="6"/>
  <c r="Q15" i="7"/>
  <c r="Q15" i="8"/>
  <c r="Q15" i="9"/>
  <c r="Q15" i="10"/>
  <c r="Q15" i="11"/>
  <c r="Q15" i="12"/>
  <c r="Q15" i="13"/>
  <c r="Q15" i="14"/>
  <c r="Q15" i="16"/>
  <c r="Q15" i="17"/>
  <c r="Q15" i="18"/>
  <c r="Q15" i="19"/>
  <c r="Q15" i="20"/>
  <c r="Q15" i="21"/>
  <c r="Q15" i="22"/>
  <c r="S15" s="1"/>
  <c r="Q15" i="23"/>
  <c r="Q15" i="24"/>
  <c r="Q15" i="25"/>
  <c r="Q15" i="26"/>
  <c r="S15" s="1"/>
  <c r="Q15" i="27"/>
  <c r="Q15" i="28"/>
  <c r="Q15" i="29"/>
  <c r="Q15" i="30"/>
  <c r="S15" s="1"/>
  <c r="Q15" i="31"/>
  <c r="Q15" i="32"/>
  <c r="Q15" i="33"/>
  <c r="Q15" i="34"/>
  <c r="S15" s="1"/>
  <c r="Q15" i="35"/>
  <c r="Q15" i="36"/>
  <c r="Q16" i="14"/>
  <c r="Q16" i="16"/>
  <c r="Q16" i="17"/>
  <c r="Q16" i="18"/>
  <c r="Q16" i="20"/>
  <c r="Q16" i="21"/>
  <c r="S16" s="1"/>
  <c r="Q16" i="22"/>
  <c r="Q16" i="23"/>
  <c r="Q16" i="24"/>
  <c r="Q16" i="25"/>
  <c r="S16" s="1"/>
  <c r="Q16" i="26"/>
  <c r="Q16" i="27"/>
  <c r="Q16" i="28"/>
  <c r="Q16" i="29"/>
  <c r="S16" s="1"/>
  <c r="Q16" i="30"/>
  <c r="Q16" i="31"/>
  <c r="Q16" i="32"/>
  <c r="Q16" i="33"/>
  <c r="S16" s="1"/>
  <c r="Q16" i="34"/>
  <c r="Q16" i="35"/>
  <c r="Q16" i="36"/>
  <c r="Q17" i="14"/>
  <c r="S17" s="1"/>
  <c r="Q17" i="16"/>
  <c r="Q17" i="17"/>
  <c r="Q17" i="18"/>
  <c r="Q17" i="20"/>
  <c r="Q17" i="21"/>
  <c r="Q17" i="22"/>
  <c r="Q17" i="23"/>
  <c r="Q17" i="24"/>
  <c r="S17" s="1"/>
  <c r="Q17" i="25"/>
  <c r="Q17" i="26"/>
  <c r="Q17" i="27"/>
  <c r="Q17" i="28"/>
  <c r="S17" s="1"/>
  <c r="Q17" i="29"/>
  <c r="Q17" i="30"/>
  <c r="Q17" i="31"/>
  <c r="Q17" i="32"/>
  <c r="S17" s="1"/>
  <c r="Q17" i="33"/>
  <c r="Q17" i="34"/>
  <c r="Q17" i="35"/>
  <c r="Q17" i="36"/>
  <c r="S17" s="1"/>
  <c r="Q18" i="6"/>
  <c r="Q18" i="7"/>
  <c r="Q18" i="8"/>
  <c r="S18" s="1"/>
  <c r="Q18" i="9"/>
  <c r="Q18" i="10"/>
  <c r="Q18" i="11"/>
  <c r="Q18" i="12"/>
  <c r="Q18" i="13"/>
  <c r="Q18" i="14"/>
  <c r="Q18" i="16"/>
  <c r="Q18" i="17"/>
  <c r="Q18" i="18"/>
  <c r="Q18" i="20"/>
  <c r="Q18" i="21"/>
  <c r="Q18" i="22"/>
  <c r="S18" s="1"/>
  <c r="Q18" i="23"/>
  <c r="Q18" i="24"/>
  <c r="S18" s="1"/>
  <c r="Q18" i="25"/>
  <c r="Q18" i="26"/>
  <c r="S18" s="1"/>
  <c r="Q18" i="27"/>
  <c r="Q18" i="28"/>
  <c r="S18" s="1"/>
  <c r="Q18" i="29"/>
  <c r="Q18" i="30"/>
  <c r="S18" s="1"/>
  <c r="Q18" i="31"/>
  <c r="Q18" i="32"/>
  <c r="S18" s="1"/>
  <c r="Q18" i="33"/>
  <c r="Q18" i="34"/>
  <c r="S18" s="1"/>
  <c r="Q18" i="35"/>
  <c r="Q18" i="36"/>
  <c r="S18" s="1"/>
  <c r="Q19" i="6"/>
  <c r="Q19" i="7"/>
  <c r="Q19" i="8"/>
  <c r="Q19" i="9"/>
  <c r="Q19" i="10"/>
  <c r="Q19" i="11"/>
  <c r="Q19" i="12"/>
  <c r="Q19" i="13"/>
  <c r="Q19" i="14"/>
  <c r="Q19" i="16"/>
  <c r="Q19" i="17"/>
  <c r="Q19" i="18"/>
  <c r="Q19" i="19"/>
  <c r="Q19" i="20"/>
  <c r="Q19" i="21"/>
  <c r="Q19" i="22"/>
  <c r="Q19" i="23"/>
  <c r="Q19" i="24"/>
  <c r="Q19" i="25"/>
  <c r="Q19" i="26"/>
  <c r="Q19" i="27"/>
  <c r="Q19" i="28"/>
  <c r="Q19" i="29"/>
  <c r="Q19" i="30"/>
  <c r="Q19" i="31"/>
  <c r="Q19" i="32"/>
  <c r="Q19" i="33"/>
  <c r="Q19" i="34"/>
  <c r="Q19" i="35"/>
  <c r="Q19" i="36"/>
  <c r="Q20" i="6"/>
  <c r="Q20" i="7"/>
  <c r="Q20" i="8"/>
  <c r="Q20" i="9"/>
  <c r="Q20" i="10"/>
  <c r="Q20" i="11"/>
  <c r="Q20" i="12"/>
  <c r="Q20" i="13"/>
  <c r="Q20" i="14"/>
  <c r="Q20" i="16"/>
  <c r="Q20" i="17"/>
  <c r="Q20" i="18"/>
  <c r="Q20" i="19"/>
  <c r="Q20" i="20"/>
  <c r="S20" s="1"/>
  <c r="Q20" i="21"/>
  <c r="S20" s="1"/>
  <c r="Q20" i="22"/>
  <c r="Q20" i="23"/>
  <c r="S20" s="1"/>
  <c r="Q20" i="24"/>
  <c r="Q20" i="25"/>
  <c r="S20" s="1"/>
  <c r="Q20" i="26"/>
  <c r="Q20" i="27"/>
  <c r="S20" s="1"/>
  <c r="Q20" i="28"/>
  <c r="Q20" i="29"/>
  <c r="S20" s="1"/>
  <c r="Q20" i="30"/>
  <c r="Q20" i="31"/>
  <c r="S20" s="1"/>
  <c r="Q20" i="32"/>
  <c r="Q20" i="33"/>
  <c r="S20" s="1"/>
  <c r="Q20" i="34"/>
  <c r="Q20" i="35"/>
  <c r="S20" s="1"/>
  <c r="Q20" i="36"/>
  <c r="S7"/>
  <c r="S7" i="35"/>
  <c r="S7" i="34"/>
  <c r="S7" i="33"/>
  <c r="S7" i="32"/>
  <c r="S7" i="31"/>
  <c r="S7" i="30"/>
  <c r="S7" i="29"/>
  <c r="S7" i="28"/>
  <c r="S7" i="27"/>
  <c r="S7" i="26"/>
  <c r="S7" i="25"/>
  <c r="S7" i="24"/>
  <c r="S7" i="23"/>
  <c r="S7" i="22"/>
  <c r="S7" i="21"/>
  <c r="S7" i="17"/>
  <c r="Q7" i="15"/>
  <c r="S7"/>
  <c r="S7" i="13"/>
  <c r="S7" i="10"/>
  <c r="S7" i="9"/>
  <c r="S7" i="8"/>
  <c r="S7" i="6"/>
  <c r="Q21" i="25"/>
  <c r="S21" s="1"/>
  <c r="Q8" i="15"/>
  <c r="Q9"/>
  <c r="Q10"/>
  <c r="Q11"/>
  <c r="Q12"/>
  <c r="Q13"/>
  <c r="Q14"/>
  <c r="Q15"/>
  <c r="Q16"/>
  <c r="Q17"/>
  <c r="Q18"/>
  <c r="Q19"/>
  <c r="Q20"/>
  <c r="Q21" i="14"/>
  <c r="S8" i="36"/>
  <c r="S9"/>
  <c r="S10"/>
  <c r="S12"/>
  <c r="S16"/>
  <c r="S19"/>
  <c r="S20"/>
  <c r="C21"/>
  <c r="E21"/>
  <c r="G21"/>
  <c r="I21"/>
  <c r="K21"/>
  <c r="M21"/>
  <c r="O21"/>
  <c r="R21"/>
  <c r="S9" i="35"/>
  <c r="S10"/>
  <c r="S12"/>
  <c r="S13"/>
  <c r="S14"/>
  <c r="S15"/>
  <c r="S17"/>
  <c r="S18"/>
  <c r="C21"/>
  <c r="E21"/>
  <c r="G21"/>
  <c r="I21"/>
  <c r="K21"/>
  <c r="M21"/>
  <c r="O21"/>
  <c r="S8" i="34"/>
  <c r="S11"/>
  <c r="S12"/>
  <c r="S13"/>
  <c r="S16"/>
  <c r="S19"/>
  <c r="S20"/>
  <c r="C21"/>
  <c r="E21"/>
  <c r="G21"/>
  <c r="I21"/>
  <c r="K21"/>
  <c r="M21"/>
  <c r="O21"/>
  <c r="R21"/>
  <c r="S9" i="33"/>
  <c r="S10"/>
  <c r="S11"/>
  <c r="S13"/>
  <c r="S14"/>
  <c r="S15"/>
  <c r="S17"/>
  <c r="S18"/>
  <c r="S19"/>
  <c r="C21"/>
  <c r="E21"/>
  <c r="G21"/>
  <c r="I21"/>
  <c r="K21"/>
  <c r="M21"/>
  <c r="O21"/>
  <c r="S8" i="32"/>
  <c r="S9"/>
  <c r="S10"/>
  <c r="S12"/>
  <c r="S16"/>
  <c r="S19"/>
  <c r="S20"/>
  <c r="C21"/>
  <c r="E21"/>
  <c r="G21"/>
  <c r="I21"/>
  <c r="K21"/>
  <c r="M21"/>
  <c r="O21"/>
  <c r="S9" i="31"/>
  <c r="S10"/>
  <c r="S12"/>
  <c r="S13"/>
  <c r="S14"/>
  <c r="S15"/>
  <c r="S16"/>
  <c r="S17"/>
  <c r="S18"/>
  <c r="C21"/>
  <c r="E21"/>
  <c r="G21"/>
  <c r="I21"/>
  <c r="K21"/>
  <c r="M21"/>
  <c r="O21"/>
  <c r="S8" i="30"/>
  <c r="S11"/>
  <c r="S12"/>
  <c r="S13"/>
  <c r="S16"/>
  <c r="S19"/>
  <c r="S20"/>
  <c r="C21"/>
  <c r="E21"/>
  <c r="G21"/>
  <c r="I21"/>
  <c r="K21"/>
  <c r="M21"/>
  <c r="O21"/>
  <c r="R21"/>
  <c r="S9" i="29"/>
  <c r="S10"/>
  <c r="S11"/>
  <c r="S13"/>
  <c r="S14"/>
  <c r="S15"/>
  <c r="S17"/>
  <c r="S18"/>
  <c r="S19"/>
  <c r="C21"/>
  <c r="E21"/>
  <c r="G21"/>
  <c r="I21"/>
  <c r="K21"/>
  <c r="M21"/>
  <c r="O21"/>
  <c r="R21"/>
  <c r="S8" i="28"/>
  <c r="S9"/>
  <c r="S10"/>
  <c r="S12"/>
  <c r="S16"/>
  <c r="S19"/>
  <c r="S20"/>
  <c r="C21"/>
  <c r="E21"/>
  <c r="G21"/>
  <c r="I21"/>
  <c r="K21"/>
  <c r="M21"/>
  <c r="O21"/>
  <c r="R21"/>
  <c r="S9" i="27"/>
  <c r="S10"/>
  <c r="S12"/>
  <c r="S13"/>
  <c r="S14"/>
  <c r="S15"/>
  <c r="S16"/>
  <c r="S17"/>
  <c r="S18"/>
  <c r="C21"/>
  <c r="E21"/>
  <c r="G21"/>
  <c r="I21"/>
  <c r="K21"/>
  <c r="M21"/>
  <c r="O21"/>
  <c r="S8" i="26"/>
  <c r="S11"/>
  <c r="S12"/>
  <c r="S13"/>
  <c r="S16"/>
  <c r="S19"/>
  <c r="S20"/>
  <c r="C21"/>
  <c r="E21"/>
  <c r="G21"/>
  <c r="I21"/>
  <c r="K21"/>
  <c r="M21"/>
  <c r="O21"/>
  <c r="R21"/>
  <c r="S8" i="25"/>
  <c r="S9"/>
  <c r="S10"/>
  <c r="S11"/>
  <c r="S13"/>
  <c r="S14"/>
  <c r="S15"/>
  <c r="S17"/>
  <c r="S18"/>
  <c r="S19"/>
  <c r="C21"/>
  <c r="E21"/>
  <c r="G21"/>
  <c r="I21"/>
  <c r="K21"/>
  <c r="M21"/>
  <c r="O21"/>
  <c r="R21"/>
  <c r="S8" i="24"/>
  <c r="S9"/>
  <c r="S10"/>
  <c r="S12"/>
  <c r="S16"/>
  <c r="S19"/>
  <c r="S20"/>
  <c r="C21"/>
  <c r="E21"/>
  <c r="G21"/>
  <c r="I21"/>
  <c r="K21"/>
  <c r="M21"/>
  <c r="O21"/>
  <c r="R21"/>
  <c r="S9" i="23"/>
  <c r="S10"/>
  <c r="S12"/>
  <c r="S14"/>
  <c r="S15"/>
  <c r="S16"/>
  <c r="S17"/>
  <c r="S18"/>
  <c r="C21"/>
  <c r="E21"/>
  <c r="G21"/>
  <c r="I21"/>
  <c r="K21"/>
  <c r="M21"/>
  <c r="O21"/>
  <c r="S8" i="22"/>
  <c r="S11"/>
  <c r="S12"/>
  <c r="S13"/>
  <c r="S16"/>
  <c r="S19"/>
  <c r="S20"/>
  <c r="C21"/>
  <c r="E21"/>
  <c r="G21"/>
  <c r="I21"/>
  <c r="K21"/>
  <c r="M21"/>
  <c r="O21"/>
  <c r="R21"/>
  <c r="S8" i="21"/>
  <c r="S9"/>
  <c r="S10"/>
  <c r="S11"/>
  <c r="S13"/>
  <c r="S14"/>
  <c r="S15"/>
  <c r="S17"/>
  <c r="S18"/>
  <c r="S19"/>
  <c r="C21"/>
  <c r="E21"/>
  <c r="G21"/>
  <c r="I21"/>
  <c r="K21"/>
  <c r="M21"/>
  <c r="O21"/>
  <c r="R21"/>
  <c r="R7" i="20"/>
  <c r="R8"/>
  <c r="S8"/>
  <c r="R9"/>
  <c r="S9" s="1"/>
  <c r="R10"/>
  <c r="S10"/>
  <c r="R11"/>
  <c r="S11" s="1"/>
  <c r="R12"/>
  <c r="S12"/>
  <c r="R13"/>
  <c r="S13" s="1"/>
  <c r="R14"/>
  <c r="S14"/>
  <c r="R15"/>
  <c r="S15" s="1"/>
  <c r="R16"/>
  <c r="S16"/>
  <c r="R17"/>
  <c r="S17" s="1"/>
  <c r="R18"/>
  <c r="S18"/>
  <c r="R19"/>
  <c r="S19" s="1"/>
  <c r="R20"/>
  <c r="C21"/>
  <c r="E21"/>
  <c r="G21"/>
  <c r="I21"/>
  <c r="K21"/>
  <c r="M21"/>
  <c r="O21"/>
  <c r="R7" i="19"/>
  <c r="S7" s="1"/>
  <c r="R8"/>
  <c r="S8" s="1"/>
  <c r="R9"/>
  <c r="S9"/>
  <c r="R10"/>
  <c r="S10" s="1"/>
  <c r="R11"/>
  <c r="S11"/>
  <c r="R12"/>
  <c r="S12" s="1"/>
  <c r="R13"/>
  <c r="R14"/>
  <c r="S14" s="1"/>
  <c r="R15"/>
  <c r="S15"/>
  <c r="R16"/>
  <c r="S16" s="1"/>
  <c r="R17"/>
  <c r="S17"/>
  <c r="R18"/>
  <c r="S18" s="1"/>
  <c r="R19"/>
  <c r="S19"/>
  <c r="R20"/>
  <c r="S20" s="1"/>
  <c r="C21"/>
  <c r="E21"/>
  <c r="G21"/>
  <c r="I21"/>
  <c r="K21"/>
  <c r="M21"/>
  <c r="O21"/>
  <c r="R7" i="18"/>
  <c r="S7" s="1"/>
  <c r="R8"/>
  <c r="S8" s="1"/>
  <c r="R9"/>
  <c r="S9" s="1"/>
  <c r="R10"/>
  <c r="S10" s="1"/>
  <c r="R11"/>
  <c r="S11" s="1"/>
  <c r="R12"/>
  <c r="S12" s="1"/>
  <c r="R13"/>
  <c r="S13" s="1"/>
  <c r="R14"/>
  <c r="S14" s="1"/>
  <c r="R15"/>
  <c r="S15"/>
  <c r="R16"/>
  <c r="S16" s="1"/>
  <c r="R17"/>
  <c r="S17"/>
  <c r="R18"/>
  <c r="S18" s="1"/>
  <c r="R19"/>
  <c r="S19"/>
  <c r="R20"/>
  <c r="S20" s="1"/>
  <c r="C21"/>
  <c r="E21"/>
  <c r="G21"/>
  <c r="I21"/>
  <c r="K21"/>
  <c r="M21"/>
  <c r="O21"/>
  <c r="R8" i="17"/>
  <c r="S8" s="1"/>
  <c r="R9"/>
  <c r="S9" s="1"/>
  <c r="R10"/>
  <c r="S10" s="1"/>
  <c r="R11"/>
  <c r="S11"/>
  <c r="R12"/>
  <c r="R13"/>
  <c r="S13" s="1"/>
  <c r="R14"/>
  <c r="S14" s="1"/>
  <c r="R15"/>
  <c r="S15" s="1"/>
  <c r="R16"/>
  <c r="S16" s="1"/>
  <c r="R17"/>
  <c r="S17" s="1"/>
  <c r="R18"/>
  <c r="S18" s="1"/>
  <c r="R19"/>
  <c r="S19"/>
  <c r="R20"/>
  <c r="S20" s="1"/>
  <c r="C21"/>
  <c r="E21"/>
  <c r="G21"/>
  <c r="I21"/>
  <c r="K21"/>
  <c r="M21"/>
  <c r="O21"/>
  <c r="S8" i="16"/>
  <c r="R9"/>
  <c r="S9" s="1"/>
  <c r="R10"/>
  <c r="S10" s="1"/>
  <c r="R11"/>
  <c r="S11" s="1"/>
  <c r="R12"/>
  <c r="S12" s="1"/>
  <c r="R13"/>
  <c r="S13" s="1"/>
  <c r="R14"/>
  <c r="S14" s="1"/>
  <c r="R15"/>
  <c r="S15" s="1"/>
  <c r="R16"/>
  <c r="S16" s="1"/>
  <c r="R17"/>
  <c r="S17" s="1"/>
  <c r="R18"/>
  <c r="S18" s="1"/>
  <c r="R19"/>
  <c r="S19" s="1"/>
  <c r="R20"/>
  <c r="S20"/>
  <c r="C21"/>
  <c r="E21"/>
  <c r="G21"/>
  <c r="I21"/>
  <c r="K21"/>
  <c r="M21"/>
  <c r="O21"/>
  <c r="R8" i="15"/>
  <c r="S8" s="1"/>
  <c r="R9"/>
  <c r="S9"/>
  <c r="R10"/>
  <c r="S10" s="1"/>
  <c r="R11"/>
  <c r="S11" s="1"/>
  <c r="R12"/>
  <c r="S12" s="1"/>
  <c r="R13"/>
  <c r="S13"/>
  <c r="R14"/>
  <c r="S14" s="1"/>
  <c r="R15"/>
  <c r="S15" s="1"/>
  <c r="R16"/>
  <c r="S16" s="1"/>
  <c r="R17"/>
  <c r="S17"/>
  <c r="R18"/>
  <c r="S18" s="1"/>
  <c r="R19"/>
  <c r="R20"/>
  <c r="S20" s="1"/>
  <c r="C21"/>
  <c r="E21"/>
  <c r="G21"/>
  <c r="I21"/>
  <c r="K21"/>
  <c r="M21"/>
  <c r="O21"/>
  <c r="S8" i="14"/>
  <c r="S11"/>
  <c r="S12"/>
  <c r="S16"/>
  <c r="S18"/>
  <c r="S19"/>
  <c r="S20"/>
  <c r="C21"/>
  <c r="E21"/>
  <c r="G21"/>
  <c r="I21"/>
  <c r="K21"/>
  <c r="M21"/>
  <c r="O21"/>
  <c r="S8" i="13"/>
  <c r="S11"/>
  <c r="S13"/>
  <c r="S16"/>
  <c r="S17"/>
  <c r="S18"/>
  <c r="S20"/>
  <c r="C21"/>
  <c r="E21"/>
  <c r="G21"/>
  <c r="I21"/>
  <c r="K21"/>
  <c r="M21"/>
  <c r="O21"/>
  <c r="S8" i="12"/>
  <c r="S10"/>
  <c r="S13"/>
  <c r="S14"/>
  <c r="S15"/>
  <c r="S18"/>
  <c r="C21"/>
  <c r="E21"/>
  <c r="G21"/>
  <c r="I21"/>
  <c r="K21"/>
  <c r="M21"/>
  <c r="O21"/>
  <c r="S8" i="11"/>
  <c r="S9"/>
  <c r="S10"/>
  <c r="S12"/>
  <c r="S14"/>
  <c r="S15"/>
  <c r="S17"/>
  <c r="S18"/>
  <c r="S20"/>
  <c r="C21"/>
  <c r="E21"/>
  <c r="G21"/>
  <c r="I21"/>
  <c r="K21"/>
  <c r="M21"/>
  <c r="O21"/>
  <c r="S11" i="10"/>
  <c r="S12"/>
  <c r="S16"/>
  <c r="S17"/>
  <c r="S18"/>
  <c r="S19"/>
  <c r="S20"/>
  <c r="C21"/>
  <c r="E21"/>
  <c r="G21"/>
  <c r="I21"/>
  <c r="K21"/>
  <c r="M21"/>
  <c r="O21"/>
  <c r="R21"/>
  <c r="S8" i="9"/>
  <c r="S11"/>
  <c r="S13"/>
  <c r="S16"/>
  <c r="S17"/>
  <c r="S18"/>
  <c r="S19"/>
  <c r="S20"/>
  <c r="C21"/>
  <c r="E21"/>
  <c r="G21"/>
  <c r="I21"/>
  <c r="K21"/>
  <c r="M21"/>
  <c r="O21"/>
  <c r="R21"/>
  <c r="S8" i="8"/>
  <c r="S10"/>
  <c r="S13"/>
  <c r="S14"/>
  <c r="S15"/>
  <c r="S17"/>
  <c r="C21"/>
  <c r="E21"/>
  <c r="G21"/>
  <c r="I21"/>
  <c r="K21"/>
  <c r="M21"/>
  <c r="O21"/>
  <c r="R8" i="7"/>
  <c r="S8" s="1"/>
  <c r="R9"/>
  <c r="S9" s="1"/>
  <c r="R10"/>
  <c r="S10"/>
  <c r="R11"/>
  <c r="S11" s="1"/>
  <c r="R12"/>
  <c r="S12"/>
  <c r="R13"/>
  <c r="S13" s="1"/>
  <c r="R14"/>
  <c r="S14" s="1"/>
  <c r="R15"/>
  <c r="S15" s="1"/>
  <c r="R16"/>
  <c r="S16" s="1"/>
  <c r="R17"/>
  <c r="S17" s="1"/>
  <c r="R18"/>
  <c r="S18"/>
  <c r="R19"/>
  <c r="S19" s="1"/>
  <c r="R20"/>
  <c r="S20" s="1"/>
  <c r="C21"/>
  <c r="E21"/>
  <c r="G21"/>
  <c r="I21"/>
  <c r="K21"/>
  <c r="M21"/>
  <c r="O21"/>
  <c r="S8" i="6"/>
  <c r="S9"/>
  <c r="S10"/>
  <c r="S12"/>
  <c r="S14"/>
  <c r="S15"/>
  <c r="S19"/>
  <c r="S20"/>
  <c r="C21"/>
  <c r="E21"/>
  <c r="G21"/>
  <c r="I21"/>
  <c r="K21"/>
  <c r="M21"/>
  <c r="O21"/>
  <c r="E21" i="5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H3" i="37"/>
  <c r="H3" i="7"/>
  <c r="H3" i="6"/>
  <c r="H3" i="10" s="1"/>
  <c r="H3" i="28"/>
  <c r="H3" i="34"/>
  <c r="C43" i="7"/>
  <c r="C43" i="8" s="1"/>
  <c r="C43" i="9" s="1"/>
  <c r="C43" i="10" s="1"/>
  <c r="C43" i="11" s="1"/>
  <c r="C43" i="12" s="1"/>
  <c r="C43" i="13" s="1"/>
  <c r="C43" i="14" s="1"/>
  <c r="C43" i="15" s="1"/>
  <c r="C43" i="16" s="1"/>
  <c r="C42" i="17" s="1"/>
  <c r="C43" i="18" s="1"/>
  <c r="C43" i="19" s="1"/>
  <c r="C43" i="20" s="1"/>
  <c r="C43" i="21" s="1"/>
  <c r="C43" i="22" s="1"/>
  <c r="C43" i="23" s="1"/>
  <c r="C43" i="24" s="1"/>
  <c r="C43" i="25" s="1"/>
  <c r="C43" i="26" s="1"/>
  <c r="C43" i="27" s="1"/>
  <c r="C43" i="28" s="1"/>
  <c r="C42" i="29" s="1"/>
  <c r="C43" i="30" s="1"/>
  <c r="C43" i="31" s="1"/>
  <c r="C43" i="32" s="1"/>
  <c r="C43" i="33" s="1"/>
  <c r="C43" i="34" s="1"/>
  <c r="C43" i="35" s="1"/>
  <c r="C43" i="36" s="1"/>
  <c r="R21" i="19"/>
  <c r="E46" i="38"/>
  <c r="E42"/>
  <c r="E38"/>
  <c r="E41" i="37"/>
  <c r="E46"/>
  <c r="E45"/>
  <c r="E40"/>
  <c r="E37"/>
  <c r="R21" i="15"/>
  <c r="S19"/>
  <c r="S17" i="34" l="1"/>
  <c r="S17" i="30"/>
  <c r="S17" i="26"/>
  <c r="S17" i="22"/>
  <c r="S13" i="24"/>
  <c r="S19" i="11"/>
  <c r="S15" i="36"/>
  <c r="S15" i="32"/>
  <c r="S15" i="28"/>
  <c r="S15" i="24"/>
  <c r="S11" i="6"/>
  <c r="S12" i="37"/>
  <c r="C46"/>
  <c r="C46" i="6" s="1"/>
  <c r="C47" i="7" s="1"/>
  <c r="C47" i="8" s="1"/>
  <c r="C47" i="9" s="1"/>
  <c r="C47" i="10" s="1"/>
  <c r="C47" i="11" s="1"/>
  <c r="C47" i="12" s="1"/>
  <c r="C47" i="13" s="1"/>
  <c r="C47" i="14" s="1"/>
  <c r="C47" i="15" s="1"/>
  <c r="C47" i="16" s="1"/>
  <c r="C46" i="17" s="1"/>
  <c r="C47" i="18" s="1"/>
  <c r="C47" i="19" s="1"/>
  <c r="C47" i="20" s="1"/>
  <c r="C47" i="21" s="1"/>
  <c r="C47" i="22" s="1"/>
  <c r="C47" i="23" s="1"/>
  <c r="C47" i="24" s="1"/>
  <c r="C47" i="25" s="1"/>
  <c r="C47" i="26" s="1"/>
  <c r="C47" i="27" s="1"/>
  <c r="C47" i="28" s="1"/>
  <c r="C46" i="29" s="1"/>
  <c r="C47" i="30" s="1"/>
  <c r="C47" i="31" s="1"/>
  <c r="C47" i="32" s="1"/>
  <c r="C47" i="33" s="1"/>
  <c r="C47" i="34" s="1"/>
  <c r="C47" i="35" s="1"/>
  <c r="C47" i="36" s="1"/>
  <c r="C44" i="37"/>
  <c r="C44" i="6" s="1"/>
  <c r="C45" i="7" s="1"/>
  <c r="C43" i="37"/>
  <c r="C43" i="6" s="1"/>
  <c r="C44" i="7" s="1"/>
  <c r="C44" i="8" s="1"/>
  <c r="C44" i="9" s="1"/>
  <c r="C44" i="10" s="1"/>
  <c r="C44" i="11" s="1"/>
  <c r="C44" i="12" s="1"/>
  <c r="C44" i="13" s="1"/>
  <c r="C44" i="14" s="1"/>
  <c r="C44" i="15" s="1"/>
  <c r="C44" i="16" s="1"/>
  <c r="C43" i="17" s="1"/>
  <c r="C44" i="18" s="1"/>
  <c r="C44" i="19" s="1"/>
  <c r="C44" i="20" s="1"/>
  <c r="C44" i="21" s="1"/>
  <c r="C44" i="22" s="1"/>
  <c r="C44" i="23" s="1"/>
  <c r="C44" i="24" s="1"/>
  <c r="C44" i="25" s="1"/>
  <c r="C44" i="26" s="1"/>
  <c r="C44" i="27" s="1"/>
  <c r="C44" i="28" s="1"/>
  <c r="C43" i="29" s="1"/>
  <c r="C44" i="30" s="1"/>
  <c r="C44" i="31" s="1"/>
  <c r="C44" i="32" s="1"/>
  <c r="C44" i="33" s="1"/>
  <c r="C44" i="34" s="1"/>
  <c r="C44" i="35" s="1"/>
  <c r="C44" i="36" s="1"/>
  <c r="C40" i="37"/>
  <c r="C40" i="6" s="1"/>
  <c r="C41" i="7" s="1"/>
  <c r="C41" i="8" s="1"/>
  <c r="C41" i="9" s="1"/>
  <c r="C41" i="10" s="1"/>
  <c r="C41" i="11" s="1"/>
  <c r="C41" i="12" s="1"/>
  <c r="C41" i="13" s="1"/>
  <c r="C41" i="14" s="1"/>
  <c r="C41" i="15" s="1"/>
  <c r="C41" i="16" s="1"/>
  <c r="C40" i="17" s="1"/>
  <c r="C41" i="18" s="1"/>
  <c r="C41" i="19" s="1"/>
  <c r="C41" i="20" s="1"/>
  <c r="C41" i="21" s="1"/>
  <c r="C41" i="22" s="1"/>
  <c r="C41" i="23" s="1"/>
  <c r="C41" i="24" s="1"/>
  <c r="C41" i="25" s="1"/>
  <c r="C41" i="26" s="1"/>
  <c r="C41" i="27" s="1"/>
  <c r="C41" i="28" s="1"/>
  <c r="C40" i="29" s="1"/>
  <c r="C41" i="30" s="1"/>
  <c r="C41" i="31" s="1"/>
  <c r="C41" i="32" s="1"/>
  <c r="C41" i="33" s="1"/>
  <c r="C41" i="34" s="1"/>
  <c r="C41" i="35" s="1"/>
  <c r="C41" i="36" s="1"/>
  <c r="Q21" i="17"/>
  <c r="S12" i="13"/>
  <c r="S12" i="9"/>
  <c r="S10" i="13"/>
  <c r="S10" i="9"/>
  <c r="S8" i="10"/>
  <c r="S20" i="12"/>
  <c r="S20" i="8"/>
  <c r="S19" i="35"/>
  <c r="S19" i="31"/>
  <c r="S19" i="27"/>
  <c r="S19" i="23"/>
  <c r="S19" i="12"/>
  <c r="S19" i="8"/>
  <c r="S15" i="10"/>
  <c r="S14" i="13"/>
  <c r="S14" i="9"/>
  <c r="S11" i="35"/>
  <c r="S11" i="31"/>
  <c r="S11" i="27"/>
  <c r="S11" i="23"/>
  <c r="S11" i="12"/>
  <c r="S11" i="8"/>
  <c r="S7" i="7"/>
  <c r="S7" i="11"/>
  <c r="S15" i="37"/>
  <c r="S19" i="38"/>
  <c r="S11"/>
  <c r="S7"/>
  <c r="C38" i="7"/>
  <c r="C38" i="8" s="1"/>
  <c r="C38" i="9" s="1"/>
  <c r="C38" i="10" s="1"/>
  <c r="C38" i="11" s="1"/>
  <c r="C38" i="12" s="1"/>
  <c r="C38" i="13" s="1"/>
  <c r="C38" i="14" s="1"/>
  <c r="C38" i="15" s="1"/>
  <c r="C38" i="16" s="1"/>
  <c r="C37" i="17" s="1"/>
  <c r="C38" i="18" s="1"/>
  <c r="C38" i="19" s="1"/>
  <c r="C38" i="20" s="1"/>
  <c r="C38" i="21" s="1"/>
  <c r="C38" i="22" s="1"/>
  <c r="C38" i="23" s="1"/>
  <c r="C38" i="24" s="1"/>
  <c r="C38" i="25" s="1"/>
  <c r="C38" i="26" s="1"/>
  <c r="C38" i="27" s="1"/>
  <c r="C38" i="28" s="1"/>
  <c r="C37" i="29" s="1"/>
  <c r="C38" i="30" s="1"/>
  <c r="C38" i="31" s="1"/>
  <c r="C38" i="32" s="1"/>
  <c r="C38" i="33" s="1"/>
  <c r="C38" i="34" s="1"/>
  <c r="C38" i="35" s="1"/>
  <c r="C38" i="36" s="1"/>
  <c r="Q21" i="7"/>
  <c r="S16" i="35"/>
  <c r="S13" i="11"/>
  <c r="S10" i="10"/>
  <c r="S19" i="13"/>
  <c r="S14" i="10"/>
  <c r="S7" i="14"/>
  <c r="S15"/>
  <c r="C45" i="37"/>
  <c r="C45" i="6" s="1"/>
  <c r="C46" i="7" s="1"/>
  <c r="C46" i="8" s="1"/>
  <c r="C46" i="9" s="1"/>
  <c r="C46" i="10" s="1"/>
  <c r="C46" i="11" s="1"/>
  <c r="C46" i="12" s="1"/>
  <c r="C46" i="13" s="1"/>
  <c r="C46" i="14" s="1"/>
  <c r="C46" i="15" s="1"/>
  <c r="C46" i="16" s="1"/>
  <c r="C45" i="17" s="1"/>
  <c r="C46" i="18" s="1"/>
  <c r="C46" i="19" s="1"/>
  <c r="C46" i="20" s="1"/>
  <c r="C46" i="21" s="1"/>
  <c r="C46" i="22" s="1"/>
  <c r="C46" i="23" s="1"/>
  <c r="C46" i="24" s="1"/>
  <c r="C46" i="25" s="1"/>
  <c r="C46" i="26" s="1"/>
  <c r="C46" i="27" s="1"/>
  <c r="C46" i="28" s="1"/>
  <c r="C45" i="29" s="1"/>
  <c r="C46" i="30" s="1"/>
  <c r="C46" i="31" s="1"/>
  <c r="C46" i="32" s="1"/>
  <c r="C46" i="33" s="1"/>
  <c r="C46" i="34" s="1"/>
  <c r="C46" i="35" s="1"/>
  <c r="C46" i="36" s="1"/>
  <c r="C40" i="7"/>
  <c r="C40" i="8" s="1"/>
  <c r="C40" i="9" s="1"/>
  <c r="C40" i="10" s="1"/>
  <c r="C40" i="11" s="1"/>
  <c r="C40" i="12" s="1"/>
  <c r="C40" i="13" s="1"/>
  <c r="C40" i="14" s="1"/>
  <c r="C40" i="15" s="1"/>
  <c r="C40" i="16" s="1"/>
  <c r="C39" i="17" s="1"/>
  <c r="C40" i="18" s="1"/>
  <c r="C40" i="19" s="1"/>
  <c r="C40" i="20" s="1"/>
  <c r="C40" i="21" s="1"/>
  <c r="C40" i="22" s="1"/>
  <c r="C40" i="23" s="1"/>
  <c r="C40" i="24" s="1"/>
  <c r="C40" i="25" s="1"/>
  <c r="C40" i="26" s="1"/>
  <c r="C40" i="27" s="1"/>
  <c r="C40" i="28" s="1"/>
  <c r="C39" i="29" s="1"/>
  <c r="C40" i="30" s="1"/>
  <c r="C40" i="31" s="1"/>
  <c r="C40" i="32" s="1"/>
  <c r="C40" i="33" s="1"/>
  <c r="C40" i="34" s="1"/>
  <c r="C40" i="35" s="1"/>
  <c r="C40" i="36" s="1"/>
  <c r="H3" i="23"/>
  <c r="S14" i="34"/>
  <c r="S14" i="30"/>
  <c r="S14" i="26"/>
  <c r="S14" i="22"/>
  <c r="S10" i="14"/>
  <c r="S14"/>
  <c r="C42" i="7"/>
  <c r="C42" i="8" s="1"/>
  <c r="C42" i="9" s="1"/>
  <c r="C42" i="10" s="1"/>
  <c r="C42" i="11" s="1"/>
  <c r="C42" i="12" s="1"/>
  <c r="C42" i="13" s="1"/>
  <c r="C42" i="14" s="1"/>
  <c r="C42" i="15" s="1"/>
  <c r="C42" i="16" s="1"/>
  <c r="C41" i="17" s="1"/>
  <c r="C42" i="18" s="1"/>
  <c r="C42" i="19" s="1"/>
  <c r="C42" i="20" s="1"/>
  <c r="C42" i="21" s="1"/>
  <c r="C42" i="22" s="1"/>
  <c r="C42" i="23" s="1"/>
  <c r="C42" i="24" s="1"/>
  <c r="C42" i="25" s="1"/>
  <c r="C42" i="26" s="1"/>
  <c r="C42" i="27" s="1"/>
  <c r="C42" i="28" s="1"/>
  <c r="C41" i="29" s="1"/>
  <c r="C42" i="30" s="1"/>
  <c r="C42" i="31" s="1"/>
  <c r="C42" i="32" s="1"/>
  <c r="C42" i="33" s="1"/>
  <c r="C42" i="34" s="1"/>
  <c r="C42" i="35" s="1"/>
  <c r="C42" i="36" s="1"/>
  <c r="C37" i="7"/>
  <c r="C37" i="8" s="1"/>
  <c r="C37" i="9" s="1"/>
  <c r="C37" i="10" s="1"/>
  <c r="C37" i="11" s="1"/>
  <c r="C37" i="12" s="1"/>
  <c r="C37" i="13" s="1"/>
  <c r="C37" i="14" s="1"/>
  <c r="C37" i="15" s="1"/>
  <c r="C37" i="16" s="1"/>
  <c r="C36" i="17" s="1"/>
  <c r="C37" i="18" s="1"/>
  <c r="C37" i="19" s="1"/>
  <c r="C37" i="20" s="1"/>
  <c r="C37" i="21" s="1"/>
  <c r="C37" i="22" s="1"/>
  <c r="C37" i="23" s="1"/>
  <c r="C37" i="24" s="1"/>
  <c r="C37" i="25" s="1"/>
  <c r="C37" i="26" s="1"/>
  <c r="C37" i="27" s="1"/>
  <c r="C37" i="28" s="1"/>
  <c r="C36" i="29" s="1"/>
  <c r="C37" i="30" s="1"/>
  <c r="C37" i="31" s="1"/>
  <c r="C37" i="32" s="1"/>
  <c r="C37" i="33" s="1"/>
  <c r="C37" i="34" s="1"/>
  <c r="C37" i="35" s="1"/>
  <c r="C37" i="36" s="1"/>
  <c r="R21" i="14"/>
  <c r="R21" i="13"/>
  <c r="S9" i="12"/>
  <c r="E45" i="11"/>
  <c r="E45" i="12" s="1"/>
  <c r="E45" i="13" s="1"/>
  <c r="E45" i="14" s="1"/>
  <c r="E45" i="15" s="1"/>
  <c r="E45" i="16" s="1"/>
  <c r="E44" i="17" s="1"/>
  <c r="E45" i="18" s="1"/>
  <c r="E45" i="19" s="1"/>
  <c r="E45" i="20" s="1"/>
  <c r="E45" i="21" s="1"/>
  <c r="E45" i="22" s="1"/>
  <c r="E45" i="23" s="1"/>
  <c r="E45" i="24" s="1"/>
  <c r="E45" i="25" s="1"/>
  <c r="E45" i="26" s="1"/>
  <c r="E45" i="27" s="1"/>
  <c r="E45" i="28" s="1"/>
  <c r="E44" i="29" s="1"/>
  <c r="E45" i="30" s="1"/>
  <c r="E45" i="31" s="1"/>
  <c r="E45" i="32" s="1"/>
  <c r="E45" i="33" s="1"/>
  <c r="E45" i="34" s="1"/>
  <c r="E45" i="35" s="1"/>
  <c r="E45" i="36" s="1"/>
  <c r="R21" i="11"/>
  <c r="E42" i="10"/>
  <c r="E42" i="11" s="1"/>
  <c r="E42" i="12" s="1"/>
  <c r="E42" i="13" s="1"/>
  <c r="E42" i="14" s="1"/>
  <c r="E42" i="15" s="1"/>
  <c r="E42" i="16" s="1"/>
  <c r="E41" i="17" s="1"/>
  <c r="E42" i="18" s="1"/>
  <c r="E42" i="19" s="1"/>
  <c r="E42" i="20" s="1"/>
  <c r="E42" i="21" s="1"/>
  <c r="E42" i="22" s="1"/>
  <c r="E42" i="23" s="1"/>
  <c r="E42" i="24" s="1"/>
  <c r="E42" i="25" s="1"/>
  <c r="E42" i="26" s="1"/>
  <c r="E42" i="27" s="1"/>
  <c r="E42" i="28" s="1"/>
  <c r="E41" i="29" s="1"/>
  <c r="E42" i="30" s="1"/>
  <c r="E42" i="31" s="1"/>
  <c r="E42" i="32" s="1"/>
  <c r="E42" i="33" s="1"/>
  <c r="E42" i="34" s="1"/>
  <c r="E42" i="35" s="1"/>
  <c r="E42" i="36" s="1"/>
  <c r="S9" i="10"/>
  <c r="E35"/>
  <c r="E35" i="11" s="1"/>
  <c r="E35" i="12" s="1"/>
  <c r="E35" i="13" s="1"/>
  <c r="E35" i="14" s="1"/>
  <c r="E35" i="15" s="1"/>
  <c r="E35" i="16" s="1"/>
  <c r="E34" i="17" s="1"/>
  <c r="E35" i="18" s="1"/>
  <c r="E35" i="19" s="1"/>
  <c r="E35" i="20" s="1"/>
  <c r="E35" i="21" s="1"/>
  <c r="E35" i="22" s="1"/>
  <c r="E35" i="23" s="1"/>
  <c r="E35" i="24" s="1"/>
  <c r="E35" i="25" s="1"/>
  <c r="E35" i="26" s="1"/>
  <c r="E35" i="27" s="1"/>
  <c r="E35" i="28" s="1"/>
  <c r="E34" i="29" s="1"/>
  <c r="E35" i="30" s="1"/>
  <c r="E35" i="31" s="1"/>
  <c r="E35" i="32" s="1"/>
  <c r="E35" i="33" s="1"/>
  <c r="E35" i="34" s="1"/>
  <c r="E35" i="35" s="1"/>
  <c r="E35" i="36" s="1"/>
  <c r="E40" i="10"/>
  <c r="E40" i="11" s="1"/>
  <c r="E40" i="12" s="1"/>
  <c r="E40" i="13" s="1"/>
  <c r="E40" i="14" s="1"/>
  <c r="E40" i="15" s="1"/>
  <c r="E40" i="16" s="1"/>
  <c r="E39" i="17" s="1"/>
  <c r="E40" i="18" s="1"/>
  <c r="E40" i="19" s="1"/>
  <c r="E40" i="20" s="1"/>
  <c r="E40" i="21" s="1"/>
  <c r="E40" i="22" s="1"/>
  <c r="E40" i="23" s="1"/>
  <c r="E40" i="24" s="1"/>
  <c r="E40" i="25" s="1"/>
  <c r="E40" i="26" s="1"/>
  <c r="E40" i="27" s="1"/>
  <c r="E40" i="28" s="1"/>
  <c r="E39" i="29" s="1"/>
  <c r="E40" i="30" s="1"/>
  <c r="E40" i="31" s="1"/>
  <c r="E40" i="32" s="1"/>
  <c r="E40" i="33" s="1"/>
  <c r="E40" i="34" s="1"/>
  <c r="E40" i="35" s="1"/>
  <c r="E40" i="36" s="1"/>
  <c r="E39" i="8"/>
  <c r="E39" i="9" s="1"/>
  <c r="E39" i="10" s="1"/>
  <c r="E39" i="11" s="1"/>
  <c r="E39" i="12" s="1"/>
  <c r="E39" i="13" s="1"/>
  <c r="E39" i="14" s="1"/>
  <c r="E39" i="15" s="1"/>
  <c r="E39" i="16" s="1"/>
  <c r="E38" i="17" s="1"/>
  <c r="E39" i="18" s="1"/>
  <c r="E39" i="19" s="1"/>
  <c r="E39" i="20" s="1"/>
  <c r="E39" i="21" s="1"/>
  <c r="E39" i="22" s="1"/>
  <c r="E39" i="23" s="1"/>
  <c r="E39" i="24" s="1"/>
  <c r="E39" i="25" s="1"/>
  <c r="E39" i="26" s="1"/>
  <c r="E39" i="27" s="1"/>
  <c r="E39" i="28" s="1"/>
  <c r="E38" i="29" s="1"/>
  <c r="E39" i="30" s="1"/>
  <c r="E39" i="31" s="1"/>
  <c r="E39" i="32" s="1"/>
  <c r="E39" i="33" s="1"/>
  <c r="E39" i="34" s="1"/>
  <c r="E39" i="35" s="1"/>
  <c r="E39" i="36" s="1"/>
  <c r="E37" i="8"/>
  <c r="E37" i="9" s="1"/>
  <c r="E37" i="10" s="1"/>
  <c r="E37" i="11" s="1"/>
  <c r="E37" i="12" s="1"/>
  <c r="E37" i="13" s="1"/>
  <c r="E37" i="14" s="1"/>
  <c r="E37" i="15" s="1"/>
  <c r="E37" i="16" s="1"/>
  <c r="E36" i="17" s="1"/>
  <c r="E37" i="18" s="1"/>
  <c r="E37" i="19" s="1"/>
  <c r="E37" i="20" s="1"/>
  <c r="E37" i="21" s="1"/>
  <c r="E37" i="22" s="1"/>
  <c r="E37" i="23" s="1"/>
  <c r="E37" i="24" s="1"/>
  <c r="E37" i="25" s="1"/>
  <c r="E37" i="26" s="1"/>
  <c r="E37" i="27" s="1"/>
  <c r="E37" i="28" s="1"/>
  <c r="E36" i="29" s="1"/>
  <c r="E37" i="30" s="1"/>
  <c r="E37" i="31" s="1"/>
  <c r="E37" i="32" s="1"/>
  <c r="E37" i="33" s="1"/>
  <c r="E37" i="34" s="1"/>
  <c r="E37" i="35" s="1"/>
  <c r="E37" i="36" s="1"/>
  <c r="E41" i="8"/>
  <c r="E41" i="9" s="1"/>
  <c r="E41" i="10" s="1"/>
  <c r="E41" i="11" s="1"/>
  <c r="E41" i="12" s="1"/>
  <c r="E41" i="13" s="1"/>
  <c r="E41" i="14" s="1"/>
  <c r="E41" i="15" s="1"/>
  <c r="E41" i="16" s="1"/>
  <c r="E40" i="17" s="1"/>
  <c r="E41" i="18" s="1"/>
  <c r="E41" i="19" s="1"/>
  <c r="E41" i="20" s="1"/>
  <c r="E41" i="21" s="1"/>
  <c r="E41" i="22" s="1"/>
  <c r="E41" i="23" s="1"/>
  <c r="E41" i="24" s="1"/>
  <c r="E41" i="25" s="1"/>
  <c r="E41" i="26" s="1"/>
  <c r="E41" i="27" s="1"/>
  <c r="E41" i="28" s="1"/>
  <c r="E40" i="29" s="1"/>
  <c r="E41" i="30" s="1"/>
  <c r="E41" i="31" s="1"/>
  <c r="E41" i="32" s="1"/>
  <c r="E41" i="33" s="1"/>
  <c r="E41" i="34" s="1"/>
  <c r="E41" i="35" s="1"/>
  <c r="E41" i="36" s="1"/>
  <c r="S9" i="8"/>
  <c r="E36"/>
  <c r="E36" i="9" s="1"/>
  <c r="E36" i="10" s="1"/>
  <c r="E36" i="11" s="1"/>
  <c r="E36" i="12" s="1"/>
  <c r="E36" i="13" s="1"/>
  <c r="E36" i="14" s="1"/>
  <c r="E36" i="15" s="1"/>
  <c r="E36" i="16" s="1"/>
  <c r="E35" i="17" s="1"/>
  <c r="E36" i="18" s="1"/>
  <c r="E36" i="19" s="1"/>
  <c r="E36" i="20" s="1"/>
  <c r="E36" i="21" s="1"/>
  <c r="E36" i="22" s="1"/>
  <c r="E36" i="23" s="1"/>
  <c r="E36" i="24" s="1"/>
  <c r="E36" i="25" s="1"/>
  <c r="E36" i="26" s="1"/>
  <c r="E36" i="27" s="1"/>
  <c r="E36" i="28" s="1"/>
  <c r="E35" i="29" s="1"/>
  <c r="E36" i="30" s="1"/>
  <c r="E36" i="31" s="1"/>
  <c r="E36" i="32" s="1"/>
  <c r="E36" i="33" s="1"/>
  <c r="E36" i="34" s="1"/>
  <c r="E36" i="35" s="1"/>
  <c r="E36" i="36" s="1"/>
  <c r="E47" i="8"/>
  <c r="E47" i="9" s="1"/>
  <c r="E47" i="10" s="1"/>
  <c r="E47" i="11" s="1"/>
  <c r="E47" i="12" s="1"/>
  <c r="E47" i="13" s="1"/>
  <c r="E47" i="14" s="1"/>
  <c r="E47" i="15" s="1"/>
  <c r="E47" i="16" s="1"/>
  <c r="E46" i="17" s="1"/>
  <c r="E47" i="18" s="1"/>
  <c r="E47" i="19" s="1"/>
  <c r="E47" i="20" s="1"/>
  <c r="E47" i="21" s="1"/>
  <c r="E47" i="22" s="1"/>
  <c r="E47" i="23" s="1"/>
  <c r="E47" i="24" s="1"/>
  <c r="E47" i="25" s="1"/>
  <c r="E47" i="26" s="1"/>
  <c r="E47" i="27" s="1"/>
  <c r="E47" i="28" s="1"/>
  <c r="E46" i="29" s="1"/>
  <c r="E47" i="30" s="1"/>
  <c r="E47" i="31" s="1"/>
  <c r="E47" i="32" s="1"/>
  <c r="E47" i="33" s="1"/>
  <c r="E47" i="34" s="1"/>
  <c r="E47" i="35" s="1"/>
  <c r="E47" i="36" s="1"/>
  <c r="E46" i="8"/>
  <c r="E46" i="9" s="1"/>
  <c r="E46" i="10" s="1"/>
  <c r="E43" i="6"/>
  <c r="E44" i="7" s="1"/>
  <c r="E44" i="8" s="1"/>
  <c r="E44" i="9" s="1"/>
  <c r="E44" i="10" s="1"/>
  <c r="E44" i="11" s="1"/>
  <c r="E44" i="12" s="1"/>
  <c r="E44" i="13" s="1"/>
  <c r="E44" i="14" s="1"/>
  <c r="E44" i="15" s="1"/>
  <c r="E44" i="16" s="1"/>
  <c r="E43" i="17" s="1"/>
  <c r="E44" i="18" s="1"/>
  <c r="E44" i="19" s="1"/>
  <c r="E44" i="20" s="1"/>
  <c r="E44" i="21" s="1"/>
  <c r="E44" i="22" s="1"/>
  <c r="E44" i="23" s="1"/>
  <c r="E44" i="24" s="1"/>
  <c r="E44" i="25" s="1"/>
  <c r="E44" i="26" s="1"/>
  <c r="E44" i="27" s="1"/>
  <c r="E44" i="28" s="1"/>
  <c r="E43" i="29" s="1"/>
  <c r="E44" i="30" s="1"/>
  <c r="E44" i="31" s="1"/>
  <c r="E44" i="32" s="1"/>
  <c r="E44" i="33" s="1"/>
  <c r="E44" i="34" s="1"/>
  <c r="E44" i="35" s="1"/>
  <c r="E44" i="36" s="1"/>
  <c r="E33" i="6"/>
  <c r="E34" i="7" s="1"/>
  <c r="E37" i="6"/>
  <c r="E38" i="7" s="1"/>
  <c r="E38" i="8" s="1"/>
  <c r="E38" i="9" s="1"/>
  <c r="E38" i="10" s="1"/>
  <c r="E38" i="11" s="1"/>
  <c r="E38" i="12" s="1"/>
  <c r="E38" i="13" s="1"/>
  <c r="E38" i="14" s="1"/>
  <c r="E38" i="15" s="1"/>
  <c r="E38" i="16" s="1"/>
  <c r="E37" i="17" s="1"/>
  <c r="E38" i="18" s="1"/>
  <c r="E38" i="19" s="1"/>
  <c r="E38" i="20" s="1"/>
  <c r="E38" i="21" s="1"/>
  <c r="E38" i="22" s="1"/>
  <c r="E38" i="23" s="1"/>
  <c r="E38" i="24" s="1"/>
  <c r="E38" i="25" s="1"/>
  <c r="E38" i="26" s="1"/>
  <c r="E38" i="27" s="1"/>
  <c r="E38" i="28" s="1"/>
  <c r="E37" i="29" s="1"/>
  <c r="E38" i="30" s="1"/>
  <c r="E38" i="31" s="1"/>
  <c r="E38" i="32" s="1"/>
  <c r="E38" i="33" s="1"/>
  <c r="E38" i="34" s="1"/>
  <c r="E38" i="35" s="1"/>
  <c r="E38" i="36" s="1"/>
  <c r="S18" i="6"/>
  <c r="S13"/>
  <c r="S16"/>
  <c r="S7" i="37"/>
  <c r="E33"/>
  <c r="E42"/>
  <c r="S10"/>
  <c r="S19"/>
  <c r="H3" i="18"/>
  <c r="H3" i="12"/>
  <c r="H3" i="35"/>
  <c r="H3" i="24"/>
  <c r="H3" i="14"/>
  <c r="H3" i="32"/>
  <c r="H3" i="27"/>
  <c r="H3" i="22"/>
  <c r="H3" i="16"/>
  <c r="H3" i="11"/>
  <c r="H3" i="30"/>
  <c r="H3" i="19"/>
  <c r="H3" i="8"/>
  <c r="H3" i="36"/>
  <c r="H3" i="31"/>
  <c r="H3" i="26"/>
  <c r="H3" i="20"/>
  <c r="H3" i="15"/>
  <c r="S8" i="35"/>
  <c r="R21"/>
  <c r="S8" i="31"/>
  <c r="R21"/>
  <c r="S8" i="27"/>
  <c r="R21"/>
  <c r="S8" i="23"/>
  <c r="R21"/>
  <c r="S13" i="28"/>
  <c r="R21" i="16"/>
  <c r="E40" i="38"/>
  <c r="C39" i="8"/>
  <c r="C39" i="9" s="1"/>
  <c r="C39" i="10" s="1"/>
  <c r="C39" i="11" s="1"/>
  <c r="C39" i="12" s="1"/>
  <c r="C39" i="13" s="1"/>
  <c r="C39" i="14" s="1"/>
  <c r="C39" i="15" s="1"/>
  <c r="C39" i="16" s="1"/>
  <c r="C38" i="17" s="1"/>
  <c r="C39" i="18" s="1"/>
  <c r="C39" i="19" s="1"/>
  <c r="C39" i="20" s="1"/>
  <c r="C39" i="21" s="1"/>
  <c r="C39" i="22" s="1"/>
  <c r="C39" i="23" s="1"/>
  <c r="C39" i="24" s="1"/>
  <c r="C39" i="25" s="1"/>
  <c r="C39" i="26" s="1"/>
  <c r="C39" i="27" s="1"/>
  <c r="C39" i="28" s="1"/>
  <c r="C38" i="29" s="1"/>
  <c r="C39" i="30" s="1"/>
  <c r="C39" i="31" s="1"/>
  <c r="C39" i="32" s="1"/>
  <c r="C39" i="33" s="1"/>
  <c r="C39" i="34" s="1"/>
  <c r="C39" i="35" s="1"/>
  <c r="C39" i="36" s="1"/>
  <c r="R21" i="7"/>
  <c r="S21" s="1"/>
  <c r="Q21" i="29"/>
  <c r="S21" s="1"/>
  <c r="S15" i="9"/>
  <c r="Q21" i="37"/>
  <c r="S21" s="1"/>
  <c r="C33"/>
  <c r="R21" i="20"/>
  <c r="S7"/>
  <c r="S11" i="11"/>
  <c r="Q21"/>
  <c r="S13" i="36"/>
  <c r="E44" i="38"/>
  <c r="S12" i="17"/>
  <c r="Q21" i="10"/>
  <c r="S21" s="1"/>
  <c r="Q21" i="15"/>
  <c r="S21" s="1"/>
  <c r="Q21" i="21"/>
  <c r="S21" s="1"/>
  <c r="Q21" i="35"/>
  <c r="Q21" i="31"/>
  <c r="Q21" i="27"/>
  <c r="Q21" i="23"/>
  <c r="Q21" i="19"/>
  <c r="S21" s="1"/>
  <c r="E43" i="8"/>
  <c r="E43" i="9" s="1"/>
  <c r="E43" i="10" s="1"/>
  <c r="E43" i="11" s="1"/>
  <c r="E43" i="12" s="1"/>
  <c r="E43" i="13" s="1"/>
  <c r="E43" i="14" s="1"/>
  <c r="E43" i="15" s="1"/>
  <c r="E43" i="16" s="1"/>
  <c r="E42" i="17" s="1"/>
  <c r="E43" i="18" s="1"/>
  <c r="E43" i="19" s="1"/>
  <c r="E43" i="20" s="1"/>
  <c r="E43" i="21" s="1"/>
  <c r="E43" i="22" s="1"/>
  <c r="E43" i="23" s="1"/>
  <c r="E43" i="24" s="1"/>
  <c r="E43" i="25" s="1"/>
  <c r="E43" i="26" s="1"/>
  <c r="E43" i="27" s="1"/>
  <c r="E43" i="28" s="1"/>
  <c r="E42" i="29" s="1"/>
  <c r="E43" i="30" s="1"/>
  <c r="E43" i="31" s="1"/>
  <c r="E43" i="32" s="1"/>
  <c r="E43" i="33" s="1"/>
  <c r="E43" i="34" s="1"/>
  <c r="E43" i="35" s="1"/>
  <c r="E43" i="36" s="1"/>
  <c r="S10" i="34"/>
  <c r="S10" i="30"/>
  <c r="S10" i="26"/>
  <c r="S10" i="22"/>
  <c r="C36" i="10"/>
  <c r="C36" i="11" s="1"/>
  <c r="C36" i="12" s="1"/>
  <c r="C36" i="13" s="1"/>
  <c r="C36" i="14" s="1"/>
  <c r="C36" i="15" s="1"/>
  <c r="C36" i="16" s="1"/>
  <c r="C35" i="17" s="1"/>
  <c r="C36" i="18" s="1"/>
  <c r="C36" i="19" s="1"/>
  <c r="C36" i="20" s="1"/>
  <c r="C36" i="21" s="1"/>
  <c r="C36" i="22" s="1"/>
  <c r="C36" i="23" s="1"/>
  <c r="C36" i="24" s="1"/>
  <c r="C36" i="25" s="1"/>
  <c r="C36" i="26" s="1"/>
  <c r="C36" i="27" s="1"/>
  <c r="C36" i="28" s="1"/>
  <c r="C35" i="29" s="1"/>
  <c r="C36" i="30" s="1"/>
  <c r="C36" i="31" s="1"/>
  <c r="C36" i="32" s="1"/>
  <c r="C36" i="33" s="1"/>
  <c r="C36" i="34" s="1"/>
  <c r="C36" i="35" s="1"/>
  <c r="C36" i="36" s="1"/>
  <c r="C34" i="37"/>
  <c r="C34" i="6" s="1"/>
  <c r="C35" i="7" s="1"/>
  <c r="C35" i="8" s="1"/>
  <c r="C35" i="9" s="1"/>
  <c r="C35" i="10" s="1"/>
  <c r="C35" i="11" s="1"/>
  <c r="C35" i="12" s="1"/>
  <c r="C35" i="13" s="1"/>
  <c r="C35" i="14" s="1"/>
  <c r="C35" i="15" s="1"/>
  <c r="C35" i="16" s="1"/>
  <c r="C34" i="17" s="1"/>
  <c r="C35" i="18" s="1"/>
  <c r="C35" i="19" s="1"/>
  <c r="C35" i="20" s="1"/>
  <c r="C35" i="21" s="1"/>
  <c r="C35" i="22" s="1"/>
  <c r="C35" i="23" s="1"/>
  <c r="C35" i="24" s="1"/>
  <c r="C35" i="25" s="1"/>
  <c r="C35" i="26" s="1"/>
  <c r="C35" i="27" s="1"/>
  <c r="C35" i="28" s="1"/>
  <c r="C34" i="29" s="1"/>
  <c r="C35" i="30" s="1"/>
  <c r="C35" i="31" s="1"/>
  <c r="C35" i="32" s="1"/>
  <c r="C35" i="33" s="1"/>
  <c r="C35" i="34" s="1"/>
  <c r="C35" i="35" s="1"/>
  <c r="C35" i="36" s="1"/>
  <c r="E36" i="38"/>
  <c r="S10"/>
  <c r="H3" i="9"/>
  <c r="H3" i="13"/>
  <c r="H3" i="17"/>
  <c r="H3" i="21"/>
  <c r="H3" i="25"/>
  <c r="H3" i="29"/>
  <c r="H3" i="33"/>
  <c r="S7" i="16"/>
  <c r="Q21"/>
  <c r="R21" i="38"/>
  <c r="S8"/>
  <c r="Q21" i="8"/>
  <c r="S21" s="1"/>
  <c r="S13" i="32"/>
  <c r="C45" i="8"/>
  <c r="C45" i="9" s="1"/>
  <c r="C45" i="10" s="1"/>
  <c r="C45" i="11" s="1"/>
  <c r="C45" i="12" s="1"/>
  <c r="C45" i="13" s="1"/>
  <c r="C45" i="14" s="1"/>
  <c r="C45" i="15" s="1"/>
  <c r="C45" i="16" s="1"/>
  <c r="C44" i="17" s="1"/>
  <c r="C45" i="18" s="1"/>
  <c r="C45" i="19" s="1"/>
  <c r="C45" i="20" s="1"/>
  <c r="C45" i="21" s="1"/>
  <c r="C45" i="22" s="1"/>
  <c r="C45" i="23" s="1"/>
  <c r="C45" i="24" s="1"/>
  <c r="C45" i="25" s="1"/>
  <c r="C45" i="26" s="1"/>
  <c r="C45" i="27" s="1"/>
  <c r="C45" i="28" s="1"/>
  <c r="C44" i="29" s="1"/>
  <c r="C45" i="30" s="1"/>
  <c r="C45" i="31" s="1"/>
  <c r="C45" i="32" s="1"/>
  <c r="C45" i="33" s="1"/>
  <c r="C45" i="34" s="1"/>
  <c r="C45" i="35" s="1"/>
  <c r="C45" i="36" s="1"/>
  <c r="S21" i="14"/>
  <c r="R21" i="18"/>
  <c r="Q21" i="33"/>
  <c r="Q21" i="6"/>
  <c r="S21" s="1"/>
  <c r="Q21" i="34"/>
  <c r="S21" s="1"/>
  <c r="Q21" i="30"/>
  <c r="S21" s="1"/>
  <c r="Q21" i="26"/>
  <c r="S21" s="1"/>
  <c r="Q21" i="22"/>
  <c r="S21" s="1"/>
  <c r="Q21" i="18"/>
  <c r="Q21" i="13"/>
  <c r="Q21" i="9"/>
  <c r="S21" s="1"/>
  <c r="Q21" i="36"/>
  <c r="S21" s="1"/>
  <c r="Q21" i="32"/>
  <c r="S21" s="1"/>
  <c r="Q21" i="28"/>
  <c r="S21" s="1"/>
  <c r="Q21" i="24"/>
  <c r="S21" s="1"/>
  <c r="Q21" i="20"/>
  <c r="S21" i="33"/>
  <c r="E46" i="11"/>
  <c r="E46" i="12" s="1"/>
  <c r="E46" i="13" s="1"/>
  <c r="E46" i="14" s="1"/>
  <c r="E46" i="15" s="1"/>
  <c r="E46" i="16" s="1"/>
  <c r="E45" i="17" s="1"/>
  <c r="E46" i="18" s="1"/>
  <c r="E46" i="19" s="1"/>
  <c r="E46" i="20" s="1"/>
  <c r="E46" i="21" s="1"/>
  <c r="E46" i="22" s="1"/>
  <c r="E46" i="23" s="1"/>
  <c r="E46" i="24" s="1"/>
  <c r="E46" i="25" s="1"/>
  <c r="E46" i="26" s="1"/>
  <c r="E46" i="27" s="1"/>
  <c r="E46" i="28" s="1"/>
  <c r="E45" i="29" s="1"/>
  <c r="E46" i="30" s="1"/>
  <c r="E46" i="31" s="1"/>
  <c r="E46" i="32" s="1"/>
  <c r="E46" i="33" s="1"/>
  <c r="E46" i="34" s="1"/>
  <c r="E46" i="35" s="1"/>
  <c r="E46" i="36" s="1"/>
  <c r="S15" i="13"/>
  <c r="R21" i="17"/>
  <c r="S21" s="1"/>
  <c r="E45" i="38"/>
  <c r="E37"/>
  <c r="E33"/>
  <c r="S15"/>
  <c r="S9"/>
  <c r="Q21" i="12"/>
  <c r="S21" s="1"/>
  <c r="S21" i="18" l="1"/>
  <c r="S21" i="27"/>
  <c r="S21" i="23"/>
  <c r="S21" i="31"/>
  <c r="S21" i="13"/>
  <c r="S21" i="11"/>
  <c r="C33" i="6"/>
  <c r="C47" i="37"/>
  <c r="S21" i="20"/>
  <c r="S21" i="35"/>
  <c r="S21" i="16"/>
  <c r="E47" i="38"/>
  <c r="S21"/>
  <c r="E48" i="7"/>
  <c r="E34" i="8"/>
  <c r="E34" i="9" l="1"/>
  <c r="E48" i="8"/>
  <c r="C47" i="6"/>
  <c r="C34" i="7"/>
  <c r="C34" i="8" l="1"/>
  <c r="C48" i="7"/>
  <c r="E48" i="9"/>
  <c r="E34" i="10"/>
  <c r="E34" i="11" l="1"/>
  <c r="E48" i="10"/>
  <c r="C34" i="9"/>
  <c r="C48" i="8"/>
  <c r="E34" i="12" l="1"/>
  <c r="E48" i="11"/>
  <c r="C34" i="10"/>
  <c r="C48" i="9"/>
  <c r="C34" i="11" l="1"/>
  <c r="C48" i="10"/>
  <c r="E34" i="13"/>
  <c r="E48" i="12"/>
  <c r="E34" i="14" l="1"/>
  <c r="E48" i="13"/>
  <c r="C34" i="12"/>
  <c r="C48" i="11"/>
  <c r="C48" i="12" l="1"/>
  <c r="C34" i="13"/>
  <c r="E34" i="15"/>
  <c r="E48" i="14"/>
  <c r="E34" i="16" l="1"/>
  <c r="E48" i="15"/>
  <c r="C34" i="14"/>
  <c r="C48" i="13"/>
  <c r="C34" i="15" l="1"/>
  <c r="C48" i="14"/>
  <c r="E48" i="16"/>
  <c r="E33" i="17"/>
  <c r="E34" i="18" l="1"/>
  <c r="E47" i="17"/>
  <c r="C48" i="15"/>
  <c r="C34" i="16"/>
  <c r="C48" l="1"/>
  <c r="C33" i="17"/>
  <c r="E34" i="19"/>
  <c r="E48" i="18"/>
  <c r="C34" l="1"/>
  <c r="C47" i="17"/>
  <c r="E48" i="19"/>
  <c r="E34" i="20"/>
  <c r="E48" l="1"/>
  <c r="E34" i="21"/>
  <c r="C48" i="18"/>
  <c r="C34" i="19"/>
  <c r="C34" i="20" l="1"/>
  <c r="C48" i="19"/>
  <c r="E34" i="22"/>
  <c r="E48" i="21"/>
  <c r="C48" i="20" l="1"/>
  <c r="C34" i="21"/>
  <c r="E48" i="22"/>
  <c r="E34" i="23"/>
  <c r="E48" l="1"/>
  <c r="E34" i="24"/>
  <c r="C34" i="22"/>
  <c r="C48" i="21"/>
  <c r="E48" i="24" l="1"/>
  <c r="E34" i="25"/>
  <c r="C48" i="22"/>
  <c r="C34" i="23"/>
  <c r="C34" i="24" l="1"/>
  <c r="C48" i="23"/>
  <c r="E34" i="26"/>
  <c r="E48" i="25"/>
  <c r="C48" i="24" l="1"/>
  <c r="C34" i="25"/>
  <c r="E48" i="26"/>
  <c r="E34" i="27"/>
  <c r="E34" i="28" l="1"/>
  <c r="E48" i="27"/>
  <c r="C34" i="26"/>
  <c r="C48" i="25"/>
  <c r="E48" i="28" l="1"/>
  <c r="E33" i="29"/>
  <c r="C48" i="26"/>
  <c r="C34" i="27"/>
  <c r="C34" i="28" l="1"/>
  <c r="C48" i="27"/>
  <c r="E47" i="29"/>
  <c r="E34" i="30"/>
  <c r="E48" l="1"/>
  <c r="E34" i="31"/>
  <c r="C48" i="28"/>
  <c r="C33" i="29"/>
  <c r="C47" l="1"/>
  <c r="C34" i="30"/>
  <c r="E34" i="32"/>
  <c r="E48" i="31"/>
  <c r="C34" l="1"/>
  <c r="C48" i="30"/>
  <c r="E48" i="32"/>
  <c r="E34" i="33"/>
  <c r="E48" l="1"/>
  <c r="E34" i="34"/>
  <c r="C34" i="32"/>
  <c r="C48" i="31"/>
  <c r="E48" i="34" l="1"/>
  <c r="E34" i="35"/>
  <c r="C48" i="32"/>
  <c r="C34" i="33"/>
  <c r="C48" l="1"/>
  <c r="C34" i="34"/>
  <c r="E48" i="35"/>
  <c r="E34" i="36"/>
  <c r="E48" s="1"/>
  <c r="C34" i="35" l="1"/>
  <c r="C48" i="34"/>
  <c r="C34" i="36" l="1"/>
  <c r="C48" s="1"/>
  <c r="C48" i="35"/>
</calcChain>
</file>

<file path=xl/sharedStrings.xml><?xml version="1.0" encoding="utf-8"?>
<sst xmlns="http://schemas.openxmlformats.org/spreadsheetml/2006/main" count="2456" uniqueCount="56">
  <si>
    <t>Uke:</t>
  </si>
  <si>
    <t>Kvalitet</t>
  </si>
  <si>
    <t>Mandag</t>
  </si>
  <si>
    <t>Tirsdag</t>
  </si>
  <si>
    <t>Onsdag</t>
  </si>
  <si>
    <t>Torsdag</t>
  </si>
  <si>
    <t>Fredag</t>
  </si>
  <si>
    <t>Lørdag</t>
  </si>
  <si>
    <t>Søndag</t>
  </si>
  <si>
    <t>Sum</t>
  </si>
  <si>
    <t>Plan</t>
  </si>
  <si>
    <t>ok</t>
  </si>
  <si>
    <t>Trent</t>
  </si>
  <si>
    <t>Aerob</t>
  </si>
  <si>
    <t>Anaerob</t>
  </si>
  <si>
    <t>Maks.styrke</t>
  </si>
  <si>
    <t>Uth.styrke</t>
  </si>
  <si>
    <t>Spenst</t>
  </si>
  <si>
    <t>Hurtighet</t>
  </si>
  <si>
    <t>Koordinasjon</t>
  </si>
  <si>
    <t>Bevegelighet</t>
  </si>
  <si>
    <t>Rekreasjon</t>
  </si>
  <si>
    <t>Kontinuerlig</t>
  </si>
  <si>
    <t>Intervall</t>
  </si>
  <si>
    <t>Tungt</t>
  </si>
  <si>
    <t>Eksplosivt</t>
  </si>
  <si>
    <t>Sirkel</t>
  </si>
  <si>
    <t>Lokalt</t>
  </si>
  <si>
    <t>Generell</t>
  </si>
  <si>
    <t>Sub.maks.</t>
  </si>
  <si>
    <t>Form</t>
  </si>
  <si>
    <t>Feedback</t>
  </si>
  <si>
    <t>Uker:</t>
  </si>
  <si>
    <t>Diff.</t>
  </si>
  <si>
    <t>SUM</t>
  </si>
  <si>
    <t>Skidager</t>
  </si>
  <si>
    <t>AKKUMULERT</t>
  </si>
  <si>
    <t>Barm:</t>
  </si>
  <si>
    <t>Utholdenhet</t>
  </si>
  <si>
    <t>Alt.trening</t>
  </si>
  <si>
    <t>Test</t>
  </si>
  <si>
    <t>Utholdenhet(vedl.)</t>
  </si>
  <si>
    <t>Vedlikehold</t>
  </si>
  <si>
    <t>Grunnstyrke</t>
  </si>
  <si>
    <t>Utholdenhet (int)</t>
  </si>
  <si>
    <t>Maks.vedlikehold</t>
  </si>
  <si>
    <t>Rennforberedende</t>
  </si>
  <si>
    <t>Hurtighet/spenst</t>
  </si>
  <si>
    <t>Medisinsk sjekk</t>
  </si>
  <si>
    <t>Hurtighet/spenst (vedl.)</t>
  </si>
  <si>
    <t>Kontinuerli</t>
  </si>
  <si>
    <t>Navn:</t>
  </si>
  <si>
    <t>Tester</t>
  </si>
  <si>
    <t>16-48</t>
  </si>
  <si>
    <t>Vg2-Vg3</t>
  </si>
  <si>
    <t>TRENINGSDAGBOK-HOVDEN SKIGYMNAS, 2012-2013: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</si>
</sst>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1" fillId="0" borderId="10" xfId="0" applyFont="1" applyBorder="1"/>
    <xf numFmtId="0" fontId="1" fillId="3" borderId="0" xfId="0" applyFont="1" applyFill="1"/>
    <xf numFmtId="0" fontId="0" fillId="3" borderId="0" xfId="0" applyFill="1"/>
    <xf numFmtId="0" fontId="0" fillId="0" borderId="0" xfId="0" applyFill="1" applyBorder="1"/>
    <xf numFmtId="0" fontId="0" fillId="2" borderId="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4" borderId="10" xfId="0" applyFill="1" applyBorder="1"/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1" fillId="5" borderId="15" xfId="0" applyFont="1" applyFill="1" applyBorder="1"/>
    <xf numFmtId="0" fontId="0" fillId="5" borderId="16" xfId="0" applyFill="1" applyBorder="1"/>
    <xf numFmtId="0" fontId="1" fillId="5" borderId="17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/>
    <xf numFmtId="0" fontId="0" fillId="5" borderId="8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5" xfId="0" applyFill="1" applyBorder="1"/>
    <xf numFmtId="0" fontId="0" fillId="2" borderId="24" xfId="0" applyFill="1" applyBorder="1"/>
    <xf numFmtId="0" fontId="1" fillId="5" borderId="25" xfId="0" applyFont="1" applyFill="1" applyBorder="1"/>
    <xf numFmtId="0" fontId="1" fillId="5" borderId="26" xfId="0" applyFont="1" applyFill="1" applyBorder="1"/>
    <xf numFmtId="0" fontId="0" fillId="5" borderId="18" xfId="0" applyFill="1" applyBorder="1"/>
    <xf numFmtId="0" fontId="1" fillId="5" borderId="3" xfId="0" applyFont="1" applyFill="1" applyBorder="1"/>
    <xf numFmtId="0" fontId="0" fillId="5" borderId="27" xfId="0" applyFill="1" applyBorder="1"/>
    <xf numFmtId="0" fontId="1" fillId="5" borderId="28" xfId="0" applyFont="1" applyFill="1" applyBorder="1"/>
    <xf numFmtId="0" fontId="1" fillId="5" borderId="29" xfId="0" applyFont="1" applyFill="1" applyBorder="1"/>
    <xf numFmtId="0" fontId="1" fillId="5" borderId="30" xfId="0" applyFont="1" applyFill="1" applyBorder="1"/>
    <xf numFmtId="0" fontId="0" fillId="2" borderId="31" xfId="0" applyFill="1" applyBorder="1"/>
    <xf numFmtId="0" fontId="0" fillId="5" borderId="32" xfId="0" applyFill="1" applyBorder="1"/>
    <xf numFmtId="0" fontId="0" fillId="2" borderId="33" xfId="0" applyFill="1" applyBorder="1"/>
    <xf numFmtId="0" fontId="0" fillId="0" borderId="34" xfId="0" applyBorder="1"/>
    <xf numFmtId="0" fontId="0" fillId="0" borderId="35" xfId="0" applyBorder="1"/>
    <xf numFmtId="0" fontId="0" fillId="0" borderId="12" xfId="0" applyBorder="1"/>
    <xf numFmtId="0" fontId="0" fillId="0" borderId="10" xfId="0" applyBorder="1"/>
    <xf numFmtId="0" fontId="1" fillId="5" borderId="36" xfId="0" applyFont="1" applyFill="1" applyBorder="1"/>
    <xf numFmtId="0" fontId="1" fillId="5" borderId="0" xfId="0" applyFont="1" applyFill="1" applyBorder="1"/>
    <xf numFmtId="0" fontId="0" fillId="0" borderId="31" xfId="0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Protection="1">
      <protection locked="0"/>
    </xf>
    <xf numFmtId="0" fontId="0" fillId="0" borderId="0" xfId="0" applyFill="1"/>
    <xf numFmtId="0" fontId="1" fillId="5" borderId="37" xfId="0" applyFont="1" applyFill="1" applyBorder="1"/>
    <xf numFmtId="0" fontId="0" fillId="3" borderId="8" xfId="0" applyFill="1" applyBorder="1"/>
    <xf numFmtId="0" fontId="0" fillId="3" borderId="22" xfId="0" applyFill="1" applyBorder="1"/>
    <xf numFmtId="0" fontId="0" fillId="3" borderId="38" xfId="0" applyFill="1" applyBorder="1"/>
    <xf numFmtId="0" fontId="0" fillId="3" borderId="9" xfId="0" applyFill="1" applyBorder="1"/>
    <xf numFmtId="0" fontId="0" fillId="3" borderId="27" xfId="0" applyFill="1" applyBorder="1"/>
    <xf numFmtId="0" fontId="1" fillId="3" borderId="8" xfId="0" applyFont="1" applyFill="1" applyBorder="1"/>
    <xf numFmtId="0" fontId="0" fillId="3" borderId="39" xfId="0" applyFill="1" applyBorder="1"/>
    <xf numFmtId="0" fontId="0" fillId="3" borderId="40" xfId="0" applyFill="1" applyBorder="1"/>
    <xf numFmtId="0" fontId="1" fillId="3" borderId="41" xfId="0" applyFont="1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1" fillId="3" borderId="22" xfId="0" applyFont="1" applyFill="1" applyBorder="1"/>
    <xf numFmtId="0" fontId="0" fillId="0" borderId="45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28" xfId="0" applyBorder="1" applyProtection="1">
      <protection locked="0"/>
    </xf>
    <xf numFmtId="0" fontId="0" fillId="3" borderId="0" xfId="0" applyFill="1" applyProtection="1">
      <protection locked="0"/>
    </xf>
    <xf numFmtId="0" fontId="0" fillId="3" borderId="48" xfId="0" applyFill="1" applyBorder="1" applyProtection="1">
      <protection locked="0"/>
    </xf>
    <xf numFmtId="0" fontId="0" fillId="3" borderId="49" xfId="0" applyFill="1" applyBorder="1" applyProtection="1">
      <protection locked="0"/>
    </xf>
    <xf numFmtId="0" fontId="0" fillId="3" borderId="47" xfId="0" applyFill="1" applyBorder="1" applyProtection="1">
      <protection locked="0"/>
    </xf>
    <xf numFmtId="0" fontId="0" fillId="3" borderId="24" xfId="0" applyFill="1" applyBorder="1" applyProtection="1">
      <protection locked="0"/>
    </xf>
    <xf numFmtId="0" fontId="0" fillId="3" borderId="16" xfId="0" applyFill="1" applyBorder="1" applyProtection="1">
      <protection locked="0"/>
    </xf>
    <xf numFmtId="0" fontId="0" fillId="3" borderId="46" xfId="0" applyFill="1" applyBorder="1" applyProtection="1">
      <protection locked="0"/>
    </xf>
    <xf numFmtId="0" fontId="0" fillId="3" borderId="50" xfId="0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51" xfId="0" applyFill="1" applyBorder="1" applyProtection="1">
      <protection locked="0"/>
    </xf>
    <xf numFmtId="0" fontId="0" fillId="6" borderId="1" xfId="0" applyFill="1" applyBorder="1"/>
    <xf numFmtId="0" fontId="0" fillId="6" borderId="24" xfId="0" applyFill="1" applyBorder="1"/>
    <xf numFmtId="0" fontId="0" fillId="7" borderId="1" xfId="0" applyFill="1" applyBorder="1"/>
    <xf numFmtId="0" fontId="0" fillId="7" borderId="46" xfId="0" applyFill="1" applyBorder="1"/>
    <xf numFmtId="0" fontId="0" fillId="8" borderId="24" xfId="0" applyFill="1" applyBorder="1"/>
    <xf numFmtId="0" fontId="0" fillId="8" borderId="1" xfId="0" applyFill="1" applyBorder="1"/>
    <xf numFmtId="0" fontId="0" fillId="8" borderId="46" xfId="0" applyFill="1" applyBorder="1"/>
    <xf numFmtId="0" fontId="0" fillId="9" borderId="24" xfId="0" applyFill="1" applyBorder="1"/>
    <xf numFmtId="0" fontId="0" fillId="9" borderId="1" xfId="0" applyFill="1" applyBorder="1"/>
    <xf numFmtId="0" fontId="0" fillId="9" borderId="46" xfId="0" applyFill="1" applyBorder="1"/>
    <xf numFmtId="0" fontId="0" fillId="3" borderId="0" xfId="0" applyFill="1" applyBorder="1"/>
    <xf numFmtId="0" fontId="1" fillId="3" borderId="0" xfId="0" applyFont="1" applyFill="1" applyBorder="1"/>
    <xf numFmtId="0" fontId="3" fillId="0" borderId="0" xfId="0" applyFont="1" applyBorder="1"/>
    <xf numFmtId="0" fontId="0" fillId="0" borderId="0" xfId="0" applyBorder="1"/>
    <xf numFmtId="0" fontId="2" fillId="0" borderId="0" xfId="0" applyFont="1" applyBorder="1"/>
    <xf numFmtId="0" fontId="1" fillId="0" borderId="0" xfId="0" applyFont="1" applyBorder="1"/>
    <xf numFmtId="0" fontId="0" fillId="3" borderId="24" xfId="0" applyFill="1" applyBorder="1"/>
    <xf numFmtId="0" fontId="0" fillId="3" borderId="16" xfId="0" applyFill="1" applyBorder="1"/>
    <xf numFmtId="0" fontId="0" fillId="3" borderId="46" xfId="0" applyFill="1" applyBorder="1"/>
    <xf numFmtId="0" fontId="1" fillId="0" borderId="0" xfId="0" applyFont="1"/>
    <xf numFmtId="0" fontId="0" fillId="2" borderId="0" xfId="0" applyFill="1" applyBorder="1" applyProtection="1">
      <protection locked="0"/>
    </xf>
    <xf numFmtId="0" fontId="1" fillId="3" borderId="24" xfId="0" applyFont="1" applyFill="1" applyBorder="1"/>
    <xf numFmtId="0" fontId="0" fillId="6" borderId="46" xfId="0" applyFill="1" applyBorder="1"/>
    <xf numFmtId="0" fontId="0" fillId="0" borderId="23" xfId="0" applyBorder="1"/>
    <xf numFmtId="0" fontId="0" fillId="0" borderId="51" xfId="0" applyFill="1" applyBorder="1"/>
    <xf numFmtId="0" fontId="0" fillId="3" borderId="52" xfId="0" applyFill="1" applyBorder="1"/>
    <xf numFmtId="0" fontId="0" fillId="0" borderId="52" xfId="0" applyBorder="1"/>
    <xf numFmtId="0" fontId="0" fillId="0" borderId="52" xfId="0" applyFill="1" applyBorder="1"/>
    <xf numFmtId="0" fontId="0" fillId="0" borderId="7" xfId="0" applyFill="1" applyBorder="1"/>
    <xf numFmtId="0" fontId="0" fillId="6" borderId="53" xfId="0" applyFill="1" applyBorder="1"/>
    <xf numFmtId="0" fontId="0" fillId="6" borderId="54" xfId="0" applyFill="1" applyBorder="1"/>
    <xf numFmtId="0" fontId="0" fillId="6" borderId="55" xfId="0" applyFill="1" applyBorder="1"/>
    <xf numFmtId="0" fontId="0" fillId="7" borderId="53" xfId="0" applyFill="1" applyBorder="1"/>
    <xf numFmtId="0" fontId="0" fillId="7" borderId="54" xfId="0" applyFill="1" applyBorder="1"/>
    <xf numFmtId="0" fontId="0" fillId="8" borderId="55" xfId="0" applyFill="1" applyBorder="1"/>
    <xf numFmtId="0" fontId="0" fillId="8" borderId="53" xfId="0" applyFill="1" applyBorder="1"/>
    <xf numFmtId="0" fontId="0" fillId="8" borderId="54" xfId="0" applyFill="1" applyBorder="1"/>
    <xf numFmtId="0" fontId="0" fillId="9" borderId="55" xfId="0" applyFill="1" applyBorder="1"/>
    <xf numFmtId="0" fontId="0" fillId="9" borderId="53" xfId="0" applyFill="1" applyBorder="1"/>
    <xf numFmtId="0" fontId="0" fillId="9" borderId="54" xfId="0" applyFill="1" applyBorder="1"/>
    <xf numFmtId="0" fontId="0" fillId="0" borderId="53" xfId="0" applyBorder="1"/>
    <xf numFmtId="0" fontId="0" fillId="0" borderId="56" xfId="0" applyBorder="1"/>
    <xf numFmtId="0" fontId="0" fillId="0" borderId="2" xfId="0" applyBorder="1"/>
    <xf numFmtId="0" fontId="0" fillId="8" borderId="0" xfId="0" applyFill="1" applyBorder="1"/>
    <xf numFmtId="0" fontId="0" fillId="6" borderId="57" xfId="0" applyFill="1" applyBorder="1"/>
    <xf numFmtId="0" fontId="0" fillId="6" borderId="58" xfId="0" applyFill="1" applyBorder="1"/>
    <xf numFmtId="0" fontId="0" fillId="7" borderId="57" xfId="0" applyFill="1" applyBorder="1"/>
    <xf numFmtId="0" fontId="0" fillId="7" borderId="58" xfId="0" applyFill="1" applyBorder="1"/>
    <xf numFmtId="0" fontId="0" fillId="8" borderId="59" xfId="0" applyFill="1" applyBorder="1"/>
    <xf numFmtId="0" fontId="0" fillId="8" borderId="57" xfId="0" applyFill="1" applyBorder="1"/>
    <xf numFmtId="0" fontId="0" fillId="9" borderId="59" xfId="0" applyFill="1" applyBorder="1"/>
    <xf numFmtId="0" fontId="0" fillId="9" borderId="57" xfId="0" applyFill="1" applyBorder="1"/>
    <xf numFmtId="0" fontId="0" fillId="9" borderId="58" xfId="0" applyFill="1" applyBorder="1"/>
    <xf numFmtId="0" fontId="0" fillId="0" borderId="57" xfId="0" applyBorder="1"/>
    <xf numFmtId="0" fontId="0" fillId="0" borderId="20" xfId="0" applyBorder="1"/>
    <xf numFmtId="0" fontId="3" fillId="0" borderId="60" xfId="0" applyFont="1" applyFill="1" applyBorder="1"/>
    <xf numFmtId="0" fontId="3" fillId="6" borderId="61" xfId="0" applyFont="1" applyFill="1" applyBorder="1"/>
    <xf numFmtId="0" fontId="3" fillId="6" borderId="53" xfId="0" applyFont="1" applyFill="1" applyBorder="1"/>
    <xf numFmtId="0" fontId="3" fillId="6" borderId="30" xfId="0" applyFont="1" applyFill="1" applyBorder="1"/>
    <xf numFmtId="0" fontId="3" fillId="6" borderId="1" xfId="0" applyFont="1" applyFill="1" applyBorder="1"/>
    <xf numFmtId="0" fontId="3" fillId="6" borderId="19" xfId="0" applyFont="1" applyFill="1" applyBorder="1"/>
    <xf numFmtId="0" fontId="3" fillId="6" borderId="57" xfId="0" applyFont="1" applyFill="1" applyBorder="1"/>
    <xf numFmtId="0" fontId="3" fillId="0" borderId="6" xfId="0" applyFont="1" applyFill="1" applyBorder="1"/>
    <xf numFmtId="0" fontId="3" fillId="0" borderId="34" xfId="0" applyFont="1" applyFill="1" applyBorder="1"/>
    <xf numFmtId="0" fontId="3" fillId="3" borderId="1" xfId="0" applyFont="1" applyFill="1" applyBorder="1"/>
    <xf numFmtId="0" fontId="3" fillId="3" borderId="46" xfId="0" applyFont="1" applyFill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75E-2"/>
          <c:y val="7.2022258080659846E-2"/>
          <c:w val="0.85973397823458308"/>
          <c:h val="0.670361017519988"/>
        </c:manualLayout>
      </c:layout>
      <c:barChart>
        <c:barDir val="col"/>
        <c:grouping val="clustered"/>
        <c:ser>
          <c:idx val="0"/>
          <c:order val="0"/>
          <c:tx>
            <c:strRef>
              <c:f>'16'!$C$32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'16'!$A$33:$A$46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'16'!$C$33:$C$46</c:f>
              <c:numCache>
                <c:formatCode>General</c:formatCode>
                <c:ptCount val="14"/>
                <c:pt idx="0">
                  <c:v>120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120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60</c:v>
                </c:pt>
              </c:numCache>
            </c:numRef>
          </c:val>
        </c:ser>
        <c:ser>
          <c:idx val="1"/>
          <c:order val="1"/>
          <c:tx>
            <c:strRef>
              <c:f>'16'!$D$32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'16'!$A$33:$A$46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'16'!$D$33:$D$46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'16'!$E$32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'16'!$A$33:$A$46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'16'!$E$33:$E$46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2567936"/>
        <c:axId val="102569472"/>
      </c:barChart>
      <c:catAx>
        <c:axId val="10256793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2569472"/>
        <c:crosses val="autoZero"/>
        <c:auto val="1"/>
        <c:lblAlgn val="ctr"/>
        <c:lblOffset val="100"/>
        <c:tickLblSkip val="1"/>
        <c:tickMarkSkip val="1"/>
      </c:catAx>
      <c:valAx>
        <c:axId val="10256947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2567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024972711668858"/>
          <c:w val="5.9250302297460693E-2"/>
          <c:h val="0.1772855583523934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75E-2"/>
          <c:y val="7.2022258080659846E-2"/>
          <c:w val="0.85973397823458308"/>
          <c:h val="0.670361017519988"/>
        </c:manualLayout>
      </c:layout>
      <c:barChart>
        <c:barDir val="col"/>
        <c:grouping val="clustered"/>
        <c:ser>
          <c:idx val="0"/>
          <c:order val="0"/>
          <c:tx>
            <c:strRef>
              <c:f>'17'!$C$32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'17'!$A$33:$A$46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'17'!$C$33:$C$46</c:f>
              <c:numCache>
                <c:formatCode>General</c:formatCode>
                <c:ptCount val="14"/>
                <c:pt idx="0">
                  <c:v>240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180</c:v>
                </c:pt>
                <c:pt idx="5">
                  <c:v>0</c:v>
                </c:pt>
                <c:pt idx="6">
                  <c:v>0</c:v>
                </c:pt>
                <c:pt idx="7">
                  <c:v>240</c:v>
                </c:pt>
                <c:pt idx="8">
                  <c:v>180</c:v>
                </c:pt>
                <c:pt idx="9">
                  <c:v>0</c:v>
                </c:pt>
                <c:pt idx="10">
                  <c:v>0</c:v>
                </c:pt>
                <c:pt idx="11">
                  <c:v>120</c:v>
                </c:pt>
                <c:pt idx="12">
                  <c:v>60</c:v>
                </c:pt>
                <c:pt idx="13">
                  <c:v>120</c:v>
                </c:pt>
              </c:numCache>
            </c:numRef>
          </c:val>
        </c:ser>
        <c:ser>
          <c:idx val="1"/>
          <c:order val="1"/>
          <c:tx>
            <c:strRef>
              <c:f>'17'!$D$32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'17'!$A$33:$A$46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'17'!$D$33:$D$46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'17'!$E$32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'17'!$A$33:$A$46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'17'!$E$33:$E$46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2619776"/>
        <c:axId val="102621568"/>
      </c:barChart>
      <c:catAx>
        <c:axId val="1026197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2621568"/>
        <c:crosses val="autoZero"/>
        <c:auto val="1"/>
        <c:lblAlgn val="ctr"/>
        <c:lblOffset val="100"/>
        <c:tickLblSkip val="1"/>
        <c:tickMarkSkip val="1"/>
      </c:catAx>
      <c:valAx>
        <c:axId val="1026215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2619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024972711668858"/>
          <c:w val="5.9250302297460693E-2"/>
          <c:h val="0.1772855583523934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75E-2"/>
          <c:y val="7.2022258080659846E-2"/>
          <c:w val="0.85973397823458308"/>
          <c:h val="0.670361017519988"/>
        </c:manualLayout>
      </c:layout>
      <c:barChart>
        <c:barDir val="col"/>
        <c:grouping val="clustered"/>
        <c:ser>
          <c:idx val="0"/>
          <c:order val="0"/>
          <c:tx>
            <c:strRef>
              <c:f>'18'!$C$32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'18'!$A$33:$A$46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'18'!$C$33:$C$46</c:f>
              <c:numCache>
                <c:formatCode>General</c:formatCode>
                <c:ptCount val="14"/>
                <c:pt idx="0">
                  <c:v>360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</c:v>
                </c:pt>
                <c:pt idx="5">
                  <c:v>0</c:v>
                </c:pt>
                <c:pt idx="6">
                  <c:v>0</c:v>
                </c:pt>
                <c:pt idx="7">
                  <c:v>360</c:v>
                </c:pt>
                <c:pt idx="8">
                  <c:v>270</c:v>
                </c:pt>
                <c:pt idx="9">
                  <c:v>0</c:v>
                </c:pt>
                <c:pt idx="10">
                  <c:v>0</c:v>
                </c:pt>
                <c:pt idx="11">
                  <c:v>240</c:v>
                </c:pt>
                <c:pt idx="12">
                  <c:v>90</c:v>
                </c:pt>
                <c:pt idx="1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'18'!$D$32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'18'!$A$33:$A$46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'18'!$D$33:$D$46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'18'!$E$32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'18'!$A$33:$A$46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'18'!$E$33:$E$46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4605184"/>
        <c:axId val="104606720"/>
      </c:barChart>
      <c:catAx>
        <c:axId val="1046051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4606720"/>
        <c:crosses val="autoZero"/>
        <c:auto val="1"/>
        <c:lblAlgn val="ctr"/>
        <c:lblOffset val="100"/>
        <c:tickLblSkip val="1"/>
        <c:tickMarkSkip val="1"/>
      </c:catAx>
      <c:valAx>
        <c:axId val="1046067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4605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024972711668858"/>
          <c:w val="5.9250302297460693E-2"/>
          <c:h val="0.1772855583523934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75E-2"/>
          <c:y val="7.2222418138070038E-2"/>
          <c:w val="0.85973397823458308"/>
          <c:h val="0.6694462604336493"/>
        </c:manualLayout>
      </c:layout>
      <c:barChart>
        <c:barDir val="col"/>
        <c:grouping val="clustered"/>
        <c:ser>
          <c:idx val="0"/>
          <c:order val="0"/>
          <c:tx>
            <c:strRef>
              <c:f>'19'!$C$33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'19'!$A$34:$A$47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'19'!$C$34:$C$47</c:f>
              <c:numCache>
                <c:formatCode>General</c:formatCode>
                <c:ptCount val="14"/>
                <c:pt idx="0">
                  <c:v>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420</c:v>
                </c:pt>
                <c:pt idx="5">
                  <c:v>0</c:v>
                </c:pt>
                <c:pt idx="6">
                  <c:v>0</c:v>
                </c:pt>
                <c:pt idx="7">
                  <c:v>480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360</c:v>
                </c:pt>
                <c:pt idx="12">
                  <c:v>120</c:v>
                </c:pt>
                <c:pt idx="13">
                  <c:v>240</c:v>
                </c:pt>
              </c:numCache>
            </c:numRef>
          </c:val>
        </c:ser>
        <c:ser>
          <c:idx val="1"/>
          <c:order val="1"/>
          <c:tx>
            <c:strRef>
              <c:f>'19'!$D$33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'19'!$A$34:$A$47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'19'!$D$34:$D$47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'19'!$E$33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'19'!$A$34:$A$47</c:f>
              <c:strCache>
                <c:ptCount val="14"/>
                <c:pt idx="0">
                  <c:v>Aerob</c:v>
                </c:pt>
                <c:pt idx="2">
                  <c:v>Anaerob</c:v>
                </c:pt>
                <c:pt idx="4">
                  <c:v>Maks.styrke</c:v>
                </c:pt>
                <c:pt idx="7">
                  <c:v>Uth.styrke</c:v>
                </c:pt>
                <c:pt idx="9">
                  <c:v>Spenst</c:v>
                </c:pt>
                <c:pt idx="10">
                  <c:v>Hurtighet</c:v>
                </c:pt>
                <c:pt idx="11">
                  <c:v>Koordinasjon</c:v>
                </c:pt>
                <c:pt idx="12">
                  <c:v>Bevegelighet</c:v>
                </c:pt>
                <c:pt idx="13">
                  <c:v>Rekreasjon</c:v>
                </c:pt>
              </c:strCache>
            </c:strRef>
          </c:cat>
          <c:val>
            <c:numRef>
              <c:f>'19'!$E$34:$E$47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049920"/>
        <c:axId val="106051456"/>
      </c:barChart>
      <c:catAx>
        <c:axId val="10604992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051456"/>
        <c:crosses val="autoZero"/>
        <c:auto val="1"/>
        <c:lblAlgn val="ctr"/>
        <c:lblOffset val="100"/>
        <c:tickLblSkip val="1"/>
        <c:tickMarkSkip val="1"/>
      </c:catAx>
      <c:valAx>
        <c:axId val="10605145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049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31111195505630168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5.8041112454655375E-2"/>
          <c:y val="7.2222418138070038E-2"/>
          <c:w val="0.85973397823458308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'20'!$C$33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'20'!$C$34:$C$47</c:f>
              <c:numCache>
                <c:formatCode>General</c:formatCode>
                <c:ptCount val="14"/>
                <c:pt idx="0">
                  <c:v>840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600</c:v>
                </c:pt>
                <c:pt idx="5">
                  <c:v>0</c:v>
                </c:pt>
                <c:pt idx="6">
                  <c:v>0</c:v>
                </c:pt>
                <c:pt idx="7">
                  <c:v>600</c:v>
                </c:pt>
                <c:pt idx="8">
                  <c:v>450</c:v>
                </c:pt>
                <c:pt idx="9">
                  <c:v>20</c:v>
                </c:pt>
                <c:pt idx="10">
                  <c:v>20</c:v>
                </c:pt>
                <c:pt idx="11">
                  <c:v>480</c:v>
                </c:pt>
                <c:pt idx="12">
                  <c:v>150</c:v>
                </c:pt>
                <c:pt idx="13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'20'!$D$33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'20'!$D$34:$D$47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'20'!$E$33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'20'!$E$34:$E$47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147840"/>
        <c:axId val="106149376"/>
      </c:barChart>
      <c:catAx>
        <c:axId val="1061478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149376"/>
        <c:crosses val="autoZero"/>
        <c:auto val="1"/>
        <c:lblAlgn val="ctr"/>
        <c:lblOffset val="100"/>
        <c:tickLblSkip val="1"/>
        <c:tickMarkSkip val="1"/>
      </c:catAx>
      <c:valAx>
        <c:axId val="10614937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147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'21'!$C$33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'21'!$C$34:$C$47</c:f>
              <c:numCache>
                <c:formatCode>General</c:formatCode>
                <c:ptCount val="14"/>
                <c:pt idx="0">
                  <c:v>1080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780</c:v>
                </c:pt>
                <c:pt idx="5">
                  <c:v>0</c:v>
                </c:pt>
                <c:pt idx="6">
                  <c:v>0</c:v>
                </c:pt>
                <c:pt idx="7">
                  <c:v>720</c:v>
                </c:pt>
                <c:pt idx="8">
                  <c:v>540</c:v>
                </c:pt>
                <c:pt idx="9">
                  <c:v>40</c:v>
                </c:pt>
                <c:pt idx="10">
                  <c:v>40</c:v>
                </c:pt>
                <c:pt idx="11">
                  <c:v>600</c:v>
                </c:pt>
                <c:pt idx="12">
                  <c:v>180</c:v>
                </c:pt>
                <c:pt idx="13">
                  <c:v>360</c:v>
                </c:pt>
              </c:numCache>
            </c:numRef>
          </c:val>
        </c:ser>
        <c:ser>
          <c:idx val="1"/>
          <c:order val="1"/>
          <c:tx>
            <c:strRef>
              <c:f>'21'!$D$33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'21'!$D$34:$D$47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'21'!$E$33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'21'!$E$34:$E$47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4499840"/>
        <c:axId val="104518016"/>
      </c:barChart>
      <c:catAx>
        <c:axId val="1044998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4518016"/>
        <c:crosses val="autoZero"/>
        <c:auto val="1"/>
        <c:lblAlgn val="ctr"/>
        <c:lblOffset val="100"/>
        <c:tickLblSkip val="1"/>
        <c:tickMarkSkip val="1"/>
      </c:catAx>
      <c:valAx>
        <c:axId val="1045180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4499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'22'!$C$33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'22'!$C$34:$C$47</c:f>
              <c:numCache>
                <c:formatCode>General</c:formatCode>
                <c:ptCount val="14"/>
                <c:pt idx="0">
                  <c:v>1200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900</c:v>
                </c:pt>
                <c:pt idx="5">
                  <c:v>0</c:v>
                </c:pt>
                <c:pt idx="6">
                  <c:v>0</c:v>
                </c:pt>
                <c:pt idx="7">
                  <c:v>810</c:v>
                </c:pt>
                <c:pt idx="8">
                  <c:v>600</c:v>
                </c:pt>
                <c:pt idx="9">
                  <c:v>80</c:v>
                </c:pt>
                <c:pt idx="10">
                  <c:v>80</c:v>
                </c:pt>
                <c:pt idx="11">
                  <c:v>660</c:v>
                </c:pt>
                <c:pt idx="12">
                  <c:v>210</c:v>
                </c:pt>
                <c:pt idx="13">
                  <c:v>420</c:v>
                </c:pt>
              </c:numCache>
            </c:numRef>
          </c:val>
        </c:ser>
        <c:ser>
          <c:idx val="1"/>
          <c:order val="1"/>
          <c:tx>
            <c:strRef>
              <c:f>'22'!$D$33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'22'!$D$34:$D$47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'22'!$E$33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'22'!$E$34:$E$47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235392"/>
        <c:axId val="106236928"/>
      </c:barChart>
      <c:catAx>
        <c:axId val="10623539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236928"/>
        <c:crosses val="autoZero"/>
        <c:auto val="1"/>
        <c:lblAlgn val="ctr"/>
        <c:lblOffset val="100"/>
        <c:tickLblSkip val="1"/>
        <c:tickMarkSkip val="1"/>
      </c:catAx>
      <c:valAx>
        <c:axId val="1062369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235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'23'!$C$33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'23'!$C$34:$C$47</c:f>
              <c:numCache>
                <c:formatCode>General</c:formatCode>
                <c:ptCount val="14"/>
                <c:pt idx="0">
                  <c:v>1440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1080</c:v>
                </c:pt>
                <c:pt idx="5">
                  <c:v>0</c:v>
                </c:pt>
                <c:pt idx="6">
                  <c:v>0</c:v>
                </c:pt>
                <c:pt idx="7">
                  <c:v>930</c:v>
                </c:pt>
                <c:pt idx="8">
                  <c:v>690</c:v>
                </c:pt>
                <c:pt idx="9">
                  <c:v>120</c:v>
                </c:pt>
                <c:pt idx="10">
                  <c:v>120</c:v>
                </c:pt>
                <c:pt idx="11">
                  <c:v>780</c:v>
                </c:pt>
                <c:pt idx="12">
                  <c:v>240</c:v>
                </c:pt>
                <c:pt idx="13">
                  <c:v>480</c:v>
                </c:pt>
              </c:numCache>
            </c:numRef>
          </c:val>
        </c:ser>
        <c:ser>
          <c:idx val="1"/>
          <c:order val="1"/>
          <c:tx>
            <c:strRef>
              <c:f>'23'!$D$33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'23'!$D$34:$D$47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'23'!$E$33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'23'!$E$34:$E$47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303872"/>
        <c:axId val="106305408"/>
      </c:barChart>
      <c:catAx>
        <c:axId val="10630387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305408"/>
        <c:crosses val="autoZero"/>
        <c:auto val="1"/>
        <c:lblAlgn val="ctr"/>
        <c:lblOffset val="100"/>
        <c:tickLblSkip val="1"/>
        <c:tickMarkSkip val="1"/>
      </c:catAx>
      <c:valAx>
        <c:axId val="10630540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303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'24'!$C$33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'24'!$C$34:$C$47</c:f>
              <c:numCache>
                <c:formatCode>General</c:formatCode>
                <c:ptCount val="14"/>
                <c:pt idx="0">
                  <c:v>1560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1080</c:v>
                </c:pt>
                <c:pt idx="5">
                  <c:v>0</c:v>
                </c:pt>
                <c:pt idx="6">
                  <c:v>0</c:v>
                </c:pt>
                <c:pt idx="7">
                  <c:v>1020</c:v>
                </c:pt>
                <c:pt idx="8">
                  <c:v>690</c:v>
                </c:pt>
                <c:pt idx="9">
                  <c:v>140</c:v>
                </c:pt>
                <c:pt idx="10">
                  <c:v>140</c:v>
                </c:pt>
                <c:pt idx="11">
                  <c:v>840</c:v>
                </c:pt>
                <c:pt idx="12">
                  <c:v>270</c:v>
                </c:pt>
                <c:pt idx="13">
                  <c:v>540</c:v>
                </c:pt>
              </c:numCache>
            </c:numRef>
          </c:val>
        </c:ser>
        <c:ser>
          <c:idx val="1"/>
          <c:order val="1"/>
          <c:tx>
            <c:strRef>
              <c:f>'24'!$D$33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'24'!$D$34:$D$47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'24'!$E$33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'24'!$E$34:$E$47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482688"/>
        <c:axId val="106365696"/>
      </c:barChart>
      <c:catAx>
        <c:axId val="10648268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365696"/>
        <c:crosses val="autoZero"/>
        <c:auto val="1"/>
        <c:lblAlgn val="ctr"/>
        <c:lblOffset val="100"/>
        <c:tickLblSkip val="1"/>
        <c:tickMarkSkip val="1"/>
      </c:catAx>
      <c:valAx>
        <c:axId val="1063656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482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'25'!$C$33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'25'!$C$34:$C$47</c:f>
              <c:numCache>
                <c:formatCode>General</c:formatCode>
                <c:ptCount val="14"/>
                <c:pt idx="0">
                  <c:v>1680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1080</c:v>
                </c:pt>
                <c:pt idx="5">
                  <c:v>0</c:v>
                </c:pt>
                <c:pt idx="6">
                  <c:v>0</c:v>
                </c:pt>
                <c:pt idx="7">
                  <c:v>1140</c:v>
                </c:pt>
                <c:pt idx="8">
                  <c:v>690</c:v>
                </c:pt>
                <c:pt idx="9">
                  <c:v>160</c:v>
                </c:pt>
                <c:pt idx="10">
                  <c:v>160</c:v>
                </c:pt>
                <c:pt idx="11">
                  <c:v>840</c:v>
                </c:pt>
                <c:pt idx="12">
                  <c:v>300</c:v>
                </c:pt>
                <c:pt idx="13">
                  <c:v>600</c:v>
                </c:pt>
              </c:numCache>
            </c:numRef>
          </c:val>
        </c:ser>
        <c:ser>
          <c:idx val="1"/>
          <c:order val="1"/>
          <c:tx>
            <c:strRef>
              <c:f>'25'!$D$33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'25'!$D$34:$D$47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'25'!$E$33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'25'!$E$34:$E$47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403712"/>
        <c:axId val="106405248"/>
      </c:barChart>
      <c:catAx>
        <c:axId val="10640371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405248"/>
        <c:crosses val="autoZero"/>
        <c:auto val="1"/>
        <c:lblAlgn val="ctr"/>
        <c:lblOffset val="100"/>
        <c:tickLblSkip val="1"/>
        <c:tickMarkSkip val="1"/>
      </c:catAx>
      <c:valAx>
        <c:axId val="1064052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40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'26'!$C$33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'26'!$C$34:$C$47</c:f>
              <c:numCache>
                <c:formatCode>General</c:formatCode>
                <c:ptCount val="14"/>
                <c:pt idx="0">
                  <c:v>1800</c:v>
                </c:pt>
                <c:pt idx="1">
                  <c:v>0</c:v>
                </c:pt>
                <c:pt idx="2">
                  <c:v>0</c:v>
                </c:pt>
                <c:pt idx="3">
                  <c:v>90</c:v>
                </c:pt>
                <c:pt idx="4">
                  <c:v>1080</c:v>
                </c:pt>
                <c:pt idx="5">
                  <c:v>0</c:v>
                </c:pt>
                <c:pt idx="6">
                  <c:v>0</c:v>
                </c:pt>
                <c:pt idx="7">
                  <c:v>1260</c:v>
                </c:pt>
                <c:pt idx="8">
                  <c:v>690</c:v>
                </c:pt>
                <c:pt idx="9">
                  <c:v>160</c:v>
                </c:pt>
                <c:pt idx="10">
                  <c:v>160</c:v>
                </c:pt>
                <c:pt idx="11">
                  <c:v>840</c:v>
                </c:pt>
                <c:pt idx="12">
                  <c:v>330</c:v>
                </c:pt>
                <c:pt idx="13">
                  <c:v>660</c:v>
                </c:pt>
              </c:numCache>
            </c:numRef>
          </c:val>
        </c:ser>
        <c:ser>
          <c:idx val="1"/>
          <c:order val="1"/>
          <c:tx>
            <c:strRef>
              <c:f>'26'!$D$33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'26'!$D$34:$D$47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'26'!$E$33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'26'!$E$34:$E$47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1411968"/>
        <c:axId val="111413504"/>
      </c:barChart>
      <c:catAx>
        <c:axId val="11141196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1413504"/>
        <c:crosses val="autoZero"/>
        <c:auto val="1"/>
        <c:lblAlgn val="ctr"/>
        <c:lblOffset val="100"/>
        <c:tickLblSkip val="1"/>
        <c:tickMarkSkip val="1"/>
      </c:catAx>
      <c:valAx>
        <c:axId val="1114135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1411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'27'!$C$33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'27'!$C$34:$C$47</c:f>
              <c:numCache>
                <c:formatCode>General</c:formatCode>
                <c:ptCount val="14"/>
                <c:pt idx="0">
                  <c:v>1920</c:v>
                </c:pt>
                <c:pt idx="1">
                  <c:v>0</c:v>
                </c:pt>
                <c:pt idx="2">
                  <c:v>0</c:v>
                </c:pt>
                <c:pt idx="3">
                  <c:v>150</c:v>
                </c:pt>
                <c:pt idx="4">
                  <c:v>1080</c:v>
                </c:pt>
                <c:pt idx="5">
                  <c:v>0</c:v>
                </c:pt>
                <c:pt idx="6">
                  <c:v>0</c:v>
                </c:pt>
                <c:pt idx="7">
                  <c:v>1380</c:v>
                </c:pt>
                <c:pt idx="8">
                  <c:v>690</c:v>
                </c:pt>
                <c:pt idx="9">
                  <c:v>160</c:v>
                </c:pt>
                <c:pt idx="10">
                  <c:v>160</c:v>
                </c:pt>
                <c:pt idx="11">
                  <c:v>840</c:v>
                </c:pt>
                <c:pt idx="12">
                  <c:v>360</c:v>
                </c:pt>
                <c:pt idx="13">
                  <c:v>720</c:v>
                </c:pt>
              </c:numCache>
            </c:numRef>
          </c:val>
        </c:ser>
        <c:ser>
          <c:idx val="1"/>
          <c:order val="1"/>
          <c:tx>
            <c:strRef>
              <c:f>'27'!$D$33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'27'!$D$34:$D$47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'27'!$E$33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'27'!$E$34:$E$47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3122688"/>
        <c:axId val="113136768"/>
      </c:barChart>
      <c:catAx>
        <c:axId val="11312268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3136768"/>
        <c:crosses val="autoZero"/>
        <c:auto val="1"/>
        <c:lblAlgn val="ctr"/>
        <c:lblOffset val="100"/>
        <c:tickLblSkip val="1"/>
        <c:tickMarkSkip val="1"/>
      </c:catAx>
      <c:valAx>
        <c:axId val="1131367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3122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'28'!$C$33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'28'!$C$34:$C$47</c:f>
              <c:numCache>
                <c:formatCode>General</c:formatCode>
                <c:ptCount val="14"/>
                <c:pt idx="0">
                  <c:v>2160</c:v>
                </c:pt>
                <c:pt idx="1">
                  <c:v>0</c:v>
                </c:pt>
                <c:pt idx="2">
                  <c:v>0</c:v>
                </c:pt>
                <c:pt idx="3">
                  <c:v>150</c:v>
                </c:pt>
                <c:pt idx="4">
                  <c:v>1200</c:v>
                </c:pt>
                <c:pt idx="5">
                  <c:v>0</c:v>
                </c:pt>
                <c:pt idx="6">
                  <c:v>0</c:v>
                </c:pt>
                <c:pt idx="7">
                  <c:v>1500</c:v>
                </c:pt>
                <c:pt idx="8">
                  <c:v>810</c:v>
                </c:pt>
                <c:pt idx="9">
                  <c:v>200</c:v>
                </c:pt>
                <c:pt idx="10">
                  <c:v>200</c:v>
                </c:pt>
                <c:pt idx="11">
                  <c:v>960</c:v>
                </c:pt>
                <c:pt idx="12">
                  <c:v>390</c:v>
                </c:pt>
                <c:pt idx="13">
                  <c:v>840</c:v>
                </c:pt>
              </c:numCache>
            </c:numRef>
          </c:val>
        </c:ser>
        <c:ser>
          <c:idx val="1"/>
          <c:order val="1"/>
          <c:tx>
            <c:strRef>
              <c:f>'28'!$D$33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'28'!$D$34:$D$47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'28'!$E$33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'28'!$E$34:$E$47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5374336"/>
        <c:axId val="115384320"/>
      </c:barChart>
      <c:catAx>
        <c:axId val="11537433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384320"/>
        <c:crosses val="autoZero"/>
        <c:auto val="1"/>
        <c:lblAlgn val="ctr"/>
        <c:lblOffset val="100"/>
        <c:tickLblSkip val="1"/>
        <c:tickMarkSkip val="1"/>
      </c:catAx>
      <c:valAx>
        <c:axId val="1153843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374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'29'!$C$32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'29'!$A$33:$B$46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'29'!$C$33:$C$46</c:f>
              <c:numCache>
                <c:formatCode>General</c:formatCode>
                <c:ptCount val="14"/>
                <c:pt idx="0">
                  <c:v>2400</c:v>
                </c:pt>
                <c:pt idx="1">
                  <c:v>30</c:v>
                </c:pt>
                <c:pt idx="2">
                  <c:v>0</c:v>
                </c:pt>
                <c:pt idx="3">
                  <c:v>150</c:v>
                </c:pt>
                <c:pt idx="4">
                  <c:v>1320</c:v>
                </c:pt>
                <c:pt idx="5">
                  <c:v>60</c:v>
                </c:pt>
                <c:pt idx="6">
                  <c:v>0</c:v>
                </c:pt>
                <c:pt idx="7">
                  <c:v>1620</c:v>
                </c:pt>
                <c:pt idx="8">
                  <c:v>930</c:v>
                </c:pt>
                <c:pt idx="9">
                  <c:v>240</c:v>
                </c:pt>
                <c:pt idx="10">
                  <c:v>240</c:v>
                </c:pt>
                <c:pt idx="11">
                  <c:v>1080</c:v>
                </c:pt>
                <c:pt idx="12">
                  <c:v>420</c:v>
                </c:pt>
                <c:pt idx="13">
                  <c:v>960</c:v>
                </c:pt>
              </c:numCache>
            </c:numRef>
          </c:val>
        </c:ser>
        <c:ser>
          <c:idx val="1"/>
          <c:order val="1"/>
          <c:tx>
            <c:strRef>
              <c:f>'29'!$D$32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'29'!$A$33:$B$46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'29'!$D$33:$D$46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'29'!$E$32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'29'!$A$33:$B$46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'29'!$E$33:$E$46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3214592"/>
        <c:axId val="113216128"/>
      </c:barChart>
      <c:catAx>
        <c:axId val="11321459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3216128"/>
        <c:crosses val="autoZero"/>
        <c:auto val="1"/>
        <c:lblAlgn val="ctr"/>
        <c:lblOffset val="100"/>
        <c:tickLblSkip val="1"/>
        <c:tickMarkSkip val="1"/>
      </c:catAx>
      <c:valAx>
        <c:axId val="1132161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321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022258080659846E-2"/>
          <c:w val="0.85126964933494553"/>
          <c:h val="0.59279858574081556"/>
        </c:manualLayout>
      </c:layout>
      <c:barChart>
        <c:barDir val="col"/>
        <c:grouping val="clustered"/>
        <c:ser>
          <c:idx val="0"/>
          <c:order val="0"/>
          <c:tx>
            <c:strRef>
              <c:f>'30'!$C$33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'30'!$C$34:$C$47</c:f>
              <c:numCache>
                <c:formatCode>General</c:formatCode>
                <c:ptCount val="14"/>
                <c:pt idx="0">
                  <c:v>2640</c:v>
                </c:pt>
                <c:pt idx="1">
                  <c:v>60</c:v>
                </c:pt>
                <c:pt idx="2">
                  <c:v>0</c:v>
                </c:pt>
                <c:pt idx="3">
                  <c:v>150</c:v>
                </c:pt>
                <c:pt idx="4">
                  <c:v>1440</c:v>
                </c:pt>
                <c:pt idx="5">
                  <c:v>120</c:v>
                </c:pt>
                <c:pt idx="6">
                  <c:v>0</c:v>
                </c:pt>
                <c:pt idx="7">
                  <c:v>1740</c:v>
                </c:pt>
                <c:pt idx="8">
                  <c:v>1050</c:v>
                </c:pt>
                <c:pt idx="9">
                  <c:v>280</c:v>
                </c:pt>
                <c:pt idx="10">
                  <c:v>280</c:v>
                </c:pt>
                <c:pt idx="11">
                  <c:v>1200</c:v>
                </c:pt>
                <c:pt idx="12">
                  <c:v>450</c:v>
                </c:pt>
                <c:pt idx="13">
                  <c:v>1080</c:v>
                </c:pt>
              </c:numCache>
            </c:numRef>
          </c:val>
        </c:ser>
        <c:ser>
          <c:idx val="1"/>
          <c:order val="1"/>
          <c:tx>
            <c:strRef>
              <c:f>'30'!$D$33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'30'!$D$34:$D$47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'30'!$E$33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'30'!$E$34:$E$47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5972096"/>
        <c:axId val="105973632"/>
      </c:barChart>
      <c:catAx>
        <c:axId val="10597209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5973632"/>
        <c:crosses val="autoZero"/>
        <c:auto val="1"/>
        <c:lblAlgn val="ctr"/>
        <c:lblOffset val="100"/>
        <c:tickLblSkip val="1"/>
        <c:tickMarkSkip val="1"/>
      </c:catAx>
      <c:valAx>
        <c:axId val="10597363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5972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146851122710253"/>
          <c:w val="5.9250302297460693E-2"/>
          <c:h val="0.1772855583523934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423398328690811E-2"/>
          <c:w val="0.85126964933494553"/>
          <c:h val="0.59052924791086348"/>
        </c:manualLayout>
      </c:layout>
      <c:barChart>
        <c:barDir val="col"/>
        <c:grouping val="clustered"/>
        <c:ser>
          <c:idx val="0"/>
          <c:order val="0"/>
          <c:tx>
            <c:strRef>
              <c:f>'31'!$C$33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'31'!$C$34:$C$47</c:f>
              <c:numCache>
                <c:formatCode>General</c:formatCode>
                <c:ptCount val="14"/>
                <c:pt idx="0">
                  <c:v>2760</c:v>
                </c:pt>
                <c:pt idx="1">
                  <c:v>60</c:v>
                </c:pt>
                <c:pt idx="2">
                  <c:v>0</c:v>
                </c:pt>
                <c:pt idx="3">
                  <c:v>150</c:v>
                </c:pt>
                <c:pt idx="4">
                  <c:v>1560</c:v>
                </c:pt>
                <c:pt idx="5">
                  <c:v>180</c:v>
                </c:pt>
                <c:pt idx="6">
                  <c:v>0</c:v>
                </c:pt>
                <c:pt idx="7">
                  <c:v>1860</c:v>
                </c:pt>
                <c:pt idx="8">
                  <c:v>1170</c:v>
                </c:pt>
                <c:pt idx="9">
                  <c:v>320</c:v>
                </c:pt>
                <c:pt idx="10">
                  <c:v>320</c:v>
                </c:pt>
                <c:pt idx="11">
                  <c:v>1320</c:v>
                </c:pt>
                <c:pt idx="12">
                  <c:v>480</c:v>
                </c:pt>
                <c:pt idx="13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'31'!$D$33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'31'!$D$34:$D$47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'31'!$E$33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'31'!$A$34:$B$47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'31'!$E$34:$E$47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06023936"/>
        <c:axId val="115409664"/>
      </c:barChart>
      <c:catAx>
        <c:axId val="10602393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409664"/>
        <c:crosses val="autoZero"/>
        <c:auto val="1"/>
        <c:lblAlgn val="ctr"/>
        <c:lblOffset val="100"/>
        <c:tickLblSkip val="1"/>
        <c:tickMarkSkip val="1"/>
      </c:catAx>
      <c:valAx>
        <c:axId val="11540966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06023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019498607242337"/>
          <c:w val="5.9250302297460693E-2"/>
          <c:h val="0.1782729805013928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'32'!$C$33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'32'!$C$34:$C$47</c:f>
              <c:numCache>
                <c:formatCode>General</c:formatCode>
                <c:ptCount val="14"/>
                <c:pt idx="0">
                  <c:v>2880</c:v>
                </c:pt>
                <c:pt idx="1">
                  <c:v>60</c:v>
                </c:pt>
                <c:pt idx="2">
                  <c:v>0</c:v>
                </c:pt>
                <c:pt idx="3">
                  <c:v>150</c:v>
                </c:pt>
                <c:pt idx="4">
                  <c:v>1560</c:v>
                </c:pt>
                <c:pt idx="5">
                  <c:v>180</c:v>
                </c:pt>
                <c:pt idx="6">
                  <c:v>0</c:v>
                </c:pt>
                <c:pt idx="7">
                  <c:v>1980</c:v>
                </c:pt>
                <c:pt idx="8">
                  <c:v>1170</c:v>
                </c:pt>
                <c:pt idx="9">
                  <c:v>320</c:v>
                </c:pt>
                <c:pt idx="10">
                  <c:v>320</c:v>
                </c:pt>
                <c:pt idx="11">
                  <c:v>1320</c:v>
                </c:pt>
                <c:pt idx="12">
                  <c:v>510</c:v>
                </c:pt>
                <c:pt idx="13">
                  <c:v>1260</c:v>
                </c:pt>
              </c:numCache>
            </c:numRef>
          </c:val>
        </c:ser>
        <c:ser>
          <c:idx val="1"/>
          <c:order val="1"/>
          <c:tx>
            <c:strRef>
              <c:f>'32'!$D$33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'32'!$D$34:$D$47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'32'!$E$33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'32'!$E$34:$E$47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6279168"/>
        <c:axId val="116280704"/>
      </c:barChart>
      <c:catAx>
        <c:axId val="11627916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280704"/>
        <c:crosses val="autoZero"/>
        <c:auto val="1"/>
        <c:lblAlgn val="ctr"/>
        <c:lblOffset val="100"/>
        <c:tickLblSkip val="1"/>
        <c:tickMarkSkip val="1"/>
      </c:catAx>
      <c:valAx>
        <c:axId val="1162807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279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423398328690811E-2"/>
          <c:w val="0.85126964933494553"/>
          <c:h val="0.59052924791086348"/>
        </c:manualLayout>
      </c:layout>
      <c:barChart>
        <c:barDir val="col"/>
        <c:grouping val="clustered"/>
        <c:ser>
          <c:idx val="0"/>
          <c:order val="0"/>
          <c:tx>
            <c:strRef>
              <c:f>'33'!$C$33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'33'!$C$34:$C$47</c:f>
              <c:numCache>
                <c:formatCode>General</c:formatCode>
                <c:ptCount val="14"/>
                <c:pt idx="0">
                  <c:v>3000</c:v>
                </c:pt>
                <c:pt idx="1">
                  <c:v>60</c:v>
                </c:pt>
                <c:pt idx="2">
                  <c:v>0</c:v>
                </c:pt>
                <c:pt idx="3">
                  <c:v>150</c:v>
                </c:pt>
                <c:pt idx="4">
                  <c:v>1680</c:v>
                </c:pt>
                <c:pt idx="5">
                  <c:v>180</c:v>
                </c:pt>
                <c:pt idx="6">
                  <c:v>0</c:v>
                </c:pt>
                <c:pt idx="7">
                  <c:v>2100</c:v>
                </c:pt>
                <c:pt idx="8">
                  <c:v>1290</c:v>
                </c:pt>
                <c:pt idx="9">
                  <c:v>320</c:v>
                </c:pt>
                <c:pt idx="10">
                  <c:v>320</c:v>
                </c:pt>
                <c:pt idx="11">
                  <c:v>1320</c:v>
                </c:pt>
                <c:pt idx="12">
                  <c:v>540</c:v>
                </c:pt>
                <c:pt idx="13">
                  <c:v>1320</c:v>
                </c:pt>
              </c:numCache>
            </c:numRef>
          </c:val>
        </c:ser>
        <c:ser>
          <c:idx val="1"/>
          <c:order val="1"/>
          <c:tx>
            <c:strRef>
              <c:f>'33'!$D$33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'33'!$D$34:$D$47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'33'!$E$33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'33'!$E$34:$E$47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5565312"/>
        <c:axId val="115566848"/>
      </c:barChart>
      <c:catAx>
        <c:axId val="11556531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566848"/>
        <c:crosses val="autoZero"/>
        <c:auto val="1"/>
        <c:lblAlgn val="ctr"/>
        <c:lblOffset val="100"/>
        <c:tickLblSkip val="1"/>
        <c:tickMarkSkip val="1"/>
      </c:catAx>
      <c:valAx>
        <c:axId val="1155668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5565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019498607242337"/>
          <c:w val="5.9250302297460693E-2"/>
          <c:h val="0.1782729805013928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'34'!$C$33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'34'!$C$34:$C$47</c:f>
              <c:numCache>
                <c:formatCode>General</c:formatCode>
                <c:ptCount val="14"/>
                <c:pt idx="0">
                  <c:v>3120</c:v>
                </c:pt>
                <c:pt idx="1">
                  <c:v>90</c:v>
                </c:pt>
                <c:pt idx="2">
                  <c:v>20</c:v>
                </c:pt>
                <c:pt idx="3">
                  <c:v>150</c:v>
                </c:pt>
                <c:pt idx="4">
                  <c:v>1800</c:v>
                </c:pt>
                <c:pt idx="5">
                  <c:v>240</c:v>
                </c:pt>
                <c:pt idx="6">
                  <c:v>0</c:v>
                </c:pt>
                <c:pt idx="7">
                  <c:v>2220</c:v>
                </c:pt>
                <c:pt idx="8">
                  <c:v>1410</c:v>
                </c:pt>
                <c:pt idx="9">
                  <c:v>340</c:v>
                </c:pt>
                <c:pt idx="10">
                  <c:v>340</c:v>
                </c:pt>
                <c:pt idx="11">
                  <c:v>1380</c:v>
                </c:pt>
                <c:pt idx="12">
                  <c:v>570</c:v>
                </c:pt>
                <c:pt idx="13">
                  <c:v>1440</c:v>
                </c:pt>
              </c:numCache>
            </c:numRef>
          </c:val>
        </c:ser>
        <c:ser>
          <c:idx val="1"/>
          <c:order val="1"/>
          <c:tx>
            <c:strRef>
              <c:f>'34'!$D$33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'34'!$D$34:$D$47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'34'!$E$33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'34'!$E$34:$E$47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353856"/>
        <c:axId val="117367936"/>
      </c:barChart>
      <c:catAx>
        <c:axId val="1173538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367936"/>
        <c:crosses val="autoZero"/>
        <c:auto val="1"/>
        <c:lblAlgn val="ctr"/>
        <c:lblOffset val="100"/>
        <c:tickLblSkip val="1"/>
        <c:tickMarkSkip val="1"/>
      </c:catAx>
      <c:valAx>
        <c:axId val="11736793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353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'35'!$C$33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'35'!$C$34:$C$47</c:f>
              <c:numCache>
                <c:formatCode>General</c:formatCode>
                <c:ptCount val="14"/>
                <c:pt idx="0">
                  <c:v>3240</c:v>
                </c:pt>
                <c:pt idx="1">
                  <c:v>90</c:v>
                </c:pt>
                <c:pt idx="2">
                  <c:v>20</c:v>
                </c:pt>
                <c:pt idx="3">
                  <c:v>150</c:v>
                </c:pt>
                <c:pt idx="4">
                  <c:v>1920</c:v>
                </c:pt>
                <c:pt idx="5">
                  <c:v>300</c:v>
                </c:pt>
                <c:pt idx="6">
                  <c:v>0</c:v>
                </c:pt>
                <c:pt idx="7">
                  <c:v>2310</c:v>
                </c:pt>
                <c:pt idx="8">
                  <c:v>1500</c:v>
                </c:pt>
                <c:pt idx="9">
                  <c:v>380</c:v>
                </c:pt>
                <c:pt idx="10">
                  <c:v>380</c:v>
                </c:pt>
                <c:pt idx="11">
                  <c:v>1440</c:v>
                </c:pt>
                <c:pt idx="12">
                  <c:v>600</c:v>
                </c:pt>
                <c:pt idx="13">
                  <c:v>1560</c:v>
                </c:pt>
              </c:numCache>
            </c:numRef>
          </c:val>
        </c:ser>
        <c:ser>
          <c:idx val="1"/>
          <c:order val="1"/>
          <c:tx>
            <c:strRef>
              <c:f>'35'!$D$33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'35'!$D$34:$D$47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'35'!$E$33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'35'!$E$34:$E$47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290880"/>
        <c:axId val="117292416"/>
      </c:barChart>
      <c:catAx>
        <c:axId val="11729088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292416"/>
        <c:crosses val="autoZero"/>
        <c:auto val="1"/>
        <c:lblAlgn val="ctr"/>
        <c:lblOffset val="100"/>
        <c:tickLblSkip val="1"/>
        <c:tickMarkSkip val="1"/>
      </c:catAx>
      <c:valAx>
        <c:axId val="1172924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290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'36'!$C$33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'36'!$C$34:$C$47</c:f>
              <c:numCache>
                <c:formatCode>General</c:formatCode>
                <c:ptCount val="14"/>
                <c:pt idx="0">
                  <c:v>3360</c:v>
                </c:pt>
                <c:pt idx="1">
                  <c:v>90</c:v>
                </c:pt>
                <c:pt idx="2">
                  <c:v>20</c:v>
                </c:pt>
                <c:pt idx="3">
                  <c:v>150</c:v>
                </c:pt>
                <c:pt idx="4">
                  <c:v>2040</c:v>
                </c:pt>
                <c:pt idx="5">
                  <c:v>360</c:v>
                </c:pt>
                <c:pt idx="6">
                  <c:v>0</c:v>
                </c:pt>
                <c:pt idx="7">
                  <c:v>2430</c:v>
                </c:pt>
                <c:pt idx="8">
                  <c:v>1620</c:v>
                </c:pt>
                <c:pt idx="9">
                  <c:v>380</c:v>
                </c:pt>
                <c:pt idx="10">
                  <c:v>380</c:v>
                </c:pt>
                <c:pt idx="11">
                  <c:v>1560</c:v>
                </c:pt>
                <c:pt idx="12">
                  <c:v>630</c:v>
                </c:pt>
                <c:pt idx="13">
                  <c:v>1620</c:v>
                </c:pt>
              </c:numCache>
            </c:numRef>
          </c:val>
        </c:ser>
        <c:ser>
          <c:idx val="1"/>
          <c:order val="1"/>
          <c:tx>
            <c:strRef>
              <c:f>'36'!$D$33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'36'!$D$34:$D$47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'36'!$E$33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'36'!$E$34:$E$47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6208384"/>
        <c:axId val="116209920"/>
      </c:barChart>
      <c:catAx>
        <c:axId val="1162083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209920"/>
        <c:crosses val="autoZero"/>
        <c:auto val="1"/>
        <c:lblAlgn val="ctr"/>
        <c:lblOffset val="100"/>
        <c:tickLblSkip val="1"/>
        <c:tickMarkSkip val="1"/>
      </c:catAx>
      <c:valAx>
        <c:axId val="1162099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208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'37'!$C$33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'37'!$C$34:$C$47</c:f>
              <c:numCache>
                <c:formatCode>General</c:formatCode>
                <c:ptCount val="14"/>
                <c:pt idx="0">
                  <c:v>3480</c:v>
                </c:pt>
                <c:pt idx="1">
                  <c:v>120</c:v>
                </c:pt>
                <c:pt idx="2">
                  <c:v>20</c:v>
                </c:pt>
                <c:pt idx="3">
                  <c:v>150</c:v>
                </c:pt>
                <c:pt idx="4">
                  <c:v>2160</c:v>
                </c:pt>
                <c:pt idx="5">
                  <c:v>420</c:v>
                </c:pt>
                <c:pt idx="6">
                  <c:v>30</c:v>
                </c:pt>
                <c:pt idx="7">
                  <c:v>2550</c:v>
                </c:pt>
                <c:pt idx="8">
                  <c:v>1740</c:v>
                </c:pt>
                <c:pt idx="9">
                  <c:v>380</c:v>
                </c:pt>
                <c:pt idx="10">
                  <c:v>380</c:v>
                </c:pt>
                <c:pt idx="11">
                  <c:v>1680</c:v>
                </c:pt>
                <c:pt idx="12">
                  <c:v>660</c:v>
                </c:pt>
                <c:pt idx="13">
                  <c:v>1680</c:v>
                </c:pt>
              </c:numCache>
            </c:numRef>
          </c:val>
        </c:ser>
        <c:ser>
          <c:idx val="1"/>
          <c:order val="1"/>
          <c:tx>
            <c:strRef>
              <c:f>'37'!$D$33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'37'!$D$34:$D$47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'37'!$E$33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'37'!$E$34:$E$47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456256"/>
        <c:axId val="117462144"/>
      </c:barChart>
      <c:catAx>
        <c:axId val="1174562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462144"/>
        <c:crosses val="autoZero"/>
        <c:auto val="1"/>
        <c:lblAlgn val="ctr"/>
        <c:lblOffset val="100"/>
        <c:tickLblSkip val="1"/>
        <c:tickMarkSkip val="1"/>
      </c:catAx>
      <c:valAx>
        <c:axId val="1174621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456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'38'!$C$33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'38'!$C$34:$C$47</c:f>
              <c:numCache>
                <c:formatCode>General</c:formatCode>
                <c:ptCount val="14"/>
                <c:pt idx="0">
                  <c:v>3540</c:v>
                </c:pt>
                <c:pt idx="1">
                  <c:v>180</c:v>
                </c:pt>
                <c:pt idx="2">
                  <c:v>40</c:v>
                </c:pt>
                <c:pt idx="3">
                  <c:v>170</c:v>
                </c:pt>
                <c:pt idx="4">
                  <c:v>2280</c:v>
                </c:pt>
                <c:pt idx="5">
                  <c:v>480</c:v>
                </c:pt>
                <c:pt idx="6">
                  <c:v>60</c:v>
                </c:pt>
                <c:pt idx="7">
                  <c:v>2670</c:v>
                </c:pt>
                <c:pt idx="8">
                  <c:v>1860</c:v>
                </c:pt>
                <c:pt idx="9">
                  <c:v>400</c:v>
                </c:pt>
                <c:pt idx="10">
                  <c:v>400</c:v>
                </c:pt>
                <c:pt idx="11">
                  <c:v>1740</c:v>
                </c:pt>
                <c:pt idx="12">
                  <c:v>690</c:v>
                </c:pt>
                <c:pt idx="13">
                  <c:v>1800</c:v>
                </c:pt>
              </c:numCache>
            </c:numRef>
          </c:val>
        </c:ser>
        <c:ser>
          <c:idx val="1"/>
          <c:order val="1"/>
          <c:tx>
            <c:strRef>
              <c:f>'38'!$D$33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'38'!$D$34:$D$47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'38'!$E$33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'38'!$E$34:$E$47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758208"/>
        <c:axId val="117760000"/>
      </c:barChart>
      <c:catAx>
        <c:axId val="11775820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760000"/>
        <c:crosses val="autoZero"/>
        <c:auto val="1"/>
        <c:lblAlgn val="ctr"/>
        <c:lblOffset val="100"/>
        <c:tickLblSkip val="1"/>
        <c:tickMarkSkip val="1"/>
      </c:catAx>
      <c:valAx>
        <c:axId val="1177600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758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'39'!$C$33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'39'!$A$34:$B$47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'39'!$C$34:$C$47</c:f>
              <c:numCache>
                <c:formatCode>General</c:formatCode>
                <c:ptCount val="14"/>
                <c:pt idx="0">
                  <c:v>3600</c:v>
                </c:pt>
                <c:pt idx="1">
                  <c:v>240</c:v>
                </c:pt>
                <c:pt idx="2">
                  <c:v>40</c:v>
                </c:pt>
                <c:pt idx="3">
                  <c:v>170</c:v>
                </c:pt>
                <c:pt idx="4">
                  <c:v>2280</c:v>
                </c:pt>
                <c:pt idx="5">
                  <c:v>540</c:v>
                </c:pt>
                <c:pt idx="6">
                  <c:v>90</c:v>
                </c:pt>
                <c:pt idx="7">
                  <c:v>2790</c:v>
                </c:pt>
                <c:pt idx="8">
                  <c:v>1860</c:v>
                </c:pt>
                <c:pt idx="9">
                  <c:v>440</c:v>
                </c:pt>
                <c:pt idx="10">
                  <c:v>440</c:v>
                </c:pt>
                <c:pt idx="11">
                  <c:v>1740</c:v>
                </c:pt>
                <c:pt idx="12">
                  <c:v>720</c:v>
                </c:pt>
                <c:pt idx="13">
                  <c:v>1920</c:v>
                </c:pt>
              </c:numCache>
            </c:numRef>
          </c:val>
        </c:ser>
        <c:ser>
          <c:idx val="1"/>
          <c:order val="1"/>
          <c:tx>
            <c:strRef>
              <c:f>'39'!$D$33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'39'!$A$34:$B$47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'39'!$D$34:$D$47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'39'!$E$33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'39'!$A$34:$B$47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'39'!$E$34:$E$47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806208"/>
        <c:axId val="117807744"/>
      </c:barChart>
      <c:catAx>
        <c:axId val="11780620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807744"/>
        <c:crosses val="autoZero"/>
        <c:auto val="1"/>
        <c:lblAlgn val="ctr"/>
        <c:lblOffset val="100"/>
        <c:tickLblSkip val="1"/>
        <c:tickMarkSkip val="1"/>
      </c:catAx>
      <c:valAx>
        <c:axId val="1178077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806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'40'!$C$33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'40'!$C$34:$C$47</c:f>
              <c:numCache>
                <c:formatCode>General</c:formatCode>
                <c:ptCount val="14"/>
                <c:pt idx="0">
                  <c:v>3720</c:v>
                </c:pt>
                <c:pt idx="1">
                  <c:v>240</c:v>
                </c:pt>
                <c:pt idx="2">
                  <c:v>40</c:v>
                </c:pt>
                <c:pt idx="3">
                  <c:v>170</c:v>
                </c:pt>
                <c:pt idx="4">
                  <c:v>2280</c:v>
                </c:pt>
                <c:pt idx="5">
                  <c:v>540</c:v>
                </c:pt>
                <c:pt idx="6">
                  <c:v>90</c:v>
                </c:pt>
                <c:pt idx="7">
                  <c:v>2850</c:v>
                </c:pt>
                <c:pt idx="8">
                  <c:v>1860</c:v>
                </c:pt>
                <c:pt idx="9">
                  <c:v>440</c:v>
                </c:pt>
                <c:pt idx="10">
                  <c:v>440</c:v>
                </c:pt>
                <c:pt idx="11">
                  <c:v>1740</c:v>
                </c:pt>
                <c:pt idx="12">
                  <c:v>750</c:v>
                </c:pt>
                <c:pt idx="13">
                  <c:v>1980</c:v>
                </c:pt>
              </c:numCache>
            </c:numRef>
          </c:val>
        </c:ser>
        <c:ser>
          <c:idx val="1"/>
          <c:order val="1"/>
          <c:tx>
            <c:strRef>
              <c:f>'40'!$D$33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'40'!$D$34:$D$47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'40'!$E$33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'40'!$A$34:$B$47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'40'!$E$34:$E$47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911552"/>
        <c:axId val="117913088"/>
      </c:barChart>
      <c:catAx>
        <c:axId val="11791155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13088"/>
        <c:crosses val="autoZero"/>
        <c:auto val="1"/>
        <c:lblAlgn val="ctr"/>
        <c:lblOffset val="100"/>
        <c:tickLblSkip val="1"/>
        <c:tickMarkSkip val="1"/>
      </c:catAx>
      <c:valAx>
        <c:axId val="1179130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11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'41'!$C$32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'41'!$A$33:$B$46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'41'!$C$33:$C$46</c:f>
              <c:numCache>
                <c:formatCode>General</c:formatCode>
                <c:ptCount val="14"/>
                <c:pt idx="0">
                  <c:v>3840</c:v>
                </c:pt>
                <c:pt idx="1">
                  <c:v>240</c:v>
                </c:pt>
                <c:pt idx="2">
                  <c:v>40</c:v>
                </c:pt>
                <c:pt idx="3">
                  <c:v>170</c:v>
                </c:pt>
                <c:pt idx="4">
                  <c:v>2340</c:v>
                </c:pt>
                <c:pt idx="5">
                  <c:v>540</c:v>
                </c:pt>
                <c:pt idx="6">
                  <c:v>90</c:v>
                </c:pt>
                <c:pt idx="7">
                  <c:v>2910</c:v>
                </c:pt>
                <c:pt idx="8">
                  <c:v>1920</c:v>
                </c:pt>
                <c:pt idx="9">
                  <c:v>460</c:v>
                </c:pt>
                <c:pt idx="10">
                  <c:v>460</c:v>
                </c:pt>
                <c:pt idx="11">
                  <c:v>1800</c:v>
                </c:pt>
                <c:pt idx="12">
                  <c:v>780</c:v>
                </c:pt>
                <c:pt idx="13">
                  <c:v>2040</c:v>
                </c:pt>
              </c:numCache>
            </c:numRef>
          </c:val>
        </c:ser>
        <c:ser>
          <c:idx val="1"/>
          <c:order val="1"/>
          <c:tx>
            <c:strRef>
              <c:f>'41'!$D$32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'41'!$A$33:$B$46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'41'!$D$33:$D$46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'41'!$E$32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'41'!$A$33:$B$46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'41'!$E$33:$E$46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959680"/>
        <c:axId val="116146944"/>
      </c:barChart>
      <c:catAx>
        <c:axId val="11795968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6146944"/>
        <c:crosses val="autoZero"/>
        <c:auto val="1"/>
        <c:lblAlgn val="ctr"/>
        <c:lblOffset val="100"/>
        <c:tickLblSkip val="1"/>
        <c:tickMarkSkip val="1"/>
      </c:catAx>
      <c:valAx>
        <c:axId val="1161469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959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'42'!$C$33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'42'!$C$34:$C$47</c:f>
              <c:numCache>
                <c:formatCode>General</c:formatCode>
                <c:ptCount val="14"/>
                <c:pt idx="0">
                  <c:v>3960</c:v>
                </c:pt>
                <c:pt idx="1">
                  <c:v>260</c:v>
                </c:pt>
                <c:pt idx="2">
                  <c:v>40</c:v>
                </c:pt>
                <c:pt idx="3">
                  <c:v>170</c:v>
                </c:pt>
                <c:pt idx="4">
                  <c:v>2460</c:v>
                </c:pt>
                <c:pt idx="5">
                  <c:v>540</c:v>
                </c:pt>
                <c:pt idx="6">
                  <c:v>90</c:v>
                </c:pt>
                <c:pt idx="7">
                  <c:v>2970</c:v>
                </c:pt>
                <c:pt idx="8">
                  <c:v>1980</c:v>
                </c:pt>
                <c:pt idx="9">
                  <c:v>480</c:v>
                </c:pt>
                <c:pt idx="10">
                  <c:v>480</c:v>
                </c:pt>
                <c:pt idx="11">
                  <c:v>1860</c:v>
                </c:pt>
                <c:pt idx="12">
                  <c:v>810</c:v>
                </c:pt>
                <c:pt idx="13">
                  <c:v>2100</c:v>
                </c:pt>
              </c:numCache>
            </c:numRef>
          </c:val>
        </c:ser>
        <c:ser>
          <c:idx val="1"/>
          <c:order val="1"/>
          <c:tx>
            <c:strRef>
              <c:f>'42'!$D$33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'42'!$D$34:$D$47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'42'!$E$33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'42'!$A$34:$B$47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'42'!$E$34:$E$47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667712"/>
        <c:axId val="117669248"/>
      </c:barChart>
      <c:catAx>
        <c:axId val="11766771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669248"/>
        <c:crosses val="autoZero"/>
        <c:auto val="1"/>
        <c:lblAlgn val="ctr"/>
        <c:lblOffset val="100"/>
        <c:tickLblSkip val="1"/>
        <c:tickMarkSkip val="1"/>
      </c:catAx>
      <c:valAx>
        <c:axId val="1176692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667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'43'!$C$33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'43'!$C$34:$C$47</c:f>
              <c:numCache>
                <c:formatCode>General</c:formatCode>
                <c:ptCount val="14"/>
                <c:pt idx="0">
                  <c:v>4080</c:v>
                </c:pt>
                <c:pt idx="1">
                  <c:v>280</c:v>
                </c:pt>
                <c:pt idx="2">
                  <c:v>40</c:v>
                </c:pt>
                <c:pt idx="3">
                  <c:v>170</c:v>
                </c:pt>
                <c:pt idx="4">
                  <c:v>2580</c:v>
                </c:pt>
                <c:pt idx="5">
                  <c:v>540</c:v>
                </c:pt>
                <c:pt idx="6">
                  <c:v>90</c:v>
                </c:pt>
                <c:pt idx="7">
                  <c:v>3030</c:v>
                </c:pt>
                <c:pt idx="8">
                  <c:v>2040</c:v>
                </c:pt>
                <c:pt idx="9">
                  <c:v>500</c:v>
                </c:pt>
                <c:pt idx="10">
                  <c:v>500</c:v>
                </c:pt>
                <c:pt idx="11">
                  <c:v>1920</c:v>
                </c:pt>
                <c:pt idx="12">
                  <c:v>840</c:v>
                </c:pt>
                <c:pt idx="13">
                  <c:v>2220</c:v>
                </c:pt>
              </c:numCache>
            </c:numRef>
          </c:val>
        </c:ser>
        <c:ser>
          <c:idx val="1"/>
          <c:order val="1"/>
          <c:tx>
            <c:strRef>
              <c:f>'43'!$D$33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'43'!$D$34:$D$47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'43'!$E$33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'43'!$A$34:$B$47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'43'!$E$34:$E$47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609216"/>
        <c:axId val="117610752"/>
      </c:barChart>
      <c:catAx>
        <c:axId val="11760921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610752"/>
        <c:crosses val="autoZero"/>
        <c:auto val="1"/>
        <c:lblAlgn val="ctr"/>
        <c:lblOffset val="100"/>
        <c:tickLblSkip val="1"/>
        <c:tickMarkSkip val="1"/>
      </c:catAx>
      <c:valAx>
        <c:axId val="11761075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609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'44'!$C$33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'44'!$C$34:$C$47</c:f>
              <c:numCache>
                <c:formatCode>General</c:formatCode>
                <c:ptCount val="14"/>
                <c:pt idx="0">
                  <c:v>4200</c:v>
                </c:pt>
                <c:pt idx="1">
                  <c:v>280</c:v>
                </c:pt>
                <c:pt idx="2">
                  <c:v>60</c:v>
                </c:pt>
                <c:pt idx="3">
                  <c:v>190</c:v>
                </c:pt>
                <c:pt idx="4">
                  <c:v>2700</c:v>
                </c:pt>
                <c:pt idx="5">
                  <c:v>600</c:v>
                </c:pt>
                <c:pt idx="6">
                  <c:v>120</c:v>
                </c:pt>
                <c:pt idx="7">
                  <c:v>3090</c:v>
                </c:pt>
                <c:pt idx="8">
                  <c:v>2160</c:v>
                </c:pt>
                <c:pt idx="9">
                  <c:v>560</c:v>
                </c:pt>
                <c:pt idx="10">
                  <c:v>560</c:v>
                </c:pt>
                <c:pt idx="11">
                  <c:v>1980</c:v>
                </c:pt>
                <c:pt idx="12">
                  <c:v>870</c:v>
                </c:pt>
                <c:pt idx="13">
                  <c:v>2340</c:v>
                </c:pt>
              </c:numCache>
            </c:numRef>
          </c:val>
        </c:ser>
        <c:ser>
          <c:idx val="1"/>
          <c:order val="1"/>
          <c:tx>
            <c:strRef>
              <c:f>'44'!$D$33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'44'!$D$34:$D$47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'44'!$E$33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'44'!$A$34:$B$47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'44'!$E$34:$E$47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214016"/>
        <c:axId val="118109312"/>
      </c:barChart>
      <c:catAx>
        <c:axId val="11821401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109312"/>
        <c:crosses val="autoZero"/>
        <c:auto val="1"/>
        <c:lblAlgn val="ctr"/>
        <c:lblOffset val="100"/>
        <c:tickLblSkip val="1"/>
        <c:tickMarkSkip val="1"/>
      </c:catAx>
      <c:valAx>
        <c:axId val="1181093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214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022258080659846E-2"/>
          <c:w val="0.85126964933494553"/>
          <c:h val="0.59279858574081556"/>
        </c:manualLayout>
      </c:layout>
      <c:barChart>
        <c:barDir val="col"/>
        <c:grouping val="clustered"/>
        <c:ser>
          <c:idx val="0"/>
          <c:order val="0"/>
          <c:tx>
            <c:strRef>
              <c:f>'45'!$C$33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'45'!$C$34:$C$47</c:f>
              <c:numCache>
                <c:formatCode>General</c:formatCode>
                <c:ptCount val="14"/>
                <c:pt idx="0">
                  <c:v>4320</c:v>
                </c:pt>
                <c:pt idx="1">
                  <c:v>280</c:v>
                </c:pt>
                <c:pt idx="2">
                  <c:v>60</c:v>
                </c:pt>
                <c:pt idx="3">
                  <c:v>190</c:v>
                </c:pt>
                <c:pt idx="4">
                  <c:v>2760</c:v>
                </c:pt>
                <c:pt idx="5">
                  <c:v>600</c:v>
                </c:pt>
                <c:pt idx="6">
                  <c:v>150</c:v>
                </c:pt>
                <c:pt idx="7">
                  <c:v>3210</c:v>
                </c:pt>
                <c:pt idx="8">
                  <c:v>2160</c:v>
                </c:pt>
                <c:pt idx="9">
                  <c:v>580</c:v>
                </c:pt>
                <c:pt idx="10">
                  <c:v>580</c:v>
                </c:pt>
                <c:pt idx="11">
                  <c:v>1980</c:v>
                </c:pt>
                <c:pt idx="12">
                  <c:v>900</c:v>
                </c:pt>
                <c:pt idx="13">
                  <c:v>2400</c:v>
                </c:pt>
              </c:numCache>
            </c:numRef>
          </c:val>
        </c:ser>
        <c:ser>
          <c:idx val="1"/>
          <c:order val="1"/>
          <c:tx>
            <c:strRef>
              <c:f>'45'!$D$33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'45'!$D$34:$D$47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'45'!$E$33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'45'!$A$34:$B$47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'45'!$E$34:$E$47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155520"/>
        <c:axId val="118157312"/>
      </c:barChart>
      <c:catAx>
        <c:axId val="11815552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157312"/>
        <c:crosses val="autoZero"/>
        <c:auto val="1"/>
        <c:lblAlgn val="ctr"/>
        <c:lblOffset val="100"/>
        <c:tickLblSkip val="1"/>
        <c:tickMarkSkip val="1"/>
      </c:catAx>
      <c:valAx>
        <c:axId val="1181573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155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146851122710253"/>
          <c:w val="5.9250302297460693E-2"/>
          <c:h val="0.1772855583523934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'46'!$C$33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'46'!$C$34:$C$47</c:f>
              <c:numCache>
                <c:formatCode>General</c:formatCode>
                <c:ptCount val="14"/>
                <c:pt idx="0">
                  <c:v>4440</c:v>
                </c:pt>
                <c:pt idx="1">
                  <c:v>280</c:v>
                </c:pt>
                <c:pt idx="2">
                  <c:v>60</c:v>
                </c:pt>
                <c:pt idx="3">
                  <c:v>190</c:v>
                </c:pt>
                <c:pt idx="4">
                  <c:v>2820</c:v>
                </c:pt>
                <c:pt idx="5">
                  <c:v>600</c:v>
                </c:pt>
                <c:pt idx="6">
                  <c:v>180</c:v>
                </c:pt>
                <c:pt idx="7">
                  <c:v>3330</c:v>
                </c:pt>
                <c:pt idx="8">
                  <c:v>2160</c:v>
                </c:pt>
                <c:pt idx="9">
                  <c:v>600</c:v>
                </c:pt>
                <c:pt idx="10">
                  <c:v>600</c:v>
                </c:pt>
                <c:pt idx="11">
                  <c:v>1980</c:v>
                </c:pt>
                <c:pt idx="12">
                  <c:v>930</c:v>
                </c:pt>
                <c:pt idx="13">
                  <c:v>2460</c:v>
                </c:pt>
              </c:numCache>
            </c:numRef>
          </c:val>
        </c:ser>
        <c:ser>
          <c:idx val="1"/>
          <c:order val="1"/>
          <c:tx>
            <c:strRef>
              <c:f>'46'!$D$33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'46'!$D$34:$D$47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'46'!$E$33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'46'!$A$34:$B$47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'46'!$E$34:$E$47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9436032"/>
        <c:axId val="119437568"/>
      </c:barChart>
      <c:catAx>
        <c:axId val="11943603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9437568"/>
        <c:crosses val="autoZero"/>
        <c:auto val="1"/>
        <c:lblAlgn val="ctr"/>
        <c:lblOffset val="100"/>
        <c:tickLblSkip val="1"/>
        <c:tickMarkSkip val="1"/>
      </c:catAx>
      <c:valAx>
        <c:axId val="1194375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9436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'47'!$C$33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'47'!$C$34:$C$47</c:f>
              <c:numCache>
                <c:formatCode>General</c:formatCode>
                <c:ptCount val="14"/>
                <c:pt idx="0">
                  <c:v>4560</c:v>
                </c:pt>
                <c:pt idx="1">
                  <c:v>280</c:v>
                </c:pt>
                <c:pt idx="2">
                  <c:v>60</c:v>
                </c:pt>
                <c:pt idx="3">
                  <c:v>190</c:v>
                </c:pt>
                <c:pt idx="4">
                  <c:v>2880</c:v>
                </c:pt>
                <c:pt idx="5">
                  <c:v>600</c:v>
                </c:pt>
                <c:pt idx="6">
                  <c:v>210</c:v>
                </c:pt>
                <c:pt idx="7">
                  <c:v>3450</c:v>
                </c:pt>
                <c:pt idx="8">
                  <c:v>2160</c:v>
                </c:pt>
                <c:pt idx="9">
                  <c:v>620</c:v>
                </c:pt>
                <c:pt idx="10">
                  <c:v>620</c:v>
                </c:pt>
                <c:pt idx="11">
                  <c:v>1980</c:v>
                </c:pt>
                <c:pt idx="12">
                  <c:v>960</c:v>
                </c:pt>
                <c:pt idx="13">
                  <c:v>2520</c:v>
                </c:pt>
              </c:numCache>
            </c:numRef>
          </c:val>
        </c:ser>
        <c:ser>
          <c:idx val="1"/>
          <c:order val="1"/>
          <c:tx>
            <c:strRef>
              <c:f>'47'!$D$33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'47'!$D$34:$D$47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'47'!$E$33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'47'!$A$34:$B$47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'47'!$E$34:$E$47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7513600"/>
        <c:axId val="117535872"/>
      </c:barChart>
      <c:catAx>
        <c:axId val="11751360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535872"/>
        <c:crosses val="autoZero"/>
        <c:auto val="1"/>
        <c:lblAlgn val="ctr"/>
        <c:lblOffset val="100"/>
        <c:tickLblSkip val="1"/>
        <c:tickMarkSkip val="1"/>
      </c:catAx>
      <c:valAx>
        <c:axId val="11753587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7513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b-NO"/>
  <c:chart>
    <c:plotArea>
      <c:layout>
        <c:manualLayout>
          <c:layoutTarget val="inner"/>
          <c:xMode val="edge"/>
          <c:yMode val="edge"/>
          <c:x val="6.6505441354292621E-2"/>
          <c:y val="7.2222418138070038E-2"/>
          <c:w val="0.85126964933494553"/>
          <c:h val="0.59166827166957392"/>
        </c:manualLayout>
      </c:layout>
      <c:barChart>
        <c:barDir val="col"/>
        <c:grouping val="clustered"/>
        <c:ser>
          <c:idx val="0"/>
          <c:order val="0"/>
          <c:tx>
            <c:strRef>
              <c:f>'48'!$C$33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'48'!$C$34:$C$47</c:f>
              <c:numCache>
                <c:formatCode>General</c:formatCode>
                <c:ptCount val="14"/>
                <c:pt idx="0">
                  <c:v>4680</c:v>
                </c:pt>
                <c:pt idx="1">
                  <c:v>280</c:v>
                </c:pt>
                <c:pt idx="2">
                  <c:v>60</c:v>
                </c:pt>
                <c:pt idx="3">
                  <c:v>190</c:v>
                </c:pt>
                <c:pt idx="4">
                  <c:v>2940</c:v>
                </c:pt>
                <c:pt idx="5">
                  <c:v>600</c:v>
                </c:pt>
                <c:pt idx="6">
                  <c:v>240</c:v>
                </c:pt>
                <c:pt idx="7">
                  <c:v>3510</c:v>
                </c:pt>
                <c:pt idx="8">
                  <c:v>2220</c:v>
                </c:pt>
                <c:pt idx="9">
                  <c:v>660</c:v>
                </c:pt>
                <c:pt idx="10">
                  <c:v>660</c:v>
                </c:pt>
                <c:pt idx="11">
                  <c:v>1980</c:v>
                </c:pt>
                <c:pt idx="12">
                  <c:v>990</c:v>
                </c:pt>
                <c:pt idx="13">
                  <c:v>2580</c:v>
                </c:pt>
              </c:numCache>
            </c:numRef>
          </c:val>
        </c:ser>
        <c:ser>
          <c:idx val="1"/>
          <c:order val="1"/>
          <c:tx>
            <c:strRef>
              <c:f>'48'!$D$33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'48'!$D$34:$D$47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'48'!$E$33</c:f>
              <c:strCache>
                <c:ptCount val="1"/>
                <c:pt idx="0">
                  <c:v>Trent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'48'!$A$34:$B$47</c:f>
              <c:multiLvlStrCache>
                <c:ptCount val="14"/>
                <c:lvl>
                  <c:pt idx="0">
                    <c:v>Kontinuerlig</c:v>
                  </c:pt>
                  <c:pt idx="1">
                    <c:v>Intervall</c:v>
                  </c:pt>
                  <c:pt idx="2">
                    <c:v>Lokalt</c:v>
                  </c:pt>
                  <c:pt idx="3">
                    <c:v>Generell</c:v>
                  </c:pt>
                  <c:pt idx="4">
                    <c:v>Sub.maks.</c:v>
                  </c:pt>
                  <c:pt idx="5">
                    <c:v>Tungt</c:v>
                  </c:pt>
                  <c:pt idx="6">
                    <c:v>Eksplosivt</c:v>
                  </c:pt>
                  <c:pt idx="7">
                    <c:v>Sirkel</c:v>
                  </c:pt>
                  <c:pt idx="8">
                    <c:v>Tungt</c:v>
                  </c:pt>
                </c:lvl>
                <c:lvl>
                  <c:pt idx="0">
                    <c:v>Aerob</c:v>
                  </c:pt>
                  <c:pt idx="2">
                    <c:v>Anaerob</c:v>
                  </c:pt>
                  <c:pt idx="4">
                    <c:v>Maks.styrke</c:v>
                  </c:pt>
                  <c:pt idx="7">
                    <c:v>Uth.styrke</c:v>
                  </c:pt>
                  <c:pt idx="9">
                    <c:v>Spenst</c:v>
                  </c:pt>
                  <c:pt idx="10">
                    <c:v>Hurtighet</c:v>
                  </c:pt>
                  <c:pt idx="11">
                    <c:v>Koordinasjon</c:v>
                  </c:pt>
                  <c:pt idx="12">
                    <c:v>Bevegelighet</c:v>
                  </c:pt>
                  <c:pt idx="13">
                    <c:v>Rekreasjon</c:v>
                  </c:pt>
                </c:lvl>
              </c:multiLvlStrCache>
            </c:multiLvlStrRef>
          </c:cat>
          <c:val>
            <c:numRef>
              <c:f>'48'!$E$34:$E$47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118036736"/>
        <c:axId val="118042624"/>
      </c:barChart>
      <c:catAx>
        <c:axId val="11803673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042624"/>
        <c:crosses val="autoZero"/>
        <c:auto val="1"/>
        <c:lblAlgn val="ctr"/>
        <c:lblOffset val="100"/>
        <c:tickLblSkip val="1"/>
        <c:tickMarkSkip val="1"/>
      </c:catAx>
      <c:valAx>
        <c:axId val="1180426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18036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7617896009676"/>
          <c:y val="0.2722229606742641"/>
          <c:w val="5.9250302297460693E-2"/>
          <c:h val="0.1777782600321724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0.98425196899999989" l="0.78740157499999996" r="0.78740157499999996" t="0.9842519689999998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47625</xdr:rowOff>
    </xdr:from>
    <xdr:to>
      <xdr:col>19</xdr:col>
      <xdr:colOff>352425</xdr:colOff>
      <xdr:row>67</xdr:row>
      <xdr:rowOff>76200</xdr:rowOff>
    </xdr:to>
    <xdr:graphicFrame macro="">
      <xdr:nvGraphicFramePr>
        <xdr:cNvPr id="3383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47625</xdr:rowOff>
    </xdr:from>
    <xdr:to>
      <xdr:col>19</xdr:col>
      <xdr:colOff>352425</xdr:colOff>
      <xdr:row>67</xdr:row>
      <xdr:rowOff>76200</xdr:rowOff>
    </xdr:to>
    <xdr:graphicFrame macro="">
      <xdr:nvGraphicFramePr>
        <xdr:cNvPr id="3280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47625</xdr:rowOff>
    </xdr:from>
    <xdr:to>
      <xdr:col>19</xdr:col>
      <xdr:colOff>352425</xdr:colOff>
      <xdr:row>67</xdr:row>
      <xdr:rowOff>76200</xdr:rowOff>
    </xdr:to>
    <xdr:graphicFrame macro="">
      <xdr:nvGraphicFramePr>
        <xdr:cNvPr id="106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85725</xdr:rowOff>
    </xdr:from>
    <xdr:to>
      <xdr:col>19</xdr:col>
      <xdr:colOff>352425</xdr:colOff>
      <xdr:row>69</xdr:row>
      <xdr:rowOff>28575</xdr:rowOff>
    </xdr:to>
    <xdr:graphicFrame macro="">
      <xdr:nvGraphicFramePr>
        <xdr:cNvPr id="209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9525</xdr:rowOff>
    </xdr:from>
    <xdr:to>
      <xdr:col>19</xdr:col>
      <xdr:colOff>323850</xdr:colOff>
      <xdr:row>68</xdr:row>
      <xdr:rowOff>114300</xdr:rowOff>
    </xdr:to>
    <xdr:graphicFrame macro="">
      <xdr:nvGraphicFramePr>
        <xdr:cNvPr id="31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0</xdr:rowOff>
    </xdr:from>
    <xdr:to>
      <xdr:col>19</xdr:col>
      <xdr:colOff>352425</xdr:colOff>
      <xdr:row>68</xdr:row>
      <xdr:rowOff>104775</xdr:rowOff>
    </xdr:to>
    <xdr:graphicFrame macro="">
      <xdr:nvGraphicFramePr>
        <xdr:cNvPr id="413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48</xdr:row>
      <xdr:rowOff>0</xdr:rowOff>
    </xdr:from>
    <xdr:to>
      <xdr:col>19</xdr:col>
      <xdr:colOff>371475</xdr:colOff>
      <xdr:row>68</xdr:row>
      <xdr:rowOff>104775</xdr:rowOff>
    </xdr:to>
    <xdr:graphicFrame macro="">
      <xdr:nvGraphicFramePr>
        <xdr:cNvPr id="516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618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0</xdr:rowOff>
    </xdr:from>
    <xdr:to>
      <xdr:col>19</xdr:col>
      <xdr:colOff>333375</xdr:colOff>
      <xdr:row>68</xdr:row>
      <xdr:rowOff>104775</xdr:rowOff>
    </xdr:to>
    <xdr:graphicFrame macro="">
      <xdr:nvGraphicFramePr>
        <xdr:cNvPr id="721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9525</xdr:rowOff>
    </xdr:from>
    <xdr:to>
      <xdr:col>19</xdr:col>
      <xdr:colOff>361950</xdr:colOff>
      <xdr:row>68</xdr:row>
      <xdr:rowOff>114300</xdr:rowOff>
    </xdr:to>
    <xdr:graphicFrame macro="">
      <xdr:nvGraphicFramePr>
        <xdr:cNvPr id="823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925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1028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114300</xdr:rowOff>
    </xdr:to>
    <xdr:graphicFrame macro="">
      <xdr:nvGraphicFramePr>
        <xdr:cNvPr id="1130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47</xdr:row>
      <xdr:rowOff>0</xdr:rowOff>
    </xdr:from>
    <xdr:to>
      <xdr:col>19</xdr:col>
      <xdr:colOff>352425</xdr:colOff>
      <xdr:row>67</xdr:row>
      <xdr:rowOff>19050</xdr:rowOff>
    </xdr:to>
    <xdr:graphicFrame macro="">
      <xdr:nvGraphicFramePr>
        <xdr:cNvPr id="1233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123825</xdr:rowOff>
    </xdr:to>
    <xdr:graphicFrame macro="">
      <xdr:nvGraphicFramePr>
        <xdr:cNvPr id="1335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104775</xdr:rowOff>
    </xdr:to>
    <xdr:graphicFrame macro="">
      <xdr:nvGraphicFramePr>
        <xdr:cNvPr id="1437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0</xdr:rowOff>
    </xdr:from>
    <xdr:to>
      <xdr:col>19</xdr:col>
      <xdr:colOff>352425</xdr:colOff>
      <xdr:row>68</xdr:row>
      <xdr:rowOff>104775</xdr:rowOff>
    </xdr:to>
    <xdr:graphicFrame macro="">
      <xdr:nvGraphicFramePr>
        <xdr:cNvPr id="1540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104775</xdr:rowOff>
    </xdr:to>
    <xdr:graphicFrame macro="">
      <xdr:nvGraphicFramePr>
        <xdr:cNvPr id="1642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1745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0</xdr:rowOff>
    </xdr:from>
    <xdr:to>
      <xdr:col>19</xdr:col>
      <xdr:colOff>361950</xdr:colOff>
      <xdr:row>68</xdr:row>
      <xdr:rowOff>104775</xdr:rowOff>
    </xdr:to>
    <xdr:graphicFrame macro="">
      <xdr:nvGraphicFramePr>
        <xdr:cNvPr id="1847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0</xdr:rowOff>
    </xdr:from>
    <xdr:to>
      <xdr:col>19</xdr:col>
      <xdr:colOff>333375</xdr:colOff>
      <xdr:row>68</xdr:row>
      <xdr:rowOff>104775</xdr:rowOff>
    </xdr:to>
    <xdr:graphicFrame macro="">
      <xdr:nvGraphicFramePr>
        <xdr:cNvPr id="1949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052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19</xdr:col>
      <xdr:colOff>323850</xdr:colOff>
      <xdr:row>68</xdr:row>
      <xdr:rowOff>104775</xdr:rowOff>
    </xdr:to>
    <xdr:graphicFrame macro="">
      <xdr:nvGraphicFramePr>
        <xdr:cNvPr id="2154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28575</xdr:rowOff>
    </xdr:from>
    <xdr:to>
      <xdr:col>19</xdr:col>
      <xdr:colOff>361950</xdr:colOff>
      <xdr:row>68</xdr:row>
      <xdr:rowOff>133350</xdr:rowOff>
    </xdr:to>
    <xdr:graphicFrame macro="">
      <xdr:nvGraphicFramePr>
        <xdr:cNvPr id="2257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2359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9525</xdr:rowOff>
    </xdr:from>
    <xdr:to>
      <xdr:col>19</xdr:col>
      <xdr:colOff>323850</xdr:colOff>
      <xdr:row>67</xdr:row>
      <xdr:rowOff>28575</xdr:rowOff>
    </xdr:to>
    <xdr:graphicFrame macro="">
      <xdr:nvGraphicFramePr>
        <xdr:cNvPr id="246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564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9525</xdr:rowOff>
    </xdr:from>
    <xdr:to>
      <xdr:col>19</xdr:col>
      <xdr:colOff>333375</xdr:colOff>
      <xdr:row>68</xdr:row>
      <xdr:rowOff>114300</xdr:rowOff>
    </xdr:to>
    <xdr:graphicFrame macro="">
      <xdr:nvGraphicFramePr>
        <xdr:cNvPr id="2666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769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123825</xdr:rowOff>
    </xdr:to>
    <xdr:graphicFrame macro="">
      <xdr:nvGraphicFramePr>
        <xdr:cNvPr id="287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28575</xdr:rowOff>
    </xdr:from>
    <xdr:to>
      <xdr:col>19</xdr:col>
      <xdr:colOff>352425</xdr:colOff>
      <xdr:row>68</xdr:row>
      <xdr:rowOff>133350</xdr:rowOff>
    </xdr:to>
    <xdr:graphicFrame macro="">
      <xdr:nvGraphicFramePr>
        <xdr:cNvPr id="2973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48</xdr:row>
      <xdr:rowOff>28575</xdr:rowOff>
    </xdr:from>
    <xdr:to>
      <xdr:col>19</xdr:col>
      <xdr:colOff>333375</xdr:colOff>
      <xdr:row>68</xdr:row>
      <xdr:rowOff>133350</xdr:rowOff>
    </xdr:to>
    <xdr:graphicFrame macro="">
      <xdr:nvGraphicFramePr>
        <xdr:cNvPr id="3076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48</xdr:row>
      <xdr:rowOff>9525</xdr:rowOff>
    </xdr:from>
    <xdr:to>
      <xdr:col>19</xdr:col>
      <xdr:colOff>352425</xdr:colOff>
      <xdr:row>68</xdr:row>
      <xdr:rowOff>114300</xdr:rowOff>
    </xdr:to>
    <xdr:graphicFrame macro="">
      <xdr:nvGraphicFramePr>
        <xdr:cNvPr id="3178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9"/>
  <sheetViews>
    <sheetView zoomScale="75" workbookViewId="0">
      <selection activeCell="AH5" sqref="AH5"/>
    </sheetView>
  </sheetViews>
  <sheetFormatPr baseColWidth="10" defaultRowHeight="12.75"/>
  <cols>
    <col min="1" max="1" width="15.7109375" customWidth="1"/>
    <col min="3" max="15" width="4.7109375" customWidth="1"/>
    <col min="16" max="16" width="5.140625" customWidth="1"/>
    <col min="17" max="17" width="5.7109375" customWidth="1"/>
    <col min="18" max="35" width="4.7109375" customWidth="1"/>
    <col min="36" max="36" width="6.7109375" customWidth="1"/>
  </cols>
  <sheetData>
    <row r="1" spans="1:36">
      <c r="A1" s="11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1" t="s">
        <v>54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A3" s="11" t="s">
        <v>32</v>
      </c>
      <c r="B3" s="14" t="s">
        <v>53</v>
      </c>
      <c r="C3" s="108"/>
      <c r="D3" s="108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A5" s="54"/>
      <c r="B5" s="109" t="s">
        <v>35</v>
      </c>
      <c r="C5" s="152"/>
      <c r="D5" s="152"/>
      <c r="E5" s="153"/>
      <c r="F5" s="152"/>
      <c r="G5" s="152"/>
      <c r="H5" s="152">
        <v>2</v>
      </c>
      <c r="I5" s="152">
        <v>1</v>
      </c>
      <c r="J5" s="152"/>
      <c r="K5" s="152">
        <v>2</v>
      </c>
      <c r="L5" s="152">
        <v>6</v>
      </c>
      <c r="M5" s="152"/>
      <c r="N5" s="152"/>
      <c r="O5" s="152"/>
      <c r="P5" s="152"/>
      <c r="Q5" s="152"/>
      <c r="R5" s="152"/>
      <c r="S5" s="152">
        <v>6</v>
      </c>
      <c r="T5" s="152"/>
      <c r="U5" s="152"/>
      <c r="V5" s="152"/>
      <c r="W5" s="154">
        <v>4</v>
      </c>
      <c r="X5" s="152"/>
      <c r="Y5" s="152"/>
      <c r="Z5" s="152">
        <v>5</v>
      </c>
      <c r="AA5" s="152">
        <v>6</v>
      </c>
      <c r="AB5" s="152"/>
      <c r="AC5" s="152">
        <v>5</v>
      </c>
      <c r="AD5" s="152">
        <v>4</v>
      </c>
      <c r="AE5" s="152"/>
      <c r="AF5" s="152">
        <v>5</v>
      </c>
      <c r="AG5" s="152">
        <v>7</v>
      </c>
      <c r="AH5" s="152">
        <v>3</v>
      </c>
      <c r="AI5" s="152"/>
      <c r="AJ5" s="55">
        <f>SUM(C5:AI5)</f>
        <v>56</v>
      </c>
    </row>
    <row r="6" spans="1:36" ht="13.5" thickBot="1">
      <c r="A6" s="51" t="s">
        <v>1</v>
      </c>
      <c r="B6" s="52" t="s">
        <v>30</v>
      </c>
      <c r="C6" s="143">
        <v>16</v>
      </c>
      <c r="D6" s="143">
        <v>17</v>
      </c>
      <c r="E6" s="112">
        <v>18</v>
      </c>
      <c r="F6" s="113">
        <v>19</v>
      </c>
      <c r="G6" s="114">
        <v>20</v>
      </c>
      <c r="H6" s="114">
        <v>21</v>
      </c>
      <c r="I6" s="114">
        <v>22</v>
      </c>
      <c r="J6" s="114">
        <v>23</v>
      </c>
      <c r="K6" s="115">
        <v>24</v>
      </c>
      <c r="L6" s="115">
        <v>25</v>
      </c>
      <c r="M6" s="115">
        <v>26</v>
      </c>
      <c r="N6" s="115">
        <v>27</v>
      </c>
      <c r="O6" s="115">
        <v>28</v>
      </c>
      <c r="P6" s="115">
        <v>29</v>
      </c>
      <c r="Q6" s="115">
        <v>30</v>
      </c>
      <c r="R6" s="115">
        <v>31</v>
      </c>
      <c r="S6" s="115">
        <v>32</v>
      </c>
      <c r="T6" s="115">
        <v>33</v>
      </c>
      <c r="U6" s="115">
        <v>34</v>
      </c>
      <c r="V6" s="115">
        <v>35</v>
      </c>
      <c r="W6" s="115"/>
      <c r="X6" s="115">
        <v>37</v>
      </c>
      <c r="Y6" s="115">
        <v>38</v>
      </c>
      <c r="Z6" s="115">
        <v>39</v>
      </c>
      <c r="AA6" s="115">
        <v>40</v>
      </c>
      <c r="AB6" s="115">
        <v>41</v>
      </c>
      <c r="AC6" s="115">
        <v>42</v>
      </c>
      <c r="AD6" s="115">
        <v>43</v>
      </c>
      <c r="AE6" s="115">
        <v>44</v>
      </c>
      <c r="AF6" s="115">
        <v>45</v>
      </c>
      <c r="AG6" s="115">
        <v>46</v>
      </c>
      <c r="AH6" s="115">
        <v>47</v>
      </c>
      <c r="AI6" s="116">
        <v>48</v>
      </c>
      <c r="AJ6" s="53" t="s">
        <v>34</v>
      </c>
    </row>
    <row r="7" spans="1:36" ht="20.100000000000001" customHeight="1">
      <c r="A7" s="37" t="s">
        <v>13</v>
      </c>
      <c r="B7" s="45" t="s">
        <v>50</v>
      </c>
      <c r="C7" s="144">
        <v>120</v>
      </c>
      <c r="D7" s="145">
        <v>120</v>
      </c>
      <c r="E7" s="118">
        <v>120</v>
      </c>
      <c r="F7" s="117">
        <v>240</v>
      </c>
      <c r="G7" s="117">
        <v>240</v>
      </c>
      <c r="H7" s="117">
        <v>240</v>
      </c>
      <c r="I7" s="117">
        <v>120</v>
      </c>
      <c r="J7" s="117">
        <v>240</v>
      </c>
      <c r="K7" s="119">
        <v>120</v>
      </c>
      <c r="L7" s="120">
        <v>120</v>
      </c>
      <c r="M7" s="121">
        <v>120</v>
      </c>
      <c r="N7" s="120">
        <v>120</v>
      </c>
      <c r="O7" s="120">
        <v>240</v>
      </c>
      <c r="P7" s="120">
        <v>240</v>
      </c>
      <c r="Q7" s="120">
        <v>240</v>
      </c>
      <c r="R7" s="120">
        <v>120</v>
      </c>
      <c r="S7" s="122">
        <v>120</v>
      </c>
      <c r="T7" s="123">
        <v>120</v>
      </c>
      <c r="U7" s="124">
        <v>120</v>
      </c>
      <c r="V7" s="123">
        <v>120</v>
      </c>
      <c r="W7" s="123">
        <v>120</v>
      </c>
      <c r="X7" s="123">
        <v>120</v>
      </c>
      <c r="Y7" s="123">
        <v>60</v>
      </c>
      <c r="Z7" s="123">
        <v>60</v>
      </c>
      <c r="AA7" s="125">
        <v>120</v>
      </c>
      <c r="AB7" s="126">
        <v>120</v>
      </c>
      <c r="AC7" s="127">
        <v>120</v>
      </c>
      <c r="AD7" s="126">
        <v>120</v>
      </c>
      <c r="AE7" s="125">
        <v>120</v>
      </c>
      <c r="AF7" s="128">
        <v>120</v>
      </c>
      <c r="AG7" s="128">
        <v>120</v>
      </c>
      <c r="AH7" s="128">
        <v>120</v>
      </c>
      <c r="AI7" s="129">
        <v>120</v>
      </c>
      <c r="AJ7" s="48">
        <f>SUM(C7:AI7)</f>
        <v>4680</v>
      </c>
    </row>
    <row r="8" spans="1:36" ht="20.100000000000001" customHeight="1">
      <c r="A8" s="39"/>
      <c r="B8" s="24" t="s">
        <v>23</v>
      </c>
      <c r="C8" s="146"/>
      <c r="D8" s="147"/>
      <c r="E8" s="110"/>
      <c r="F8" s="88"/>
      <c r="G8" s="88"/>
      <c r="H8" s="88"/>
      <c r="I8" s="88"/>
      <c r="J8" s="88"/>
      <c r="K8" s="89"/>
      <c r="L8" s="90"/>
      <c r="M8" s="91"/>
      <c r="N8" s="90">
        <v>30</v>
      </c>
      <c r="O8" s="90"/>
      <c r="P8" s="90">
        <v>30</v>
      </c>
      <c r="Q8" s="90">
        <v>30</v>
      </c>
      <c r="R8" s="90"/>
      <c r="S8" s="92"/>
      <c r="T8" s="93"/>
      <c r="U8" s="94">
        <v>30</v>
      </c>
      <c r="V8" s="93"/>
      <c r="W8" s="93"/>
      <c r="X8" s="93">
        <v>30</v>
      </c>
      <c r="Y8" s="93">
        <v>60</v>
      </c>
      <c r="Z8" s="93">
        <v>60</v>
      </c>
      <c r="AA8" s="95"/>
      <c r="AB8" s="96"/>
      <c r="AC8" s="97">
        <v>20</v>
      </c>
      <c r="AD8" s="96">
        <v>20</v>
      </c>
      <c r="AE8" s="95"/>
      <c r="AF8" s="1"/>
      <c r="AG8" s="1"/>
      <c r="AH8" s="1"/>
      <c r="AI8" s="130"/>
      <c r="AJ8" s="49">
        <f>SUM(C8:AI8)</f>
        <v>310</v>
      </c>
    </row>
    <row r="9" spans="1:36" ht="20.100000000000001" customHeight="1">
      <c r="A9" s="41" t="s">
        <v>14</v>
      </c>
      <c r="B9" s="24" t="s">
        <v>27</v>
      </c>
      <c r="C9" s="146"/>
      <c r="D9" s="147"/>
      <c r="E9" s="110"/>
      <c r="F9" s="88"/>
      <c r="G9" s="88"/>
      <c r="H9" s="88"/>
      <c r="I9" s="88"/>
      <c r="J9" s="88"/>
      <c r="K9" s="89"/>
      <c r="L9" s="90"/>
      <c r="M9" s="91"/>
      <c r="N9" s="90"/>
      <c r="O9" s="90"/>
      <c r="P9" s="90"/>
      <c r="Q9" s="90"/>
      <c r="R9" s="90"/>
      <c r="S9" s="92"/>
      <c r="T9" s="93"/>
      <c r="U9" s="94">
        <v>20</v>
      </c>
      <c r="V9" s="93"/>
      <c r="W9" s="93"/>
      <c r="X9" s="93"/>
      <c r="Y9" s="93">
        <v>20</v>
      </c>
      <c r="Z9" s="93"/>
      <c r="AA9" s="95"/>
      <c r="AB9" s="96"/>
      <c r="AC9" s="97"/>
      <c r="AD9" s="96"/>
      <c r="AE9" s="95">
        <v>20</v>
      </c>
      <c r="AF9" s="1"/>
      <c r="AG9" s="1"/>
      <c r="AH9" s="1"/>
      <c r="AI9" s="130"/>
      <c r="AJ9" s="49">
        <f t="shared" ref="AJ9:AJ20" si="0">SUM(C9:AI9)</f>
        <v>60</v>
      </c>
    </row>
    <row r="10" spans="1:36" ht="20.100000000000001" customHeight="1">
      <c r="A10" s="39"/>
      <c r="B10" s="24" t="s">
        <v>28</v>
      </c>
      <c r="C10" s="146"/>
      <c r="D10" s="147"/>
      <c r="E10" s="110"/>
      <c r="F10" s="88"/>
      <c r="G10" s="88"/>
      <c r="H10" s="88">
        <v>30</v>
      </c>
      <c r="I10" s="88"/>
      <c r="J10" s="88"/>
      <c r="K10" s="89"/>
      <c r="L10" s="90"/>
      <c r="M10" s="91">
        <v>60</v>
      </c>
      <c r="N10" s="90"/>
      <c r="O10" s="90"/>
      <c r="P10" s="90"/>
      <c r="Q10" s="90"/>
      <c r="R10" s="90"/>
      <c r="S10" s="92"/>
      <c r="T10" s="93"/>
      <c r="U10" s="94"/>
      <c r="V10" s="93"/>
      <c r="W10" s="93"/>
      <c r="X10" s="93"/>
      <c r="Y10" s="93">
        <v>20</v>
      </c>
      <c r="Z10" s="93"/>
      <c r="AA10" s="95"/>
      <c r="AB10" s="96"/>
      <c r="AC10" s="97"/>
      <c r="AD10" s="96"/>
      <c r="AE10" s="95">
        <v>20</v>
      </c>
      <c r="AF10" s="1"/>
      <c r="AG10" s="1"/>
      <c r="AH10" s="1"/>
      <c r="AI10" s="130"/>
      <c r="AJ10" s="49">
        <f t="shared" si="0"/>
        <v>130</v>
      </c>
    </row>
    <row r="11" spans="1:36" ht="20.100000000000001" customHeight="1">
      <c r="A11" s="41" t="s">
        <v>15</v>
      </c>
      <c r="B11" s="24" t="s">
        <v>29</v>
      </c>
      <c r="C11" s="146">
        <v>60</v>
      </c>
      <c r="D11" s="147">
        <v>120</v>
      </c>
      <c r="E11" s="110">
        <v>120</v>
      </c>
      <c r="F11" s="88">
        <v>120</v>
      </c>
      <c r="G11" s="88">
        <v>180</v>
      </c>
      <c r="H11" s="88">
        <v>180</v>
      </c>
      <c r="I11" s="88">
        <v>120</v>
      </c>
      <c r="J11" s="88">
        <v>180</v>
      </c>
      <c r="K11" s="89"/>
      <c r="L11" s="90"/>
      <c r="M11" s="91"/>
      <c r="N11" s="90">
        <v>120</v>
      </c>
      <c r="O11" s="90">
        <v>120</v>
      </c>
      <c r="P11" s="90">
        <v>120</v>
      </c>
      <c r="Q11" s="90">
        <v>120</v>
      </c>
      <c r="R11" s="90">
        <v>120</v>
      </c>
      <c r="S11" s="92"/>
      <c r="T11" s="93">
        <v>120</v>
      </c>
      <c r="U11" s="94">
        <v>120</v>
      </c>
      <c r="V11" s="93">
        <v>120</v>
      </c>
      <c r="W11" s="93">
        <v>120</v>
      </c>
      <c r="X11" s="93">
        <v>120</v>
      </c>
      <c r="Y11" s="93">
        <v>120</v>
      </c>
      <c r="Z11" s="93"/>
      <c r="AA11" s="95"/>
      <c r="AB11" s="96">
        <v>60</v>
      </c>
      <c r="AC11" s="97">
        <v>120</v>
      </c>
      <c r="AD11" s="96">
        <v>120</v>
      </c>
      <c r="AE11" s="95">
        <v>120</v>
      </c>
      <c r="AF11" s="1">
        <v>60</v>
      </c>
      <c r="AG11" s="1">
        <v>60</v>
      </c>
      <c r="AH11" s="1">
        <v>60</v>
      </c>
      <c r="AI11" s="130">
        <v>60</v>
      </c>
      <c r="AJ11" s="49">
        <f t="shared" si="0"/>
        <v>3060</v>
      </c>
    </row>
    <row r="12" spans="1:36" ht="20.100000000000001" customHeight="1">
      <c r="A12" s="42"/>
      <c r="B12" s="24" t="s">
        <v>24</v>
      </c>
      <c r="C12" s="146"/>
      <c r="D12" s="147"/>
      <c r="E12" s="110"/>
      <c r="F12" s="88"/>
      <c r="G12" s="88"/>
      <c r="H12" s="88"/>
      <c r="I12" s="88"/>
      <c r="J12" s="88"/>
      <c r="K12" s="89"/>
      <c r="L12" s="90"/>
      <c r="M12" s="91"/>
      <c r="N12" s="90"/>
      <c r="O12" s="90"/>
      <c r="P12" s="90">
        <v>60</v>
      </c>
      <c r="Q12" s="90">
        <v>60</v>
      </c>
      <c r="R12" s="90">
        <v>60</v>
      </c>
      <c r="S12" s="92"/>
      <c r="T12" s="93"/>
      <c r="U12" s="94">
        <v>60</v>
      </c>
      <c r="V12" s="93">
        <v>60</v>
      </c>
      <c r="W12" s="93">
        <v>60</v>
      </c>
      <c r="X12" s="93">
        <v>60</v>
      </c>
      <c r="Y12" s="93">
        <v>60</v>
      </c>
      <c r="Z12" s="93">
        <v>60</v>
      </c>
      <c r="AA12" s="95"/>
      <c r="AB12" s="96"/>
      <c r="AC12" s="97"/>
      <c r="AD12" s="96"/>
      <c r="AE12" s="95">
        <v>60</v>
      </c>
      <c r="AF12" s="1"/>
      <c r="AG12" s="1"/>
      <c r="AH12" s="1"/>
      <c r="AI12" s="130"/>
      <c r="AJ12" s="49">
        <f t="shared" si="0"/>
        <v>600</v>
      </c>
    </row>
    <row r="13" spans="1:36" ht="20.100000000000001" customHeight="1">
      <c r="A13" s="39"/>
      <c r="B13" s="24" t="s">
        <v>25</v>
      </c>
      <c r="C13" s="146"/>
      <c r="D13" s="147"/>
      <c r="E13" s="110"/>
      <c r="F13" s="88"/>
      <c r="G13" s="88"/>
      <c r="H13" s="88"/>
      <c r="I13" s="88"/>
      <c r="J13" s="88"/>
      <c r="K13" s="89"/>
      <c r="L13" s="90"/>
      <c r="M13" s="91"/>
      <c r="N13" s="90"/>
      <c r="O13" s="90"/>
      <c r="P13" s="90"/>
      <c r="Q13" s="90"/>
      <c r="R13" s="90"/>
      <c r="S13" s="92"/>
      <c r="T13" s="93"/>
      <c r="U13" s="94"/>
      <c r="V13" s="93"/>
      <c r="W13" s="93"/>
      <c r="X13" s="131"/>
      <c r="Y13" s="93">
        <v>30</v>
      </c>
      <c r="Z13" s="93">
        <v>30</v>
      </c>
      <c r="AA13" s="95"/>
      <c r="AB13" s="96"/>
      <c r="AC13" s="97"/>
      <c r="AD13" s="96"/>
      <c r="AE13" s="95">
        <v>30</v>
      </c>
      <c r="AF13" s="1">
        <v>30</v>
      </c>
      <c r="AG13" s="1">
        <v>30</v>
      </c>
      <c r="AH13" s="1">
        <v>30</v>
      </c>
      <c r="AI13" s="130">
        <v>30</v>
      </c>
      <c r="AJ13" s="49">
        <f t="shared" si="0"/>
        <v>210</v>
      </c>
    </row>
    <row r="14" spans="1:36" ht="20.100000000000001" customHeight="1">
      <c r="A14" s="41" t="s">
        <v>16</v>
      </c>
      <c r="B14" s="24" t="s">
        <v>26</v>
      </c>
      <c r="C14" s="146">
        <v>120</v>
      </c>
      <c r="D14" s="147">
        <v>120</v>
      </c>
      <c r="E14" s="110">
        <v>120</v>
      </c>
      <c r="F14" s="88">
        <v>120</v>
      </c>
      <c r="G14" s="88">
        <v>120</v>
      </c>
      <c r="H14" s="88">
        <v>120</v>
      </c>
      <c r="I14" s="88">
        <v>90</v>
      </c>
      <c r="J14" s="88">
        <v>120</v>
      </c>
      <c r="K14" s="88">
        <v>90</v>
      </c>
      <c r="L14" s="90">
        <v>120</v>
      </c>
      <c r="M14" s="91">
        <v>120</v>
      </c>
      <c r="N14" s="90">
        <v>120</v>
      </c>
      <c r="O14" s="90">
        <v>120</v>
      </c>
      <c r="P14" s="90">
        <v>120</v>
      </c>
      <c r="Q14" s="90">
        <v>120</v>
      </c>
      <c r="R14" s="90">
        <v>120</v>
      </c>
      <c r="S14" s="92">
        <v>120</v>
      </c>
      <c r="T14" s="93">
        <v>120</v>
      </c>
      <c r="U14" s="94">
        <v>120</v>
      </c>
      <c r="V14" s="93">
        <v>90</v>
      </c>
      <c r="W14" s="93">
        <v>120</v>
      </c>
      <c r="X14" s="93">
        <v>120</v>
      </c>
      <c r="Y14" s="93">
        <v>120</v>
      </c>
      <c r="Z14" s="93">
        <v>120</v>
      </c>
      <c r="AA14" s="95">
        <v>60</v>
      </c>
      <c r="AB14" s="96">
        <v>60</v>
      </c>
      <c r="AC14" s="97">
        <v>60</v>
      </c>
      <c r="AD14" s="96">
        <v>60</v>
      </c>
      <c r="AE14" s="95">
        <v>60</v>
      </c>
      <c r="AF14" s="1">
        <v>120</v>
      </c>
      <c r="AG14" s="1">
        <v>120</v>
      </c>
      <c r="AH14" s="1">
        <v>120</v>
      </c>
      <c r="AI14" s="130">
        <v>60</v>
      </c>
      <c r="AJ14" s="49">
        <f t="shared" si="0"/>
        <v>3510</v>
      </c>
    </row>
    <row r="15" spans="1:36" ht="20.100000000000001" customHeight="1">
      <c r="A15" s="39"/>
      <c r="B15" s="24" t="s">
        <v>24</v>
      </c>
      <c r="C15" s="146">
        <v>90</v>
      </c>
      <c r="D15" s="147">
        <v>90</v>
      </c>
      <c r="E15" s="110">
        <v>90</v>
      </c>
      <c r="F15" s="88">
        <v>90</v>
      </c>
      <c r="G15" s="88">
        <v>90</v>
      </c>
      <c r="H15" s="88">
        <v>90</v>
      </c>
      <c r="I15" s="88">
        <v>60</v>
      </c>
      <c r="J15" s="88">
        <v>90</v>
      </c>
      <c r="K15" s="89"/>
      <c r="L15" s="90"/>
      <c r="M15" s="91"/>
      <c r="N15" s="90">
        <v>120</v>
      </c>
      <c r="O15" s="90">
        <v>120</v>
      </c>
      <c r="P15" s="90">
        <v>120</v>
      </c>
      <c r="Q15" s="90">
        <v>120</v>
      </c>
      <c r="R15" s="90">
        <v>120</v>
      </c>
      <c r="S15" s="92"/>
      <c r="T15" s="93">
        <v>120</v>
      </c>
      <c r="U15" s="94">
        <v>120</v>
      </c>
      <c r="V15" s="93">
        <v>90</v>
      </c>
      <c r="W15" s="93">
        <v>120</v>
      </c>
      <c r="X15" s="93">
        <v>120</v>
      </c>
      <c r="Y15" s="93">
        <v>120</v>
      </c>
      <c r="Z15" s="93"/>
      <c r="AA15" s="95"/>
      <c r="AB15" s="96">
        <v>60</v>
      </c>
      <c r="AC15" s="97">
        <v>60</v>
      </c>
      <c r="AD15" s="96">
        <v>60</v>
      </c>
      <c r="AE15" s="95">
        <v>120</v>
      </c>
      <c r="AF15" s="1"/>
      <c r="AG15" s="1"/>
      <c r="AH15" s="1"/>
      <c r="AI15" s="130">
        <v>60</v>
      </c>
      <c r="AJ15" s="49">
        <f t="shared" si="0"/>
        <v>2340</v>
      </c>
    </row>
    <row r="16" spans="1:36" ht="20.100000000000001" customHeight="1">
      <c r="A16" s="39" t="s">
        <v>17</v>
      </c>
      <c r="B16" s="35"/>
      <c r="C16" s="146"/>
      <c r="D16" s="147"/>
      <c r="E16" s="110">
        <v>20</v>
      </c>
      <c r="F16" s="88"/>
      <c r="G16" s="88"/>
      <c r="H16" s="88"/>
      <c r="I16" s="88">
        <v>20</v>
      </c>
      <c r="J16" s="88">
        <v>40</v>
      </c>
      <c r="K16" s="88">
        <v>20</v>
      </c>
      <c r="L16" s="90">
        <v>20</v>
      </c>
      <c r="M16" s="91"/>
      <c r="N16" s="90"/>
      <c r="O16" s="90">
        <v>20</v>
      </c>
      <c r="P16" s="90">
        <v>40</v>
      </c>
      <c r="Q16" s="90">
        <v>40</v>
      </c>
      <c r="R16" s="90">
        <v>40</v>
      </c>
      <c r="S16" s="92"/>
      <c r="T16" s="93"/>
      <c r="U16" s="94">
        <v>20</v>
      </c>
      <c r="V16" s="93">
        <v>40</v>
      </c>
      <c r="W16" s="93"/>
      <c r="X16" s="93"/>
      <c r="Y16" s="93">
        <v>20</v>
      </c>
      <c r="Z16" s="93">
        <v>40</v>
      </c>
      <c r="AA16" s="95"/>
      <c r="AB16" s="96">
        <v>20</v>
      </c>
      <c r="AC16" s="97">
        <v>20</v>
      </c>
      <c r="AD16" s="96">
        <v>20</v>
      </c>
      <c r="AE16" s="95">
        <v>60</v>
      </c>
      <c r="AF16" s="1">
        <v>20</v>
      </c>
      <c r="AG16" s="1">
        <v>20</v>
      </c>
      <c r="AH16" s="1">
        <v>20</v>
      </c>
      <c r="AI16" s="130">
        <v>40</v>
      </c>
      <c r="AJ16" s="49">
        <f t="shared" si="0"/>
        <v>600</v>
      </c>
    </row>
    <row r="17" spans="1:38" ht="20.100000000000001" customHeight="1">
      <c r="A17" s="43" t="s">
        <v>18</v>
      </c>
      <c r="B17" s="35"/>
      <c r="C17" s="146"/>
      <c r="D17" s="147"/>
      <c r="E17" s="110">
        <v>20</v>
      </c>
      <c r="F17" s="88"/>
      <c r="G17" s="88"/>
      <c r="H17" s="88"/>
      <c r="I17" s="88">
        <v>20</v>
      </c>
      <c r="J17" s="88">
        <v>40</v>
      </c>
      <c r="K17" s="88">
        <v>20</v>
      </c>
      <c r="L17" s="90">
        <v>20</v>
      </c>
      <c r="M17" s="91"/>
      <c r="N17" s="90"/>
      <c r="O17" s="90">
        <v>20</v>
      </c>
      <c r="P17" s="90">
        <v>40</v>
      </c>
      <c r="Q17" s="90">
        <v>40</v>
      </c>
      <c r="R17" s="90">
        <v>40</v>
      </c>
      <c r="S17" s="92"/>
      <c r="T17" s="93"/>
      <c r="U17" s="94">
        <v>20</v>
      </c>
      <c r="V17" s="93">
        <v>40</v>
      </c>
      <c r="W17" s="93"/>
      <c r="X17" s="93"/>
      <c r="Y17" s="93">
        <v>20</v>
      </c>
      <c r="Z17" s="93">
        <v>40</v>
      </c>
      <c r="AA17" s="95"/>
      <c r="AB17" s="96">
        <v>20</v>
      </c>
      <c r="AC17" s="97">
        <v>20</v>
      </c>
      <c r="AD17" s="96">
        <v>20</v>
      </c>
      <c r="AE17" s="95">
        <v>60</v>
      </c>
      <c r="AF17" s="1">
        <v>20</v>
      </c>
      <c r="AG17" s="1">
        <v>20</v>
      </c>
      <c r="AH17" s="1">
        <v>20</v>
      </c>
      <c r="AI17" s="130">
        <v>40</v>
      </c>
      <c r="AJ17" s="49">
        <f t="shared" si="0"/>
        <v>600</v>
      </c>
    </row>
    <row r="18" spans="1:38" ht="20.100000000000001" customHeight="1">
      <c r="A18" s="43" t="s">
        <v>19</v>
      </c>
      <c r="B18" s="35"/>
      <c r="C18" s="146"/>
      <c r="D18" s="147">
        <v>120</v>
      </c>
      <c r="E18" s="110">
        <v>120</v>
      </c>
      <c r="F18" s="88">
        <v>120</v>
      </c>
      <c r="G18" s="88">
        <v>120</v>
      </c>
      <c r="H18" s="88">
        <v>120</v>
      </c>
      <c r="I18" s="88">
        <v>60</v>
      </c>
      <c r="J18" s="88">
        <v>120</v>
      </c>
      <c r="K18" s="89">
        <v>60</v>
      </c>
      <c r="L18" s="90"/>
      <c r="M18" s="91"/>
      <c r="N18" s="90">
        <v>120</v>
      </c>
      <c r="O18" s="90">
        <v>120</v>
      </c>
      <c r="P18" s="90">
        <v>120</v>
      </c>
      <c r="Q18" s="90">
        <v>120</v>
      </c>
      <c r="R18" s="90">
        <v>120</v>
      </c>
      <c r="S18" s="92"/>
      <c r="T18" s="93"/>
      <c r="U18" s="94">
        <v>60</v>
      </c>
      <c r="V18" s="93">
        <v>60</v>
      </c>
      <c r="W18" s="93">
        <v>120</v>
      </c>
      <c r="X18" s="93">
        <v>120</v>
      </c>
      <c r="Y18" s="93">
        <v>60</v>
      </c>
      <c r="Z18" s="93"/>
      <c r="AA18" s="95"/>
      <c r="AB18" s="96">
        <v>60</v>
      </c>
      <c r="AC18" s="97">
        <v>60</v>
      </c>
      <c r="AD18" s="96">
        <v>60</v>
      </c>
      <c r="AE18" s="95">
        <v>60</v>
      </c>
      <c r="AF18" s="1"/>
      <c r="AG18" s="1"/>
      <c r="AH18" s="1"/>
      <c r="AI18" s="130"/>
      <c r="AJ18" s="49">
        <f t="shared" si="0"/>
        <v>2100</v>
      </c>
    </row>
    <row r="19" spans="1:38" ht="20.100000000000001" customHeight="1">
      <c r="A19" s="43" t="s">
        <v>20</v>
      </c>
      <c r="B19" s="35"/>
      <c r="C19" s="146">
        <v>30</v>
      </c>
      <c r="D19" s="147">
        <v>30</v>
      </c>
      <c r="E19" s="110">
        <v>30</v>
      </c>
      <c r="F19" s="88">
        <v>30</v>
      </c>
      <c r="G19" s="88">
        <v>30</v>
      </c>
      <c r="H19" s="88">
        <v>30</v>
      </c>
      <c r="I19" s="88">
        <v>30</v>
      </c>
      <c r="J19" s="88">
        <v>30</v>
      </c>
      <c r="K19" s="88">
        <v>30</v>
      </c>
      <c r="L19" s="90">
        <v>30</v>
      </c>
      <c r="M19" s="90">
        <v>30</v>
      </c>
      <c r="N19" s="90">
        <v>30</v>
      </c>
      <c r="O19" s="90">
        <v>30</v>
      </c>
      <c r="P19" s="90">
        <v>30</v>
      </c>
      <c r="Q19" s="90">
        <v>30</v>
      </c>
      <c r="R19" s="90">
        <v>30</v>
      </c>
      <c r="S19" s="93">
        <v>30</v>
      </c>
      <c r="T19" s="93">
        <v>30</v>
      </c>
      <c r="U19" s="93">
        <v>30</v>
      </c>
      <c r="V19" s="93">
        <v>30</v>
      </c>
      <c r="W19" s="93">
        <v>30</v>
      </c>
      <c r="X19" s="93">
        <v>30</v>
      </c>
      <c r="Y19" s="93">
        <v>30</v>
      </c>
      <c r="Z19" s="93">
        <v>30</v>
      </c>
      <c r="AA19" s="96">
        <v>30</v>
      </c>
      <c r="AB19" s="96">
        <v>30</v>
      </c>
      <c r="AC19" s="96">
        <v>30</v>
      </c>
      <c r="AD19" s="96">
        <v>30</v>
      </c>
      <c r="AE19" s="95">
        <v>30</v>
      </c>
      <c r="AF19" s="1">
        <v>30</v>
      </c>
      <c r="AG19" s="1">
        <v>30</v>
      </c>
      <c r="AH19" s="1">
        <v>30</v>
      </c>
      <c r="AI19" s="130">
        <v>30</v>
      </c>
      <c r="AJ19" s="49">
        <f t="shared" si="0"/>
        <v>990</v>
      </c>
    </row>
    <row r="20" spans="1:38" ht="20.100000000000001" customHeight="1" thickBot="1">
      <c r="A20" s="27" t="s">
        <v>21</v>
      </c>
      <c r="B20" s="46"/>
      <c r="C20" s="148">
        <v>60</v>
      </c>
      <c r="D20" s="149">
        <v>60</v>
      </c>
      <c r="E20" s="133">
        <v>60</v>
      </c>
      <c r="F20" s="132">
        <v>60</v>
      </c>
      <c r="G20" s="132">
        <v>60</v>
      </c>
      <c r="H20" s="132">
        <v>60</v>
      </c>
      <c r="I20" s="132">
        <v>60</v>
      </c>
      <c r="J20" s="132">
        <v>60</v>
      </c>
      <c r="K20" s="132">
        <v>60</v>
      </c>
      <c r="L20" s="134">
        <v>60</v>
      </c>
      <c r="M20" s="135">
        <v>60</v>
      </c>
      <c r="N20" s="134">
        <v>120</v>
      </c>
      <c r="O20" s="134">
        <v>120</v>
      </c>
      <c r="P20" s="134">
        <v>120</v>
      </c>
      <c r="Q20" s="134">
        <v>120</v>
      </c>
      <c r="R20" s="134">
        <v>120</v>
      </c>
      <c r="S20" s="136">
        <v>60</v>
      </c>
      <c r="T20" s="137">
        <v>60</v>
      </c>
      <c r="U20" s="137">
        <v>120</v>
      </c>
      <c r="V20" s="137">
        <v>120</v>
      </c>
      <c r="W20" s="137">
        <v>60</v>
      </c>
      <c r="X20" s="137">
        <v>60</v>
      </c>
      <c r="Y20" s="137">
        <v>120</v>
      </c>
      <c r="Z20" s="137">
        <v>120</v>
      </c>
      <c r="AA20" s="138">
        <v>60</v>
      </c>
      <c r="AB20" s="139">
        <v>60</v>
      </c>
      <c r="AC20" s="140">
        <v>60</v>
      </c>
      <c r="AD20" s="139">
        <v>120</v>
      </c>
      <c r="AE20" s="138">
        <v>120</v>
      </c>
      <c r="AF20" s="141">
        <v>60</v>
      </c>
      <c r="AG20" s="141">
        <v>60</v>
      </c>
      <c r="AH20" s="141">
        <v>60</v>
      </c>
      <c r="AI20" s="142">
        <v>60</v>
      </c>
      <c r="AJ20" s="49">
        <f t="shared" si="0"/>
        <v>2640</v>
      </c>
    </row>
    <row r="21" spans="1:38" ht="20.100000000000001" customHeight="1" thickBot="1">
      <c r="A21" s="6"/>
      <c r="B21" s="30" t="s">
        <v>9</v>
      </c>
      <c r="C21" s="150">
        <f>SUM(C7:C20)</f>
        <v>480</v>
      </c>
      <c r="D21" s="151">
        <f>SUM(D7:D20)</f>
        <v>660</v>
      </c>
      <c r="E21" s="111">
        <f t="shared" ref="E21:AJ21" si="1">SUM(E7:E20)</f>
        <v>700</v>
      </c>
      <c r="F21" s="47">
        <f t="shared" si="1"/>
        <v>780</v>
      </c>
      <c r="G21" s="47">
        <f t="shared" si="1"/>
        <v>840</v>
      </c>
      <c r="H21" s="47">
        <f t="shared" si="1"/>
        <v>870</v>
      </c>
      <c r="I21" s="47">
        <f t="shared" si="1"/>
        <v>580</v>
      </c>
      <c r="J21" s="47">
        <f t="shared" si="1"/>
        <v>920</v>
      </c>
      <c r="K21" s="47">
        <f t="shared" si="1"/>
        <v>400</v>
      </c>
      <c r="L21" s="47">
        <f t="shared" si="1"/>
        <v>370</v>
      </c>
      <c r="M21" s="47">
        <f t="shared" si="1"/>
        <v>390</v>
      </c>
      <c r="N21" s="47">
        <f t="shared" si="1"/>
        <v>780</v>
      </c>
      <c r="O21" s="47">
        <f t="shared" si="1"/>
        <v>910</v>
      </c>
      <c r="P21" s="47">
        <f t="shared" si="1"/>
        <v>1040</v>
      </c>
      <c r="Q21" s="47">
        <f t="shared" si="1"/>
        <v>1040</v>
      </c>
      <c r="R21" s="47">
        <f t="shared" si="1"/>
        <v>890</v>
      </c>
      <c r="S21" s="47">
        <f t="shared" si="1"/>
        <v>330</v>
      </c>
      <c r="T21" s="47">
        <f t="shared" si="1"/>
        <v>570</v>
      </c>
      <c r="U21" s="47">
        <f t="shared" si="1"/>
        <v>840</v>
      </c>
      <c r="V21" s="47">
        <f t="shared" si="1"/>
        <v>770</v>
      </c>
      <c r="W21" s="47">
        <f t="shared" si="1"/>
        <v>750</v>
      </c>
      <c r="X21" s="47">
        <f t="shared" si="1"/>
        <v>780</v>
      </c>
      <c r="Y21" s="47">
        <f t="shared" si="1"/>
        <v>860</v>
      </c>
      <c r="Z21" s="47">
        <f t="shared" si="1"/>
        <v>560</v>
      </c>
      <c r="AA21" s="47">
        <f t="shared" si="1"/>
        <v>270</v>
      </c>
      <c r="AB21" s="47">
        <f t="shared" si="1"/>
        <v>490</v>
      </c>
      <c r="AC21" s="47">
        <f t="shared" si="1"/>
        <v>570</v>
      </c>
      <c r="AD21" s="47">
        <f t="shared" si="1"/>
        <v>630</v>
      </c>
      <c r="AE21" s="47">
        <f t="shared" si="1"/>
        <v>880</v>
      </c>
      <c r="AF21" s="47">
        <f t="shared" si="1"/>
        <v>460</v>
      </c>
      <c r="AG21" s="47">
        <f t="shared" si="1"/>
        <v>460</v>
      </c>
      <c r="AH21" s="47">
        <f t="shared" si="1"/>
        <v>460</v>
      </c>
      <c r="AI21" s="5">
        <f t="shared" si="1"/>
        <v>500</v>
      </c>
      <c r="AJ21" s="50">
        <f t="shared" si="1"/>
        <v>21830</v>
      </c>
      <c r="AK21" s="13"/>
      <c r="AL21" s="13"/>
    </row>
    <row r="22" spans="1:38">
      <c r="B22" s="107" t="s">
        <v>52</v>
      </c>
      <c r="C22" s="107"/>
      <c r="D22" s="107"/>
    </row>
    <row r="23" spans="1:38">
      <c r="B23" s="100" t="s">
        <v>37</v>
      </c>
      <c r="C23" s="100"/>
      <c r="D23" s="100"/>
      <c r="E23" s="100"/>
      <c r="F23" s="101"/>
      <c r="G23" s="101"/>
      <c r="H23" s="101"/>
      <c r="I23" s="101"/>
      <c r="J23" s="101"/>
      <c r="K23" s="101"/>
      <c r="L23" s="101"/>
      <c r="M23" s="101"/>
      <c r="N23" s="102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</row>
    <row r="24" spans="1:38">
      <c r="B24" s="100"/>
      <c r="C24" s="100"/>
      <c r="D24" s="100"/>
      <c r="E24" s="100" t="s">
        <v>38</v>
      </c>
      <c r="F24" s="101"/>
      <c r="G24" s="101"/>
      <c r="H24" s="101"/>
      <c r="I24" s="101"/>
      <c r="L24" s="101" t="s">
        <v>39</v>
      </c>
      <c r="M24" s="101"/>
      <c r="N24" s="101"/>
      <c r="P24" s="102"/>
      <c r="Q24" s="101"/>
      <c r="S24" s="101" t="s">
        <v>40</v>
      </c>
      <c r="T24" s="101"/>
      <c r="U24" s="101"/>
      <c r="V24" s="101"/>
      <c r="X24" s="101"/>
      <c r="Y24" s="101"/>
      <c r="Z24" s="101"/>
      <c r="AA24" s="101" t="s">
        <v>41</v>
      </c>
      <c r="AC24" s="101"/>
      <c r="AD24" s="101"/>
      <c r="AE24" s="101"/>
      <c r="AF24" s="101" t="s">
        <v>42</v>
      </c>
      <c r="AH24" s="101"/>
      <c r="AI24" s="101"/>
      <c r="AJ24" s="101"/>
      <c r="AK24" s="101"/>
    </row>
    <row r="25" spans="1:38">
      <c r="B25" s="100"/>
      <c r="C25" s="100"/>
      <c r="D25" s="100"/>
      <c r="E25" s="100" t="s">
        <v>43</v>
      </c>
      <c r="F25" s="101"/>
      <c r="G25" s="101"/>
      <c r="H25" s="101"/>
      <c r="I25" s="101"/>
      <c r="L25" s="101" t="s">
        <v>44</v>
      </c>
      <c r="M25" s="101"/>
      <c r="N25" s="101"/>
      <c r="P25" s="102"/>
      <c r="Q25" s="101"/>
      <c r="S25" s="101" t="s">
        <v>19</v>
      </c>
      <c r="T25" s="101"/>
      <c r="U25" s="101"/>
      <c r="V25" s="101"/>
      <c r="W25" s="101"/>
      <c r="X25" s="101"/>
      <c r="Y25" s="101"/>
      <c r="Z25" s="101"/>
      <c r="AA25" s="101" t="s">
        <v>45</v>
      </c>
      <c r="AC25" s="101"/>
      <c r="AD25" s="101"/>
      <c r="AE25" s="101"/>
      <c r="AF25" s="101" t="s">
        <v>46</v>
      </c>
      <c r="AH25" s="101"/>
      <c r="AI25" s="101"/>
      <c r="AJ25" s="101"/>
      <c r="AK25" s="101"/>
    </row>
    <row r="26" spans="1:38">
      <c r="B26" s="101"/>
      <c r="C26" s="101"/>
      <c r="D26" s="101"/>
      <c r="E26" s="100" t="s">
        <v>40</v>
      </c>
      <c r="F26" s="101"/>
      <c r="G26" s="101"/>
      <c r="H26" s="101"/>
      <c r="I26" s="101"/>
      <c r="L26" s="101" t="s">
        <v>15</v>
      </c>
      <c r="M26" s="101"/>
      <c r="N26" s="101"/>
      <c r="P26" s="101"/>
      <c r="Q26" s="101"/>
      <c r="S26" s="101" t="s">
        <v>41</v>
      </c>
      <c r="T26" s="101"/>
      <c r="U26" s="101"/>
      <c r="V26" s="101"/>
      <c r="W26" s="101"/>
      <c r="X26" s="101"/>
      <c r="Y26" s="101"/>
      <c r="Z26" s="101"/>
      <c r="AA26" s="101" t="s">
        <v>47</v>
      </c>
      <c r="AC26" s="101"/>
      <c r="AD26" s="101"/>
      <c r="AE26" s="101"/>
      <c r="AF26" s="101"/>
      <c r="AG26" s="101"/>
      <c r="AH26" s="101"/>
      <c r="AI26" s="101"/>
      <c r="AJ26" s="101"/>
      <c r="AK26" s="101"/>
    </row>
    <row r="27" spans="1:38">
      <c r="B27" s="103"/>
      <c r="C27" s="103"/>
      <c r="D27" s="103"/>
      <c r="E27" s="100" t="s">
        <v>48</v>
      </c>
      <c r="F27" s="101"/>
      <c r="G27" s="101"/>
      <c r="H27" s="101"/>
      <c r="I27" s="101"/>
      <c r="L27" s="101" t="s">
        <v>47</v>
      </c>
      <c r="M27" s="101"/>
      <c r="N27" s="101"/>
      <c r="P27" s="101"/>
      <c r="Q27" s="101"/>
      <c r="R27" s="101"/>
      <c r="S27" s="101" t="s">
        <v>15</v>
      </c>
      <c r="T27" s="101"/>
      <c r="U27" s="101"/>
      <c r="V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</row>
    <row r="28" spans="1:38"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s">
        <v>49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</row>
    <row r="29" spans="1:38"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8"/>
  <sheetViews>
    <sheetView tabSelected="1"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16</v>
      </c>
      <c r="C3" s="12"/>
      <c r="D3" s="12"/>
      <c r="E3" s="12"/>
      <c r="F3" s="12"/>
      <c r="G3" s="12" t="s">
        <v>51</v>
      </c>
      <c r="H3" s="82"/>
      <c r="I3" s="83"/>
      <c r="J3" s="83"/>
      <c r="K3" s="83"/>
      <c r="L3" s="83"/>
      <c r="M3" s="83"/>
      <c r="N3" s="83"/>
      <c r="O3" s="84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Rammeplan!C7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Rammeplan!C8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Rammeplan!C9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Rammeplan!C10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Rammeplan!C11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Rammeplan!C12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Rammeplan!C13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Rammeplan!C14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Rammeplan!C15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Rammeplan!C16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Rammeplan!C17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Rammeplan!C18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Rammeplan!C19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22"/>
      <c r="O20" s="77"/>
      <c r="P20" s="22"/>
      <c r="Q20" s="3">
        <f>Rammeplan!C20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480</v>
      </c>
      <c r="R21" s="34">
        <f>SUM(R7:R20)</f>
        <v>0</v>
      </c>
      <c r="S21" s="31">
        <f t="shared" si="1"/>
        <v>-480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98"/>
      <c r="H31" s="9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4" t="s">
        <v>12</v>
      </c>
      <c r="F32" s="60"/>
      <c r="G32" s="99"/>
      <c r="H32" s="98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20.100000000000001" customHeight="1">
      <c r="A33" s="37" t="s">
        <v>13</v>
      </c>
      <c r="B33" s="45" t="s">
        <v>22</v>
      </c>
      <c r="C33" s="65">
        <f>Rammeplan!C7</f>
        <v>120</v>
      </c>
      <c r="D33" s="68"/>
      <c r="E33" s="65">
        <f t="shared" ref="E33:E47" si="2">R7</f>
        <v>0</v>
      </c>
      <c r="F33" s="68"/>
      <c r="G33" s="98"/>
      <c r="H33" s="98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20.100000000000001" customHeight="1">
      <c r="A34" s="39"/>
      <c r="B34" s="24" t="s">
        <v>23</v>
      </c>
      <c r="C34" s="65">
        <f>Rammeplan!C8</f>
        <v>0</v>
      </c>
      <c r="D34" s="63"/>
      <c r="E34" s="62">
        <f t="shared" si="2"/>
        <v>0</v>
      </c>
      <c r="F34" s="63"/>
      <c r="G34" s="98"/>
      <c r="H34" s="9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Rammeplan!C9</f>
        <v>0</v>
      </c>
      <c r="D35" s="63"/>
      <c r="E35" s="62">
        <f t="shared" si="2"/>
        <v>0</v>
      </c>
      <c r="F35" s="63"/>
      <c r="G35" s="98"/>
      <c r="H35" s="98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Rammeplan!C10</f>
        <v>0</v>
      </c>
      <c r="D36" s="63"/>
      <c r="E36" s="62">
        <f t="shared" si="2"/>
        <v>0</v>
      </c>
      <c r="F36" s="63"/>
      <c r="G36" s="98"/>
      <c r="H36" s="98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Rammeplan!C11</f>
        <v>60</v>
      </c>
      <c r="D37" s="61"/>
      <c r="E37" s="62">
        <f t="shared" si="2"/>
        <v>0</v>
      </c>
      <c r="F37" s="63"/>
      <c r="G37" s="98"/>
      <c r="H37" s="98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Rammeplan!C12</f>
        <v>0</v>
      </c>
      <c r="D38" s="63"/>
      <c r="E38" s="62">
        <f t="shared" si="2"/>
        <v>0</v>
      </c>
      <c r="F38" s="63"/>
      <c r="G38" s="98"/>
      <c r="H38" s="98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Rammeplan!C13</f>
        <v>0</v>
      </c>
      <c r="D39" s="61"/>
      <c r="E39" s="62">
        <f t="shared" si="2"/>
        <v>0</v>
      </c>
      <c r="F39" s="63"/>
      <c r="G39" s="98"/>
      <c r="H39" s="98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Rammeplan!C14</f>
        <v>120</v>
      </c>
      <c r="D40" s="63"/>
      <c r="E40" s="62">
        <f t="shared" si="2"/>
        <v>0</v>
      </c>
      <c r="F40" s="63"/>
      <c r="G40" s="98"/>
      <c r="H40" s="98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Rammeplan!C15</f>
        <v>90</v>
      </c>
      <c r="D41" s="61"/>
      <c r="E41" s="62">
        <f t="shared" si="2"/>
        <v>0</v>
      </c>
      <c r="F41" s="63"/>
      <c r="G41" s="98"/>
      <c r="H41" s="98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Rammeplan!C16</f>
        <v>0</v>
      </c>
      <c r="D42" s="63"/>
      <c r="E42" s="62">
        <f t="shared" si="2"/>
        <v>0</v>
      </c>
      <c r="F42" s="63"/>
      <c r="G42" s="98"/>
      <c r="H42" s="98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Rammeplan!C17</f>
        <v>0</v>
      </c>
      <c r="D43" s="61"/>
      <c r="E43" s="62">
        <f t="shared" si="2"/>
        <v>0</v>
      </c>
      <c r="F43" s="63"/>
      <c r="G43" s="98"/>
      <c r="H43" s="98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Rammeplan!C18</f>
        <v>0</v>
      </c>
      <c r="D44" s="63"/>
      <c r="E44" s="62">
        <f t="shared" si="2"/>
        <v>0</v>
      </c>
      <c r="F44" s="63"/>
      <c r="G44" s="98"/>
      <c r="H44" s="98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Rammeplan!C19</f>
        <v>30</v>
      </c>
      <c r="D45" s="61"/>
      <c r="E45" s="62">
        <f t="shared" si="2"/>
        <v>0</v>
      </c>
      <c r="F45" s="63"/>
      <c r="G45" s="98"/>
      <c r="H45" s="98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Rammeplan!C20</f>
        <v>60</v>
      </c>
      <c r="D46" s="70"/>
      <c r="E46" s="69">
        <f t="shared" si="2"/>
        <v>0</v>
      </c>
      <c r="F46" s="61"/>
      <c r="G46" s="98"/>
      <c r="H46" s="98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480</v>
      </c>
      <c r="D47" s="60"/>
      <c r="E47" s="59">
        <f t="shared" si="2"/>
        <v>0</v>
      </c>
      <c r="F47" s="60"/>
      <c r="G47" s="98"/>
      <c r="H47" s="98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8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17</v>
      </c>
      <c r="C3" s="12"/>
      <c r="D3" s="12"/>
      <c r="E3" s="12"/>
      <c r="F3" s="12"/>
      <c r="G3" s="12" t="s">
        <v>51</v>
      </c>
      <c r="H3" s="104">
        <f>'16'!H3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Rammeplan!D7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Rammeplan!D8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Rammeplan!D9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Rammeplan!D10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Rammeplan!D11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Rammeplan!D12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Rammeplan!D13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Rammeplan!D14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Rammeplan!D15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Rammeplan!D16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Rammeplan!D17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Rammeplan!D18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Rammeplan!D19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22"/>
      <c r="O20" s="77"/>
      <c r="P20" s="22"/>
      <c r="Q20" s="3">
        <f>Rammeplan!D20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660</v>
      </c>
      <c r="R21" s="34">
        <f>SUM(R7:R20)</f>
        <v>0</v>
      </c>
      <c r="S21" s="31">
        <f t="shared" si="1"/>
        <v>-660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98"/>
      <c r="H31" s="9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4" t="s">
        <v>12</v>
      </c>
      <c r="F32" s="60"/>
      <c r="G32" s="99"/>
      <c r="H32" s="98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20.100000000000001" customHeight="1">
      <c r="A33" s="37" t="s">
        <v>13</v>
      </c>
      <c r="B33" s="45" t="s">
        <v>22</v>
      </c>
      <c r="C33" s="65">
        <f>'16'!C33+'17'!Q7</f>
        <v>240</v>
      </c>
      <c r="D33" s="68"/>
      <c r="E33" s="65">
        <f t="shared" ref="E33:E47" si="2">R7</f>
        <v>0</v>
      </c>
      <c r="F33" s="68"/>
      <c r="G33" s="98"/>
      <c r="H33" s="98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20.100000000000001" customHeight="1">
      <c r="A34" s="39"/>
      <c r="B34" s="24" t="s">
        <v>23</v>
      </c>
      <c r="C34" s="65">
        <f>'16'!C34+'17'!Q8</f>
        <v>0</v>
      </c>
      <c r="D34" s="63"/>
      <c r="E34" s="62">
        <f t="shared" si="2"/>
        <v>0</v>
      </c>
      <c r="F34" s="63"/>
      <c r="G34" s="98"/>
      <c r="H34" s="9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'16'!C35+'17'!Q9</f>
        <v>0</v>
      </c>
      <c r="D35" s="63"/>
      <c r="E35" s="62">
        <f t="shared" si="2"/>
        <v>0</v>
      </c>
      <c r="F35" s="63"/>
      <c r="G35" s="98"/>
      <c r="H35" s="98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'16'!C36+'17'!Q10</f>
        <v>0</v>
      </c>
      <c r="D36" s="63"/>
      <c r="E36" s="62">
        <f t="shared" si="2"/>
        <v>0</v>
      </c>
      <c r="F36" s="63"/>
      <c r="G36" s="98"/>
      <c r="H36" s="98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'16'!C37+'17'!Q11</f>
        <v>180</v>
      </c>
      <c r="D37" s="61"/>
      <c r="E37" s="62">
        <f t="shared" si="2"/>
        <v>0</v>
      </c>
      <c r="F37" s="63"/>
      <c r="G37" s="98"/>
      <c r="H37" s="98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'16'!C38+'17'!Q12</f>
        <v>0</v>
      </c>
      <c r="D38" s="63"/>
      <c r="E38" s="62">
        <f t="shared" si="2"/>
        <v>0</v>
      </c>
      <c r="F38" s="63"/>
      <c r="G38" s="98"/>
      <c r="H38" s="98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'16'!C39+'17'!Q13</f>
        <v>0</v>
      </c>
      <c r="D39" s="61"/>
      <c r="E39" s="62">
        <f t="shared" si="2"/>
        <v>0</v>
      </c>
      <c r="F39" s="63"/>
      <c r="G39" s="98"/>
      <c r="H39" s="98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'16'!C40+'17'!Q14</f>
        <v>240</v>
      </c>
      <c r="D40" s="63"/>
      <c r="E40" s="62">
        <f t="shared" si="2"/>
        <v>0</v>
      </c>
      <c r="F40" s="63"/>
      <c r="G40" s="98"/>
      <c r="H40" s="98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'16'!C41+'17'!Q15</f>
        <v>180</v>
      </c>
      <c r="D41" s="61"/>
      <c r="E41" s="62">
        <f t="shared" si="2"/>
        <v>0</v>
      </c>
      <c r="F41" s="63"/>
      <c r="G41" s="98"/>
      <c r="H41" s="98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'16'!C42+'17'!Q16</f>
        <v>0</v>
      </c>
      <c r="D42" s="63"/>
      <c r="E42" s="62">
        <f t="shared" si="2"/>
        <v>0</v>
      </c>
      <c r="F42" s="63"/>
      <c r="G42" s="98"/>
      <c r="H42" s="98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'16'!C43+'17'!Q17</f>
        <v>0</v>
      </c>
      <c r="D43" s="61"/>
      <c r="E43" s="62">
        <f t="shared" si="2"/>
        <v>0</v>
      </c>
      <c r="F43" s="63"/>
      <c r="G43" s="98"/>
      <c r="H43" s="98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'16'!C44+'17'!Q18</f>
        <v>120</v>
      </c>
      <c r="D44" s="63"/>
      <c r="E44" s="62">
        <f t="shared" si="2"/>
        <v>0</v>
      </c>
      <c r="F44" s="63"/>
      <c r="G44" s="98"/>
      <c r="H44" s="98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'16'!C45+'17'!Q19</f>
        <v>60</v>
      </c>
      <c r="D45" s="61"/>
      <c r="E45" s="62">
        <f t="shared" si="2"/>
        <v>0</v>
      </c>
      <c r="F45" s="63"/>
      <c r="G45" s="98"/>
      <c r="H45" s="98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'16'!C46+'17'!Q20</f>
        <v>120</v>
      </c>
      <c r="D46" s="70"/>
      <c r="E46" s="69">
        <f t="shared" si="2"/>
        <v>0</v>
      </c>
      <c r="F46" s="61"/>
      <c r="G46" s="98"/>
      <c r="H46" s="98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1140</v>
      </c>
      <c r="D47" s="60"/>
      <c r="E47" s="59">
        <f t="shared" si="2"/>
        <v>0</v>
      </c>
      <c r="F47" s="60"/>
      <c r="G47" s="98"/>
      <c r="H47" s="98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8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18</v>
      </c>
      <c r="C3" s="12"/>
      <c r="D3" s="12"/>
      <c r="E3" s="12"/>
      <c r="F3" s="12"/>
      <c r="G3" s="12" t="s">
        <v>51</v>
      </c>
      <c r="H3" s="104">
        <f>'16'!H3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Rammeplan!E7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Rammeplan!E8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Rammeplan!E9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Rammeplan!E10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Rammeplan!E11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Rammeplan!E12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Rammeplan!E13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Rammeplan!E14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Rammeplan!E15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Rammeplan!E16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Rammeplan!E17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Rammeplan!E18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Rammeplan!E19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22"/>
      <c r="O20" s="77"/>
      <c r="P20" s="22"/>
      <c r="Q20" s="3">
        <f>Rammeplan!E20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700</v>
      </c>
      <c r="R21" s="34">
        <f>SUM(R7:R20)</f>
        <v>0</v>
      </c>
      <c r="S21" s="31">
        <f t="shared" si="1"/>
        <v>-700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98"/>
      <c r="H31" s="9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4" t="s">
        <v>12</v>
      </c>
      <c r="F32" s="60"/>
      <c r="G32" s="99"/>
      <c r="H32" s="98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20.100000000000001" customHeight="1">
      <c r="A33" s="37" t="s">
        <v>13</v>
      </c>
      <c r="B33" s="45" t="s">
        <v>22</v>
      </c>
      <c r="C33" s="65">
        <f>'17'!C33+'17'!Q7</f>
        <v>360</v>
      </c>
      <c r="D33" s="68"/>
      <c r="E33" s="65">
        <f>R7</f>
        <v>0</v>
      </c>
      <c r="F33" s="68"/>
      <c r="G33" s="98"/>
      <c r="H33" s="98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20.100000000000001" customHeight="1">
      <c r="A34" s="39"/>
      <c r="B34" s="24" t="s">
        <v>23</v>
      </c>
      <c r="C34" s="65">
        <f>'17'!C34+'17'!Q8</f>
        <v>0</v>
      </c>
      <c r="D34" s="63"/>
      <c r="E34" s="62">
        <f>R8</f>
        <v>0</v>
      </c>
      <c r="F34" s="63"/>
      <c r="G34" s="98"/>
      <c r="H34" s="9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'17'!C35+'17'!Q9</f>
        <v>0</v>
      </c>
      <c r="D35" s="63"/>
      <c r="E35" s="62">
        <f t="shared" ref="E35:E47" si="2">R9</f>
        <v>0</v>
      </c>
      <c r="F35" s="63"/>
      <c r="G35" s="98"/>
      <c r="H35" s="98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'17'!C36+'17'!Q10</f>
        <v>0</v>
      </c>
      <c r="D36" s="63"/>
      <c r="E36" s="62">
        <f t="shared" si="2"/>
        <v>0</v>
      </c>
      <c r="F36" s="63"/>
      <c r="G36" s="98"/>
      <c r="H36" s="98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'17'!C37+'17'!Q11</f>
        <v>300</v>
      </c>
      <c r="D37" s="61"/>
      <c r="E37" s="62">
        <f t="shared" si="2"/>
        <v>0</v>
      </c>
      <c r="F37" s="63"/>
      <c r="G37" s="98"/>
      <c r="H37" s="98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'17'!C38+'17'!Q12</f>
        <v>0</v>
      </c>
      <c r="D38" s="63"/>
      <c r="E38" s="62">
        <f t="shared" si="2"/>
        <v>0</v>
      </c>
      <c r="F38" s="63"/>
      <c r="G38" s="98"/>
      <c r="H38" s="98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'17'!C39+'17'!Q13</f>
        <v>0</v>
      </c>
      <c r="D39" s="61"/>
      <c r="E39" s="62">
        <f t="shared" si="2"/>
        <v>0</v>
      </c>
      <c r="F39" s="63"/>
      <c r="G39" s="98"/>
      <c r="H39" s="98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'17'!C40+'17'!Q14</f>
        <v>360</v>
      </c>
      <c r="D40" s="63"/>
      <c r="E40" s="62">
        <f t="shared" si="2"/>
        <v>0</v>
      </c>
      <c r="F40" s="63"/>
      <c r="G40" s="98"/>
      <c r="H40" s="98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'17'!C41+'17'!Q15</f>
        <v>270</v>
      </c>
      <c r="D41" s="61"/>
      <c r="E41" s="62">
        <f t="shared" si="2"/>
        <v>0</v>
      </c>
      <c r="F41" s="63"/>
      <c r="G41" s="98"/>
      <c r="H41" s="98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'17'!C42+'17'!Q16</f>
        <v>0</v>
      </c>
      <c r="D42" s="63"/>
      <c r="E42" s="62">
        <f t="shared" si="2"/>
        <v>0</v>
      </c>
      <c r="F42" s="63"/>
      <c r="G42" s="98"/>
      <c r="H42" s="98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'17'!C43+'17'!Q17</f>
        <v>0</v>
      </c>
      <c r="D43" s="61"/>
      <c r="E43" s="62">
        <f t="shared" si="2"/>
        <v>0</v>
      </c>
      <c r="F43" s="63"/>
      <c r="G43" s="98"/>
      <c r="H43" s="98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'17'!C44+'17'!Q18</f>
        <v>240</v>
      </c>
      <c r="D44" s="63"/>
      <c r="E44" s="62">
        <f t="shared" si="2"/>
        <v>0</v>
      </c>
      <c r="F44" s="63"/>
      <c r="G44" s="98"/>
      <c r="H44" s="98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'17'!C45+'17'!Q19</f>
        <v>90</v>
      </c>
      <c r="D45" s="61"/>
      <c r="E45" s="62">
        <f t="shared" si="2"/>
        <v>0</v>
      </c>
      <c r="F45" s="63"/>
      <c r="G45" s="98"/>
      <c r="H45" s="98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'17'!C46+'17'!Q20</f>
        <v>180</v>
      </c>
      <c r="D46" s="70"/>
      <c r="E46" s="69">
        <f t="shared" si="2"/>
        <v>0</v>
      </c>
      <c r="F46" s="61"/>
      <c r="G46" s="98"/>
      <c r="H46" s="98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1800</v>
      </c>
      <c r="D47" s="60"/>
      <c r="E47" s="59">
        <f t="shared" si="2"/>
        <v>0</v>
      </c>
      <c r="F47" s="60"/>
      <c r="G47" s="98"/>
      <c r="H47" s="98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7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19</v>
      </c>
      <c r="C3" s="12"/>
      <c r="D3" s="12"/>
      <c r="E3" s="12"/>
      <c r="F3" s="12"/>
      <c r="G3" s="12" t="s">
        <v>51</v>
      </c>
      <c r="H3" s="104">
        <f>'16'!H3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Rammeplan!F7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Rammeplan!F8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Rammeplan!F9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Rammeplan!F10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Rammeplan!F11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Rammeplan!F12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Rammeplan!F13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Rammeplan!F14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Rammeplan!F15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Rammeplan!F16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Rammeplan!F17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Rammeplan!F18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Rammeplan!F19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Rammeplan!F20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780</v>
      </c>
      <c r="R21" s="34">
        <f>SUM(R7:R20)</f>
        <v>0</v>
      </c>
      <c r="S21" s="31">
        <f t="shared" si="1"/>
        <v>-780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'18'!C33+'19'!Q7</f>
        <v>600</v>
      </c>
      <c r="D34" s="68"/>
      <c r="E34" s="66">
        <f>'18'!E33+'19'!R7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'18'!C34+'19'!Q8</f>
        <v>0</v>
      </c>
      <c r="D35" s="63"/>
      <c r="E35" s="66">
        <f>'18'!E34+'18'!R8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'18'!C35+'19'!Q9</f>
        <v>0</v>
      </c>
      <c r="D36" s="63"/>
      <c r="E36" s="66">
        <f>'18'!E35+'18'!R9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'18'!C36+'19'!Q10</f>
        <v>0</v>
      </c>
      <c r="D37" s="63"/>
      <c r="E37" s="66">
        <f>'18'!E36+'18'!R10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'18'!C37+'19'!Q11</f>
        <v>420</v>
      </c>
      <c r="D38" s="61"/>
      <c r="E38" s="66">
        <f>'18'!E37+'18'!R11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'18'!C38+'19'!Q12</f>
        <v>0</v>
      </c>
      <c r="D39" s="63"/>
      <c r="E39" s="66">
        <f>'18'!E38+'18'!R12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'18'!C39+'19'!Q13</f>
        <v>0</v>
      </c>
      <c r="D40" s="61"/>
      <c r="E40" s="66">
        <f>'18'!E39+'18'!R13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'18'!C40+'19'!Q14</f>
        <v>480</v>
      </c>
      <c r="D41" s="63"/>
      <c r="E41" s="66">
        <f>'18'!E40+'18'!R14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'18'!C41+'19'!Q15</f>
        <v>360</v>
      </c>
      <c r="D42" s="61"/>
      <c r="E42" s="66">
        <f>'18'!E41+'18'!R15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'18'!C42+'19'!Q16</f>
        <v>0</v>
      </c>
      <c r="D43" s="63"/>
      <c r="E43" s="66">
        <f>'18'!E42+'18'!R16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'18'!C43+'19'!Q17</f>
        <v>0</v>
      </c>
      <c r="D44" s="61"/>
      <c r="E44" s="66">
        <f>'18'!E43+'18'!R17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'18'!C44+'19'!Q18</f>
        <v>360</v>
      </c>
      <c r="D45" s="63"/>
      <c r="E45" s="66">
        <f>'18'!E44+'18'!R18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'18'!C45+'19'!Q19</f>
        <v>120</v>
      </c>
      <c r="D46" s="61"/>
      <c r="E46" s="66">
        <f>'18'!E45+'18'!R19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'18'!C46+'19'!Q20</f>
        <v>240</v>
      </c>
      <c r="D47" s="70"/>
      <c r="E47" s="66">
        <f>'18'!E46+'18'!R20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2580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0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0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0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0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0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0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0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7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20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Rammeplan!G7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Rammeplan!G8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Rammeplan!G9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Rammeplan!G10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Rammeplan!G11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Rammeplan!G12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Rammeplan!G13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Rammeplan!G14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Rammeplan!G15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Rammeplan!L16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Rammeplan!L17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Rammeplan!G18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Rammeplan!G19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Rammeplan!G20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880</v>
      </c>
      <c r="R21" s="34">
        <f>SUM(R7:R20)</f>
        <v>0</v>
      </c>
      <c r="S21" s="31">
        <f t="shared" si="1"/>
        <v>-880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'19'!C34+'20'!Q7</f>
        <v>840</v>
      </c>
      <c r="D34" s="68"/>
      <c r="E34" s="66">
        <f>'19'!E34+'20'!R7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'19'!C35+'20'!Q8</f>
        <v>0</v>
      </c>
      <c r="D35" s="63"/>
      <c r="E35" s="66">
        <f>'19'!E35+'20'!R8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'19'!C36+'20'!Q9</f>
        <v>0</v>
      </c>
      <c r="D36" s="63"/>
      <c r="E36" s="66">
        <f>'19'!E36+'20'!R9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'19'!C37+'20'!Q10</f>
        <v>0</v>
      </c>
      <c r="D37" s="63"/>
      <c r="E37" s="66">
        <f>'19'!E37+'20'!R10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'19'!C38+'20'!Q11</f>
        <v>600</v>
      </c>
      <c r="D38" s="61"/>
      <c r="E38" s="66">
        <f>'19'!E38+'20'!R11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'19'!C39+'20'!Q12</f>
        <v>0</v>
      </c>
      <c r="D39" s="63"/>
      <c r="E39" s="66">
        <f>'19'!E39+'20'!R12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'19'!C40+'20'!Q13</f>
        <v>0</v>
      </c>
      <c r="D40" s="61"/>
      <c r="E40" s="66">
        <f>'19'!E40+'20'!R13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'19'!C41+'20'!Q14</f>
        <v>600</v>
      </c>
      <c r="D41" s="63"/>
      <c r="E41" s="66">
        <f>'19'!E41+'20'!R14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'19'!C42+'20'!Q15</f>
        <v>450</v>
      </c>
      <c r="D42" s="61"/>
      <c r="E42" s="66">
        <f>'19'!E42+'20'!R15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'19'!C43+'20'!Q16</f>
        <v>20</v>
      </c>
      <c r="D43" s="63"/>
      <c r="E43" s="66">
        <f>'19'!E43+'20'!R16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'19'!C44+'20'!Q17</f>
        <v>20</v>
      </c>
      <c r="D44" s="61"/>
      <c r="E44" s="66">
        <f>'19'!E44+'20'!R17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'19'!C45+'20'!Q18</f>
        <v>480</v>
      </c>
      <c r="D45" s="63"/>
      <c r="E45" s="66">
        <f>'19'!E45+'20'!R18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'19'!C46+'20'!Q19</f>
        <v>150</v>
      </c>
      <c r="D46" s="61"/>
      <c r="E46" s="66">
        <f>'19'!E46+'20'!R19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'19'!C47+'20'!Q20</f>
        <v>300</v>
      </c>
      <c r="D47" s="70"/>
      <c r="E47" s="66">
        <f>'19'!E47+'20'!R20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3460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0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0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0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0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0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0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0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T81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21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Rammeplan!H7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Rammeplan!H8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Rammeplan!H9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Rammeplan!H10</f>
        <v>30</v>
      </c>
      <c r="R10" s="4">
        <f t="shared" si="0"/>
        <v>0</v>
      </c>
      <c r="S10" s="9">
        <f t="shared" si="1"/>
        <v>-30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Rammeplan!H11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Rammeplan!H12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Rammeplan!H13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Rammeplan!H14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Rammeplan!H15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Rammeplan!I16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Rammeplan!I17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Rammeplan!H18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Rammeplan!H19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Rammeplan!H20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910</v>
      </c>
      <c r="R21" s="34">
        <f>SUM(R7:R20)</f>
        <v>0</v>
      </c>
      <c r="S21" s="31">
        <f t="shared" si="1"/>
        <v>-910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'20'!C34+'21'!Q7</f>
        <v>1080</v>
      </c>
      <c r="D34" s="68"/>
      <c r="E34" s="66">
        <f>'20'!E34+'21'!R7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'20'!C35+'21'!Q8</f>
        <v>0</v>
      </c>
      <c r="D35" s="63"/>
      <c r="E35" s="66">
        <f>'20'!E35+'21'!R8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'20'!C36+'21'!Q9</f>
        <v>0</v>
      </c>
      <c r="D36" s="63"/>
      <c r="E36" s="66">
        <f>'20'!E36+'21'!R9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'20'!C37+'21'!Q10</f>
        <v>30</v>
      </c>
      <c r="D37" s="63"/>
      <c r="E37" s="66">
        <f>'20'!E37+'21'!R10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'20'!C38+'21'!Q11</f>
        <v>780</v>
      </c>
      <c r="D38" s="61"/>
      <c r="E38" s="66">
        <f>'20'!E38+'21'!R11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'20'!C39+'21'!Q12</f>
        <v>0</v>
      </c>
      <c r="D39" s="63"/>
      <c r="E39" s="66">
        <f>'20'!E39+'21'!R12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'20'!C40+'21'!Q13</f>
        <v>0</v>
      </c>
      <c r="D40" s="61"/>
      <c r="E40" s="66">
        <f>'20'!E40+'21'!R13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'20'!C41+'21'!Q14</f>
        <v>720</v>
      </c>
      <c r="D41" s="63"/>
      <c r="E41" s="66">
        <f>'20'!E41+'21'!R14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'20'!C42+'21'!Q15</f>
        <v>540</v>
      </c>
      <c r="D42" s="61"/>
      <c r="E42" s="66">
        <f>'20'!E42+'21'!R15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'20'!C43+'21'!Q16</f>
        <v>40</v>
      </c>
      <c r="D43" s="63"/>
      <c r="E43" s="66">
        <f>'20'!E43+'21'!R16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'20'!C44+'21'!Q17</f>
        <v>40</v>
      </c>
      <c r="D44" s="61"/>
      <c r="E44" s="66">
        <f>'20'!E44+'21'!R17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'20'!C45+'21'!Q18</f>
        <v>600</v>
      </c>
      <c r="D45" s="63"/>
      <c r="E45" s="66">
        <f>'20'!E45+'21'!R18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'20'!C46+'21'!Q19</f>
        <v>180</v>
      </c>
      <c r="D46" s="61"/>
      <c r="E46" s="66">
        <f>'20'!E46+'21'!R19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'20'!C47+'21'!Q20</f>
        <v>360</v>
      </c>
      <c r="D47" s="70"/>
      <c r="E47" s="66">
        <f>'20'!E47+'21'!R20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4370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0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0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0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0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0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0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0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0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0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22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Rammeplan!I7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Rammeplan!I8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Rammeplan!I9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Rammeplan!I10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Rammeplan!I11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Rammeplan!I12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Rammeplan!I13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Rammeplan!I14</f>
        <v>90</v>
      </c>
      <c r="R14" s="4">
        <f t="shared" si="0"/>
        <v>0</v>
      </c>
      <c r="S14" s="9">
        <f t="shared" si="1"/>
        <v>-90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Rammeplan!I15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Rammeplan!J16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Rammeplan!J17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Rammeplan!I18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Rammeplan!I19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Rammeplan!I20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620</v>
      </c>
      <c r="R21" s="34">
        <f>SUM(R7:R20)</f>
        <v>0</v>
      </c>
      <c r="S21" s="31">
        <f t="shared" si="1"/>
        <v>-620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'21'!C34+'22'!Q7</f>
        <v>1200</v>
      </c>
      <c r="D34" s="68"/>
      <c r="E34" s="66">
        <f>'21'!E34+'22'!R7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'21'!C35+'22'!Q8</f>
        <v>0</v>
      </c>
      <c r="D35" s="63"/>
      <c r="E35" s="66">
        <f>'21'!E35+'22'!R8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'21'!C36+'22'!Q9</f>
        <v>0</v>
      </c>
      <c r="D36" s="63"/>
      <c r="E36" s="66">
        <f>'21'!E36+'22'!R9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'21'!C37+'22'!Q10</f>
        <v>30</v>
      </c>
      <c r="D37" s="63"/>
      <c r="E37" s="66">
        <f>'21'!E37+'22'!R10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'21'!C38+'22'!Q11</f>
        <v>900</v>
      </c>
      <c r="D38" s="61"/>
      <c r="E38" s="66">
        <f>'21'!E38+'22'!R11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'21'!C39+'22'!Q12</f>
        <v>0</v>
      </c>
      <c r="D39" s="63"/>
      <c r="E39" s="66">
        <f>'21'!E39+'22'!R12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'21'!C40+'22'!Q13</f>
        <v>0</v>
      </c>
      <c r="D40" s="61"/>
      <c r="E40" s="66">
        <f>'21'!E40+'22'!R13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'21'!C41+'22'!Q14</f>
        <v>810</v>
      </c>
      <c r="D41" s="63"/>
      <c r="E41" s="66">
        <f>'21'!E41+'22'!R14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'21'!C42+'22'!Q15</f>
        <v>600</v>
      </c>
      <c r="D42" s="61"/>
      <c r="E42" s="66">
        <f>'21'!E42+'22'!R15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'21'!C43+'22'!Q16</f>
        <v>80</v>
      </c>
      <c r="D43" s="63"/>
      <c r="E43" s="66">
        <f>'21'!E43+'22'!R16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'21'!C44+'22'!Q17</f>
        <v>80</v>
      </c>
      <c r="D44" s="61"/>
      <c r="E44" s="66">
        <f>'21'!E44+'22'!R17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'21'!C45+'22'!Q18</f>
        <v>660</v>
      </c>
      <c r="D45" s="63"/>
      <c r="E45" s="66">
        <f>'21'!E45+'22'!R18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'21'!C46+'22'!Q19</f>
        <v>210</v>
      </c>
      <c r="D46" s="61"/>
      <c r="E46" s="66">
        <f>'21'!E46+'22'!R19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'21'!C47+'22'!Q20</f>
        <v>420</v>
      </c>
      <c r="D47" s="70"/>
      <c r="E47" s="66">
        <f>'21'!E47+'22'!R20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4990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23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Rammeplan!J7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Rammeplan!J8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Rammeplan!J9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Rammeplan!J10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Rammeplan!J11</f>
        <v>180</v>
      </c>
      <c r="R11" s="4">
        <f t="shared" si="0"/>
        <v>0</v>
      </c>
      <c r="S11" s="9">
        <f t="shared" si="1"/>
        <v>-180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Rammeplan!J12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Rammeplan!J13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Rammeplan!J14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Rammeplan!J15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Rammeplan!J16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Rammeplan!J17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Rammeplan!J18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Rammeplan!J19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Rammeplan!J20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920</v>
      </c>
      <c r="R21" s="34">
        <f>SUM(R7:R20)</f>
        <v>0</v>
      </c>
      <c r="S21" s="31">
        <f t="shared" si="1"/>
        <v>-920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'22'!C34+'23'!Q7</f>
        <v>1440</v>
      </c>
      <c r="D34" s="68"/>
      <c r="E34" s="66">
        <f>'22'!E34+'23'!R7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'22'!C35+'23'!Q8</f>
        <v>0</v>
      </c>
      <c r="D35" s="63"/>
      <c r="E35" s="66">
        <f>'22'!E35+'23'!R8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'22'!C36+'23'!Q9</f>
        <v>0</v>
      </c>
      <c r="D36" s="63"/>
      <c r="E36" s="66">
        <f>'22'!E36+'23'!R9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'22'!C37+'23'!Q10</f>
        <v>30</v>
      </c>
      <c r="D37" s="63"/>
      <c r="E37" s="66">
        <f>'22'!E37+'23'!R10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'22'!C38+'23'!Q11</f>
        <v>1080</v>
      </c>
      <c r="D38" s="61"/>
      <c r="E38" s="66">
        <f>'22'!E38+'23'!R11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'22'!C39+'23'!Q12</f>
        <v>0</v>
      </c>
      <c r="D39" s="63"/>
      <c r="E39" s="66">
        <f>'22'!E39+'23'!R12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'22'!C40+'23'!Q13</f>
        <v>0</v>
      </c>
      <c r="D40" s="61"/>
      <c r="E40" s="66">
        <f>'22'!E40+'23'!R13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'22'!C41+'23'!Q14</f>
        <v>930</v>
      </c>
      <c r="D41" s="63"/>
      <c r="E41" s="66">
        <f>'22'!E41+'23'!R14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'22'!C42+'23'!Q15</f>
        <v>690</v>
      </c>
      <c r="D42" s="61"/>
      <c r="E42" s="66">
        <f>'22'!E42+'23'!R15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'22'!C43+'23'!Q16</f>
        <v>120</v>
      </c>
      <c r="D43" s="63"/>
      <c r="E43" s="66">
        <f>'22'!E43+'23'!R16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'22'!C44+'23'!Q17</f>
        <v>120</v>
      </c>
      <c r="D44" s="61"/>
      <c r="E44" s="66">
        <f>'22'!E44+'23'!R17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'22'!C45+'23'!Q18</f>
        <v>780</v>
      </c>
      <c r="D45" s="63"/>
      <c r="E45" s="66">
        <f>'22'!E45+'23'!R18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'22'!C46+'23'!Q19</f>
        <v>240</v>
      </c>
      <c r="D46" s="61"/>
      <c r="E46" s="66">
        <f>'22'!E46+'23'!R19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'22'!C47+'23'!Q20</f>
        <v>480</v>
      </c>
      <c r="D47" s="70"/>
      <c r="E47" s="66">
        <f>'22'!E47+'23'!R20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5910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24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Rammeplan!K7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Rammeplan!K8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Rammeplan!K9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Rammeplan!K10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Rammeplan!K11</f>
        <v>0</v>
      </c>
      <c r="R11" s="4">
        <f t="shared" si="0"/>
        <v>0</v>
      </c>
      <c r="S11" s="9">
        <f t="shared" si="1"/>
        <v>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Rammeplan!K12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Rammeplan!K13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Rammeplan!K14</f>
        <v>90</v>
      </c>
      <c r="R14" s="4">
        <f t="shared" si="0"/>
        <v>0</v>
      </c>
      <c r="S14" s="9">
        <f t="shared" si="1"/>
        <v>-90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Rammeplan!K15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Rammeplan!K16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Rammeplan!K17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Rammeplan!K18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Rammeplan!K19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Rammeplan!K20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400</v>
      </c>
      <c r="R21" s="34">
        <f>SUM(R7:R20)</f>
        <v>0</v>
      </c>
      <c r="S21" s="31">
        <f t="shared" si="1"/>
        <v>-400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'23'!C34+'24'!Q7</f>
        <v>1560</v>
      </c>
      <c r="D34" s="68"/>
      <c r="E34" s="66">
        <f>'23'!E34+'24'!R7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'23'!C35+'24'!Q8</f>
        <v>0</v>
      </c>
      <c r="D35" s="63"/>
      <c r="E35" s="66">
        <f>'23'!E35+'24'!R8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'23'!C36+'24'!Q9</f>
        <v>0</v>
      </c>
      <c r="D36" s="63"/>
      <c r="E36" s="66">
        <f>'23'!E36+'24'!R9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'23'!C37+'24'!Q10</f>
        <v>30</v>
      </c>
      <c r="D37" s="63"/>
      <c r="E37" s="66">
        <f>'23'!E37+'24'!R10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'23'!C38+'24'!Q11</f>
        <v>1080</v>
      </c>
      <c r="D38" s="61"/>
      <c r="E38" s="66">
        <f>'23'!E38+'24'!R11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'23'!C39+'24'!Q12</f>
        <v>0</v>
      </c>
      <c r="D39" s="63"/>
      <c r="E39" s="66">
        <f>'23'!E39+'24'!R12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'23'!C40+'24'!Q13</f>
        <v>0</v>
      </c>
      <c r="D40" s="61"/>
      <c r="E40" s="66">
        <f>'23'!E40+'24'!R13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'23'!C41+'24'!Q14</f>
        <v>1020</v>
      </c>
      <c r="D41" s="63"/>
      <c r="E41" s="66">
        <f>'23'!E41+'24'!R14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'23'!C42+'24'!Q15</f>
        <v>690</v>
      </c>
      <c r="D42" s="61"/>
      <c r="E42" s="66">
        <f>'23'!E42+'24'!R15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'23'!C43+'24'!Q16</f>
        <v>140</v>
      </c>
      <c r="D43" s="63"/>
      <c r="E43" s="66">
        <f>'23'!E43+'24'!R16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'23'!C44+'24'!Q17</f>
        <v>140</v>
      </c>
      <c r="D44" s="61"/>
      <c r="E44" s="66">
        <f>'23'!E44+'24'!R17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'23'!C45+'24'!Q18</f>
        <v>840</v>
      </c>
      <c r="D45" s="63"/>
      <c r="E45" s="66">
        <f>'23'!E45+'24'!R18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'23'!C46+'24'!Q19</f>
        <v>270</v>
      </c>
      <c r="D46" s="61"/>
      <c r="E46" s="66">
        <f>'23'!E46+'24'!R19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'23'!C47+'24'!Q20</f>
        <v>540</v>
      </c>
      <c r="D47" s="70"/>
      <c r="E47" s="66">
        <f>'23'!E47+'24'!R20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6310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3" sqref="A23:B24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25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Rammeplan!L7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Rammeplan!L8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Rammeplan!L9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Rammeplan!L10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Rammeplan!L11</f>
        <v>0</v>
      </c>
      <c r="R11" s="4">
        <f t="shared" si="0"/>
        <v>0</v>
      </c>
      <c r="S11" s="9">
        <f t="shared" si="1"/>
        <v>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Rammeplan!L12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Rammeplan!L13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Rammeplan!L14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Rammeplan!L15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Rammeplan!L16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Rammeplan!L17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Rammeplan!L18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Rammeplan!L19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Rammeplan!L20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370</v>
      </c>
      <c r="R21" s="34">
        <f>SUM(R7:R20)</f>
        <v>0</v>
      </c>
      <c r="S21" s="31">
        <f t="shared" si="1"/>
        <v>-370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'24'!C34+'25'!Q7</f>
        <v>1680</v>
      </c>
      <c r="D34" s="68"/>
      <c r="E34" s="66">
        <f>'24'!E34+'25'!R7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'24'!C35+'25'!Q8</f>
        <v>0</v>
      </c>
      <c r="D35" s="63"/>
      <c r="E35" s="66">
        <f>'24'!E35+'25'!R8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'24'!C36+'25'!Q9</f>
        <v>0</v>
      </c>
      <c r="D36" s="63"/>
      <c r="E36" s="66">
        <f>'24'!E36+'25'!R9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'24'!C37+'25'!Q10</f>
        <v>30</v>
      </c>
      <c r="D37" s="63"/>
      <c r="E37" s="66">
        <f>'24'!E37+'25'!R10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'24'!C38+'25'!Q11</f>
        <v>1080</v>
      </c>
      <c r="D38" s="61"/>
      <c r="E38" s="66">
        <f>'24'!E38+'25'!R11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'24'!C39+'25'!Q12</f>
        <v>0</v>
      </c>
      <c r="D39" s="63"/>
      <c r="E39" s="66">
        <f>'24'!E39+'25'!R12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'24'!C40+'25'!Q13</f>
        <v>0</v>
      </c>
      <c r="D40" s="61"/>
      <c r="E40" s="66">
        <f>'24'!E40+'25'!R13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'24'!C41+'25'!Q14</f>
        <v>1140</v>
      </c>
      <c r="D41" s="63"/>
      <c r="E41" s="66">
        <f>'24'!E41+'25'!R14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'24'!C42+'25'!Q15</f>
        <v>690</v>
      </c>
      <c r="D42" s="61"/>
      <c r="E42" s="66">
        <f>'24'!E42+'25'!R15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'24'!C43+'25'!Q16</f>
        <v>160</v>
      </c>
      <c r="D43" s="63"/>
      <c r="E43" s="66">
        <f>'24'!E43+'25'!R16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'24'!C44+'25'!Q17</f>
        <v>160</v>
      </c>
      <c r="D44" s="61"/>
      <c r="E44" s="66">
        <f>'24'!E44+'25'!R17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'24'!C45+'25'!Q18</f>
        <v>840</v>
      </c>
      <c r="D45" s="63"/>
      <c r="E45" s="66">
        <f>'24'!E45+'25'!R18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'24'!C46+'25'!Q19</f>
        <v>300</v>
      </c>
      <c r="D46" s="61"/>
      <c r="E46" s="66">
        <f>'24'!E46+'25'!R19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'24'!C47+'25'!Q20</f>
        <v>600</v>
      </c>
      <c r="D47" s="70"/>
      <c r="E47" s="66">
        <f>'24'!E47+'25'!R20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6680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26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Rammeplan!M7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Rammeplan!M8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Rammeplan!M9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Rammeplan!M10</f>
        <v>60</v>
      </c>
      <c r="R10" s="4">
        <f t="shared" si="0"/>
        <v>0</v>
      </c>
      <c r="S10" s="9">
        <f t="shared" si="1"/>
        <v>-60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Rammeplan!M11</f>
        <v>0</v>
      </c>
      <c r="R11" s="4">
        <f t="shared" si="0"/>
        <v>0</v>
      </c>
      <c r="S11" s="9">
        <f t="shared" si="1"/>
        <v>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Rammeplan!M12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Rammeplan!M13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Rammeplan!M14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Rammeplan!M15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Rammeplan!M16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Rammeplan!M17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Rammeplan!M18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Rammeplan!M19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Rammeplan!M20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390</v>
      </c>
      <c r="R21" s="34">
        <f>SUM(R7:R20)</f>
        <v>0</v>
      </c>
      <c r="S21" s="31">
        <f t="shared" si="1"/>
        <v>-390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'25'!C34+'26'!Q7</f>
        <v>1800</v>
      </c>
      <c r="D34" s="68"/>
      <c r="E34" s="66">
        <f>'25'!E34+'26'!R7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'25'!C35+'26'!Q8</f>
        <v>0</v>
      </c>
      <c r="D35" s="63"/>
      <c r="E35" s="66">
        <f>'25'!E35+'26'!R8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'25'!C36+'26'!Q9</f>
        <v>0</v>
      </c>
      <c r="D36" s="63"/>
      <c r="E36" s="66">
        <f>'25'!E36+'26'!R9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'25'!C37+'26'!Q10</f>
        <v>90</v>
      </c>
      <c r="D37" s="63"/>
      <c r="E37" s="66">
        <f>'25'!E37+'26'!R10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'25'!C38+'26'!Q11</f>
        <v>1080</v>
      </c>
      <c r="D38" s="61"/>
      <c r="E38" s="66">
        <f>'25'!E38+'26'!R11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'25'!C39+'26'!Q12</f>
        <v>0</v>
      </c>
      <c r="D39" s="63"/>
      <c r="E39" s="66">
        <f>'25'!E39+'26'!R12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'25'!C40+'26'!Q13</f>
        <v>0</v>
      </c>
      <c r="D40" s="61"/>
      <c r="E40" s="66">
        <f>'25'!E40+'26'!R13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'25'!C41+'26'!Q14</f>
        <v>1260</v>
      </c>
      <c r="D41" s="63"/>
      <c r="E41" s="66">
        <f>'25'!E41+'26'!R14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'25'!C42+'26'!Q15</f>
        <v>690</v>
      </c>
      <c r="D42" s="61"/>
      <c r="E42" s="66">
        <f>'25'!E42+'26'!R15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'25'!C43+'26'!Q16</f>
        <v>160</v>
      </c>
      <c r="D43" s="63"/>
      <c r="E43" s="66">
        <f>'25'!E43+'26'!R16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'25'!C44+'26'!Q17</f>
        <v>160</v>
      </c>
      <c r="D44" s="61"/>
      <c r="E44" s="66">
        <f>'25'!E44+'26'!R17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'25'!C45+'26'!Q18</f>
        <v>840</v>
      </c>
      <c r="D45" s="63"/>
      <c r="E45" s="66">
        <f>'25'!E45+'26'!R18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'25'!C46+'26'!Q19</f>
        <v>330</v>
      </c>
      <c r="D46" s="61"/>
      <c r="E46" s="66">
        <f>'25'!E46+'26'!R19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'25'!C47+'26'!Q20</f>
        <v>660</v>
      </c>
      <c r="D47" s="70"/>
      <c r="E47" s="66">
        <f>'25'!E47+'26'!R20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7070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27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Rammeplan!N7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Rammeplan!N8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Rammeplan!N9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Rammeplan!N10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Rammeplan!N11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Rammeplan!N12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Rammeplan!N13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Rammeplan!N14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Rammeplan!N15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Rammeplan!O16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Rammeplan!O17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Rammeplan!O18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Rammeplan!N19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Rammeplan!N20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820</v>
      </c>
      <c r="R21" s="34">
        <f>SUM(R7:R20)</f>
        <v>0</v>
      </c>
      <c r="S21" s="31">
        <f t="shared" si="1"/>
        <v>-820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'26'!C34+'26'!Q7</f>
        <v>1920</v>
      </c>
      <c r="D34" s="68"/>
      <c r="E34" s="66">
        <f>'26'!E34+'27'!R7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'26'!C35+'26'!Q8</f>
        <v>0</v>
      </c>
      <c r="D35" s="63"/>
      <c r="E35" s="66">
        <f>'26'!E35+'27'!R8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'26'!C36+'26'!Q9</f>
        <v>0</v>
      </c>
      <c r="D36" s="63"/>
      <c r="E36" s="66">
        <f>'26'!E36+'27'!R9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'26'!C37+'26'!Q10</f>
        <v>150</v>
      </c>
      <c r="D37" s="63"/>
      <c r="E37" s="66">
        <f>'26'!E37+'27'!R10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'26'!C38+'26'!Q11</f>
        <v>1080</v>
      </c>
      <c r="D38" s="61"/>
      <c r="E38" s="66">
        <f>'26'!E38+'27'!R11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'26'!C39+'26'!Q12</f>
        <v>0</v>
      </c>
      <c r="D39" s="63"/>
      <c r="E39" s="66">
        <f>'26'!E39+'27'!R12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'26'!C40+'26'!Q13</f>
        <v>0</v>
      </c>
      <c r="D40" s="61"/>
      <c r="E40" s="66">
        <f>'26'!E40+'27'!R13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'26'!C41+'26'!Q14</f>
        <v>1380</v>
      </c>
      <c r="D41" s="63"/>
      <c r="E41" s="66">
        <f>'26'!E41+'27'!R14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'26'!C42+'26'!Q15</f>
        <v>690</v>
      </c>
      <c r="D42" s="61"/>
      <c r="E42" s="66">
        <f>'26'!E42+'27'!R15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'26'!C43+'26'!Q16</f>
        <v>160</v>
      </c>
      <c r="D43" s="63"/>
      <c r="E43" s="66">
        <f>'26'!E43+'27'!R16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'26'!C44+'26'!Q17</f>
        <v>160</v>
      </c>
      <c r="D44" s="61"/>
      <c r="E44" s="66">
        <f>'26'!E44+'27'!R17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'26'!C45+'26'!Q18</f>
        <v>840</v>
      </c>
      <c r="D45" s="63"/>
      <c r="E45" s="66">
        <f>'26'!E45+'27'!R18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'26'!C46+'26'!Q19</f>
        <v>360</v>
      </c>
      <c r="D46" s="61"/>
      <c r="E46" s="66">
        <f>'26'!E46+'27'!R19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'26'!C47+'26'!Q20</f>
        <v>720</v>
      </c>
      <c r="D47" s="70"/>
      <c r="E47" s="66">
        <f>'26'!E47+'27'!R20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7460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28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Rammeplan!O7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Rammeplan!O8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Rammeplan!O9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Rammeplan!O10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Rammeplan!O11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Rammeplan!O12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Rammeplan!O13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Rammeplan!O14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Rammeplan!O15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Rammeplan!P16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Rammeplan!P17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Rammeplan!P18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Rammeplan!O19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Rammeplan!O20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950</v>
      </c>
      <c r="R21" s="34">
        <f>SUM(R7:R20)</f>
        <v>0</v>
      </c>
      <c r="S21" s="31">
        <f t="shared" si="1"/>
        <v>-950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'27'!C34+'28'!Q7</f>
        <v>2160</v>
      </c>
      <c r="D34" s="68"/>
      <c r="E34" s="66">
        <f>'27'!E34+'28'!R7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'27'!C35+'28'!Q8</f>
        <v>0</v>
      </c>
      <c r="D35" s="63"/>
      <c r="E35" s="66">
        <f>'27'!E35+'28'!R8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'27'!C36+'28'!Q9</f>
        <v>0</v>
      </c>
      <c r="D36" s="63"/>
      <c r="E36" s="66">
        <f>'27'!E36+'28'!R9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'27'!C37+'28'!Q10</f>
        <v>150</v>
      </c>
      <c r="D37" s="63"/>
      <c r="E37" s="66">
        <f>'27'!E37+'28'!R10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'27'!C38+'28'!Q11</f>
        <v>1200</v>
      </c>
      <c r="D38" s="61"/>
      <c r="E38" s="66">
        <f>'27'!E38+'28'!R11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'27'!C39+'28'!Q12</f>
        <v>0</v>
      </c>
      <c r="D39" s="63"/>
      <c r="E39" s="66">
        <f>'27'!E39+'28'!R12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'27'!C40+'28'!Q13</f>
        <v>0</v>
      </c>
      <c r="D40" s="61"/>
      <c r="E40" s="66">
        <f>'27'!E40+'28'!R13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'27'!C41+'28'!Q14</f>
        <v>1500</v>
      </c>
      <c r="D41" s="63"/>
      <c r="E41" s="66">
        <f>'27'!E41+'28'!R14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'27'!C42+'28'!Q15</f>
        <v>810</v>
      </c>
      <c r="D42" s="61"/>
      <c r="E42" s="66">
        <f>'27'!E42+'28'!R15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'27'!C43+'28'!Q16</f>
        <v>200</v>
      </c>
      <c r="D43" s="63"/>
      <c r="E43" s="66">
        <f>'27'!E43+'28'!R16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'27'!C44+'28'!Q17</f>
        <v>200</v>
      </c>
      <c r="D44" s="61"/>
      <c r="E44" s="66">
        <f>'27'!E44+'28'!R17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'27'!C45+'28'!Q18</f>
        <v>960</v>
      </c>
      <c r="D45" s="63"/>
      <c r="E45" s="66">
        <f>'27'!E45+'28'!R18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'27'!C46+'28'!Q19</f>
        <v>390</v>
      </c>
      <c r="D46" s="61"/>
      <c r="E46" s="66">
        <f>'27'!E46+'28'!R19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'27'!C47+'28'!Q20</f>
        <v>840</v>
      </c>
      <c r="D47" s="70"/>
      <c r="E47" s="66">
        <f>'27'!E47+'28'!R20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8410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29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Rammeplan!P7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Rammeplan!P8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Rammeplan!P9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Rammeplan!P10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Rammeplan!P11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Rammeplan!P12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Rammeplan!P13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Rammeplan!P14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Rammeplan!P15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Rammeplan!Q16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Rammeplan!Q17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Rammeplan!Q18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Rammeplan!P19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Rammeplan!P20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1040</v>
      </c>
      <c r="R21" s="34">
        <f>SUM(R7:R20)</f>
        <v>0</v>
      </c>
      <c r="S21" s="31">
        <f t="shared" si="1"/>
        <v>-1040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7" t="s">
        <v>12</v>
      </c>
      <c r="F32" s="60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>
      <c r="A33" s="37" t="s">
        <v>13</v>
      </c>
      <c r="B33" s="45" t="s">
        <v>22</v>
      </c>
      <c r="C33" s="65">
        <f>'28'!C34+'29'!Q7</f>
        <v>2400</v>
      </c>
      <c r="D33" s="68"/>
      <c r="E33" s="66">
        <f>'28'!E34+'29'!R7</f>
        <v>0</v>
      </c>
      <c r="F33" s="68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9"/>
      <c r="B34" s="24" t="s">
        <v>23</v>
      </c>
      <c r="C34" s="65">
        <f>'28'!C35+'29'!Q8</f>
        <v>30</v>
      </c>
      <c r="D34" s="63"/>
      <c r="E34" s="66">
        <f>'28'!E35+'29'!R8</f>
        <v>0</v>
      </c>
      <c r="F34" s="6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'28'!C36+'29'!Q9</f>
        <v>0</v>
      </c>
      <c r="D35" s="63"/>
      <c r="E35" s="66">
        <f>'28'!E36+'29'!R9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'28'!C37+'29'!Q10</f>
        <v>150</v>
      </c>
      <c r="D36" s="63"/>
      <c r="E36" s="66">
        <f>'28'!E37+'29'!R10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'28'!C38+'29'!Q11</f>
        <v>1320</v>
      </c>
      <c r="D37" s="61"/>
      <c r="E37" s="66">
        <f>'28'!E38+'29'!R11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'28'!C39+'29'!Q12</f>
        <v>60</v>
      </c>
      <c r="D38" s="63"/>
      <c r="E38" s="66">
        <f>'28'!E39+'29'!R12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'28'!C40+'29'!Q13</f>
        <v>0</v>
      </c>
      <c r="D39" s="61"/>
      <c r="E39" s="66">
        <f>'28'!E40+'29'!R13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'28'!C41+'29'!Q14</f>
        <v>1620</v>
      </c>
      <c r="D40" s="63"/>
      <c r="E40" s="66">
        <f>'28'!E41+'29'!R14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'28'!C42+'29'!Q15</f>
        <v>930</v>
      </c>
      <c r="D41" s="61"/>
      <c r="E41" s="66">
        <f>'28'!E42+'29'!R15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'28'!C43+'29'!Q16</f>
        <v>240</v>
      </c>
      <c r="D42" s="63"/>
      <c r="E42" s="66">
        <f>'28'!E43+'29'!R16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'28'!C44+'29'!Q17</f>
        <v>240</v>
      </c>
      <c r="D43" s="61"/>
      <c r="E43" s="66">
        <f>'28'!E44+'29'!R17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'28'!C45+'29'!Q18</f>
        <v>1080</v>
      </c>
      <c r="D44" s="63"/>
      <c r="E44" s="66">
        <f>'28'!E45+'29'!R18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'28'!C46+'29'!Q19</f>
        <v>420</v>
      </c>
      <c r="D45" s="61"/>
      <c r="E45" s="66">
        <f>'28'!E46+'29'!R19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'28'!C47+'29'!Q20</f>
        <v>960</v>
      </c>
      <c r="D46" s="70"/>
      <c r="E46" s="66">
        <f>'28'!E47+'29'!R20</f>
        <v>0</v>
      </c>
      <c r="F46" s="6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9450</v>
      </c>
      <c r="D47" s="60"/>
      <c r="E47" s="59">
        <f>SUM(E33:E46)</f>
        <v>0</v>
      </c>
      <c r="F47" s="60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30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Rammeplan!Q7</f>
        <v>240</v>
      </c>
      <c r="R7" s="4">
        <f t="shared" ref="R7:R20" si="0">(C7*D7)+(E7*F7)+(G7*H7)+(I7*J7)+(K7*L7)+(M7*N7)+(O7*P7)</f>
        <v>0</v>
      </c>
      <c r="S7" s="9">
        <f t="shared" ref="S7:S21" si="1">R7-Q7</f>
        <v>-240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Rammeplan!Q8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Rammeplan!Q9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Rammeplan!Q10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Rammeplan!Q11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Rammeplan!Q12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Rammeplan!Q13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Rammeplan!Q14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Rammeplan!Q15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Rammeplan!R16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Rammeplan!R17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Rammeplan!R18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Rammeplan!Q19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Rammeplan!Q20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1040</v>
      </c>
      <c r="R21" s="34">
        <f>SUM(R7:R20)</f>
        <v>0</v>
      </c>
      <c r="S21" s="31">
        <f t="shared" si="1"/>
        <v>-1040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'29'!C33+'30'!Q7</f>
        <v>2640</v>
      </c>
      <c r="D34" s="68"/>
      <c r="E34" s="66">
        <f>'29'!E33+'30'!R7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'29'!C34+'30'!Q8</f>
        <v>60</v>
      </c>
      <c r="D35" s="63"/>
      <c r="E35" s="66">
        <f>'29'!E34+'30'!R8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'29'!C35+'30'!Q9</f>
        <v>0</v>
      </c>
      <c r="D36" s="63"/>
      <c r="E36" s="66">
        <f>'29'!E35+'30'!R9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'29'!C36+'30'!Q10</f>
        <v>150</v>
      </c>
      <c r="D37" s="63"/>
      <c r="E37" s="66">
        <f>'29'!E36+'30'!R10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'29'!C37+'30'!Q11</f>
        <v>1440</v>
      </c>
      <c r="D38" s="61"/>
      <c r="E38" s="66">
        <f>'29'!E37+'30'!R11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'29'!C38+'30'!Q12</f>
        <v>120</v>
      </c>
      <c r="D39" s="63"/>
      <c r="E39" s="66">
        <f>'29'!E38+'30'!R12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'29'!C39+'30'!Q13</f>
        <v>0</v>
      </c>
      <c r="D40" s="61"/>
      <c r="E40" s="66">
        <f>'29'!E39+'30'!R13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'29'!C40+'30'!Q14</f>
        <v>1740</v>
      </c>
      <c r="D41" s="63"/>
      <c r="E41" s="66">
        <f>'29'!E40+'30'!R14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'29'!C41+'30'!Q15</f>
        <v>1050</v>
      </c>
      <c r="D42" s="61"/>
      <c r="E42" s="66">
        <f>'29'!E41+'30'!R15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'29'!C42+'30'!Q16</f>
        <v>280</v>
      </c>
      <c r="D43" s="63"/>
      <c r="E43" s="66">
        <f>'29'!E42+'30'!R16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'29'!C43+'30'!Q17</f>
        <v>280</v>
      </c>
      <c r="D44" s="61"/>
      <c r="E44" s="66">
        <f>'29'!E43+'30'!R17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'29'!C44+'30'!Q18</f>
        <v>1200</v>
      </c>
      <c r="D45" s="63"/>
      <c r="E45" s="66">
        <f>'29'!E44+'30'!R18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'29'!C45+'30'!Q19</f>
        <v>450</v>
      </c>
      <c r="D46" s="61"/>
      <c r="E46" s="66">
        <f>'29'!E45+'30'!R19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'29'!C46+'30'!Q20</f>
        <v>1080</v>
      </c>
      <c r="D47" s="70"/>
      <c r="E47" s="66">
        <f>'29'!E46+'30'!R20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10490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31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Rammeplan!R7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Rammeplan!R8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Rammeplan!R9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Rammeplan!R10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Rammeplan!R11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Rammeplan!R12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Rammeplan!R13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Rammeplan!R14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Rammeplan!R15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Rammeplan!R16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Rammeplan!R17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Rammeplan!R18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Rammeplan!R19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Rammeplan!R20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890</v>
      </c>
      <c r="R21" s="34">
        <f>SUM(R7:R20)</f>
        <v>0</v>
      </c>
      <c r="S21" s="31">
        <f t="shared" si="1"/>
        <v>-890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'30'!C34+'31'!Q7</f>
        <v>2760</v>
      </c>
      <c r="D34" s="68"/>
      <c r="E34" s="66">
        <f>'30'!E34+'31'!R7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'30'!C35+'31'!Q8</f>
        <v>60</v>
      </c>
      <c r="D35" s="63"/>
      <c r="E35" s="66">
        <f>'30'!E35+'31'!R8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'30'!C36+'31'!Q9</f>
        <v>0</v>
      </c>
      <c r="D36" s="63"/>
      <c r="E36" s="66">
        <f>'30'!E36+'31'!R9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'30'!C37+'31'!Q10</f>
        <v>150</v>
      </c>
      <c r="D37" s="63"/>
      <c r="E37" s="66">
        <f>'30'!E37+'31'!R10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'30'!C38+'31'!Q11</f>
        <v>1560</v>
      </c>
      <c r="D38" s="61"/>
      <c r="E38" s="66">
        <f>'30'!E38+'31'!R11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'30'!C39+'31'!Q12</f>
        <v>180</v>
      </c>
      <c r="D39" s="63"/>
      <c r="E39" s="66">
        <f>'30'!E39+'31'!R12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'30'!C40+'31'!Q13</f>
        <v>0</v>
      </c>
      <c r="D40" s="61"/>
      <c r="E40" s="66">
        <f>'30'!E40+'31'!R13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'30'!C41+'31'!Q14</f>
        <v>1860</v>
      </c>
      <c r="D41" s="63"/>
      <c r="E41" s="66">
        <f>'30'!E41+'31'!R14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'30'!C42+'31'!Q15</f>
        <v>1170</v>
      </c>
      <c r="D42" s="61"/>
      <c r="E42" s="66">
        <f>'30'!E42+'31'!R15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'30'!C43+'31'!Q16</f>
        <v>320</v>
      </c>
      <c r="D43" s="63"/>
      <c r="E43" s="66">
        <f>'30'!E43+'31'!R16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'30'!C44+'31'!Q17</f>
        <v>320</v>
      </c>
      <c r="D44" s="61"/>
      <c r="E44" s="66">
        <f>'30'!E44+'31'!R17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'30'!C45+'31'!Q18</f>
        <v>1320</v>
      </c>
      <c r="D45" s="63"/>
      <c r="E45" s="66">
        <f>'30'!E45+'31'!R18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'30'!C46+'31'!Q19</f>
        <v>480</v>
      </c>
      <c r="D46" s="61"/>
      <c r="E46" s="66">
        <f>'30'!E46+'31'!R19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'30'!C47+'31'!Q20</f>
        <v>1200</v>
      </c>
      <c r="D47" s="70"/>
      <c r="E47" s="66">
        <f>'30'!E47+'31'!R20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11380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32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Rammeplan!S7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Rammeplan!S8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Rammeplan!S9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Rammeplan!S10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Rammeplan!S11</f>
        <v>0</v>
      </c>
      <c r="R11" s="4">
        <f t="shared" si="0"/>
        <v>0</v>
      </c>
      <c r="S11" s="9">
        <f t="shared" si="1"/>
        <v>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Rammeplan!S12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Rammeplan!S13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Rammeplan!S14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Rammeplan!S15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Rammeplan!S16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Rammeplan!S17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Rammeplan!S18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Rammeplan!S19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Rammeplan!S20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330</v>
      </c>
      <c r="R21" s="34">
        <f>SUM(R7:R20)</f>
        <v>0</v>
      </c>
      <c r="S21" s="31">
        <f t="shared" si="1"/>
        <v>-330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'31'!C34+'32'!Q7</f>
        <v>2880</v>
      </c>
      <c r="D34" s="68"/>
      <c r="E34" s="66">
        <f>'31'!E34+'32'!R7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'31'!C35+'32'!Q8</f>
        <v>60</v>
      </c>
      <c r="D35" s="63"/>
      <c r="E35" s="66">
        <f>'31'!E35+'32'!R8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'31'!C36+'32'!Q9</f>
        <v>0</v>
      </c>
      <c r="D36" s="63"/>
      <c r="E36" s="66">
        <f>'31'!E36+'32'!R9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'31'!C37+'32'!Q10</f>
        <v>150</v>
      </c>
      <c r="D37" s="63"/>
      <c r="E37" s="66">
        <f>'31'!E37+'32'!R10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'31'!C38+'32'!Q11</f>
        <v>1560</v>
      </c>
      <c r="D38" s="61"/>
      <c r="E38" s="66">
        <f>'31'!E38+'32'!R11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'31'!C39+'32'!Q12</f>
        <v>180</v>
      </c>
      <c r="D39" s="63"/>
      <c r="E39" s="66">
        <f>'31'!E39+'32'!R12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'31'!C40+'32'!Q13</f>
        <v>0</v>
      </c>
      <c r="D40" s="61"/>
      <c r="E40" s="66">
        <f>'31'!E40+'32'!R13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'31'!C41+'32'!Q14</f>
        <v>1980</v>
      </c>
      <c r="D41" s="63"/>
      <c r="E41" s="66">
        <f>'31'!E41+'32'!R14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'31'!C42+'32'!Q15</f>
        <v>1170</v>
      </c>
      <c r="D42" s="61"/>
      <c r="E42" s="66">
        <f>'31'!E42+'32'!R15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'31'!C43+'32'!Q16</f>
        <v>320</v>
      </c>
      <c r="D43" s="63"/>
      <c r="E43" s="66">
        <f>'31'!E43+'32'!R16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'31'!C44+'32'!Q17</f>
        <v>320</v>
      </c>
      <c r="D44" s="61"/>
      <c r="E44" s="66">
        <f>'31'!E44+'32'!R17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'31'!C45+'32'!Q18</f>
        <v>1320</v>
      </c>
      <c r="D45" s="63"/>
      <c r="E45" s="66">
        <f>'31'!E45+'32'!R18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'31'!C46+'32'!Q19</f>
        <v>510</v>
      </c>
      <c r="D46" s="61"/>
      <c r="E46" s="66">
        <f>'31'!E46+'32'!R19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'31'!C47+'32'!Q20</f>
        <v>1260</v>
      </c>
      <c r="D47" s="70"/>
      <c r="E47" s="66">
        <f>'31'!E47+'32'!R20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11710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33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Rammeplan!T7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Rammeplan!T8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Rammeplan!T9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Rammeplan!T10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Rammeplan!T11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Rammeplan!T12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Rammeplan!T13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Rammeplan!T14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Rammeplan!T15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Rammeplan!T16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Rammeplan!T17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Rammeplan!T18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Rammeplan!T19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Rammeplan!T20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570</v>
      </c>
      <c r="R21" s="34">
        <f>SUM(R7:R20)</f>
        <v>0</v>
      </c>
      <c r="S21" s="31">
        <f t="shared" si="1"/>
        <v>-570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'32'!C34+'33'!Q7</f>
        <v>3000</v>
      </c>
      <c r="D34" s="68"/>
      <c r="E34" s="66">
        <f>'32'!E34+'33'!R7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'32'!C35+'33'!Q8</f>
        <v>60</v>
      </c>
      <c r="D35" s="63"/>
      <c r="E35" s="66">
        <f>'32'!E35+'33'!R8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'32'!C36+'33'!Q9</f>
        <v>0</v>
      </c>
      <c r="D36" s="63"/>
      <c r="E36" s="66">
        <f>'32'!E36+'33'!R9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'32'!C37+'33'!Q10</f>
        <v>150</v>
      </c>
      <c r="D37" s="63"/>
      <c r="E37" s="66">
        <f>'32'!E37+'33'!R10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'32'!C38+'33'!Q11</f>
        <v>1680</v>
      </c>
      <c r="D38" s="61"/>
      <c r="E38" s="66">
        <f>'32'!E38+'33'!R11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'32'!C39+'33'!Q12</f>
        <v>180</v>
      </c>
      <c r="D39" s="63"/>
      <c r="E39" s="66">
        <f>'32'!E39+'33'!R12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'32'!C40+'33'!Q13</f>
        <v>0</v>
      </c>
      <c r="D40" s="61"/>
      <c r="E40" s="66">
        <f>'32'!E40+'33'!R13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'32'!C41+'33'!Q14</f>
        <v>2100</v>
      </c>
      <c r="D41" s="63"/>
      <c r="E41" s="66">
        <f>'32'!E41+'33'!R14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'32'!C42+'33'!Q15</f>
        <v>1290</v>
      </c>
      <c r="D42" s="61"/>
      <c r="E42" s="66">
        <f>'32'!E42+'33'!R15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'32'!C43+'33'!Q16</f>
        <v>320</v>
      </c>
      <c r="D43" s="63"/>
      <c r="E43" s="66">
        <f>'32'!E43+'33'!R16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'32'!C44+'33'!Q17</f>
        <v>320</v>
      </c>
      <c r="D44" s="61"/>
      <c r="E44" s="66">
        <f>'32'!E44+'33'!R17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'32'!C45+'33'!Q18</f>
        <v>1320</v>
      </c>
      <c r="D45" s="63"/>
      <c r="E45" s="66">
        <f>'32'!E45+'33'!R18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'32'!C46+'33'!Q19</f>
        <v>540</v>
      </c>
      <c r="D46" s="61"/>
      <c r="E46" s="66">
        <f>'32'!E46+'33'!R19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'32'!C47+'33'!Q20</f>
        <v>1320</v>
      </c>
      <c r="D47" s="70"/>
      <c r="E47" s="66">
        <f>'32'!E47+'33'!R20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12280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34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Rammeplan!U7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Rammeplan!U8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Rammeplan!U9</f>
        <v>20</v>
      </c>
      <c r="R9" s="4">
        <f t="shared" si="0"/>
        <v>0</v>
      </c>
      <c r="S9" s="9">
        <f t="shared" si="1"/>
        <v>-20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Rammeplan!U10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Rammeplan!U11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Rammeplan!U12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Rammeplan!U13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Rammeplan!U14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Rammeplan!U15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Rammeplan!U16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Rammeplan!U17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Rammeplan!U18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Rammeplan!U19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Rammeplan!U20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840</v>
      </c>
      <c r="R21" s="34">
        <f>SUM(R7:R20)</f>
        <v>0</v>
      </c>
      <c r="S21" s="31">
        <f t="shared" si="1"/>
        <v>-840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'33'!C34+'34'!Q7</f>
        <v>3120</v>
      </c>
      <c r="D34" s="68"/>
      <c r="E34" s="66">
        <f>'33'!E34+'34'!R7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'33'!C35+'34'!Q8</f>
        <v>90</v>
      </c>
      <c r="D35" s="63"/>
      <c r="E35" s="66">
        <f>'33'!E35+'34'!R8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'33'!C36+'34'!Q9</f>
        <v>20</v>
      </c>
      <c r="D36" s="63"/>
      <c r="E36" s="66">
        <f>'33'!E36+'34'!R9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'33'!C37+'34'!Q10</f>
        <v>150</v>
      </c>
      <c r="D37" s="63"/>
      <c r="E37" s="66">
        <f>'33'!E37+'34'!R10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'33'!C38+'34'!Q11</f>
        <v>1800</v>
      </c>
      <c r="D38" s="61"/>
      <c r="E38" s="66">
        <f>'33'!E38+'34'!R11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'33'!C39+'34'!Q12</f>
        <v>240</v>
      </c>
      <c r="D39" s="63"/>
      <c r="E39" s="66">
        <f>'33'!E39+'34'!R12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'33'!C40+'34'!Q13</f>
        <v>0</v>
      </c>
      <c r="D40" s="61"/>
      <c r="E40" s="66">
        <f>'33'!E40+'34'!R13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'33'!C41+'34'!Q14</f>
        <v>2220</v>
      </c>
      <c r="D41" s="63"/>
      <c r="E41" s="66">
        <f>'33'!E41+'34'!R14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'33'!C42+'34'!Q15</f>
        <v>1410</v>
      </c>
      <c r="D42" s="61"/>
      <c r="E42" s="66">
        <f>'33'!E42+'34'!R15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'33'!C43+'34'!Q16</f>
        <v>340</v>
      </c>
      <c r="D43" s="63"/>
      <c r="E43" s="66">
        <f>'33'!E43+'34'!R16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'33'!C44+'34'!Q17</f>
        <v>340</v>
      </c>
      <c r="D44" s="61"/>
      <c r="E44" s="66">
        <f>'33'!E44+'34'!R17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'33'!C45+'34'!Q18</f>
        <v>1380</v>
      </c>
      <c r="D45" s="63"/>
      <c r="E45" s="66">
        <f>'33'!E45+'34'!R18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'33'!C46+'34'!Q19</f>
        <v>570</v>
      </c>
      <c r="D46" s="61"/>
      <c r="E46" s="66">
        <f>'33'!E46+'34'!R19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'33'!C47+'34'!Q20</f>
        <v>1440</v>
      </c>
      <c r="D47" s="70"/>
      <c r="E47" s="66">
        <f>'33'!E47+'34'!R20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13120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35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Rammeplan!V7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Rammeplan!V8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Rammeplan!V9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Rammeplan!V10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Rammeplan!V11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Rammeplan!V12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Rammeplan!V13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Rammeplan!V14</f>
        <v>90</v>
      </c>
      <c r="R14" s="4">
        <f t="shared" si="0"/>
        <v>0</v>
      </c>
      <c r="S14" s="9">
        <f t="shared" si="1"/>
        <v>-90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Rammeplan!V15</f>
        <v>90</v>
      </c>
      <c r="R15" s="4">
        <f t="shared" si="0"/>
        <v>0</v>
      </c>
      <c r="S15" s="9">
        <f t="shared" si="1"/>
        <v>-90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Rammeplan!V16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Rammeplan!V17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Rammeplan!V18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Rammeplan!V19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Rammeplan!V20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770</v>
      </c>
      <c r="R21" s="34">
        <f>SUM(R7:R20)</f>
        <v>0</v>
      </c>
      <c r="S21" s="31">
        <f t="shared" si="1"/>
        <v>-770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'34'!C34+'35'!Q7</f>
        <v>3240</v>
      </c>
      <c r="D34" s="68"/>
      <c r="E34" s="66">
        <f>'34'!E34+'35'!R7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'34'!C35+'35'!Q8</f>
        <v>90</v>
      </c>
      <c r="D35" s="63"/>
      <c r="E35" s="66">
        <f>'34'!E35+'35'!R8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'34'!C36+'35'!Q9</f>
        <v>20</v>
      </c>
      <c r="D36" s="63"/>
      <c r="E36" s="66">
        <f>'34'!E36+'35'!R9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'34'!C37+'35'!Q10</f>
        <v>150</v>
      </c>
      <c r="D37" s="63"/>
      <c r="E37" s="66">
        <f>'34'!E37+'35'!R10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'34'!C38+'35'!Q11</f>
        <v>1920</v>
      </c>
      <c r="D38" s="61"/>
      <c r="E38" s="66">
        <f>'34'!E38+'35'!R11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'34'!C39+'35'!Q12</f>
        <v>300</v>
      </c>
      <c r="D39" s="63"/>
      <c r="E39" s="66">
        <f>'34'!E39+'35'!R12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'34'!C40+'35'!Q13</f>
        <v>0</v>
      </c>
      <c r="D40" s="61"/>
      <c r="E40" s="66">
        <f>'34'!E40+'35'!R13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'34'!C41+'35'!Q14</f>
        <v>2310</v>
      </c>
      <c r="D41" s="63"/>
      <c r="E41" s="66">
        <f>'34'!E41+'35'!R14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'34'!C42+'35'!Q15</f>
        <v>1500</v>
      </c>
      <c r="D42" s="61"/>
      <c r="E42" s="66">
        <f>'34'!E42+'35'!R15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'34'!C43+'35'!Q16</f>
        <v>380</v>
      </c>
      <c r="D43" s="63"/>
      <c r="E43" s="66">
        <f>'34'!E43+'35'!R16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'34'!C44+'35'!Q17</f>
        <v>380</v>
      </c>
      <c r="D44" s="61"/>
      <c r="E44" s="66">
        <f>'34'!E44+'35'!R17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'34'!C45+'35'!Q18</f>
        <v>1440</v>
      </c>
      <c r="D45" s="63"/>
      <c r="E45" s="66">
        <f>'34'!E45+'35'!R18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'34'!C46+'35'!Q19</f>
        <v>600</v>
      </c>
      <c r="D46" s="61"/>
      <c r="E46" s="66">
        <f>'34'!E46+'35'!R19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'34'!C47+'35'!Q20</f>
        <v>1560</v>
      </c>
      <c r="D47" s="70"/>
      <c r="E47" s="66">
        <f>'34'!E47+'35'!R20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13890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36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Rammeplan!W7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Rammeplan!W8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Rammeplan!W9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Rammeplan!W10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Rammeplan!W11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Rammeplan!W12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Rammeplan!W13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Rammeplan!W14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Rammeplan!W15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Rammeplan!W16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Rammeplan!W17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Rammeplan!W18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Rammeplan!W19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Rammeplan!W20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750</v>
      </c>
      <c r="R21" s="34">
        <f>SUM(R7:R20)</f>
        <v>0</v>
      </c>
      <c r="S21" s="31">
        <f t="shared" si="1"/>
        <v>-750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'35'!C34+'36'!Q7</f>
        <v>3360</v>
      </c>
      <c r="D34" s="68"/>
      <c r="E34" s="66">
        <f>'35'!E34+'36'!R7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'35'!C35+'36'!Q8</f>
        <v>90</v>
      </c>
      <c r="D35" s="63"/>
      <c r="E35" s="66">
        <f>'35'!E35+'36'!R8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'35'!C36+'36'!Q9</f>
        <v>20</v>
      </c>
      <c r="D36" s="63"/>
      <c r="E36" s="66">
        <f>'35'!E36+'36'!R9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'35'!C37+'36'!Q10</f>
        <v>150</v>
      </c>
      <c r="D37" s="63"/>
      <c r="E37" s="66">
        <f>'35'!E37+'36'!R10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'35'!C38+'36'!Q11</f>
        <v>2040</v>
      </c>
      <c r="D38" s="61"/>
      <c r="E38" s="66">
        <f>'35'!E38+'36'!R11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'35'!C39+'36'!Q12</f>
        <v>360</v>
      </c>
      <c r="D39" s="63"/>
      <c r="E39" s="66">
        <f>'35'!E39+'36'!R12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'35'!C40+'36'!Q13</f>
        <v>0</v>
      </c>
      <c r="D40" s="61"/>
      <c r="E40" s="66">
        <f>'35'!E40+'36'!R13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'35'!C41+'36'!Q14</f>
        <v>2430</v>
      </c>
      <c r="D41" s="63"/>
      <c r="E41" s="66">
        <f>'35'!E41+'36'!R14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'35'!C42+'36'!Q15</f>
        <v>1620</v>
      </c>
      <c r="D42" s="61"/>
      <c r="E42" s="66">
        <f>'35'!E42+'36'!R15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'35'!C43+'36'!Q16</f>
        <v>380</v>
      </c>
      <c r="D43" s="63"/>
      <c r="E43" s="66">
        <f>'35'!E43+'36'!R16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'35'!C44+'36'!Q17</f>
        <v>380</v>
      </c>
      <c r="D44" s="61"/>
      <c r="E44" s="66">
        <f>'35'!E44+'36'!R17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'35'!C45+'36'!Q18</f>
        <v>1560</v>
      </c>
      <c r="D45" s="63"/>
      <c r="E45" s="66">
        <f>'35'!E45+'36'!R18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'35'!C46+'36'!Q19</f>
        <v>630</v>
      </c>
      <c r="D46" s="61"/>
      <c r="E46" s="66">
        <f>'35'!E46+'36'!R19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'35'!C47+'36'!Q20</f>
        <v>1620</v>
      </c>
      <c r="D47" s="70"/>
      <c r="E47" s="66">
        <f>'35'!E47+'36'!R20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14640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37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Rammeplan!X7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Rammeplan!X8</f>
        <v>30</v>
      </c>
      <c r="R8" s="4">
        <f t="shared" si="0"/>
        <v>0</v>
      </c>
      <c r="S8" s="9">
        <f t="shared" si="1"/>
        <v>-30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Rammeplan!X9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Rammeplan!X10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Rammeplan!X11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Rammeplan!X12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Rammeplan!Z13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Rammeplan!X14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Rammeplan!X15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Rammeplan!X16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Rammeplan!X17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Rammeplan!X18</f>
        <v>120</v>
      </c>
      <c r="R18" s="4">
        <f t="shared" si="0"/>
        <v>0</v>
      </c>
      <c r="S18" s="9">
        <f t="shared" si="1"/>
        <v>-120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Rammeplan!X19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Rammeplan!X20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810</v>
      </c>
      <c r="R21" s="34">
        <f>SUM(R7:R20)</f>
        <v>0</v>
      </c>
      <c r="S21" s="31">
        <f t="shared" si="1"/>
        <v>-810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'36'!C34+'37'!Q7</f>
        <v>3480</v>
      </c>
      <c r="D34" s="68"/>
      <c r="E34" s="66">
        <f>'36'!E34+'37'!R7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'36'!C35+'37'!Q8</f>
        <v>120</v>
      </c>
      <c r="D35" s="63"/>
      <c r="E35" s="66">
        <f>'36'!E35+'37'!R8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'36'!C36+'37'!Q9</f>
        <v>20</v>
      </c>
      <c r="D36" s="63"/>
      <c r="E36" s="66">
        <f>'36'!E36+'37'!R9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'36'!C37+'37'!Q10</f>
        <v>150</v>
      </c>
      <c r="D37" s="63"/>
      <c r="E37" s="66">
        <f>'36'!E37+'37'!R10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'36'!C38+'37'!Q11</f>
        <v>2160</v>
      </c>
      <c r="D38" s="61"/>
      <c r="E38" s="66">
        <f>'36'!E38+'37'!R11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'36'!C39+'37'!Q12</f>
        <v>420</v>
      </c>
      <c r="D39" s="63"/>
      <c r="E39" s="66">
        <f>'36'!E39+'37'!R12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'36'!C40+'37'!Q13</f>
        <v>30</v>
      </c>
      <c r="D40" s="61"/>
      <c r="E40" s="66">
        <f>'36'!E40+'37'!R13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'36'!C41+'37'!Q14</f>
        <v>2550</v>
      </c>
      <c r="D41" s="63"/>
      <c r="E41" s="66">
        <f>'36'!E41+'37'!R14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'36'!C42+'37'!Q15</f>
        <v>1740</v>
      </c>
      <c r="D42" s="61"/>
      <c r="E42" s="66">
        <f>'36'!E42+'37'!R15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'36'!C43+'37'!Q16</f>
        <v>380</v>
      </c>
      <c r="D43" s="63"/>
      <c r="E43" s="66">
        <f>'36'!E43+'37'!R16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'36'!C44+'37'!Q17</f>
        <v>380</v>
      </c>
      <c r="D44" s="61"/>
      <c r="E44" s="66">
        <f>'36'!E44+'37'!R17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'36'!C45+'37'!Q18</f>
        <v>1680</v>
      </c>
      <c r="D45" s="63"/>
      <c r="E45" s="66">
        <f>'36'!E45+'37'!R18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'36'!C46+'37'!Q19</f>
        <v>660</v>
      </c>
      <c r="D46" s="61"/>
      <c r="E46" s="66">
        <f>'36'!E46+'37'!R19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'36'!C47+'37'!Q20</f>
        <v>1680</v>
      </c>
      <c r="D47" s="70"/>
      <c r="E47" s="66">
        <f>'36'!E47+'37'!R20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15450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38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Rammeplan!Y7</f>
        <v>60</v>
      </c>
      <c r="R7" s="4">
        <f t="shared" ref="R7:R20" si="0">(C7*D7)+(E7*F7)+(G7*H7)+(I7*J7)+(K7*L7)+(M7*N7)+(O7*P7)</f>
        <v>0</v>
      </c>
      <c r="S7" s="9">
        <f t="shared" ref="S7:S21" si="1">R7-Q7</f>
        <v>-60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Rammeplan!Y8</f>
        <v>60</v>
      </c>
      <c r="R8" s="4">
        <f t="shared" si="0"/>
        <v>0</v>
      </c>
      <c r="S8" s="9">
        <f t="shared" si="1"/>
        <v>-60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Rammeplan!Y9</f>
        <v>20</v>
      </c>
      <c r="R9" s="4">
        <f t="shared" si="0"/>
        <v>0</v>
      </c>
      <c r="S9" s="9">
        <f t="shared" si="1"/>
        <v>-20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Rammeplan!Y10</f>
        <v>20</v>
      </c>
      <c r="R10" s="4">
        <f t="shared" si="0"/>
        <v>0</v>
      </c>
      <c r="S10" s="9">
        <f t="shared" si="1"/>
        <v>-20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Rammeplan!Y11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Rammeplan!Y12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Rammeplan!Y13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Rammeplan!Y14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Rammeplan!Y15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Rammeplan!Y16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Rammeplan!Y17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Rammeplan!Y18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Rammeplan!Y19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Rammeplan!Y20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860</v>
      </c>
      <c r="R21" s="34">
        <f>SUM(R7:R20)</f>
        <v>0</v>
      </c>
      <c r="S21" s="31">
        <f t="shared" si="1"/>
        <v>-860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'37'!C34+'38'!Q7</f>
        <v>3540</v>
      </c>
      <c r="D34" s="68"/>
      <c r="E34" s="66">
        <f>'37'!E34+'38'!R7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'37'!C35+'38'!Q8</f>
        <v>180</v>
      </c>
      <c r="D35" s="63"/>
      <c r="E35" s="66">
        <f>'37'!E35+'38'!R8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'37'!C36+'38'!Q9</f>
        <v>40</v>
      </c>
      <c r="D36" s="63"/>
      <c r="E36" s="66">
        <f>'37'!E36+'38'!R9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'37'!C37+'38'!Q10</f>
        <v>170</v>
      </c>
      <c r="D37" s="63"/>
      <c r="E37" s="66">
        <f>'37'!E37+'38'!R10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'37'!C38+'38'!Q11</f>
        <v>2280</v>
      </c>
      <c r="D38" s="61"/>
      <c r="E38" s="66">
        <f>'37'!E38+'38'!R11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'37'!C39+'38'!Q12</f>
        <v>480</v>
      </c>
      <c r="D39" s="63"/>
      <c r="E39" s="66">
        <f>'37'!E39+'38'!R12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'37'!C40+'38'!Q13</f>
        <v>60</v>
      </c>
      <c r="D40" s="61"/>
      <c r="E40" s="66">
        <f>'37'!E40+'38'!R13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'37'!C41+'38'!Q14</f>
        <v>2670</v>
      </c>
      <c r="D41" s="63"/>
      <c r="E41" s="66">
        <f>'37'!E41+'38'!R14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'37'!C42+'38'!Q15</f>
        <v>1860</v>
      </c>
      <c r="D42" s="61"/>
      <c r="E42" s="66">
        <f>'37'!E42+'38'!R15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'37'!C43+'38'!Q16</f>
        <v>400</v>
      </c>
      <c r="D43" s="63"/>
      <c r="E43" s="66">
        <f>'37'!E43+'38'!R16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'37'!C44+'38'!Q17</f>
        <v>400</v>
      </c>
      <c r="D44" s="61"/>
      <c r="E44" s="66">
        <f>'37'!E44+'38'!R17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'37'!C45+'38'!Q18</f>
        <v>1740</v>
      </c>
      <c r="D45" s="63"/>
      <c r="E45" s="66">
        <f>'37'!E45+'38'!R18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'37'!C46+'38'!Q19</f>
        <v>690</v>
      </c>
      <c r="D46" s="61"/>
      <c r="E46" s="66">
        <f>'37'!E46+'38'!R19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'37'!C47+'38'!Q20</f>
        <v>1800</v>
      </c>
      <c r="D47" s="70"/>
      <c r="E47" s="66">
        <f>'37'!E47+'38'!R20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16310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39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Rammeplan!Z7</f>
        <v>60</v>
      </c>
      <c r="R7" s="4">
        <f t="shared" ref="R7:R20" si="0">(C7*D7)+(E7*F7)+(G7*H7)+(I7*J7)+(K7*L7)+(M7*N7)+(O7*P7)</f>
        <v>0</v>
      </c>
      <c r="S7" s="9">
        <f t="shared" ref="S7:S21" si="1">R7-Q7</f>
        <v>-60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Rammeplan!Z8</f>
        <v>60</v>
      </c>
      <c r="R8" s="4">
        <f t="shared" si="0"/>
        <v>0</v>
      </c>
      <c r="S8" s="9">
        <f t="shared" si="1"/>
        <v>-60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Rammeplan!Z9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Rammeplan!Z10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Rammeplan!Z11</f>
        <v>0</v>
      </c>
      <c r="R11" s="4">
        <f t="shared" si="0"/>
        <v>0</v>
      </c>
      <c r="S11" s="9">
        <f t="shared" si="1"/>
        <v>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Rammeplan!Z12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Rammeplan!Z13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Rammeplan!Z14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Rammeplan!Z15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Rammeplan!Z16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Rammeplan!Z17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Rammeplan!Z18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Rammeplan!Z19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Rammeplan!Z20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560</v>
      </c>
      <c r="R21" s="34">
        <f>SUM(R7:R20)</f>
        <v>0</v>
      </c>
      <c r="S21" s="31">
        <f t="shared" si="1"/>
        <v>-560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'38'!C34+'39'!Q7</f>
        <v>3600</v>
      </c>
      <c r="D34" s="68"/>
      <c r="E34" s="66">
        <f>'38'!E34+'39'!R7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'38'!C35+'39'!Q8</f>
        <v>240</v>
      </c>
      <c r="D35" s="63"/>
      <c r="E35" s="66">
        <f>'38'!E35+'39'!R8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'38'!C36+'39'!Q9</f>
        <v>40</v>
      </c>
      <c r="D36" s="63"/>
      <c r="E36" s="66">
        <f>'38'!E36+'39'!R9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'38'!C37+'39'!Q10</f>
        <v>170</v>
      </c>
      <c r="D37" s="63"/>
      <c r="E37" s="66">
        <f>'38'!E37+'39'!R10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'38'!C38+'39'!Q11</f>
        <v>2280</v>
      </c>
      <c r="D38" s="61"/>
      <c r="E38" s="66">
        <f>'38'!E38+'39'!R11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'38'!C39+'39'!Q12</f>
        <v>540</v>
      </c>
      <c r="D39" s="63"/>
      <c r="E39" s="66">
        <f>'38'!E39+'39'!R12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'38'!C40+'39'!Q13</f>
        <v>90</v>
      </c>
      <c r="D40" s="61"/>
      <c r="E40" s="66">
        <f>'38'!E40+'39'!R13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'38'!C41+'39'!Q14</f>
        <v>2790</v>
      </c>
      <c r="D41" s="63"/>
      <c r="E41" s="66">
        <f>'38'!E41+'39'!R14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'38'!C42+'39'!Q15</f>
        <v>1860</v>
      </c>
      <c r="D42" s="61"/>
      <c r="E42" s="66">
        <f>'38'!E42+'39'!R15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'38'!C43+'39'!Q16</f>
        <v>440</v>
      </c>
      <c r="D43" s="63"/>
      <c r="E43" s="66">
        <f>'38'!E43+'39'!R16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'38'!C44+'39'!Q17</f>
        <v>440</v>
      </c>
      <c r="D44" s="61"/>
      <c r="E44" s="66">
        <f>'38'!E44+'39'!R17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'38'!C45+'39'!Q18</f>
        <v>1740</v>
      </c>
      <c r="D45" s="63"/>
      <c r="E45" s="66">
        <f>'38'!E45+'39'!R18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'38'!C46+'39'!Q19</f>
        <v>720</v>
      </c>
      <c r="D46" s="61"/>
      <c r="E46" s="66">
        <f>'38'!E46+'39'!R19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'38'!C47+'39'!Q20</f>
        <v>1920</v>
      </c>
      <c r="D47" s="70"/>
      <c r="E47" s="66">
        <f>'38'!E47+'39'!R20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16870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40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Rammeplan!AA7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Rammeplan!AA8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Rammeplan!AA9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Rammeplan!AA10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Rammeplan!AA11</f>
        <v>0</v>
      </c>
      <c r="R11" s="4">
        <f t="shared" si="0"/>
        <v>0</v>
      </c>
      <c r="S11" s="9">
        <f t="shared" si="1"/>
        <v>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Rammeplan!AA12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Rammeplan!AA13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Rammeplan!AA14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Rammeplan!AA15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Rammeplan!AA16</f>
        <v>0</v>
      </c>
      <c r="R16" s="4">
        <f t="shared" si="0"/>
        <v>0</v>
      </c>
      <c r="S16" s="9">
        <f t="shared" si="1"/>
        <v>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Rammeplan!AA17</f>
        <v>0</v>
      </c>
      <c r="R17" s="4">
        <f t="shared" si="0"/>
        <v>0</v>
      </c>
      <c r="S17" s="9">
        <f t="shared" si="1"/>
        <v>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Rammeplan!AA18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Rammeplan!AA19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Rammeplan!AA20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270</v>
      </c>
      <c r="R21" s="34">
        <f>SUM(R7:R20)</f>
        <v>0</v>
      </c>
      <c r="S21" s="31">
        <f t="shared" si="1"/>
        <v>-270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'39'!C34+'40'!Q7</f>
        <v>3720</v>
      </c>
      <c r="D34" s="68"/>
      <c r="E34" s="66">
        <f>'39'!E34+'40'!R7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'39'!C35+'40'!Q8</f>
        <v>240</v>
      </c>
      <c r="D35" s="63"/>
      <c r="E35" s="66">
        <f>'39'!E35+'40'!R8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'39'!C36+'40'!Q9</f>
        <v>40</v>
      </c>
      <c r="D36" s="63"/>
      <c r="E36" s="66">
        <f>'39'!E36+'40'!R9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'39'!C37+'40'!Q10</f>
        <v>170</v>
      </c>
      <c r="D37" s="63"/>
      <c r="E37" s="66">
        <f>'39'!E37+'40'!R10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'39'!C38+'40'!Q11</f>
        <v>2280</v>
      </c>
      <c r="D38" s="61"/>
      <c r="E38" s="66">
        <f>'39'!E38+'40'!R11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'39'!C39+'40'!Q12</f>
        <v>540</v>
      </c>
      <c r="D39" s="63"/>
      <c r="E39" s="66">
        <f>'39'!E39+'40'!R12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'39'!C40+'40'!Q13</f>
        <v>90</v>
      </c>
      <c r="D40" s="61"/>
      <c r="E40" s="66">
        <f>'39'!E40+'40'!R13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'39'!C41+'40'!Q14</f>
        <v>2850</v>
      </c>
      <c r="D41" s="63"/>
      <c r="E41" s="66">
        <f>'39'!E41+'40'!R14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'39'!C42+'40'!Q15</f>
        <v>1860</v>
      </c>
      <c r="D42" s="61"/>
      <c r="E42" s="66">
        <f>'39'!E42+'40'!R15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'39'!C43+'40'!Q16</f>
        <v>440</v>
      </c>
      <c r="D43" s="63"/>
      <c r="E43" s="66">
        <f>'39'!E43+'40'!R16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'39'!C44+'40'!Q17</f>
        <v>440</v>
      </c>
      <c r="D44" s="61"/>
      <c r="E44" s="66">
        <f>'39'!E44+'40'!R17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'39'!C45+'40'!Q18</f>
        <v>1740</v>
      </c>
      <c r="D45" s="63"/>
      <c r="E45" s="66">
        <f>'39'!E45+'40'!R18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'39'!C46+'40'!Q19</f>
        <v>750</v>
      </c>
      <c r="D46" s="61"/>
      <c r="E46" s="66">
        <f>'39'!E46+'40'!R19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'39'!C47+'40'!Q20</f>
        <v>1980</v>
      </c>
      <c r="D47" s="70"/>
      <c r="E47" s="66">
        <f>'39'!E47+'40'!R20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17140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41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Rammeplan!AB7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Rammeplan!AB8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Rammeplan!AB9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Rammeplan!AB10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Rammeplan!AB11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Rammeplan!AB12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Rammeplan!AB13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Rammeplan!AB14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Rammeplan!AB15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Rammeplan!AB16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Rammeplan!AB17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Rammeplan!AB18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Rammeplan!AB19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Rammeplan!AB20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490</v>
      </c>
      <c r="R21" s="34">
        <f>SUM(R7:R20)</f>
        <v>0</v>
      </c>
      <c r="S21" s="31">
        <f t="shared" si="1"/>
        <v>-490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1" t="s">
        <v>36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23" t="s">
        <v>1</v>
      </c>
      <c r="B32" s="58" t="s">
        <v>30</v>
      </c>
      <c r="C32" s="64" t="s">
        <v>10</v>
      </c>
      <c r="D32" s="71"/>
      <c r="E32" s="67" t="s">
        <v>12</v>
      </c>
      <c r="F32" s="60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>
      <c r="A33" s="37" t="s">
        <v>13</v>
      </c>
      <c r="B33" s="45" t="s">
        <v>22</v>
      </c>
      <c r="C33" s="65">
        <f>'40'!C34+'41'!Q7</f>
        <v>3840</v>
      </c>
      <c r="D33" s="68"/>
      <c r="E33" s="66">
        <f>'40'!E34+'41'!R7</f>
        <v>0</v>
      </c>
      <c r="F33" s="68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9"/>
      <c r="B34" s="24" t="s">
        <v>23</v>
      </c>
      <c r="C34" s="65">
        <f>'40'!C35+'41'!Q8</f>
        <v>240</v>
      </c>
      <c r="D34" s="63"/>
      <c r="E34" s="66">
        <f>'40'!E35+'41'!R8</f>
        <v>0</v>
      </c>
      <c r="F34" s="6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41" t="s">
        <v>14</v>
      </c>
      <c r="B35" s="24" t="s">
        <v>27</v>
      </c>
      <c r="C35" s="65">
        <f>'40'!C36+'41'!Q9</f>
        <v>40</v>
      </c>
      <c r="D35" s="63"/>
      <c r="E35" s="66">
        <f>'40'!E36+'41'!R9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39"/>
      <c r="B36" s="24" t="s">
        <v>28</v>
      </c>
      <c r="C36" s="65">
        <f>'40'!C37+'41'!Q10</f>
        <v>170</v>
      </c>
      <c r="D36" s="63"/>
      <c r="E36" s="66">
        <f>'40'!E37+'41'!R10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41" t="s">
        <v>15</v>
      </c>
      <c r="B37" s="24" t="s">
        <v>29</v>
      </c>
      <c r="C37" s="65">
        <f>'40'!C38+'41'!Q11</f>
        <v>2340</v>
      </c>
      <c r="D37" s="61"/>
      <c r="E37" s="66">
        <f>'40'!E38+'41'!R11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2"/>
      <c r="B38" s="24" t="s">
        <v>24</v>
      </c>
      <c r="C38" s="65">
        <f>'40'!C39+'41'!Q12</f>
        <v>540</v>
      </c>
      <c r="D38" s="63"/>
      <c r="E38" s="66">
        <f>'40'!E39+'41'!R12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39"/>
      <c r="B39" s="24" t="s">
        <v>25</v>
      </c>
      <c r="C39" s="65">
        <f>'40'!C40+'41'!Q13</f>
        <v>90</v>
      </c>
      <c r="D39" s="61"/>
      <c r="E39" s="66">
        <f>'40'!E40+'41'!R13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41" t="s">
        <v>16</v>
      </c>
      <c r="B40" s="24" t="s">
        <v>26</v>
      </c>
      <c r="C40" s="65">
        <f>'40'!C41+'41'!Q14</f>
        <v>2910</v>
      </c>
      <c r="D40" s="63"/>
      <c r="E40" s="66">
        <f>'40'!E41+'41'!R14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39"/>
      <c r="B41" s="24" t="s">
        <v>24</v>
      </c>
      <c r="C41" s="65">
        <f>'40'!C42+'41'!Q15</f>
        <v>1920</v>
      </c>
      <c r="D41" s="61"/>
      <c r="E41" s="66">
        <f>'40'!E42+'41'!R15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 t="s">
        <v>17</v>
      </c>
      <c r="B42" s="35"/>
      <c r="C42" s="65">
        <f>'40'!C43+'41'!Q16</f>
        <v>460</v>
      </c>
      <c r="D42" s="63"/>
      <c r="E42" s="66">
        <f>'40'!E43+'41'!R16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43" t="s">
        <v>18</v>
      </c>
      <c r="B43" s="35"/>
      <c r="C43" s="65">
        <f>'40'!C44+'41'!Q17</f>
        <v>460</v>
      </c>
      <c r="D43" s="61"/>
      <c r="E43" s="66">
        <f>'40'!E44+'41'!R17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19</v>
      </c>
      <c r="B44" s="35"/>
      <c r="C44" s="65">
        <f>'40'!C45+'41'!Q18</f>
        <v>1800</v>
      </c>
      <c r="D44" s="63"/>
      <c r="E44" s="66">
        <f>'40'!E45+'41'!R18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20</v>
      </c>
      <c r="B45" s="35"/>
      <c r="C45" s="65">
        <f>'40'!C46+'41'!Q19</f>
        <v>780</v>
      </c>
      <c r="D45" s="61"/>
      <c r="E45" s="66">
        <f>'40'!E46+'41'!R19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 thickBot="1">
      <c r="A46" s="27" t="s">
        <v>21</v>
      </c>
      <c r="B46" s="46"/>
      <c r="C46" s="65">
        <f>'40'!C47+'41'!Q20</f>
        <v>2040</v>
      </c>
      <c r="D46" s="70"/>
      <c r="E46" s="66">
        <f>'40'!E47+'41'!R20</f>
        <v>0</v>
      </c>
      <c r="F46" s="6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6"/>
      <c r="B47" s="30" t="s">
        <v>9</v>
      </c>
      <c r="C47" s="59">
        <f>SUM(C33:C46)</f>
        <v>17630</v>
      </c>
      <c r="D47" s="60"/>
      <c r="E47" s="59">
        <f>SUM(E33:E46)</f>
        <v>0</v>
      </c>
      <c r="F47" s="60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42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Rammeplan!AC7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Rammeplan!AC8</f>
        <v>20</v>
      </c>
      <c r="R8" s="4">
        <f t="shared" si="0"/>
        <v>0</v>
      </c>
      <c r="S8" s="9">
        <f t="shared" si="1"/>
        <v>-20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Rammeplan!AC9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Rammeplan!AC10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Rammeplan!AC11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Rammeplan!AC12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Rammeplan!AC13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Rammeplan!AC14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Rammeplan!AC15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Rammeplan!AC16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Rammeplan!AC17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Rammeplan!AC18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Rammeplan!AC19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Rammeplan!AC20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570</v>
      </c>
      <c r="R21" s="34">
        <f>SUM(R7:R20)</f>
        <v>0</v>
      </c>
      <c r="S21" s="31">
        <f t="shared" si="1"/>
        <v>-570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'41'!C33+'42'!Q7</f>
        <v>3960</v>
      </c>
      <c r="D34" s="68"/>
      <c r="E34" s="66">
        <f>'41'!E33+'42'!R7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'41'!C34+'42'!Q8</f>
        <v>260</v>
      </c>
      <c r="D35" s="63"/>
      <c r="E35" s="66">
        <f>'41'!E34+'42'!R8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'41'!C35+'42'!Q9</f>
        <v>40</v>
      </c>
      <c r="D36" s="63"/>
      <c r="E36" s="66">
        <f>'41'!E35+'42'!R9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'41'!C36+'42'!Q10</f>
        <v>170</v>
      </c>
      <c r="D37" s="63"/>
      <c r="E37" s="66">
        <f>'41'!E36+'42'!R10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'41'!C37+'42'!Q11</f>
        <v>2460</v>
      </c>
      <c r="D38" s="61"/>
      <c r="E38" s="66">
        <f>'41'!E37+'42'!R11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'41'!C38+'42'!Q12</f>
        <v>540</v>
      </c>
      <c r="D39" s="63"/>
      <c r="E39" s="66">
        <f>'41'!E38+'42'!R12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'41'!C39+'42'!Q13</f>
        <v>90</v>
      </c>
      <c r="D40" s="61"/>
      <c r="E40" s="66">
        <f>'41'!E39+'42'!R13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'41'!C40+'42'!Q14</f>
        <v>2970</v>
      </c>
      <c r="D41" s="63"/>
      <c r="E41" s="66">
        <f>'41'!E40+'42'!R14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'41'!C41+'42'!Q15</f>
        <v>1980</v>
      </c>
      <c r="D42" s="61"/>
      <c r="E42" s="66">
        <f>'41'!E41+'42'!R15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'41'!C42+'42'!Q16</f>
        <v>480</v>
      </c>
      <c r="D43" s="63"/>
      <c r="E43" s="66">
        <f>'41'!E42+'42'!R16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'41'!C43+'42'!Q17</f>
        <v>480</v>
      </c>
      <c r="D44" s="61"/>
      <c r="E44" s="66">
        <f>'41'!E43+'42'!R17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'41'!C44+'42'!Q18</f>
        <v>1860</v>
      </c>
      <c r="D45" s="63"/>
      <c r="E45" s="66">
        <f>'41'!E44+'42'!R18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'41'!C45+'42'!Q19</f>
        <v>810</v>
      </c>
      <c r="D46" s="61"/>
      <c r="E46" s="66">
        <f>'41'!E45+'42'!R19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'41'!C46+'42'!Q20</f>
        <v>2100</v>
      </c>
      <c r="D47" s="70"/>
      <c r="E47" s="66">
        <f>'41'!E46+'42'!R20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18200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43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Rammeplan!AD7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Rammeplan!AD8</f>
        <v>20</v>
      </c>
      <c r="R8" s="4">
        <f t="shared" si="0"/>
        <v>0</v>
      </c>
      <c r="S8" s="9">
        <f t="shared" si="1"/>
        <v>-20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Rammeplan!AD9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Rammeplan!AD10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Rammeplan!AD11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Rammeplan!AD12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Rammeplan!AD13</f>
        <v>0</v>
      </c>
      <c r="R13" s="4">
        <f t="shared" si="0"/>
        <v>0</v>
      </c>
      <c r="S13" s="9">
        <f t="shared" si="1"/>
        <v>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Rammeplan!AD14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Rammeplan!AD15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Rammeplan!AD16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Rammeplan!AD17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Rammeplan!AD18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Rammeplan!AD19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Rammeplan!AD20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630</v>
      </c>
      <c r="R21" s="34">
        <f>SUM(R7:R20)</f>
        <v>0</v>
      </c>
      <c r="S21" s="31">
        <f t="shared" si="1"/>
        <v>-630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'42'!C34+'43'!Q7</f>
        <v>4080</v>
      </c>
      <c r="D34" s="68"/>
      <c r="E34" s="66">
        <f>'42'!E34+'43'!R7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'42'!C35+'43'!Q8</f>
        <v>280</v>
      </c>
      <c r="D35" s="63"/>
      <c r="E35" s="66">
        <f>'42'!E35+'43'!R8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'42'!C36+'43'!Q9</f>
        <v>40</v>
      </c>
      <c r="D36" s="63"/>
      <c r="E36" s="66">
        <f>'42'!E36+'43'!R9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'42'!C37+'43'!Q10</f>
        <v>170</v>
      </c>
      <c r="D37" s="63"/>
      <c r="E37" s="66">
        <f>'42'!E37+'43'!R10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'42'!C38+'43'!Q11</f>
        <v>2580</v>
      </c>
      <c r="D38" s="61"/>
      <c r="E38" s="66">
        <f>'42'!E38+'43'!R11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'42'!C39+'43'!Q12</f>
        <v>540</v>
      </c>
      <c r="D39" s="63"/>
      <c r="E39" s="66">
        <f>'42'!E39+'43'!R12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'42'!C40+'43'!Q13</f>
        <v>90</v>
      </c>
      <c r="D40" s="61"/>
      <c r="E40" s="66">
        <f>'42'!E40+'43'!R13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'42'!C41+'43'!Q14</f>
        <v>3030</v>
      </c>
      <c r="D41" s="63"/>
      <c r="E41" s="66">
        <f>'42'!E41+'43'!R14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'42'!C42+'43'!Q15</f>
        <v>2040</v>
      </c>
      <c r="D42" s="61"/>
      <c r="E42" s="66">
        <f>'42'!E42+'43'!R15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'42'!C43+'43'!Q16</f>
        <v>500</v>
      </c>
      <c r="D43" s="63"/>
      <c r="E43" s="66">
        <f>'42'!E43+'43'!R16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'42'!C44+'43'!Q17</f>
        <v>500</v>
      </c>
      <c r="D44" s="61"/>
      <c r="E44" s="66">
        <f>'42'!E44+'43'!R17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'42'!C45+'43'!Q18</f>
        <v>1920</v>
      </c>
      <c r="D45" s="63"/>
      <c r="E45" s="66">
        <f>'42'!E45+'43'!R18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'42'!C46+'43'!Q19</f>
        <v>840</v>
      </c>
      <c r="D46" s="61"/>
      <c r="E46" s="66">
        <f>'42'!E46+'43'!R19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'42'!C47+'43'!Q20</f>
        <v>2220</v>
      </c>
      <c r="D47" s="70"/>
      <c r="E47" s="66">
        <f>'42'!E47+'43'!R20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18830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44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Rammeplan!AE7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Rammeplan!AE8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Rammeplan!AE9</f>
        <v>20</v>
      </c>
      <c r="R9" s="4">
        <f t="shared" si="0"/>
        <v>0</v>
      </c>
      <c r="S9" s="9">
        <f t="shared" si="1"/>
        <v>-20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Rammeplan!AE10</f>
        <v>20</v>
      </c>
      <c r="R10" s="4">
        <f t="shared" si="0"/>
        <v>0</v>
      </c>
      <c r="S10" s="9">
        <f t="shared" si="1"/>
        <v>-20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Rammeplan!AE11</f>
        <v>120</v>
      </c>
      <c r="R11" s="4">
        <f t="shared" si="0"/>
        <v>0</v>
      </c>
      <c r="S11" s="9">
        <f t="shared" si="1"/>
        <v>-120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Rammeplan!AE12</f>
        <v>60</v>
      </c>
      <c r="R12" s="4">
        <f t="shared" si="0"/>
        <v>0</v>
      </c>
      <c r="S12" s="9">
        <f t="shared" si="1"/>
        <v>-60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Rammeplan!AE13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Rammeplan!AE14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Rammeplan!AE15</f>
        <v>120</v>
      </c>
      <c r="R15" s="4">
        <f t="shared" si="0"/>
        <v>0</v>
      </c>
      <c r="S15" s="9">
        <f t="shared" si="1"/>
        <v>-120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Rammeplan!AE16</f>
        <v>60</v>
      </c>
      <c r="R16" s="4">
        <f t="shared" si="0"/>
        <v>0</v>
      </c>
      <c r="S16" s="9">
        <f t="shared" si="1"/>
        <v>-60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Rammeplan!AE17</f>
        <v>60</v>
      </c>
      <c r="R17" s="4">
        <f t="shared" si="0"/>
        <v>0</v>
      </c>
      <c r="S17" s="9">
        <f t="shared" si="1"/>
        <v>-60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Rammeplan!AE18</f>
        <v>60</v>
      </c>
      <c r="R18" s="4">
        <f t="shared" si="0"/>
        <v>0</v>
      </c>
      <c r="S18" s="9">
        <f t="shared" si="1"/>
        <v>-60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Rammeplan!AE19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Rammeplan!AE20</f>
        <v>120</v>
      </c>
      <c r="R20" s="7">
        <f t="shared" si="0"/>
        <v>0</v>
      </c>
      <c r="S20" s="9">
        <f t="shared" si="1"/>
        <v>-120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880</v>
      </c>
      <c r="R21" s="34">
        <f>SUM(R7:R20)</f>
        <v>0</v>
      </c>
      <c r="S21" s="31">
        <f t="shared" si="1"/>
        <v>-880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'43'!C34+'44'!Q7</f>
        <v>4200</v>
      </c>
      <c r="D34" s="68"/>
      <c r="E34" s="66">
        <f>'43'!E34+'44'!R7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'43'!C35+'44'!Q8</f>
        <v>280</v>
      </c>
      <c r="D35" s="63"/>
      <c r="E35" s="66">
        <f>'43'!E35+'44'!R8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'43'!C36+'44'!Q9</f>
        <v>60</v>
      </c>
      <c r="D36" s="63"/>
      <c r="E36" s="66">
        <f>'43'!E36+'44'!R9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'43'!C37+'44'!Q10</f>
        <v>190</v>
      </c>
      <c r="D37" s="63"/>
      <c r="E37" s="66">
        <f>'43'!E37+'44'!R10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'43'!C38+'44'!Q11</f>
        <v>2700</v>
      </c>
      <c r="D38" s="61"/>
      <c r="E38" s="66">
        <f>'43'!E38+'44'!R11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'43'!C39+'44'!Q12</f>
        <v>600</v>
      </c>
      <c r="D39" s="63"/>
      <c r="E39" s="66">
        <f>'43'!E39+'44'!R12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'43'!C40+'44'!Q13</f>
        <v>120</v>
      </c>
      <c r="D40" s="61"/>
      <c r="E40" s="66">
        <f>'43'!E40+'44'!R13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'43'!C41+'44'!Q14</f>
        <v>3090</v>
      </c>
      <c r="D41" s="63"/>
      <c r="E41" s="66">
        <f>'43'!E41+'44'!R14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'43'!C42+'44'!Q15</f>
        <v>2160</v>
      </c>
      <c r="D42" s="61"/>
      <c r="E42" s="66">
        <f>'43'!E42+'44'!R15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'43'!C43+'44'!Q16</f>
        <v>560</v>
      </c>
      <c r="D43" s="63"/>
      <c r="E43" s="66">
        <f>'43'!E43+'44'!R16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'43'!C44+'44'!Q17</f>
        <v>560</v>
      </c>
      <c r="D44" s="61"/>
      <c r="E44" s="66">
        <f>'43'!E44+'44'!R17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'43'!C45+'44'!Q18</f>
        <v>1980</v>
      </c>
      <c r="D45" s="63"/>
      <c r="E45" s="66">
        <f>'43'!E45+'44'!R18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'43'!C46+'44'!Q19</f>
        <v>870</v>
      </c>
      <c r="D46" s="61"/>
      <c r="E46" s="66">
        <f>'43'!E46+'44'!R19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'43'!C47+'44'!Q20</f>
        <v>2340</v>
      </c>
      <c r="D47" s="70"/>
      <c r="E47" s="66">
        <f>'43'!E47+'44'!R20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19710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45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Rammeplan!AF7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Rammeplan!AF8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Rammeplan!AF9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Rammeplan!AF10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Rammeplan!AF11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Rammeplan!AF12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Rammeplan!AF13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Rammeplan!AF14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Rammeplan!AF15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Rammeplan!AF16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Rammeplan!AF17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Rammeplan!AF18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Rammeplan!AF19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Rammeplan!AF20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460</v>
      </c>
      <c r="R21" s="34">
        <f>SUM(R7:R20)</f>
        <v>0</v>
      </c>
      <c r="S21" s="31">
        <f t="shared" si="1"/>
        <v>-460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'44'!C34+'45'!Q7</f>
        <v>4320</v>
      </c>
      <c r="D34" s="68"/>
      <c r="E34" s="66">
        <f>'44'!E34+'45'!R7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'44'!C35+'45'!Q8</f>
        <v>280</v>
      </c>
      <c r="D35" s="63"/>
      <c r="E35" s="66">
        <f>'44'!E35+'45'!R8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'44'!C36+'45'!Q9</f>
        <v>60</v>
      </c>
      <c r="D36" s="63"/>
      <c r="E36" s="66">
        <f>'44'!E36+'45'!R9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'44'!C37+'45'!Q10</f>
        <v>190</v>
      </c>
      <c r="D37" s="63"/>
      <c r="E37" s="66">
        <f>'44'!E37+'45'!R10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'44'!C38+'45'!Q11</f>
        <v>2760</v>
      </c>
      <c r="D38" s="61"/>
      <c r="E38" s="66">
        <f>'44'!E38+'45'!R11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'44'!C39+'45'!Q12</f>
        <v>600</v>
      </c>
      <c r="D39" s="63"/>
      <c r="E39" s="66">
        <f>'44'!E39+'45'!R12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'44'!C40+'45'!Q13</f>
        <v>150</v>
      </c>
      <c r="D40" s="61"/>
      <c r="E40" s="66">
        <f>'44'!E40+'45'!R13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'44'!C41+'45'!Q14</f>
        <v>3210</v>
      </c>
      <c r="D41" s="63"/>
      <c r="E41" s="66">
        <f>'44'!E41+'45'!R14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'44'!C42+'45'!Q15</f>
        <v>2160</v>
      </c>
      <c r="D42" s="61"/>
      <c r="E42" s="66">
        <f>'44'!E42+'45'!R15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'44'!C43+'45'!Q16</f>
        <v>580</v>
      </c>
      <c r="D43" s="63"/>
      <c r="E43" s="66">
        <f>'44'!E43+'45'!R16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'44'!C44+'45'!Q17</f>
        <v>580</v>
      </c>
      <c r="D44" s="61"/>
      <c r="E44" s="66">
        <f>'44'!E44+'45'!R17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'44'!C45+'45'!Q18</f>
        <v>1980</v>
      </c>
      <c r="D45" s="63"/>
      <c r="E45" s="66">
        <f>'44'!E45+'45'!R18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'44'!C46+'45'!Q19</f>
        <v>900</v>
      </c>
      <c r="D46" s="61"/>
      <c r="E46" s="66">
        <f>'44'!E46+'45'!R19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'44'!C47+'45'!Q20</f>
        <v>2400</v>
      </c>
      <c r="D47" s="70"/>
      <c r="E47" s="66">
        <f>'44'!E47+'45'!R20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20170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46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Rammeplan!AG7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Rammeplan!AG8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Rammeplan!AG9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Rammeplan!AG10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Rammeplan!AG11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Rammeplan!AG12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Rammeplan!AG13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Rammeplan!AG14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Rammeplan!AG15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Rammeplan!AG16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Rammeplan!AG17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Rammeplan!AG18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Rammeplan!AG19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Rammeplan!AG20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460</v>
      </c>
      <c r="R21" s="34">
        <f>SUM(R7:R20)</f>
        <v>0</v>
      </c>
      <c r="S21" s="31">
        <f t="shared" si="1"/>
        <v>-460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'45'!C34+'46'!Q7</f>
        <v>4440</v>
      </c>
      <c r="D34" s="68"/>
      <c r="E34" s="66">
        <f>'45'!E34+'46'!R7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'45'!C35+'46'!Q8</f>
        <v>280</v>
      </c>
      <c r="D35" s="63"/>
      <c r="E35" s="66">
        <f>'45'!E35+'46'!R8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'45'!C36+'46'!Q9</f>
        <v>60</v>
      </c>
      <c r="D36" s="63"/>
      <c r="E36" s="66">
        <f>'45'!E36+'46'!R9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'45'!C37+'46'!Q10</f>
        <v>190</v>
      </c>
      <c r="D37" s="63"/>
      <c r="E37" s="66">
        <f>'45'!E37+'46'!R10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'45'!C38+'46'!Q11</f>
        <v>2820</v>
      </c>
      <c r="D38" s="61"/>
      <c r="E38" s="66">
        <f>'45'!E38+'46'!R11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'45'!C39+'46'!Q12</f>
        <v>600</v>
      </c>
      <c r="D39" s="63"/>
      <c r="E39" s="66">
        <f>'45'!E39+'46'!R12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'45'!C40+'46'!Q13</f>
        <v>180</v>
      </c>
      <c r="D40" s="61"/>
      <c r="E40" s="66">
        <f>'45'!E40+'46'!R13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'45'!C41+'46'!Q14</f>
        <v>3330</v>
      </c>
      <c r="D41" s="63"/>
      <c r="E41" s="66">
        <f>'45'!E41+'46'!R14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'45'!C42+'46'!Q15</f>
        <v>2160</v>
      </c>
      <c r="D42" s="61"/>
      <c r="E42" s="66">
        <f>'45'!E42+'46'!R15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'45'!C43+'46'!Q16</f>
        <v>600</v>
      </c>
      <c r="D43" s="63"/>
      <c r="E43" s="66">
        <f>'45'!E43+'46'!R16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'45'!C44+'46'!Q17</f>
        <v>600</v>
      </c>
      <c r="D44" s="61"/>
      <c r="E44" s="66">
        <f>'45'!E44+'46'!R17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'45'!C45+'46'!Q18</f>
        <v>1980</v>
      </c>
      <c r="D45" s="63"/>
      <c r="E45" s="66">
        <f>'45'!E45+'46'!R18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'45'!C46+'46'!Q19</f>
        <v>930</v>
      </c>
      <c r="D46" s="61"/>
      <c r="E46" s="66">
        <f>'45'!E46+'46'!R19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'45'!C47+'46'!Q20</f>
        <v>2460</v>
      </c>
      <c r="D47" s="70"/>
      <c r="E47" s="66">
        <f>'45'!E47+'46'!R20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20630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47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Rammeplan!AH7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Rammeplan!AH8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Rammeplan!AH9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Rammeplan!AH10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Rammeplan!AH11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Rammeplan!AH12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Rammeplan!AH13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Rammeplan!AH14</f>
        <v>120</v>
      </c>
      <c r="R14" s="4">
        <f t="shared" si="0"/>
        <v>0</v>
      </c>
      <c r="S14" s="9">
        <f t="shared" si="1"/>
        <v>-120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Rammeplan!AH15</f>
        <v>0</v>
      </c>
      <c r="R15" s="4">
        <f t="shared" si="0"/>
        <v>0</v>
      </c>
      <c r="S15" s="9">
        <f t="shared" si="1"/>
        <v>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Rammeplan!AH16</f>
        <v>20</v>
      </c>
      <c r="R16" s="4">
        <f t="shared" si="0"/>
        <v>0</v>
      </c>
      <c r="S16" s="9">
        <f t="shared" si="1"/>
        <v>-20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Rammeplan!AH17</f>
        <v>20</v>
      </c>
      <c r="R17" s="4">
        <f t="shared" si="0"/>
        <v>0</v>
      </c>
      <c r="S17" s="9">
        <f t="shared" si="1"/>
        <v>-20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Rammeplan!AH18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Rammeplan!AH19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Rammeplan!AH20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460</v>
      </c>
      <c r="R21" s="34">
        <f>SUM(R7:R20)</f>
        <v>0</v>
      </c>
      <c r="S21" s="31">
        <f t="shared" si="1"/>
        <v>-460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'46'!C34+'47'!Q7</f>
        <v>4560</v>
      </c>
      <c r="D34" s="68"/>
      <c r="E34" s="66">
        <f>'46'!E34+'47'!R7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'46'!C35+'47'!Q8</f>
        <v>280</v>
      </c>
      <c r="D35" s="63"/>
      <c r="E35" s="66">
        <f>'46'!E35+'47'!R8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'46'!C36+'47'!Q9</f>
        <v>60</v>
      </c>
      <c r="D36" s="63"/>
      <c r="E36" s="66">
        <f>'46'!E36+'47'!R9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'46'!C37+'47'!Q10</f>
        <v>190</v>
      </c>
      <c r="D37" s="63"/>
      <c r="E37" s="66">
        <f>'46'!E37+'47'!R10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'46'!C38+'47'!Q11</f>
        <v>2880</v>
      </c>
      <c r="D38" s="61"/>
      <c r="E38" s="66">
        <f>'46'!E38+'47'!R11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'46'!C39+'47'!Q12</f>
        <v>600</v>
      </c>
      <c r="D39" s="63"/>
      <c r="E39" s="66">
        <f>'46'!E39+'47'!R12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'46'!C40+'47'!Q13</f>
        <v>210</v>
      </c>
      <c r="D40" s="61"/>
      <c r="E40" s="66">
        <f>'46'!E40+'47'!R13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'46'!C41+'47'!Q14</f>
        <v>3450</v>
      </c>
      <c r="D41" s="63"/>
      <c r="E41" s="66">
        <f>'46'!E41+'47'!R14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'46'!C42+'47'!Q15</f>
        <v>2160</v>
      </c>
      <c r="D42" s="61"/>
      <c r="E42" s="66">
        <f>'46'!E42+'47'!R15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'46'!C43+'47'!Q16</f>
        <v>620</v>
      </c>
      <c r="D43" s="63"/>
      <c r="E43" s="66">
        <f>'46'!E43+'47'!R16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'46'!C44+'47'!Q17</f>
        <v>620</v>
      </c>
      <c r="D44" s="61"/>
      <c r="E44" s="66">
        <f>'46'!E44+'47'!R17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'46'!C45+'47'!Q18</f>
        <v>1980</v>
      </c>
      <c r="D45" s="63"/>
      <c r="E45" s="66">
        <f>'46'!E45+'47'!R18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'46'!C46+'47'!Q19</f>
        <v>960</v>
      </c>
      <c r="D46" s="61"/>
      <c r="E46" s="66">
        <f>'46'!E46+'47'!R19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'46'!C47+'47'!Q20</f>
        <v>2520</v>
      </c>
      <c r="D47" s="70"/>
      <c r="E47" s="66">
        <f>'46'!E47+'47'!R20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21090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T69"/>
  <sheetViews>
    <sheetView zoomScale="75" workbookViewId="0">
      <selection activeCell="A2" sqref="A2"/>
    </sheetView>
  </sheetViews>
  <sheetFormatPr baseColWidth="10" defaultRowHeight="12.75"/>
  <cols>
    <col min="1" max="1" width="13.7109375" customWidth="1"/>
    <col min="3" max="3" width="6.7109375" customWidth="1"/>
    <col min="4" max="4" width="2.7109375" customWidth="1"/>
    <col min="5" max="5" width="6.7109375" customWidth="1"/>
    <col min="6" max="6" width="2.7109375" customWidth="1"/>
    <col min="7" max="7" width="6.7109375" customWidth="1"/>
    <col min="8" max="8" width="2.7109375" customWidth="1"/>
    <col min="9" max="9" width="6.7109375" customWidth="1"/>
    <col min="10" max="10" width="2.7109375" customWidth="1"/>
    <col min="11" max="11" width="6.7109375" customWidth="1"/>
    <col min="12" max="12" width="2.7109375" customWidth="1"/>
    <col min="13" max="13" width="6.7109375" customWidth="1"/>
    <col min="14" max="14" width="2.7109375" customWidth="1"/>
    <col min="15" max="15" width="6.7109375" customWidth="1"/>
    <col min="16" max="16" width="2.7109375" customWidth="1"/>
    <col min="17" max="17" width="6.7109375" customWidth="1"/>
    <col min="18" max="18" width="8.7109375" customWidth="1"/>
    <col min="19" max="19" width="6.7109375" customWidth="1"/>
  </cols>
  <sheetData>
    <row r="1" spans="1:20">
      <c r="A1" s="11" t="str">
        <f>Rammeplan!A1</f>
        <v>TRENINGSDAGBOK-HOVDEN SKIGYMNAS, 2012-2013: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1" t="s">
        <v>0</v>
      </c>
      <c r="B3" s="56">
        <v>48</v>
      </c>
      <c r="C3" s="12"/>
      <c r="D3" s="12"/>
      <c r="E3" s="12"/>
      <c r="F3" s="12"/>
      <c r="G3" s="12" t="s">
        <v>51</v>
      </c>
      <c r="H3" s="104">
        <f>'18'!H3</f>
        <v>0</v>
      </c>
      <c r="I3" s="105"/>
      <c r="J3" s="105"/>
      <c r="K3" s="105"/>
      <c r="L3" s="105"/>
      <c r="M3" s="105"/>
      <c r="N3" s="105"/>
      <c r="O3" s="106"/>
      <c r="P3" s="12"/>
      <c r="Q3" s="12"/>
      <c r="R3" s="12"/>
      <c r="S3" s="12"/>
      <c r="T3" s="12"/>
    </row>
    <row r="4" spans="1:20" ht="13.5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.5" thickBot="1">
      <c r="A5" s="11"/>
      <c r="B5" s="11"/>
      <c r="C5" s="25" t="s">
        <v>2</v>
      </c>
      <c r="D5" s="26"/>
      <c r="E5" s="25" t="s">
        <v>3</v>
      </c>
      <c r="F5" s="26"/>
      <c r="G5" s="25" t="s">
        <v>4</v>
      </c>
      <c r="H5" s="26"/>
      <c r="I5" s="25" t="s">
        <v>5</v>
      </c>
      <c r="J5" s="26"/>
      <c r="K5" s="25" t="s">
        <v>6</v>
      </c>
      <c r="L5" s="26"/>
      <c r="M5" s="25" t="s">
        <v>7</v>
      </c>
      <c r="N5" s="26"/>
      <c r="O5" s="25" t="s">
        <v>8</v>
      </c>
      <c r="P5" s="26"/>
      <c r="Q5" s="25" t="s">
        <v>9</v>
      </c>
      <c r="R5" s="26"/>
      <c r="S5" s="11"/>
      <c r="T5" s="11"/>
    </row>
    <row r="6" spans="1:20" ht="13.5" thickBot="1">
      <c r="A6" s="23" t="s">
        <v>1</v>
      </c>
      <c r="B6" s="36" t="s">
        <v>30</v>
      </c>
      <c r="C6" s="27" t="s">
        <v>10</v>
      </c>
      <c r="D6" s="28" t="s">
        <v>11</v>
      </c>
      <c r="E6" s="27" t="s">
        <v>10</v>
      </c>
      <c r="F6" s="28" t="s">
        <v>11</v>
      </c>
      <c r="G6" s="27" t="s">
        <v>10</v>
      </c>
      <c r="H6" s="28" t="s">
        <v>11</v>
      </c>
      <c r="I6" s="27" t="s">
        <v>10</v>
      </c>
      <c r="J6" s="28" t="s">
        <v>11</v>
      </c>
      <c r="K6" s="27" t="s">
        <v>10</v>
      </c>
      <c r="L6" s="29" t="s">
        <v>11</v>
      </c>
      <c r="M6" s="27" t="s">
        <v>10</v>
      </c>
      <c r="N6" s="28" t="s">
        <v>11</v>
      </c>
      <c r="O6" s="27" t="s">
        <v>10</v>
      </c>
      <c r="P6" s="28" t="s">
        <v>11</v>
      </c>
      <c r="Q6" s="27" t="s">
        <v>10</v>
      </c>
      <c r="R6" s="28" t="s">
        <v>12</v>
      </c>
      <c r="S6" s="8" t="s">
        <v>33</v>
      </c>
      <c r="T6" s="10" t="s">
        <v>31</v>
      </c>
    </row>
    <row r="7" spans="1:20" ht="20.100000000000001" customHeight="1">
      <c r="A7" s="37" t="s">
        <v>13</v>
      </c>
      <c r="B7" s="38" t="s">
        <v>22</v>
      </c>
      <c r="C7" s="72"/>
      <c r="D7" s="20"/>
      <c r="E7" s="73"/>
      <c r="F7" s="20"/>
      <c r="G7" s="73"/>
      <c r="H7" s="20"/>
      <c r="I7" s="73"/>
      <c r="J7" s="20"/>
      <c r="K7" s="73"/>
      <c r="L7" s="20"/>
      <c r="M7" s="73"/>
      <c r="N7" s="20"/>
      <c r="O7" s="73"/>
      <c r="P7" s="20"/>
      <c r="Q7" s="3">
        <f>Rammeplan!AI7</f>
        <v>120</v>
      </c>
      <c r="R7" s="4">
        <f t="shared" ref="R7:R20" si="0">(C7*D7)+(E7*F7)+(G7*H7)+(I7*J7)+(K7*L7)+(M7*N7)+(O7*P7)</f>
        <v>0</v>
      </c>
      <c r="S7" s="9">
        <f t="shared" ref="S7:S21" si="1">R7-Q7</f>
        <v>-120</v>
      </c>
      <c r="T7" s="16"/>
    </row>
    <row r="8" spans="1:20" ht="20.100000000000001" customHeight="1">
      <c r="A8" s="39"/>
      <c r="B8" s="40" t="s">
        <v>23</v>
      </c>
      <c r="C8" s="74"/>
      <c r="D8" s="21"/>
      <c r="E8" s="75"/>
      <c r="F8" s="21"/>
      <c r="G8" s="75"/>
      <c r="H8" s="21"/>
      <c r="I8" s="75"/>
      <c r="J8" s="21"/>
      <c r="K8" s="75"/>
      <c r="L8" s="21"/>
      <c r="M8" s="75"/>
      <c r="N8" s="21"/>
      <c r="O8" s="75"/>
      <c r="P8" s="21"/>
      <c r="Q8" s="3">
        <f>Rammeplan!AI8</f>
        <v>0</v>
      </c>
      <c r="R8" s="4">
        <f t="shared" si="0"/>
        <v>0</v>
      </c>
      <c r="S8" s="9">
        <f t="shared" si="1"/>
        <v>0</v>
      </c>
      <c r="T8" s="17"/>
    </row>
    <row r="9" spans="1:20" ht="20.100000000000001" customHeight="1">
      <c r="A9" s="41" t="s">
        <v>14</v>
      </c>
      <c r="B9" s="40" t="s">
        <v>27</v>
      </c>
      <c r="C9" s="74"/>
      <c r="D9" s="21"/>
      <c r="E9" s="75"/>
      <c r="F9" s="21"/>
      <c r="G9" s="75"/>
      <c r="H9" s="21"/>
      <c r="I9" s="75"/>
      <c r="J9" s="21"/>
      <c r="K9" s="75"/>
      <c r="L9" s="21"/>
      <c r="M9" s="75"/>
      <c r="N9" s="21"/>
      <c r="O9" s="75"/>
      <c r="P9" s="21"/>
      <c r="Q9" s="3">
        <f>Rammeplan!AI9</f>
        <v>0</v>
      </c>
      <c r="R9" s="4">
        <f t="shared" si="0"/>
        <v>0</v>
      </c>
      <c r="S9" s="9">
        <f t="shared" si="1"/>
        <v>0</v>
      </c>
      <c r="T9" s="17"/>
    </row>
    <row r="10" spans="1:20" ht="20.100000000000001" customHeight="1">
      <c r="A10" s="39"/>
      <c r="B10" s="40" t="s">
        <v>28</v>
      </c>
      <c r="C10" s="74"/>
      <c r="D10" s="21"/>
      <c r="E10" s="75"/>
      <c r="F10" s="21"/>
      <c r="G10" s="75"/>
      <c r="H10" s="21"/>
      <c r="I10" s="75"/>
      <c r="J10" s="21"/>
      <c r="K10" s="75"/>
      <c r="L10" s="21"/>
      <c r="M10" s="75"/>
      <c r="N10" s="21"/>
      <c r="O10" s="75"/>
      <c r="P10" s="21"/>
      <c r="Q10" s="3">
        <f>Rammeplan!AI10</f>
        <v>0</v>
      </c>
      <c r="R10" s="4">
        <f t="shared" si="0"/>
        <v>0</v>
      </c>
      <c r="S10" s="9">
        <f t="shared" si="1"/>
        <v>0</v>
      </c>
      <c r="T10" s="17"/>
    </row>
    <row r="11" spans="1:20" ht="20.100000000000001" customHeight="1">
      <c r="A11" s="41" t="s">
        <v>15</v>
      </c>
      <c r="B11" s="40" t="s">
        <v>29</v>
      </c>
      <c r="C11" s="74"/>
      <c r="D11" s="21"/>
      <c r="E11" s="75"/>
      <c r="F11" s="21"/>
      <c r="G11" s="75"/>
      <c r="H11" s="21"/>
      <c r="I11" s="75"/>
      <c r="J11" s="21"/>
      <c r="K11" s="75"/>
      <c r="L11" s="21"/>
      <c r="M11" s="75"/>
      <c r="N11" s="21"/>
      <c r="O11" s="75"/>
      <c r="P11" s="21"/>
      <c r="Q11" s="3">
        <f>Rammeplan!AI11</f>
        <v>60</v>
      </c>
      <c r="R11" s="4">
        <f t="shared" si="0"/>
        <v>0</v>
      </c>
      <c r="S11" s="9">
        <f t="shared" si="1"/>
        <v>-60</v>
      </c>
      <c r="T11" s="17"/>
    </row>
    <row r="12" spans="1:20" ht="20.100000000000001" customHeight="1">
      <c r="A12" s="42"/>
      <c r="B12" s="40" t="s">
        <v>24</v>
      </c>
      <c r="C12" s="74"/>
      <c r="D12" s="21"/>
      <c r="E12" s="75"/>
      <c r="F12" s="21"/>
      <c r="G12" s="75"/>
      <c r="H12" s="21"/>
      <c r="I12" s="75"/>
      <c r="J12" s="21"/>
      <c r="K12" s="75"/>
      <c r="L12" s="21"/>
      <c r="M12" s="75"/>
      <c r="N12" s="21"/>
      <c r="O12" s="75"/>
      <c r="P12" s="21"/>
      <c r="Q12" s="3">
        <f>Rammeplan!AI12</f>
        <v>0</v>
      </c>
      <c r="R12" s="4">
        <f t="shared" si="0"/>
        <v>0</v>
      </c>
      <c r="S12" s="9">
        <f t="shared" si="1"/>
        <v>0</v>
      </c>
      <c r="T12" s="17"/>
    </row>
    <row r="13" spans="1:20" ht="20.100000000000001" customHeight="1">
      <c r="A13" s="39"/>
      <c r="B13" s="40" t="s">
        <v>25</v>
      </c>
      <c r="C13" s="74"/>
      <c r="D13" s="21"/>
      <c r="E13" s="75"/>
      <c r="F13" s="21"/>
      <c r="G13" s="75"/>
      <c r="H13" s="21"/>
      <c r="I13" s="75"/>
      <c r="J13" s="21"/>
      <c r="K13" s="75"/>
      <c r="L13" s="21"/>
      <c r="M13" s="75"/>
      <c r="N13" s="21"/>
      <c r="O13" s="75"/>
      <c r="P13" s="21"/>
      <c r="Q13" s="3">
        <f>Rammeplan!AI13</f>
        <v>30</v>
      </c>
      <c r="R13" s="4">
        <f t="shared" si="0"/>
        <v>0</v>
      </c>
      <c r="S13" s="9">
        <f t="shared" si="1"/>
        <v>-30</v>
      </c>
      <c r="T13" s="17"/>
    </row>
    <row r="14" spans="1:20" ht="20.100000000000001" customHeight="1">
      <c r="A14" s="41" t="s">
        <v>16</v>
      </c>
      <c r="B14" s="40" t="s">
        <v>26</v>
      </c>
      <c r="C14" s="74"/>
      <c r="D14" s="21"/>
      <c r="E14" s="75"/>
      <c r="F14" s="21"/>
      <c r="G14" s="75"/>
      <c r="H14" s="21"/>
      <c r="I14" s="75"/>
      <c r="J14" s="21"/>
      <c r="K14" s="75"/>
      <c r="L14" s="21"/>
      <c r="M14" s="75"/>
      <c r="N14" s="21"/>
      <c r="O14" s="75"/>
      <c r="P14" s="21"/>
      <c r="Q14" s="3">
        <f>Rammeplan!AI14</f>
        <v>60</v>
      </c>
      <c r="R14" s="4">
        <f t="shared" si="0"/>
        <v>0</v>
      </c>
      <c r="S14" s="9">
        <f t="shared" si="1"/>
        <v>-60</v>
      </c>
      <c r="T14" s="17"/>
    </row>
    <row r="15" spans="1:20" ht="20.100000000000001" customHeight="1">
      <c r="A15" s="39"/>
      <c r="B15" s="40" t="s">
        <v>24</v>
      </c>
      <c r="C15" s="74"/>
      <c r="D15" s="21"/>
      <c r="E15" s="75"/>
      <c r="F15" s="21"/>
      <c r="G15" s="75"/>
      <c r="H15" s="21"/>
      <c r="I15" s="75"/>
      <c r="J15" s="21"/>
      <c r="K15" s="75"/>
      <c r="L15" s="21"/>
      <c r="M15" s="75"/>
      <c r="N15" s="21"/>
      <c r="O15" s="75"/>
      <c r="P15" s="21"/>
      <c r="Q15" s="3">
        <f>Rammeplan!AI15</f>
        <v>60</v>
      </c>
      <c r="R15" s="4">
        <f t="shared" si="0"/>
        <v>0</v>
      </c>
      <c r="S15" s="9">
        <f t="shared" si="1"/>
        <v>-60</v>
      </c>
      <c r="T15" s="17"/>
    </row>
    <row r="16" spans="1:20" ht="20.100000000000001" customHeight="1">
      <c r="A16" s="39" t="s">
        <v>17</v>
      </c>
      <c r="B16" s="2"/>
      <c r="C16" s="74"/>
      <c r="D16" s="21"/>
      <c r="E16" s="75"/>
      <c r="F16" s="21"/>
      <c r="G16" s="75"/>
      <c r="H16" s="21"/>
      <c r="I16" s="75"/>
      <c r="J16" s="21"/>
      <c r="K16" s="75"/>
      <c r="L16" s="21"/>
      <c r="M16" s="75"/>
      <c r="N16" s="21"/>
      <c r="O16" s="75"/>
      <c r="P16" s="21"/>
      <c r="Q16" s="3">
        <f>Rammeplan!AI16</f>
        <v>40</v>
      </c>
      <c r="R16" s="4">
        <f t="shared" si="0"/>
        <v>0</v>
      </c>
      <c r="S16" s="9">
        <f t="shared" si="1"/>
        <v>-40</v>
      </c>
      <c r="T16" s="17"/>
    </row>
    <row r="17" spans="1:20" ht="20.100000000000001" customHeight="1">
      <c r="A17" s="43" t="s">
        <v>18</v>
      </c>
      <c r="B17" s="2"/>
      <c r="C17" s="74"/>
      <c r="D17" s="21"/>
      <c r="E17" s="75"/>
      <c r="F17" s="21"/>
      <c r="G17" s="75"/>
      <c r="H17" s="21"/>
      <c r="I17" s="75"/>
      <c r="J17" s="21"/>
      <c r="K17" s="75"/>
      <c r="L17" s="21"/>
      <c r="M17" s="75"/>
      <c r="N17" s="21"/>
      <c r="O17" s="75"/>
      <c r="P17" s="21"/>
      <c r="Q17" s="3">
        <f>Rammeplan!AI17</f>
        <v>40</v>
      </c>
      <c r="R17" s="4">
        <f t="shared" si="0"/>
        <v>0</v>
      </c>
      <c r="S17" s="9">
        <f t="shared" si="1"/>
        <v>-40</v>
      </c>
      <c r="T17" s="17"/>
    </row>
    <row r="18" spans="1:20" ht="20.100000000000001" customHeight="1">
      <c r="A18" s="43" t="s">
        <v>19</v>
      </c>
      <c r="B18" s="2"/>
      <c r="C18" s="74"/>
      <c r="D18" s="21"/>
      <c r="E18" s="75"/>
      <c r="F18" s="21"/>
      <c r="G18" s="75"/>
      <c r="H18" s="21"/>
      <c r="I18" s="75"/>
      <c r="J18" s="21"/>
      <c r="K18" s="75"/>
      <c r="L18" s="21"/>
      <c r="M18" s="75"/>
      <c r="N18" s="21"/>
      <c r="O18" s="75"/>
      <c r="P18" s="21"/>
      <c r="Q18" s="3">
        <f>Rammeplan!AI18</f>
        <v>0</v>
      </c>
      <c r="R18" s="4">
        <f t="shared" si="0"/>
        <v>0</v>
      </c>
      <c r="S18" s="9">
        <f t="shared" si="1"/>
        <v>0</v>
      </c>
      <c r="T18" s="17"/>
    </row>
    <row r="19" spans="1:20" ht="20.100000000000001" customHeight="1">
      <c r="A19" s="43" t="s">
        <v>20</v>
      </c>
      <c r="B19" s="2"/>
      <c r="C19" s="74"/>
      <c r="D19" s="21"/>
      <c r="E19" s="75"/>
      <c r="F19" s="21"/>
      <c r="G19" s="75"/>
      <c r="H19" s="21"/>
      <c r="I19" s="75"/>
      <c r="J19" s="21"/>
      <c r="K19" s="75"/>
      <c r="L19" s="21"/>
      <c r="M19" s="75"/>
      <c r="N19" s="21"/>
      <c r="O19" s="75"/>
      <c r="P19" s="21"/>
      <c r="Q19" s="3">
        <f>Rammeplan!AI19</f>
        <v>30</v>
      </c>
      <c r="R19" s="4">
        <f t="shared" si="0"/>
        <v>0</v>
      </c>
      <c r="S19" s="9">
        <f t="shared" si="1"/>
        <v>-30</v>
      </c>
      <c r="T19" s="17"/>
    </row>
    <row r="20" spans="1:20" ht="20.100000000000001" customHeight="1" thickBot="1">
      <c r="A20" s="27" t="s">
        <v>21</v>
      </c>
      <c r="B20" s="44"/>
      <c r="C20" s="76"/>
      <c r="D20" s="15"/>
      <c r="E20" s="77"/>
      <c r="F20" s="22"/>
      <c r="G20" s="77"/>
      <c r="H20" s="15"/>
      <c r="I20" s="77"/>
      <c r="J20" s="22"/>
      <c r="K20" s="77"/>
      <c r="L20" s="22"/>
      <c r="M20" s="77"/>
      <c r="N20" s="15"/>
      <c r="O20" s="77"/>
      <c r="P20" s="22"/>
      <c r="Q20" s="3">
        <f>Rammeplan!AI20</f>
        <v>60</v>
      </c>
      <c r="R20" s="7">
        <f t="shared" si="0"/>
        <v>0</v>
      </c>
      <c r="S20" s="9">
        <f t="shared" si="1"/>
        <v>-60</v>
      </c>
      <c r="T20" s="18"/>
    </row>
    <row r="21" spans="1:20" ht="20.100000000000001" customHeight="1" thickBot="1">
      <c r="A21" s="6"/>
      <c r="B21" s="30" t="s">
        <v>9</v>
      </c>
      <c r="C21" s="31">
        <f>SUM(C7:C20)</f>
        <v>0</v>
      </c>
      <c r="D21" s="32"/>
      <c r="E21" s="31">
        <f>SUM(E7:E20)</f>
        <v>0</v>
      </c>
      <c r="F21" s="32"/>
      <c r="G21" s="31">
        <f>SUM(G7:G20)</f>
        <v>0</v>
      </c>
      <c r="H21" s="32"/>
      <c r="I21" s="31">
        <f>SUM(I7:I20)</f>
        <v>0</v>
      </c>
      <c r="J21" s="32"/>
      <c r="K21" s="31">
        <f>SUM(K7:K20)</f>
        <v>0</v>
      </c>
      <c r="L21" s="32"/>
      <c r="M21" s="31">
        <f>SUM(M7:M20)</f>
        <v>0</v>
      </c>
      <c r="N21" s="32"/>
      <c r="O21" s="31">
        <f>SUM(O7:O20)</f>
        <v>0</v>
      </c>
      <c r="P21" s="32"/>
      <c r="Q21" s="33">
        <f>SUM(Q7:Q20)</f>
        <v>500</v>
      </c>
      <c r="R21" s="34">
        <f>SUM(R7:R20)</f>
        <v>0</v>
      </c>
      <c r="S21" s="31">
        <f t="shared" si="1"/>
        <v>-500</v>
      </c>
      <c r="T21" s="19"/>
    </row>
    <row r="22" spans="1:2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</row>
    <row r="25" spans="1:20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</row>
    <row r="26" spans="1:20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1:20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</row>
    <row r="30" spans="1:2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.5" thickBot="1">
      <c r="A33" s="23" t="s">
        <v>1</v>
      </c>
      <c r="B33" s="58" t="s">
        <v>30</v>
      </c>
      <c r="C33" s="64" t="s">
        <v>10</v>
      </c>
      <c r="D33" s="71"/>
      <c r="E33" s="67" t="s">
        <v>12</v>
      </c>
      <c r="F33" s="6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37" t="s">
        <v>13</v>
      </c>
      <c r="B34" s="45" t="s">
        <v>22</v>
      </c>
      <c r="C34" s="65">
        <f>'47'!C34+'48'!Q7</f>
        <v>4680</v>
      </c>
      <c r="D34" s="68"/>
      <c r="E34" s="66">
        <f>'47'!E34+'48'!R7</f>
        <v>0</v>
      </c>
      <c r="F34" s="6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20.100000000000001" customHeight="1">
      <c r="A35" s="39"/>
      <c r="B35" s="24" t="s">
        <v>23</v>
      </c>
      <c r="C35" s="65">
        <f>'47'!C35+'48'!Q8</f>
        <v>280</v>
      </c>
      <c r="D35" s="63"/>
      <c r="E35" s="66">
        <f>'47'!E35+'48'!R8</f>
        <v>0</v>
      </c>
      <c r="F35" s="6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20.100000000000001" customHeight="1">
      <c r="A36" s="41" t="s">
        <v>14</v>
      </c>
      <c r="B36" s="24" t="s">
        <v>27</v>
      </c>
      <c r="C36" s="65">
        <f>'47'!C36+'48'!Q9</f>
        <v>60</v>
      </c>
      <c r="D36" s="63"/>
      <c r="E36" s="66">
        <f>'47'!E36+'48'!R9</f>
        <v>0</v>
      </c>
      <c r="F36" s="6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20.100000000000001" customHeight="1">
      <c r="A37" s="39"/>
      <c r="B37" s="24" t="s">
        <v>28</v>
      </c>
      <c r="C37" s="65">
        <f>'47'!C37+'48'!Q10</f>
        <v>190</v>
      </c>
      <c r="D37" s="63"/>
      <c r="E37" s="66">
        <f>'47'!E37+'48'!R10</f>
        <v>0</v>
      </c>
      <c r="F37" s="6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20.100000000000001" customHeight="1">
      <c r="A38" s="41" t="s">
        <v>15</v>
      </c>
      <c r="B38" s="24" t="s">
        <v>29</v>
      </c>
      <c r="C38" s="65">
        <f>'47'!C38+'48'!Q11</f>
        <v>2940</v>
      </c>
      <c r="D38" s="61"/>
      <c r="E38" s="66">
        <f>'47'!E38+'48'!R11</f>
        <v>0</v>
      </c>
      <c r="F38" s="6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0.100000000000001" customHeight="1">
      <c r="A39" s="42"/>
      <c r="B39" s="24" t="s">
        <v>24</v>
      </c>
      <c r="C39" s="65">
        <f>'47'!C39+'48'!Q12</f>
        <v>600</v>
      </c>
      <c r="D39" s="63"/>
      <c r="E39" s="66">
        <f>'47'!E39+'48'!R12</f>
        <v>0</v>
      </c>
      <c r="F39" s="6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0.100000000000001" customHeight="1">
      <c r="A40" s="39"/>
      <c r="B40" s="24" t="s">
        <v>25</v>
      </c>
      <c r="C40" s="65">
        <f>'47'!C40+'48'!Q13</f>
        <v>240</v>
      </c>
      <c r="D40" s="61"/>
      <c r="E40" s="66">
        <f>'47'!E40+'48'!R13</f>
        <v>0</v>
      </c>
      <c r="F40" s="6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0.100000000000001" customHeight="1">
      <c r="A41" s="41" t="s">
        <v>16</v>
      </c>
      <c r="B41" s="24" t="s">
        <v>26</v>
      </c>
      <c r="C41" s="65">
        <f>'47'!C41+'48'!Q14</f>
        <v>3510</v>
      </c>
      <c r="D41" s="63"/>
      <c r="E41" s="66">
        <f>'47'!E41+'48'!R14</f>
        <v>0</v>
      </c>
      <c r="F41" s="6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20.100000000000001" customHeight="1">
      <c r="A42" s="39"/>
      <c r="B42" s="24" t="s">
        <v>24</v>
      </c>
      <c r="C42" s="65">
        <f>'47'!C42+'48'!Q15</f>
        <v>2220</v>
      </c>
      <c r="D42" s="61"/>
      <c r="E42" s="66">
        <f>'47'!E42+'48'!R15</f>
        <v>0</v>
      </c>
      <c r="F42" s="6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20.100000000000001" customHeight="1">
      <c r="A43" s="39" t="s">
        <v>17</v>
      </c>
      <c r="B43" s="35"/>
      <c r="C43" s="65">
        <f>'47'!C43+'48'!Q16</f>
        <v>660</v>
      </c>
      <c r="D43" s="63"/>
      <c r="E43" s="66">
        <f>'47'!E43+'48'!R16</f>
        <v>0</v>
      </c>
      <c r="F43" s="6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20.100000000000001" customHeight="1">
      <c r="A44" s="43" t="s">
        <v>18</v>
      </c>
      <c r="B44" s="35"/>
      <c r="C44" s="65">
        <f>'47'!C44+'48'!Q17</f>
        <v>660</v>
      </c>
      <c r="D44" s="61"/>
      <c r="E44" s="66">
        <f>'47'!E44+'48'!R17</f>
        <v>0</v>
      </c>
      <c r="F44" s="6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20.100000000000001" customHeight="1">
      <c r="A45" s="43" t="s">
        <v>19</v>
      </c>
      <c r="B45" s="35"/>
      <c r="C45" s="65">
        <f>'47'!C45+'48'!Q18</f>
        <v>1980</v>
      </c>
      <c r="D45" s="63"/>
      <c r="E45" s="66">
        <f>'47'!E45+'48'!R18</f>
        <v>0</v>
      </c>
      <c r="F45" s="6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0.100000000000001" customHeight="1">
      <c r="A46" s="43" t="s">
        <v>20</v>
      </c>
      <c r="B46" s="35"/>
      <c r="C46" s="65">
        <f>'47'!C46+'48'!Q19</f>
        <v>990</v>
      </c>
      <c r="D46" s="61"/>
      <c r="E46" s="66">
        <f>'47'!E46+'48'!R19</f>
        <v>0</v>
      </c>
      <c r="F46" s="6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0.100000000000001" customHeight="1" thickBot="1">
      <c r="A47" s="27" t="s">
        <v>21</v>
      </c>
      <c r="B47" s="46"/>
      <c r="C47" s="65">
        <f>'47'!C47+'48'!Q20</f>
        <v>2580</v>
      </c>
      <c r="D47" s="70"/>
      <c r="E47" s="66">
        <f>'47'!E47+'48'!R20</f>
        <v>0</v>
      </c>
      <c r="F47" s="6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0.100000000000001" customHeight="1" thickBot="1">
      <c r="A48" s="6"/>
      <c r="B48" s="30" t="s">
        <v>9</v>
      </c>
      <c r="C48" s="59">
        <f>SUM(C34:C47)</f>
        <v>21590</v>
      </c>
      <c r="D48" s="60"/>
      <c r="E48" s="59">
        <f>SUM(E34:E47)</f>
        <v>0</v>
      </c>
      <c r="F48" s="6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20.10000000000000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</sheetData>
  <sheetProtection password="CAAF" sheet="1" objects="1" scenarios="1"/>
  <phoneticPr fontId="2" type="noConversion"/>
  <pageMargins left="0.78740157499999996" right="0.78740157499999996" top="0.984251969" bottom="0.984251969" header="0.5" footer="0.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34</vt:i4>
      </vt:variant>
    </vt:vector>
  </HeadingPairs>
  <TitlesOfParts>
    <vt:vector size="34" baseType="lpstr">
      <vt:lpstr>Rammeplan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</vt:vector>
  </TitlesOfParts>
  <Company>aafk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cp:lastPrinted>2008-05-05T09:19:31Z</cp:lastPrinted>
  <dcterms:created xsi:type="dcterms:W3CDTF">2008-03-12T21:21:40Z</dcterms:created>
  <dcterms:modified xsi:type="dcterms:W3CDTF">2012-04-19T05:37:57Z</dcterms:modified>
</cp:coreProperties>
</file>