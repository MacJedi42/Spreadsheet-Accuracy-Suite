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205" yWindow="-75" windowWidth="24855" windowHeight="105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I29" i="1"/>
  <c r="F29"/>
  <c r="B29"/>
  <c r="I28"/>
  <c r="H28"/>
  <c r="H29" s="1"/>
  <c r="K29" s="1"/>
  <c r="G28"/>
  <c r="F28"/>
  <c r="E28" s="1"/>
  <c r="E29" s="1"/>
  <c r="D28"/>
  <c r="C28"/>
  <c r="B28"/>
  <c r="K26"/>
  <c r="J26"/>
  <c r="D26"/>
  <c r="K25"/>
  <c r="J25"/>
  <c r="D25"/>
  <c r="K24"/>
  <c r="J24"/>
  <c r="D24"/>
  <c r="K23"/>
  <c r="J23"/>
  <c r="D23"/>
  <c r="K22"/>
  <c r="J22"/>
  <c r="D22"/>
  <c r="K21"/>
  <c r="J21"/>
  <c r="D21"/>
  <c r="K20"/>
  <c r="J20"/>
  <c r="D20"/>
  <c r="K19"/>
  <c r="J19"/>
  <c r="D19"/>
  <c r="K18"/>
  <c r="J18"/>
  <c r="D18"/>
  <c r="K17"/>
  <c r="J17"/>
  <c r="D17"/>
  <c r="K16"/>
  <c r="J16"/>
  <c r="J28" s="1"/>
  <c r="D16"/>
  <c r="K15"/>
  <c r="I15"/>
  <c r="H15"/>
  <c r="G15"/>
  <c r="G29" s="1"/>
  <c r="F15"/>
  <c r="E15" s="1"/>
  <c r="C15"/>
  <c r="C29" s="1"/>
  <c r="D29" s="1"/>
  <c r="B15"/>
  <c r="K14"/>
  <c r="J14"/>
  <c r="D14"/>
  <c r="K13"/>
  <c r="J13"/>
  <c r="D13"/>
  <c r="K12"/>
  <c r="J12"/>
  <c r="D12"/>
  <c r="K11"/>
  <c r="J11"/>
  <c r="D11"/>
  <c r="K10"/>
  <c r="J10"/>
  <c r="D10"/>
  <c r="K9"/>
  <c r="J9"/>
  <c r="D9"/>
  <c r="K8"/>
  <c r="J8"/>
  <c r="D8"/>
  <c r="K7"/>
  <c r="J7"/>
  <c r="D7"/>
  <c r="K6"/>
  <c r="J6"/>
  <c r="D6"/>
  <c r="K5"/>
  <c r="J5"/>
  <c r="D5"/>
  <c r="K4"/>
  <c r="J4"/>
  <c r="D4"/>
  <c r="K3"/>
  <c r="J3"/>
  <c r="J15" s="1"/>
  <c r="D3"/>
  <c r="J29" l="1"/>
  <c r="K28"/>
  <c r="D15"/>
</calcChain>
</file>

<file path=xl/sharedStrings.xml><?xml version="1.0" encoding="utf-8"?>
<sst xmlns="http://schemas.openxmlformats.org/spreadsheetml/2006/main" count="25" uniqueCount="25">
  <si>
    <r>
      <t xml:space="preserve">Combined Bidder Activity Summary Report - May 2013
</t>
    </r>
    <r>
      <rPr>
        <sz val="12"/>
        <color indexed="8"/>
        <rFont val="Arial"/>
        <family val="2"/>
      </rPr>
      <t xml:space="preserve"> (Projects bid opened from July 2011 to May 2013, as of 06/05/2013)</t>
    </r>
  </si>
  <si>
    <t>Bid Month-YR</t>
  </si>
  <si>
    <t>Engineer's Estimate</t>
  </si>
  <si>
    <t>Low Bid</t>
  </si>
  <si>
    <t>Low Bid vs. EE</t>
  </si>
  <si>
    <t>Avg. Number of Bidders</t>
  </si>
  <si>
    <t>Number of Projects Bid Opened</t>
  </si>
  <si>
    <t>No. of  Projects Under 10% of EE</t>
  </si>
  <si>
    <r>
      <t xml:space="preserve">No. of Projects in </t>
    </r>
    <r>
      <rPr>
        <b/>
        <sz val="10"/>
        <color indexed="8"/>
        <rFont val="Calibri"/>
        <family val="2"/>
      </rPr>
      <t>±</t>
    </r>
    <r>
      <rPr>
        <b/>
        <sz val="10"/>
        <color indexed="8"/>
        <rFont val="Arial"/>
        <family val="2"/>
      </rPr>
      <t>10% of EE</t>
    </r>
  </si>
  <si>
    <t>No. of Projects Over 10% of EE</t>
  </si>
  <si>
    <t>No. of Projects Within 110% of EE</t>
  </si>
  <si>
    <t>Percent of  Projects Within ±10% of EE</t>
  </si>
  <si>
    <t>Mar-12</t>
  </si>
  <si>
    <t>May-12</t>
  </si>
  <si>
    <t>Jul 11 to Jun 12</t>
  </si>
  <si>
    <t>Jul-12</t>
  </si>
  <si>
    <t>Aug-12</t>
  </si>
  <si>
    <t>Sep-12</t>
  </si>
  <si>
    <t>Oct-12</t>
  </si>
  <si>
    <t>*Nov-12</t>
  </si>
  <si>
    <t>*Mar-13</t>
  </si>
  <si>
    <t>*Apr-13</t>
  </si>
  <si>
    <t>Jul 12 to April 13</t>
  </si>
  <si>
    <t>Total</t>
  </si>
  <si>
    <t>Note: 1) "*", numbers may be different from that in the previous report due to bid rank change(s); 2) Rejected projects are not included in calculations.</t>
  </si>
</sst>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8"/>
      <name val="MS Sans Serif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17" fontId="4" fillId="0" borderId="4" xfId="0" applyNumberFormat="1" applyFont="1" applyFill="1" applyBorder="1" applyAlignment="1">
      <alignment horizontal="center" wrapText="1"/>
    </xf>
    <xf numFmtId="164" fontId="4" fillId="0" borderId="5" xfId="0" applyNumberFormat="1" applyFont="1" applyFill="1" applyBorder="1" applyAlignment="1">
      <alignment horizontal="center" wrapText="1"/>
    </xf>
    <xf numFmtId="164" fontId="4" fillId="0" borderId="6" xfId="0" applyNumberFormat="1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165" fontId="4" fillId="0" borderId="7" xfId="0" applyNumberFormat="1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17" fontId="4" fillId="0" borderId="10" xfId="0" applyNumberFormat="1" applyFont="1" applyFill="1" applyBorder="1" applyAlignment="1">
      <alignment horizontal="center" vertical="center" wrapText="1"/>
    </xf>
    <xf numFmtId="164" fontId="7" fillId="0" borderId="11" xfId="0" applyNumberFormat="1" applyFont="1" applyFill="1" applyBorder="1" applyAlignment="1">
      <alignment horizontal="right" vertical="center" wrapText="1"/>
    </xf>
    <xf numFmtId="164" fontId="7" fillId="0" borderId="12" xfId="0" applyNumberFormat="1" applyFont="1" applyFill="1" applyBorder="1" applyAlignment="1">
      <alignment horizontal="right" vertical="center" wrapText="1"/>
    </xf>
    <xf numFmtId="166" fontId="7" fillId="0" borderId="11" xfId="1" applyNumberFormat="1" applyFont="1" applyFill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3" fontId="7" fillId="0" borderId="11" xfId="0" applyNumberFormat="1" applyFont="1" applyFill="1" applyBorder="1" applyAlignment="1">
      <alignment horizontal="center" vertical="center" wrapText="1"/>
    </xf>
    <xf numFmtId="166" fontId="7" fillId="0" borderId="13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17" fontId="4" fillId="0" borderId="14" xfId="0" applyNumberFormat="1" applyFont="1" applyFill="1" applyBorder="1" applyAlignment="1">
      <alignment horizontal="center" vertical="center" wrapText="1"/>
    </xf>
    <xf numFmtId="164" fontId="7" fillId="0" borderId="15" xfId="0" applyNumberFormat="1" applyFont="1" applyFill="1" applyBorder="1" applyAlignment="1">
      <alignment horizontal="right" vertical="center" wrapText="1"/>
    </xf>
    <xf numFmtId="164" fontId="7" fillId="0" borderId="16" xfId="0" applyNumberFormat="1" applyFont="1" applyFill="1" applyBorder="1" applyAlignment="1">
      <alignment horizontal="right" vertical="center" wrapText="1"/>
    </xf>
    <xf numFmtId="166" fontId="7" fillId="0" borderId="15" xfId="1" applyNumberFormat="1" applyFont="1" applyFill="1" applyBorder="1" applyAlignment="1">
      <alignment horizontal="center" vertical="center" wrapText="1"/>
    </xf>
    <xf numFmtId="165" fontId="7" fillId="0" borderId="15" xfId="0" applyNumberFormat="1" applyFont="1" applyFill="1" applyBorder="1" applyAlignment="1">
      <alignment horizontal="center" vertical="center" wrapText="1"/>
    </xf>
    <xf numFmtId="3" fontId="7" fillId="0" borderId="15" xfId="0" applyNumberFormat="1" applyFont="1" applyFill="1" applyBorder="1" applyAlignment="1">
      <alignment horizontal="center" vertical="center" wrapText="1"/>
    </xf>
    <xf numFmtId="166" fontId="7" fillId="0" borderId="17" xfId="1" applyNumberFormat="1" applyFont="1" applyFill="1" applyBorder="1" applyAlignment="1">
      <alignment horizontal="center" vertical="center" wrapText="1"/>
    </xf>
    <xf numFmtId="17" fontId="4" fillId="0" borderId="14" xfId="0" quotePrefix="1" applyNumberFormat="1" applyFont="1" applyFill="1" applyBorder="1" applyAlignment="1">
      <alignment horizontal="center" vertical="center" wrapText="1"/>
    </xf>
    <xf numFmtId="17" fontId="4" fillId="0" borderId="18" xfId="0" applyNumberFormat="1" applyFont="1" applyFill="1" applyBorder="1" applyAlignment="1">
      <alignment horizontal="center" vertical="center" wrapText="1"/>
    </xf>
    <xf numFmtId="164" fontId="7" fillId="0" borderId="19" xfId="0" applyNumberFormat="1" applyFont="1" applyFill="1" applyBorder="1" applyAlignment="1">
      <alignment horizontal="right" vertical="center" wrapText="1"/>
    </xf>
    <xf numFmtId="164" fontId="7" fillId="0" borderId="20" xfId="0" applyNumberFormat="1" applyFont="1" applyFill="1" applyBorder="1" applyAlignment="1">
      <alignment horizontal="right" vertical="center" wrapText="1"/>
    </xf>
    <xf numFmtId="166" fontId="7" fillId="0" borderId="19" xfId="1" applyNumberFormat="1" applyFont="1" applyFill="1" applyBorder="1" applyAlignment="1">
      <alignment horizontal="center" vertical="center" wrapText="1"/>
    </xf>
    <xf numFmtId="165" fontId="7" fillId="0" borderId="19" xfId="0" applyNumberFormat="1" applyFont="1" applyFill="1" applyBorder="1" applyAlignment="1">
      <alignment horizontal="center" vertical="center" wrapText="1"/>
    </xf>
    <xf numFmtId="3" fontId="7" fillId="0" borderId="19" xfId="0" applyNumberFormat="1" applyFont="1" applyFill="1" applyBorder="1" applyAlignment="1">
      <alignment horizontal="center" vertical="center" wrapText="1"/>
    </xf>
    <xf numFmtId="166" fontId="7" fillId="0" borderId="21" xfId="1" applyNumberFormat="1" applyFont="1" applyFill="1" applyBorder="1" applyAlignment="1">
      <alignment horizontal="center" vertical="center" wrapText="1"/>
    </xf>
    <xf numFmtId="17" fontId="4" fillId="0" borderId="4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right" vertical="center" wrapText="1"/>
    </xf>
    <xf numFmtId="164" fontId="4" fillId="0" borderId="22" xfId="0" applyNumberFormat="1" applyFont="1" applyFill="1" applyBorder="1" applyAlignment="1">
      <alignment horizontal="right" vertical="center" wrapText="1"/>
    </xf>
    <xf numFmtId="166" fontId="4" fillId="0" borderId="5" xfId="1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166" fontId="4" fillId="0" borderId="9" xfId="1" applyNumberFormat="1" applyFont="1" applyFill="1" applyBorder="1" applyAlignment="1">
      <alignment horizontal="center" vertical="center" wrapText="1"/>
    </xf>
    <xf numFmtId="17" fontId="4" fillId="0" borderId="10" xfId="0" quotePrefix="1" applyNumberFormat="1" applyFont="1" applyFill="1" applyBorder="1" applyAlignment="1">
      <alignment horizontal="center" vertical="center" wrapText="1"/>
    </xf>
    <xf numFmtId="49" fontId="9" fillId="0" borderId="14" xfId="0" applyNumberFormat="1" applyFont="1" applyFill="1" applyBorder="1" applyAlignment="1">
      <alignment horizontal="center" vertical="center" wrapText="1"/>
    </xf>
    <xf numFmtId="164" fontId="10" fillId="0" borderId="15" xfId="0" applyNumberFormat="1" applyFont="1" applyFill="1" applyBorder="1" applyAlignment="1">
      <alignment horizontal="right" vertical="center" wrapText="1"/>
    </xf>
    <xf numFmtId="164" fontId="10" fillId="0" borderId="16" xfId="0" applyNumberFormat="1" applyFont="1" applyFill="1" applyBorder="1" applyAlignment="1">
      <alignment horizontal="right" vertical="center" wrapText="1"/>
    </xf>
    <xf numFmtId="166" fontId="10" fillId="0" borderId="15" xfId="1" applyNumberFormat="1" applyFont="1" applyFill="1" applyBorder="1" applyAlignment="1">
      <alignment horizontal="center" vertical="center" wrapText="1"/>
    </xf>
    <xf numFmtId="165" fontId="10" fillId="0" borderId="15" xfId="0" applyNumberFormat="1" applyFont="1" applyFill="1" applyBorder="1" applyAlignment="1">
      <alignment horizontal="center" vertical="center" wrapText="1"/>
    </xf>
    <xf numFmtId="3" fontId="10" fillId="0" borderId="15" xfId="0" applyNumberFormat="1" applyFont="1" applyFill="1" applyBorder="1" applyAlignment="1">
      <alignment horizontal="center" vertical="center" wrapText="1"/>
    </xf>
    <xf numFmtId="166" fontId="10" fillId="0" borderId="17" xfId="1" applyNumberFormat="1" applyFont="1" applyFill="1" applyBorder="1" applyAlignment="1">
      <alignment horizontal="center" vertical="center" wrapText="1"/>
    </xf>
    <xf numFmtId="167" fontId="4" fillId="0" borderId="5" xfId="0" applyNumberFormat="1" applyFont="1" applyFill="1" applyBorder="1" applyAlignment="1">
      <alignment horizontal="center" vertical="center" wrapText="1"/>
    </xf>
    <xf numFmtId="17" fontId="2" fillId="0" borderId="23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7" fontId="2" fillId="0" borderId="1" xfId="0" applyNumberFormat="1" applyFont="1" applyBorder="1" applyAlignment="1">
      <alignment horizontal="center" wrapText="1"/>
    </xf>
    <xf numFmtId="17" fontId="2" fillId="0" borderId="2" xfId="0" applyNumberFormat="1" applyFont="1" applyBorder="1" applyAlignment="1">
      <alignment horizontal="center" wrapText="1"/>
    </xf>
    <xf numFmtId="17" fontId="2" fillId="0" borderId="3" xfId="0" applyNumberFormat="1" applyFont="1" applyBorder="1" applyAlignment="1">
      <alignment horizontal="center" wrapText="1"/>
    </xf>
    <xf numFmtId="17" fontId="7" fillId="0" borderId="24" xfId="0" applyNumberFormat="1" applyFont="1" applyFill="1" applyBorder="1" applyAlignment="1">
      <alignment horizontal="center" vertical="center" wrapText="1"/>
    </xf>
    <xf numFmtId="17" fontId="7" fillId="0" borderId="25" xfId="0" applyNumberFormat="1" applyFont="1" applyFill="1" applyBorder="1" applyAlignment="1">
      <alignment horizontal="center" vertical="center" wrapText="1"/>
    </xf>
    <xf numFmtId="17" fontId="7" fillId="0" borderId="26" xfId="0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17" fontId="11" fillId="0" borderId="0" xfId="0" applyNumberFormat="1" applyFont="1" applyAlignment="1">
      <alignment horizontal="left" wrapText="1"/>
    </xf>
    <xf numFmtId="17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6.6899807401482866E-2"/>
          <c:y val="1.3968738982254082E-2"/>
          <c:w val="0.9136566598176975"/>
          <c:h val="0.85708269675245818"/>
        </c:manualLayout>
      </c:layout>
      <c:barChart>
        <c:barDir val="col"/>
        <c:grouping val="clustered"/>
        <c:ser>
          <c:idx val="1"/>
          <c:order val="0"/>
          <c:tx>
            <c:strRef>
              <c:f>[1]WithPerformance!$B$2</c:f>
              <c:strCache>
                <c:ptCount val="1"/>
                <c:pt idx="0">
                  <c:v>Engineer's Estimate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dLbls>
            <c:delete val="1"/>
          </c:dLbls>
          <c:cat>
            <c:strRef>
              <c:f>[1]WithPerformance!$A$3:$A$29</c:f>
              <c:strCache>
                <c:ptCount val="27"/>
                <c:pt idx="0">
                  <c:v>40739</c:v>
                </c:pt>
                <c:pt idx="1">
                  <c:v>40766</c:v>
                </c:pt>
                <c:pt idx="2">
                  <c:v>40797</c:v>
                </c:pt>
                <c:pt idx="3">
                  <c:v>40827</c:v>
                </c:pt>
                <c:pt idx="4">
                  <c:v>40858</c:v>
                </c:pt>
                <c:pt idx="5">
                  <c:v>40888</c:v>
                </c:pt>
                <c:pt idx="6">
                  <c:v>40920</c:v>
                </c:pt>
                <c:pt idx="7">
                  <c:v>40951</c:v>
                </c:pt>
                <c:pt idx="8">
                  <c:v>Mar-12</c:v>
                </c:pt>
                <c:pt idx="9">
                  <c:v>41011</c:v>
                </c:pt>
                <c:pt idx="10">
                  <c:v>May-12</c:v>
                </c:pt>
                <c:pt idx="11">
                  <c:v>41072</c:v>
                </c:pt>
                <c:pt idx="12">
                  <c:v>Jul 11 to Jun 12</c:v>
                </c:pt>
                <c:pt idx="13">
                  <c:v>Jul-12</c:v>
                </c:pt>
                <c:pt idx="14">
                  <c:v>Aug-12</c:v>
                </c:pt>
                <c:pt idx="15">
                  <c:v>Sep-12</c:v>
                </c:pt>
                <c:pt idx="16">
                  <c:v>Oct-12</c:v>
                </c:pt>
                <c:pt idx="17">
                  <c:v>*Nov-12</c:v>
                </c:pt>
                <c:pt idx="18">
                  <c:v>41255</c:v>
                </c:pt>
                <c:pt idx="19">
                  <c:v>41287</c:v>
                </c:pt>
                <c:pt idx="20">
                  <c:v>41318</c:v>
                </c:pt>
                <c:pt idx="21">
                  <c:v>*Mar-13</c:v>
                </c:pt>
                <c:pt idx="22">
                  <c:v>*Apr-13</c:v>
                </c:pt>
                <c:pt idx="23">
                  <c:v>41395</c:v>
                </c:pt>
                <c:pt idx="25">
                  <c:v>Jul 12 to April 13</c:v>
                </c:pt>
                <c:pt idx="26">
                  <c:v>Total</c:v>
                </c:pt>
              </c:strCache>
            </c:strRef>
          </c:cat>
          <c:val>
            <c:numRef>
              <c:f>[1]WithPerformance!$B$3:$B$29</c:f>
              <c:numCache>
                <c:formatCode>General</c:formatCode>
                <c:ptCount val="27"/>
                <c:pt idx="0">
                  <c:v>20365047.050000001</c:v>
                </c:pt>
                <c:pt idx="1">
                  <c:v>50010372.810000002</c:v>
                </c:pt>
                <c:pt idx="2">
                  <c:v>166458271.62999997</c:v>
                </c:pt>
                <c:pt idx="3">
                  <c:v>219152331.31</c:v>
                </c:pt>
                <c:pt idx="4">
                  <c:v>507700888.34999996</c:v>
                </c:pt>
                <c:pt idx="5">
                  <c:v>628320975.92000008</c:v>
                </c:pt>
                <c:pt idx="6">
                  <c:v>221129881.74000001</c:v>
                </c:pt>
                <c:pt idx="7">
                  <c:v>331587021.28000003</c:v>
                </c:pt>
                <c:pt idx="8">
                  <c:v>276250184.96999997</c:v>
                </c:pt>
                <c:pt idx="9">
                  <c:v>264959292.73999998</c:v>
                </c:pt>
                <c:pt idx="10">
                  <c:v>219373727.52000004</c:v>
                </c:pt>
                <c:pt idx="11">
                  <c:v>106973675.14</c:v>
                </c:pt>
                <c:pt idx="12">
                  <c:v>3012281670.4599996</c:v>
                </c:pt>
                <c:pt idx="13">
                  <c:v>324344704.50999999</c:v>
                </c:pt>
                <c:pt idx="14">
                  <c:v>376864727.33000004</c:v>
                </c:pt>
                <c:pt idx="15">
                  <c:v>510608479.65000004</c:v>
                </c:pt>
                <c:pt idx="16">
                  <c:v>785008092.56000006</c:v>
                </c:pt>
                <c:pt idx="17">
                  <c:v>205996003.5</c:v>
                </c:pt>
                <c:pt idx="18">
                  <c:v>94032650.609999999</c:v>
                </c:pt>
                <c:pt idx="19">
                  <c:v>115138540.42</c:v>
                </c:pt>
                <c:pt idx="20">
                  <c:v>65311825.090000004</c:v>
                </c:pt>
                <c:pt idx="21">
                  <c:v>87355042.319999993</c:v>
                </c:pt>
                <c:pt idx="22">
                  <c:v>125529925.65000001</c:v>
                </c:pt>
                <c:pt idx="23">
                  <c:v>160064609.47</c:v>
                </c:pt>
                <c:pt idx="25">
                  <c:v>2850254601.1100006</c:v>
                </c:pt>
                <c:pt idx="26">
                  <c:v>5862536271.5699997</c:v>
                </c:pt>
              </c:numCache>
            </c:numRef>
          </c:val>
        </c:ser>
        <c:ser>
          <c:idx val="0"/>
          <c:order val="1"/>
          <c:tx>
            <c:strRef>
              <c:f>[1]WithPerformance!$C$2</c:f>
              <c:strCache>
                <c:ptCount val="1"/>
                <c:pt idx="0">
                  <c:v>Low Bid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delete val="1"/>
          </c:dLbls>
          <c:cat>
            <c:strRef>
              <c:f>[1]WithPerformance!$A$3:$A$29</c:f>
              <c:strCache>
                <c:ptCount val="27"/>
                <c:pt idx="0">
                  <c:v>40739</c:v>
                </c:pt>
                <c:pt idx="1">
                  <c:v>40766</c:v>
                </c:pt>
                <c:pt idx="2">
                  <c:v>40797</c:v>
                </c:pt>
                <c:pt idx="3">
                  <c:v>40827</c:v>
                </c:pt>
                <c:pt idx="4">
                  <c:v>40858</c:v>
                </c:pt>
                <c:pt idx="5">
                  <c:v>40888</c:v>
                </c:pt>
                <c:pt idx="6">
                  <c:v>40920</c:v>
                </c:pt>
                <c:pt idx="7">
                  <c:v>40951</c:v>
                </c:pt>
                <c:pt idx="8">
                  <c:v>Mar-12</c:v>
                </c:pt>
                <c:pt idx="9">
                  <c:v>41011</c:v>
                </c:pt>
                <c:pt idx="10">
                  <c:v>May-12</c:v>
                </c:pt>
                <c:pt idx="11">
                  <c:v>41072</c:v>
                </c:pt>
                <c:pt idx="12">
                  <c:v>Jul 11 to Jun 12</c:v>
                </c:pt>
                <c:pt idx="13">
                  <c:v>Jul-12</c:v>
                </c:pt>
                <c:pt idx="14">
                  <c:v>Aug-12</c:v>
                </c:pt>
                <c:pt idx="15">
                  <c:v>Sep-12</c:v>
                </c:pt>
                <c:pt idx="16">
                  <c:v>Oct-12</c:v>
                </c:pt>
                <c:pt idx="17">
                  <c:v>*Nov-12</c:v>
                </c:pt>
                <c:pt idx="18">
                  <c:v>41255</c:v>
                </c:pt>
                <c:pt idx="19">
                  <c:v>41287</c:v>
                </c:pt>
                <c:pt idx="20">
                  <c:v>41318</c:v>
                </c:pt>
                <c:pt idx="21">
                  <c:v>*Mar-13</c:v>
                </c:pt>
                <c:pt idx="22">
                  <c:v>*Apr-13</c:v>
                </c:pt>
                <c:pt idx="23">
                  <c:v>41395</c:v>
                </c:pt>
                <c:pt idx="25">
                  <c:v>Jul 12 to April 13</c:v>
                </c:pt>
                <c:pt idx="26">
                  <c:v>Total</c:v>
                </c:pt>
              </c:strCache>
            </c:strRef>
          </c:cat>
          <c:val>
            <c:numRef>
              <c:f>[1]WithPerformance!$C$3:$C$29</c:f>
              <c:numCache>
                <c:formatCode>General</c:formatCode>
                <c:ptCount val="27"/>
                <c:pt idx="0">
                  <c:v>21732970.350000001</c:v>
                </c:pt>
                <c:pt idx="1">
                  <c:v>43611191.310000002</c:v>
                </c:pt>
                <c:pt idx="2">
                  <c:v>138598077.46000001</c:v>
                </c:pt>
                <c:pt idx="3">
                  <c:v>179743459.67999998</c:v>
                </c:pt>
                <c:pt idx="4">
                  <c:v>412641487.18000001</c:v>
                </c:pt>
                <c:pt idx="5">
                  <c:v>552787816.55999994</c:v>
                </c:pt>
                <c:pt idx="6">
                  <c:v>184092542.86999997</c:v>
                </c:pt>
                <c:pt idx="7">
                  <c:v>245894057.94</c:v>
                </c:pt>
                <c:pt idx="8">
                  <c:v>237008591.52000001</c:v>
                </c:pt>
                <c:pt idx="9">
                  <c:v>218489949.23000002</c:v>
                </c:pt>
                <c:pt idx="10">
                  <c:v>211766315.17000002</c:v>
                </c:pt>
                <c:pt idx="11">
                  <c:v>97462593.670000002</c:v>
                </c:pt>
                <c:pt idx="12">
                  <c:v>2543829052.9400001</c:v>
                </c:pt>
                <c:pt idx="13">
                  <c:v>282565669.09999996</c:v>
                </c:pt>
                <c:pt idx="14">
                  <c:v>330869927.37</c:v>
                </c:pt>
                <c:pt idx="15">
                  <c:v>462439555.65999997</c:v>
                </c:pt>
                <c:pt idx="16">
                  <c:v>706904634.43999982</c:v>
                </c:pt>
                <c:pt idx="17">
                  <c:v>183958134.77000001</c:v>
                </c:pt>
                <c:pt idx="18">
                  <c:v>87269637.620000005</c:v>
                </c:pt>
                <c:pt idx="19">
                  <c:v>105448137.59999999</c:v>
                </c:pt>
                <c:pt idx="20">
                  <c:v>62882211.899999999</c:v>
                </c:pt>
                <c:pt idx="21">
                  <c:v>81149458.739999995</c:v>
                </c:pt>
                <c:pt idx="22">
                  <c:v>121961842.06</c:v>
                </c:pt>
                <c:pt idx="23">
                  <c:v>158571799.49000001</c:v>
                </c:pt>
                <c:pt idx="25">
                  <c:v>2584021008.75</c:v>
                </c:pt>
                <c:pt idx="26">
                  <c:v>5127850061.6900005</c:v>
                </c:pt>
              </c:numCache>
            </c:numRef>
          </c:val>
        </c:ser>
        <c:dLbls>
          <c:showVal val="1"/>
        </c:dLbls>
        <c:axId val="83364480"/>
        <c:axId val="83378560"/>
      </c:barChart>
      <c:lineChart>
        <c:grouping val="standard"/>
        <c:ser>
          <c:idx val="2"/>
          <c:order val="2"/>
          <c:tx>
            <c:strRef>
              <c:f>[1]WithPerformance!$D$2</c:f>
              <c:strCache>
                <c:ptCount val="1"/>
                <c:pt idx="0">
                  <c:v>Low Bid vs. EE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1675423234092249E-3"/>
                  <c:y val="0.70752693226779484"/>
                </c:manualLayout>
              </c:layout>
              <c:dLblPos val="b"/>
              <c:showVal val="1"/>
              <c:separator> </c:separator>
            </c:dLbl>
            <c:dLbl>
              <c:idx val="1"/>
              <c:layout>
                <c:manualLayout>
                  <c:x val="1.4389431687531241E-3"/>
                  <c:y val="0.24535895540322891"/>
                </c:manualLayout>
              </c:layout>
              <c:dLblPos val="b"/>
              <c:showVal val="1"/>
              <c:separator> </c:separator>
            </c:dLbl>
            <c:dLbl>
              <c:idx val="2"/>
              <c:layout>
                <c:manualLayout>
                  <c:x val="4.5595085954569904E-3"/>
                  <c:y val="0.155060035874337"/>
                </c:manualLayout>
              </c:layout>
              <c:dLblPos val="b"/>
              <c:showVal val="1"/>
              <c:separator> </c:separator>
            </c:dLbl>
            <c:dLbl>
              <c:idx val="3"/>
              <c:layout>
                <c:manualLayout>
                  <c:x val="3.3960414634034777E-3"/>
                  <c:y val="9.9939003651465144E-2"/>
                </c:manualLayout>
              </c:layout>
              <c:dLblPos val="b"/>
              <c:showVal val="1"/>
              <c:separator> </c:separator>
            </c:dLbl>
            <c:dLbl>
              <c:idx val="4"/>
              <c:layout>
                <c:manualLayout>
                  <c:x val="4.9370399380705724E-3"/>
                  <c:y val="6.1287609217558631E-2"/>
                </c:manualLayout>
              </c:layout>
              <c:dLblPos val="b"/>
              <c:showVal val="1"/>
              <c:separator> </c:separator>
            </c:dLbl>
            <c:dLbl>
              <c:idx val="5"/>
              <c:layout>
                <c:manualLayout>
                  <c:x val="7.0751627250782746E-3"/>
                  <c:y val="0.18706752674151436"/>
                </c:manualLayout>
              </c:layout>
              <c:dLblPos val="b"/>
              <c:showVal val="1"/>
              <c:separator> </c:separator>
            </c:dLbl>
            <c:dLbl>
              <c:idx val="6"/>
              <c:layout>
                <c:manualLayout>
                  <c:x val="-1.2578270648106221E-3"/>
                  <c:y val="0.15782108735658373"/>
                </c:manualLayout>
              </c:layout>
              <c:dLblPos val="b"/>
              <c:showVal val="1"/>
              <c:separator> </c:separator>
            </c:dLbl>
            <c:dLbl>
              <c:idx val="7"/>
              <c:layout>
                <c:manualLayout>
                  <c:x val="1.1634671320535305E-3"/>
                  <c:y val="-3.4068560394700798E-2"/>
                </c:manualLayout>
              </c:layout>
              <c:dLblPos val="b"/>
              <c:showVal val="1"/>
              <c:separator> </c:separator>
            </c:dLbl>
            <c:dLbl>
              <c:idx val="8"/>
              <c:layout>
                <c:manualLayout>
                  <c:x val="5.8173356602675965E-3"/>
                  <c:y val="0.15499496478677213"/>
                </c:manualLayout>
              </c:layout>
              <c:dLblPos val="b"/>
              <c:showVal val="1"/>
              <c:separator> </c:separator>
            </c:dLbl>
            <c:dLbl>
              <c:idx val="9"/>
              <c:layout>
                <c:manualLayout>
                  <c:x val="3.4904013961605611E-3"/>
                  <c:y val="0.12864470853558038"/>
                </c:manualLayout>
              </c:layout>
              <c:dLblPos val="b"/>
              <c:showVal val="1"/>
              <c:separator> </c:separator>
            </c:dLbl>
            <c:dLbl>
              <c:idx val="10"/>
              <c:layout>
                <c:manualLayout>
                  <c:x val="2.5157457412064515E-3"/>
                  <c:y val="0.40120982328106308"/>
                </c:manualLayout>
              </c:layout>
              <c:dLblPos val="b"/>
              <c:showVal val="1"/>
              <c:separator> </c:separator>
            </c:dLbl>
            <c:dLbl>
              <c:idx val="11"/>
              <c:layout>
                <c:manualLayout>
                  <c:x val="1.1634671320535305E-3"/>
                  <c:y val="0.30769872044878677"/>
                </c:manualLayout>
              </c:layout>
              <c:dLblPos val="b"/>
              <c:showVal val="1"/>
              <c:separator> </c:separator>
            </c:dLbl>
            <c:dLbl>
              <c:idx val="12"/>
              <c:layout>
                <c:manualLayout>
                  <c:x val="2.5130890052356019E-3"/>
                  <c:y val="-0.25615202435529733"/>
                </c:manualLayout>
              </c:layout>
              <c:dLblPos val="b"/>
              <c:showVal val="1"/>
              <c:separator> </c:separator>
            </c:dLbl>
            <c:dLbl>
              <c:idx val="13"/>
              <c:layout>
                <c:manualLayout>
                  <c:x val="2.2325743313499442E-3"/>
                  <c:y val="0.19389146724699821"/>
                </c:manualLayout>
              </c:layout>
              <c:dLblPos val="b"/>
              <c:showVal val="1"/>
              <c:separator> </c:separator>
            </c:dLbl>
            <c:dLbl>
              <c:idx val="14"/>
              <c:layout>
                <c:manualLayout>
                  <c:x val="1.2578270648106221E-3"/>
                  <c:y val="0.23071879228061484"/>
                </c:manualLayout>
              </c:layout>
              <c:dLblPos val="b"/>
              <c:showVal val="1"/>
              <c:separator> </c:separator>
            </c:dLbl>
            <c:dLbl>
              <c:idx val="15"/>
              <c:layout>
                <c:manualLayout>
                  <c:x val="-1.6892788315431464E-3"/>
                  <c:y val="0.22734121891618134"/>
                </c:manualLayout>
              </c:layout>
              <c:dLblPos val="b"/>
              <c:showVal val="1"/>
              <c:separator> </c:separator>
            </c:dLbl>
            <c:dLbl>
              <c:idx val="16"/>
              <c:layout>
                <c:manualLayout>
                  <c:x val="0"/>
                  <c:y val="0.19863095688433904"/>
                </c:manualLayout>
              </c:layout>
              <c:dLblPos val="b"/>
              <c:showVal val="1"/>
              <c:separator> </c:separator>
            </c:dLbl>
            <c:dLbl>
              <c:idx val="17"/>
              <c:layout>
                <c:manualLayout>
                  <c:x val="-2.5428043049826515E-2"/>
                  <c:y val="0.29858603068425887"/>
                </c:manualLayout>
              </c:layout>
              <c:dLblPos val="r"/>
              <c:showVal val="1"/>
              <c:separator> </c:separator>
            </c:dLbl>
            <c:dLbl>
              <c:idx val="18"/>
              <c:layout>
                <c:manualLayout>
                  <c:x val="-1.7828470632753592E-2"/>
                  <c:y val="0.39614692098397741"/>
                </c:manualLayout>
              </c:layout>
              <c:dLblPos val="r"/>
              <c:showVal val="1"/>
              <c:separator> </c:separator>
            </c:dLbl>
            <c:dLbl>
              <c:idx val="19"/>
              <c:layout>
                <c:manualLayout>
                  <c:x val="-1.9571068511295905E-2"/>
                  <c:y val="0.35117094613019728"/>
                </c:manualLayout>
              </c:layout>
              <c:dLblPos val="r"/>
              <c:showVal val="1"/>
              <c:separator> </c:separator>
            </c:dLbl>
            <c:dLbl>
              <c:idx val="20"/>
              <c:layout>
                <c:manualLayout>
                  <c:x val="1.1689601883876665E-3"/>
                  <c:y val="0.44050423388234833"/>
                </c:manualLayout>
              </c:layout>
              <c:dLblPos val="b"/>
              <c:showVal val="1"/>
              <c:separator> </c:separator>
            </c:dLbl>
            <c:dLbl>
              <c:idx val="21"/>
              <c:layout>
                <c:manualLayout>
                  <c:x val="2.3221907425123325E-3"/>
                  <c:y val="0.34892004398054155"/>
                </c:manualLayout>
              </c:layout>
              <c:dLblPos val="b"/>
              <c:showVal val="1"/>
              <c:separator> </c:separator>
            </c:dLbl>
            <c:dLbl>
              <c:idx val="22"/>
              <c:layout>
                <c:manualLayout>
                  <c:x val="4.6634226212377674E-3"/>
                  <c:y val="0.42528356398206829"/>
                </c:manualLayout>
              </c:layout>
              <c:dLblPos val="b"/>
              <c:showVal val="1"/>
              <c:separator> </c:separator>
            </c:dLbl>
            <c:dLbl>
              <c:idx val="23"/>
              <c:layout>
                <c:manualLayout>
                  <c:x val="5.8363382147325112E-3"/>
                  <c:y val="0.48760701971412657"/>
                </c:manualLayout>
              </c:layout>
              <c:dLblPos val="b"/>
              <c:showVal val="1"/>
              <c:separator> </c:separator>
            </c:dLbl>
            <c:dLbl>
              <c:idx val="24"/>
              <c:layout>
                <c:manualLayout>
                  <c:x val="3.4904013961605611E-3"/>
                  <c:y val="0.35643571766549081"/>
                </c:manualLayout>
              </c:layout>
              <c:dLblPos val="b"/>
              <c:showVal val="1"/>
              <c:separator> </c:separator>
            </c:dLbl>
            <c:dLbl>
              <c:idx val="25"/>
              <c:layout>
                <c:manualLayout>
                  <c:x val="-3.0020512914857606E-2"/>
                  <c:y val="-3.7387037506688148E-2"/>
                </c:manualLayout>
              </c:layout>
              <c:dLblPos val="r"/>
              <c:showVal val="1"/>
              <c:separator> </c:separator>
            </c:dLbl>
            <c:dLbl>
              <c:idx val="26"/>
              <c:layout>
                <c:manualLayout>
                  <c:x val="-5.8763784124182435E-2"/>
                  <c:y val="-0.46314000861832549"/>
                </c:manualLayout>
              </c:layout>
              <c:dLblPos val="r"/>
              <c:showVal val="1"/>
              <c:separator> </c:separator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just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Val val="1"/>
            <c:separator> </c:separator>
          </c:dLbls>
          <c:cat>
            <c:strRef>
              <c:f>[1]WithPerformance!$A$3:$A$29</c:f>
              <c:strCache>
                <c:ptCount val="27"/>
                <c:pt idx="0">
                  <c:v>40739</c:v>
                </c:pt>
                <c:pt idx="1">
                  <c:v>40766</c:v>
                </c:pt>
                <c:pt idx="2">
                  <c:v>40797</c:v>
                </c:pt>
                <c:pt idx="3">
                  <c:v>40827</c:v>
                </c:pt>
                <c:pt idx="4">
                  <c:v>40858</c:v>
                </c:pt>
                <c:pt idx="5">
                  <c:v>40888</c:v>
                </c:pt>
                <c:pt idx="6">
                  <c:v>40920</c:v>
                </c:pt>
                <c:pt idx="7">
                  <c:v>40951</c:v>
                </c:pt>
                <c:pt idx="8">
                  <c:v>Mar-12</c:v>
                </c:pt>
                <c:pt idx="9">
                  <c:v>41011</c:v>
                </c:pt>
                <c:pt idx="10">
                  <c:v>May-12</c:v>
                </c:pt>
                <c:pt idx="11">
                  <c:v>41072</c:v>
                </c:pt>
                <c:pt idx="12">
                  <c:v>Jul 11 to Jun 12</c:v>
                </c:pt>
                <c:pt idx="13">
                  <c:v>Jul-12</c:v>
                </c:pt>
                <c:pt idx="14">
                  <c:v>Aug-12</c:v>
                </c:pt>
                <c:pt idx="15">
                  <c:v>Sep-12</c:v>
                </c:pt>
                <c:pt idx="16">
                  <c:v>Oct-12</c:v>
                </c:pt>
                <c:pt idx="17">
                  <c:v>*Nov-12</c:v>
                </c:pt>
                <c:pt idx="18">
                  <c:v>41255</c:v>
                </c:pt>
                <c:pt idx="19">
                  <c:v>41287</c:v>
                </c:pt>
                <c:pt idx="20">
                  <c:v>41318</c:v>
                </c:pt>
                <c:pt idx="21">
                  <c:v>*Mar-13</c:v>
                </c:pt>
                <c:pt idx="22">
                  <c:v>*Apr-13</c:v>
                </c:pt>
                <c:pt idx="23">
                  <c:v>41395</c:v>
                </c:pt>
                <c:pt idx="25">
                  <c:v>Jul 12 to April 13</c:v>
                </c:pt>
                <c:pt idx="26">
                  <c:v>Total</c:v>
                </c:pt>
              </c:strCache>
            </c:strRef>
          </c:cat>
          <c:val>
            <c:numRef>
              <c:f>[1]WithPerformance!$D$3:$D$29</c:f>
              <c:numCache>
                <c:formatCode>General</c:formatCode>
                <c:ptCount val="27"/>
                <c:pt idx="0">
                  <c:v>6.7170151713447715E-2</c:v>
                </c:pt>
                <c:pt idx="1">
                  <c:v>-0.12795708450948456</c:v>
                </c:pt>
                <c:pt idx="2">
                  <c:v>-0.16737044003392648</c:v>
                </c:pt>
                <c:pt idx="3">
                  <c:v>-0.17982410405780513</c:v>
                </c:pt>
                <c:pt idx="4">
                  <c:v>-0.18723504991085951</c:v>
                </c:pt>
                <c:pt idx="5">
                  <c:v>-0.12021428896178896</c:v>
                </c:pt>
                <c:pt idx="6">
                  <c:v>-0.1674913339552534</c:v>
                </c:pt>
                <c:pt idx="7">
                  <c:v>-0.2584328029764435</c:v>
                </c:pt>
                <c:pt idx="8">
                  <c:v>-0.1420509218998767</c:v>
                </c:pt>
                <c:pt idx="9">
                  <c:v>-0.17538295422459302</c:v>
                </c:pt>
                <c:pt idx="10">
                  <c:v>-3.4677864282114022E-2</c:v>
                </c:pt>
                <c:pt idx="11">
                  <c:v>-8.8910486225256172E-2</c:v>
                </c:pt>
                <c:pt idx="12">
                  <c:v>-0.1555142143956488</c:v>
                </c:pt>
                <c:pt idx="13">
                  <c:v>-0.12881059819711629</c:v>
                </c:pt>
                <c:pt idx="14">
                  <c:v>-0.12204591362493016</c:v>
                </c:pt>
                <c:pt idx="15">
                  <c:v>-9.4336318157148075E-2</c:v>
                </c:pt>
                <c:pt idx="16">
                  <c:v>-9.9493825427067945E-2</c:v>
                </c:pt>
                <c:pt idx="17">
                  <c:v>-0.10698202079439852</c:v>
                </c:pt>
                <c:pt idx="18">
                  <c:v>-7.1921964829530977E-2</c:v>
                </c:pt>
                <c:pt idx="19">
                  <c:v>-8.4162981262846964E-2</c:v>
                </c:pt>
                <c:pt idx="20">
                  <c:v>-3.7200203587206243E-2</c:v>
                </c:pt>
                <c:pt idx="21">
                  <c:v>-7.1038642019857684E-2</c:v>
                </c:pt>
                <c:pt idx="22">
                  <c:v>-2.8424167157944966E-2</c:v>
                </c:pt>
                <c:pt idx="23">
                  <c:v>-9.3262963308561857E-3</c:v>
                </c:pt>
                <c:pt idx="25">
                  <c:v>-9.3406951174228023E-2</c:v>
                </c:pt>
                <c:pt idx="26">
                  <c:v>-0.12531883400752908</c:v>
                </c:pt>
              </c:numCache>
            </c:numRef>
          </c:val>
        </c:ser>
        <c:dLbls>
          <c:showVal val="1"/>
        </c:dLbls>
        <c:marker val="1"/>
        <c:axId val="83415424"/>
        <c:axId val="83380864"/>
      </c:lineChart>
      <c:catAx>
        <c:axId val="83364480"/>
        <c:scaling>
          <c:orientation val="minMax"/>
        </c:scaling>
        <c:axPos val="b"/>
        <c:numFmt formatCode="mmm\-yy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378560"/>
        <c:crosses val="autoZero"/>
        <c:lblAlgn val="ctr"/>
        <c:lblOffset val="100"/>
        <c:tickLblSkip val="1"/>
        <c:tickMarkSkip val="1"/>
      </c:catAx>
      <c:valAx>
        <c:axId val="83378560"/>
        <c:scaling>
          <c:orientation val="minMax"/>
          <c:max val="5500000000"/>
          <c:min val="0"/>
        </c:scaling>
        <c:axPos val="l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Amount in Millions  </a:t>
                </a:r>
              </a:p>
            </c:rich>
          </c:tx>
          <c:layout>
            <c:manualLayout>
              <c:xMode val="edge"/>
              <c:yMode val="edge"/>
              <c:x val="4.7170259786890765E-3"/>
              <c:y val="0.26654421662638172"/>
            </c:manualLayout>
          </c:layout>
          <c:spPr>
            <a:noFill/>
            <a:ln w="25400">
              <a:noFill/>
            </a:ln>
          </c:spPr>
        </c:title>
        <c:numFmt formatCode="\$#,##0" sourceLinked="0"/>
        <c:maj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364480"/>
        <c:crosses val="autoZero"/>
        <c:crossBetween val="between"/>
        <c:majorUnit val="250000000"/>
        <c:minorUnit val="100000000"/>
        <c:dispUnits>
          <c:builtInUnit val="millions"/>
        </c:dispUnits>
      </c:valAx>
      <c:valAx>
        <c:axId val="83380864"/>
        <c:scaling>
          <c:orientation val="minMax"/>
        </c:scaling>
        <c:axPos val="r"/>
        <c:numFmt formatCode="0%" sourceLinked="0"/>
        <c:majorTickMark val="none"/>
        <c:tickLblPos val="none"/>
        <c:crossAx val="83415424"/>
        <c:crosses val="max"/>
        <c:crossBetween val="between"/>
      </c:valAx>
      <c:catAx>
        <c:axId val="83415424"/>
        <c:scaling>
          <c:orientation val="minMax"/>
        </c:scaling>
        <c:delete val="1"/>
        <c:axPos val="b"/>
        <c:tickLblPos val="none"/>
        <c:crossAx val="83380864"/>
        <c:crosses val="autoZero"/>
        <c:lblAlgn val="ctr"/>
        <c:lblOffset val="100"/>
      </c:catAx>
      <c:spPr>
        <a:gradFill rotWithShape="0">
          <a:gsLst>
            <a:gs pos="0">
              <a:srgbClr val="E3E3E3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420661932445366"/>
          <c:y val="0.19335716540165618"/>
          <c:w val="0.16074176807444523"/>
          <c:h val="6.938468335022711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22225">
      <a:solidFill>
        <a:schemeClr val="tx1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&amp;CFY 09/10 to  FY 10/11 Combined Chart</c:oddHeader>
      <c:oddFooter>&amp;CPage &amp;P</c:oddFooter>
    </c:headerFooter>
    <c:pageMargins b="1" l="0.75000000000001077" r="0.75000000000001077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30</xdr:row>
      <xdr:rowOff>76200</xdr:rowOff>
    </xdr:from>
    <xdr:to>
      <xdr:col>11</xdr:col>
      <xdr:colOff>0</xdr:colOff>
      <xdr:row>60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S%20MAY%202013/Combined%20BAR%20Summary%20Report%20-%20May%20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ithPerformance"/>
      <sheetName val="YR 11-12 to 12-13 Combined"/>
      <sheetName val="By program"/>
      <sheetName val="MultiProg"/>
      <sheetName val="Rejected Projects"/>
    </sheetNames>
    <sheetDataSet>
      <sheetData sheetId="0">
        <row r="2">
          <cell r="B2" t="str">
            <v>Engineer's Estimate</v>
          </cell>
          <cell r="C2" t="str">
            <v>Low Bid</v>
          </cell>
          <cell r="D2" t="str">
            <v>Low Bid vs. EE</v>
          </cell>
        </row>
        <row r="3">
          <cell r="A3">
            <v>40739</v>
          </cell>
          <cell r="B3">
            <v>20365047.050000001</v>
          </cell>
          <cell r="C3">
            <v>21732970.350000001</v>
          </cell>
          <cell r="D3">
            <v>6.7170151713447715E-2</v>
          </cell>
        </row>
        <row r="4">
          <cell r="A4">
            <v>40766</v>
          </cell>
          <cell r="B4">
            <v>50010372.810000002</v>
          </cell>
          <cell r="C4">
            <v>43611191.310000002</v>
          </cell>
          <cell r="D4">
            <v>-0.12795708450948456</v>
          </cell>
        </row>
        <row r="5">
          <cell r="A5">
            <v>40797</v>
          </cell>
          <cell r="B5">
            <v>166458271.62999997</v>
          </cell>
          <cell r="C5">
            <v>138598077.46000001</v>
          </cell>
          <cell r="D5">
            <v>-0.16737044003392648</v>
          </cell>
        </row>
        <row r="6">
          <cell r="A6">
            <v>40827</v>
          </cell>
          <cell r="B6">
            <v>219152331.31</v>
          </cell>
          <cell r="C6">
            <v>179743459.67999998</v>
          </cell>
          <cell r="D6">
            <v>-0.17982410405780513</v>
          </cell>
        </row>
        <row r="7">
          <cell r="A7">
            <v>40858</v>
          </cell>
          <cell r="B7">
            <v>507700888.34999996</v>
          </cell>
          <cell r="C7">
            <v>412641487.18000001</v>
          </cell>
          <cell r="D7">
            <v>-0.18723504991085951</v>
          </cell>
        </row>
        <row r="8">
          <cell r="A8">
            <v>40888</v>
          </cell>
          <cell r="B8">
            <v>628320975.92000008</v>
          </cell>
          <cell r="C8">
            <v>552787816.55999994</v>
          </cell>
          <cell r="D8">
            <v>-0.12021428896178896</v>
          </cell>
        </row>
        <row r="9">
          <cell r="A9">
            <v>40920</v>
          </cell>
          <cell r="B9">
            <v>221129881.74000001</v>
          </cell>
          <cell r="C9">
            <v>184092542.86999997</v>
          </cell>
          <cell r="D9">
            <v>-0.1674913339552534</v>
          </cell>
        </row>
        <row r="10">
          <cell r="A10">
            <v>40951</v>
          </cell>
          <cell r="B10">
            <v>331587021.28000003</v>
          </cell>
          <cell r="C10">
            <v>245894057.94</v>
          </cell>
          <cell r="D10">
            <v>-0.2584328029764435</v>
          </cell>
        </row>
        <row r="11">
          <cell r="A11" t="str">
            <v>Mar-12</v>
          </cell>
          <cell r="B11">
            <v>276250184.96999997</v>
          </cell>
          <cell r="C11">
            <v>237008591.52000001</v>
          </cell>
          <cell r="D11">
            <v>-0.1420509218998767</v>
          </cell>
        </row>
        <row r="12">
          <cell r="A12">
            <v>41011</v>
          </cell>
          <cell r="B12">
            <v>264959292.73999998</v>
          </cell>
          <cell r="C12">
            <v>218489949.23000002</v>
          </cell>
          <cell r="D12">
            <v>-0.17538295422459302</v>
          </cell>
        </row>
        <row r="13">
          <cell r="A13" t="str">
            <v>May-12</v>
          </cell>
          <cell r="B13">
            <v>219373727.52000004</v>
          </cell>
          <cell r="C13">
            <v>211766315.17000002</v>
          </cell>
          <cell r="D13">
            <v>-3.4677864282114022E-2</v>
          </cell>
        </row>
        <row r="14">
          <cell r="A14">
            <v>41072</v>
          </cell>
          <cell r="B14">
            <v>106973675.14</v>
          </cell>
          <cell r="C14">
            <v>97462593.670000002</v>
          </cell>
          <cell r="D14">
            <v>-8.8910486225256172E-2</v>
          </cell>
        </row>
        <row r="15">
          <cell r="A15" t="str">
            <v>Jul 11 to Jun 12</v>
          </cell>
          <cell r="B15">
            <v>3012281670.4599996</v>
          </cell>
          <cell r="C15">
            <v>2543829052.9400001</v>
          </cell>
          <cell r="D15">
            <v>-0.1555142143956488</v>
          </cell>
        </row>
        <row r="16">
          <cell r="A16" t="str">
            <v>Jul-12</v>
          </cell>
          <cell r="B16">
            <v>324344704.50999999</v>
          </cell>
          <cell r="C16">
            <v>282565669.09999996</v>
          </cell>
          <cell r="D16">
            <v>-0.12881059819711629</v>
          </cell>
        </row>
        <row r="17">
          <cell r="A17" t="str">
            <v>Aug-12</v>
          </cell>
          <cell r="B17">
            <v>376864727.33000004</v>
          </cell>
          <cell r="C17">
            <v>330869927.37</v>
          </cell>
          <cell r="D17">
            <v>-0.12204591362493016</v>
          </cell>
        </row>
        <row r="18">
          <cell r="A18" t="str">
            <v>Sep-12</v>
          </cell>
          <cell r="B18">
            <v>510608479.65000004</v>
          </cell>
          <cell r="C18">
            <v>462439555.65999997</v>
          </cell>
          <cell r="D18">
            <v>-9.4336318157148075E-2</v>
          </cell>
        </row>
        <row r="19">
          <cell r="A19" t="str">
            <v>Oct-12</v>
          </cell>
          <cell r="B19">
            <v>785008092.56000006</v>
          </cell>
          <cell r="C19">
            <v>706904634.43999982</v>
          </cell>
          <cell r="D19">
            <v>-9.9493825427067945E-2</v>
          </cell>
        </row>
        <row r="20">
          <cell r="A20" t="str">
            <v>*Nov-12</v>
          </cell>
          <cell r="B20">
            <v>205996003.5</v>
          </cell>
          <cell r="C20">
            <v>183958134.77000001</v>
          </cell>
          <cell r="D20">
            <v>-0.10698202079439852</v>
          </cell>
        </row>
        <row r="21">
          <cell r="A21">
            <v>41255</v>
          </cell>
          <cell r="B21">
            <v>94032650.609999999</v>
          </cell>
          <cell r="C21">
            <v>87269637.620000005</v>
          </cell>
          <cell r="D21">
            <v>-7.1921964829530977E-2</v>
          </cell>
        </row>
        <row r="22">
          <cell r="A22">
            <v>41287</v>
          </cell>
          <cell r="B22">
            <v>115138540.42</v>
          </cell>
          <cell r="C22">
            <v>105448137.59999999</v>
          </cell>
          <cell r="D22">
            <v>-8.4162981262846964E-2</v>
          </cell>
        </row>
        <row r="23">
          <cell r="A23">
            <v>41318</v>
          </cell>
          <cell r="B23">
            <v>65311825.090000004</v>
          </cell>
          <cell r="C23">
            <v>62882211.899999999</v>
          </cell>
          <cell r="D23">
            <v>-3.7200203587206243E-2</v>
          </cell>
        </row>
        <row r="24">
          <cell r="A24" t="str">
            <v>*Mar-13</v>
          </cell>
          <cell r="B24">
            <v>87355042.319999993</v>
          </cell>
          <cell r="C24">
            <v>81149458.739999995</v>
          </cell>
          <cell r="D24">
            <v>-7.1038642019857684E-2</v>
          </cell>
        </row>
        <row r="25">
          <cell r="A25" t="str">
            <v>*Apr-13</v>
          </cell>
          <cell r="B25">
            <v>125529925.65000001</v>
          </cell>
          <cell r="C25">
            <v>121961842.06</v>
          </cell>
          <cell r="D25">
            <v>-2.8424167157944966E-2</v>
          </cell>
        </row>
        <row r="26">
          <cell r="A26">
            <v>41395</v>
          </cell>
          <cell r="B26">
            <v>160064609.47</v>
          </cell>
          <cell r="C26">
            <v>158571799.49000001</v>
          </cell>
          <cell r="D26">
            <v>-9.3262963308561857E-3</v>
          </cell>
        </row>
        <row r="28">
          <cell r="A28" t="str">
            <v>Jul 12 to April 13</v>
          </cell>
          <cell r="B28">
            <v>2850254601.1100006</v>
          </cell>
          <cell r="C28">
            <v>2584021008.75</v>
          </cell>
          <cell r="D28">
            <v>-9.3406951174228023E-2</v>
          </cell>
        </row>
        <row r="29">
          <cell r="A29" t="str">
            <v>Total</v>
          </cell>
          <cell r="B29">
            <v>5862536271.5699997</v>
          </cell>
          <cell r="C29">
            <v>5127850061.6900005</v>
          </cell>
          <cell r="D29">
            <v>-0.12531883400752908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zoomScaleNormal="100" workbookViewId="0">
      <selection activeCell="F18" sqref="F18"/>
    </sheetView>
  </sheetViews>
  <sheetFormatPr defaultRowHeight="15"/>
  <cols>
    <col min="1" max="1" width="15.5703125" style="51" customWidth="1"/>
    <col min="2" max="2" width="20.28515625" style="52" customWidth="1"/>
    <col min="3" max="3" width="19.5703125" style="52" customWidth="1"/>
    <col min="4" max="4" width="15.5703125" customWidth="1"/>
    <col min="5" max="5" width="13.5703125" style="53" customWidth="1"/>
    <col min="6" max="6" width="14" customWidth="1"/>
    <col min="7" max="7" width="12.5703125" customWidth="1"/>
    <col min="8" max="9" width="12.7109375" customWidth="1"/>
    <col min="10" max="10" width="13.7109375" customWidth="1"/>
    <col min="11" max="11" width="14.5703125" customWidth="1"/>
    <col min="13" max="13" width="23.42578125" customWidth="1"/>
    <col min="14" max="14" width="21.28515625" customWidth="1"/>
    <col min="15" max="15" width="9.28515625" bestFit="1" customWidth="1"/>
    <col min="17" max="17" width="12.42578125" customWidth="1"/>
  </cols>
  <sheetData>
    <row r="1" spans="1:13" ht="39.75" customHeight="1" thickBo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6"/>
    </row>
    <row r="2" spans="1:13" s="9" customFormat="1" ht="54.75" customHeight="1" thickBot="1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8" t="s">
        <v>11</v>
      </c>
    </row>
    <row r="3" spans="1:13" s="17" customFormat="1" ht="21.95" customHeight="1">
      <c r="A3" s="10">
        <v>40739</v>
      </c>
      <c r="B3" s="11">
        <v>20365047.050000001</v>
      </c>
      <c r="C3" s="12">
        <v>21732970.350000001</v>
      </c>
      <c r="D3" s="13">
        <f t="shared" ref="D3:D26" si="0">(C3-B3)/B3</f>
        <v>6.7170151713447715E-2</v>
      </c>
      <c r="E3" s="14">
        <v>4.5384615384615383</v>
      </c>
      <c r="F3" s="15">
        <v>13</v>
      </c>
      <c r="G3" s="15">
        <v>4</v>
      </c>
      <c r="H3" s="15">
        <v>4</v>
      </c>
      <c r="I3" s="15">
        <v>5</v>
      </c>
      <c r="J3" s="15">
        <f t="shared" ref="J3:J14" si="1">F3-I3</f>
        <v>8</v>
      </c>
      <c r="K3" s="16">
        <f t="shared" ref="K3:K29" si="2">H3/F3</f>
        <v>0.30769230769230771</v>
      </c>
      <c r="M3" s="18"/>
    </row>
    <row r="4" spans="1:13" s="17" customFormat="1" ht="21.95" customHeight="1">
      <c r="A4" s="19">
        <v>40766</v>
      </c>
      <c r="B4" s="20">
        <v>50010372.810000002</v>
      </c>
      <c r="C4" s="21">
        <v>43611191.310000002</v>
      </c>
      <c r="D4" s="22">
        <f t="shared" si="0"/>
        <v>-0.12795708450948456</v>
      </c>
      <c r="E4" s="23">
        <v>5</v>
      </c>
      <c r="F4" s="24">
        <v>21</v>
      </c>
      <c r="G4" s="24">
        <v>12</v>
      </c>
      <c r="H4" s="24">
        <v>6</v>
      </c>
      <c r="I4" s="24">
        <v>3</v>
      </c>
      <c r="J4" s="24">
        <f t="shared" si="1"/>
        <v>18</v>
      </c>
      <c r="K4" s="25">
        <f t="shared" si="2"/>
        <v>0.2857142857142857</v>
      </c>
      <c r="M4" s="18"/>
    </row>
    <row r="5" spans="1:13" s="17" customFormat="1" ht="21.95" customHeight="1">
      <c r="A5" s="19">
        <v>40797</v>
      </c>
      <c r="B5" s="20">
        <v>166458271.62999997</v>
      </c>
      <c r="C5" s="21">
        <v>138598077.46000001</v>
      </c>
      <c r="D5" s="22">
        <f t="shared" si="0"/>
        <v>-0.16737044003392648</v>
      </c>
      <c r="E5" s="23">
        <v>6.0476190476190474</v>
      </c>
      <c r="F5" s="24">
        <v>21</v>
      </c>
      <c r="G5" s="24">
        <v>10</v>
      </c>
      <c r="H5" s="24">
        <v>8</v>
      </c>
      <c r="I5" s="24">
        <v>3</v>
      </c>
      <c r="J5" s="24">
        <f t="shared" si="1"/>
        <v>18</v>
      </c>
      <c r="K5" s="25">
        <f t="shared" si="2"/>
        <v>0.38095238095238093</v>
      </c>
      <c r="M5" s="18"/>
    </row>
    <row r="6" spans="1:13" s="17" customFormat="1" ht="21.95" customHeight="1">
      <c r="A6" s="19">
        <v>40827</v>
      </c>
      <c r="B6" s="20">
        <v>219152331.31</v>
      </c>
      <c r="C6" s="21">
        <v>179743459.67999998</v>
      </c>
      <c r="D6" s="22">
        <f t="shared" si="0"/>
        <v>-0.17982410405780513</v>
      </c>
      <c r="E6" s="23">
        <v>6.8421052631578947</v>
      </c>
      <c r="F6" s="24">
        <v>38</v>
      </c>
      <c r="G6" s="24">
        <v>23</v>
      </c>
      <c r="H6" s="24">
        <v>10</v>
      </c>
      <c r="I6" s="24">
        <v>5</v>
      </c>
      <c r="J6" s="24">
        <f t="shared" si="1"/>
        <v>33</v>
      </c>
      <c r="K6" s="25">
        <f t="shared" si="2"/>
        <v>0.26315789473684209</v>
      </c>
      <c r="M6" s="18"/>
    </row>
    <row r="7" spans="1:13" s="17" customFormat="1" ht="21.95" customHeight="1">
      <c r="A7" s="19">
        <v>40858</v>
      </c>
      <c r="B7" s="20">
        <v>507700888.34999996</v>
      </c>
      <c r="C7" s="21">
        <v>412641487.18000001</v>
      </c>
      <c r="D7" s="22">
        <f t="shared" si="0"/>
        <v>-0.18723504991085951</v>
      </c>
      <c r="E7" s="23">
        <v>6.617647058823529</v>
      </c>
      <c r="F7" s="24">
        <v>34</v>
      </c>
      <c r="G7" s="24">
        <v>17</v>
      </c>
      <c r="H7" s="24">
        <v>14</v>
      </c>
      <c r="I7" s="24">
        <v>3</v>
      </c>
      <c r="J7" s="24">
        <f t="shared" si="1"/>
        <v>31</v>
      </c>
      <c r="K7" s="25">
        <f t="shared" si="2"/>
        <v>0.41176470588235292</v>
      </c>
      <c r="M7" s="18"/>
    </row>
    <row r="8" spans="1:13" s="17" customFormat="1" ht="21.95" customHeight="1">
      <c r="A8" s="19">
        <v>40888</v>
      </c>
      <c r="B8" s="20">
        <v>628320975.92000008</v>
      </c>
      <c r="C8" s="21">
        <v>552787816.55999994</v>
      </c>
      <c r="D8" s="22">
        <f t="shared" si="0"/>
        <v>-0.12021428896178896</v>
      </c>
      <c r="E8" s="23">
        <v>6.4615384615384617</v>
      </c>
      <c r="F8" s="24">
        <v>26</v>
      </c>
      <c r="G8" s="24">
        <v>14</v>
      </c>
      <c r="H8" s="24">
        <v>4</v>
      </c>
      <c r="I8" s="24">
        <v>8</v>
      </c>
      <c r="J8" s="24">
        <f t="shared" si="1"/>
        <v>18</v>
      </c>
      <c r="K8" s="25">
        <f t="shared" si="2"/>
        <v>0.15384615384615385</v>
      </c>
      <c r="M8" s="18"/>
    </row>
    <row r="9" spans="1:13" s="17" customFormat="1" ht="21.95" customHeight="1">
      <c r="A9" s="19">
        <v>40920</v>
      </c>
      <c r="B9" s="20">
        <v>221129881.74000001</v>
      </c>
      <c r="C9" s="21">
        <v>184092542.86999997</v>
      </c>
      <c r="D9" s="22">
        <f t="shared" si="0"/>
        <v>-0.1674913339552534</v>
      </c>
      <c r="E9" s="23">
        <v>6.90625</v>
      </c>
      <c r="F9" s="24">
        <v>32</v>
      </c>
      <c r="G9" s="24">
        <v>13</v>
      </c>
      <c r="H9" s="24">
        <v>14</v>
      </c>
      <c r="I9" s="24">
        <v>5</v>
      </c>
      <c r="J9" s="24">
        <f t="shared" si="1"/>
        <v>27</v>
      </c>
      <c r="K9" s="25">
        <f t="shared" si="2"/>
        <v>0.4375</v>
      </c>
      <c r="M9" s="18"/>
    </row>
    <row r="10" spans="1:13" s="17" customFormat="1" ht="21.95" customHeight="1">
      <c r="A10" s="19">
        <v>40951</v>
      </c>
      <c r="B10" s="20">
        <v>331587021.28000003</v>
      </c>
      <c r="C10" s="21">
        <v>245894057.94</v>
      </c>
      <c r="D10" s="22">
        <f t="shared" si="0"/>
        <v>-0.2584328029764435</v>
      </c>
      <c r="E10" s="23">
        <v>7.3191489361702127</v>
      </c>
      <c r="F10" s="24">
        <v>47</v>
      </c>
      <c r="G10" s="24">
        <v>22</v>
      </c>
      <c r="H10" s="24">
        <v>20</v>
      </c>
      <c r="I10" s="24">
        <v>5</v>
      </c>
      <c r="J10" s="24">
        <f t="shared" si="1"/>
        <v>42</v>
      </c>
      <c r="K10" s="25">
        <f t="shared" si="2"/>
        <v>0.42553191489361702</v>
      </c>
      <c r="M10" s="18"/>
    </row>
    <row r="11" spans="1:13" s="17" customFormat="1" ht="21.95" customHeight="1">
      <c r="A11" s="26" t="s">
        <v>12</v>
      </c>
      <c r="B11" s="20">
        <v>276250184.96999997</v>
      </c>
      <c r="C11" s="21">
        <v>237008591.52000001</v>
      </c>
      <c r="D11" s="22">
        <f t="shared" si="0"/>
        <v>-0.1420509218998767</v>
      </c>
      <c r="E11" s="23">
        <v>6.8636363636363633</v>
      </c>
      <c r="F11" s="24">
        <v>66</v>
      </c>
      <c r="G11" s="24">
        <v>35</v>
      </c>
      <c r="H11" s="24">
        <v>24</v>
      </c>
      <c r="I11" s="24">
        <v>7</v>
      </c>
      <c r="J11" s="24">
        <f t="shared" si="1"/>
        <v>59</v>
      </c>
      <c r="K11" s="25">
        <f t="shared" si="2"/>
        <v>0.36363636363636365</v>
      </c>
      <c r="M11" s="18"/>
    </row>
    <row r="12" spans="1:13" s="17" customFormat="1" ht="21.95" customHeight="1">
      <c r="A12" s="19">
        <v>41011</v>
      </c>
      <c r="B12" s="20">
        <v>264959292.73999998</v>
      </c>
      <c r="C12" s="21">
        <v>218489949.23000002</v>
      </c>
      <c r="D12" s="22">
        <f t="shared" si="0"/>
        <v>-0.17538295422459302</v>
      </c>
      <c r="E12" s="23">
        <v>5.3928571428571432</v>
      </c>
      <c r="F12" s="24">
        <v>84</v>
      </c>
      <c r="G12" s="24">
        <v>41</v>
      </c>
      <c r="H12" s="24">
        <v>33</v>
      </c>
      <c r="I12" s="24">
        <v>10</v>
      </c>
      <c r="J12" s="24">
        <f t="shared" si="1"/>
        <v>74</v>
      </c>
      <c r="K12" s="25">
        <f t="shared" si="2"/>
        <v>0.39285714285714285</v>
      </c>
      <c r="M12" s="18"/>
    </row>
    <row r="13" spans="1:13" s="17" customFormat="1" ht="21.95" customHeight="1">
      <c r="A13" s="26" t="s">
        <v>13</v>
      </c>
      <c r="B13" s="20">
        <v>219373727.52000004</v>
      </c>
      <c r="C13" s="21">
        <v>211766315.17000002</v>
      </c>
      <c r="D13" s="22">
        <f t="shared" si="0"/>
        <v>-3.4677864282114022E-2</v>
      </c>
      <c r="E13" s="23">
        <v>5.2234042553191493</v>
      </c>
      <c r="F13" s="24">
        <v>94</v>
      </c>
      <c r="G13" s="24">
        <v>46</v>
      </c>
      <c r="H13" s="24">
        <v>34</v>
      </c>
      <c r="I13" s="24">
        <v>14</v>
      </c>
      <c r="J13" s="24">
        <f t="shared" si="1"/>
        <v>80</v>
      </c>
      <c r="K13" s="25">
        <f t="shared" si="2"/>
        <v>0.36170212765957449</v>
      </c>
      <c r="M13" s="18"/>
    </row>
    <row r="14" spans="1:13" s="17" customFormat="1" ht="21.95" customHeight="1" thickBot="1">
      <c r="A14" s="27">
        <v>41072</v>
      </c>
      <c r="B14" s="28">
        <v>106973675.14</v>
      </c>
      <c r="C14" s="29">
        <v>97462593.670000002</v>
      </c>
      <c r="D14" s="30">
        <f t="shared" si="0"/>
        <v>-8.8910486225256172E-2</v>
      </c>
      <c r="E14" s="31">
        <v>6.1333333333333337</v>
      </c>
      <c r="F14" s="32">
        <v>15</v>
      </c>
      <c r="G14" s="32">
        <v>6</v>
      </c>
      <c r="H14" s="32">
        <v>5</v>
      </c>
      <c r="I14" s="32">
        <v>4</v>
      </c>
      <c r="J14" s="32">
        <f t="shared" si="1"/>
        <v>11</v>
      </c>
      <c r="K14" s="33">
        <f t="shared" si="2"/>
        <v>0.33333333333333331</v>
      </c>
      <c r="M14" s="18"/>
    </row>
    <row r="15" spans="1:13" s="18" customFormat="1" ht="24" customHeight="1" thickBot="1">
      <c r="A15" s="34" t="s">
        <v>14</v>
      </c>
      <c r="B15" s="35">
        <f>SUM(B3:B14)</f>
        <v>3012281670.4599996</v>
      </c>
      <c r="C15" s="36">
        <f>SUM(C3:C14)</f>
        <v>2543829052.9400001</v>
      </c>
      <c r="D15" s="37">
        <f t="shared" si="0"/>
        <v>-0.1555142143956488</v>
      </c>
      <c r="E15" s="38">
        <f>(E3*F3+E4*F4+E5*F5+E6*F6+E7*F7+E8*F8+E9*F9+E10*F10+E11*F11+E12*F12+E13*F13+E14*F14)/F15</f>
        <v>6.1059063136456215</v>
      </c>
      <c r="F15" s="39">
        <f>SUM(F3:F14)</f>
        <v>491</v>
      </c>
      <c r="G15" s="39">
        <f>SUM(G3:G14)</f>
        <v>243</v>
      </c>
      <c r="H15" s="39">
        <f>SUM(H3:H14)</f>
        <v>176</v>
      </c>
      <c r="I15" s="39">
        <f>SUM(I3:I14)</f>
        <v>72</v>
      </c>
      <c r="J15" s="39">
        <f>SUM(J3:J14)</f>
        <v>419</v>
      </c>
      <c r="K15" s="40">
        <f t="shared" si="2"/>
        <v>0.35845213849287166</v>
      </c>
    </row>
    <row r="16" spans="1:13" s="18" customFormat="1" ht="21.95" customHeight="1">
      <c r="A16" s="41" t="s">
        <v>15</v>
      </c>
      <c r="B16" s="11">
        <v>324344704.50999999</v>
      </c>
      <c r="C16" s="12">
        <v>282565669.09999996</v>
      </c>
      <c r="D16" s="13">
        <f t="shared" si="0"/>
        <v>-0.12881059819711629</v>
      </c>
      <c r="E16" s="14">
        <v>5.5714285714285712</v>
      </c>
      <c r="F16" s="15">
        <v>28</v>
      </c>
      <c r="G16" s="15">
        <v>15</v>
      </c>
      <c r="H16" s="15">
        <v>9</v>
      </c>
      <c r="I16" s="15">
        <v>4</v>
      </c>
      <c r="J16" s="15">
        <f t="shared" ref="J16:J26" si="3">F16-I16</f>
        <v>24</v>
      </c>
      <c r="K16" s="16">
        <f t="shared" si="2"/>
        <v>0.32142857142857145</v>
      </c>
    </row>
    <row r="17" spans="1:11" s="18" customFormat="1" ht="21.95" customHeight="1">
      <c r="A17" s="26" t="s">
        <v>16</v>
      </c>
      <c r="B17" s="20">
        <v>376864727.33000004</v>
      </c>
      <c r="C17" s="21">
        <v>330869927.37</v>
      </c>
      <c r="D17" s="22">
        <f t="shared" si="0"/>
        <v>-0.12204591362493016</v>
      </c>
      <c r="E17" s="23">
        <v>5.8</v>
      </c>
      <c r="F17" s="24">
        <v>25</v>
      </c>
      <c r="G17" s="24">
        <v>14</v>
      </c>
      <c r="H17" s="24">
        <v>7</v>
      </c>
      <c r="I17" s="24">
        <v>4</v>
      </c>
      <c r="J17" s="24">
        <f t="shared" si="3"/>
        <v>21</v>
      </c>
      <c r="K17" s="25">
        <f t="shared" si="2"/>
        <v>0.28000000000000003</v>
      </c>
    </row>
    <row r="18" spans="1:11" s="18" customFormat="1" ht="21.95" customHeight="1">
      <c r="A18" s="26" t="s">
        <v>17</v>
      </c>
      <c r="B18" s="20">
        <v>510608479.65000004</v>
      </c>
      <c r="C18" s="21">
        <v>462439555.65999997</v>
      </c>
      <c r="D18" s="22">
        <f t="shared" si="0"/>
        <v>-9.4336318157148075E-2</v>
      </c>
      <c r="E18" s="23">
        <v>5.882352941176471</v>
      </c>
      <c r="F18" s="24">
        <v>34</v>
      </c>
      <c r="G18" s="24">
        <v>17</v>
      </c>
      <c r="H18" s="24">
        <v>16</v>
      </c>
      <c r="I18" s="24">
        <v>1</v>
      </c>
      <c r="J18" s="24">
        <f t="shared" si="3"/>
        <v>33</v>
      </c>
      <c r="K18" s="25">
        <f t="shared" si="2"/>
        <v>0.47058823529411764</v>
      </c>
    </row>
    <row r="19" spans="1:11" s="18" customFormat="1" ht="21.95" customHeight="1">
      <c r="A19" s="42" t="s">
        <v>18</v>
      </c>
      <c r="B19" s="43">
        <v>785008092.56000006</v>
      </c>
      <c r="C19" s="44">
        <v>706904634.43999982</v>
      </c>
      <c r="D19" s="45">
        <f t="shared" si="0"/>
        <v>-9.9493825427067945E-2</v>
      </c>
      <c r="E19" s="46">
        <v>5.6590909090909092</v>
      </c>
      <c r="F19" s="47">
        <v>44</v>
      </c>
      <c r="G19" s="47">
        <v>15</v>
      </c>
      <c r="H19" s="47">
        <v>21</v>
      </c>
      <c r="I19" s="47">
        <v>8</v>
      </c>
      <c r="J19" s="47">
        <f t="shared" si="3"/>
        <v>36</v>
      </c>
      <c r="K19" s="48">
        <f t="shared" si="2"/>
        <v>0.47727272727272729</v>
      </c>
    </row>
    <row r="20" spans="1:11" s="18" customFormat="1" ht="21.95" customHeight="1">
      <c r="A20" s="42" t="s">
        <v>19</v>
      </c>
      <c r="B20" s="43">
        <v>205996003.5</v>
      </c>
      <c r="C20" s="44">
        <v>183958134.77000001</v>
      </c>
      <c r="D20" s="45">
        <f t="shared" si="0"/>
        <v>-0.10698202079439852</v>
      </c>
      <c r="E20" s="46">
        <v>6.1</v>
      </c>
      <c r="F20" s="47">
        <v>31</v>
      </c>
      <c r="G20" s="47">
        <v>14</v>
      </c>
      <c r="H20" s="47">
        <v>14</v>
      </c>
      <c r="I20" s="47">
        <v>3</v>
      </c>
      <c r="J20" s="47">
        <f t="shared" si="3"/>
        <v>28</v>
      </c>
      <c r="K20" s="48">
        <f t="shared" si="2"/>
        <v>0.45161290322580644</v>
      </c>
    </row>
    <row r="21" spans="1:11" s="18" customFormat="1" ht="21.95" customHeight="1">
      <c r="A21" s="19">
        <v>41255</v>
      </c>
      <c r="B21" s="20">
        <v>94032650.609999999</v>
      </c>
      <c r="C21" s="21">
        <v>87269637.620000005</v>
      </c>
      <c r="D21" s="22">
        <f t="shared" si="0"/>
        <v>-7.1921964829530977E-2</v>
      </c>
      <c r="E21" s="23">
        <v>7.5</v>
      </c>
      <c r="F21" s="24">
        <v>20</v>
      </c>
      <c r="G21" s="24">
        <v>7</v>
      </c>
      <c r="H21" s="24">
        <v>10</v>
      </c>
      <c r="I21" s="24">
        <v>3</v>
      </c>
      <c r="J21" s="24">
        <f t="shared" si="3"/>
        <v>17</v>
      </c>
      <c r="K21" s="25">
        <f t="shared" si="2"/>
        <v>0.5</v>
      </c>
    </row>
    <row r="22" spans="1:11" s="18" customFormat="1" ht="21.95" customHeight="1">
      <c r="A22" s="19">
        <v>41287</v>
      </c>
      <c r="B22" s="20">
        <v>115138540.42</v>
      </c>
      <c r="C22" s="21">
        <v>105448137.59999999</v>
      </c>
      <c r="D22" s="22">
        <f t="shared" si="0"/>
        <v>-8.4162981262846964E-2</v>
      </c>
      <c r="E22" s="23">
        <v>8.1875</v>
      </c>
      <c r="F22" s="24">
        <v>32</v>
      </c>
      <c r="G22" s="24">
        <v>15</v>
      </c>
      <c r="H22" s="24">
        <v>12</v>
      </c>
      <c r="I22" s="24">
        <v>5</v>
      </c>
      <c r="J22" s="24">
        <f t="shared" si="3"/>
        <v>27</v>
      </c>
      <c r="K22" s="25">
        <f t="shared" si="2"/>
        <v>0.375</v>
      </c>
    </row>
    <row r="23" spans="1:11" s="18" customFormat="1" ht="21.95" customHeight="1">
      <c r="A23" s="19">
        <v>41318</v>
      </c>
      <c r="B23" s="20">
        <v>65311825.090000004</v>
      </c>
      <c r="C23" s="21">
        <v>62882211.899999999</v>
      </c>
      <c r="D23" s="22">
        <f t="shared" si="0"/>
        <v>-3.7200203587206243E-2</v>
      </c>
      <c r="E23" s="23">
        <v>7.5135135139999996</v>
      </c>
      <c r="F23" s="24">
        <v>37</v>
      </c>
      <c r="G23" s="24">
        <v>9</v>
      </c>
      <c r="H23" s="24">
        <v>24</v>
      </c>
      <c r="I23" s="24">
        <v>4</v>
      </c>
      <c r="J23" s="24">
        <f t="shared" si="3"/>
        <v>33</v>
      </c>
      <c r="K23" s="25">
        <f t="shared" si="2"/>
        <v>0.64864864864864868</v>
      </c>
    </row>
    <row r="24" spans="1:11" s="18" customFormat="1" ht="21.95" customHeight="1">
      <c r="A24" s="26" t="s">
        <v>20</v>
      </c>
      <c r="B24" s="20">
        <v>87355042.319999993</v>
      </c>
      <c r="C24" s="21">
        <v>81149458.739999995</v>
      </c>
      <c r="D24" s="22">
        <f t="shared" si="0"/>
        <v>-7.1038642019857684E-2</v>
      </c>
      <c r="E24" s="23">
        <v>6.4318181819999998</v>
      </c>
      <c r="F24" s="24">
        <v>44</v>
      </c>
      <c r="G24" s="24">
        <v>17</v>
      </c>
      <c r="H24" s="24">
        <v>22</v>
      </c>
      <c r="I24" s="24">
        <v>5</v>
      </c>
      <c r="J24" s="24">
        <f t="shared" si="3"/>
        <v>39</v>
      </c>
      <c r="K24" s="25">
        <f t="shared" si="2"/>
        <v>0.5</v>
      </c>
    </row>
    <row r="25" spans="1:11" s="18" customFormat="1" ht="21.95" customHeight="1">
      <c r="A25" s="19" t="s">
        <v>21</v>
      </c>
      <c r="B25" s="20">
        <v>125529925.65000001</v>
      </c>
      <c r="C25" s="21">
        <v>121961842.06</v>
      </c>
      <c r="D25" s="22">
        <f t="shared" si="0"/>
        <v>-2.8424167157944966E-2</v>
      </c>
      <c r="E25" s="23">
        <v>5.4078900000000001</v>
      </c>
      <c r="F25" s="24">
        <v>75</v>
      </c>
      <c r="G25" s="24">
        <v>25</v>
      </c>
      <c r="H25" s="24">
        <v>36</v>
      </c>
      <c r="I25" s="24">
        <v>14</v>
      </c>
      <c r="J25" s="24">
        <f t="shared" si="3"/>
        <v>61</v>
      </c>
      <c r="K25" s="25">
        <f t="shared" si="2"/>
        <v>0.48</v>
      </c>
    </row>
    <row r="26" spans="1:11" s="18" customFormat="1" ht="21.95" customHeight="1">
      <c r="A26" s="26">
        <v>41395</v>
      </c>
      <c r="B26" s="20">
        <v>160064609.47</v>
      </c>
      <c r="C26" s="21">
        <v>158571799.49000001</v>
      </c>
      <c r="D26" s="22">
        <f t="shared" si="0"/>
        <v>-9.3262963308561857E-3</v>
      </c>
      <c r="E26" s="23">
        <v>5.5</v>
      </c>
      <c r="F26" s="24">
        <v>62</v>
      </c>
      <c r="G26" s="24">
        <v>22</v>
      </c>
      <c r="H26" s="24">
        <v>29</v>
      </c>
      <c r="I26" s="24">
        <v>11</v>
      </c>
      <c r="J26" s="24">
        <f t="shared" si="3"/>
        <v>51</v>
      </c>
      <c r="K26" s="25">
        <f t="shared" si="2"/>
        <v>0.46774193548387094</v>
      </c>
    </row>
    <row r="27" spans="1:11" s="18" customFormat="1" ht="21.95" customHeight="1" thickBot="1">
      <c r="A27" s="27"/>
      <c r="B27" s="28"/>
      <c r="C27" s="29"/>
      <c r="D27" s="30"/>
      <c r="E27" s="31"/>
      <c r="F27" s="32"/>
      <c r="G27" s="32"/>
      <c r="H27" s="32"/>
      <c r="I27" s="32"/>
      <c r="J27" s="32"/>
      <c r="K27" s="33"/>
    </row>
    <row r="28" spans="1:11" s="18" customFormat="1" ht="26.25" thickBot="1">
      <c r="A28" s="34" t="s">
        <v>22</v>
      </c>
      <c r="B28" s="35">
        <f>SUM(B16:B27)</f>
        <v>2850254601.1100006</v>
      </c>
      <c r="C28" s="36">
        <f>SUM(C16:C27)</f>
        <v>2584021008.75</v>
      </c>
      <c r="D28" s="37">
        <f>(C28-B28)/B28</f>
        <v>-9.3406951174228023E-2</v>
      </c>
      <c r="E28" s="49">
        <f>(F16*E16+F17*E17+F18*E18+F19*E19+F20*E20+F21*E21+F22*E22+F23*E23+F24*E24+F25*E25+F26*E26+F27*E27)/F28</f>
        <v>6.15437905098611</v>
      </c>
      <c r="F28" s="39">
        <f>SUM(F16:F27)</f>
        <v>432</v>
      </c>
      <c r="G28" s="39">
        <f>SUM(G16:G27)</f>
        <v>170</v>
      </c>
      <c r="H28" s="39">
        <f>SUM(H16:H27)</f>
        <v>200</v>
      </c>
      <c r="I28" s="39">
        <f>SUM(I16:I27)</f>
        <v>62</v>
      </c>
      <c r="J28" s="39">
        <f>SUM(J16:J27)</f>
        <v>370</v>
      </c>
      <c r="K28" s="40">
        <f t="shared" si="2"/>
        <v>0.46296296296296297</v>
      </c>
    </row>
    <row r="29" spans="1:11" s="18" customFormat="1" ht="16.5" thickBot="1">
      <c r="A29" s="50" t="s">
        <v>23</v>
      </c>
      <c r="B29" s="35">
        <f>B15+B28</f>
        <v>5862536271.5699997</v>
      </c>
      <c r="C29" s="36">
        <f>C15+C28</f>
        <v>5127850061.6900005</v>
      </c>
      <c r="D29" s="37">
        <f>(C29-B29)/B29</f>
        <v>-0.12531883400752908</v>
      </c>
      <c r="E29" s="49">
        <f>(F28*E28+F15*E15)/F29</f>
        <v>6.1285934453152757</v>
      </c>
      <c r="F29" s="39">
        <f>F15+F28</f>
        <v>923</v>
      </c>
      <c r="G29" s="39">
        <f>G15+G28</f>
        <v>413</v>
      </c>
      <c r="H29" s="39">
        <f>H15+H28</f>
        <v>376</v>
      </c>
      <c r="I29" s="39">
        <f>I15+I28</f>
        <v>134</v>
      </c>
      <c r="J29" s="39">
        <f>J15+J28</f>
        <v>789</v>
      </c>
      <c r="K29" s="40">
        <f t="shared" si="2"/>
        <v>0.40736728060671723</v>
      </c>
    </row>
    <row r="30" spans="1:11" ht="15.75" thickBot="1">
      <c r="A30" s="57" t="s">
        <v>24</v>
      </c>
      <c r="B30" s="58"/>
      <c r="C30" s="58"/>
      <c r="D30" s="58"/>
      <c r="E30" s="58"/>
      <c r="F30" s="58"/>
      <c r="G30" s="58"/>
      <c r="H30" s="58"/>
      <c r="I30" s="58"/>
      <c r="J30" s="58"/>
      <c r="K30" s="59"/>
    </row>
    <row r="57" spans="1:11">
      <c r="A57" s="60"/>
      <c r="B57" s="60"/>
      <c r="C57" s="60"/>
      <c r="D57" s="60"/>
      <c r="E57" s="60"/>
      <c r="F57" s="60"/>
    </row>
    <row r="58" spans="1:11" ht="15.7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</row>
    <row r="59" spans="1:11">
      <c r="A59" s="62"/>
      <c r="B59" s="62"/>
      <c r="C59" s="62"/>
      <c r="D59" s="62"/>
      <c r="E59" s="62"/>
      <c r="F59" s="62"/>
      <c r="G59" s="62"/>
      <c r="H59" s="62"/>
      <c r="I59" s="62"/>
      <c r="J59" s="62"/>
    </row>
  </sheetData>
  <mergeCells count="5">
    <mergeCell ref="A1:K1"/>
    <mergeCell ref="A30:K30"/>
    <mergeCell ref="A57:F57"/>
    <mergeCell ref="A58:K58"/>
    <mergeCell ref="A59:J59"/>
  </mergeCells>
  <pageMargins left="0.25" right="0.25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Caltrans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s120597</dc:creator>
  <cp:lastModifiedBy>s120597</cp:lastModifiedBy>
  <cp:lastPrinted>2013-06-04T15:36:19Z</cp:lastPrinted>
  <dcterms:created xsi:type="dcterms:W3CDTF">2013-06-04T15:30:03Z</dcterms:created>
  <dcterms:modified xsi:type="dcterms:W3CDTF">2013-06-04T15:36:47Z</dcterms:modified>
</cp:coreProperties>
</file>