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bookViews>
    <workbookView xWindow="10230" yWindow="105" windowWidth="10275" windowHeight="8040"/>
  </bookViews>
  <sheets>
    <sheet name="Instructions" sheetId="3" r:id="rId1"/>
    <sheet name="4-week plan" sheetId="1" r:id="rId2"/>
  </sheets>
  <definedNames>
    <definedName name="_xlnm.Print_Area" localSheetId="1">'4-week plan'!$A$1:$K$106</definedName>
    <definedName name="_xlnm.Print_Area" localSheetId="0">Instructions!$B$2:$G$31</definedName>
    <definedName name="_xlnm.Print_Titles" localSheetId="1">'4-week plan'!$38:$38</definedName>
  </definedNames>
  <calcPr calcId="145621"/>
</workbook>
</file>

<file path=xl/calcChain.xml><?xml version="1.0" encoding="utf-8"?>
<calcChain xmlns="http://schemas.openxmlformats.org/spreadsheetml/2006/main">
  <c r="D66" i="1" l="1"/>
  <c r="N14" i="1"/>
  <c r="N15" i="1"/>
  <c r="N16" i="1"/>
  <c r="N17" i="1"/>
  <c r="N19" i="1"/>
  <c r="N20" i="1"/>
  <c r="N21" i="1"/>
  <c r="N22" i="1"/>
  <c r="N23" i="1"/>
  <c r="N24" i="1"/>
  <c r="N25" i="1"/>
  <c r="N26" i="1"/>
  <c r="N27" i="1"/>
  <c r="N28" i="1"/>
  <c r="N29" i="1"/>
  <c r="N30" i="1"/>
  <c r="N31" i="1"/>
  <c r="N32" i="1"/>
  <c r="N33" i="1"/>
  <c r="N34" i="1"/>
  <c r="N35" i="1"/>
  <c r="N13" i="1"/>
  <c r="K11" i="1" l="1"/>
  <c r="H12" i="1" s="1"/>
  <c r="O12" i="1"/>
  <c r="K18" i="1"/>
  <c r="H18" i="1" s="1"/>
  <c r="D61" i="1"/>
  <c r="D58" i="1"/>
  <c r="D55" i="1"/>
  <c r="D46" i="1"/>
  <c r="O19" i="1" l="1"/>
  <c r="O23" i="1"/>
  <c r="O20" i="1"/>
  <c r="O22" i="1"/>
  <c r="O21" i="1"/>
  <c r="O14" i="1"/>
  <c r="O15" i="1"/>
  <c r="O13" i="1"/>
  <c r="O16" i="1"/>
</calcChain>
</file>

<file path=xl/sharedStrings.xml><?xml version="1.0" encoding="utf-8"?>
<sst xmlns="http://schemas.openxmlformats.org/spreadsheetml/2006/main" count="248" uniqueCount="246">
  <si>
    <r>
      <rPr>
        <sz val="18"/>
        <color rgb="FFFFFFFF"/>
        <rFont val="Segoe UI Semibold"/>
        <family val="2"/>
      </rPr>
      <t xml:space="preserve">Plan your upgrade </t>
    </r>
  </si>
  <si>
    <r>
      <rPr>
        <sz val="18"/>
        <color rgb="FFFFFFFF"/>
        <rFont val="Segoe UI Semibold"/>
        <family val="2"/>
      </rPr>
      <t>to Office 365 for education</t>
    </r>
  </si>
  <si>
    <r>
      <rPr>
        <b/>
        <sz val="14"/>
        <color theme="0"/>
        <rFont val="Segoe UI"/>
        <family val="2"/>
      </rPr>
      <t>INSTRUCTIONS</t>
    </r>
  </si>
  <si>
    <r>
      <rPr>
        <b/>
        <sz val="20"/>
        <rFont val="Segoe UI"/>
        <family val="2"/>
      </rPr>
      <t>UPGRADE DATE</t>
    </r>
  </si>
  <si>
    <r>
      <rPr>
        <b/>
        <sz val="16"/>
        <color theme="0"/>
        <rFont val="Segoe UI"/>
        <family val="2"/>
      </rPr>
      <t>SELECT the scenarios that are applicable to your Live@edu deployment:</t>
    </r>
  </si>
  <si>
    <r>
      <rPr>
        <b/>
        <sz val="12"/>
        <color theme="1"/>
        <rFont val="Segoe UI"/>
        <family val="2"/>
      </rPr>
      <t xml:space="preserve">In terms of single sign-on (SSO) &amp; federation: </t>
    </r>
  </si>
  <si>
    <r>
      <rPr>
        <sz val="12"/>
        <color theme="1"/>
        <rFont val="Segoe UI"/>
        <family val="2"/>
      </rPr>
      <t xml:space="preserve">My institution currently uses the Single Sign-On tool kit and would like to move to </t>
    </r>
    <r>
      <rPr>
        <i/>
        <sz val="12"/>
        <color theme="1"/>
        <rFont val="Segoe UI"/>
        <family val="2"/>
      </rPr>
      <t>Active Directory Federation Services (ADFS)</t>
    </r>
  </si>
  <si>
    <r>
      <rPr>
        <sz val="11"/>
        <color theme="1"/>
        <rFont val="Segoe UI"/>
        <family val="2"/>
      </rPr>
      <t xml:space="preserve"> </t>
    </r>
  </si>
  <si>
    <r>
      <rPr>
        <sz val="12"/>
        <color theme="1"/>
        <rFont val="Segoe UI"/>
        <family val="2"/>
      </rPr>
      <t xml:space="preserve">My institution currently uses the Single Sign-On tool kit and will move to the </t>
    </r>
    <r>
      <rPr>
        <i/>
        <sz val="12"/>
        <color theme="1"/>
        <rFont val="Segoe UI"/>
        <family val="2"/>
      </rPr>
      <t>Shibboleth with Active Directory</t>
    </r>
  </si>
  <si>
    <r>
      <rPr>
        <sz val="12"/>
        <color theme="1"/>
        <rFont val="Segoe UI"/>
        <family val="2"/>
      </rPr>
      <t xml:space="preserve">My institution does </t>
    </r>
    <r>
      <rPr>
        <u/>
        <sz val="12"/>
        <color theme="1"/>
        <rFont val="Segoe UI"/>
        <family val="2"/>
      </rPr>
      <t>not</t>
    </r>
    <r>
      <rPr>
        <sz val="12"/>
        <color theme="1"/>
        <rFont val="Segoe UI"/>
        <family val="2"/>
      </rPr>
      <t xml:space="preserve"> use the SSO Tool Kit, but will use federation with </t>
    </r>
    <r>
      <rPr>
        <i/>
        <sz val="12"/>
        <color theme="1"/>
        <rFont val="Segoe UI"/>
        <family val="2"/>
      </rPr>
      <t>AD FS 2.0</t>
    </r>
    <r>
      <rPr>
        <sz val="12"/>
        <color theme="1"/>
        <rFont val="Segoe UI"/>
        <family val="2"/>
      </rPr>
      <t xml:space="preserve"> on Office 365</t>
    </r>
  </si>
  <si>
    <r>
      <rPr>
        <sz val="12"/>
        <color theme="1"/>
        <rFont val="Segoe UI"/>
        <family val="2"/>
      </rPr>
      <t xml:space="preserve">My institution does </t>
    </r>
    <r>
      <rPr>
        <i/>
        <u/>
        <sz val="12"/>
        <color theme="1"/>
        <rFont val="Segoe UI"/>
        <family val="2"/>
      </rPr>
      <t>not</t>
    </r>
    <r>
      <rPr>
        <sz val="12"/>
        <color theme="1"/>
        <rFont val="Segoe UI"/>
        <family val="2"/>
      </rPr>
      <t xml:space="preserve"> use the SSO Tool Kit, but will use federation with </t>
    </r>
    <r>
      <rPr>
        <i/>
        <sz val="12"/>
        <color theme="1"/>
        <rFont val="Segoe UI"/>
        <family val="2"/>
      </rPr>
      <t>Shibboleth with Active Directory</t>
    </r>
    <r>
      <rPr>
        <sz val="12"/>
        <color theme="1"/>
        <rFont val="Segoe UI"/>
        <family val="2"/>
      </rPr>
      <t xml:space="preserve"> on Office 365</t>
    </r>
  </si>
  <si>
    <r>
      <rPr>
        <b/>
        <sz val="12"/>
        <color theme="1"/>
        <rFont val="Segoe UI"/>
        <family val="2"/>
      </rPr>
      <t>My institution will move to the Directory Synchronisation tool, and currently syncs the on-premises directory to the cloud via:</t>
    </r>
  </si>
  <si>
    <r>
      <rPr>
        <sz val="12"/>
        <color theme="1"/>
        <rFont val="Segoe UI"/>
        <family val="2"/>
      </rPr>
      <t>OLSync</t>
    </r>
  </si>
  <si>
    <r>
      <rPr>
        <sz val="12"/>
        <color theme="1"/>
        <rFont val="Segoe UI"/>
        <family val="2"/>
      </rPr>
      <t>OLMA with Active Directory and customised code</t>
    </r>
  </si>
  <si>
    <r>
      <rPr>
        <sz val="12"/>
        <color theme="1"/>
        <rFont val="Segoe UI"/>
        <family val="2"/>
      </rPr>
      <t>Customised Windows PowerShell scripts and Active Directory</t>
    </r>
  </si>
  <si>
    <r>
      <rPr>
        <sz val="12"/>
        <color theme="1"/>
        <rFont val="Segoe UI"/>
        <family val="2"/>
      </rPr>
      <t>Windows Live Management Agent Plug–in (MAV3)</t>
    </r>
  </si>
  <si>
    <r>
      <rPr>
        <sz val="12"/>
        <color theme="1"/>
        <rFont val="Segoe UI"/>
        <family val="2"/>
      </rPr>
      <t>OLMA, without Active Directory, and customised code</t>
    </r>
  </si>
  <si>
    <r>
      <rPr>
        <sz val="12"/>
        <color theme="1"/>
        <rFont val="Segoe UI"/>
        <family val="2"/>
      </rPr>
      <t>Windows Live Admin Centre SDK</t>
    </r>
  </si>
  <si>
    <r>
      <rPr>
        <sz val="12"/>
        <color theme="1"/>
        <rFont val="Segoe UI"/>
        <family val="2"/>
      </rPr>
      <t>I use PowerShell to administer accounts in Exchange Online</t>
    </r>
  </si>
  <si>
    <r>
      <rPr>
        <sz val="12"/>
        <color theme="1"/>
        <rFont val="Segoe UI"/>
        <family val="2"/>
      </rPr>
      <t xml:space="preserve">My institution has </t>
    </r>
    <r>
      <rPr>
        <b/>
        <sz val="12"/>
        <color theme="1"/>
        <rFont val="Segoe UI"/>
        <family val="2"/>
      </rPr>
      <t xml:space="preserve">customised Exchange settings </t>
    </r>
    <r>
      <rPr>
        <sz val="12"/>
        <color theme="1"/>
        <rFont val="Segoe UI"/>
        <family val="2"/>
      </rPr>
      <t>(supervision and/or role assignment policies)</t>
    </r>
  </si>
  <si>
    <r>
      <rPr>
        <sz val="12"/>
        <color theme="1"/>
        <rFont val="Segoe UI"/>
        <family val="2"/>
      </rPr>
      <t>My users go to outlook.com to check emails</t>
    </r>
  </si>
  <si>
    <r>
      <rPr>
        <sz val="12"/>
        <color theme="1"/>
        <rFont val="Segoe UI"/>
        <family val="2"/>
      </rPr>
      <t>My institution uses the Password Change Notification Service (PCNS)</t>
    </r>
  </si>
  <si>
    <r>
      <rPr>
        <sz val="12"/>
        <color theme="1"/>
        <rFont val="Segoe UI"/>
        <family val="2"/>
      </rPr>
      <t>My institution</t>
    </r>
    <r>
      <rPr>
        <b/>
        <sz val="12"/>
        <color theme="1"/>
        <rFont val="Segoe UI"/>
        <family val="2"/>
      </rPr>
      <t xml:space="preserve"> currently uses SkyDrive and Messenger</t>
    </r>
    <r>
      <rPr>
        <sz val="12"/>
        <color theme="1"/>
        <rFont val="Segoe UI"/>
        <family val="2"/>
      </rPr>
      <t xml:space="preserve"> for classroom workflow</t>
    </r>
  </si>
  <si>
    <r>
      <rPr>
        <b/>
        <sz val="11"/>
        <color theme="0"/>
        <rFont val="Segoe UI"/>
        <family val="2"/>
      </rPr>
      <t>Due Date</t>
    </r>
  </si>
  <si>
    <r>
      <rPr>
        <b/>
        <sz val="11"/>
        <color theme="0"/>
        <rFont val="Segoe UI"/>
        <family val="2"/>
      </rPr>
      <t>Status</t>
    </r>
  </si>
  <si>
    <r>
      <rPr>
        <b/>
        <sz val="11"/>
        <color theme="0"/>
        <rFont val="Segoe UI"/>
        <family val="2"/>
      </rPr>
      <t>Owner</t>
    </r>
  </si>
  <si>
    <r>
      <rPr>
        <b/>
        <sz val="11"/>
        <color theme="0"/>
        <rFont val="Segoe UI"/>
        <family val="2"/>
      </rPr>
      <t>Task Description</t>
    </r>
  </si>
  <si>
    <r>
      <rPr>
        <b/>
        <sz val="11"/>
        <color theme="0"/>
        <rFont val="Segoe UI"/>
        <family val="2"/>
      </rPr>
      <t>More Information</t>
    </r>
  </si>
  <si>
    <r>
      <rPr>
        <u/>
        <sz val="10"/>
        <color rgb="FFFC4B00"/>
        <rFont val="Segoe UI"/>
        <family val="2"/>
      </rPr>
      <t>Learn more</t>
    </r>
  </si>
  <si>
    <r>
      <rPr>
        <u/>
        <sz val="10"/>
        <color rgb="FFFC4B00"/>
        <rFont val="Segoe UI"/>
        <family val="2"/>
      </rPr>
      <t>Learn more</t>
    </r>
  </si>
  <si>
    <r>
      <rPr>
        <u/>
        <sz val="10"/>
        <color rgb="FFFC4B00"/>
        <rFont val="Segoe UI"/>
        <family val="2"/>
      </rPr>
      <t>Learn more</t>
    </r>
  </si>
  <si>
    <r>
      <rPr>
        <u/>
        <sz val="10"/>
        <color rgb="FFFC4B00"/>
        <rFont val="Segoe UI"/>
        <family val="2"/>
      </rPr>
      <t>Learn more</t>
    </r>
  </si>
  <si>
    <r>
      <rPr>
        <sz val="10"/>
        <color theme="1"/>
        <rFont val="Segoe UI"/>
        <family val="2"/>
      </rPr>
      <t>Password Change Notification Service (PCNS), an add-on for OLSync, is not supported in Office 365. If you want a single password, we recommend using single sign-on.</t>
    </r>
  </si>
  <si>
    <r>
      <rPr>
        <u/>
        <sz val="10"/>
        <color rgb="FFFC4B00"/>
        <rFont val="Segoe UI"/>
        <family val="2"/>
      </rPr>
      <t>Learn more</t>
    </r>
  </si>
  <si>
    <r>
      <rPr>
        <u/>
        <sz val="10"/>
        <color rgb="FFFC4B00"/>
        <rFont val="Segoe UI"/>
        <family val="2"/>
      </rPr>
      <t>Learn more</t>
    </r>
  </si>
  <si>
    <r>
      <rPr>
        <b/>
        <sz val="11"/>
        <color theme="1"/>
        <rFont val="Segoe UI"/>
        <family val="2"/>
      </rPr>
      <t>T Minus 4 Weeks from Launch</t>
    </r>
  </si>
  <si>
    <r>
      <rPr>
        <b/>
        <sz val="11"/>
        <color theme="1"/>
        <rFont val="Segoe UI"/>
        <family val="2"/>
      </rPr>
      <t>Week of</t>
    </r>
  </si>
  <si>
    <r>
      <rPr>
        <sz val="11"/>
        <color theme="1"/>
        <rFont val="Segoe UI"/>
        <family val="2"/>
      </rPr>
      <t>`</t>
    </r>
  </si>
  <si>
    <r>
      <rPr>
        <u/>
        <sz val="10"/>
        <color rgb="FFFC4B00"/>
        <rFont val="Segoe UI"/>
        <family val="2"/>
      </rPr>
      <t>Office 365 software requirements</t>
    </r>
  </si>
  <si>
    <r>
      <rPr>
        <u/>
        <sz val="10"/>
        <color rgb="FFFC4B00"/>
        <rFont val="Segoe UI"/>
        <family val="2"/>
      </rPr>
      <t>Sample communications and resources can be found in the Upgrade End-user Kit</t>
    </r>
  </si>
  <si>
    <r>
      <rPr>
        <u/>
        <sz val="10"/>
        <color rgb="FFFC4B00"/>
        <rFont val="Segoe UI"/>
        <family val="2"/>
      </rPr>
      <t>Learn more</t>
    </r>
  </si>
  <si>
    <r>
      <rPr>
        <u/>
        <sz val="10"/>
        <color rgb="FFFC4B00"/>
        <rFont val="Segoe UI"/>
        <family val="2"/>
      </rPr>
      <t>Learn more</t>
    </r>
  </si>
  <si>
    <r>
      <rPr>
        <sz val="10"/>
        <color theme="1"/>
        <rFont val="Segoe UI"/>
        <family val="2"/>
      </rPr>
      <t>Follow the 'before the upgrade' steps for setting up Shibboleth federation for Office 365.</t>
    </r>
  </si>
  <si>
    <r>
      <rPr>
        <u/>
        <sz val="10"/>
        <color rgb="FFFC4B00"/>
        <rFont val="Segoe UI"/>
        <family val="2"/>
      </rPr>
      <t>Learn more</t>
    </r>
  </si>
  <si>
    <r>
      <rPr>
        <u/>
        <sz val="10"/>
        <color rgb="FFFC4B00"/>
        <rFont val="Segoe UI"/>
        <family val="2"/>
      </rPr>
      <t>Learn more</t>
    </r>
  </si>
  <si>
    <r>
      <rPr>
        <sz val="10"/>
        <color theme="1"/>
        <rFont val="Segoe UI"/>
        <family val="2"/>
      </rPr>
      <t>If you provision by using Windows PowerShell, review the changes in Windows PowerShell.</t>
    </r>
  </si>
  <si>
    <r>
      <rPr>
        <u/>
        <sz val="10"/>
        <color rgb="FFFC4B00"/>
        <rFont val="Segoe UI"/>
        <family val="2"/>
      </rPr>
      <t>Learn more</t>
    </r>
  </si>
  <si>
    <r>
      <rPr>
        <b/>
        <sz val="11"/>
        <color theme="1"/>
        <rFont val="Segoe UI"/>
        <family val="2"/>
      </rPr>
      <t>T Minus 3 Weeks from Launch</t>
    </r>
  </si>
  <si>
    <r>
      <rPr>
        <b/>
        <sz val="11"/>
        <color theme="1"/>
        <rFont val="Segoe UI"/>
        <family val="2"/>
      </rPr>
      <t>Week of</t>
    </r>
  </si>
  <si>
    <r>
      <rPr>
        <b/>
        <sz val="11"/>
        <color theme="1"/>
        <rFont val="Segoe UI"/>
        <family val="2"/>
      </rPr>
      <t>T Minus 2 Weeks from Launch</t>
    </r>
  </si>
  <si>
    <r>
      <rPr>
        <b/>
        <sz val="11"/>
        <color theme="1"/>
        <rFont val="Segoe UI"/>
        <family val="2"/>
      </rPr>
      <t>Week of</t>
    </r>
  </si>
  <si>
    <r>
      <rPr>
        <b/>
        <sz val="11"/>
        <color theme="1"/>
        <rFont val="Segoe UI"/>
        <family val="2"/>
      </rPr>
      <t>Week of</t>
    </r>
  </si>
  <si>
    <r>
      <rPr>
        <u/>
        <sz val="10"/>
        <color rgb="FFFC4B00"/>
        <rFont val="Segoe UI"/>
        <family val="2"/>
      </rPr>
      <t>Sample communications and resources can be found in the Upgrade End-user Kit</t>
    </r>
  </si>
  <si>
    <r>
      <rPr>
        <u/>
        <sz val="10"/>
        <color rgb="FFFC4B00"/>
        <rFont val="Segoe UI"/>
        <family val="2"/>
      </rPr>
      <t>Learn more</t>
    </r>
  </si>
  <si>
    <r>
      <rPr>
        <u/>
        <sz val="10"/>
        <color rgb="FFFC4B00"/>
        <rFont val="Segoe UI"/>
        <family val="2"/>
      </rPr>
      <t>Learn more</t>
    </r>
  </si>
  <si>
    <r>
      <rPr>
        <u/>
        <sz val="10"/>
        <color rgb="FFFC4B00"/>
        <rFont val="Segoe UI"/>
        <family val="2"/>
      </rPr>
      <t>Learn more</t>
    </r>
  </si>
  <si>
    <r>
      <rPr>
        <b/>
        <sz val="11"/>
        <color theme="0"/>
        <rFont val="Segoe UI"/>
        <family val="2"/>
      </rPr>
      <t>LAUNCH</t>
    </r>
  </si>
  <si>
    <r>
      <rPr>
        <u/>
        <sz val="10"/>
        <color rgb="FFFC4B00"/>
        <rFont val="Segoe UI"/>
        <family val="2"/>
      </rPr>
      <t>Learn more</t>
    </r>
  </si>
  <si>
    <r>
      <rPr>
        <sz val="10"/>
        <color theme="1"/>
        <rFont val="Segoe UI"/>
        <family val="2"/>
      </rPr>
      <t xml:space="preserve">
</t>
    </r>
    <r>
      <rPr>
        <sz val="10"/>
        <color theme="1"/>
        <rFont val="Segoe UI"/>
        <family val="2"/>
      </rPr>
      <t>Start the upgrade and monitor the status of the upgrade.</t>
    </r>
  </si>
  <si>
    <r>
      <rPr>
        <u/>
        <sz val="10"/>
        <color rgb="FFFC4B00"/>
        <rFont val="Segoe UI"/>
        <family val="2"/>
      </rPr>
      <t>Learn more</t>
    </r>
  </si>
  <si>
    <r>
      <rPr>
        <u/>
        <sz val="10"/>
        <color rgb="FFFC4B00"/>
        <rFont val="Segoe UI"/>
        <family val="2"/>
      </rPr>
      <t>Learn more</t>
    </r>
  </si>
  <si>
    <r>
      <rPr>
        <u/>
        <sz val="10"/>
        <color rgb="FFFC4B00"/>
        <rFont val="Segoe UI"/>
        <family val="2"/>
      </rPr>
      <t>Sample communications and resources can be found in the Upgrade End-user Kit</t>
    </r>
  </si>
  <si>
    <r>
      <rPr>
        <u/>
        <sz val="10"/>
        <color rgb="FFFC4B00"/>
        <rFont val="Segoe UI"/>
        <family val="2"/>
      </rPr>
      <t>Learn more</t>
    </r>
  </si>
  <si>
    <r>
      <rPr>
        <u/>
        <sz val="10"/>
        <color rgb="FFFC4B00"/>
        <rFont val="Segoe UI"/>
        <family val="2"/>
      </rPr>
      <t>Learn more</t>
    </r>
  </si>
  <si>
    <r>
      <rPr>
        <b/>
        <sz val="11"/>
        <color theme="0"/>
        <rFont val="Segoe UI"/>
        <family val="2"/>
      </rPr>
      <t>POST UPGRADE</t>
    </r>
  </si>
  <si>
    <r>
      <rPr>
        <b/>
        <sz val="11"/>
        <color theme="0"/>
        <rFont val="Segoe UI"/>
        <family val="2"/>
      </rPr>
      <t>When Upgrade is Complete</t>
    </r>
  </si>
  <si>
    <r>
      <rPr>
        <u/>
        <sz val="10"/>
        <color rgb="FFFC4B00"/>
        <rFont val="Segoe UI"/>
        <family val="2"/>
      </rPr>
      <t>Learn more</t>
    </r>
  </si>
  <si>
    <r>
      <rPr>
        <sz val="10"/>
        <color theme="1"/>
        <rFont val="Segoe UI"/>
        <family val="2"/>
      </rPr>
      <t>Activate directory synchronisation in Office 365.</t>
    </r>
  </si>
  <si>
    <r>
      <rPr>
        <u/>
        <sz val="10"/>
        <color rgb="FFFC4B00"/>
        <rFont val="Segoe UI"/>
        <family val="2"/>
      </rPr>
      <t>Learn more</t>
    </r>
  </si>
  <si>
    <r>
      <rPr>
        <sz val="10"/>
        <color theme="1"/>
        <rFont val="Segoe UI"/>
        <family val="2"/>
      </rPr>
      <t>Disable OLMA on the Service Management Portal (SMP)</t>
    </r>
  </si>
  <si>
    <r>
      <rPr>
        <u/>
        <sz val="10"/>
        <color rgb="FFFC4B00"/>
        <rFont val="Segoe UI"/>
        <family val="2"/>
      </rPr>
      <t>Learn More</t>
    </r>
  </si>
  <si>
    <r>
      <rPr>
        <u/>
        <sz val="10"/>
        <color rgb="FFFC4B00"/>
        <rFont val="Segoe UI"/>
        <family val="2"/>
      </rPr>
      <t>Learn more</t>
    </r>
  </si>
  <si>
    <r>
      <rPr>
        <sz val="10"/>
        <color theme="1"/>
        <rFont val="Segoe UI"/>
        <family val="2"/>
      </rPr>
      <t>Download and run a one-off directory preparation tool.</t>
    </r>
  </si>
  <si>
    <r>
      <rPr>
        <u/>
        <sz val="10"/>
        <color rgb="FFFC4B00"/>
        <rFont val="Segoe UI"/>
        <family val="2"/>
      </rPr>
      <t>Learn more</t>
    </r>
  </si>
  <si>
    <r>
      <rPr>
        <sz val="10"/>
        <color theme="1"/>
        <rFont val="Segoe UI"/>
        <family val="2"/>
      </rPr>
      <t>Install the directory synchronisation tool.</t>
    </r>
  </si>
  <si>
    <r>
      <rPr>
        <u/>
        <sz val="10"/>
        <color rgb="FFFC4B00"/>
        <rFont val="Segoe UI"/>
        <family val="2"/>
      </rPr>
      <t>Learn more</t>
    </r>
  </si>
  <si>
    <r>
      <rPr>
        <sz val="10"/>
        <color theme="1"/>
        <rFont val="Segoe UI"/>
        <family val="2"/>
      </rPr>
      <t>Synchronise your directories.</t>
    </r>
  </si>
  <si>
    <r>
      <rPr>
        <u/>
        <sz val="10"/>
        <color rgb="FFFC4B00"/>
        <rFont val="Segoe UI"/>
        <family val="2"/>
      </rPr>
      <t>Learn more</t>
    </r>
  </si>
  <si>
    <r>
      <rPr>
        <sz val="10"/>
        <color theme="1"/>
        <rFont val="Segoe UI"/>
        <family val="2"/>
      </rPr>
      <t>Activate directory synchronisation in Office 365.</t>
    </r>
  </si>
  <si>
    <r>
      <rPr>
        <u/>
        <sz val="10"/>
        <color rgb="FFFC4B00"/>
        <rFont val="Segoe UI"/>
        <family val="2"/>
      </rPr>
      <t>Learn more</t>
    </r>
  </si>
  <si>
    <r>
      <rPr>
        <u/>
        <sz val="10"/>
        <color rgb="FFFC4B00"/>
        <rFont val="Segoe UI"/>
        <family val="2"/>
      </rPr>
      <t>Learn More</t>
    </r>
  </si>
  <si>
    <r>
      <rPr>
        <u/>
        <sz val="10"/>
        <color rgb="FFFC4B00"/>
        <rFont val="Segoe UI"/>
        <family val="2"/>
      </rPr>
      <t>Learn More</t>
    </r>
  </si>
  <si>
    <r>
      <rPr>
        <sz val="10"/>
        <color theme="1"/>
        <rFont val="Segoe UI"/>
        <family val="2"/>
      </rPr>
      <t>Download and run a one-off directory preparation tool.</t>
    </r>
  </si>
  <si>
    <r>
      <rPr>
        <u/>
        <sz val="10"/>
        <color rgb="FFFC4B00"/>
        <rFont val="Segoe UI"/>
        <family val="2"/>
      </rPr>
      <t>Learn more</t>
    </r>
  </si>
  <si>
    <r>
      <rPr>
        <sz val="10"/>
        <color theme="1"/>
        <rFont val="Segoe UI"/>
        <family val="2"/>
      </rPr>
      <t xml:space="preserve">Follow the 'after the upgrade' steps for setting up AD FS 2.0 Federation with Office 365. </t>
    </r>
  </si>
  <si>
    <r>
      <rPr>
        <u/>
        <sz val="10"/>
        <color rgb="FFFC4B00"/>
        <rFont val="Segoe UI"/>
        <family val="2"/>
      </rPr>
      <t>Learn more</t>
    </r>
  </si>
  <si>
    <r>
      <rPr>
        <u/>
        <sz val="10"/>
        <color rgb="FFFC4B00"/>
        <rFont val="Segoe UI"/>
        <family val="2"/>
      </rPr>
      <t>Learn more</t>
    </r>
  </si>
  <si>
    <r>
      <rPr>
        <sz val="10"/>
        <color theme="1"/>
        <rFont val="Segoe UI"/>
        <family val="2"/>
      </rPr>
      <t>Install the directory synchronisation tool.</t>
    </r>
  </si>
  <si>
    <r>
      <rPr>
        <u/>
        <sz val="10"/>
        <color rgb="FFFC4B00"/>
        <rFont val="Segoe UI"/>
        <family val="2"/>
      </rPr>
      <t>Learn more</t>
    </r>
  </si>
  <si>
    <r>
      <rPr>
        <sz val="10"/>
        <color theme="1"/>
        <rFont val="Segoe UI"/>
        <family val="2"/>
      </rPr>
      <t>Synchronise your directories.</t>
    </r>
  </si>
  <si>
    <r>
      <rPr>
        <u/>
        <sz val="10"/>
        <color rgb="FFFC4B00"/>
        <rFont val="Segoe UI"/>
        <family val="2"/>
      </rPr>
      <t>Learn more</t>
    </r>
  </si>
  <si>
    <r>
      <rPr>
        <sz val="10"/>
        <color theme="1"/>
        <rFont val="Segoe UI"/>
        <family val="2"/>
      </rPr>
      <t>Activate directory synchronisation in Office 365.</t>
    </r>
  </si>
  <si>
    <r>
      <rPr>
        <u/>
        <sz val="10"/>
        <color rgb="FFFC4B00"/>
        <rFont val="Segoe UI"/>
        <family val="2"/>
      </rPr>
      <t>Learn more</t>
    </r>
  </si>
  <si>
    <r>
      <rPr>
        <sz val="10"/>
        <color theme="1"/>
        <rFont val="Segoe UI"/>
        <family val="2"/>
      </rPr>
      <t>Download and run a one-off directory preparation tool.</t>
    </r>
  </si>
  <si>
    <r>
      <rPr>
        <u/>
        <sz val="10"/>
        <color rgb="FFFC4B00"/>
        <rFont val="Segoe UI"/>
        <family val="2"/>
      </rPr>
      <t>Learn more</t>
    </r>
  </si>
  <si>
    <r>
      <rPr>
        <sz val="10"/>
        <color theme="1"/>
        <rFont val="Segoe UI"/>
        <family val="2"/>
      </rPr>
      <t>Install the directory synchronisation tool.</t>
    </r>
  </si>
  <si>
    <r>
      <rPr>
        <u/>
        <sz val="10"/>
        <color rgb="FFFC4B00"/>
        <rFont val="Segoe UI"/>
        <family val="2"/>
      </rPr>
      <t>Learn more</t>
    </r>
  </si>
  <si>
    <r>
      <rPr>
        <sz val="10"/>
        <color theme="1"/>
        <rFont val="Segoe UI"/>
        <family val="2"/>
      </rPr>
      <t>Synchronise your directories.</t>
    </r>
  </si>
  <si>
    <r>
      <rPr>
        <u/>
        <sz val="10"/>
        <color rgb="FFFC4B00"/>
        <rFont val="Segoe UI"/>
        <family val="2"/>
      </rPr>
      <t>Learn more</t>
    </r>
  </si>
  <si>
    <r>
      <rPr>
        <sz val="10"/>
        <color theme="1"/>
        <rFont val="Segoe UI"/>
        <family val="2"/>
      </rPr>
      <t>Activate directory synchronisation in Office 365.</t>
    </r>
  </si>
  <si>
    <r>
      <rPr>
        <u/>
        <sz val="10"/>
        <color rgb="FFFC4B00"/>
        <rFont val="Segoe UI"/>
        <family val="2"/>
      </rPr>
      <t>Learn more</t>
    </r>
  </si>
  <si>
    <r>
      <rPr>
        <sz val="10"/>
        <color theme="1"/>
        <rFont val="Segoe UI"/>
        <family val="2"/>
      </rPr>
      <t>Download and run a one-off directory preparation tool.</t>
    </r>
  </si>
  <si>
    <r>
      <rPr>
        <u/>
        <sz val="10"/>
        <color rgb="FFFC4B00"/>
        <rFont val="Segoe UI"/>
        <family val="2"/>
      </rPr>
      <t>Learn more</t>
    </r>
  </si>
  <si>
    <r>
      <rPr>
        <sz val="10"/>
        <color theme="1"/>
        <rFont val="Segoe UI"/>
        <family val="2"/>
      </rPr>
      <t>Install the directory synchronisation tool.</t>
    </r>
  </si>
  <si>
    <r>
      <rPr>
        <u/>
        <sz val="10"/>
        <color rgb="FFFC4B00"/>
        <rFont val="Segoe UI"/>
        <family val="2"/>
      </rPr>
      <t>Learn more</t>
    </r>
  </si>
  <si>
    <r>
      <rPr>
        <sz val="10"/>
        <color theme="1"/>
        <rFont val="Segoe UI"/>
        <family val="2"/>
      </rPr>
      <t>Synchronise your directories.</t>
    </r>
  </si>
  <si>
    <r>
      <rPr>
        <u/>
        <sz val="10"/>
        <color rgb="FFFC4B00"/>
        <rFont val="Segoe UI"/>
        <family val="2"/>
      </rPr>
      <t>Learn more</t>
    </r>
  </si>
  <si>
    <r>
      <rPr>
        <u/>
        <sz val="10"/>
        <color rgb="FFFC4B00"/>
        <rFont val="Segoe UI"/>
        <family val="2"/>
      </rPr>
      <t>Learn more</t>
    </r>
  </si>
  <si>
    <r>
      <rPr>
        <u/>
        <sz val="10"/>
        <color rgb="FFFC4B00"/>
        <rFont val="Segoe UI"/>
        <family val="2"/>
      </rPr>
      <t>Learn more</t>
    </r>
  </si>
  <si>
    <r>
      <rPr>
        <sz val="10"/>
        <color theme="1"/>
        <rFont val="Segoe UI"/>
        <family val="2"/>
      </rPr>
      <t>Complete any Exchange Online tasks that you identified before the upgrade.</t>
    </r>
  </si>
  <si>
    <r>
      <rPr>
        <u/>
        <sz val="10"/>
        <color rgb="FFFC4B00"/>
        <rFont val="Segoe UI"/>
        <family val="2"/>
      </rPr>
      <t>Learn more</t>
    </r>
  </si>
  <si>
    <r>
      <rPr>
        <u/>
        <sz val="10"/>
        <color rgb="FFFC4B00"/>
        <rFont val="Segoe UI"/>
        <family val="2"/>
      </rPr>
      <t>Learn more</t>
    </r>
  </si>
  <si>
    <r>
      <rPr>
        <u/>
        <sz val="10"/>
        <color rgb="FFFC4B00"/>
        <rFont val="Segoe UI"/>
        <family val="2"/>
      </rPr>
      <t>Sample communications and resources can be found in the Upgrade End-user Kit</t>
    </r>
  </si>
  <si>
    <r>
      <rPr>
        <u/>
        <sz val="10"/>
        <color rgb="FFFC4B00"/>
        <rFont val="Segoe UI"/>
        <family val="2"/>
      </rPr>
      <t>Learn more</t>
    </r>
  </si>
  <si>
    <r>
      <rPr>
        <u/>
        <sz val="10"/>
        <color rgb="FFFC4B00"/>
        <rFont val="Segoe UI"/>
        <family val="2"/>
      </rPr>
      <t>Learn more</t>
    </r>
  </si>
  <si>
    <r>
      <rPr>
        <u/>
        <sz val="10"/>
        <color rgb="FFFC4B00"/>
        <rFont val="Segoe UI"/>
        <family val="2"/>
      </rPr>
      <t>Learn more</t>
    </r>
  </si>
  <si>
    <r>
      <rPr>
        <u/>
        <sz val="10"/>
        <color rgb="FFFC4B00"/>
        <rFont val="Segoe UI"/>
        <family val="2"/>
      </rPr>
      <t>Learn more</t>
    </r>
  </si>
  <si>
    <r>
      <rPr>
        <u/>
        <sz val="10"/>
        <color rgb="FFFC4B00"/>
        <rFont val="Segoe UI"/>
        <family val="2"/>
      </rPr>
      <t>Learn more</t>
    </r>
  </si>
  <si>
    <t>Legend</t>
  </si>
  <si>
    <t>In Process</t>
  </si>
  <si>
    <t>Complete</t>
  </si>
  <si>
    <t>Name</t>
  </si>
  <si>
    <t>Check Box Status</t>
  </si>
  <si>
    <t>Formula</t>
  </si>
  <si>
    <t>N/A</t>
  </si>
  <si>
    <t>All</t>
  </si>
  <si>
    <t>AD FS</t>
  </si>
  <si>
    <t>Shibboleth</t>
  </si>
  <si>
    <t>Add Federation</t>
  </si>
  <si>
    <t>Add Shibboleth</t>
  </si>
  <si>
    <t>OLSync</t>
  </si>
  <si>
    <t>OLMA_</t>
  </si>
  <si>
    <t>PowerShell_</t>
  </si>
  <si>
    <t>MAV3</t>
  </si>
  <si>
    <t>OLMA w/o AD</t>
  </si>
  <si>
    <t>WL SDK</t>
  </si>
  <si>
    <t>PowerShell admin</t>
  </si>
  <si>
    <t>Custom Exchange settings</t>
  </si>
  <si>
    <t>Use outlook.com</t>
  </si>
  <si>
    <t>PCNS</t>
  </si>
  <si>
    <t>Classroom workflow</t>
  </si>
  <si>
    <t>Scenario</t>
  </si>
  <si>
    <t>All</t>
  </si>
  <si>
    <t>All</t>
  </si>
  <si>
    <t>All</t>
  </si>
  <si>
    <t>All</t>
  </si>
  <si>
    <t>PCNS</t>
  </si>
  <si>
    <t>Use outlook.com</t>
  </si>
  <si>
    <t>All</t>
  </si>
  <si>
    <t>All</t>
  </si>
  <si>
    <t>[AD FS] [Shibboleth]</t>
  </si>
  <si>
    <t>[AD FS] [Add Federation]</t>
  </si>
  <si>
    <t>[Shibboleth]</t>
  </si>
  <si>
    <t>[OLSync] [OLMA_] [PowerShell_] [MAV3] [OLMA w/o AD] [WL SDK]</t>
  </si>
  <si>
    <t>Row 55 before changes</t>
  </si>
  <si>
    <t>[PowerShell Admin]</t>
  </si>
  <si>
    <t>[Classroom workflow]</t>
  </si>
  <si>
    <t>All</t>
  </si>
  <si>
    <t>All</t>
  </si>
  <si>
    <t>[Custom Exchange settings]</t>
  </si>
  <si>
    <t>[OLSync] [OLMA_] [PowerShell_] [MAV3] [WL SDK]</t>
  </si>
  <si>
    <t>Row 68 before changes</t>
  </si>
  <si>
    <t>[AD FS] [Shibboleth] [Add Federation] [Add Shibboleth]</t>
  </si>
  <si>
    <t>[MAV3]</t>
  </si>
  <si>
    <t>All</t>
  </si>
  <si>
    <t>All</t>
  </si>
  <si>
    <t>All</t>
  </si>
  <si>
    <t>All</t>
  </si>
  <si>
    <t>All</t>
  </si>
  <si>
    <t>[OLSync] [OLMA_] [PowerShell_] [MAV3]</t>
  </si>
  <si>
    <t>[OLSync]</t>
  </si>
  <si>
    <t>[OLSync]</t>
  </si>
  <si>
    <t>[OLSync]</t>
  </si>
  <si>
    <t>[OLSync]</t>
  </si>
  <si>
    <t>[OLSync]</t>
  </si>
  <si>
    <t>[OLSync]</t>
  </si>
  <si>
    <t>[OLMA_]</t>
  </si>
  <si>
    <t>[OLMA_]</t>
  </si>
  <si>
    <t>[OLMA_]</t>
  </si>
  <si>
    <t>[OLMA_]</t>
  </si>
  <si>
    <t>Row 93 before changes</t>
  </si>
  <si>
    <t>[AD FS] [Add Federation]</t>
  </si>
  <si>
    <t>Row 80 before changes</t>
  </si>
  <si>
    <t>[Shibboleth]</t>
  </si>
  <si>
    <t>Row 81 before changes</t>
  </si>
  <si>
    <t>[OLMA_]</t>
  </si>
  <si>
    <t>[OLMA_]</t>
  </si>
  <si>
    <t>[PowerShell_]</t>
  </si>
  <si>
    <t>[PowerShell_]</t>
  </si>
  <si>
    <t>[PowerShell_]</t>
  </si>
  <si>
    <t>[PowerShell_]</t>
  </si>
  <si>
    <t>[MAV3]</t>
  </si>
  <si>
    <t>[MAV3]</t>
  </si>
  <si>
    <t>[MAV3]</t>
  </si>
  <si>
    <t>[MAV3]</t>
  </si>
  <si>
    <t>[OLMA w/o AD]</t>
  </si>
  <si>
    <t>[PowerShell admin]</t>
  </si>
  <si>
    <t>[Custom Exchange settings]</t>
  </si>
  <si>
    <t>All</t>
  </si>
  <si>
    <t>All</t>
  </si>
  <si>
    <t>All</t>
  </si>
  <si>
    <t>All</t>
  </si>
  <si>
    <t>All</t>
  </si>
  <si>
    <t>All</t>
  </si>
  <si>
    <t>All</t>
  </si>
  <si>
    <t>&lt;DD/MM/YY&gt;</t>
  </si>
  <si>
    <r>
      <t>This planning worksheet was designed as a guide to help you determine the appropriate tasks and timing for the Live@edu to Office 365 upgrade. We have provided a recommended four-week plan for you to use as a starting point to developing your timeline. However, because every Live@edu deployment &amp; environment is different, you should also consider any unique scenarios for your institution when building and finalising your upgrade plan. Starting earlier than four weeks before is recommended.</t>
    </r>
    <r>
      <rPr>
        <sz val="12"/>
        <color theme="1"/>
        <rFont val="Segoe UI"/>
        <family val="2"/>
      </rPr>
      <t xml:space="preserve">
</t>
    </r>
    <r>
      <rPr>
        <sz val="12"/>
        <color theme="1"/>
        <rFont val="Segoe UI"/>
        <family val="2"/>
      </rPr>
      <t xml:space="preserve">
</t>
    </r>
    <r>
      <rPr>
        <sz val="14"/>
        <color theme="1"/>
        <rFont val="Segoe UI"/>
        <family val="2"/>
      </rPr>
      <t>To get started:</t>
    </r>
    <r>
      <rPr>
        <sz val="12"/>
        <color theme="1"/>
        <rFont val="Segoe UI"/>
        <family val="2"/>
      </rPr>
      <t xml:space="preserve">
</t>
    </r>
    <r>
      <rPr>
        <b/>
        <sz val="12"/>
        <color theme="1"/>
        <rFont val="Segoe UI"/>
        <family val="2"/>
      </rPr>
      <t>1)</t>
    </r>
    <r>
      <rPr>
        <sz val="12"/>
        <color theme="1"/>
        <rFont val="Segoe UI"/>
        <family val="2"/>
      </rPr>
      <t xml:space="preserve"> Click the</t>
    </r>
    <r>
      <rPr>
        <b/>
        <sz val="12"/>
        <color rgb="FFFEA500"/>
        <rFont val="Segoe UI"/>
        <family val="2"/>
      </rPr>
      <t xml:space="preserve"> 4-week plan</t>
    </r>
    <r>
      <rPr>
        <sz val="12"/>
        <color theme="1"/>
        <rFont val="Segoe UI"/>
        <family val="2"/>
      </rPr>
      <t xml:space="preserve"> tab at the bottom of this worksheet.</t>
    </r>
    <r>
      <rPr>
        <sz val="12"/>
        <color theme="1"/>
        <rFont val="Segoe UI"/>
        <family val="2"/>
      </rPr>
      <t xml:space="preserve">
</t>
    </r>
    <r>
      <rPr>
        <b/>
        <sz val="12"/>
        <color theme="1"/>
        <rFont val="Segoe UI"/>
        <family val="2"/>
      </rPr>
      <t>2)</t>
    </r>
    <r>
      <rPr>
        <sz val="12"/>
        <color theme="1"/>
        <rFont val="Segoe UI"/>
        <family val="2"/>
      </rPr>
      <t xml:space="preserve"> Under </t>
    </r>
    <r>
      <rPr>
        <b/>
        <sz val="12"/>
        <color rgb="FFFEA500"/>
        <rFont val="Segoe UI"/>
        <family val="2"/>
      </rPr>
      <t xml:space="preserve">Upgrade Date, </t>
    </r>
    <r>
      <rPr>
        <sz val="12"/>
        <color theme="1"/>
        <rFont val="Segoe UI"/>
        <family val="2"/>
      </rPr>
      <t>enter the date your institution would like to begin the upgrade to Office 365 for education.</t>
    </r>
    <r>
      <rPr>
        <sz val="12"/>
        <color theme="1"/>
        <rFont val="Segoe UI"/>
        <family val="2"/>
      </rPr>
      <t xml:space="preserve">
</t>
    </r>
    <r>
      <rPr>
        <b/>
        <sz val="12"/>
        <color theme="1"/>
        <rFont val="Segoe UI"/>
        <family val="2"/>
      </rPr>
      <t>3)</t>
    </r>
    <r>
      <rPr>
        <b/>
        <sz val="12"/>
        <color rgb="FFFEA500"/>
        <rFont val="Segoe UI"/>
        <family val="2"/>
      </rPr>
      <t xml:space="preserve"> Select</t>
    </r>
    <r>
      <rPr>
        <sz val="12"/>
        <color theme="1"/>
        <rFont val="Segoe UI"/>
        <family val="2"/>
      </rPr>
      <t xml:space="preserve"> the scenarios that apply to Live@edu deployment at your institution.  Remember, not all scenarios will be applicable to your deployment.</t>
    </r>
    <r>
      <rPr>
        <sz val="12"/>
        <color theme="1"/>
        <rFont val="Segoe UI"/>
        <family val="2"/>
      </rPr>
      <t xml:space="preserve">
</t>
    </r>
    <r>
      <rPr>
        <b/>
        <sz val="12"/>
        <color theme="1"/>
        <rFont val="Segoe UI"/>
        <family val="2"/>
      </rPr>
      <t>4)</t>
    </r>
    <r>
      <rPr>
        <sz val="12"/>
        <color theme="1"/>
        <rFont val="Segoe UI"/>
        <family val="2"/>
      </rPr>
      <t xml:space="preserve"> Scroll down to review your recommended tasks and timeline. Based on your selections, the tasks you need to complete will vary. Any task that </t>
    </r>
    <r>
      <rPr>
        <i/>
        <u/>
        <sz val="12"/>
        <color theme="1"/>
        <rFont val="Segoe UI"/>
        <family val="2"/>
      </rPr>
      <t>does not</t>
    </r>
    <r>
      <rPr>
        <sz val="12"/>
        <color theme="1"/>
        <rFont val="Segoe UI"/>
        <family val="2"/>
      </rPr>
      <t xml:space="preserve"> apply to your deployment will be in grey.</t>
    </r>
    <r>
      <rPr>
        <sz val="12"/>
        <color theme="1"/>
        <rFont val="Segoe UI"/>
        <family val="2"/>
      </rPr>
      <t xml:space="preserve">
</t>
    </r>
    <r>
      <rPr>
        <sz val="12"/>
        <color theme="1"/>
        <rFont val="Segoe UI"/>
        <family val="2"/>
      </rPr>
      <t xml:space="preserve">
</t>
    </r>
    <r>
      <rPr>
        <b/>
        <i/>
        <sz val="12"/>
        <color theme="1"/>
        <rFont val="Segoe UI"/>
        <family val="2"/>
      </rPr>
      <t>Please note:</t>
    </r>
    <r>
      <rPr>
        <sz val="12"/>
        <color theme="1"/>
        <rFont val="Segoe UI"/>
        <family val="2"/>
      </rPr>
      <t>This planning worksheet is designed to serve as guide for you to develop your own timeline and may not include all the key dates, milestones, activities and tasks that should be addressed for a successful upgrade at your institution. Make sure that you use this worksheet in tandem with Live@edu Upgrade Help and the Live@edu upgrade centre.</t>
    </r>
    <r>
      <rPr>
        <sz val="12"/>
        <color theme="1"/>
        <rFont val="Segoe UI"/>
        <family val="2"/>
      </rPr>
      <t xml:space="preserve">
</t>
    </r>
  </si>
  <si>
    <t>Prepare for changes to Provisioning. Review your system requirements and use the guide to help prepare for the upgrade. In some cases, you may need to update customised code to support provisioning on Office 365 for education.</t>
  </si>
  <si>
    <t>Work with your faculty to determine how SharePoint and Lync can be integrated into the classroom. Setting up an Office 365 trial account can help you test how your institution will use SharePoint and Lync.</t>
  </si>
  <si>
    <t>T Minus 1 Week from Launch</t>
  </si>
  <si>
    <t xml:space="preserve">UPGRADE DEPLOYED: Office 365 for education </t>
  </si>
  <si>
    <t>Stop MAv3 from synchronising. Uninstall MAv3 and all components of Identity Lifecycle Manager (ILM) 2007 if you plan to install the Directory Synchronisation tool on the same server.</t>
  </si>
  <si>
    <t xml:space="preserve">POST UPGRADE: Office 365 for education </t>
  </si>
  <si>
    <r>
      <rPr>
        <sz val="14"/>
        <color theme="1"/>
        <rFont val="Segoe UI"/>
        <family val="2"/>
      </rPr>
      <t xml:space="preserve">You can always find detailed information on how to plan and manage your upgrade to Office 365 for education at </t>
    </r>
    <r>
      <rPr>
        <u/>
        <sz val="14"/>
        <color rgb="FFFC4B00"/>
        <rFont val="Segoe UI"/>
        <family val="2"/>
      </rPr>
      <t>Upgrade Help</t>
    </r>
  </si>
  <si>
    <r>
      <t>Communicate with users about the upgrade:</t>
    </r>
    <r>
      <rPr>
        <sz val="10"/>
        <color theme="1"/>
        <rFont val="Segoe UI"/>
        <family val="2"/>
      </rPr>
      <t xml:space="preserve">
</t>
    </r>
    <r>
      <rPr>
        <sz val="10"/>
        <color theme="1"/>
        <rFont val="Segoe UI"/>
        <family val="2"/>
      </rPr>
      <t xml:space="preserve">  * Ensure that access to emails is http://outlook.com/&lt;domain&gt;</t>
    </r>
    <r>
      <rPr>
        <sz val="10"/>
        <color theme="1"/>
        <rFont val="Segoe UI"/>
        <family val="2"/>
      </rPr>
      <t xml:space="preserve">
</t>
    </r>
    <r>
      <rPr>
        <sz val="10"/>
        <color theme="1"/>
        <rFont val="Segoe UI"/>
        <family val="2"/>
      </rPr>
      <t xml:space="preserve">  * Users have two accounts &amp; portal changes</t>
    </r>
  </si>
  <si>
    <t>Learn more</t>
  </si>
  <si>
    <t>Sample communications and resources can be found in the Upgrade End-user Kit</t>
  </si>
  <si>
    <t>Configure SharePoint Online &amp; Lync Online.</t>
  </si>
  <si>
    <t>Update your contact information &amp; institution profile on the Service Management Portal (SMP).</t>
  </si>
  <si>
    <t>Check the upgrade centre for the latest communications.</t>
  </si>
  <si>
    <t>Become familiar with the upgrade process.</t>
  </si>
  <si>
    <t>Review the before-upgrade checklist for administrators.</t>
  </si>
  <si>
    <t>Update the URL used to access emails.</t>
  </si>
  <si>
    <t>Update desktop software as needed.</t>
  </si>
  <si>
    <t>If Microsoft account passwords were never distributed, let your users know that they will need to create a new password for their Microsoft account after the upgrade so they will have continued access to SkyDrive and Messenger.</t>
  </si>
  <si>
    <t>Follow the 'before the upgrade' steps for setting up AD FS 2.0 Federation with Office 365.</t>
  </si>
  <si>
    <t>Document your Live@edu Exchange Online settings.</t>
  </si>
  <si>
    <t>Review and be familiar with the provisioning steps you will need to take after the upgrade.</t>
  </si>
  <si>
    <t>Review and be familiar with the steps you will need to take to set up federation after the upgrade.</t>
  </si>
  <si>
    <t>Continue to administer users, with a few restrictions.</t>
  </si>
  <si>
    <t>Communicate with your users before starting the second stage.</t>
  </si>
  <si>
    <t>Start the second stage.</t>
  </si>
  <si>
    <t>Start the third stage - Set Office 365 password.</t>
  </si>
  <si>
    <t>Set up the Microsoft Online Services Directory Synchronisation tool.</t>
  </si>
  <si>
    <t>Disable OLSync and all components of Identity Lifecycle Manager (ILM) 2007 or Forefront Identity Manager (FIM) 2010.</t>
  </si>
  <si>
    <t>Disable OLMA from synchronising by cancelling the scheduled task for the synchronisation on the Service Management Portal (SMP).</t>
  </si>
  <si>
    <t>Uninstall OLMA and all components of Identity Lifecycle Manager (ILM) 2007 or Forefront Identity Manager (FIM) 2010.</t>
  </si>
  <si>
    <t>Follow the 'after the upgrade' steps for setting up Shibboleth federation for Office 365.</t>
  </si>
  <si>
    <t>Information on OLMA without AD is coming soon.</t>
  </si>
  <si>
    <t>Implement changes to customised PowerShell scripts and become familiar with the new Office 365 cmdlets and changes to Exchange Online cmdlets.</t>
  </si>
  <si>
    <t>If you are having issues with the upgrade, find ways to troubleshoot, or contact Support.</t>
  </si>
  <si>
    <t>Remind your users that they now have two separate accounts and tell them which URLs to use.</t>
  </si>
  <si>
    <t>Configure Office 365 - Sign in to Portal.</t>
  </si>
  <si>
    <t>Add other account administrators on Office 365.</t>
  </si>
  <si>
    <t>Subscribe to A2 plan.</t>
  </si>
  <si>
    <t>Take a tour of Office 365.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</si>
</sst>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36">
    <font>
      <sz val="11"/>
      <color theme="1"/>
      <name val="Calibri"/>
      <family val="2"/>
      <scheme val="minor"/>
    </font>
    <font>
      <sz val="11"/>
      <color theme="1"/>
      <name val="Segoe UI"/>
      <family val="2"/>
    </font>
    <font>
      <b/>
      <sz val="11"/>
      <color theme="0"/>
      <name val="Segoe UI"/>
      <family val="2"/>
    </font>
    <font>
      <b/>
      <sz val="11"/>
      <color theme="1"/>
      <name val="Segoe UI"/>
      <family val="2"/>
    </font>
    <font>
      <sz val="10"/>
      <color theme="1"/>
      <name val="Segoe UI"/>
      <family val="2"/>
    </font>
    <font>
      <b/>
      <sz val="11"/>
      <color rgb="FF92D050"/>
      <name val="Segoe UI"/>
      <family val="2"/>
    </font>
    <font>
      <b/>
      <sz val="15"/>
      <color theme="0"/>
      <name val="Segoe UI"/>
      <family val="2"/>
    </font>
    <font>
      <b/>
      <sz val="20"/>
      <name val="Segoe UI"/>
      <family val="2"/>
    </font>
    <font>
      <sz val="12"/>
      <color theme="1"/>
      <name val="Segoe UI"/>
      <family val="2"/>
    </font>
    <font>
      <b/>
      <sz val="12"/>
      <color theme="1"/>
      <name val="Segoe UI"/>
      <family val="2"/>
    </font>
    <font>
      <b/>
      <sz val="14"/>
      <color theme="0"/>
      <name val="Segoe UI"/>
      <family val="2"/>
    </font>
    <font>
      <u/>
      <sz val="6.6"/>
      <color theme="10"/>
      <name val="Calibri"/>
      <family val="2"/>
    </font>
    <font>
      <u/>
      <sz val="10"/>
      <color theme="10"/>
      <name val="Segoe UI"/>
      <family val="2"/>
    </font>
    <font>
      <sz val="10"/>
      <name val="Segoe UI"/>
      <family val="2"/>
    </font>
    <font>
      <b/>
      <sz val="10"/>
      <color theme="1"/>
      <name val="Segoe UI"/>
      <family val="2"/>
    </font>
    <font>
      <b/>
      <sz val="10"/>
      <color theme="0"/>
      <name val="Segoe UI"/>
      <family val="2"/>
    </font>
    <font>
      <sz val="14"/>
      <color theme="1"/>
      <name val="Segoe UI"/>
      <family val="2"/>
    </font>
    <font>
      <u/>
      <sz val="14"/>
      <color theme="10"/>
      <name val="Segoe UI"/>
      <family val="2"/>
    </font>
    <font>
      <sz val="8"/>
      <color rgb="FF000000"/>
      <name val="Tahoma"/>
      <family val="2"/>
    </font>
    <font>
      <b/>
      <sz val="16"/>
      <color theme="0"/>
      <name val="Segoe UI"/>
      <family val="2"/>
    </font>
    <font>
      <i/>
      <sz val="12"/>
      <color theme="1"/>
      <name val="Segoe UI"/>
      <family val="2"/>
    </font>
    <font>
      <i/>
      <u/>
      <sz val="12"/>
      <color theme="1"/>
      <name val="Segoe UI"/>
      <family val="2"/>
    </font>
    <font>
      <u/>
      <sz val="12"/>
      <color theme="1"/>
      <name val="Segoe UI"/>
      <family val="2"/>
    </font>
    <font>
      <sz val="11"/>
      <name val="Calibri"/>
      <family val="2"/>
      <scheme val="minor"/>
    </font>
    <font>
      <b/>
      <sz val="11"/>
      <name val="Calibri"/>
      <family val="2"/>
      <scheme val="minor"/>
    </font>
    <font>
      <sz val="18"/>
      <color theme="2"/>
      <name val="Segoe UI Semibold"/>
      <family val="2"/>
    </font>
    <font>
      <sz val="11"/>
      <color theme="0" tint="-0.249977111117893"/>
      <name val="Segoe UI"/>
      <family val="2"/>
    </font>
    <font>
      <sz val="10"/>
      <color theme="0" tint="-0.249977111117893"/>
      <name val="Segoe UI"/>
      <family val="2"/>
    </font>
    <font>
      <sz val="14"/>
      <color theme="0" tint="-0.249977111117893"/>
      <name val="Segoe UI"/>
      <family val="2"/>
    </font>
    <font>
      <b/>
      <i/>
      <sz val="12"/>
      <color theme="1"/>
      <name val="Segoe UI"/>
      <family val="2"/>
    </font>
    <font>
      <sz val="18"/>
      <color rgb="FFFFFFFF"/>
      <name val="Segoe UI Semibold"/>
      <family val="2"/>
    </font>
    <font>
      <b/>
      <sz val="12"/>
      <color rgb="FFFEA500"/>
      <name val="Segoe UI"/>
      <family val="2"/>
    </font>
    <font>
      <u/>
      <sz val="14"/>
      <color rgb="FFFC4B00"/>
      <name val="Segoe UI"/>
      <family val="2"/>
    </font>
    <font>
      <u/>
      <sz val="10"/>
      <color rgb="FFFC4B00"/>
      <name val="Segoe UI"/>
      <family val="2"/>
    </font>
    <font>
      <sz val="9"/>
      <name val="Calibri"/>
      <family val="3"/>
      <charset val="136"/>
      <scheme val="minor"/>
    </font>
    <font>
      <u/>
      <sz val="9"/>
      <color theme="10"/>
      <name val="Calibri"/>
      <family val="2"/>
    </font>
  </fonts>
  <fills count="17">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rgb="FF69A12B"/>
        <bgColor indexed="64"/>
      </patternFill>
    </fill>
    <fill>
      <patternFill patternType="solid">
        <fgColor rgb="FF00B0F0"/>
        <bgColor indexed="64"/>
      </patternFill>
    </fill>
    <fill>
      <patternFill patternType="solid">
        <fgColor rgb="FFA3E7FF"/>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3"/>
        <bgColor indexed="64"/>
      </patternFill>
    </fill>
    <fill>
      <patternFill patternType="solid">
        <fgColor theme="4"/>
        <bgColor indexed="64"/>
      </patternFill>
    </fill>
    <fill>
      <patternFill patternType="solid">
        <fgColor theme="9"/>
        <bgColor indexed="64"/>
      </patternFill>
    </fill>
    <fill>
      <patternFill patternType="solid">
        <fgColor theme="5"/>
        <bgColor indexed="64"/>
      </patternFill>
    </fill>
    <fill>
      <patternFill patternType="solid">
        <fgColor theme="3" tint="0.59996337778862885"/>
        <bgColor indexed="64"/>
      </patternFill>
    </fill>
    <fill>
      <patternFill patternType="solid">
        <fgColor theme="3" tint="0.3999450666829432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double">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double">
        <color indexed="64"/>
      </bottom>
      <diagonal/>
    </border>
    <border>
      <left/>
      <right style="medium">
        <color indexed="64"/>
      </right>
      <top style="double">
        <color indexed="64"/>
      </top>
      <bottom style="thin">
        <color indexed="64"/>
      </bottom>
      <diagonal/>
    </border>
    <border>
      <left/>
      <right style="medium">
        <color indexed="64"/>
      </right>
      <top/>
      <bottom style="double">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s>
  <cellStyleXfs count="3">
    <xf numFmtId="0" fontId="0" fillId="0" borderId="0"/>
    <xf numFmtId="0" fontId="11" fillId="0" borderId="0" applyNumberFormat="0" applyFill="0" applyBorder="0" applyAlignment="0" applyProtection="0">
      <alignment vertical="top"/>
      <protection locked="0"/>
    </xf>
    <xf numFmtId="164" fontId="4" fillId="14" borderId="25" applyFont="0" applyBorder="0" applyAlignment="0">
      <alignment horizontal="center"/>
    </xf>
  </cellStyleXfs>
  <cellXfs count="232">
    <xf numFmtId="0" fontId="0" fillId="0" borderId="0" xfId="0"/>
    <xf numFmtId="0" fontId="1" fillId="0" borderId="0" xfId="0" applyFont="1"/>
    <xf numFmtId="0" fontId="1" fillId="0" borderId="0" xfId="0" applyFont="1" applyAlignment="1">
      <alignment horizontal="left"/>
    </xf>
    <xf numFmtId="0" fontId="1" fillId="4" borderId="0" xfId="0" applyFont="1" applyFill="1" applyAlignment="1">
      <alignment horizontal="left"/>
    </xf>
    <xf numFmtId="0" fontId="1" fillId="4" borderId="0" xfId="0" applyFont="1" applyFill="1"/>
    <xf numFmtId="0" fontId="1" fillId="4" borderId="0" xfId="0" applyFont="1" applyFill="1" applyAlignment="1">
      <alignment vertical="center" wrapText="1"/>
    </xf>
    <xf numFmtId="0" fontId="1" fillId="0" borderId="0" xfId="0" applyFont="1" applyAlignment="1">
      <alignment vertical="center" wrapText="1"/>
    </xf>
    <xf numFmtId="0" fontId="0" fillId="4" borderId="0" xfId="0" applyFill="1"/>
    <xf numFmtId="0" fontId="4" fillId="4" borderId="0" xfId="0" applyFont="1" applyFill="1" applyBorder="1" applyAlignment="1">
      <alignment vertical="top" wrapText="1"/>
    </xf>
    <xf numFmtId="0" fontId="3" fillId="7" borderId="12" xfId="0" applyFont="1" applyFill="1" applyBorder="1" applyAlignment="1">
      <alignment horizontal="left"/>
    </xf>
    <xf numFmtId="0" fontId="3" fillId="7" borderId="13" xfId="0" applyFont="1" applyFill="1" applyBorder="1" applyAlignment="1">
      <alignment horizontal="left"/>
    </xf>
    <xf numFmtId="16" fontId="3" fillId="7" borderId="13" xfId="0" applyNumberFormat="1" applyFont="1" applyFill="1" applyBorder="1" applyAlignment="1">
      <alignment vertical="center" wrapText="1"/>
    </xf>
    <xf numFmtId="0" fontId="3" fillId="7" borderId="13" xfId="0" applyFont="1" applyFill="1" applyBorder="1" applyAlignment="1">
      <alignment vertical="center" wrapText="1"/>
    </xf>
    <xf numFmtId="0" fontId="3" fillId="7" borderId="15" xfId="0" applyFont="1" applyFill="1" applyBorder="1" applyAlignment="1">
      <alignment horizontal="left"/>
    </xf>
    <xf numFmtId="16" fontId="3" fillId="7" borderId="15" xfId="0" applyNumberFormat="1" applyFont="1" applyFill="1" applyBorder="1" applyAlignment="1">
      <alignment vertical="center" wrapText="1"/>
    </xf>
    <xf numFmtId="0" fontId="3" fillId="7" borderId="15" xfId="0" applyFont="1" applyFill="1" applyBorder="1" applyAlignment="1">
      <alignment vertical="center" wrapText="1"/>
    </xf>
    <xf numFmtId="0" fontId="3" fillId="7" borderId="14" xfId="0" applyFont="1" applyFill="1" applyBorder="1" applyAlignment="1">
      <alignment horizontal="left"/>
    </xf>
    <xf numFmtId="16" fontId="3" fillId="8" borderId="0" xfId="0" applyNumberFormat="1" applyFont="1" applyFill="1" applyBorder="1" applyAlignment="1">
      <alignment vertical="center" wrapText="1"/>
    </xf>
    <xf numFmtId="0" fontId="3" fillId="8" borderId="0" xfId="0" applyFont="1" applyFill="1" applyBorder="1" applyAlignment="1">
      <alignment vertical="center" wrapText="1"/>
    </xf>
    <xf numFmtId="0" fontId="0" fillId="3" borderId="0" xfId="0" applyFill="1"/>
    <xf numFmtId="16" fontId="2" fillId="9" borderId="0" xfId="0" applyNumberFormat="1" applyFont="1" applyFill="1" applyBorder="1" applyAlignment="1">
      <alignment vertical="center"/>
    </xf>
    <xf numFmtId="0" fontId="4" fillId="4" borderId="0" xfId="0" applyFont="1" applyFill="1" applyAlignment="1">
      <alignment horizontal="left" vertical="center" wrapText="1"/>
    </xf>
    <xf numFmtId="0" fontId="4" fillId="0" borderId="0" xfId="0" applyFont="1" applyAlignment="1">
      <alignment horizontal="left" vertical="center" wrapText="1"/>
    </xf>
    <xf numFmtId="0" fontId="8" fillId="4" borderId="7" xfId="0" applyFont="1" applyFill="1" applyBorder="1" applyAlignment="1">
      <alignment horizontal="left" vertical="top" wrapText="1" indent="2"/>
    </xf>
    <xf numFmtId="164" fontId="6" fillId="4" borderId="0" xfId="0" applyNumberFormat="1" applyFont="1" applyFill="1" applyBorder="1" applyAlignment="1">
      <alignment horizontal="center" vertical="center"/>
    </xf>
    <xf numFmtId="0" fontId="16" fillId="4" borderId="0" xfId="0" applyFont="1" applyFill="1" applyAlignment="1">
      <alignment horizontal="left" vertical="center" wrapText="1"/>
    </xf>
    <xf numFmtId="0" fontId="16" fillId="4" borderId="0" xfId="0" applyFont="1" applyFill="1" applyAlignment="1">
      <alignment wrapText="1"/>
    </xf>
    <xf numFmtId="0" fontId="16" fillId="0" borderId="0" xfId="0" applyFont="1" applyAlignment="1">
      <alignment wrapText="1"/>
    </xf>
    <xf numFmtId="0" fontId="1" fillId="4" borderId="0" xfId="0" applyFont="1" applyFill="1" applyAlignment="1">
      <alignment horizontal="center" vertical="center"/>
    </xf>
    <xf numFmtId="0" fontId="1" fillId="0" borderId="0" xfId="0" applyFont="1" applyAlignment="1">
      <alignment horizontal="center" vertical="center"/>
    </xf>
    <xf numFmtId="0" fontId="5" fillId="4" borderId="0" xfId="0" applyFont="1" applyFill="1" applyBorder="1" applyAlignment="1">
      <alignment horizontal="center" vertical="center"/>
    </xf>
    <xf numFmtId="16" fontId="2" fillId="4" borderId="0" xfId="0" applyNumberFormat="1" applyFont="1" applyFill="1" applyBorder="1" applyAlignment="1">
      <alignment horizontal="center" vertical="center"/>
    </xf>
    <xf numFmtId="0" fontId="4" fillId="4" borderId="0" xfId="0" applyFont="1" applyFill="1" applyBorder="1" applyAlignment="1">
      <alignment horizontal="center" vertical="center" wrapText="1"/>
    </xf>
    <xf numFmtId="0" fontId="4" fillId="0" borderId="1" xfId="0" applyFont="1" applyBorder="1" applyAlignment="1">
      <alignment horizontal="center" vertical="center"/>
    </xf>
    <xf numFmtId="0" fontId="3" fillId="7" borderId="13" xfId="0" applyFont="1" applyFill="1" applyBorder="1" applyAlignment="1">
      <alignment horizontal="center" vertical="center"/>
    </xf>
    <xf numFmtId="164" fontId="3" fillId="8" borderId="0" xfId="0" applyNumberFormat="1" applyFont="1" applyFill="1" applyBorder="1" applyAlignment="1">
      <alignment horizontal="center" vertical="center"/>
    </xf>
    <xf numFmtId="0" fontId="3" fillId="7" borderId="15" xfId="0" applyFont="1" applyFill="1" applyBorder="1" applyAlignment="1">
      <alignment horizontal="center" vertical="center"/>
    </xf>
    <xf numFmtId="0" fontId="4" fillId="0" borderId="11" xfId="0" applyFont="1" applyBorder="1" applyAlignment="1">
      <alignment horizontal="center" vertical="center"/>
    </xf>
    <xf numFmtId="164" fontId="2" fillId="6" borderId="0" xfId="0" applyNumberFormat="1" applyFont="1" applyFill="1" applyBorder="1" applyAlignment="1">
      <alignment horizontal="center" vertical="center" wrapText="1"/>
    </xf>
    <xf numFmtId="164" fontId="8" fillId="4" borderId="8" xfId="0" applyNumberFormat="1" applyFont="1" applyFill="1" applyBorder="1" applyAlignment="1">
      <alignment horizontal="left" vertical="center" wrapText="1"/>
    </xf>
    <xf numFmtId="0" fontId="8" fillId="10" borderId="7" xfId="0" applyFont="1" applyFill="1" applyBorder="1" applyAlignment="1">
      <alignment horizontal="left" vertical="top" wrapText="1" indent="2"/>
    </xf>
    <xf numFmtId="164" fontId="8" fillId="10" borderId="8" xfId="0" applyNumberFormat="1" applyFont="1" applyFill="1" applyBorder="1" applyAlignment="1">
      <alignment horizontal="left" vertical="center" wrapText="1"/>
    </xf>
    <xf numFmtId="0" fontId="8" fillId="4" borderId="7" xfId="0" applyFont="1" applyFill="1" applyBorder="1" applyAlignment="1">
      <alignment horizontal="left" vertical="top" indent="2"/>
    </xf>
    <xf numFmtId="0" fontId="8" fillId="10" borderId="7" xfId="0" applyFont="1" applyFill="1" applyBorder="1" applyAlignment="1">
      <alignment horizontal="left" vertical="top" indent="2"/>
    </xf>
    <xf numFmtId="0" fontId="8" fillId="4" borderId="4" xfId="0" applyFont="1" applyFill="1" applyBorder="1" applyAlignment="1">
      <alignment horizontal="left" vertical="center"/>
    </xf>
    <xf numFmtId="164" fontId="8" fillId="4" borderId="5" xfId="0" applyNumberFormat="1" applyFont="1" applyFill="1" applyBorder="1" applyAlignment="1">
      <alignment horizontal="left" vertical="center" wrapText="1"/>
    </xf>
    <xf numFmtId="0" fontId="9" fillId="4" borderId="7" xfId="0" applyFont="1" applyFill="1" applyBorder="1" applyAlignment="1">
      <alignment horizontal="left" vertical="top" wrapText="1"/>
    </xf>
    <xf numFmtId="0" fontId="8" fillId="4" borderId="7" xfId="0" applyFont="1" applyFill="1" applyBorder="1" applyAlignment="1">
      <alignment horizontal="left" vertical="top" wrapText="1" indent="2"/>
    </xf>
    <xf numFmtId="0" fontId="8" fillId="4" borderId="7" xfId="0" applyFont="1" applyFill="1" applyBorder="1" applyAlignment="1">
      <alignment horizontal="left" vertical="top" wrapText="1" indent="2"/>
    </xf>
    <xf numFmtId="0" fontId="4" fillId="4" borderId="0" xfId="0" applyFont="1" applyFill="1" applyBorder="1" applyAlignment="1">
      <alignment horizontal="left" vertical="center" wrapText="1"/>
    </xf>
    <xf numFmtId="0" fontId="2" fillId="2" borderId="6" xfId="0" applyFont="1" applyFill="1" applyBorder="1" applyAlignment="1">
      <alignment horizontal="center" vertical="center"/>
    </xf>
    <xf numFmtId="0" fontId="9" fillId="4" borderId="7" xfId="0" applyFont="1" applyFill="1" applyBorder="1" applyAlignment="1">
      <alignment horizontal="left" vertical="top" wrapText="1" indent="2"/>
    </xf>
    <xf numFmtId="164" fontId="2" fillId="9" borderId="0" xfId="0" applyNumberFormat="1" applyFont="1" applyFill="1" applyBorder="1" applyAlignment="1">
      <alignment horizontal="center" vertical="center" wrapText="1"/>
    </xf>
    <xf numFmtId="0" fontId="5" fillId="4" borderId="0" xfId="0" applyFont="1" applyFill="1" applyBorder="1" applyAlignment="1">
      <alignment horizontal="center"/>
    </xf>
    <xf numFmtId="16" fontId="2" fillId="4" borderId="0" xfId="0" applyNumberFormat="1" applyFont="1" applyFill="1" applyBorder="1" applyAlignment="1">
      <alignment horizontal="center"/>
    </xf>
    <xf numFmtId="0" fontId="4" fillId="0" borderId="1" xfId="0" applyFont="1" applyFill="1" applyBorder="1" applyAlignment="1">
      <alignment horizontal="center" vertical="center"/>
    </xf>
    <xf numFmtId="0" fontId="0" fillId="0" borderId="0" xfId="0" applyAlignment="1">
      <alignment vertical="center"/>
    </xf>
    <xf numFmtId="0" fontId="1" fillId="4" borderId="0" xfId="0" applyFont="1" applyFill="1" applyAlignment="1">
      <alignment horizontal="left" vertical="center"/>
    </xf>
    <xf numFmtId="0" fontId="1" fillId="4" borderId="0" xfId="0" applyFont="1" applyFill="1" applyAlignment="1">
      <alignment horizontal="center"/>
    </xf>
    <xf numFmtId="0" fontId="1" fillId="0" borderId="0" xfId="0" applyFont="1" applyAlignment="1">
      <alignment horizontal="center"/>
    </xf>
    <xf numFmtId="0" fontId="23" fillId="0" borderId="1" xfId="0" applyFont="1" applyFill="1" applyBorder="1" applyAlignment="1">
      <alignment vertical="top"/>
    </xf>
    <xf numFmtId="0" fontId="23" fillId="0" borderId="1" xfId="0" applyFont="1" applyFill="1" applyBorder="1" applyAlignment="1">
      <alignment horizontal="center" vertical="top"/>
    </xf>
    <xf numFmtId="0" fontId="1" fillId="0" borderId="1" xfId="0" applyFont="1" applyFill="1" applyBorder="1"/>
    <xf numFmtId="0" fontId="16" fillId="4" borderId="0" xfId="0" applyFont="1" applyFill="1" applyAlignment="1">
      <alignment horizontal="center" wrapText="1"/>
    </xf>
    <xf numFmtId="0" fontId="24" fillId="0" borderId="45" xfId="0" applyFont="1" applyFill="1" applyBorder="1" applyAlignment="1">
      <alignment horizontal="center" vertical="center" wrapText="1"/>
    </xf>
    <xf numFmtId="0" fontId="1" fillId="2" borderId="1" xfId="0" applyFont="1" applyFill="1" applyBorder="1"/>
    <xf numFmtId="0" fontId="3" fillId="7" borderId="13" xfId="0" applyFont="1" applyFill="1" applyBorder="1" applyAlignment="1">
      <alignment vertical="center"/>
    </xf>
    <xf numFmtId="16" fontId="3" fillId="8" borderId="0" xfId="0" applyNumberFormat="1" applyFont="1" applyFill="1" applyBorder="1" applyAlignment="1">
      <alignment horizontal="left" vertical="center"/>
    </xf>
    <xf numFmtId="0" fontId="4" fillId="0" borderId="1" xfId="0" applyFont="1" applyBorder="1" applyAlignment="1">
      <alignment horizontal="center" vertical="center" wrapText="1"/>
    </xf>
    <xf numFmtId="0" fontId="3" fillId="7" borderId="15" xfId="0" applyFont="1" applyFill="1" applyBorder="1" applyAlignment="1">
      <alignment vertical="center"/>
    </xf>
    <xf numFmtId="16" fontId="2" fillId="6" borderId="0" xfId="0" applyNumberFormat="1" applyFont="1" applyFill="1" applyBorder="1" applyAlignment="1">
      <alignment vertical="center"/>
    </xf>
    <xf numFmtId="0" fontId="4" fillId="0" borderId="11" xfId="0" applyFont="1" applyBorder="1" applyAlignment="1">
      <alignment horizontal="center" vertical="center" wrapText="1"/>
    </xf>
    <xf numFmtId="0" fontId="24" fillId="3" borderId="1" xfId="0" applyFont="1" applyFill="1" applyBorder="1" applyAlignment="1">
      <alignment horizontal="center" vertical="center"/>
    </xf>
    <xf numFmtId="0" fontId="24" fillId="3" borderId="1" xfId="0" applyFont="1" applyFill="1" applyBorder="1" applyAlignment="1">
      <alignment horizontal="center" vertical="center" wrapText="1"/>
    </xf>
    <xf numFmtId="0" fontId="24" fillId="2" borderId="45" xfId="0" applyFont="1" applyFill="1" applyBorder="1" applyAlignment="1">
      <alignment horizontal="center" vertical="center"/>
    </xf>
    <xf numFmtId="0" fontId="23" fillId="0" borderId="1" xfId="0" applyFont="1" applyFill="1" applyBorder="1" applyAlignment="1">
      <alignment horizontal="left" vertical="top" indent="1"/>
    </xf>
    <xf numFmtId="0" fontId="1" fillId="0" borderId="1" xfId="0" applyFont="1" applyFill="1" applyBorder="1" applyAlignment="1">
      <alignment horizontal="left" indent="1"/>
    </xf>
    <xf numFmtId="0" fontId="1" fillId="2" borderId="1" xfId="0" applyFont="1" applyFill="1" applyBorder="1" applyAlignment="1">
      <alignment horizontal="left" indent="1"/>
    </xf>
    <xf numFmtId="0" fontId="23" fillId="0" borderId="1" xfId="0" applyFont="1" applyFill="1" applyBorder="1" applyAlignment="1">
      <alignment horizontal="left" vertical="top" wrapText="1" indent="1"/>
    </xf>
    <xf numFmtId="0" fontId="23" fillId="0" borderId="1" xfId="0" applyFont="1" applyFill="1" applyBorder="1" applyAlignment="1">
      <alignment horizontal="center" vertical="top" wrapText="1"/>
    </xf>
    <xf numFmtId="0" fontId="2" fillId="2" borderId="6" xfId="0" applyFont="1" applyFill="1" applyBorder="1" applyAlignment="1">
      <alignment horizontal="left" vertical="center"/>
    </xf>
    <xf numFmtId="0" fontId="4" fillId="0" borderId="1" xfId="0" applyFont="1" applyFill="1" applyBorder="1" applyAlignment="1">
      <alignment horizontal="left" vertical="center"/>
    </xf>
    <xf numFmtId="0" fontId="3" fillId="7" borderId="13" xfId="0" applyFont="1" applyFill="1" applyBorder="1" applyAlignment="1">
      <alignment horizontal="left" vertical="center"/>
    </xf>
    <xf numFmtId="0" fontId="4" fillId="0" borderId="1" xfId="0" applyFont="1" applyBorder="1" applyAlignment="1">
      <alignment horizontal="left" vertical="center"/>
    </xf>
    <xf numFmtId="0" fontId="3" fillId="7" borderId="15" xfId="0" applyFont="1" applyFill="1" applyBorder="1" applyAlignment="1">
      <alignment horizontal="left" vertical="center"/>
    </xf>
    <xf numFmtId="16" fontId="2" fillId="6" borderId="0" xfId="0" applyNumberFormat="1" applyFont="1" applyFill="1" applyBorder="1" applyAlignment="1">
      <alignment horizontal="left" vertical="center"/>
    </xf>
    <xf numFmtId="16" fontId="2" fillId="9" borderId="0" xfId="0" applyNumberFormat="1" applyFont="1" applyFill="1" applyBorder="1" applyAlignment="1">
      <alignment horizontal="left" vertical="center"/>
    </xf>
    <xf numFmtId="0" fontId="4" fillId="0" borderId="11" xfId="0" applyFont="1" applyBorder="1" applyAlignment="1">
      <alignment horizontal="left" vertical="center"/>
    </xf>
    <xf numFmtId="0" fontId="16" fillId="4" borderId="0" xfId="0" applyFont="1" applyFill="1" applyAlignment="1">
      <alignment horizontal="left" vertical="center"/>
    </xf>
    <xf numFmtId="0" fontId="1" fillId="0" borderId="0" xfId="0" applyFont="1" applyAlignment="1">
      <alignment horizontal="left" vertical="center"/>
    </xf>
    <xf numFmtId="0" fontId="4" fillId="0" borderId="1" xfId="0" applyFont="1" applyFill="1" applyBorder="1" applyAlignment="1">
      <alignment horizontal="center" vertical="center" wrapText="1"/>
    </xf>
    <xf numFmtId="0" fontId="4" fillId="14" borderId="1" xfId="0" applyFont="1" applyFill="1" applyBorder="1" applyAlignment="1">
      <alignment horizontal="center" vertical="center"/>
    </xf>
    <xf numFmtId="0" fontId="4" fillId="15" borderId="1" xfId="0" applyFont="1" applyFill="1" applyBorder="1" applyAlignment="1">
      <alignment horizontal="center" vertical="center"/>
    </xf>
    <xf numFmtId="0" fontId="4" fillId="16" borderId="1" xfId="0" applyFont="1" applyFill="1" applyBorder="1" applyAlignment="1">
      <alignment horizontal="center" vertical="center"/>
    </xf>
    <xf numFmtId="0" fontId="4" fillId="16" borderId="1" xfId="0" applyFont="1" applyFill="1" applyBorder="1" applyAlignment="1">
      <alignment horizontal="center" vertical="center" wrapText="1"/>
    </xf>
    <xf numFmtId="0" fontId="4" fillId="16" borderId="39" xfId="0" applyFont="1" applyFill="1" applyBorder="1" applyAlignment="1">
      <alignment horizontal="center" vertical="center"/>
    </xf>
    <xf numFmtId="0" fontId="4" fillId="14" borderId="1" xfId="0" applyFont="1" applyFill="1" applyBorder="1" applyAlignment="1">
      <alignment horizontal="center" vertical="center" wrapText="1"/>
    </xf>
    <xf numFmtId="0" fontId="26" fillId="4" borderId="0" xfId="0" applyFont="1" applyFill="1" applyAlignment="1">
      <alignment horizontal="center" vertical="center"/>
    </xf>
    <xf numFmtId="0" fontId="27" fillId="4" borderId="0" xfId="0" applyFont="1" applyFill="1" applyAlignment="1">
      <alignment horizontal="center" vertical="center" wrapText="1"/>
    </xf>
    <xf numFmtId="0" fontId="20" fillId="4" borderId="8" xfId="0" applyFont="1" applyFill="1" applyBorder="1" applyAlignment="1">
      <alignment horizontal="center" vertical="center" wrapText="1"/>
    </xf>
    <xf numFmtId="0" fontId="24" fillId="4" borderId="45" xfId="0" applyFont="1" applyFill="1" applyBorder="1" applyAlignment="1">
      <alignment horizontal="center" vertical="center"/>
    </xf>
    <xf numFmtId="0" fontId="4" fillId="4" borderId="0" xfId="0" applyFont="1" applyFill="1" applyAlignment="1">
      <alignment horizontal="left" vertical="center"/>
    </xf>
    <xf numFmtId="0" fontId="8" fillId="4" borderId="7" xfId="0" applyFont="1" applyFill="1" applyBorder="1" applyAlignment="1">
      <alignment horizontal="left" vertical="center" wrapText="1" indent="2"/>
    </xf>
    <xf numFmtId="0" fontId="8" fillId="4" borderId="7" xfId="0" applyFont="1" applyFill="1" applyBorder="1" applyAlignment="1">
      <alignment horizontal="left" vertical="center" wrapText="1" indent="5"/>
    </xf>
    <xf numFmtId="0" fontId="26" fillId="4" borderId="1" xfId="0" applyFont="1" applyFill="1" applyBorder="1" applyAlignment="1">
      <alignment horizontal="center" vertical="center"/>
    </xf>
    <xf numFmtId="0" fontId="26" fillId="4" borderId="0" xfId="0" applyFont="1" applyFill="1"/>
    <xf numFmtId="0" fontId="28" fillId="4" borderId="0" xfId="0" applyFont="1" applyFill="1" applyAlignment="1">
      <alignment wrapText="1"/>
    </xf>
    <xf numFmtId="0" fontId="26" fillId="0" borderId="0" xfId="0" applyFont="1"/>
    <xf numFmtId="0" fontId="26" fillId="4" borderId="0" xfId="0" applyFont="1" applyFill="1" applyAlignment="1">
      <alignment horizontal="left"/>
    </xf>
    <xf numFmtId="0" fontId="10" fillId="11" borderId="46" xfId="0" applyFont="1" applyFill="1" applyBorder="1" applyAlignment="1">
      <alignment horizontal="left"/>
    </xf>
    <xf numFmtId="0" fontId="10" fillId="11" borderId="47" xfId="0" applyFont="1" applyFill="1" applyBorder="1" applyAlignment="1">
      <alignment horizontal="left"/>
    </xf>
    <xf numFmtId="0" fontId="10" fillId="11" borderId="48" xfId="0" applyFont="1" applyFill="1" applyBorder="1" applyAlignment="1">
      <alignment horizontal="left"/>
    </xf>
    <xf numFmtId="0" fontId="25" fillId="12" borderId="0" xfId="0" applyFont="1" applyFill="1" applyBorder="1" applyAlignment="1">
      <alignment horizontal="left" wrapText="1" indent="2"/>
    </xf>
    <xf numFmtId="0" fontId="0" fillId="4" borderId="0" xfId="0" applyFill="1" applyAlignment="1">
      <alignment horizontal="center" wrapText="1"/>
    </xf>
    <xf numFmtId="0" fontId="8" fillId="4" borderId="49" xfId="0" applyFont="1" applyFill="1" applyBorder="1" applyAlignment="1">
      <alignment horizontal="left" vertical="top" wrapText="1" indent="2"/>
    </xf>
    <xf numFmtId="0" fontId="8" fillId="4" borderId="0" xfId="0" applyFont="1" applyFill="1" applyBorder="1" applyAlignment="1">
      <alignment horizontal="left" vertical="top" wrapText="1" indent="2"/>
    </xf>
    <xf numFmtId="0" fontId="8" fillId="4" borderId="50" xfId="0" applyFont="1" applyFill="1" applyBorder="1" applyAlignment="1">
      <alignment horizontal="left" vertical="top" wrapText="1" indent="2"/>
    </xf>
    <xf numFmtId="0" fontId="8" fillId="4" borderId="51" xfId="0" applyFont="1" applyFill="1" applyBorder="1" applyAlignment="1">
      <alignment horizontal="left" vertical="top" wrapText="1" indent="2"/>
    </xf>
    <xf numFmtId="0" fontId="8" fillId="4" borderId="52" xfId="0" applyFont="1" applyFill="1" applyBorder="1" applyAlignment="1">
      <alignment horizontal="left" vertical="top" wrapText="1" indent="2"/>
    </xf>
    <xf numFmtId="0" fontId="8" fillId="4" borderId="53" xfId="0" applyFont="1" applyFill="1" applyBorder="1" applyAlignment="1">
      <alignment horizontal="left" vertical="top" wrapText="1" indent="2"/>
    </xf>
    <xf numFmtId="0" fontId="25" fillId="12" borderId="0" xfId="0" applyFont="1" applyFill="1" applyBorder="1" applyAlignment="1">
      <alignment horizontal="left" vertical="top" wrapText="1" indent="2"/>
    </xf>
    <xf numFmtId="0" fontId="0" fillId="0" borderId="0" xfId="0" applyFill="1" applyBorder="1" applyAlignment="1">
      <alignment horizontal="center"/>
    </xf>
    <xf numFmtId="0" fontId="0" fillId="13" borderId="0" xfId="0" applyFill="1" applyBorder="1" applyAlignment="1">
      <alignment horizontal="center"/>
    </xf>
    <xf numFmtId="164" fontId="4" fillId="0" borderId="25" xfId="0" applyNumberFormat="1" applyFont="1" applyBorder="1" applyAlignment="1">
      <alignment horizontal="center"/>
    </xf>
    <xf numFmtId="164" fontId="4" fillId="0" borderId="21" xfId="0" applyNumberFormat="1" applyFont="1" applyBorder="1" applyAlignment="1">
      <alignment horizontal="center"/>
    </xf>
    <xf numFmtId="0" fontId="12" fillId="0" borderId="16" xfId="1" applyFont="1" applyBorder="1" applyAlignment="1" applyProtection="1">
      <alignment horizontal="left" vertical="center" wrapText="1"/>
    </xf>
    <xf numFmtId="0" fontId="12" fillId="0" borderId="19" xfId="1" applyFont="1" applyBorder="1" applyAlignment="1" applyProtection="1">
      <alignment horizontal="left" vertical="center" wrapText="1"/>
    </xf>
    <xf numFmtId="0" fontId="12" fillId="0" borderId="35" xfId="1" applyFont="1" applyBorder="1" applyAlignment="1" applyProtection="1">
      <alignment horizontal="left" vertical="center" wrapText="1"/>
    </xf>
    <xf numFmtId="0" fontId="4" fillId="0" borderId="16" xfId="0" applyFont="1" applyBorder="1" applyAlignment="1">
      <alignment horizontal="left" vertical="center" wrapText="1"/>
    </xf>
    <xf numFmtId="0" fontId="4" fillId="0" borderId="21" xfId="0" applyFont="1" applyBorder="1" applyAlignment="1">
      <alignment horizontal="left" vertical="center" wrapText="1"/>
    </xf>
    <xf numFmtId="0" fontId="4" fillId="0" borderId="16" xfId="0" applyFont="1" applyBorder="1" applyAlignment="1">
      <alignment vertical="center" wrapText="1"/>
    </xf>
    <xf numFmtId="0" fontId="4" fillId="0" borderId="21" xfId="0" applyFont="1" applyBorder="1" applyAlignment="1">
      <alignment vertical="center" wrapText="1"/>
    </xf>
    <xf numFmtId="0" fontId="12" fillId="0" borderId="16" xfId="1" applyFont="1" applyBorder="1" applyAlignment="1" applyProtection="1">
      <alignment vertical="center" wrapText="1"/>
    </xf>
    <xf numFmtId="0" fontId="12" fillId="0" borderId="19" xfId="1" applyFont="1" applyBorder="1" applyAlignment="1" applyProtection="1">
      <alignment vertical="center" wrapText="1"/>
    </xf>
    <xf numFmtId="0" fontId="12" fillId="0" borderId="35" xfId="1" applyFont="1" applyBorder="1" applyAlignment="1" applyProtection="1">
      <alignment vertical="center" wrapText="1"/>
    </xf>
    <xf numFmtId="0" fontId="33" fillId="0" borderId="16" xfId="1" applyFont="1" applyFill="1" applyBorder="1" applyAlignment="1" applyProtection="1">
      <alignment horizontal="left" vertical="center" wrapText="1"/>
    </xf>
    <xf numFmtId="0" fontId="12" fillId="0" borderId="19" xfId="1" applyFont="1" applyFill="1" applyBorder="1" applyAlignment="1" applyProtection="1">
      <alignment horizontal="left" vertical="center" wrapText="1"/>
    </xf>
    <xf numFmtId="0" fontId="12" fillId="0" borderId="35" xfId="1" applyFont="1" applyFill="1" applyBorder="1" applyAlignment="1" applyProtection="1">
      <alignment horizontal="left" vertical="center" wrapText="1"/>
    </xf>
    <xf numFmtId="0" fontId="17" fillId="4" borderId="32" xfId="1" applyFont="1" applyFill="1" applyBorder="1" applyAlignment="1" applyProtection="1">
      <alignment horizontal="center" wrapText="1"/>
    </xf>
    <xf numFmtId="0" fontId="17" fillId="4" borderId="33" xfId="1" applyFont="1" applyFill="1" applyBorder="1" applyAlignment="1" applyProtection="1">
      <alignment horizontal="center" wrapText="1"/>
    </xf>
    <xf numFmtId="0" fontId="17" fillId="4" borderId="34" xfId="1" applyFont="1" applyFill="1" applyBorder="1" applyAlignment="1" applyProtection="1">
      <alignment horizontal="center" wrapText="1"/>
    </xf>
    <xf numFmtId="0" fontId="2" fillId="2" borderId="6" xfId="0" applyFont="1" applyFill="1" applyBorder="1" applyAlignment="1">
      <alignment horizontal="center" vertical="center" wrapText="1"/>
    </xf>
    <xf numFmtId="0" fontId="2" fillId="2" borderId="3" xfId="0" applyFont="1" applyFill="1" applyBorder="1" applyAlignment="1">
      <alignment horizontal="center" vertical="center" wrapText="1"/>
    </xf>
    <xf numFmtId="16" fontId="14" fillId="7" borderId="13" xfId="0" applyNumberFormat="1" applyFont="1" applyFill="1" applyBorder="1" applyAlignment="1">
      <alignment horizontal="center" vertical="center" wrapText="1"/>
    </xf>
    <xf numFmtId="16" fontId="14" fillId="7" borderId="43" xfId="0" applyNumberFormat="1" applyFont="1" applyFill="1" applyBorder="1" applyAlignment="1">
      <alignment horizontal="center" vertical="center" wrapText="1"/>
    </xf>
    <xf numFmtId="164" fontId="4" fillId="0" borderId="9" xfId="0" applyNumberFormat="1" applyFont="1" applyFill="1" applyBorder="1" applyAlignment="1">
      <alignment horizontal="center"/>
    </xf>
    <xf numFmtId="164" fontId="4" fillId="0" borderId="1" xfId="0" applyNumberFormat="1" applyFont="1" applyFill="1" applyBorder="1" applyAlignment="1">
      <alignment horizontal="center"/>
    </xf>
    <xf numFmtId="0" fontId="4" fillId="0" borderId="16" xfId="0" applyFont="1" applyFill="1" applyBorder="1" applyAlignment="1">
      <alignment vertical="center" wrapText="1"/>
    </xf>
    <xf numFmtId="0" fontId="4" fillId="0" borderId="21" xfId="0" applyFont="1" applyFill="1" applyBorder="1" applyAlignment="1">
      <alignment vertical="center" wrapText="1"/>
    </xf>
    <xf numFmtId="164" fontId="12" fillId="0" borderId="16" xfId="1" applyNumberFormat="1" applyFont="1" applyFill="1" applyBorder="1" applyAlignment="1" applyProtection="1">
      <alignment horizontal="left" vertical="center" wrapText="1"/>
    </xf>
    <xf numFmtId="164" fontId="12" fillId="0" borderId="19" xfId="1" applyNumberFormat="1" applyFont="1" applyFill="1" applyBorder="1" applyAlignment="1" applyProtection="1">
      <alignment horizontal="left" vertical="center" wrapText="1"/>
    </xf>
    <xf numFmtId="164" fontId="12" fillId="0" borderId="35" xfId="1" applyNumberFormat="1" applyFont="1" applyFill="1" applyBorder="1" applyAlignment="1" applyProtection="1">
      <alignment horizontal="left" vertical="center" wrapText="1"/>
    </xf>
    <xf numFmtId="164" fontId="12" fillId="14" borderId="16" xfId="1" applyNumberFormat="1" applyFont="1" applyFill="1" applyBorder="1" applyAlignment="1" applyProtection="1">
      <alignment horizontal="left" vertical="center" wrapText="1"/>
    </xf>
    <xf numFmtId="164" fontId="12" fillId="14" borderId="19" xfId="1" applyNumberFormat="1" applyFont="1" applyFill="1" applyBorder="1" applyAlignment="1" applyProtection="1">
      <alignment horizontal="left" vertical="center" wrapText="1"/>
    </xf>
    <xf numFmtId="164" fontId="12" fillId="14" borderId="35" xfId="1" applyNumberFormat="1" applyFont="1" applyFill="1" applyBorder="1" applyAlignment="1" applyProtection="1">
      <alignment horizontal="left" vertical="center" wrapText="1"/>
    </xf>
    <xf numFmtId="164" fontId="4" fillId="14" borderId="25" xfId="0" applyNumberFormat="1" applyFont="1" applyFill="1" applyBorder="1" applyAlignment="1">
      <alignment horizontal="center"/>
    </xf>
    <xf numFmtId="164" fontId="4" fillId="14" borderId="21" xfId="0" applyNumberFormat="1" applyFont="1" applyFill="1" applyBorder="1" applyAlignment="1">
      <alignment horizontal="center"/>
    </xf>
    <xf numFmtId="0" fontId="4" fillId="14" borderId="16" xfId="0" applyFont="1" applyFill="1" applyBorder="1" applyAlignment="1">
      <alignment horizontal="left" vertical="center" wrapText="1"/>
    </xf>
    <xf numFmtId="0" fontId="4" fillId="14" borderId="21" xfId="0" applyFont="1" applyFill="1" applyBorder="1" applyAlignment="1">
      <alignment horizontal="left" vertical="center" wrapText="1"/>
    </xf>
    <xf numFmtId="0" fontId="9" fillId="5" borderId="31" xfId="0" applyFont="1" applyFill="1" applyBorder="1" applyAlignment="1">
      <alignment horizontal="center" vertical="center" wrapText="1"/>
    </xf>
    <xf numFmtId="0" fontId="9" fillId="5" borderId="36" xfId="0" applyFont="1" applyFill="1" applyBorder="1" applyAlignment="1">
      <alignment horizontal="center" vertical="center" wrapText="1"/>
    </xf>
    <xf numFmtId="164" fontId="6" fillId="13" borderId="7" xfId="0" applyNumberFormat="1" applyFont="1" applyFill="1" applyBorder="1" applyAlignment="1">
      <alignment horizontal="center" vertical="center"/>
    </xf>
    <xf numFmtId="164" fontId="6" fillId="13" borderId="0" xfId="0" applyNumberFormat="1" applyFont="1" applyFill="1" applyBorder="1" applyAlignment="1">
      <alignment horizontal="center" vertical="center"/>
    </xf>
    <xf numFmtId="164" fontId="6" fillId="13" borderId="8" xfId="0" applyNumberFormat="1" applyFont="1" applyFill="1" applyBorder="1" applyAlignment="1">
      <alignment horizontal="center" vertical="center"/>
    </xf>
    <xf numFmtId="164" fontId="6" fillId="13" borderId="4" xfId="0" applyNumberFormat="1" applyFont="1" applyFill="1" applyBorder="1" applyAlignment="1">
      <alignment horizontal="center" vertical="center"/>
    </xf>
    <xf numFmtId="164" fontId="6" fillId="13" borderId="23" xfId="0" applyNumberFormat="1" applyFont="1" applyFill="1" applyBorder="1" applyAlignment="1">
      <alignment horizontal="center" vertical="center"/>
    </xf>
    <xf numFmtId="164" fontId="6" fillId="13" borderId="5" xfId="0" applyNumberFormat="1" applyFont="1" applyFill="1" applyBorder="1" applyAlignment="1">
      <alignment horizontal="center" vertic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3"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2" fillId="2" borderId="2" xfId="0" applyFont="1" applyFill="1" applyBorder="1" applyAlignment="1">
      <alignment horizontal="center" vertical="center"/>
    </xf>
    <xf numFmtId="0" fontId="2" fillId="2" borderId="6" xfId="0" applyFont="1" applyFill="1" applyBorder="1" applyAlignment="1">
      <alignment horizontal="center" vertical="center"/>
    </xf>
    <xf numFmtId="164" fontId="4" fillId="0" borderId="9" xfId="0" applyNumberFormat="1" applyFont="1" applyBorder="1" applyAlignment="1">
      <alignment horizontal="center"/>
    </xf>
    <xf numFmtId="164" fontId="4" fillId="0" borderId="1" xfId="0" applyNumberFormat="1" applyFont="1" applyBorder="1" applyAlignment="1">
      <alignment horizontal="center"/>
    </xf>
    <xf numFmtId="0" fontId="19" fillId="13" borderId="26" xfId="0" applyFont="1" applyFill="1" applyBorder="1" applyAlignment="1">
      <alignment horizontal="center" vertical="center" wrapText="1"/>
    </xf>
    <xf numFmtId="0" fontId="19" fillId="13" borderId="27" xfId="0" applyFont="1" applyFill="1" applyBorder="1" applyAlignment="1">
      <alignment horizontal="center" vertical="center" wrapText="1"/>
    </xf>
    <xf numFmtId="0" fontId="12" fillId="16" borderId="40" xfId="1" applyFont="1" applyFill="1" applyBorder="1" applyAlignment="1" applyProtection="1">
      <alignment horizontal="left" vertical="center" wrapText="1"/>
    </xf>
    <xf numFmtId="0" fontId="12" fillId="16" borderId="37" xfId="1" applyFont="1" applyFill="1" applyBorder="1" applyAlignment="1" applyProtection="1">
      <alignment horizontal="left" vertical="center" wrapText="1"/>
    </xf>
    <xf numFmtId="0" fontId="12" fillId="16" borderId="36" xfId="1" applyFont="1" applyFill="1" applyBorder="1" applyAlignment="1" applyProtection="1">
      <alignment horizontal="left" vertical="center" wrapText="1"/>
    </xf>
    <xf numFmtId="16" fontId="14" fillId="8" borderId="18" xfId="0" applyNumberFormat="1" applyFont="1" applyFill="1" applyBorder="1" applyAlignment="1">
      <alignment horizontal="center" vertical="center" wrapText="1"/>
    </xf>
    <xf numFmtId="16" fontId="14" fillId="8" borderId="42" xfId="0" applyNumberFormat="1" applyFont="1" applyFill="1" applyBorder="1" applyAlignment="1">
      <alignment horizontal="center" vertical="center" wrapText="1"/>
    </xf>
    <xf numFmtId="0" fontId="3" fillId="8" borderId="24" xfId="0" applyFont="1" applyFill="1" applyBorder="1" applyAlignment="1">
      <alignment horizontal="center"/>
    </xf>
    <xf numFmtId="0" fontId="3" fillId="8" borderId="18" xfId="0" applyFont="1" applyFill="1" applyBorder="1" applyAlignment="1">
      <alignment horizontal="center"/>
    </xf>
    <xf numFmtId="0" fontId="13" fillId="0" borderId="16" xfId="0" applyFont="1" applyBorder="1" applyAlignment="1">
      <alignment vertical="center" wrapText="1"/>
    </xf>
    <xf numFmtId="0" fontId="13" fillId="0" borderId="21" xfId="0" applyFont="1" applyBorder="1" applyAlignment="1">
      <alignment vertical="center" wrapText="1"/>
    </xf>
    <xf numFmtId="0" fontId="12" fillId="0" borderId="17" xfId="1" applyFont="1" applyBorder="1" applyAlignment="1" applyProtection="1">
      <alignment horizontal="left" vertical="center" wrapText="1"/>
    </xf>
    <xf numFmtId="0" fontId="12" fillId="0" borderId="20" xfId="1" applyFont="1" applyBorder="1" applyAlignment="1" applyProtection="1">
      <alignment horizontal="left" vertical="center" wrapText="1"/>
    </xf>
    <xf numFmtId="0" fontId="12" fillId="0" borderId="44" xfId="1" applyFont="1" applyBorder="1" applyAlignment="1" applyProtection="1">
      <alignment horizontal="left" vertical="center" wrapText="1"/>
    </xf>
    <xf numFmtId="0" fontId="15" fillId="9" borderId="19" xfId="0" applyFont="1" applyFill="1" applyBorder="1" applyAlignment="1">
      <alignment horizontal="center" vertical="center"/>
    </xf>
    <xf numFmtId="0" fontId="15" fillId="9" borderId="35" xfId="0" applyFont="1" applyFill="1" applyBorder="1" applyAlignment="1">
      <alignment horizontal="center" vertical="center"/>
    </xf>
    <xf numFmtId="164" fontId="12" fillId="4" borderId="16" xfId="1" applyNumberFormat="1" applyFont="1" applyFill="1" applyBorder="1" applyAlignment="1" applyProtection="1">
      <alignment horizontal="left" vertical="center" wrapText="1"/>
    </xf>
    <xf numFmtId="164" fontId="12" fillId="4" borderId="19" xfId="1" applyNumberFormat="1" applyFont="1" applyFill="1" applyBorder="1" applyAlignment="1" applyProtection="1">
      <alignment horizontal="left" vertical="center" wrapText="1"/>
    </xf>
    <xf numFmtId="164" fontId="12" fillId="4" borderId="35" xfId="1" applyNumberFormat="1" applyFont="1" applyFill="1" applyBorder="1" applyAlignment="1" applyProtection="1">
      <alignment horizontal="left" vertical="center" wrapText="1"/>
    </xf>
    <xf numFmtId="0" fontId="15" fillId="6" borderId="19" xfId="0" applyFont="1" applyFill="1" applyBorder="1" applyAlignment="1">
      <alignment horizontal="center" vertical="center"/>
    </xf>
    <xf numFmtId="0" fontId="15" fillId="6" borderId="35" xfId="0" applyFont="1" applyFill="1" applyBorder="1" applyAlignment="1">
      <alignment horizontal="center" vertical="center"/>
    </xf>
    <xf numFmtId="164" fontId="4" fillId="0" borderId="10" xfId="0" applyNumberFormat="1" applyFont="1" applyBorder="1" applyAlignment="1">
      <alignment horizontal="center"/>
    </xf>
    <xf numFmtId="164" fontId="4" fillId="0" borderId="11" xfId="0" applyNumberFormat="1" applyFont="1" applyBorder="1" applyAlignment="1">
      <alignment horizontal="center"/>
    </xf>
    <xf numFmtId="0" fontId="2" fillId="9" borderId="19" xfId="0" applyFont="1" applyFill="1" applyBorder="1" applyAlignment="1">
      <alignment horizontal="center" vertical="center"/>
    </xf>
    <xf numFmtId="0" fontId="4" fillId="0" borderId="17" xfId="0" applyFont="1" applyBorder="1" applyAlignment="1">
      <alignment horizontal="left" vertical="center" wrapText="1"/>
    </xf>
    <xf numFmtId="0" fontId="4" fillId="0" borderId="22" xfId="0" applyFont="1" applyBorder="1" applyAlignment="1">
      <alignment horizontal="left" vertical="center" wrapText="1"/>
    </xf>
    <xf numFmtId="0" fontId="12" fillId="16" borderId="16" xfId="1" applyFont="1" applyFill="1" applyBorder="1" applyAlignment="1" applyProtection="1">
      <alignment horizontal="left" vertical="center" wrapText="1"/>
    </xf>
    <xf numFmtId="0" fontId="12" fillId="16" borderId="19" xfId="1" applyFont="1" applyFill="1" applyBorder="1" applyAlignment="1" applyProtection="1">
      <alignment horizontal="left" vertical="center" wrapText="1"/>
    </xf>
    <xf numFmtId="0" fontId="12" fillId="16" borderId="35" xfId="1" applyFont="1" applyFill="1" applyBorder="1" applyAlignment="1" applyProtection="1">
      <alignment horizontal="left" vertical="center" wrapText="1"/>
    </xf>
    <xf numFmtId="164" fontId="4" fillId="15" borderId="25" xfId="0" applyNumberFormat="1" applyFont="1" applyFill="1" applyBorder="1" applyAlignment="1">
      <alignment horizontal="center"/>
    </xf>
    <xf numFmtId="164" fontId="4" fillId="15" borderId="21" xfId="0" applyNumberFormat="1" applyFont="1" applyFill="1" applyBorder="1" applyAlignment="1">
      <alignment horizontal="center"/>
    </xf>
    <xf numFmtId="0" fontId="4" fillId="15" borderId="16" xfId="0" applyFont="1" applyFill="1" applyBorder="1" applyAlignment="1">
      <alignment horizontal="left" vertical="center" wrapText="1"/>
    </xf>
    <xf numFmtId="0" fontId="4" fillId="15" borderId="21" xfId="0" applyFont="1" applyFill="1" applyBorder="1" applyAlignment="1">
      <alignment horizontal="left" vertical="center" wrapText="1"/>
    </xf>
    <xf numFmtId="164" fontId="12" fillId="15" borderId="16" xfId="1" applyNumberFormat="1" applyFont="1" applyFill="1" applyBorder="1" applyAlignment="1" applyProtection="1">
      <alignment horizontal="left" vertical="center" wrapText="1"/>
    </xf>
    <xf numFmtId="164" fontId="12" fillId="15" borderId="19" xfId="1" applyNumberFormat="1" applyFont="1" applyFill="1" applyBorder="1" applyAlignment="1" applyProtection="1">
      <alignment horizontal="left" vertical="center" wrapText="1"/>
    </xf>
    <xf numFmtId="164" fontId="12" fillId="15" borderId="35" xfId="1" applyNumberFormat="1" applyFont="1" applyFill="1" applyBorder="1" applyAlignment="1" applyProtection="1">
      <alignment horizontal="left" vertical="center" wrapText="1"/>
    </xf>
    <xf numFmtId="164" fontId="4" fillId="16" borderId="31" xfId="0" applyNumberFormat="1" applyFont="1" applyFill="1" applyBorder="1" applyAlignment="1">
      <alignment horizontal="center"/>
    </xf>
    <xf numFmtId="164" fontId="4" fillId="16" borderId="38" xfId="0" applyNumberFormat="1" applyFont="1" applyFill="1" applyBorder="1" applyAlignment="1">
      <alignment horizontal="center"/>
    </xf>
    <xf numFmtId="0" fontId="2" fillId="9" borderId="25" xfId="0" applyFont="1" applyFill="1" applyBorder="1" applyAlignment="1">
      <alignment horizontal="center" vertical="center" wrapText="1"/>
    </xf>
    <xf numFmtId="0" fontId="2" fillId="9" borderId="19" xfId="0" applyFont="1" applyFill="1" applyBorder="1" applyAlignment="1">
      <alignment horizontal="center" vertical="center" wrapText="1"/>
    </xf>
    <xf numFmtId="0" fontId="2" fillId="6" borderId="25" xfId="0" applyFont="1" applyFill="1" applyBorder="1" applyAlignment="1">
      <alignment horizontal="center" vertical="center"/>
    </xf>
    <xf numFmtId="0" fontId="2" fillId="6" borderId="19" xfId="0" applyFont="1" applyFill="1" applyBorder="1" applyAlignment="1">
      <alignment horizontal="center" vertical="center"/>
    </xf>
    <xf numFmtId="0" fontId="4" fillId="16" borderId="16" xfId="0" applyFont="1" applyFill="1" applyBorder="1" applyAlignment="1">
      <alignment vertical="center" wrapText="1"/>
    </xf>
    <xf numFmtId="0" fontId="4" fillId="16" borderId="21" xfId="0" applyFont="1" applyFill="1" applyBorder="1" applyAlignment="1">
      <alignment vertical="center" wrapText="1"/>
    </xf>
    <xf numFmtId="164" fontId="4" fillId="16" borderId="25" xfId="0" applyNumberFormat="1" applyFont="1" applyFill="1" applyBorder="1" applyAlignment="1">
      <alignment horizontal="center"/>
    </xf>
    <xf numFmtId="164" fontId="4" fillId="16" borderId="21" xfId="0" applyNumberFormat="1" applyFont="1" applyFill="1" applyBorder="1" applyAlignment="1">
      <alignment horizontal="center"/>
    </xf>
    <xf numFmtId="164" fontId="4" fillId="16" borderId="9" xfId="0" applyNumberFormat="1" applyFont="1" applyFill="1" applyBorder="1" applyAlignment="1">
      <alignment horizontal="center"/>
    </xf>
    <xf numFmtId="164" fontId="4" fillId="16" borderId="1" xfId="0" applyNumberFormat="1" applyFont="1" applyFill="1" applyBorder="1" applyAlignment="1">
      <alignment horizontal="center"/>
    </xf>
    <xf numFmtId="0" fontId="4" fillId="16" borderId="16" xfId="0" applyFont="1" applyFill="1" applyBorder="1" applyAlignment="1">
      <alignment horizontal="left" vertical="center" wrapText="1"/>
    </xf>
    <xf numFmtId="0" fontId="4" fillId="16" borderId="21" xfId="0" applyFont="1" applyFill="1" applyBorder="1" applyAlignment="1">
      <alignment horizontal="left" vertical="center" wrapText="1"/>
    </xf>
    <xf numFmtId="0" fontId="35" fillId="0" borderId="16" xfId="1" applyFont="1" applyBorder="1" applyAlignment="1" applyProtection="1">
      <alignment horizontal="left" vertical="center" wrapText="1"/>
    </xf>
    <xf numFmtId="0" fontId="35" fillId="0" borderId="19" xfId="1" applyFont="1" applyBorder="1" applyAlignment="1" applyProtection="1">
      <alignment horizontal="left" vertical="center" wrapText="1"/>
    </xf>
    <xf numFmtId="0" fontId="35" fillId="0" borderId="35" xfId="1" applyFont="1" applyBorder="1" applyAlignment="1" applyProtection="1">
      <alignment horizontal="left" vertical="center" wrapText="1"/>
    </xf>
    <xf numFmtId="16" fontId="14" fillId="7" borderId="15" xfId="0" applyNumberFormat="1" applyFont="1" applyFill="1" applyBorder="1" applyAlignment="1">
      <alignment horizontal="center" vertical="center" wrapText="1"/>
    </xf>
    <xf numFmtId="16" fontId="14" fillId="7" borderId="41" xfId="0" applyNumberFormat="1" applyFont="1" applyFill="1" applyBorder="1" applyAlignment="1">
      <alignment horizontal="center" vertical="center" wrapText="1"/>
    </xf>
  </cellXfs>
  <cellStyles count="3">
    <cellStyle name="Hyperlink" xfId="1" builtinId="8"/>
    <cellStyle name="Normal" xfId="0" builtinId="0"/>
    <cellStyle name="Style 1" xfId="2"/>
  </cellStyles>
  <dxfs count="49">
    <dxf>
      <font>
        <b/>
        <i val="0"/>
      </font>
    </dxf>
    <dxf>
      <font>
        <b val="0"/>
        <i/>
      </font>
    </dxf>
    <dxf>
      <font>
        <b/>
        <i val="0"/>
      </font>
    </dxf>
    <dxf>
      <font>
        <b val="0"/>
        <i/>
      </font>
      <fill>
        <patternFill>
          <bgColor theme="1" tint="0.499984740745262"/>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ill>
        <patternFill>
          <bgColor rgb="FFFFFF00"/>
        </patternFill>
      </fill>
    </dxf>
    <dxf>
      <fill>
        <patternFill>
          <bgColor rgb="FFFFFF00"/>
        </patternFill>
      </fill>
    </dxf>
    <dxf>
      <font>
        <b val="0"/>
        <i val="0"/>
      </font>
      <fill>
        <patternFill>
          <bgColor theme="0"/>
        </patternFill>
      </fill>
    </dxf>
    <dxf>
      <font>
        <b val="0"/>
        <i val="0"/>
      </font>
      <fill>
        <patternFill>
          <bgColor theme="0"/>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color rgb="FFFF0000"/>
      </font>
    </dxf>
    <dxf>
      <font>
        <b/>
        <i val="0"/>
        <color rgb="FFFF0000"/>
      </font>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s>
  <tableStyles count="0" defaultTableStyle="TableStyleMedium9" defaultPivotStyle="PivotStyleLight16"/>
  <colors>
    <mruColors>
      <color rgb="FFA3E7FF"/>
      <color rgb="FF69A12B"/>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fmlaLink="$M$13" lockText="1" noThreeD="1"/>
</file>

<file path=xl/ctrlProps/ctrlProp2.xml><?xml version="1.0" encoding="utf-8"?>
<formControlPr xmlns="http://schemas.microsoft.com/office/spreadsheetml/2009/9/main" objectType="CheckBox" fmlaLink="$M$27" lockText="1" noThreeD="1"/>
</file>

<file path=xl/ctrlProps/ctrlProp3.xml><?xml version="1.0" encoding="utf-8"?>
<formControlPr xmlns="http://schemas.microsoft.com/office/spreadsheetml/2009/9/main" objectType="CheckBox" fmlaLink="$M$29" lockText="1" noThreeD="1"/>
</file>

<file path=xl/ctrlProps/ctrlProp4.xml><?xml version="1.0" encoding="utf-8"?>
<formControlPr xmlns="http://schemas.microsoft.com/office/spreadsheetml/2009/9/main" objectType="CheckBox" fmlaLink="$M$35" lockText="1" noThreeD="1"/>
</file>

<file path=xl/ctrlProps/ctrlProp5.xml><?xml version="1.0" encoding="utf-8"?>
<formControlPr xmlns="http://schemas.microsoft.com/office/spreadsheetml/2009/9/main" objectType="CheckBox" fmlaLink="$M$19" lockText="1" noThreeD="1"/>
</file>

<file path=xl/ctrlProps/ctrlProp6.xml><?xml version="1.0" encoding="utf-8"?>
<formControlPr xmlns="http://schemas.microsoft.com/office/spreadsheetml/2009/9/main" objectType="CheckBox" fmlaLink="$M$20" lockText="1" noThreeD="1"/>
</file>

<file path=xl/ctrlProps/ctrlProp7.xml><?xml version="1.0" encoding="utf-8"?>
<formControlPr xmlns="http://schemas.microsoft.com/office/spreadsheetml/2009/9/main" objectType="CheckBox" fmlaLink="$M$21" lockText="1" noThreeD="1"/>
</file>

<file path=xl/ctrlProps/ctrlProp8.xml><?xml version="1.0" encoding="utf-8"?>
<formControlPr xmlns="http://schemas.microsoft.com/office/spreadsheetml/2009/9/main" objectType="CheckBox" fmlaLink="$M$22" lockText="1" noThreeD="1"/>
</file>

<file path=xl/ctrlProps/ctrlProp9.xml><?xml version="1.0" encoding="utf-8"?>
<formControlPr xmlns="http://schemas.microsoft.com/office/spreadsheetml/2009/9/main" objectType="CheckBox" fmlaLink="$M$25" lockText="1" noThreeD="1"/>
</file>

<file path=xl/ctrlProps/ctrlProp10.xml><?xml version="1.0" encoding="utf-8"?>
<formControlPr xmlns="http://schemas.microsoft.com/office/spreadsheetml/2009/9/main" objectType="CheckBox" fmlaLink="$M$14" lockText="1" noThreeD="1"/>
</file>

<file path=xl/ctrlProps/ctrlProp11.xml><?xml version="1.0" encoding="utf-8"?>
<formControlPr xmlns="http://schemas.microsoft.com/office/spreadsheetml/2009/9/main" objectType="CheckBox" fmlaLink="$M$16" lockText="1" noThreeD="1"/>
</file>

<file path=xl/ctrlProps/ctrlProp12.xml><?xml version="1.0" encoding="utf-8"?>
<formControlPr xmlns="http://schemas.microsoft.com/office/spreadsheetml/2009/9/main" objectType="CheckBox" fmlaLink="$M$31" lockText="1" noThreeD="1"/>
</file>

<file path=xl/ctrlProps/ctrlProp13.xml><?xml version="1.0" encoding="utf-8"?>
<formControlPr xmlns="http://schemas.microsoft.com/office/spreadsheetml/2009/9/main" objectType="CheckBox" fmlaLink="$M$33" lockText="1" noThreeD="1"/>
</file>

<file path=xl/ctrlProps/ctrlProp14.xml><?xml version="1.0" encoding="utf-8"?>
<formControlPr xmlns="http://schemas.microsoft.com/office/spreadsheetml/2009/9/main" objectType="CheckBox" fmlaLink="$M$23" lockText="1" noThreeD="1"/>
</file>

<file path=xl/ctrlProps/ctrlProp15.xml><?xml version="1.0" encoding="utf-8"?>
<formControlPr xmlns="http://schemas.microsoft.com/office/spreadsheetml/2009/9/main" objectType="CheckBox" fmlaLink="$M$15"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238125</xdr:colOff>
      <xdr:row>1</xdr:row>
      <xdr:rowOff>107159</xdr:rowOff>
    </xdr:from>
    <xdr:to>
      <xdr:col>5</xdr:col>
      <xdr:colOff>1613297</xdr:colOff>
      <xdr:row>3</xdr:row>
      <xdr:rowOff>71440</xdr:rowOff>
    </xdr:to>
    <xdr:pic>
      <xdr:nvPicPr>
        <xdr:cNvPr id="4" name="Picture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88156" y="297659"/>
          <a:ext cx="7268766" cy="2202656"/>
        </a:xfrm>
        <a:prstGeom prst="rect">
          <a:avLst/>
        </a:prstGeom>
      </xdr:spPr>
    </xdr:pic>
    <xdr:clientData/>
  </xdr:twoCellAnchor>
  <xdr:twoCellAnchor>
    <xdr:from>
      <xdr:col>5</xdr:col>
      <xdr:colOff>102394</xdr:colOff>
      <xdr:row>4</xdr:row>
      <xdr:rowOff>119064</xdr:rowOff>
    </xdr:from>
    <xdr:to>
      <xdr:col>5</xdr:col>
      <xdr:colOff>752499</xdr:colOff>
      <xdr:row>5</xdr:row>
      <xdr:rowOff>226221</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07832" y="2738439"/>
          <a:ext cx="650105" cy="4524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226219</xdr:colOff>
      <xdr:row>0</xdr:row>
      <xdr:rowOff>192881</xdr:rowOff>
    </xdr:from>
    <xdr:to>
      <xdr:col>6</xdr:col>
      <xdr:colOff>3417093</xdr:colOff>
      <xdr:row>6</xdr:row>
      <xdr:rowOff>95250</xdr:rowOff>
    </xdr:to>
    <xdr:sp macro="" textlink="">
      <xdr:nvSpPr>
        <xdr:cNvPr id="3" name="TextBox 2"/>
        <xdr:cNvSpPr txBox="1"/>
      </xdr:nvSpPr>
      <xdr:spPr>
        <a:xfrm>
          <a:off x="226219" y="192881"/>
          <a:ext cx="7244291" cy="62203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2000">
              <a:solidFill>
                <a:schemeClr val="bg2"/>
              </a:solidFill>
              <a:latin typeface="Segoe UI Semibold"/>
              <a:ea typeface="Segoe UI"/>
              <a:cs typeface="Segoe UI"/>
            </a:rPr>
            <a:t>Office 365 Upgrade Planning Worksheet </a:t>
          </a:r>
        </a:p>
      </xdr:txBody>
    </xdr:sp>
    <xdr:clientData/>
  </xdr:twoCellAnchor>
  <xdr:twoCellAnchor>
    <xdr:from>
      <xdr:col>6</xdr:col>
      <xdr:colOff>3559968</xdr:colOff>
      <xdr:row>0</xdr:row>
      <xdr:rowOff>190500</xdr:rowOff>
    </xdr:from>
    <xdr:to>
      <xdr:col>7</xdr:col>
      <xdr:colOff>1688306</xdr:colOff>
      <xdr:row>6</xdr:row>
      <xdr:rowOff>92869</xdr:rowOff>
    </xdr:to>
    <xdr:sp macro="" textlink="">
      <xdr:nvSpPr>
        <xdr:cNvPr id="20" name="TextBox 19"/>
        <xdr:cNvSpPr txBox="1"/>
      </xdr:nvSpPr>
      <xdr:spPr>
        <a:xfrm>
          <a:off x="7631906" y="190500"/>
          <a:ext cx="2271713" cy="6286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endParaRPr lang="en-US" sz="2000"/>
        </a:p>
      </xdr:txBody>
    </xdr:sp>
    <xdr:clientData/>
  </xdr:twoCellAnchor>
  <xdr:twoCellAnchor>
    <xdr:from>
      <xdr:col>6</xdr:col>
      <xdr:colOff>3631406</xdr:colOff>
      <xdr:row>1</xdr:row>
      <xdr:rowOff>95250</xdr:rowOff>
    </xdr:from>
    <xdr:to>
      <xdr:col>7</xdr:col>
      <xdr:colOff>138136</xdr:colOff>
      <xdr:row>6</xdr:row>
      <xdr:rowOff>35720</xdr:rowOff>
    </xdr:to>
    <xdr:pic>
      <xdr:nvPicPr>
        <xdr:cNvPr id="21" name="Picture 20"/>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3344" y="309563"/>
          <a:ext cx="650105" cy="45243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200025</xdr:colOff>
          <xdr:row>12</xdr:row>
          <xdr:rowOff>228600</xdr:rowOff>
        </xdr:from>
        <xdr:to>
          <xdr:col>7</xdr:col>
          <xdr:colOff>1819275</xdr:colOff>
          <xdr:row>12</xdr:row>
          <xdr:rowOff>447675</xdr:rowOff>
        </xdr:to>
        <xdr:sp macro="" textlink="">
          <xdr:nvSpPr>
            <xdr:cNvPr id="2050" name="Check Box 2" hidden="1">
              <a:extLst>
                <a:ext uri="{63B3BB69-23CF-44E3-9099-C40C66FF867C}">
                  <a14:compatExt spid="_x0000_s205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AD FS</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26</xdr:row>
          <xdr:rowOff>47625</xdr:rowOff>
        </xdr:from>
        <xdr:to>
          <xdr:col>7</xdr:col>
          <xdr:colOff>1819275</xdr:colOff>
          <xdr:row>26</xdr:row>
          <xdr:rowOff>266700</xdr:rowOff>
        </xdr:to>
        <xdr:sp macro="" textlink="">
          <xdr:nvSpPr>
            <xdr:cNvPr id="2057" name="Check Box 9" hidden="1">
              <a:extLst>
                <a:ext uri="{63B3BB69-23CF-44E3-9099-C40C66FF867C}">
                  <a14:compatExt spid="_x0000_s205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PowerShell admin</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28</xdr:row>
          <xdr:rowOff>123825</xdr:rowOff>
        </xdr:from>
        <xdr:to>
          <xdr:col>7</xdr:col>
          <xdr:colOff>1819275</xdr:colOff>
          <xdr:row>28</xdr:row>
          <xdr:rowOff>342900</xdr:rowOff>
        </xdr:to>
        <xdr:sp macro="" textlink="">
          <xdr:nvSpPr>
            <xdr:cNvPr id="2058" name="Check Box 10" hidden="1">
              <a:extLst>
                <a:ext uri="{63B3BB69-23CF-44E3-9099-C40C66FF867C}">
                  <a14:compatExt spid="_x0000_s205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Customised Exchange settings</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34</xdr:row>
          <xdr:rowOff>57150</xdr:rowOff>
        </xdr:from>
        <xdr:to>
          <xdr:col>7</xdr:col>
          <xdr:colOff>1819275</xdr:colOff>
          <xdr:row>34</xdr:row>
          <xdr:rowOff>276225</xdr:rowOff>
        </xdr:to>
        <xdr:sp macro="" textlink="">
          <xdr:nvSpPr>
            <xdr:cNvPr id="2059" name="Check Box 11" hidden="1">
              <a:extLst>
                <a:ext uri="{63B3BB69-23CF-44E3-9099-C40C66FF867C}">
                  <a14:compatExt spid="_x0000_s205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Classroom workflow</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18</xdr:row>
          <xdr:rowOff>38100</xdr:rowOff>
        </xdr:from>
        <xdr:to>
          <xdr:col>7</xdr:col>
          <xdr:colOff>1819275</xdr:colOff>
          <xdr:row>18</xdr:row>
          <xdr:rowOff>257175</xdr:rowOff>
        </xdr:to>
        <xdr:sp macro="" textlink="">
          <xdr:nvSpPr>
            <xdr:cNvPr id="2061" name="Check Box 13" hidden="1">
              <a:extLst>
                <a:ext uri="{63B3BB69-23CF-44E3-9099-C40C66FF867C}">
                  <a14:compatExt spid="_x0000_s206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OLSync</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19</xdr:row>
          <xdr:rowOff>47625</xdr:rowOff>
        </xdr:from>
        <xdr:to>
          <xdr:col>7</xdr:col>
          <xdr:colOff>1819275</xdr:colOff>
          <xdr:row>19</xdr:row>
          <xdr:rowOff>266700</xdr:rowOff>
        </xdr:to>
        <xdr:sp macro="" textlink="">
          <xdr:nvSpPr>
            <xdr:cNvPr id="2062" name="Check Box 14" hidden="1">
              <a:extLst>
                <a:ext uri="{63B3BB69-23CF-44E3-9099-C40C66FF867C}">
                  <a14:compatExt spid="_x0000_s206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OLMA</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20</xdr:row>
          <xdr:rowOff>76200</xdr:rowOff>
        </xdr:from>
        <xdr:to>
          <xdr:col>7</xdr:col>
          <xdr:colOff>1819275</xdr:colOff>
          <xdr:row>20</xdr:row>
          <xdr:rowOff>295275</xdr:rowOff>
        </xdr:to>
        <xdr:sp macro="" textlink="">
          <xdr:nvSpPr>
            <xdr:cNvPr id="2063" name="Check Box 15" hidden="1">
              <a:extLst>
                <a:ext uri="{63B3BB69-23CF-44E3-9099-C40C66FF867C}">
                  <a14:compatExt spid="_x0000_s2063"/>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PowerShell</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21</xdr:row>
          <xdr:rowOff>66675</xdr:rowOff>
        </xdr:from>
        <xdr:to>
          <xdr:col>7</xdr:col>
          <xdr:colOff>1819275</xdr:colOff>
          <xdr:row>21</xdr:row>
          <xdr:rowOff>285750</xdr:rowOff>
        </xdr:to>
        <xdr:sp macro="" textlink="">
          <xdr:nvSpPr>
            <xdr:cNvPr id="2064" name="Check Box 16" hidden="1">
              <a:extLst>
                <a:ext uri="{63B3BB69-23CF-44E3-9099-C40C66FF867C}">
                  <a14:compatExt spid="_x0000_s206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MAV3</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24</xdr:row>
          <xdr:rowOff>47625</xdr:rowOff>
        </xdr:from>
        <xdr:to>
          <xdr:col>7</xdr:col>
          <xdr:colOff>1819275</xdr:colOff>
          <xdr:row>24</xdr:row>
          <xdr:rowOff>266700</xdr:rowOff>
        </xdr:to>
        <xdr:sp macro="" textlink="">
          <xdr:nvSpPr>
            <xdr:cNvPr id="2065" name="Check Box 17" hidden="1">
              <a:extLst>
                <a:ext uri="{63B3BB69-23CF-44E3-9099-C40C66FF867C}">
                  <a14:compatExt spid="_x0000_s206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WL SDK</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13</xdr:row>
          <xdr:rowOff>171450</xdr:rowOff>
        </xdr:from>
        <xdr:to>
          <xdr:col>7</xdr:col>
          <xdr:colOff>1819275</xdr:colOff>
          <xdr:row>13</xdr:row>
          <xdr:rowOff>390525</xdr:rowOff>
        </xdr:to>
        <xdr:sp macro="" textlink="">
          <xdr:nvSpPr>
            <xdr:cNvPr id="2066" name="Check Box 18" hidden="1">
              <a:extLst>
                <a:ext uri="{63B3BB69-23CF-44E3-9099-C40C66FF867C}">
                  <a14:compatExt spid="_x0000_s206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Shibboleth</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15</xdr:row>
          <xdr:rowOff>219075</xdr:rowOff>
        </xdr:from>
        <xdr:to>
          <xdr:col>7</xdr:col>
          <xdr:colOff>1819275</xdr:colOff>
          <xdr:row>15</xdr:row>
          <xdr:rowOff>438150</xdr:rowOff>
        </xdr:to>
        <xdr:sp macro="" textlink="">
          <xdr:nvSpPr>
            <xdr:cNvPr id="2067" name="Check Box 19" hidden="1">
              <a:extLst>
                <a:ext uri="{63B3BB69-23CF-44E3-9099-C40C66FF867C}">
                  <a14:compatExt spid="_x0000_s206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Add Shibboleth</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30</xdr:row>
          <xdr:rowOff>47625</xdr:rowOff>
        </xdr:from>
        <xdr:to>
          <xdr:col>7</xdr:col>
          <xdr:colOff>1819275</xdr:colOff>
          <xdr:row>30</xdr:row>
          <xdr:rowOff>266700</xdr:rowOff>
        </xdr:to>
        <xdr:sp macro="" textlink="">
          <xdr:nvSpPr>
            <xdr:cNvPr id="2068" name="Check Box 20" hidden="1">
              <a:extLst>
                <a:ext uri="{63B3BB69-23CF-44E3-9099-C40C66FF867C}">
                  <a14:compatExt spid="_x0000_s206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Uses outlook.com</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32</xdr:row>
          <xdr:rowOff>57150</xdr:rowOff>
        </xdr:from>
        <xdr:to>
          <xdr:col>7</xdr:col>
          <xdr:colOff>1819275</xdr:colOff>
          <xdr:row>32</xdr:row>
          <xdr:rowOff>276225</xdr:rowOff>
        </xdr:to>
        <xdr:sp macro="" textlink="">
          <xdr:nvSpPr>
            <xdr:cNvPr id="2069" name="Check Box 21" hidden="1">
              <a:extLst>
                <a:ext uri="{63B3BB69-23CF-44E3-9099-C40C66FF867C}">
                  <a14:compatExt spid="_x0000_s206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PCNS</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22</xdr:row>
          <xdr:rowOff>76200</xdr:rowOff>
        </xdr:from>
        <xdr:to>
          <xdr:col>7</xdr:col>
          <xdr:colOff>1819275</xdr:colOff>
          <xdr:row>22</xdr:row>
          <xdr:rowOff>295275</xdr:rowOff>
        </xdr:to>
        <xdr:sp macro="" textlink="">
          <xdr:nvSpPr>
            <xdr:cNvPr id="2075" name="Check Box 27" hidden="1">
              <a:extLst>
                <a:ext uri="{63B3BB69-23CF-44E3-9099-C40C66FF867C}">
                  <a14:compatExt spid="_x0000_s207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OLMA w/o AD</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14</xdr:row>
          <xdr:rowOff>219075</xdr:rowOff>
        </xdr:from>
        <xdr:to>
          <xdr:col>7</xdr:col>
          <xdr:colOff>1819275</xdr:colOff>
          <xdr:row>14</xdr:row>
          <xdr:rowOff>438150</xdr:rowOff>
        </xdr:to>
        <xdr:sp macro="" textlink="">
          <xdr:nvSpPr>
            <xdr:cNvPr id="2076" name="Check Box 28" hidden="1">
              <a:extLst>
                <a:ext uri="{63B3BB69-23CF-44E3-9099-C40C66FF867C}">
                  <a14:compatExt spid="_x0000_s207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Add Federation</a:t>
              </a:r>
              <a:endParaRPr lang="en-US"/>
            </a:p>
          </xdr:txBody>
        </xdr:sp>
        <xdr:clientData/>
      </xdr:twoCellAnchor>
    </mc:Choice>
    <mc:Fallback/>
  </mc:AlternateContent>
</xdr:wsDr>
</file>

<file path=xl/theme/theme1.xml><?xml version="1.0" encoding="utf-8"?>
<a:theme xmlns:a="http://schemas.openxmlformats.org/drawingml/2006/main" name="Office Theme">
  <a:themeElements>
    <a:clrScheme name="Office365Edu">
      <a:dk1>
        <a:sysClr val="windowText" lastClr="000000"/>
      </a:dk1>
      <a:lt1>
        <a:sysClr val="window" lastClr="FFFFFF"/>
      </a:lt1>
      <a:dk2>
        <a:srgbClr val="595959"/>
      </a:dk2>
      <a:lt2>
        <a:srgbClr val="FFFFFF"/>
      </a:lt2>
      <a:accent1>
        <a:srgbClr val="EE7816"/>
      </a:accent1>
      <a:accent2>
        <a:srgbClr val="FEA500"/>
      </a:accent2>
      <a:accent3>
        <a:srgbClr val="FC4B00"/>
      </a:accent3>
      <a:accent4>
        <a:srgbClr val="595959"/>
      </a:accent4>
      <a:accent5>
        <a:srgbClr val="2473A8"/>
      </a:accent5>
      <a:accent6>
        <a:srgbClr val="6BBD46"/>
      </a:accent6>
      <a:hlink>
        <a:srgbClr val="FC4B00"/>
      </a:hlink>
      <a:folHlink>
        <a:srgbClr val="FC4B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go.microsoft.com/fwlink/p/?LinkId=253605" TargetMode="External"/><Relationship Id="rId18" Type="http://schemas.openxmlformats.org/officeDocument/2006/relationships/hyperlink" Target="http://g.microsoftonline.com/0rmcm00en-gb/5382" TargetMode="External"/><Relationship Id="rId26" Type="http://schemas.openxmlformats.org/officeDocument/2006/relationships/hyperlink" Target="http://g.microsoftonline.com/0rmcm00en-gb/5400" TargetMode="External"/><Relationship Id="rId39" Type="http://schemas.openxmlformats.org/officeDocument/2006/relationships/hyperlink" Target="http://g.microsoftonline.com/0rmcm00en-gb/5403" TargetMode="External"/><Relationship Id="rId21" Type="http://schemas.openxmlformats.org/officeDocument/2006/relationships/hyperlink" Target="http://g.microsoftonline.com/0rmcm00en-gb/5384" TargetMode="External"/><Relationship Id="rId34" Type="http://schemas.openxmlformats.org/officeDocument/2006/relationships/hyperlink" Target="http://g.microsoftonline.com/0rmcm00en-gb/5400" TargetMode="External"/><Relationship Id="rId42" Type="http://schemas.openxmlformats.org/officeDocument/2006/relationships/hyperlink" Target="http://g.microsoftonline.com/0rmcm00en-gb/5406" TargetMode="External"/><Relationship Id="rId47" Type="http://schemas.openxmlformats.org/officeDocument/2006/relationships/hyperlink" Target="http://g.microsoftonline.com/0rmcm00en-gb/5411" TargetMode="External"/><Relationship Id="rId50" Type="http://schemas.openxmlformats.org/officeDocument/2006/relationships/hyperlink" Target="http://g.microsoftonline.com/0rmcm00en-gb/5414" TargetMode="External"/><Relationship Id="rId55" Type="http://schemas.openxmlformats.org/officeDocument/2006/relationships/hyperlink" Target="http://g.microsoftonline.com/0rmcm00en-gb/5419" TargetMode="External"/><Relationship Id="rId63" Type="http://schemas.openxmlformats.org/officeDocument/2006/relationships/hyperlink" Target="http://g.microsoftonline.com/0rmcm00en-gb/5427" TargetMode="External"/><Relationship Id="rId68" Type="http://schemas.openxmlformats.org/officeDocument/2006/relationships/hyperlink" Target="http://g.microsoftonline.com/0rmcm00en-gb/5431" TargetMode="External"/><Relationship Id="rId76" Type="http://schemas.openxmlformats.org/officeDocument/2006/relationships/printerSettings" Target="../printerSettings/printerSettings2.bin"/><Relationship Id="rId84" Type="http://schemas.openxmlformats.org/officeDocument/2006/relationships/ctrlProp" Target="../ctrlProps/ctrlProp6.xml"/><Relationship Id="rId89" Type="http://schemas.openxmlformats.org/officeDocument/2006/relationships/ctrlProp" Target="../ctrlProps/ctrlProp11.xml"/><Relationship Id="rId7" Type="http://schemas.openxmlformats.org/officeDocument/2006/relationships/hyperlink" Target="http://go.microsoft.com/fwlink/p/?LinkId=253149" TargetMode="External"/><Relationship Id="rId71" Type="http://schemas.openxmlformats.org/officeDocument/2006/relationships/hyperlink" Target="http://g.microsoftonline.com/0rmcm00en-gb/5379" TargetMode="External"/><Relationship Id="rId92" Type="http://schemas.openxmlformats.org/officeDocument/2006/relationships/ctrlProp" Target="../ctrlProps/ctrlProp14.xml"/><Relationship Id="rId2" Type="http://schemas.openxmlformats.org/officeDocument/2006/relationships/hyperlink" Target="http://go.microsoft.com/fwlink/p/?LinkId=253601" TargetMode="External"/><Relationship Id="rId16" Type="http://schemas.openxmlformats.org/officeDocument/2006/relationships/hyperlink" Target="http://go.microsoft.com/fwlink/p/?LinkId=251279" TargetMode="External"/><Relationship Id="rId29" Type="http://schemas.openxmlformats.org/officeDocument/2006/relationships/hyperlink" Target="http://g.microsoftonline.com/0rmcm00en-gb/5387" TargetMode="External"/><Relationship Id="rId11" Type="http://schemas.openxmlformats.org/officeDocument/2006/relationships/hyperlink" Target="http://go.microsoft.com/fwlink/p/?LinkId=253601" TargetMode="External"/><Relationship Id="rId24" Type="http://schemas.openxmlformats.org/officeDocument/2006/relationships/hyperlink" Target="http://g.microsoftonline.com/0rmcm00en-gb/5387" TargetMode="External"/><Relationship Id="rId32" Type="http://schemas.openxmlformats.org/officeDocument/2006/relationships/hyperlink" Target="http://g.microsoftonline.com/0rmcm00en-gb/5394" TargetMode="External"/><Relationship Id="rId37" Type="http://schemas.openxmlformats.org/officeDocument/2006/relationships/hyperlink" Target="http://g.microsoftonline.com/0rmcm00en-gb/5399" TargetMode="External"/><Relationship Id="rId40" Type="http://schemas.openxmlformats.org/officeDocument/2006/relationships/hyperlink" Target="http://g.microsoftonline.com/0rmcm00en-gb/5404" TargetMode="External"/><Relationship Id="rId45" Type="http://schemas.openxmlformats.org/officeDocument/2006/relationships/hyperlink" Target="http://g.microsoftonline.com/0rmcm00en-gb/5409" TargetMode="External"/><Relationship Id="rId53" Type="http://schemas.openxmlformats.org/officeDocument/2006/relationships/hyperlink" Target="http://g.microsoftonline.com/0rmcm00en-gb/5417" TargetMode="External"/><Relationship Id="rId58" Type="http://schemas.openxmlformats.org/officeDocument/2006/relationships/hyperlink" Target="http://g.microsoftonline.com/0rmcm00en-gb/5422" TargetMode="External"/><Relationship Id="rId66" Type="http://schemas.openxmlformats.org/officeDocument/2006/relationships/hyperlink" Target="http://g.microsoftonline.com/0rmcm00en-gb/5429" TargetMode="External"/><Relationship Id="rId74" Type="http://schemas.openxmlformats.org/officeDocument/2006/relationships/hyperlink" Target="http://g.microsoftonline.com/0rmcm00en-gb/5372" TargetMode="External"/><Relationship Id="rId79" Type="http://schemas.openxmlformats.org/officeDocument/2006/relationships/ctrlProp" Target="../ctrlProps/ctrlProp1.xml"/><Relationship Id="rId87" Type="http://schemas.openxmlformats.org/officeDocument/2006/relationships/ctrlProp" Target="../ctrlProps/ctrlProp9.xml"/><Relationship Id="rId5" Type="http://schemas.openxmlformats.org/officeDocument/2006/relationships/hyperlink" Target="http://go.microsoft.com/fwlink/p/?LinkId=253601" TargetMode="External"/><Relationship Id="rId61" Type="http://schemas.openxmlformats.org/officeDocument/2006/relationships/hyperlink" Target="http://g.microsoftonline.com/0rmcm00en-gb/5425" TargetMode="External"/><Relationship Id="rId82" Type="http://schemas.openxmlformats.org/officeDocument/2006/relationships/ctrlProp" Target="../ctrlProps/ctrlProp4.xml"/><Relationship Id="rId90" Type="http://schemas.openxmlformats.org/officeDocument/2006/relationships/ctrlProp" Target="../ctrlProps/ctrlProp12.xml"/><Relationship Id="rId19" Type="http://schemas.openxmlformats.org/officeDocument/2006/relationships/hyperlink" Target="http://g.microsoftonline.com/0rmcm00en-gb/5383" TargetMode="External"/><Relationship Id="rId14" Type="http://schemas.openxmlformats.org/officeDocument/2006/relationships/hyperlink" Target="http://go.microsoft.com/fwlink/p/?LinkId=253606" TargetMode="External"/><Relationship Id="rId22" Type="http://schemas.openxmlformats.org/officeDocument/2006/relationships/hyperlink" Target="http://g.microsoftonline.com/0rmcm00en-gb/5385" TargetMode="External"/><Relationship Id="rId27" Type="http://schemas.openxmlformats.org/officeDocument/2006/relationships/hyperlink" Target="http://g.microsoftonline.com/0rmcm00en-gb/5400" TargetMode="External"/><Relationship Id="rId30" Type="http://schemas.openxmlformats.org/officeDocument/2006/relationships/hyperlink" Target="http://g.microsoftonline.com/0rmcm00en-gb/5392" TargetMode="External"/><Relationship Id="rId35" Type="http://schemas.openxmlformats.org/officeDocument/2006/relationships/hyperlink" Target="http://g.microsoftonline.com/0rmcm00en-gb/5397" TargetMode="External"/><Relationship Id="rId43" Type="http://schemas.openxmlformats.org/officeDocument/2006/relationships/hyperlink" Target="http://g.microsoftonline.com/0rmcm00en-gb/5407" TargetMode="External"/><Relationship Id="rId48" Type="http://schemas.openxmlformats.org/officeDocument/2006/relationships/hyperlink" Target="http://g.microsoftonline.com/0rmcm00en-gb/5412" TargetMode="External"/><Relationship Id="rId56" Type="http://schemas.openxmlformats.org/officeDocument/2006/relationships/hyperlink" Target="http://g.microsoftonline.com/0rmcm00en-gb/5420" TargetMode="External"/><Relationship Id="rId64" Type="http://schemas.openxmlformats.org/officeDocument/2006/relationships/hyperlink" Target="http://g.microsoftonline.com/0rmcm00en-gb/5400" TargetMode="External"/><Relationship Id="rId69" Type="http://schemas.openxmlformats.org/officeDocument/2006/relationships/hyperlink" Target="http://g.microsoftonline.com/0rmcm00en-gb/5432" TargetMode="External"/><Relationship Id="rId77" Type="http://schemas.openxmlformats.org/officeDocument/2006/relationships/drawing" Target="../drawings/drawing2.xml"/><Relationship Id="rId8" Type="http://schemas.openxmlformats.org/officeDocument/2006/relationships/hyperlink" Target="http://go.microsoft.com/fwlink/p/?LinkId=253601" TargetMode="External"/><Relationship Id="rId51" Type="http://schemas.openxmlformats.org/officeDocument/2006/relationships/hyperlink" Target="http://g.microsoftonline.com/0rmcm00en-gb/5415" TargetMode="External"/><Relationship Id="rId72" Type="http://schemas.openxmlformats.org/officeDocument/2006/relationships/hyperlink" Target="http://g.microsoftonline.com/0rmcm00en-gb/5378" TargetMode="External"/><Relationship Id="rId80" Type="http://schemas.openxmlformats.org/officeDocument/2006/relationships/ctrlProp" Target="../ctrlProps/ctrlProp2.xml"/><Relationship Id="rId85" Type="http://schemas.openxmlformats.org/officeDocument/2006/relationships/ctrlProp" Target="../ctrlProps/ctrlProp7.xml"/><Relationship Id="rId93" Type="http://schemas.openxmlformats.org/officeDocument/2006/relationships/ctrlProp" Target="../ctrlProps/ctrlProp15.xml"/><Relationship Id="rId3" Type="http://schemas.openxmlformats.org/officeDocument/2006/relationships/hyperlink" Target="http://go.microsoft.com/fwlink/p/?LinkId=253147" TargetMode="External"/><Relationship Id="rId12" Type="http://schemas.openxmlformats.org/officeDocument/2006/relationships/hyperlink" Target="http://go.microsoft.com/fwlink/p/?LinkId=253597" TargetMode="External"/><Relationship Id="rId17" Type="http://schemas.openxmlformats.org/officeDocument/2006/relationships/hyperlink" Target="http://g.microsoftonline.com/0rmcm00en-gb/5381" TargetMode="External"/><Relationship Id="rId25" Type="http://schemas.openxmlformats.org/officeDocument/2006/relationships/hyperlink" Target="http://g.microsoftonline.com/0rmcm00en-gb/5388" TargetMode="External"/><Relationship Id="rId33" Type="http://schemas.openxmlformats.org/officeDocument/2006/relationships/hyperlink" Target="http://g.microsoftonline.com/0rmcm00en-gb/5396" TargetMode="External"/><Relationship Id="rId38" Type="http://schemas.openxmlformats.org/officeDocument/2006/relationships/hyperlink" Target="http://g.microsoftonline.com/0rmcm00en-gb/5401" TargetMode="External"/><Relationship Id="rId46" Type="http://schemas.openxmlformats.org/officeDocument/2006/relationships/hyperlink" Target="http://g.microsoftonline.com/0rmcm00en-gb/5410" TargetMode="External"/><Relationship Id="rId59" Type="http://schemas.openxmlformats.org/officeDocument/2006/relationships/hyperlink" Target="http://g.microsoftonline.com/0rmcm00en-gb/5423" TargetMode="External"/><Relationship Id="rId67" Type="http://schemas.openxmlformats.org/officeDocument/2006/relationships/hyperlink" Target="http://g.microsoftonline.com/0rmcm00en-gb/5430" TargetMode="External"/><Relationship Id="rId20" Type="http://schemas.openxmlformats.org/officeDocument/2006/relationships/hyperlink" Target="http://g.microsoftonline.com/0rmcm00en-gb/5400" TargetMode="External"/><Relationship Id="rId41" Type="http://schemas.openxmlformats.org/officeDocument/2006/relationships/hyperlink" Target="http://g.microsoftonline.com/0rmcm00en-gb/5405" TargetMode="External"/><Relationship Id="rId54" Type="http://schemas.openxmlformats.org/officeDocument/2006/relationships/hyperlink" Target="http://g.microsoftonline.com/0rmcm00en-gb/5418" TargetMode="External"/><Relationship Id="rId62" Type="http://schemas.openxmlformats.org/officeDocument/2006/relationships/hyperlink" Target="http://g.microsoftonline.com/0rmcm00en-gb/5426" TargetMode="External"/><Relationship Id="rId70" Type="http://schemas.openxmlformats.org/officeDocument/2006/relationships/hyperlink" Target="http://g.microsoftonline.com/0rmcm00en-gb/5380" TargetMode="External"/><Relationship Id="rId75" Type="http://schemas.openxmlformats.org/officeDocument/2006/relationships/hyperlink" Target="http://g.microsoftonline.com/0rmcm00en-gb/5390" TargetMode="External"/><Relationship Id="rId83" Type="http://schemas.openxmlformats.org/officeDocument/2006/relationships/ctrlProp" Target="../ctrlProps/ctrlProp5.xml"/><Relationship Id="rId88" Type="http://schemas.openxmlformats.org/officeDocument/2006/relationships/ctrlProp" Target="../ctrlProps/ctrlProp10.xml"/><Relationship Id="rId91" Type="http://schemas.openxmlformats.org/officeDocument/2006/relationships/ctrlProp" Target="../ctrlProps/ctrlProp13.xml"/><Relationship Id="rId1" Type="http://schemas.openxmlformats.org/officeDocument/2006/relationships/hyperlink" Target="http://go.microsoft.com/fwlink/p/?LinkId=253149" TargetMode="External"/><Relationship Id="rId6" Type="http://schemas.openxmlformats.org/officeDocument/2006/relationships/hyperlink" Target="http://go.microsoft.com/fwlink/p/?LinkId=253147" TargetMode="External"/><Relationship Id="rId15" Type="http://schemas.openxmlformats.org/officeDocument/2006/relationships/hyperlink" Target="http://go.microsoft.com/fwlink/p/?LinkId=260428" TargetMode="External"/><Relationship Id="rId23" Type="http://schemas.openxmlformats.org/officeDocument/2006/relationships/hyperlink" Target="http://g.microsoftonline.com/0rmcm00en-gb/5386" TargetMode="External"/><Relationship Id="rId28" Type="http://schemas.openxmlformats.org/officeDocument/2006/relationships/hyperlink" Target="http://g.microsoftonline.com/0rmcm00en-gb/5391" TargetMode="External"/><Relationship Id="rId36" Type="http://schemas.openxmlformats.org/officeDocument/2006/relationships/hyperlink" Target="http://g.microsoftonline.com/0rmcm00en-gb/5398" TargetMode="External"/><Relationship Id="rId49" Type="http://schemas.openxmlformats.org/officeDocument/2006/relationships/hyperlink" Target="http://g.microsoftonline.com/0rmcm00en-gb/5413" TargetMode="External"/><Relationship Id="rId57" Type="http://schemas.openxmlformats.org/officeDocument/2006/relationships/hyperlink" Target="http://g.microsoftonline.com/0rmcm00en-gb/5421" TargetMode="External"/><Relationship Id="rId10" Type="http://schemas.openxmlformats.org/officeDocument/2006/relationships/hyperlink" Target="http://go.microsoft.com/fwlink/p/?LinkId=253149" TargetMode="External"/><Relationship Id="rId31" Type="http://schemas.openxmlformats.org/officeDocument/2006/relationships/hyperlink" Target="http://g.microsoftonline.com/0rmcm00en-gb/5393" TargetMode="External"/><Relationship Id="rId44" Type="http://schemas.openxmlformats.org/officeDocument/2006/relationships/hyperlink" Target="http://g.microsoftonline.com/0rmcm00en-gb/5408" TargetMode="External"/><Relationship Id="rId52" Type="http://schemas.openxmlformats.org/officeDocument/2006/relationships/hyperlink" Target="http://g.microsoftonline.com/0rmcm00en-gb/5416" TargetMode="External"/><Relationship Id="rId60" Type="http://schemas.openxmlformats.org/officeDocument/2006/relationships/hyperlink" Target="http://g.microsoftonline.com/0rmcm00en-gb/5424" TargetMode="External"/><Relationship Id="rId65" Type="http://schemas.openxmlformats.org/officeDocument/2006/relationships/hyperlink" Target="http://g.microsoftonline.com/0rmcm00en-gb/5428" TargetMode="External"/><Relationship Id="rId73" Type="http://schemas.openxmlformats.org/officeDocument/2006/relationships/hyperlink" Target="http://g.microsoftonline.com/0rmcm00en-gb/5377" TargetMode="External"/><Relationship Id="rId78" Type="http://schemas.openxmlformats.org/officeDocument/2006/relationships/vmlDrawing" Target="../drawings/vmlDrawing1.vml"/><Relationship Id="rId81" Type="http://schemas.openxmlformats.org/officeDocument/2006/relationships/ctrlProp" Target="../ctrlProps/ctrlProp3.xml"/><Relationship Id="rId86" Type="http://schemas.openxmlformats.org/officeDocument/2006/relationships/ctrlProp" Target="../ctrlProps/ctrlProp8.xml"/><Relationship Id="rId4" Type="http://schemas.openxmlformats.org/officeDocument/2006/relationships/hyperlink" Target="http://go.microsoft.com/fwlink/p/?LinkId=253149" TargetMode="External"/><Relationship Id="rId9" Type="http://schemas.openxmlformats.org/officeDocument/2006/relationships/hyperlink" Target="http://go.microsoft.com/fwlink/p/?LinkId=2531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54"/>
  <sheetViews>
    <sheetView tabSelected="1" zoomScale="90" zoomScaleNormal="90" zoomScaleSheetLayoutView="117" workbookViewId="0">
      <selection activeCell="F5" sqref="F5:F6"/>
    </sheetView>
  </sheetViews>
  <sheetFormatPr defaultRowHeight="15"/>
  <cols>
    <col min="1" max="2" width="3.7109375" customWidth="1"/>
    <col min="3" max="3" width="35.42578125" customWidth="1"/>
    <col min="4" max="4" width="46.28515625" customWidth="1"/>
    <col min="5" max="5" width="3" customWidth="1"/>
    <col min="6" max="6" width="24.28515625" customWidth="1"/>
    <col min="7" max="8" width="3.7109375" customWidth="1"/>
  </cols>
  <sheetData>
    <row r="1" spans="1:101">
      <c r="A1" s="19"/>
      <c r="B1" s="19"/>
      <c r="C1" s="19"/>
      <c r="D1" s="19"/>
      <c r="E1" s="19"/>
      <c r="F1" s="19"/>
      <c r="G1" s="19"/>
      <c r="H1" s="19"/>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row>
    <row r="2" spans="1:101">
      <c r="A2" s="19"/>
      <c r="B2" s="7"/>
      <c r="C2" s="7"/>
      <c r="D2" s="7"/>
      <c r="E2" s="7"/>
      <c r="F2" s="7"/>
      <c r="G2" s="7"/>
      <c r="H2" s="19"/>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row>
    <row r="3" spans="1:101" ht="161.25" customHeight="1">
      <c r="A3" s="19"/>
      <c r="B3" s="7"/>
      <c r="C3" s="113"/>
      <c r="D3" s="113"/>
      <c r="E3" s="113"/>
      <c r="F3" s="7"/>
      <c r="G3" s="7"/>
      <c r="H3" s="19"/>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row>
    <row r="4" spans="1:101">
      <c r="A4" s="19"/>
      <c r="B4" s="7"/>
      <c r="C4" s="7"/>
      <c r="D4" s="7"/>
      <c r="E4" s="7"/>
      <c r="F4" s="7"/>
      <c r="G4" s="7"/>
      <c r="H4" s="19"/>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row>
    <row r="5" spans="1:101" ht="27" customHeight="1">
      <c r="A5" s="19"/>
      <c r="B5" s="7"/>
      <c r="C5" s="112" t="s">
        <v>0</v>
      </c>
      <c r="D5" s="112"/>
      <c r="E5" s="121"/>
      <c r="F5" s="122"/>
      <c r="G5" s="7"/>
      <c r="H5" s="19"/>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row>
    <row r="6" spans="1:101" ht="27.75" customHeight="1">
      <c r="A6" s="19"/>
      <c r="B6" s="7"/>
      <c r="C6" s="120" t="s">
        <v>1</v>
      </c>
      <c r="D6" s="120"/>
      <c r="E6" s="121"/>
      <c r="F6" s="122"/>
      <c r="G6" s="7"/>
      <c r="H6" s="19"/>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row>
    <row r="7" spans="1:101" ht="11.25" customHeight="1" thickBot="1">
      <c r="A7" s="19"/>
      <c r="B7" s="7"/>
      <c r="C7" s="7"/>
      <c r="D7" s="7"/>
      <c r="E7" s="7"/>
      <c r="F7" s="7"/>
      <c r="G7" s="7"/>
      <c r="H7" s="19"/>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row>
    <row r="8" spans="1:101" ht="20.25">
      <c r="A8" s="19"/>
      <c r="B8" s="7"/>
      <c r="C8" s="109" t="s">
        <v>2</v>
      </c>
      <c r="D8" s="110"/>
      <c r="E8" s="110"/>
      <c r="F8" s="111"/>
      <c r="G8" s="7"/>
      <c r="H8" s="19"/>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row>
    <row r="9" spans="1:101" ht="15" customHeight="1">
      <c r="A9" s="19"/>
      <c r="B9" s="7"/>
      <c r="C9" s="114" t="s">
        <v>206</v>
      </c>
      <c r="D9" s="115"/>
      <c r="E9" s="115"/>
      <c r="F9" s="116"/>
      <c r="G9" s="7"/>
      <c r="H9" s="19"/>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row>
    <row r="10" spans="1:101" ht="15" customHeight="1">
      <c r="A10" s="19"/>
      <c r="B10" s="7"/>
      <c r="C10" s="114"/>
      <c r="D10" s="115"/>
      <c r="E10" s="115"/>
      <c r="F10" s="116"/>
      <c r="G10" s="7"/>
      <c r="H10" s="19"/>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row>
    <row r="11" spans="1:101" ht="15" customHeight="1">
      <c r="A11" s="19"/>
      <c r="B11" s="7"/>
      <c r="C11" s="114"/>
      <c r="D11" s="115"/>
      <c r="E11" s="115"/>
      <c r="F11" s="116"/>
      <c r="G11" s="7"/>
      <c r="H11" s="19"/>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row>
    <row r="12" spans="1:101" ht="15" customHeight="1">
      <c r="A12" s="19"/>
      <c r="B12" s="7"/>
      <c r="C12" s="114"/>
      <c r="D12" s="115"/>
      <c r="E12" s="115"/>
      <c r="F12" s="116"/>
      <c r="G12" s="7"/>
      <c r="H12" s="19"/>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row>
    <row r="13" spans="1:101" ht="15" customHeight="1">
      <c r="A13" s="19"/>
      <c r="B13" s="7"/>
      <c r="C13" s="114"/>
      <c r="D13" s="115"/>
      <c r="E13" s="115"/>
      <c r="F13" s="116"/>
      <c r="G13" s="7"/>
      <c r="H13" s="19"/>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row>
    <row r="14" spans="1:101" ht="15" customHeight="1">
      <c r="A14" s="19"/>
      <c r="B14" s="7"/>
      <c r="C14" s="114"/>
      <c r="D14" s="115"/>
      <c r="E14" s="115"/>
      <c r="F14" s="116"/>
      <c r="G14" s="7"/>
      <c r="H14" s="19"/>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row>
    <row r="15" spans="1:101" ht="15" customHeight="1">
      <c r="A15" s="19"/>
      <c r="B15" s="7"/>
      <c r="C15" s="114"/>
      <c r="D15" s="115"/>
      <c r="E15" s="115"/>
      <c r="F15" s="116"/>
      <c r="G15" s="7"/>
      <c r="H15" s="19"/>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row>
    <row r="16" spans="1:101" ht="15" customHeight="1">
      <c r="A16" s="19"/>
      <c r="B16" s="7"/>
      <c r="C16" s="114"/>
      <c r="D16" s="115"/>
      <c r="E16" s="115"/>
      <c r="F16" s="116"/>
      <c r="G16" s="7"/>
      <c r="H16" s="19"/>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row>
    <row r="17" spans="1:101" ht="50.25" customHeight="1">
      <c r="A17" s="19"/>
      <c r="B17" s="7"/>
      <c r="C17" s="114"/>
      <c r="D17" s="115"/>
      <c r="E17" s="115"/>
      <c r="F17" s="116"/>
      <c r="G17" s="7"/>
      <c r="H17" s="19"/>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row>
    <row r="18" spans="1:101" ht="15" customHeight="1">
      <c r="A18" s="19"/>
      <c r="B18" s="7"/>
      <c r="C18" s="114"/>
      <c r="D18" s="115"/>
      <c r="E18" s="115"/>
      <c r="F18" s="116"/>
      <c r="G18" s="7"/>
      <c r="H18" s="19"/>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row>
    <row r="19" spans="1:101" ht="15" customHeight="1">
      <c r="A19" s="19"/>
      <c r="B19" s="7"/>
      <c r="C19" s="114"/>
      <c r="D19" s="115"/>
      <c r="E19" s="115"/>
      <c r="F19" s="116"/>
      <c r="G19" s="7"/>
      <c r="H19" s="19"/>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row>
    <row r="20" spans="1:101" ht="15" customHeight="1">
      <c r="A20" s="19"/>
      <c r="B20" s="7"/>
      <c r="C20" s="114"/>
      <c r="D20" s="115"/>
      <c r="E20" s="115"/>
      <c r="F20" s="116"/>
      <c r="G20" s="7"/>
      <c r="H20" s="19"/>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row>
    <row r="21" spans="1:101" ht="15" customHeight="1">
      <c r="A21" s="19"/>
      <c r="B21" s="7"/>
      <c r="C21" s="114"/>
      <c r="D21" s="115"/>
      <c r="E21" s="115"/>
      <c r="F21" s="116"/>
      <c r="G21" s="7"/>
      <c r="H21" s="19"/>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row>
    <row r="22" spans="1:101" ht="15" customHeight="1">
      <c r="A22" s="19"/>
      <c r="B22" s="7"/>
      <c r="C22" s="114"/>
      <c r="D22" s="115"/>
      <c r="E22" s="115"/>
      <c r="F22" s="116"/>
      <c r="G22" s="7"/>
      <c r="H22" s="19"/>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row>
    <row r="23" spans="1:101" ht="15" customHeight="1">
      <c r="A23" s="19"/>
      <c r="B23" s="7"/>
      <c r="C23" s="114"/>
      <c r="D23" s="115"/>
      <c r="E23" s="115"/>
      <c r="F23" s="116"/>
      <c r="G23" s="7"/>
      <c r="H23" s="19"/>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row>
    <row r="24" spans="1:101" ht="15" customHeight="1">
      <c r="A24" s="19"/>
      <c r="B24" s="7"/>
      <c r="C24" s="114"/>
      <c r="D24" s="115"/>
      <c r="E24" s="115"/>
      <c r="F24" s="116"/>
      <c r="G24" s="7"/>
      <c r="H24" s="19"/>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row>
    <row r="25" spans="1:101" ht="15" customHeight="1">
      <c r="A25" s="19"/>
      <c r="B25" s="7"/>
      <c r="C25" s="114"/>
      <c r="D25" s="115"/>
      <c r="E25" s="115"/>
      <c r="F25" s="116"/>
      <c r="G25" s="7"/>
      <c r="H25" s="19"/>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row>
    <row r="26" spans="1:101" ht="15" customHeight="1">
      <c r="A26" s="19"/>
      <c r="B26" s="7"/>
      <c r="C26" s="114"/>
      <c r="D26" s="115"/>
      <c r="E26" s="115"/>
      <c r="F26" s="116"/>
      <c r="G26" s="7"/>
      <c r="H26" s="19"/>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row>
    <row r="27" spans="1:101" ht="15" customHeight="1">
      <c r="A27" s="19"/>
      <c r="B27" s="7"/>
      <c r="C27" s="114"/>
      <c r="D27" s="115"/>
      <c r="E27" s="115"/>
      <c r="F27" s="116"/>
      <c r="G27" s="7"/>
      <c r="H27" s="19"/>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row>
    <row r="28" spans="1:101" ht="15" customHeight="1">
      <c r="A28" s="19"/>
      <c r="B28" s="7"/>
      <c r="C28" s="114"/>
      <c r="D28" s="115"/>
      <c r="E28" s="115"/>
      <c r="F28" s="116"/>
      <c r="G28" s="7"/>
      <c r="H28" s="19"/>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row>
    <row r="29" spans="1:101" ht="15.75" customHeight="1" thickBot="1">
      <c r="A29" s="19"/>
      <c r="B29" s="7"/>
      <c r="C29" s="117"/>
      <c r="D29" s="118"/>
      <c r="E29" s="118"/>
      <c r="F29" s="119"/>
      <c r="G29" s="7"/>
      <c r="H29" s="19"/>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row>
    <row r="30" spans="1:101">
      <c r="A30" s="19"/>
      <c r="B30" s="7"/>
      <c r="C30" s="7"/>
      <c r="D30" s="7"/>
      <c r="E30" s="7"/>
      <c r="F30" s="7"/>
      <c r="G30" s="7"/>
      <c r="H30" s="19"/>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row>
    <row r="31" spans="1:101">
      <c r="A31" s="19"/>
      <c r="B31" s="7"/>
      <c r="C31" s="7"/>
      <c r="D31" s="7"/>
      <c r="E31" s="7"/>
      <c r="F31" s="7"/>
      <c r="G31" s="7"/>
      <c r="H31" s="19"/>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row>
    <row r="32" spans="1:101">
      <c r="A32" s="19"/>
      <c r="B32" s="19"/>
      <c r="C32" s="19"/>
      <c r="D32" s="19"/>
      <c r="E32" s="19"/>
      <c r="F32" s="19"/>
      <c r="G32" s="19"/>
      <c r="H32" s="19"/>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row>
    <row r="33" spans="1:10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row>
    <row r="34" spans="1:10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row>
    <row r="35" spans="1:10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row>
    <row r="36" spans="1:10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row>
    <row r="37" spans="1:10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row>
    <row r="38" spans="1:10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row>
    <row r="39" spans="1:10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row>
    <row r="40" spans="1:10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row>
    <row r="41" spans="1:10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row>
    <row r="42" spans="1:10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row>
    <row r="43" spans="1:10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row>
    <row r="44" spans="1:10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row>
    <row r="45" spans="1:10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row>
    <row r="46" spans="1:10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row>
    <row r="47" spans="1:10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row>
    <row r="48" spans="1:10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row>
    <row r="49" spans="1:10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row>
    <row r="50" spans="1:10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row>
    <row r="51" spans="1:10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row>
    <row r="52" spans="1:10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row>
    <row r="53" spans="1:10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row>
    <row r="54" spans="1:10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row>
  </sheetData>
  <mergeCells count="7">
    <mergeCell ref="C8:F8"/>
    <mergeCell ref="C5:D5"/>
    <mergeCell ref="C3:E3"/>
    <mergeCell ref="C9:F29"/>
    <mergeCell ref="C6:D6"/>
    <mergeCell ref="E5:E6"/>
    <mergeCell ref="F5:F6"/>
  </mergeCells>
  <phoneticPr fontId="34" type="noConversion"/>
  <pageMargins left="0.7" right="0.7" top="0.75" bottom="0.75" header="0.3" footer="0.3"/>
  <pageSetup scale="77" orientation="portrait" r:id="rId1"/>
  <headerFooter>
    <oddHeader>&amp;L&amp;11&amp;"Segoe UI,Regular"&amp;K01+000Promote on-Campus Timeline&amp;R&amp;11&amp;"Segoe UI,Regular"&amp;K01+000Instructions</odd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XFC215"/>
  <sheetViews>
    <sheetView zoomScale="85" zoomScaleNormal="85" workbookViewId="0">
      <selection activeCell="C12" sqref="C12:E13"/>
    </sheetView>
  </sheetViews>
  <sheetFormatPr defaultColWidth="0" defaultRowHeight="16.5" zeroHeight="1"/>
  <cols>
    <col min="1" max="1" width="3.7109375" style="4" customWidth="1"/>
    <col min="2" max="2" width="3.7109375" style="2" customWidth="1"/>
    <col min="3" max="3" width="10.5703125" style="2" customWidth="1"/>
    <col min="4" max="4" width="20.28515625" style="29" customWidth="1"/>
    <col min="5" max="5" width="15.140625" style="1" customWidth="1"/>
    <col min="6" max="6" width="7.42578125" style="6" customWidth="1"/>
    <col min="7" max="7" width="62.140625" style="6" customWidth="1"/>
    <col min="8" max="8" width="28.42578125" style="22" customWidth="1"/>
    <col min="9" max="9" width="6.140625" style="22" customWidth="1"/>
    <col min="10" max="10" width="11.28515625" style="22" customWidth="1"/>
    <col min="11" max="11" width="10.140625" style="89" hidden="1" customWidth="1"/>
    <col min="12" max="12" width="26.28515625" style="1" hidden="1" customWidth="1"/>
    <col min="13" max="13" width="16" style="1" hidden="1" customWidth="1"/>
    <col min="14" max="14" width="21.42578125" style="59" hidden="1" customWidth="1"/>
    <col min="15" max="15" width="11.7109375" style="107" hidden="1" customWidth="1"/>
    <col min="16" max="16" width="3.7109375" style="1" customWidth="1"/>
    <col min="17" max="16383" width="9.140625" style="1" hidden="1"/>
    <col min="16384" max="16384" width="1.7109375" style="1" hidden="1"/>
  </cols>
  <sheetData>
    <row r="1" spans="1:83" s="4" customFormat="1">
      <c r="B1" s="3"/>
      <c r="C1" s="3"/>
      <c r="D1" s="28"/>
      <c r="F1" s="5"/>
      <c r="G1" s="5"/>
      <c r="H1" s="21"/>
      <c r="I1" s="21"/>
      <c r="J1" s="21"/>
      <c r="K1" s="57"/>
      <c r="N1" s="58"/>
      <c r="O1" s="105"/>
    </row>
    <row r="2" spans="1:83">
      <c r="B2" s="3"/>
      <c r="C2" s="3"/>
      <c r="D2" s="28"/>
      <c r="E2" s="4"/>
      <c r="F2" s="5"/>
      <c r="G2" s="5"/>
      <c r="H2" s="21"/>
      <c r="I2" s="21"/>
      <c r="J2" s="21"/>
      <c r="K2" s="57"/>
      <c r="L2" s="4"/>
      <c r="M2" s="4"/>
      <c r="N2" s="58"/>
      <c r="O2" s="105"/>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row>
    <row r="3" spans="1:83" ht="23.25" customHeight="1">
      <c r="B3" s="3"/>
      <c r="C3" s="3"/>
      <c r="D3" s="28"/>
      <c r="E3" s="4"/>
      <c r="F3" s="5"/>
      <c r="G3" s="5"/>
      <c r="H3" s="21"/>
      <c r="I3" s="21"/>
      <c r="J3" s="21"/>
      <c r="K3" s="57"/>
      <c r="L3" s="4"/>
      <c r="M3" s="4"/>
      <c r="N3" s="58"/>
      <c r="O3" s="105"/>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row>
    <row r="4" spans="1:83" ht="16.5" hidden="1" customHeight="1">
      <c r="B4" s="3" t="s">
        <v>118</v>
      </c>
      <c r="C4" s="3"/>
      <c r="D4" s="28"/>
      <c r="E4" s="4"/>
      <c r="F4" s="5"/>
      <c r="G4" s="5"/>
      <c r="H4" s="21"/>
      <c r="I4" s="21"/>
      <c r="J4" s="21"/>
      <c r="K4" s="57"/>
      <c r="L4" s="4"/>
      <c r="M4" s="4"/>
      <c r="N4" s="58"/>
      <c r="O4" s="105"/>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row>
    <row r="5" spans="1:83" ht="16.5" hidden="1" customHeight="1">
      <c r="B5" s="3"/>
      <c r="C5" s="3"/>
      <c r="D5" s="28" t="s">
        <v>119</v>
      </c>
      <c r="E5" s="4"/>
      <c r="F5" s="5"/>
      <c r="G5" s="5"/>
      <c r="H5" s="21"/>
      <c r="I5" s="21"/>
      <c r="J5" s="21"/>
      <c r="K5" s="57"/>
      <c r="L5" s="4"/>
      <c r="M5" s="4"/>
      <c r="N5" s="58"/>
      <c r="O5" s="105"/>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row>
    <row r="6" spans="1:83" ht="16.5" hidden="1" customHeight="1">
      <c r="B6" s="3"/>
      <c r="C6" s="3"/>
      <c r="D6" s="28" t="s">
        <v>120</v>
      </c>
      <c r="E6" s="4"/>
      <c r="F6" s="5"/>
      <c r="G6" s="5"/>
      <c r="H6" s="21"/>
      <c r="I6" s="21"/>
      <c r="J6" s="21"/>
      <c r="K6" s="57"/>
      <c r="L6" s="4"/>
      <c r="M6" s="4"/>
      <c r="N6" s="58"/>
      <c r="O6" s="105"/>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row>
    <row r="7" spans="1:83" ht="16.5" customHeight="1" thickBot="1">
      <c r="B7" s="3"/>
      <c r="C7" s="3"/>
      <c r="D7" s="28"/>
      <c r="E7" s="4"/>
      <c r="F7" s="5"/>
      <c r="G7" s="5"/>
      <c r="H7" s="21"/>
      <c r="I7" s="21"/>
      <c r="J7" s="49"/>
      <c r="K7" s="57"/>
      <c r="L7" s="4"/>
      <c r="M7" s="4"/>
      <c r="N7" s="58"/>
      <c r="O7" s="105"/>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row>
    <row r="8" spans="1:83" s="27" customFormat="1" ht="38.25" customHeight="1" thickBot="1">
      <c r="A8" s="26"/>
      <c r="B8" s="138" t="s">
        <v>213</v>
      </c>
      <c r="C8" s="139"/>
      <c r="D8" s="139"/>
      <c r="E8" s="139"/>
      <c r="F8" s="139"/>
      <c r="G8" s="139"/>
      <c r="H8" s="140"/>
      <c r="I8" s="25"/>
      <c r="K8" s="88"/>
      <c r="L8" s="26"/>
      <c r="M8" s="26"/>
      <c r="N8" s="63"/>
      <c r="O8" s="10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row>
    <row r="9" spans="1:83" ht="21" thickBot="1">
      <c r="B9" s="3"/>
      <c r="C9" s="3"/>
      <c r="D9" s="28"/>
      <c r="E9" s="4"/>
      <c r="F9" s="5"/>
      <c r="G9" s="5"/>
      <c r="H9" s="21"/>
      <c r="I9" s="101"/>
      <c r="J9" s="25"/>
      <c r="K9" s="88"/>
      <c r="M9" s="4"/>
      <c r="N9" s="58"/>
      <c r="O9" s="105"/>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row>
    <row r="10" spans="1:83" ht="72.75" customHeight="1">
      <c r="B10" s="3"/>
      <c r="C10" s="167" t="s">
        <v>3</v>
      </c>
      <c r="D10" s="168"/>
      <c r="E10" s="169"/>
      <c r="F10" s="5"/>
      <c r="G10" s="177" t="s">
        <v>4</v>
      </c>
      <c r="H10" s="178"/>
      <c r="I10" s="101"/>
      <c r="J10" s="25"/>
      <c r="K10" s="97"/>
      <c r="L10" s="4"/>
      <c r="M10" s="4"/>
      <c r="O10" s="105"/>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row>
    <row r="11" spans="1:83" ht="9" customHeight="1">
      <c r="B11" s="3"/>
      <c r="C11" s="170"/>
      <c r="D11" s="171"/>
      <c r="E11" s="172"/>
      <c r="F11" s="5"/>
      <c r="G11" s="159"/>
      <c r="H11" s="160"/>
      <c r="I11" s="4"/>
      <c r="J11" s="21"/>
      <c r="K11" s="104">
        <f>COUNTIF(N13:N16,"N/A")</f>
        <v>4</v>
      </c>
      <c r="L11" s="72" t="s">
        <v>121</v>
      </c>
      <c r="M11" s="72" t="s">
        <v>122</v>
      </c>
      <c r="N11" s="73" t="s">
        <v>123</v>
      </c>
      <c r="O11" s="105"/>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row>
    <row r="12" spans="1:83" ht="37.5" customHeight="1">
      <c r="B12" s="3"/>
      <c r="C12" s="161" t="s">
        <v>205</v>
      </c>
      <c r="D12" s="162"/>
      <c r="E12" s="163"/>
      <c r="F12" s="5"/>
      <c r="G12" s="46" t="s">
        <v>5</v>
      </c>
      <c r="H12" s="99" t="str">
        <f>IF(K11=4,"Select one",IF(K11=3," ",IF(K11=2,"Please only 'Select One' in this section",IF(K11=1,"Please only 'Select One' in this section",IF(K11=0,"Please only 'Select One' in this section")))))</f>
        <v>Select one</v>
      </c>
      <c r="I12" s="4"/>
      <c r="J12" s="21"/>
      <c r="K12" s="97">
        <v>12</v>
      </c>
      <c r="L12" s="74"/>
      <c r="M12" s="100" t="s">
        <v>124</v>
      </c>
      <c r="N12" s="64" t="s">
        <v>125</v>
      </c>
      <c r="O12" s="108">
        <f>COUNTIF(N13:N16,"N/A")</f>
        <v>4</v>
      </c>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row>
    <row r="13" spans="1:83" ht="51.75" customHeight="1" thickBot="1">
      <c r="B13" s="3"/>
      <c r="C13" s="164"/>
      <c r="D13" s="165"/>
      <c r="E13" s="166"/>
      <c r="F13" s="5"/>
      <c r="G13" s="102" t="s">
        <v>6</v>
      </c>
      <c r="H13" s="39"/>
      <c r="I13" s="4" t="s">
        <v>7</v>
      </c>
      <c r="J13" s="97"/>
      <c r="K13" s="98">
        <v>13</v>
      </c>
      <c r="L13" s="75" t="s">
        <v>126</v>
      </c>
      <c r="M13" s="60" t="b">
        <v>0</v>
      </c>
      <c r="N13" s="61" t="str">
        <f>IF(M13,L13, "N/A")</f>
        <v>N/A</v>
      </c>
      <c r="O13" s="105" t="str">
        <f>($K$11=3)&amp;(N13="N/A")</f>
        <v>FALSETRUE</v>
      </c>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row>
    <row r="14" spans="1:83" ht="48" customHeight="1">
      <c r="B14" s="3"/>
      <c r="C14" s="24"/>
      <c r="D14" s="24"/>
      <c r="E14" s="24"/>
      <c r="F14" s="5"/>
      <c r="G14" s="102" t="s">
        <v>8</v>
      </c>
      <c r="H14" s="39"/>
      <c r="I14" s="4"/>
      <c r="J14" s="97"/>
      <c r="K14" s="98">
        <v>14</v>
      </c>
      <c r="L14" s="75" t="s">
        <v>127</v>
      </c>
      <c r="M14" s="61" t="b">
        <v>0</v>
      </c>
      <c r="N14" s="61" t="str">
        <f t="shared" ref="N14:N35" si="0">IF(M14,L14, "N/A")</f>
        <v>N/A</v>
      </c>
      <c r="O14" s="105" t="str">
        <f>($K$11=3)&amp;(N14="N/A")</f>
        <v>FALSETRUE</v>
      </c>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row>
    <row r="15" spans="1:83" ht="54" customHeight="1">
      <c r="B15" s="3"/>
      <c r="C15" s="24"/>
      <c r="D15" s="24"/>
      <c r="E15" s="24"/>
      <c r="F15" s="5"/>
      <c r="G15" s="102" t="s">
        <v>9</v>
      </c>
      <c r="H15" s="39"/>
      <c r="I15" s="4"/>
      <c r="J15" s="97"/>
      <c r="K15" s="98">
        <v>15</v>
      </c>
      <c r="L15" s="75" t="s">
        <v>128</v>
      </c>
      <c r="M15" s="60" t="b">
        <v>0</v>
      </c>
      <c r="N15" s="61" t="str">
        <f t="shared" si="0"/>
        <v>N/A</v>
      </c>
      <c r="O15" s="105" t="str">
        <f>($K$11=3)&amp;(N15="N/A")</f>
        <v>FALSETRUE</v>
      </c>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row>
    <row r="16" spans="1:83" ht="54" customHeight="1">
      <c r="B16" s="3"/>
      <c r="C16" s="24"/>
      <c r="D16" s="24"/>
      <c r="E16" s="24"/>
      <c r="F16" s="5"/>
      <c r="G16" s="102" t="s">
        <v>10</v>
      </c>
      <c r="H16" s="39"/>
      <c r="I16" s="4"/>
      <c r="J16" s="97"/>
      <c r="K16" s="98">
        <v>16</v>
      </c>
      <c r="L16" s="75" t="s">
        <v>129</v>
      </c>
      <c r="M16" s="60" t="b">
        <v>0</v>
      </c>
      <c r="N16" s="61" t="str">
        <f t="shared" si="0"/>
        <v>N/A</v>
      </c>
      <c r="O16" s="105" t="str">
        <f>($K$11=3)&amp;(N16="N/A")</f>
        <v>FALSETRUE</v>
      </c>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row>
    <row r="17" spans="1:83" ht="4.5" customHeight="1">
      <c r="B17" s="3"/>
      <c r="C17" s="24"/>
      <c r="D17" s="24"/>
      <c r="E17" s="24"/>
      <c r="F17" s="5"/>
      <c r="G17" s="40"/>
      <c r="H17" s="41"/>
      <c r="I17" s="4"/>
      <c r="J17" s="97"/>
      <c r="K17" s="98"/>
      <c r="L17" s="76"/>
      <c r="M17" s="62"/>
      <c r="N17" s="61" t="str">
        <f t="shared" si="0"/>
        <v>N/A</v>
      </c>
      <c r="O17" s="105"/>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row>
    <row r="18" spans="1:83" ht="54" customHeight="1">
      <c r="B18" s="3"/>
      <c r="C18" s="3"/>
      <c r="D18" s="32"/>
      <c r="E18" s="8"/>
      <c r="F18" s="5"/>
      <c r="G18" s="51" t="s">
        <v>11</v>
      </c>
      <c r="H18" s="99" t="str">
        <f>IF(K18=5,"Select one",IF(K18=4," ",IF(K18=3,"Please only 'Select One' in this section",IF(K18=2,"Please only 'Select One' in this section",IF(K18=1,"Please only 'Select One' in this section",IF(K18=1,"Please only 'Select One' in this section"))))))</f>
        <v>Select one</v>
      </c>
      <c r="I18" s="21"/>
      <c r="J18" s="97"/>
      <c r="K18" s="104">
        <f>COUNTIF(N19:N23,"N/A")</f>
        <v>5</v>
      </c>
      <c r="L18" s="77"/>
      <c r="M18" s="65"/>
      <c r="N18" s="65"/>
      <c r="O18" s="105"/>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row>
    <row r="19" spans="1:83" ht="23.25" customHeight="1">
      <c r="B19" s="3"/>
      <c r="C19" s="3"/>
      <c r="D19" s="32"/>
      <c r="E19" s="8"/>
      <c r="F19" s="5"/>
      <c r="G19" s="103" t="s">
        <v>12</v>
      </c>
      <c r="H19" s="39"/>
      <c r="I19" s="21"/>
      <c r="K19" s="98">
        <v>19</v>
      </c>
      <c r="L19" s="75" t="s">
        <v>130</v>
      </c>
      <c r="M19" s="60" t="b">
        <v>0</v>
      </c>
      <c r="N19" s="61" t="str">
        <f t="shared" si="0"/>
        <v>N/A</v>
      </c>
      <c r="O19" s="105" t="str">
        <f>($K$18=4)&amp;(N19="N/A")</f>
        <v>FALSETRUE</v>
      </c>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row>
    <row r="20" spans="1:83" ht="24" customHeight="1">
      <c r="B20" s="3"/>
      <c r="C20" s="3"/>
      <c r="D20" s="32"/>
      <c r="E20" s="8"/>
      <c r="F20" s="5"/>
      <c r="G20" s="103" t="s">
        <v>13</v>
      </c>
      <c r="H20" s="39"/>
      <c r="I20" s="21"/>
      <c r="J20" s="97"/>
      <c r="K20" s="98">
        <v>20</v>
      </c>
      <c r="L20" s="75" t="s">
        <v>131</v>
      </c>
      <c r="M20" s="60" t="b">
        <v>0</v>
      </c>
      <c r="N20" s="61" t="str">
        <f t="shared" si="0"/>
        <v>N/A</v>
      </c>
      <c r="O20" s="105" t="str">
        <f>($K$18=4)&amp;(N20="N/A")</f>
        <v>FALSETRUE</v>
      </c>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row>
    <row r="21" spans="1:83" ht="33" customHeight="1">
      <c r="B21" s="3"/>
      <c r="C21" s="3"/>
      <c r="D21" s="32"/>
      <c r="E21" s="8"/>
      <c r="F21" s="5"/>
      <c r="G21" s="103" t="s">
        <v>14</v>
      </c>
      <c r="H21" s="39"/>
      <c r="I21" s="21"/>
      <c r="J21" s="21"/>
      <c r="K21" s="98">
        <v>21</v>
      </c>
      <c r="L21" s="75" t="s">
        <v>132</v>
      </c>
      <c r="M21" s="60" t="b">
        <v>0</v>
      </c>
      <c r="N21" s="61" t="str">
        <f t="shared" si="0"/>
        <v>N/A</v>
      </c>
      <c r="O21" s="105" t="str">
        <f>($K$18=4)&amp;(N21="N/A")</f>
        <v>FALSETRUE</v>
      </c>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row>
    <row r="22" spans="1:83" ht="27.75" customHeight="1">
      <c r="B22" s="3"/>
      <c r="C22" s="3"/>
      <c r="D22" s="32"/>
      <c r="E22" s="8"/>
      <c r="F22" s="5"/>
      <c r="G22" s="103" t="s">
        <v>15</v>
      </c>
      <c r="H22" s="39"/>
      <c r="I22" s="21"/>
      <c r="J22" s="21"/>
      <c r="K22" s="98">
        <v>22</v>
      </c>
      <c r="L22" s="75" t="s">
        <v>133</v>
      </c>
      <c r="M22" s="60" t="b">
        <v>0</v>
      </c>
      <c r="N22" s="61" t="str">
        <f t="shared" si="0"/>
        <v>N/A</v>
      </c>
      <c r="O22" s="105" t="str">
        <f>($K$18=4)&amp;(N22="N/A")</f>
        <v>FALSETRUE</v>
      </c>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row>
    <row r="23" spans="1:83" ht="30.75" customHeight="1">
      <c r="B23" s="3"/>
      <c r="C23" s="3"/>
      <c r="D23" s="32"/>
      <c r="E23" s="8"/>
      <c r="F23" s="5"/>
      <c r="G23" s="103" t="s">
        <v>16</v>
      </c>
      <c r="H23" s="39"/>
      <c r="I23" s="21"/>
      <c r="J23" s="21"/>
      <c r="K23" s="98">
        <v>23</v>
      </c>
      <c r="L23" s="75" t="s">
        <v>134</v>
      </c>
      <c r="M23" s="60" t="b">
        <v>0</v>
      </c>
      <c r="N23" s="61" t="str">
        <f t="shared" si="0"/>
        <v>N/A</v>
      </c>
      <c r="O23" s="105" t="str">
        <f>($K$18=4)&amp;(N23="N/A")</f>
        <v>FALSETRUE</v>
      </c>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row>
    <row r="24" spans="1:83" ht="3.75" customHeight="1">
      <c r="B24" s="3"/>
      <c r="C24" s="3"/>
      <c r="D24" s="32"/>
      <c r="E24" s="8"/>
      <c r="F24" s="5"/>
      <c r="G24" s="40"/>
      <c r="H24" s="41"/>
      <c r="I24" s="21"/>
      <c r="J24" s="21"/>
      <c r="K24" s="98">
        <v>24</v>
      </c>
      <c r="L24" s="76"/>
      <c r="M24" s="62"/>
      <c r="N24" s="61" t="str">
        <f t="shared" si="0"/>
        <v>N/A</v>
      </c>
      <c r="O24" s="105"/>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row>
    <row r="25" spans="1:83" ht="25.5" customHeight="1">
      <c r="B25" s="3"/>
      <c r="C25" s="3"/>
      <c r="D25" s="32"/>
      <c r="E25" s="8"/>
      <c r="F25" s="5"/>
      <c r="G25" s="48" t="s">
        <v>17</v>
      </c>
      <c r="H25" s="39"/>
      <c r="I25" s="21"/>
      <c r="J25" s="21"/>
      <c r="K25" s="98">
        <v>25</v>
      </c>
      <c r="L25" s="75" t="s">
        <v>135</v>
      </c>
      <c r="M25" s="60" t="b">
        <v>0</v>
      </c>
      <c r="N25" s="61" t="str">
        <f t="shared" si="0"/>
        <v>N/A</v>
      </c>
      <c r="O25" s="105"/>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row>
    <row r="26" spans="1:83" ht="3.75" customHeight="1">
      <c r="B26" s="3"/>
      <c r="C26" s="3"/>
      <c r="D26" s="32"/>
      <c r="E26" s="8"/>
      <c r="F26" s="5"/>
      <c r="G26" s="40"/>
      <c r="H26" s="41"/>
      <c r="I26" s="21"/>
      <c r="J26" s="21"/>
      <c r="K26" s="98">
        <v>26</v>
      </c>
      <c r="L26" s="76"/>
      <c r="M26" s="62"/>
      <c r="N26" s="61" t="str">
        <f t="shared" si="0"/>
        <v>N/A</v>
      </c>
      <c r="O26" s="105"/>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row>
    <row r="27" spans="1:83" ht="32.25" customHeight="1">
      <c r="B27" s="3"/>
      <c r="C27" s="56"/>
      <c r="D27" s="32"/>
      <c r="E27" s="8"/>
      <c r="F27" s="5"/>
      <c r="G27" s="23" t="s">
        <v>18</v>
      </c>
      <c r="H27" s="39"/>
      <c r="I27" s="21"/>
      <c r="J27" s="21"/>
      <c r="K27" s="98">
        <v>27</v>
      </c>
      <c r="L27" s="75" t="s">
        <v>136</v>
      </c>
      <c r="M27" s="60" t="b">
        <v>0</v>
      </c>
      <c r="N27" s="61" t="str">
        <f t="shared" si="0"/>
        <v>N/A</v>
      </c>
      <c r="O27" s="105"/>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row>
    <row r="28" spans="1:83" ht="3" customHeight="1">
      <c r="B28" s="3"/>
      <c r="C28" s="57"/>
      <c r="D28" s="32"/>
      <c r="E28" s="8"/>
      <c r="F28" s="5"/>
      <c r="G28" s="40"/>
      <c r="H28" s="41"/>
      <c r="I28" s="21"/>
      <c r="J28" s="21"/>
      <c r="K28" s="98">
        <v>28</v>
      </c>
      <c r="L28" s="76"/>
      <c r="M28" s="62"/>
      <c r="N28" s="61" t="str">
        <f t="shared" si="0"/>
        <v>N/A</v>
      </c>
      <c r="O28" s="105"/>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row>
    <row r="29" spans="1:83" ht="42" customHeight="1">
      <c r="B29" s="3"/>
      <c r="C29"/>
      <c r="D29" s="53"/>
      <c r="E29" s="53"/>
      <c r="F29" s="5"/>
      <c r="G29" s="48" t="s">
        <v>19</v>
      </c>
      <c r="H29" s="39"/>
      <c r="I29" s="21"/>
      <c r="J29" s="21"/>
      <c r="K29" s="98">
        <v>29</v>
      </c>
      <c r="L29" s="78" t="s">
        <v>137</v>
      </c>
      <c r="M29" s="60" t="b">
        <v>0</v>
      </c>
      <c r="N29" s="79" t="str">
        <f t="shared" si="0"/>
        <v>N/A</v>
      </c>
      <c r="O29" s="105"/>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row>
    <row r="30" spans="1:83" ht="3" customHeight="1">
      <c r="B30" s="3"/>
      <c r="C30" s="57"/>
      <c r="D30" s="32"/>
      <c r="E30" s="8"/>
      <c r="F30" s="5"/>
      <c r="G30" s="40"/>
      <c r="H30" s="41"/>
      <c r="I30" s="21"/>
      <c r="J30" s="21"/>
      <c r="K30" s="98">
        <v>30</v>
      </c>
      <c r="L30" s="76"/>
      <c r="M30" s="62"/>
      <c r="N30" s="61" t="str">
        <f t="shared" si="0"/>
        <v>N/A</v>
      </c>
      <c r="O30" s="105"/>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row>
    <row r="31" spans="1:83" ht="24" customHeight="1">
      <c r="A31" s="56"/>
      <c r="B31" s="3"/>
      <c r="D31" s="53"/>
      <c r="E31" s="53"/>
      <c r="F31" s="5"/>
      <c r="G31" s="42" t="s">
        <v>20</v>
      </c>
      <c r="H31" s="39"/>
      <c r="I31" s="21"/>
      <c r="J31" s="21"/>
      <c r="K31" s="98">
        <v>31</v>
      </c>
      <c r="L31" s="75" t="s">
        <v>138</v>
      </c>
      <c r="M31" s="60" t="b">
        <v>0</v>
      </c>
      <c r="N31" s="61" t="str">
        <f t="shared" si="0"/>
        <v>N/A</v>
      </c>
      <c r="O31" s="105"/>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row>
    <row r="32" spans="1:83" ht="3.75" customHeight="1">
      <c r="B32" s="3"/>
      <c r="C32" s="3"/>
      <c r="D32" s="32"/>
      <c r="E32" s="8"/>
      <c r="F32" s="5"/>
      <c r="G32" s="40"/>
      <c r="H32" s="41"/>
      <c r="I32" s="21"/>
      <c r="J32" s="21"/>
      <c r="K32" s="98">
        <v>32</v>
      </c>
      <c r="L32" s="76"/>
      <c r="M32" s="62"/>
      <c r="N32" s="61" t="str">
        <f t="shared" si="0"/>
        <v>N/A</v>
      </c>
      <c r="O32" s="105"/>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row>
    <row r="33" spans="1:83" ht="39" customHeight="1">
      <c r="A33" s="7"/>
      <c r="B33" s="7"/>
      <c r="C33" s="7"/>
      <c r="D33" s="7"/>
      <c r="E33" s="7"/>
      <c r="F33" s="7"/>
      <c r="G33" s="47" t="s">
        <v>21</v>
      </c>
      <c r="H33" s="39"/>
      <c r="I33" s="21"/>
      <c r="J33" s="21"/>
      <c r="K33" s="98">
        <v>33</v>
      </c>
      <c r="L33" s="75" t="s">
        <v>139</v>
      </c>
      <c r="M33" s="60" t="b">
        <v>0</v>
      </c>
      <c r="N33" s="61" t="str">
        <f t="shared" si="0"/>
        <v>N/A</v>
      </c>
      <c r="O33" s="105"/>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row>
    <row r="34" spans="1:83" ht="3" customHeight="1">
      <c r="B34" s="3"/>
      <c r="C34" s="53"/>
      <c r="D34" s="30"/>
      <c r="E34" s="53"/>
      <c r="F34" s="5"/>
      <c r="G34" s="43"/>
      <c r="H34" s="41"/>
      <c r="I34" s="21"/>
      <c r="J34" s="21"/>
      <c r="K34" s="98">
        <v>34</v>
      </c>
      <c r="L34" s="76"/>
      <c r="M34" s="62"/>
      <c r="N34" s="61" t="str">
        <f t="shared" si="0"/>
        <v>N/A</v>
      </c>
      <c r="O34" s="105"/>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row>
    <row r="35" spans="1:83" ht="34.5">
      <c r="A35" s="7"/>
      <c r="B35" s="3"/>
      <c r="D35" s="7"/>
      <c r="E35" s="7"/>
      <c r="F35" s="7"/>
      <c r="G35" s="23" t="s">
        <v>22</v>
      </c>
      <c r="H35" s="39"/>
      <c r="I35" s="21"/>
      <c r="J35" s="21"/>
      <c r="K35" s="98">
        <v>35</v>
      </c>
      <c r="L35" s="75" t="s">
        <v>140</v>
      </c>
      <c r="M35" s="60" t="b">
        <v>0</v>
      </c>
      <c r="N35" s="61" t="str">
        <f t="shared" si="0"/>
        <v>N/A</v>
      </c>
      <c r="O35" s="105"/>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row>
    <row r="36" spans="1:83" ht="9" customHeight="1" thickBot="1">
      <c r="B36" s="3"/>
      <c r="C36" s="54"/>
      <c r="D36" s="31"/>
      <c r="E36" s="54"/>
      <c r="F36" s="5"/>
      <c r="G36" s="44"/>
      <c r="H36" s="45"/>
      <c r="I36" s="21"/>
      <c r="J36" s="21"/>
      <c r="K36" s="57"/>
      <c r="L36" s="4"/>
      <c r="M36" s="4"/>
      <c r="N36" s="58"/>
      <c r="O36" s="105"/>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row>
    <row r="37" spans="1:83" ht="17.25" thickBot="1">
      <c r="B37" s="3"/>
      <c r="C37"/>
      <c r="D37" s="32"/>
      <c r="E37" s="8"/>
      <c r="F37" s="5"/>
      <c r="G37" s="5"/>
      <c r="H37" s="21"/>
      <c r="I37" s="21"/>
      <c r="J37" s="21"/>
      <c r="K37" s="57"/>
      <c r="L37" s="4"/>
      <c r="M37" s="4"/>
      <c r="N37" s="58"/>
      <c r="O37" s="105"/>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row>
    <row r="38" spans="1:83" s="29" customFormat="1" ht="41.25" customHeight="1">
      <c r="A38" s="28"/>
      <c r="B38" s="173" t="s">
        <v>23</v>
      </c>
      <c r="C38" s="174"/>
      <c r="D38" s="50" t="s">
        <v>24</v>
      </c>
      <c r="E38" s="50" t="s">
        <v>25</v>
      </c>
      <c r="F38" s="141" t="s">
        <v>26</v>
      </c>
      <c r="G38" s="141"/>
      <c r="H38" s="141" t="s">
        <v>27</v>
      </c>
      <c r="I38" s="141"/>
      <c r="J38" s="142"/>
      <c r="K38" s="80" t="s">
        <v>141</v>
      </c>
      <c r="L38" s="4"/>
      <c r="M38" s="4"/>
      <c r="N38" s="58"/>
      <c r="O38" s="105"/>
      <c r="P38" s="4"/>
      <c r="Q38" s="4"/>
      <c r="R38" s="4"/>
      <c r="S38" s="4"/>
      <c r="T38" s="4"/>
      <c r="U38" s="4"/>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row>
    <row r="39" spans="1:83" ht="36" customHeight="1">
      <c r="B39" s="155"/>
      <c r="C39" s="156"/>
      <c r="D39" s="91"/>
      <c r="E39" s="91"/>
      <c r="F39" s="157" t="s">
        <v>218</v>
      </c>
      <c r="G39" s="158"/>
      <c r="H39" s="152" t="s">
        <v>28</v>
      </c>
      <c r="I39" s="153"/>
      <c r="J39" s="154"/>
      <c r="K39" s="81" t="s">
        <v>142</v>
      </c>
      <c r="L39" s="4"/>
      <c r="M39" s="4"/>
      <c r="N39" s="58"/>
      <c r="O39" s="105"/>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row>
    <row r="40" spans="1:83" ht="28.5" customHeight="1">
      <c r="B40" s="155"/>
      <c r="C40" s="156"/>
      <c r="D40" s="91"/>
      <c r="E40" s="91"/>
      <c r="F40" s="157" t="s">
        <v>219</v>
      </c>
      <c r="G40" s="158"/>
      <c r="H40" s="152" t="s">
        <v>29</v>
      </c>
      <c r="I40" s="153"/>
      <c r="J40" s="154"/>
      <c r="K40" s="81" t="s">
        <v>143</v>
      </c>
      <c r="L40" s="4"/>
      <c r="M40" s="4"/>
      <c r="N40" s="58"/>
      <c r="O40" s="105"/>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row>
    <row r="41" spans="1:83" ht="28.5" customHeight="1">
      <c r="B41" s="155"/>
      <c r="C41" s="156"/>
      <c r="D41" s="91"/>
      <c r="E41" s="91"/>
      <c r="F41" s="157" t="s">
        <v>220</v>
      </c>
      <c r="G41" s="158"/>
      <c r="H41" s="152" t="s">
        <v>30</v>
      </c>
      <c r="I41" s="153"/>
      <c r="J41" s="154"/>
      <c r="K41" s="81" t="s">
        <v>144</v>
      </c>
      <c r="L41" s="4"/>
      <c r="M41" s="4"/>
      <c r="N41" s="58"/>
      <c r="O41" s="105"/>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row>
    <row r="42" spans="1:83" ht="28.5" customHeight="1">
      <c r="B42" s="155"/>
      <c r="C42" s="156"/>
      <c r="D42" s="91"/>
      <c r="E42" s="91"/>
      <c r="F42" s="157" t="s">
        <v>221</v>
      </c>
      <c r="G42" s="158"/>
      <c r="H42" s="152" t="s">
        <v>31</v>
      </c>
      <c r="I42" s="153"/>
      <c r="J42" s="154"/>
      <c r="K42" s="81" t="s">
        <v>145</v>
      </c>
      <c r="L42" s="4"/>
      <c r="M42" s="4"/>
      <c r="N42" s="58"/>
      <c r="O42" s="105"/>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row>
    <row r="43" spans="1:83" ht="38.25" customHeight="1">
      <c r="B43" s="206"/>
      <c r="C43" s="207"/>
      <c r="D43" s="92"/>
      <c r="E43" s="92"/>
      <c r="F43" s="208" t="s">
        <v>32</v>
      </c>
      <c r="G43" s="209"/>
      <c r="H43" s="210" t="s">
        <v>33</v>
      </c>
      <c r="I43" s="211"/>
      <c r="J43" s="212"/>
      <c r="K43" s="81" t="s">
        <v>146</v>
      </c>
      <c r="L43" s="4"/>
      <c r="M43" s="4"/>
      <c r="N43" s="58"/>
      <c r="O43" s="105"/>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row>
    <row r="44" spans="1:83" ht="28.5" customHeight="1">
      <c r="B44" s="145"/>
      <c r="C44" s="146"/>
      <c r="D44" s="55"/>
      <c r="E44" s="55"/>
      <c r="F44" s="147" t="s">
        <v>222</v>
      </c>
      <c r="G44" s="148"/>
      <c r="H44" s="149" t="s">
        <v>34</v>
      </c>
      <c r="I44" s="150"/>
      <c r="J44" s="151"/>
      <c r="K44" s="81" t="s">
        <v>147</v>
      </c>
      <c r="L44" s="4"/>
      <c r="M44" s="4"/>
      <c r="N44" s="58"/>
      <c r="O44" s="105"/>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row>
    <row r="45" spans="1:83" ht="17.25" thickBot="1">
      <c r="B45" s="9" t="s">
        <v>35</v>
      </c>
      <c r="C45" s="10"/>
      <c r="D45" s="34"/>
      <c r="E45" s="66"/>
      <c r="F45" s="11"/>
      <c r="G45" s="12"/>
      <c r="H45" s="143"/>
      <c r="I45" s="143"/>
      <c r="J45" s="144"/>
      <c r="K45" s="82"/>
      <c r="L45" s="4"/>
      <c r="M45" s="4"/>
      <c r="N45" s="58"/>
      <c r="O45" s="105"/>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row>
    <row r="46" spans="1:83" ht="17.25" thickTop="1">
      <c r="B46" s="184" t="s">
        <v>36</v>
      </c>
      <c r="C46" s="185"/>
      <c r="D46" s="35" t="e">
        <f>$C$12-30</f>
        <v>#VALUE!</v>
      </c>
      <c r="E46" s="67"/>
      <c r="F46" s="17"/>
      <c r="G46" s="18"/>
      <c r="H46" s="182"/>
      <c r="I46" s="182"/>
      <c r="J46" s="183"/>
      <c r="K46" s="67"/>
      <c r="L46" s="4"/>
      <c r="M46" s="4"/>
      <c r="N46" s="58"/>
      <c r="O46" s="105"/>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row>
    <row r="47" spans="1:83" ht="33" customHeight="1">
      <c r="A47" s="4" t="s">
        <v>37</v>
      </c>
      <c r="B47" s="175"/>
      <c r="C47" s="176"/>
      <c r="D47" s="33"/>
      <c r="E47" s="68"/>
      <c r="F47" s="130" t="s">
        <v>223</v>
      </c>
      <c r="G47" s="131"/>
      <c r="H47" s="125" t="s">
        <v>38</v>
      </c>
      <c r="I47" s="126"/>
      <c r="J47" s="127"/>
      <c r="K47" s="83" t="s">
        <v>148</v>
      </c>
      <c r="L47" s="4"/>
      <c r="M47" s="4"/>
      <c r="N47" s="58"/>
      <c r="O47" s="105"/>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row>
    <row r="48" spans="1:83" ht="85.5" customHeight="1">
      <c r="B48" s="123"/>
      <c r="C48" s="124"/>
      <c r="D48" s="33"/>
      <c r="E48" s="96"/>
      <c r="F48" s="130" t="s">
        <v>214</v>
      </c>
      <c r="G48" s="131"/>
      <c r="H48" s="125" t="s">
        <v>39</v>
      </c>
      <c r="I48" s="126"/>
      <c r="J48" s="127"/>
      <c r="K48" s="83" t="s">
        <v>149</v>
      </c>
      <c r="L48" s="4"/>
      <c r="M48" s="4"/>
      <c r="N48" s="58"/>
      <c r="O48" s="105"/>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row>
    <row r="49" spans="2:83" ht="60.75" customHeight="1">
      <c r="B49" s="221"/>
      <c r="C49" s="222"/>
      <c r="D49" s="93"/>
      <c r="E49" s="94"/>
      <c r="F49" s="225" t="s">
        <v>224</v>
      </c>
      <c r="G49" s="226"/>
      <c r="H49" s="203" t="s">
        <v>40</v>
      </c>
      <c r="I49" s="204"/>
      <c r="J49" s="205"/>
      <c r="K49" s="83" t="s">
        <v>150</v>
      </c>
      <c r="L49" s="4"/>
      <c r="M49" s="4"/>
      <c r="N49" s="58"/>
      <c r="O49" s="105"/>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row>
    <row r="50" spans="2:83" ht="39" customHeight="1">
      <c r="B50" s="221"/>
      <c r="C50" s="222"/>
      <c r="D50" s="93"/>
      <c r="E50" s="94"/>
      <c r="F50" s="219" t="s">
        <v>225</v>
      </c>
      <c r="G50" s="220"/>
      <c r="H50" s="203" t="s">
        <v>41</v>
      </c>
      <c r="I50" s="204"/>
      <c r="J50" s="205"/>
      <c r="K50" s="83" t="s">
        <v>151</v>
      </c>
      <c r="L50" s="4"/>
      <c r="M50" s="4"/>
      <c r="N50" s="58"/>
      <c r="O50" s="105"/>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row>
    <row r="51" spans="2:83" ht="30.75" customHeight="1">
      <c r="B51" s="221"/>
      <c r="C51" s="222"/>
      <c r="D51" s="93"/>
      <c r="E51" s="93"/>
      <c r="F51" s="225" t="s">
        <v>42</v>
      </c>
      <c r="G51" s="226"/>
      <c r="H51" s="203" t="s">
        <v>43</v>
      </c>
      <c r="I51" s="204"/>
      <c r="J51" s="205"/>
      <c r="K51" s="83" t="s">
        <v>152</v>
      </c>
      <c r="L51" s="4"/>
      <c r="M51" s="4"/>
      <c r="N51" s="58"/>
      <c r="O51" s="105"/>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row>
    <row r="52" spans="2:83" ht="75.75" customHeight="1">
      <c r="B52" s="213"/>
      <c r="C52" s="214"/>
      <c r="D52" s="95"/>
      <c r="E52" s="94"/>
      <c r="F52" s="219" t="s">
        <v>207</v>
      </c>
      <c r="G52" s="220"/>
      <c r="H52" s="179" t="s">
        <v>44</v>
      </c>
      <c r="I52" s="180"/>
      <c r="J52" s="181"/>
      <c r="K52" s="83" t="s">
        <v>153</v>
      </c>
      <c r="L52" s="4"/>
      <c r="M52" s="4" t="s">
        <v>154</v>
      </c>
      <c r="N52" s="58"/>
      <c r="O52" s="105"/>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row>
    <row r="53" spans="2:83" ht="35.25" customHeight="1">
      <c r="B53" s="223"/>
      <c r="C53" s="224"/>
      <c r="D53" s="93"/>
      <c r="E53" s="94"/>
      <c r="F53" s="225" t="s">
        <v>45</v>
      </c>
      <c r="G53" s="226"/>
      <c r="H53" s="203" t="s">
        <v>46</v>
      </c>
      <c r="I53" s="204"/>
      <c r="J53" s="205"/>
      <c r="K53" s="83" t="s">
        <v>155</v>
      </c>
      <c r="L53" s="4"/>
      <c r="M53" s="4"/>
      <c r="N53" s="58"/>
      <c r="O53" s="105"/>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row>
    <row r="54" spans="2:83" ht="17.25" thickBot="1">
      <c r="B54" s="9" t="s">
        <v>47</v>
      </c>
      <c r="C54" s="10"/>
      <c r="D54" s="34"/>
      <c r="E54" s="66"/>
      <c r="F54" s="11"/>
      <c r="G54" s="12"/>
      <c r="H54" s="143"/>
      <c r="I54" s="143"/>
      <c r="J54" s="144"/>
      <c r="K54" s="82"/>
      <c r="L54" s="4"/>
      <c r="M54" s="4"/>
      <c r="N54" s="58"/>
      <c r="O54" s="105"/>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row>
    <row r="55" spans="2:83" ht="17.25" thickTop="1">
      <c r="B55" s="184" t="s">
        <v>48</v>
      </c>
      <c r="C55" s="185"/>
      <c r="D55" s="35" t="e">
        <f>$C$12-21</f>
        <v>#VALUE!</v>
      </c>
      <c r="E55" s="67"/>
      <c r="F55" s="17"/>
      <c r="G55" s="18"/>
      <c r="H55" s="182"/>
      <c r="I55" s="182"/>
      <c r="J55" s="183"/>
      <c r="K55" s="67"/>
      <c r="L55" s="4"/>
      <c r="M55" s="4"/>
      <c r="N55" s="58"/>
      <c r="O55" s="105"/>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row>
    <row r="56" spans="2:83" ht="51" customHeight="1">
      <c r="B56" s="175"/>
      <c r="C56" s="176"/>
      <c r="D56" s="33"/>
      <c r="E56" s="68"/>
      <c r="F56" s="130" t="s">
        <v>208</v>
      </c>
      <c r="G56" s="131"/>
      <c r="H56" s="227" t="s">
        <v>215</v>
      </c>
      <c r="I56" s="228"/>
      <c r="J56" s="229"/>
      <c r="K56" s="83" t="s">
        <v>156</v>
      </c>
      <c r="L56" s="4"/>
      <c r="M56" s="4"/>
      <c r="N56" s="58"/>
      <c r="O56" s="105"/>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row>
    <row r="57" spans="2:83" ht="17.25" thickBot="1">
      <c r="B57" s="16" t="s">
        <v>49</v>
      </c>
      <c r="C57" s="13"/>
      <c r="D57" s="36"/>
      <c r="E57" s="69"/>
      <c r="F57" s="14"/>
      <c r="G57" s="15"/>
      <c r="H57" s="230"/>
      <c r="I57" s="230"/>
      <c r="J57" s="231"/>
      <c r="K57" s="84"/>
      <c r="L57" s="4"/>
      <c r="M57" s="4"/>
      <c r="N57" s="58"/>
      <c r="O57" s="105"/>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row>
    <row r="58" spans="2:83" ht="17.25" thickTop="1">
      <c r="B58" s="184" t="s">
        <v>50</v>
      </c>
      <c r="C58" s="185"/>
      <c r="D58" s="35" t="e">
        <f>$C$12-14</f>
        <v>#VALUE!</v>
      </c>
      <c r="E58" s="67"/>
      <c r="F58" s="17"/>
      <c r="G58" s="18"/>
      <c r="H58" s="182"/>
      <c r="I58" s="182"/>
      <c r="J58" s="183"/>
      <c r="K58" s="67"/>
      <c r="L58" s="4"/>
      <c r="M58" s="4"/>
      <c r="N58" s="58"/>
      <c r="O58" s="105"/>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row>
    <row r="59" spans="2:83" ht="82.5" customHeight="1">
      <c r="B59" s="175"/>
      <c r="C59" s="176"/>
      <c r="D59" s="55"/>
      <c r="E59" s="90"/>
      <c r="F59" s="130" t="s">
        <v>214</v>
      </c>
      <c r="G59" s="131"/>
      <c r="H59" s="135" t="s">
        <v>216</v>
      </c>
      <c r="I59" s="136"/>
      <c r="J59" s="137"/>
      <c r="K59" s="83" t="s">
        <v>157</v>
      </c>
      <c r="L59" s="4"/>
      <c r="M59" s="4"/>
      <c r="N59" s="58"/>
      <c r="O59" s="105"/>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row>
    <row r="60" spans="2:83" ht="17.25" thickBot="1">
      <c r="B60" s="16" t="s">
        <v>209</v>
      </c>
      <c r="C60" s="13"/>
      <c r="D60" s="36"/>
      <c r="E60" s="69"/>
      <c r="F60" s="14"/>
      <c r="G60" s="15"/>
      <c r="H60" s="230"/>
      <c r="I60" s="230"/>
      <c r="J60" s="231"/>
      <c r="K60" s="84"/>
      <c r="L60" s="4"/>
      <c r="M60" s="4"/>
      <c r="N60" s="58"/>
      <c r="O60" s="105"/>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row>
    <row r="61" spans="2:83" ht="17.25" thickTop="1">
      <c r="B61" s="184" t="s">
        <v>51</v>
      </c>
      <c r="C61" s="185"/>
      <c r="D61" s="35" t="e">
        <f>$C$12-7</f>
        <v>#VALUE!</v>
      </c>
      <c r="E61" s="67"/>
      <c r="F61" s="17"/>
      <c r="G61" s="18"/>
      <c r="H61" s="182"/>
      <c r="I61" s="182"/>
      <c r="J61" s="183"/>
      <c r="K61" s="67"/>
      <c r="L61" s="4"/>
      <c r="M61" s="4"/>
      <c r="N61" s="58"/>
      <c r="O61" s="105"/>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row>
    <row r="62" spans="2:83" ht="84.75" customHeight="1">
      <c r="B62" s="175"/>
      <c r="C62" s="176"/>
      <c r="D62" s="33"/>
      <c r="E62" s="68"/>
      <c r="F62" s="130" t="s">
        <v>214</v>
      </c>
      <c r="G62" s="131"/>
      <c r="H62" s="125" t="s">
        <v>52</v>
      </c>
      <c r="I62" s="126"/>
      <c r="J62" s="127"/>
      <c r="K62" s="83" t="s">
        <v>158</v>
      </c>
      <c r="L62" s="4"/>
      <c r="M62" s="4"/>
      <c r="N62" s="58"/>
      <c r="O62" s="105"/>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row>
    <row r="63" spans="2:83" ht="41.25" customHeight="1">
      <c r="B63" s="175"/>
      <c r="C63" s="176"/>
      <c r="D63" s="33"/>
      <c r="E63" s="68"/>
      <c r="F63" s="130" t="s">
        <v>226</v>
      </c>
      <c r="G63" s="131"/>
      <c r="H63" s="193" t="s">
        <v>53</v>
      </c>
      <c r="I63" s="194"/>
      <c r="J63" s="195"/>
      <c r="K63" s="83" t="s">
        <v>159</v>
      </c>
      <c r="L63" s="4"/>
      <c r="M63" s="4"/>
      <c r="N63" s="58"/>
      <c r="O63" s="105"/>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row>
    <row r="64" spans="2:83" ht="61.5" customHeight="1">
      <c r="B64" s="175"/>
      <c r="C64" s="176"/>
      <c r="D64" s="33"/>
      <c r="E64" s="68"/>
      <c r="F64" s="130" t="s">
        <v>227</v>
      </c>
      <c r="G64" s="131"/>
      <c r="H64" s="193" t="s">
        <v>54</v>
      </c>
      <c r="I64" s="194"/>
      <c r="J64" s="195"/>
      <c r="K64" s="83" t="s">
        <v>160</v>
      </c>
      <c r="L64" s="4"/>
      <c r="M64" s="4" t="s">
        <v>161</v>
      </c>
      <c r="N64" s="58"/>
      <c r="O64" s="105"/>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row>
    <row r="65" spans="2:83" ht="60" customHeight="1">
      <c r="B65" s="175"/>
      <c r="C65" s="176"/>
      <c r="D65" s="33"/>
      <c r="E65" s="68"/>
      <c r="F65" s="130" t="s">
        <v>228</v>
      </c>
      <c r="G65" s="131"/>
      <c r="H65" s="125" t="s">
        <v>55</v>
      </c>
      <c r="I65" s="126"/>
      <c r="J65" s="127"/>
      <c r="K65" s="83" t="s">
        <v>162</v>
      </c>
      <c r="L65" s="4"/>
      <c r="M65" s="4"/>
      <c r="N65" s="58"/>
      <c r="O65" s="105"/>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row>
    <row r="66" spans="2:83" ht="54.75" customHeight="1">
      <c r="B66" s="217" t="s">
        <v>56</v>
      </c>
      <c r="C66" s="218"/>
      <c r="D66" s="38" t="str">
        <f>$C$12</f>
        <v>&lt;DD/MM/YY&gt;</v>
      </c>
      <c r="E66" s="70"/>
      <c r="F66" s="218" t="s">
        <v>210</v>
      </c>
      <c r="G66" s="218"/>
      <c r="H66" s="196"/>
      <c r="I66" s="196"/>
      <c r="J66" s="197"/>
      <c r="K66" s="85"/>
      <c r="L66" s="4"/>
      <c r="M66" s="4"/>
      <c r="N66" s="58"/>
      <c r="O66" s="105"/>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row>
    <row r="67" spans="2:83" ht="51.75" customHeight="1">
      <c r="B67" s="175"/>
      <c r="C67" s="176"/>
      <c r="D67" s="33"/>
      <c r="E67" s="33"/>
      <c r="F67" s="186" t="s">
        <v>211</v>
      </c>
      <c r="G67" s="187"/>
      <c r="H67" s="125" t="s">
        <v>57</v>
      </c>
      <c r="I67" s="126"/>
      <c r="J67" s="127"/>
      <c r="K67" s="83" t="s">
        <v>163</v>
      </c>
      <c r="L67" s="4"/>
      <c r="M67" s="4"/>
      <c r="N67" s="58"/>
      <c r="O67" s="105"/>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row>
    <row r="68" spans="2:83" ht="34.5" customHeight="1">
      <c r="B68" s="123"/>
      <c r="C68" s="124"/>
      <c r="D68" s="33"/>
      <c r="E68" s="68"/>
      <c r="F68" s="130" t="s">
        <v>58</v>
      </c>
      <c r="G68" s="131"/>
      <c r="H68" s="125" t="s">
        <v>59</v>
      </c>
      <c r="I68" s="126"/>
      <c r="J68" s="127"/>
      <c r="K68" s="83" t="s">
        <v>164</v>
      </c>
      <c r="L68" s="4"/>
      <c r="M68" s="4"/>
      <c r="N68" s="58"/>
      <c r="O68" s="105"/>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row>
    <row r="69" spans="2:83" ht="34.5" customHeight="1">
      <c r="B69" s="123"/>
      <c r="C69" s="124"/>
      <c r="D69" s="33"/>
      <c r="E69" s="68"/>
      <c r="F69" s="128" t="s">
        <v>229</v>
      </c>
      <c r="G69" s="129"/>
      <c r="H69" s="125" t="s">
        <v>60</v>
      </c>
      <c r="I69" s="126"/>
      <c r="J69" s="127"/>
      <c r="K69" s="83" t="s">
        <v>165</v>
      </c>
      <c r="L69" s="4"/>
      <c r="M69" s="4"/>
      <c r="N69" s="58"/>
      <c r="O69" s="105"/>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row>
    <row r="70" spans="2:83" ht="34.5" customHeight="1">
      <c r="B70" s="123"/>
      <c r="C70" s="124"/>
      <c r="D70" s="33"/>
      <c r="E70" s="68"/>
      <c r="F70" s="128" t="s">
        <v>230</v>
      </c>
      <c r="G70" s="129"/>
      <c r="H70" s="125" t="s">
        <v>61</v>
      </c>
      <c r="I70" s="126"/>
      <c r="J70" s="127"/>
      <c r="K70" s="83" t="s">
        <v>166</v>
      </c>
      <c r="L70" s="4"/>
      <c r="M70" s="4"/>
      <c r="N70" s="58"/>
      <c r="O70" s="105"/>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row>
    <row r="71" spans="2:83" ht="34.5" customHeight="1">
      <c r="B71" s="123"/>
      <c r="C71" s="124"/>
      <c r="D71" s="33"/>
      <c r="E71" s="68"/>
      <c r="F71" s="128" t="s">
        <v>231</v>
      </c>
      <c r="G71" s="129"/>
      <c r="H71" s="125" t="s">
        <v>62</v>
      </c>
      <c r="I71" s="126"/>
      <c r="J71" s="127"/>
      <c r="K71" s="83" t="s">
        <v>167</v>
      </c>
      <c r="L71" s="4"/>
      <c r="M71" s="4"/>
      <c r="N71" s="58"/>
      <c r="O71" s="105"/>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row>
    <row r="72" spans="2:83" ht="29.25" customHeight="1">
      <c r="B72" s="175"/>
      <c r="C72" s="176"/>
      <c r="D72" s="33"/>
      <c r="E72" s="68"/>
      <c r="F72" s="130" t="s">
        <v>232</v>
      </c>
      <c r="G72" s="131"/>
      <c r="H72" s="125" t="s">
        <v>63</v>
      </c>
      <c r="I72" s="126"/>
      <c r="J72" s="127"/>
      <c r="K72" s="83" t="s">
        <v>168</v>
      </c>
      <c r="L72" s="4"/>
      <c r="M72" s="4"/>
      <c r="N72" s="58"/>
      <c r="O72" s="105"/>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row>
    <row r="73" spans="2:83" ht="46.5" customHeight="1">
      <c r="B73" s="215" t="s">
        <v>64</v>
      </c>
      <c r="C73" s="216"/>
      <c r="D73" s="52" t="s">
        <v>65</v>
      </c>
      <c r="E73" s="20"/>
      <c r="F73" s="200" t="s">
        <v>212</v>
      </c>
      <c r="G73" s="200"/>
      <c r="H73" s="191"/>
      <c r="I73" s="191"/>
      <c r="J73" s="192"/>
      <c r="K73" s="86"/>
      <c r="L73" s="4"/>
      <c r="M73" s="4"/>
      <c r="N73" s="58"/>
      <c r="O73" s="105"/>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row>
    <row r="74" spans="2:83" ht="75" customHeight="1">
      <c r="B74" s="123"/>
      <c r="C74" s="124"/>
      <c r="D74" s="33"/>
      <c r="E74" s="68"/>
      <c r="F74" s="128" t="s">
        <v>233</v>
      </c>
      <c r="G74" s="129"/>
      <c r="H74" s="132" t="s">
        <v>66</v>
      </c>
      <c r="I74" s="133"/>
      <c r="J74" s="134"/>
      <c r="K74" s="83" t="s">
        <v>169</v>
      </c>
      <c r="L74" s="4"/>
      <c r="M74" s="4"/>
      <c r="N74" s="58"/>
      <c r="O74" s="105"/>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row>
    <row r="75" spans="2:83" ht="25.5" customHeight="1">
      <c r="B75" s="123"/>
      <c r="C75" s="124"/>
      <c r="D75" s="33"/>
      <c r="E75" s="68"/>
      <c r="F75" s="128" t="s">
        <v>67</v>
      </c>
      <c r="G75" s="129"/>
      <c r="H75" s="132" t="s">
        <v>68</v>
      </c>
      <c r="I75" s="133"/>
      <c r="J75" s="134"/>
      <c r="K75" s="83" t="s">
        <v>170</v>
      </c>
      <c r="L75" s="4"/>
      <c r="M75" s="4"/>
      <c r="N75" s="58"/>
      <c r="O75" s="105"/>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row>
    <row r="76" spans="2:83" ht="37.5" customHeight="1">
      <c r="B76" s="123"/>
      <c r="C76" s="124"/>
      <c r="D76" s="33"/>
      <c r="E76" s="68"/>
      <c r="F76" s="128" t="s">
        <v>69</v>
      </c>
      <c r="G76" s="129"/>
      <c r="H76" s="132" t="s">
        <v>70</v>
      </c>
      <c r="I76" s="133"/>
      <c r="J76" s="134"/>
      <c r="K76" s="83" t="s">
        <v>171</v>
      </c>
      <c r="L76" s="4"/>
      <c r="M76" s="4"/>
      <c r="N76" s="58"/>
      <c r="O76" s="105"/>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row>
    <row r="77" spans="2:83" ht="37.5" customHeight="1">
      <c r="B77" s="123"/>
      <c r="C77" s="124"/>
      <c r="D77" s="33"/>
      <c r="E77" s="68"/>
      <c r="F77" s="128" t="s">
        <v>234</v>
      </c>
      <c r="G77" s="129"/>
      <c r="H77" s="132" t="s">
        <v>71</v>
      </c>
      <c r="I77" s="133"/>
      <c r="J77" s="134"/>
      <c r="K77" s="83" t="s">
        <v>172</v>
      </c>
      <c r="L77" s="4"/>
      <c r="M77" s="4"/>
      <c r="N77" s="58"/>
      <c r="O77" s="105"/>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row>
    <row r="78" spans="2:83" ht="21" customHeight="1">
      <c r="B78" s="123"/>
      <c r="C78" s="124"/>
      <c r="D78" s="33"/>
      <c r="E78" s="68"/>
      <c r="F78" s="130" t="s">
        <v>72</v>
      </c>
      <c r="G78" s="131"/>
      <c r="H78" s="132" t="s">
        <v>73</v>
      </c>
      <c r="I78" s="133"/>
      <c r="J78" s="134"/>
      <c r="K78" s="83" t="s">
        <v>173</v>
      </c>
      <c r="L78" s="4"/>
      <c r="M78" s="4"/>
      <c r="N78" s="58"/>
      <c r="O78" s="105"/>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row>
    <row r="79" spans="2:83" ht="21" customHeight="1">
      <c r="B79" s="123"/>
      <c r="C79" s="124"/>
      <c r="D79" s="33"/>
      <c r="E79" s="68"/>
      <c r="F79" s="128" t="s">
        <v>74</v>
      </c>
      <c r="G79" s="129"/>
      <c r="H79" s="132" t="s">
        <v>75</v>
      </c>
      <c r="I79" s="133"/>
      <c r="J79" s="134"/>
      <c r="K79" s="83" t="s">
        <v>174</v>
      </c>
      <c r="L79" s="4"/>
      <c r="M79" s="4"/>
      <c r="N79" s="58"/>
      <c r="O79" s="105"/>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row>
    <row r="80" spans="2:83" ht="21" customHeight="1">
      <c r="B80" s="123"/>
      <c r="C80" s="124"/>
      <c r="D80" s="33"/>
      <c r="E80" s="68"/>
      <c r="F80" s="128" t="s">
        <v>76</v>
      </c>
      <c r="G80" s="129"/>
      <c r="H80" s="132" t="s">
        <v>77</v>
      </c>
      <c r="I80" s="133"/>
      <c r="J80" s="134"/>
      <c r="K80" s="83" t="s">
        <v>175</v>
      </c>
      <c r="L80" s="4"/>
      <c r="M80" s="4"/>
      <c r="N80" s="58"/>
      <c r="O80" s="105"/>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row>
    <row r="81" spans="2:83" ht="21" customHeight="1">
      <c r="B81" s="123"/>
      <c r="C81" s="124"/>
      <c r="D81" s="33"/>
      <c r="E81" s="68"/>
      <c r="F81" s="128" t="s">
        <v>78</v>
      </c>
      <c r="G81" s="129"/>
      <c r="H81" s="132" t="s">
        <v>79</v>
      </c>
      <c r="I81" s="133"/>
      <c r="J81" s="134"/>
      <c r="K81" s="83" t="s">
        <v>176</v>
      </c>
      <c r="L81" s="4"/>
      <c r="M81" s="4"/>
      <c r="N81" s="58"/>
      <c r="O81" s="105"/>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row>
    <row r="82" spans="2:83" ht="48" customHeight="1">
      <c r="B82" s="123"/>
      <c r="C82" s="124"/>
      <c r="D82" s="33"/>
      <c r="E82" s="68"/>
      <c r="F82" s="128" t="s">
        <v>235</v>
      </c>
      <c r="G82" s="129"/>
      <c r="H82" s="132" t="s">
        <v>80</v>
      </c>
      <c r="I82" s="133"/>
      <c r="J82" s="134"/>
      <c r="K82" s="83" t="s">
        <v>177</v>
      </c>
      <c r="L82" s="4"/>
      <c r="M82" s="4"/>
      <c r="N82" s="58"/>
      <c r="O82" s="105"/>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row>
    <row r="83" spans="2:83" ht="44.25" customHeight="1">
      <c r="B83" s="123"/>
      <c r="C83" s="124"/>
      <c r="D83" s="33"/>
      <c r="E83" s="68"/>
      <c r="F83" s="128" t="s">
        <v>236</v>
      </c>
      <c r="G83" s="129"/>
      <c r="H83" s="132" t="s">
        <v>81</v>
      </c>
      <c r="I83" s="133"/>
      <c r="J83" s="134"/>
      <c r="K83" s="83" t="s">
        <v>178</v>
      </c>
      <c r="L83" s="4"/>
      <c r="M83" s="4"/>
      <c r="N83" s="58"/>
      <c r="O83" s="105"/>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row>
    <row r="84" spans="2:83" ht="21" customHeight="1">
      <c r="B84" s="123"/>
      <c r="C84" s="124"/>
      <c r="D84" s="33"/>
      <c r="E84" s="68"/>
      <c r="F84" s="130" t="s">
        <v>82</v>
      </c>
      <c r="G84" s="131"/>
      <c r="H84" s="132" t="s">
        <v>83</v>
      </c>
      <c r="I84" s="133"/>
      <c r="J84" s="134"/>
      <c r="K84" s="83" t="s">
        <v>179</v>
      </c>
      <c r="L84" s="4"/>
      <c r="M84" s="4" t="s">
        <v>180</v>
      </c>
      <c r="N84" s="58"/>
      <c r="O84" s="105"/>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row>
    <row r="85" spans="2:83" ht="48" customHeight="1">
      <c r="B85" s="175"/>
      <c r="C85" s="176"/>
      <c r="D85" s="33"/>
      <c r="E85" s="68"/>
      <c r="F85" s="130" t="s">
        <v>84</v>
      </c>
      <c r="G85" s="131"/>
      <c r="H85" s="132" t="s">
        <v>85</v>
      </c>
      <c r="I85" s="133"/>
      <c r="J85" s="134"/>
      <c r="K85" s="83" t="s">
        <v>181</v>
      </c>
      <c r="L85" s="4"/>
      <c r="M85" s="4" t="s">
        <v>182</v>
      </c>
      <c r="N85" s="58"/>
      <c r="O85" s="105"/>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row>
    <row r="86" spans="2:83" ht="53.25" customHeight="1">
      <c r="B86" s="123"/>
      <c r="C86" s="124"/>
      <c r="D86" s="33"/>
      <c r="E86" s="33"/>
      <c r="F86" s="128" t="s">
        <v>237</v>
      </c>
      <c r="G86" s="129"/>
      <c r="H86" s="132" t="s">
        <v>86</v>
      </c>
      <c r="I86" s="133"/>
      <c r="J86" s="134"/>
      <c r="K86" s="83" t="s">
        <v>183</v>
      </c>
      <c r="L86" s="4"/>
      <c r="M86" s="4" t="s">
        <v>184</v>
      </c>
      <c r="N86" s="58"/>
      <c r="O86" s="105"/>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row>
    <row r="87" spans="2:83" ht="21" customHeight="1">
      <c r="B87" s="123"/>
      <c r="C87" s="124"/>
      <c r="D87" s="33"/>
      <c r="E87" s="68"/>
      <c r="F87" s="128" t="s">
        <v>87</v>
      </c>
      <c r="G87" s="129"/>
      <c r="H87" s="132" t="s">
        <v>88</v>
      </c>
      <c r="I87" s="133"/>
      <c r="J87" s="134"/>
      <c r="K87" s="83" t="s">
        <v>185</v>
      </c>
      <c r="L87" s="4"/>
      <c r="M87" s="4"/>
      <c r="N87" s="58"/>
      <c r="O87" s="105"/>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row>
    <row r="88" spans="2:83" ht="21" customHeight="1">
      <c r="B88" s="123"/>
      <c r="C88" s="124"/>
      <c r="D88" s="33"/>
      <c r="E88" s="68"/>
      <c r="F88" s="128" t="s">
        <v>89</v>
      </c>
      <c r="G88" s="129"/>
      <c r="H88" s="132" t="s">
        <v>90</v>
      </c>
      <c r="I88" s="133"/>
      <c r="J88" s="134"/>
      <c r="K88" s="83" t="s">
        <v>186</v>
      </c>
      <c r="L88" s="4"/>
      <c r="M88" s="4"/>
      <c r="N88" s="58"/>
      <c r="O88" s="105"/>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row>
    <row r="89" spans="2:83" ht="21" customHeight="1">
      <c r="B89" s="123"/>
      <c r="C89" s="124"/>
      <c r="D89" s="33"/>
      <c r="E89" s="68"/>
      <c r="F89" s="128" t="s">
        <v>91</v>
      </c>
      <c r="G89" s="129"/>
      <c r="H89" s="125" t="s">
        <v>92</v>
      </c>
      <c r="I89" s="126"/>
      <c r="J89" s="127"/>
      <c r="K89" s="83" t="s">
        <v>187</v>
      </c>
      <c r="L89" s="4"/>
      <c r="M89" s="4"/>
      <c r="N89" s="58"/>
      <c r="O89" s="105"/>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row>
    <row r="90" spans="2:83" ht="21" customHeight="1">
      <c r="B90" s="123"/>
      <c r="C90" s="124"/>
      <c r="D90" s="33"/>
      <c r="E90" s="68"/>
      <c r="F90" s="130" t="s">
        <v>93</v>
      </c>
      <c r="G90" s="131"/>
      <c r="H90" s="125" t="s">
        <v>94</v>
      </c>
      <c r="I90" s="126"/>
      <c r="J90" s="127"/>
      <c r="K90" s="83" t="s">
        <v>188</v>
      </c>
      <c r="L90" s="4"/>
      <c r="M90" s="4"/>
      <c r="N90" s="58"/>
      <c r="O90" s="105"/>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row>
    <row r="91" spans="2:83" ht="21" customHeight="1">
      <c r="B91" s="123"/>
      <c r="C91" s="124"/>
      <c r="D91" s="33"/>
      <c r="E91" s="68"/>
      <c r="F91" s="128" t="s">
        <v>95</v>
      </c>
      <c r="G91" s="129"/>
      <c r="H91" s="125" t="s">
        <v>96</v>
      </c>
      <c r="I91" s="126"/>
      <c r="J91" s="127"/>
      <c r="K91" s="83" t="s">
        <v>189</v>
      </c>
      <c r="L91" s="4"/>
      <c r="M91" s="4"/>
      <c r="N91" s="58"/>
      <c r="O91" s="105"/>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row>
    <row r="92" spans="2:83" ht="21" customHeight="1">
      <c r="B92" s="123"/>
      <c r="C92" s="124"/>
      <c r="D92" s="33"/>
      <c r="E92" s="68"/>
      <c r="F92" s="128" t="s">
        <v>97</v>
      </c>
      <c r="G92" s="129"/>
      <c r="H92" s="125" t="s">
        <v>98</v>
      </c>
      <c r="I92" s="126"/>
      <c r="J92" s="127"/>
      <c r="K92" s="83" t="s">
        <v>190</v>
      </c>
      <c r="L92" s="4"/>
      <c r="M92" s="4"/>
      <c r="N92" s="58"/>
      <c r="O92" s="105"/>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row>
    <row r="93" spans="2:83" ht="21" customHeight="1">
      <c r="B93" s="123"/>
      <c r="C93" s="124"/>
      <c r="D93" s="33"/>
      <c r="E93" s="68"/>
      <c r="F93" s="128" t="s">
        <v>99</v>
      </c>
      <c r="G93" s="129"/>
      <c r="H93" s="125" t="s">
        <v>100</v>
      </c>
      <c r="I93" s="126"/>
      <c r="J93" s="127"/>
      <c r="K93" s="83" t="s">
        <v>191</v>
      </c>
      <c r="L93" s="4"/>
      <c r="M93" s="4"/>
      <c r="N93" s="58"/>
      <c r="O93" s="105"/>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row>
    <row r="94" spans="2:83" ht="21" customHeight="1">
      <c r="B94" s="123"/>
      <c r="C94" s="124"/>
      <c r="D94" s="33"/>
      <c r="E94" s="68"/>
      <c r="F94" s="130" t="s">
        <v>101</v>
      </c>
      <c r="G94" s="131"/>
      <c r="H94" s="125" t="s">
        <v>102</v>
      </c>
      <c r="I94" s="126"/>
      <c r="J94" s="127"/>
      <c r="K94" s="83" t="s">
        <v>192</v>
      </c>
      <c r="L94" s="4"/>
      <c r="M94" s="4"/>
      <c r="N94" s="58"/>
      <c r="O94" s="105"/>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row>
    <row r="95" spans="2:83" ht="21" customHeight="1">
      <c r="B95" s="123"/>
      <c r="C95" s="124"/>
      <c r="D95" s="33"/>
      <c r="E95" s="68"/>
      <c r="F95" s="128" t="s">
        <v>103</v>
      </c>
      <c r="G95" s="129"/>
      <c r="H95" s="125" t="s">
        <v>104</v>
      </c>
      <c r="I95" s="126"/>
      <c r="J95" s="127"/>
      <c r="K95" s="83" t="s">
        <v>193</v>
      </c>
      <c r="L95" s="4"/>
      <c r="M95" s="4"/>
      <c r="N95" s="58"/>
      <c r="O95" s="105"/>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row>
    <row r="96" spans="2:83" ht="21" customHeight="1">
      <c r="B96" s="123"/>
      <c r="C96" s="124"/>
      <c r="D96" s="33"/>
      <c r="E96" s="68"/>
      <c r="F96" s="128" t="s">
        <v>105</v>
      </c>
      <c r="G96" s="129"/>
      <c r="H96" s="125" t="s">
        <v>106</v>
      </c>
      <c r="I96" s="126"/>
      <c r="J96" s="127"/>
      <c r="K96" s="83" t="s">
        <v>194</v>
      </c>
      <c r="L96" s="4"/>
      <c r="M96" s="4"/>
      <c r="N96" s="58"/>
      <c r="O96" s="105"/>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row>
    <row r="97" spans="2:83" ht="21" customHeight="1">
      <c r="B97" s="123"/>
      <c r="C97" s="124"/>
      <c r="D97" s="33"/>
      <c r="E97" s="68"/>
      <c r="F97" s="128" t="s">
        <v>238</v>
      </c>
      <c r="G97" s="129"/>
      <c r="H97" s="125" t="s">
        <v>107</v>
      </c>
      <c r="I97" s="126"/>
      <c r="J97" s="127"/>
      <c r="K97" s="83" t="s">
        <v>195</v>
      </c>
      <c r="L97" s="4"/>
      <c r="M97" s="4"/>
      <c r="N97" s="58"/>
      <c r="O97" s="105"/>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row>
    <row r="98" spans="2:83" ht="34.5" customHeight="1">
      <c r="B98" s="123"/>
      <c r="C98" s="124"/>
      <c r="D98" s="33"/>
      <c r="E98" s="68"/>
      <c r="F98" s="128" t="s">
        <v>239</v>
      </c>
      <c r="G98" s="129"/>
      <c r="H98" s="125" t="s">
        <v>108</v>
      </c>
      <c r="I98" s="126"/>
      <c r="J98" s="127"/>
      <c r="K98" s="83" t="s">
        <v>196</v>
      </c>
      <c r="L98" s="4"/>
      <c r="M98" s="4"/>
      <c r="N98" s="58"/>
      <c r="O98" s="105"/>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row>
    <row r="99" spans="2:83" ht="44.25" customHeight="1">
      <c r="B99" s="123"/>
      <c r="C99" s="124"/>
      <c r="D99" s="33"/>
      <c r="E99" s="68"/>
      <c r="F99" s="128" t="s">
        <v>109</v>
      </c>
      <c r="G99" s="129"/>
      <c r="H99" s="125" t="s">
        <v>110</v>
      </c>
      <c r="I99" s="126"/>
      <c r="J99" s="127"/>
      <c r="K99" s="83" t="s">
        <v>197</v>
      </c>
      <c r="L99" s="4"/>
      <c r="M99" s="4"/>
      <c r="N99" s="58"/>
      <c r="O99" s="105"/>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row>
    <row r="100" spans="2:83" ht="44.25" customHeight="1">
      <c r="B100" s="123"/>
      <c r="C100" s="124"/>
      <c r="D100" s="33"/>
      <c r="E100" s="68"/>
      <c r="F100" s="130" t="s">
        <v>240</v>
      </c>
      <c r="G100" s="131"/>
      <c r="H100" s="125" t="s">
        <v>111</v>
      </c>
      <c r="I100" s="126"/>
      <c r="J100" s="127"/>
      <c r="K100" s="83" t="s">
        <v>198</v>
      </c>
      <c r="L100" s="4"/>
      <c r="M100" s="4"/>
      <c r="N100" s="58"/>
      <c r="O100" s="105"/>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row>
    <row r="101" spans="2:83" ht="36" customHeight="1">
      <c r="B101" s="123"/>
      <c r="C101" s="124"/>
      <c r="D101" s="33"/>
      <c r="E101" s="68"/>
      <c r="F101" s="130" t="s">
        <v>241</v>
      </c>
      <c r="G101" s="131"/>
      <c r="H101" s="125" t="s">
        <v>112</v>
      </c>
      <c r="I101" s="126"/>
      <c r="J101" s="127"/>
      <c r="K101" s="83" t="s">
        <v>199</v>
      </c>
      <c r="L101" s="4"/>
      <c r="M101" s="4"/>
      <c r="N101" s="58"/>
      <c r="O101" s="105"/>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row>
    <row r="102" spans="2:83" ht="30.75" customHeight="1">
      <c r="B102" s="123"/>
      <c r="C102" s="124"/>
      <c r="D102" s="33"/>
      <c r="E102" s="68"/>
      <c r="F102" s="128" t="s">
        <v>242</v>
      </c>
      <c r="G102" s="129"/>
      <c r="H102" s="125" t="s">
        <v>113</v>
      </c>
      <c r="I102" s="126"/>
      <c r="J102" s="127"/>
      <c r="K102" s="83" t="s">
        <v>200</v>
      </c>
      <c r="L102" s="4"/>
      <c r="M102" s="4"/>
      <c r="N102" s="58"/>
      <c r="O102" s="105"/>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row>
    <row r="103" spans="2:83" ht="21" customHeight="1">
      <c r="B103" s="123"/>
      <c r="C103" s="124"/>
      <c r="D103" s="33"/>
      <c r="E103" s="68"/>
      <c r="F103" s="128" t="s">
        <v>243</v>
      </c>
      <c r="G103" s="129"/>
      <c r="H103" s="125" t="s">
        <v>114</v>
      </c>
      <c r="I103" s="126"/>
      <c r="J103" s="127"/>
      <c r="K103" s="83" t="s">
        <v>201</v>
      </c>
      <c r="L103" s="4"/>
      <c r="M103" s="4"/>
      <c r="N103" s="58"/>
      <c r="O103" s="105"/>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row>
    <row r="104" spans="2:83" ht="21" customHeight="1">
      <c r="B104" s="123"/>
      <c r="C104" s="124"/>
      <c r="D104" s="33"/>
      <c r="E104" s="68"/>
      <c r="F104" s="128" t="s">
        <v>244</v>
      </c>
      <c r="G104" s="129"/>
      <c r="H104" s="125" t="s">
        <v>115</v>
      </c>
      <c r="I104" s="126"/>
      <c r="J104" s="127"/>
      <c r="K104" s="83" t="s">
        <v>202</v>
      </c>
      <c r="L104" s="4"/>
      <c r="M104" s="4"/>
      <c r="N104" s="58"/>
      <c r="O104" s="105"/>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row>
    <row r="105" spans="2:83" ht="21" customHeight="1">
      <c r="B105" s="123"/>
      <c r="C105" s="124"/>
      <c r="D105" s="33"/>
      <c r="E105" s="68"/>
      <c r="F105" s="128" t="s">
        <v>245</v>
      </c>
      <c r="G105" s="129"/>
      <c r="H105" s="125" t="s">
        <v>116</v>
      </c>
      <c r="I105" s="126"/>
      <c r="J105" s="127"/>
      <c r="K105" s="83" t="s">
        <v>203</v>
      </c>
      <c r="L105" s="4"/>
      <c r="M105" s="4"/>
      <c r="N105" s="58"/>
      <c r="O105" s="105"/>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row>
    <row r="106" spans="2:83" ht="30" customHeight="1" thickBot="1">
      <c r="B106" s="198"/>
      <c r="C106" s="199"/>
      <c r="D106" s="37"/>
      <c r="E106" s="71"/>
      <c r="F106" s="201" t="s">
        <v>217</v>
      </c>
      <c r="G106" s="202"/>
      <c r="H106" s="188" t="s">
        <v>117</v>
      </c>
      <c r="I106" s="189"/>
      <c r="J106" s="190"/>
      <c r="K106" s="87" t="s">
        <v>204</v>
      </c>
      <c r="L106" s="4"/>
      <c r="M106" s="4"/>
      <c r="N106" s="58"/>
      <c r="O106" s="105"/>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row>
    <row r="107" spans="2:83" s="4" customFormat="1" ht="20.25" customHeight="1">
      <c r="B107" s="3"/>
      <c r="C107" s="3"/>
      <c r="D107" s="28"/>
      <c r="F107" s="5"/>
      <c r="G107" s="5"/>
      <c r="H107" s="21"/>
      <c r="I107" s="21"/>
      <c r="J107" s="21"/>
      <c r="K107" s="57"/>
      <c r="N107" s="58"/>
      <c r="O107" s="105"/>
    </row>
    <row r="108" spans="2:83" s="4" customFormat="1" hidden="1">
      <c r="B108" s="3"/>
      <c r="C108" s="3"/>
      <c r="D108" s="28"/>
      <c r="F108" s="5"/>
      <c r="G108" s="5"/>
      <c r="H108" s="21"/>
      <c r="I108" s="21"/>
      <c r="J108" s="21"/>
      <c r="K108" s="57"/>
      <c r="N108" s="58"/>
      <c r="O108" s="105"/>
    </row>
    <row r="109" spans="2:83" s="4" customFormat="1" hidden="1">
      <c r="B109" s="3"/>
      <c r="C109" s="3"/>
      <c r="D109" s="28"/>
      <c r="F109" s="5"/>
      <c r="G109" s="5"/>
      <c r="H109" s="21"/>
      <c r="I109" s="21"/>
      <c r="J109" s="21"/>
      <c r="K109" s="57"/>
      <c r="N109" s="58"/>
      <c r="O109" s="105"/>
    </row>
    <row r="110" spans="2:83" s="4" customFormat="1" hidden="1">
      <c r="B110" s="3"/>
      <c r="C110" s="3"/>
      <c r="D110" s="28"/>
      <c r="F110" s="5"/>
      <c r="G110" s="5"/>
      <c r="H110" s="21"/>
      <c r="I110" s="21"/>
      <c r="J110" s="21"/>
      <c r="K110" s="57"/>
      <c r="N110" s="58"/>
      <c r="O110" s="105"/>
    </row>
    <row r="111" spans="2:83" s="4" customFormat="1" hidden="1">
      <c r="B111" s="3"/>
      <c r="C111" s="3"/>
      <c r="D111" s="28"/>
      <c r="F111" s="5"/>
      <c r="G111" s="5"/>
      <c r="H111" s="21"/>
      <c r="I111" s="21"/>
      <c r="J111" s="21"/>
      <c r="K111" s="57"/>
      <c r="N111" s="58"/>
      <c r="O111" s="105"/>
    </row>
    <row r="112" spans="2:83" s="4" customFormat="1" hidden="1">
      <c r="B112" s="3"/>
      <c r="C112" s="3"/>
      <c r="D112" s="28"/>
      <c r="F112" s="5"/>
      <c r="G112" s="5"/>
      <c r="H112" s="21"/>
      <c r="I112" s="21"/>
      <c r="J112" s="21"/>
      <c r="K112" s="57"/>
      <c r="N112" s="58"/>
      <c r="O112" s="105"/>
    </row>
    <row r="113" spans="2:15" s="4" customFormat="1" hidden="1">
      <c r="B113" s="3"/>
      <c r="C113" s="3"/>
      <c r="D113" s="28"/>
      <c r="F113" s="5"/>
      <c r="G113" s="5"/>
      <c r="H113" s="21"/>
      <c r="I113" s="21"/>
      <c r="J113" s="21"/>
      <c r="K113" s="57"/>
      <c r="N113" s="58"/>
      <c r="O113" s="105"/>
    </row>
    <row r="114" spans="2:15" s="4" customFormat="1" hidden="1">
      <c r="B114" s="3"/>
      <c r="C114" s="3"/>
      <c r="D114" s="28"/>
      <c r="F114" s="5"/>
      <c r="G114" s="5"/>
      <c r="H114" s="21"/>
      <c r="I114" s="21"/>
      <c r="J114" s="21"/>
      <c r="K114" s="57"/>
      <c r="N114" s="58"/>
      <c r="O114" s="105"/>
    </row>
    <row r="115" spans="2:15" s="4" customFormat="1" hidden="1">
      <c r="B115" s="3"/>
      <c r="C115" s="3"/>
      <c r="D115" s="28"/>
      <c r="F115" s="5"/>
      <c r="G115" s="5"/>
      <c r="H115" s="21"/>
      <c r="I115" s="21"/>
      <c r="J115" s="21"/>
      <c r="K115" s="57"/>
      <c r="N115" s="58"/>
      <c r="O115" s="105"/>
    </row>
    <row r="116" spans="2:15" s="4" customFormat="1" hidden="1">
      <c r="B116" s="3"/>
      <c r="C116" s="3"/>
      <c r="D116" s="28"/>
      <c r="F116" s="5"/>
      <c r="G116" s="5"/>
      <c r="H116" s="21"/>
      <c r="I116" s="21"/>
      <c r="J116" s="21"/>
      <c r="K116" s="57"/>
      <c r="N116" s="58"/>
      <c r="O116" s="105"/>
    </row>
    <row r="117" spans="2:15" s="4" customFormat="1" hidden="1">
      <c r="B117" s="3"/>
      <c r="C117" s="3"/>
      <c r="D117" s="28"/>
      <c r="F117" s="5"/>
      <c r="G117" s="5"/>
      <c r="H117" s="21"/>
      <c r="I117" s="21"/>
      <c r="J117" s="21"/>
      <c r="K117" s="57"/>
      <c r="N117" s="58"/>
      <c r="O117" s="105"/>
    </row>
    <row r="118" spans="2:15" s="4" customFormat="1" hidden="1">
      <c r="B118" s="3"/>
      <c r="C118" s="3"/>
      <c r="D118" s="28"/>
      <c r="F118" s="5"/>
      <c r="G118" s="5"/>
      <c r="H118" s="21"/>
      <c r="I118" s="21"/>
      <c r="J118" s="21"/>
      <c r="K118" s="57"/>
      <c r="N118" s="58"/>
      <c r="O118" s="105"/>
    </row>
    <row r="119" spans="2:15" s="4" customFormat="1" hidden="1">
      <c r="B119" s="3"/>
      <c r="C119" s="3"/>
      <c r="D119" s="28"/>
      <c r="F119" s="5"/>
      <c r="G119" s="5"/>
      <c r="H119" s="21"/>
      <c r="I119" s="21"/>
      <c r="J119" s="21"/>
      <c r="K119" s="57"/>
      <c r="N119" s="58"/>
      <c r="O119" s="105"/>
    </row>
    <row r="120" spans="2:15" s="4" customFormat="1" hidden="1">
      <c r="B120" s="3"/>
      <c r="C120" s="3"/>
      <c r="D120" s="28"/>
      <c r="F120" s="5"/>
      <c r="G120" s="5"/>
      <c r="H120" s="21"/>
      <c r="I120" s="21"/>
      <c r="J120" s="21"/>
      <c r="K120" s="57"/>
      <c r="N120" s="58"/>
      <c r="O120" s="105"/>
    </row>
    <row r="121" spans="2:15" s="4" customFormat="1" hidden="1">
      <c r="B121" s="3"/>
      <c r="C121" s="3"/>
      <c r="D121" s="28"/>
      <c r="F121" s="5"/>
      <c r="G121" s="5"/>
      <c r="H121" s="21"/>
      <c r="I121" s="21"/>
      <c r="J121" s="21"/>
      <c r="K121" s="57"/>
      <c r="N121" s="58"/>
      <c r="O121" s="105"/>
    </row>
    <row r="122" spans="2:15" s="4" customFormat="1" hidden="1">
      <c r="B122" s="3"/>
      <c r="C122" s="3"/>
      <c r="D122" s="28"/>
      <c r="F122" s="5"/>
      <c r="G122" s="5"/>
      <c r="H122" s="21"/>
      <c r="I122" s="21"/>
      <c r="J122" s="21"/>
      <c r="K122" s="57"/>
      <c r="N122" s="58"/>
      <c r="O122" s="105"/>
    </row>
    <row r="123" spans="2:15" s="4" customFormat="1" hidden="1">
      <c r="B123" s="3"/>
      <c r="C123" s="3"/>
      <c r="D123" s="28"/>
      <c r="F123" s="5"/>
      <c r="G123" s="5"/>
      <c r="H123" s="21"/>
      <c r="I123" s="21"/>
      <c r="J123" s="21"/>
      <c r="K123" s="57"/>
      <c r="N123" s="58"/>
      <c r="O123" s="105"/>
    </row>
    <row r="124" spans="2:15" s="4" customFormat="1" hidden="1">
      <c r="B124" s="3"/>
      <c r="C124" s="3"/>
      <c r="D124" s="28"/>
      <c r="F124" s="5"/>
      <c r="G124" s="5"/>
      <c r="H124" s="21"/>
      <c r="I124" s="21"/>
      <c r="J124" s="21"/>
      <c r="K124" s="57"/>
      <c r="N124" s="58"/>
      <c r="O124" s="105"/>
    </row>
    <row r="125" spans="2:15" s="4" customFormat="1" hidden="1">
      <c r="B125" s="3"/>
      <c r="C125" s="3"/>
      <c r="D125" s="28"/>
      <c r="F125" s="5"/>
      <c r="G125" s="5"/>
      <c r="H125" s="21"/>
      <c r="I125" s="21"/>
      <c r="J125" s="21"/>
      <c r="K125" s="57"/>
      <c r="N125" s="58"/>
      <c r="O125" s="105"/>
    </row>
    <row r="126" spans="2:15" s="4" customFormat="1" hidden="1">
      <c r="B126" s="3"/>
      <c r="C126" s="3"/>
      <c r="D126" s="28"/>
      <c r="F126" s="5"/>
      <c r="G126" s="5"/>
      <c r="H126" s="21"/>
      <c r="I126" s="21"/>
      <c r="J126" s="21"/>
      <c r="K126" s="57"/>
      <c r="N126" s="58"/>
      <c r="O126" s="105"/>
    </row>
    <row r="127" spans="2:15" s="4" customFormat="1" hidden="1">
      <c r="B127" s="3"/>
      <c r="C127" s="3"/>
      <c r="D127" s="28"/>
      <c r="F127" s="5"/>
      <c r="G127" s="5"/>
      <c r="H127" s="21"/>
      <c r="I127" s="21"/>
      <c r="J127" s="21"/>
      <c r="K127" s="57"/>
      <c r="N127" s="58"/>
      <c r="O127" s="105"/>
    </row>
    <row r="128" spans="2:15" s="4" customFormat="1" hidden="1">
      <c r="B128" s="3"/>
      <c r="C128" s="3"/>
      <c r="D128" s="28"/>
      <c r="F128" s="5"/>
      <c r="G128" s="5"/>
      <c r="H128" s="21"/>
      <c r="I128" s="21"/>
      <c r="J128" s="21"/>
      <c r="K128" s="57"/>
      <c r="N128" s="58"/>
      <c r="O128" s="105"/>
    </row>
    <row r="129" spans="2:15" s="4" customFormat="1" hidden="1">
      <c r="B129" s="3"/>
      <c r="C129" s="3"/>
      <c r="D129" s="28"/>
      <c r="F129" s="5"/>
      <c r="G129" s="5"/>
      <c r="H129" s="21"/>
      <c r="I129" s="21"/>
      <c r="J129" s="21"/>
      <c r="K129" s="57"/>
      <c r="N129" s="58"/>
      <c r="O129" s="105"/>
    </row>
    <row r="130" spans="2:15" s="4" customFormat="1" hidden="1">
      <c r="B130" s="3"/>
      <c r="C130" s="3"/>
      <c r="D130" s="28"/>
      <c r="F130" s="5"/>
      <c r="G130" s="5"/>
      <c r="H130" s="21"/>
      <c r="I130" s="21"/>
      <c r="J130" s="21"/>
      <c r="K130" s="57"/>
      <c r="N130" s="58"/>
      <c r="O130" s="105"/>
    </row>
    <row r="131" spans="2:15" s="4" customFormat="1" hidden="1">
      <c r="B131" s="3"/>
      <c r="C131" s="3"/>
      <c r="D131" s="28"/>
      <c r="F131" s="5"/>
      <c r="G131" s="5"/>
      <c r="H131" s="21"/>
      <c r="I131" s="21"/>
      <c r="J131" s="21"/>
      <c r="K131" s="57"/>
      <c r="N131" s="58"/>
      <c r="O131" s="105"/>
    </row>
    <row r="132" spans="2:15" s="4" customFormat="1" hidden="1">
      <c r="B132" s="3"/>
      <c r="C132" s="3"/>
      <c r="D132" s="28"/>
      <c r="F132" s="5"/>
      <c r="G132" s="5"/>
      <c r="H132" s="21"/>
      <c r="I132" s="21"/>
      <c r="J132" s="21"/>
      <c r="K132" s="57"/>
      <c r="N132" s="58"/>
      <c r="O132" s="105"/>
    </row>
    <row r="133" spans="2:15" s="4" customFormat="1" hidden="1">
      <c r="B133" s="3"/>
      <c r="C133" s="3"/>
      <c r="D133" s="28"/>
      <c r="F133" s="5"/>
      <c r="G133" s="5"/>
      <c r="H133" s="21"/>
      <c r="I133" s="21"/>
      <c r="J133" s="21"/>
      <c r="K133" s="57"/>
      <c r="N133" s="58"/>
      <c r="O133" s="105"/>
    </row>
    <row r="134" spans="2:15" s="4" customFormat="1" hidden="1">
      <c r="B134" s="3"/>
      <c r="C134" s="3"/>
      <c r="D134" s="28"/>
      <c r="F134" s="5"/>
      <c r="G134" s="5"/>
      <c r="H134" s="21"/>
      <c r="I134" s="21"/>
      <c r="J134" s="21"/>
      <c r="K134" s="57"/>
      <c r="N134" s="58"/>
      <c r="O134" s="105"/>
    </row>
    <row r="135" spans="2:15" s="4" customFormat="1" hidden="1">
      <c r="B135" s="3"/>
      <c r="C135" s="3"/>
      <c r="D135" s="28"/>
      <c r="F135" s="5"/>
      <c r="G135" s="5"/>
      <c r="H135" s="21"/>
      <c r="I135" s="21"/>
      <c r="J135" s="21"/>
      <c r="K135" s="57"/>
      <c r="N135" s="58"/>
      <c r="O135" s="105"/>
    </row>
    <row r="136" spans="2:15" s="4" customFormat="1" hidden="1">
      <c r="B136" s="3"/>
      <c r="C136" s="3"/>
      <c r="D136" s="28"/>
      <c r="F136" s="5"/>
      <c r="G136" s="5"/>
      <c r="H136" s="21"/>
      <c r="I136" s="21"/>
      <c r="J136" s="21"/>
      <c r="K136" s="57"/>
      <c r="N136" s="58"/>
      <c r="O136" s="105"/>
    </row>
    <row r="137" spans="2:15" s="4" customFormat="1" hidden="1">
      <c r="B137" s="3"/>
      <c r="C137" s="3"/>
      <c r="D137" s="28"/>
      <c r="F137" s="5"/>
      <c r="G137" s="5"/>
      <c r="H137" s="21"/>
      <c r="I137" s="21"/>
      <c r="J137" s="21"/>
      <c r="K137" s="57"/>
      <c r="N137" s="58"/>
      <c r="O137" s="105"/>
    </row>
    <row r="138" spans="2:15" s="4" customFormat="1" hidden="1">
      <c r="B138" s="3"/>
      <c r="C138" s="3"/>
      <c r="D138" s="28"/>
      <c r="F138" s="5"/>
      <c r="G138" s="5"/>
      <c r="H138" s="21"/>
      <c r="I138" s="21"/>
      <c r="J138" s="21"/>
      <c r="K138" s="57"/>
      <c r="N138" s="58"/>
      <c r="O138" s="105"/>
    </row>
    <row r="139" spans="2:15" s="4" customFormat="1" hidden="1">
      <c r="B139" s="3"/>
      <c r="C139" s="3"/>
      <c r="D139" s="28"/>
      <c r="F139" s="5"/>
      <c r="G139" s="5"/>
      <c r="H139" s="21"/>
      <c r="I139" s="21"/>
      <c r="J139" s="21"/>
      <c r="K139" s="57"/>
      <c r="N139" s="58"/>
      <c r="O139" s="105"/>
    </row>
    <row r="140" spans="2:15" s="4" customFormat="1" hidden="1">
      <c r="B140" s="3"/>
      <c r="C140" s="3"/>
      <c r="D140" s="28"/>
      <c r="F140" s="5"/>
      <c r="G140" s="5"/>
      <c r="H140" s="21"/>
      <c r="I140" s="21"/>
      <c r="J140" s="21"/>
      <c r="K140" s="57"/>
      <c r="N140" s="58"/>
      <c r="O140" s="105"/>
    </row>
    <row r="141" spans="2:15" s="4" customFormat="1" hidden="1">
      <c r="B141" s="3"/>
      <c r="C141" s="3"/>
      <c r="D141" s="28"/>
      <c r="F141" s="5"/>
      <c r="G141" s="5"/>
      <c r="H141" s="21"/>
      <c r="I141" s="21"/>
      <c r="J141" s="21"/>
      <c r="K141" s="57"/>
      <c r="N141" s="58"/>
      <c r="O141" s="105"/>
    </row>
    <row r="142" spans="2:15" s="4" customFormat="1" hidden="1">
      <c r="B142" s="3"/>
      <c r="C142" s="3"/>
      <c r="D142" s="28"/>
      <c r="F142" s="5"/>
      <c r="G142" s="5"/>
      <c r="H142" s="21"/>
      <c r="I142" s="21"/>
      <c r="J142" s="21"/>
      <c r="K142" s="57"/>
      <c r="N142" s="58"/>
      <c r="O142" s="105"/>
    </row>
    <row r="143" spans="2:15" s="4" customFormat="1" hidden="1">
      <c r="B143" s="3"/>
      <c r="C143" s="3"/>
      <c r="D143" s="28"/>
      <c r="F143" s="5"/>
      <c r="G143" s="5"/>
      <c r="H143" s="21"/>
      <c r="I143" s="21"/>
      <c r="J143" s="21"/>
      <c r="K143" s="57"/>
      <c r="N143" s="58"/>
      <c r="O143" s="105"/>
    </row>
    <row r="144" spans="2:15" s="4" customFormat="1" hidden="1">
      <c r="B144" s="3"/>
      <c r="C144" s="3"/>
      <c r="D144" s="28"/>
      <c r="F144" s="5"/>
      <c r="G144" s="5"/>
      <c r="H144" s="21"/>
      <c r="I144" s="21"/>
      <c r="J144" s="21"/>
      <c r="K144" s="57"/>
      <c r="N144" s="58"/>
      <c r="O144" s="105"/>
    </row>
    <row r="145" spans="2:15" s="4" customFormat="1" hidden="1">
      <c r="B145" s="3"/>
      <c r="C145" s="3"/>
      <c r="D145" s="28"/>
      <c r="F145" s="5"/>
      <c r="G145" s="5"/>
      <c r="H145" s="21"/>
      <c r="I145" s="21"/>
      <c r="J145" s="21"/>
      <c r="K145" s="57"/>
      <c r="N145" s="58"/>
      <c r="O145" s="105"/>
    </row>
    <row r="146" spans="2:15" s="4" customFormat="1" hidden="1">
      <c r="B146" s="3"/>
      <c r="C146" s="3"/>
      <c r="D146" s="28"/>
      <c r="F146" s="5"/>
      <c r="G146" s="5"/>
      <c r="H146" s="21"/>
      <c r="I146" s="21"/>
      <c r="J146" s="21"/>
      <c r="K146" s="57"/>
      <c r="N146" s="58"/>
      <c r="O146" s="105"/>
    </row>
    <row r="147" spans="2:15" s="4" customFormat="1" hidden="1">
      <c r="B147" s="3"/>
      <c r="C147" s="3"/>
      <c r="D147" s="28"/>
      <c r="F147" s="5"/>
      <c r="G147" s="5"/>
      <c r="H147" s="21"/>
      <c r="I147" s="21"/>
      <c r="J147" s="21"/>
      <c r="K147" s="57"/>
      <c r="N147" s="58"/>
      <c r="O147" s="105"/>
    </row>
    <row r="148" spans="2:15" s="4" customFormat="1" hidden="1">
      <c r="B148" s="3"/>
      <c r="C148" s="3"/>
      <c r="D148" s="28"/>
      <c r="F148" s="5"/>
      <c r="G148" s="5"/>
      <c r="H148" s="21"/>
      <c r="I148" s="21"/>
      <c r="J148" s="21"/>
      <c r="K148" s="57"/>
      <c r="N148" s="58"/>
      <c r="O148" s="105"/>
    </row>
    <row r="149" spans="2:15" s="4" customFormat="1" hidden="1">
      <c r="B149" s="3"/>
      <c r="C149" s="3"/>
      <c r="D149" s="28"/>
      <c r="F149" s="5"/>
      <c r="G149" s="5"/>
      <c r="H149" s="21"/>
      <c r="I149" s="21"/>
      <c r="J149" s="21"/>
      <c r="K149" s="57"/>
      <c r="N149" s="58"/>
      <c r="O149" s="105"/>
    </row>
    <row r="150" spans="2:15" s="4" customFormat="1" hidden="1">
      <c r="B150" s="3"/>
      <c r="C150" s="3"/>
      <c r="D150" s="28"/>
      <c r="F150" s="5"/>
      <c r="G150" s="5"/>
      <c r="H150" s="21"/>
      <c r="I150" s="21"/>
      <c r="J150" s="21"/>
      <c r="K150" s="57"/>
      <c r="N150" s="58"/>
      <c r="O150" s="105"/>
    </row>
    <row r="151" spans="2:15" s="4" customFormat="1" hidden="1">
      <c r="B151" s="3"/>
      <c r="C151" s="3"/>
      <c r="D151" s="28"/>
      <c r="F151" s="5"/>
      <c r="G151" s="5"/>
      <c r="H151" s="21"/>
      <c r="I151" s="21"/>
      <c r="J151" s="21"/>
      <c r="K151" s="57"/>
      <c r="N151" s="58"/>
      <c r="O151" s="105"/>
    </row>
    <row r="152" spans="2:15" s="4" customFormat="1" hidden="1">
      <c r="B152" s="3"/>
      <c r="C152" s="3"/>
      <c r="D152" s="28"/>
      <c r="F152" s="5"/>
      <c r="G152" s="5"/>
      <c r="H152" s="21"/>
      <c r="I152" s="21"/>
      <c r="J152" s="21"/>
      <c r="K152" s="57"/>
      <c r="N152" s="58"/>
      <c r="O152" s="105"/>
    </row>
    <row r="153" spans="2:15" s="4" customFormat="1" hidden="1">
      <c r="B153" s="3"/>
      <c r="C153" s="3"/>
      <c r="D153" s="28"/>
      <c r="F153" s="5"/>
      <c r="G153" s="5"/>
      <c r="H153" s="21"/>
      <c r="I153" s="21"/>
      <c r="J153" s="21"/>
      <c r="K153" s="57"/>
      <c r="N153" s="58"/>
      <c r="O153" s="105"/>
    </row>
    <row r="154" spans="2:15" s="4" customFormat="1" hidden="1">
      <c r="B154" s="3"/>
      <c r="C154" s="3"/>
      <c r="D154" s="28"/>
      <c r="F154" s="5"/>
      <c r="G154" s="5"/>
      <c r="H154" s="21"/>
      <c r="I154" s="21"/>
      <c r="J154" s="21"/>
      <c r="K154" s="57"/>
      <c r="N154" s="58"/>
      <c r="O154" s="105"/>
    </row>
    <row r="155" spans="2:15" s="4" customFormat="1" hidden="1">
      <c r="B155" s="3"/>
      <c r="C155" s="3"/>
      <c r="D155" s="28"/>
      <c r="F155" s="5"/>
      <c r="G155" s="5"/>
      <c r="H155" s="21"/>
      <c r="I155" s="21"/>
      <c r="J155" s="21"/>
      <c r="K155" s="57"/>
      <c r="N155" s="58"/>
      <c r="O155" s="105"/>
    </row>
    <row r="156" spans="2:15" s="4" customFormat="1" hidden="1">
      <c r="B156" s="3"/>
      <c r="C156" s="3"/>
      <c r="D156" s="28"/>
      <c r="F156" s="5"/>
      <c r="G156" s="5"/>
      <c r="H156" s="21"/>
      <c r="I156" s="21"/>
      <c r="J156" s="21"/>
      <c r="K156" s="57"/>
      <c r="N156" s="58"/>
      <c r="O156" s="105"/>
    </row>
    <row r="157" spans="2:15" s="4" customFormat="1" hidden="1">
      <c r="B157" s="3"/>
      <c r="C157" s="3"/>
      <c r="D157" s="28"/>
      <c r="F157" s="5"/>
      <c r="G157" s="5"/>
      <c r="H157" s="21"/>
      <c r="I157" s="21"/>
      <c r="J157" s="21"/>
      <c r="K157" s="57"/>
      <c r="N157" s="58"/>
      <c r="O157" s="105"/>
    </row>
    <row r="158" spans="2:15" s="4" customFormat="1" hidden="1">
      <c r="B158" s="3"/>
      <c r="C158" s="3"/>
      <c r="D158" s="28"/>
      <c r="F158" s="5"/>
      <c r="G158" s="5"/>
      <c r="H158" s="21"/>
      <c r="I158" s="21"/>
      <c r="J158" s="21"/>
      <c r="K158" s="57"/>
      <c r="N158" s="58"/>
      <c r="O158" s="105"/>
    </row>
    <row r="159" spans="2:15" s="4" customFormat="1" hidden="1">
      <c r="B159" s="3"/>
      <c r="C159" s="3"/>
      <c r="D159" s="28"/>
      <c r="F159" s="5"/>
      <c r="G159" s="5"/>
      <c r="H159" s="21"/>
      <c r="I159" s="21"/>
      <c r="J159" s="21"/>
      <c r="K159" s="57"/>
      <c r="N159" s="58"/>
      <c r="O159" s="105"/>
    </row>
    <row r="160" spans="2:15" s="4" customFormat="1" hidden="1">
      <c r="B160" s="3"/>
      <c r="C160" s="3"/>
      <c r="D160" s="28"/>
      <c r="F160" s="5"/>
      <c r="G160" s="5"/>
      <c r="H160" s="21"/>
      <c r="I160" s="21"/>
      <c r="J160" s="21"/>
      <c r="K160" s="57"/>
      <c r="N160" s="58"/>
      <c r="O160" s="105"/>
    </row>
    <row r="161" spans="2:15" s="4" customFormat="1" hidden="1">
      <c r="B161" s="3"/>
      <c r="C161" s="3"/>
      <c r="D161" s="28"/>
      <c r="F161" s="5"/>
      <c r="G161" s="5"/>
      <c r="H161" s="21"/>
      <c r="I161" s="21"/>
      <c r="J161" s="21"/>
      <c r="K161" s="57"/>
      <c r="N161" s="58"/>
      <c r="O161" s="105"/>
    </row>
    <row r="162" spans="2:15" s="4" customFormat="1" hidden="1">
      <c r="B162" s="3"/>
      <c r="C162" s="3"/>
      <c r="D162" s="28"/>
      <c r="F162" s="5"/>
      <c r="G162" s="5"/>
      <c r="H162" s="21"/>
      <c r="I162" s="21"/>
      <c r="J162" s="21"/>
      <c r="K162" s="57"/>
      <c r="N162" s="58"/>
      <c r="O162" s="105"/>
    </row>
    <row r="163" spans="2:15" s="4" customFormat="1" hidden="1">
      <c r="B163" s="3"/>
      <c r="C163" s="3"/>
      <c r="D163" s="28"/>
      <c r="F163" s="5"/>
      <c r="G163" s="5"/>
      <c r="H163" s="21"/>
      <c r="I163" s="21"/>
      <c r="J163" s="21"/>
      <c r="K163" s="57"/>
      <c r="N163" s="58"/>
      <c r="O163" s="105"/>
    </row>
    <row r="164" spans="2:15" s="4" customFormat="1" hidden="1">
      <c r="B164" s="3"/>
      <c r="C164" s="3"/>
      <c r="D164" s="28"/>
      <c r="F164" s="5"/>
      <c r="G164" s="5"/>
      <c r="H164" s="21"/>
      <c r="I164" s="21"/>
      <c r="J164" s="21"/>
      <c r="K164" s="57"/>
      <c r="N164" s="58"/>
      <c r="O164" s="105"/>
    </row>
    <row r="165" spans="2:15" s="4" customFormat="1" hidden="1">
      <c r="B165" s="3"/>
      <c r="C165" s="3"/>
      <c r="D165" s="28"/>
      <c r="F165" s="5"/>
      <c r="G165" s="5"/>
      <c r="H165" s="21"/>
      <c r="I165" s="21"/>
      <c r="J165" s="21"/>
      <c r="K165" s="57"/>
      <c r="N165" s="58"/>
      <c r="O165" s="105"/>
    </row>
    <row r="166" spans="2:15" s="4" customFormat="1" hidden="1">
      <c r="B166" s="3"/>
      <c r="C166" s="3"/>
      <c r="D166" s="28"/>
      <c r="F166" s="5"/>
      <c r="G166" s="5"/>
      <c r="H166" s="21"/>
      <c r="I166" s="21"/>
      <c r="J166" s="21"/>
      <c r="K166" s="57"/>
      <c r="N166" s="58"/>
      <c r="O166" s="105"/>
    </row>
    <row r="167" spans="2:15" s="4" customFormat="1" hidden="1">
      <c r="B167" s="3"/>
      <c r="C167" s="3"/>
      <c r="D167" s="28"/>
      <c r="F167" s="5"/>
      <c r="G167" s="5"/>
      <c r="H167" s="21"/>
      <c r="I167" s="21"/>
      <c r="J167" s="21"/>
      <c r="K167" s="57"/>
      <c r="N167" s="58"/>
      <c r="O167" s="105"/>
    </row>
    <row r="168" spans="2:15" s="4" customFormat="1" hidden="1">
      <c r="B168" s="3"/>
      <c r="C168" s="3"/>
      <c r="D168" s="28"/>
      <c r="F168" s="5"/>
      <c r="G168" s="5"/>
      <c r="H168" s="21"/>
      <c r="I168" s="21"/>
      <c r="J168" s="21"/>
      <c r="K168" s="57"/>
      <c r="N168" s="58"/>
      <c r="O168" s="105"/>
    </row>
    <row r="170" spans="2:15" s="4" customFormat="1" hidden="1">
      <c r="B170" s="3"/>
      <c r="C170" s="3"/>
      <c r="D170" s="28"/>
      <c r="F170" s="5"/>
      <c r="G170" s="5"/>
      <c r="H170" s="21"/>
      <c r="I170" s="21"/>
      <c r="J170" s="21"/>
      <c r="K170" s="57"/>
      <c r="N170" s="58"/>
      <c r="O170" s="105"/>
    </row>
    <row r="171" spans="2:15" s="4" customFormat="1" hidden="1">
      <c r="B171" s="3"/>
      <c r="C171" s="3"/>
      <c r="D171" s="28"/>
      <c r="F171" s="5"/>
      <c r="G171" s="5"/>
      <c r="H171" s="21"/>
      <c r="I171" s="21"/>
      <c r="J171" s="21"/>
      <c r="K171" s="57"/>
      <c r="N171" s="58"/>
      <c r="O171" s="105"/>
    </row>
    <row r="172" spans="2:15" s="4" customFormat="1" hidden="1">
      <c r="B172" s="3"/>
      <c r="C172" s="3"/>
      <c r="D172" s="28"/>
      <c r="F172" s="5"/>
      <c r="G172" s="5"/>
      <c r="H172" s="21"/>
      <c r="I172" s="21"/>
      <c r="J172" s="21"/>
      <c r="K172" s="57"/>
      <c r="N172" s="58"/>
      <c r="O172" s="105"/>
    </row>
    <row r="173" spans="2:15" s="4" customFormat="1" hidden="1">
      <c r="B173" s="3"/>
      <c r="C173" s="3"/>
      <c r="D173" s="28"/>
      <c r="F173" s="5"/>
      <c r="G173" s="5"/>
      <c r="H173" s="21"/>
      <c r="I173" s="21"/>
      <c r="J173" s="21"/>
      <c r="K173" s="57"/>
      <c r="N173" s="58"/>
      <c r="O173" s="105"/>
    </row>
    <row r="174" spans="2:15" s="4" customFormat="1" hidden="1">
      <c r="B174" s="3"/>
      <c r="C174" s="3"/>
      <c r="D174" s="28"/>
      <c r="F174" s="5"/>
      <c r="G174" s="5"/>
      <c r="H174" s="21"/>
      <c r="I174" s="21"/>
      <c r="J174" s="21"/>
      <c r="K174" s="57"/>
      <c r="N174" s="58"/>
      <c r="O174" s="105"/>
    </row>
    <row r="175" spans="2:15" s="4" customFormat="1" hidden="1">
      <c r="B175" s="3"/>
      <c r="C175" s="3"/>
      <c r="D175" s="28"/>
      <c r="F175" s="5"/>
      <c r="G175" s="5"/>
      <c r="H175" s="21"/>
      <c r="I175" s="21"/>
      <c r="J175" s="21"/>
      <c r="K175" s="57"/>
      <c r="N175" s="58"/>
      <c r="O175" s="105"/>
    </row>
    <row r="176" spans="2:15" s="4" customFormat="1" hidden="1">
      <c r="B176" s="3"/>
      <c r="C176" s="3"/>
      <c r="D176" s="28"/>
      <c r="F176" s="5"/>
      <c r="G176" s="5"/>
      <c r="H176" s="21"/>
      <c r="I176" s="21"/>
      <c r="J176" s="21"/>
      <c r="K176" s="57"/>
      <c r="N176" s="58"/>
      <c r="O176" s="105"/>
    </row>
    <row r="177" spans="2:15" s="4" customFormat="1" hidden="1">
      <c r="B177" s="3"/>
      <c r="C177" s="3"/>
      <c r="D177" s="28"/>
      <c r="F177" s="5"/>
      <c r="G177" s="5"/>
      <c r="H177" s="21"/>
      <c r="I177" s="21"/>
      <c r="J177" s="21"/>
      <c r="K177" s="57"/>
      <c r="N177" s="58"/>
      <c r="O177" s="105"/>
    </row>
    <row r="178" spans="2:15" s="4" customFormat="1" hidden="1">
      <c r="B178" s="3"/>
      <c r="C178" s="3"/>
      <c r="D178" s="28"/>
      <c r="F178" s="5"/>
      <c r="G178" s="5"/>
      <c r="H178" s="21"/>
      <c r="I178" s="21"/>
      <c r="J178" s="21"/>
      <c r="K178" s="57"/>
      <c r="N178" s="58"/>
      <c r="O178" s="105"/>
    </row>
    <row r="179" spans="2:15" s="4" customFormat="1" hidden="1">
      <c r="B179" s="3"/>
      <c r="C179" s="3"/>
      <c r="D179" s="28"/>
      <c r="F179" s="5"/>
      <c r="G179" s="5"/>
      <c r="H179" s="21"/>
      <c r="I179" s="21"/>
      <c r="J179" s="21"/>
      <c r="K179" s="57"/>
      <c r="N179" s="58"/>
      <c r="O179" s="105"/>
    </row>
    <row r="180" spans="2:15" s="4" customFormat="1" hidden="1">
      <c r="B180" s="3"/>
      <c r="C180" s="3"/>
      <c r="D180" s="28"/>
      <c r="F180" s="5"/>
      <c r="G180" s="5"/>
      <c r="H180" s="21"/>
      <c r="I180" s="21"/>
      <c r="J180" s="21"/>
      <c r="K180" s="57"/>
      <c r="N180" s="58"/>
      <c r="O180" s="105"/>
    </row>
    <row r="181" spans="2:15" s="4" customFormat="1" hidden="1">
      <c r="B181" s="3"/>
      <c r="C181" s="3"/>
      <c r="D181" s="28"/>
      <c r="F181" s="5"/>
      <c r="G181" s="5"/>
      <c r="H181" s="21"/>
      <c r="I181" s="21"/>
      <c r="J181" s="21"/>
      <c r="K181" s="57"/>
      <c r="N181" s="58"/>
      <c r="O181" s="105"/>
    </row>
    <row r="182" spans="2:15" s="4" customFormat="1" hidden="1">
      <c r="B182" s="3"/>
      <c r="C182" s="3"/>
      <c r="D182" s="28"/>
      <c r="F182" s="5"/>
      <c r="G182" s="5"/>
      <c r="H182" s="21"/>
      <c r="I182" s="21"/>
      <c r="J182" s="21"/>
      <c r="K182" s="57"/>
      <c r="N182" s="58"/>
      <c r="O182" s="105"/>
    </row>
    <row r="183" spans="2:15" s="4" customFormat="1" hidden="1">
      <c r="B183" s="3"/>
      <c r="C183" s="3"/>
      <c r="D183" s="28"/>
      <c r="F183" s="5"/>
      <c r="G183" s="5"/>
      <c r="H183" s="21"/>
      <c r="I183" s="21"/>
      <c r="J183" s="21"/>
      <c r="K183" s="57"/>
      <c r="N183" s="58"/>
      <c r="O183" s="105"/>
    </row>
    <row r="184" spans="2:15" s="4" customFormat="1" hidden="1">
      <c r="B184" s="3"/>
      <c r="C184" s="3"/>
      <c r="D184" s="28"/>
      <c r="F184" s="5"/>
      <c r="G184" s="5"/>
      <c r="H184" s="21"/>
      <c r="I184" s="21"/>
      <c r="J184" s="21"/>
      <c r="K184" s="57"/>
      <c r="N184" s="58"/>
      <c r="O184" s="105"/>
    </row>
    <row r="185" spans="2:15" s="4" customFormat="1" hidden="1">
      <c r="B185" s="3"/>
      <c r="C185" s="3"/>
      <c r="D185" s="28"/>
      <c r="F185" s="5"/>
      <c r="G185" s="5"/>
      <c r="H185" s="21"/>
      <c r="I185" s="21"/>
      <c r="J185" s="21"/>
      <c r="K185" s="57"/>
      <c r="N185" s="58"/>
      <c r="O185" s="105"/>
    </row>
    <row r="186" spans="2:15" s="4" customFormat="1" hidden="1">
      <c r="B186" s="3"/>
      <c r="C186" s="3"/>
      <c r="D186" s="28"/>
      <c r="F186" s="5"/>
      <c r="G186" s="5"/>
      <c r="H186" s="21"/>
      <c r="I186" s="21"/>
      <c r="J186" s="21"/>
      <c r="K186" s="57"/>
      <c r="N186" s="58"/>
      <c r="O186" s="105"/>
    </row>
    <row r="187" spans="2:15" s="4" customFormat="1" hidden="1">
      <c r="B187" s="3"/>
      <c r="C187" s="3"/>
      <c r="D187" s="28"/>
      <c r="F187" s="5"/>
      <c r="G187" s="5"/>
      <c r="H187" s="21"/>
      <c r="I187" s="21"/>
      <c r="J187" s="21"/>
      <c r="K187" s="57"/>
      <c r="N187" s="58"/>
      <c r="O187" s="105"/>
    </row>
    <row r="188" spans="2:15" s="4" customFormat="1" hidden="1">
      <c r="B188" s="3"/>
      <c r="C188" s="3"/>
      <c r="D188" s="28"/>
      <c r="F188" s="5"/>
      <c r="G188" s="5"/>
      <c r="H188" s="21"/>
      <c r="I188" s="21"/>
      <c r="J188" s="21"/>
      <c r="K188" s="57"/>
      <c r="N188" s="58"/>
      <c r="O188" s="105"/>
    </row>
    <row r="189" spans="2:15"/>
    <row r="190" spans="2:15"/>
    <row r="191" spans="2:15"/>
    <row r="192" spans="2:15"/>
    <row r="215" spans="13:13" hidden="1">
      <c r="M215" s="1" t="b">
        <v>0</v>
      </c>
    </row>
  </sheetData>
  <mergeCells count="200">
    <mergeCell ref="F75:G75"/>
    <mergeCell ref="F59:G59"/>
    <mergeCell ref="B58:C58"/>
    <mergeCell ref="F48:G48"/>
    <mergeCell ref="B48:C48"/>
    <mergeCell ref="H48:J48"/>
    <mergeCell ref="F63:G63"/>
    <mergeCell ref="F50:G50"/>
    <mergeCell ref="H50:J50"/>
    <mergeCell ref="B50:C50"/>
    <mergeCell ref="B59:C59"/>
    <mergeCell ref="B53:C53"/>
    <mergeCell ref="F53:G53"/>
    <mergeCell ref="H53:J53"/>
    <mergeCell ref="B51:C51"/>
    <mergeCell ref="F49:G49"/>
    <mergeCell ref="B49:C49"/>
    <mergeCell ref="H56:J56"/>
    <mergeCell ref="H57:J57"/>
    <mergeCell ref="H58:J58"/>
    <mergeCell ref="F51:G51"/>
    <mergeCell ref="H51:J51"/>
    <mergeCell ref="H60:J60"/>
    <mergeCell ref="F52:G52"/>
    <mergeCell ref="H86:J86"/>
    <mergeCell ref="F85:G85"/>
    <mergeCell ref="F72:G72"/>
    <mergeCell ref="F71:G71"/>
    <mergeCell ref="B86:C86"/>
    <mergeCell ref="B52:C52"/>
    <mergeCell ref="B74:C74"/>
    <mergeCell ref="B75:C75"/>
    <mergeCell ref="B73:C73"/>
    <mergeCell ref="B85:C85"/>
    <mergeCell ref="B71:C71"/>
    <mergeCell ref="B64:C64"/>
    <mergeCell ref="B65:C65"/>
    <mergeCell ref="B72:C72"/>
    <mergeCell ref="F74:G74"/>
    <mergeCell ref="F56:G56"/>
    <mergeCell ref="F62:G62"/>
    <mergeCell ref="F65:G65"/>
    <mergeCell ref="F64:G64"/>
    <mergeCell ref="B66:C66"/>
    <mergeCell ref="B67:C67"/>
    <mergeCell ref="F66:G66"/>
    <mergeCell ref="H54:J54"/>
    <mergeCell ref="H55:J55"/>
    <mergeCell ref="B46:C46"/>
    <mergeCell ref="B55:C55"/>
    <mergeCell ref="F47:G47"/>
    <mergeCell ref="H47:J47"/>
    <mergeCell ref="F102:G102"/>
    <mergeCell ref="F103:G103"/>
    <mergeCell ref="F104:G104"/>
    <mergeCell ref="H81:J81"/>
    <mergeCell ref="H82:J82"/>
    <mergeCell ref="H83:J83"/>
    <mergeCell ref="H84:J84"/>
    <mergeCell ref="H87:J87"/>
    <mergeCell ref="H88:J88"/>
    <mergeCell ref="F100:G100"/>
    <mergeCell ref="F88:G88"/>
    <mergeCell ref="F89:G89"/>
    <mergeCell ref="F90:G90"/>
    <mergeCell ref="F91:G91"/>
    <mergeCell ref="F81:G81"/>
    <mergeCell ref="F82:G82"/>
    <mergeCell ref="F83:G83"/>
    <mergeCell ref="F84:G84"/>
    <mergeCell ref="H46:J46"/>
    <mergeCell ref="B42:C42"/>
    <mergeCell ref="F42:G42"/>
    <mergeCell ref="H42:J42"/>
    <mergeCell ref="F40:G40"/>
    <mergeCell ref="H49:J49"/>
    <mergeCell ref="B43:C43"/>
    <mergeCell ref="F43:G43"/>
    <mergeCell ref="H43:J43"/>
    <mergeCell ref="B106:C106"/>
    <mergeCell ref="F73:G73"/>
    <mergeCell ref="F78:G78"/>
    <mergeCell ref="F106:G106"/>
    <mergeCell ref="B101:C101"/>
    <mergeCell ref="F101:G101"/>
    <mergeCell ref="B105:C105"/>
    <mergeCell ref="B104:C104"/>
    <mergeCell ref="B103:C103"/>
    <mergeCell ref="B102:C102"/>
    <mergeCell ref="B81:C81"/>
    <mergeCell ref="B82:C82"/>
    <mergeCell ref="B83:C83"/>
    <mergeCell ref="B84:C84"/>
    <mergeCell ref="B87:C87"/>
    <mergeCell ref="B88:C88"/>
    <mergeCell ref="B92:C92"/>
    <mergeCell ref="B95:C95"/>
    <mergeCell ref="F105:G105"/>
    <mergeCell ref="F76:G76"/>
    <mergeCell ref="B98:C98"/>
    <mergeCell ref="B100:C100"/>
    <mergeCell ref="F77:G77"/>
    <mergeCell ref="B79:C79"/>
    <mergeCell ref="H106:J106"/>
    <mergeCell ref="H73:J73"/>
    <mergeCell ref="H78:J78"/>
    <mergeCell ref="H85:J85"/>
    <mergeCell ref="H64:J64"/>
    <mergeCell ref="H65:J65"/>
    <mergeCell ref="H101:J101"/>
    <mergeCell ref="H63:J63"/>
    <mergeCell ref="H76:J76"/>
    <mergeCell ref="H66:J66"/>
    <mergeCell ref="H99:J99"/>
    <mergeCell ref="H102:J102"/>
    <mergeCell ref="H103:J103"/>
    <mergeCell ref="H104:J104"/>
    <mergeCell ref="H105:J105"/>
    <mergeCell ref="H77:J77"/>
    <mergeCell ref="H74:J74"/>
    <mergeCell ref="H100:J100"/>
    <mergeCell ref="H75:J75"/>
    <mergeCell ref="H71:J71"/>
    <mergeCell ref="H68:J68"/>
    <mergeCell ref="H72:J72"/>
    <mergeCell ref="H67:J67"/>
    <mergeCell ref="F69:G69"/>
    <mergeCell ref="F70:G70"/>
    <mergeCell ref="H69:J69"/>
    <mergeCell ref="H70:J70"/>
    <mergeCell ref="B70:C70"/>
    <mergeCell ref="B69:C69"/>
    <mergeCell ref="H61:J61"/>
    <mergeCell ref="B61:C61"/>
    <mergeCell ref="B62:C62"/>
    <mergeCell ref="B63:C63"/>
    <mergeCell ref="H62:J62"/>
    <mergeCell ref="B68:C68"/>
    <mergeCell ref="F68:G68"/>
    <mergeCell ref="F67:G67"/>
    <mergeCell ref="H59:J59"/>
    <mergeCell ref="B8:H8"/>
    <mergeCell ref="H38:J38"/>
    <mergeCell ref="F38:G38"/>
    <mergeCell ref="H45:J45"/>
    <mergeCell ref="B44:C44"/>
    <mergeCell ref="F44:G44"/>
    <mergeCell ref="H44:J44"/>
    <mergeCell ref="H41:J41"/>
    <mergeCell ref="B39:C39"/>
    <mergeCell ref="F39:G39"/>
    <mergeCell ref="H39:J39"/>
    <mergeCell ref="G11:H11"/>
    <mergeCell ref="B40:C40"/>
    <mergeCell ref="H40:J40"/>
    <mergeCell ref="C12:E13"/>
    <mergeCell ref="C10:E11"/>
    <mergeCell ref="B38:C38"/>
    <mergeCell ref="B56:C56"/>
    <mergeCell ref="G10:H10"/>
    <mergeCell ref="B47:C47"/>
    <mergeCell ref="B41:C41"/>
    <mergeCell ref="F41:G41"/>
    <mergeCell ref="H52:J52"/>
    <mergeCell ref="B99:C99"/>
    <mergeCell ref="F96:G96"/>
    <mergeCell ref="F97:G97"/>
    <mergeCell ref="F95:G95"/>
    <mergeCell ref="H95:J95"/>
    <mergeCell ref="H96:J96"/>
    <mergeCell ref="H97:J97"/>
    <mergeCell ref="F98:G98"/>
    <mergeCell ref="H98:J98"/>
    <mergeCell ref="B96:C96"/>
    <mergeCell ref="B97:C97"/>
    <mergeCell ref="F99:G99"/>
    <mergeCell ref="B76:C76"/>
    <mergeCell ref="B78:C78"/>
    <mergeCell ref="H89:J89"/>
    <mergeCell ref="H90:J90"/>
    <mergeCell ref="H91:J91"/>
    <mergeCell ref="B93:C93"/>
    <mergeCell ref="B94:C94"/>
    <mergeCell ref="F93:G93"/>
    <mergeCell ref="F94:G94"/>
    <mergeCell ref="H93:J93"/>
    <mergeCell ref="H94:J94"/>
    <mergeCell ref="F92:G92"/>
    <mergeCell ref="H92:J92"/>
    <mergeCell ref="B91:C91"/>
    <mergeCell ref="B77:C77"/>
    <mergeCell ref="B80:C80"/>
    <mergeCell ref="F79:G79"/>
    <mergeCell ref="F80:G80"/>
    <mergeCell ref="H79:J79"/>
    <mergeCell ref="H80:J80"/>
    <mergeCell ref="B89:C89"/>
    <mergeCell ref="B90:C90"/>
    <mergeCell ref="F87:G87"/>
    <mergeCell ref="F86:G86"/>
  </mergeCells>
  <phoneticPr fontId="34" type="noConversion"/>
  <conditionalFormatting sqref="G19:H19 G21:H23">
    <cfRule type="expression" dxfId="48" priority="7">
      <formula>$O$20="TRUEFALSE"</formula>
    </cfRule>
  </conditionalFormatting>
  <conditionalFormatting sqref="G14:H16">
    <cfRule type="expression" dxfId="47" priority="9">
      <formula>$O$13="TRUEFALSE"</formula>
    </cfRule>
  </conditionalFormatting>
  <conditionalFormatting sqref="G20:H23">
    <cfRule type="expression" dxfId="46" priority="6">
      <formula>$O$19="TRUEFALSE"</formula>
    </cfRule>
  </conditionalFormatting>
  <conditionalFormatting sqref="G13:H16">
    <cfRule type="expression" dxfId="45" priority="573">
      <formula>$O$16="TRUEFALSE"</formula>
    </cfRule>
  </conditionalFormatting>
  <conditionalFormatting sqref="G13:H13 G15:H16">
    <cfRule type="expression" dxfId="44" priority="10">
      <formula>$O$14="TRUEFALSE"</formula>
    </cfRule>
  </conditionalFormatting>
  <conditionalFormatting sqref="G13:H14 G16:H16">
    <cfRule type="expression" dxfId="43" priority="572">
      <formula>$O$15="TRUEFALSE"</formula>
    </cfRule>
  </conditionalFormatting>
  <conditionalFormatting sqref="G19:H20 G22:H23">
    <cfRule type="expression" dxfId="42" priority="11">
      <formula>$O$21="TRUEFALSE"</formula>
    </cfRule>
  </conditionalFormatting>
  <conditionalFormatting sqref="G19:H21 G23:H23">
    <cfRule type="expression" dxfId="41" priority="12">
      <formula>$O$22="TRUEFALSE"</formula>
    </cfRule>
  </conditionalFormatting>
  <conditionalFormatting sqref="G19:H22">
    <cfRule type="expression" dxfId="40" priority="571">
      <formula>$O$23="TRUEFALSE"</formula>
    </cfRule>
  </conditionalFormatting>
  <conditionalFormatting sqref="H12">
    <cfRule type="expression" dxfId="39" priority="574">
      <formula>$K$11&lt;3</formula>
    </cfRule>
  </conditionalFormatting>
  <conditionalFormatting sqref="H18">
    <cfRule type="expression" dxfId="38" priority="776">
      <formula>$K$18&lt;4</formula>
    </cfRule>
  </conditionalFormatting>
  <conditionalFormatting sqref="K39:K106">
    <cfRule type="expression" dxfId="37" priority="38">
      <formula>NOT(OR(ISERROR(FIND($N$13,$K39))))</formula>
    </cfRule>
  </conditionalFormatting>
  <conditionalFormatting sqref="K39:K106">
    <cfRule type="expression" dxfId="36" priority="39">
      <formula>NOT(OR(ISERROR(FIND($N$14,$K39))))</formula>
    </cfRule>
  </conditionalFormatting>
  <conditionalFormatting sqref="K39:K106">
    <cfRule type="expression" dxfId="35" priority="40">
      <formula>NOT(OR(ISERROR(FIND($N$15,$K39))))</formula>
    </cfRule>
  </conditionalFormatting>
  <conditionalFormatting sqref="K39:K106">
    <cfRule type="expression" dxfId="34" priority="41">
      <formula>NOT(OR(ISERROR(FIND($N$16,$K39))))</formula>
    </cfRule>
  </conditionalFormatting>
  <conditionalFormatting sqref="K39:K106">
    <cfRule type="expression" dxfId="33" priority="42">
      <formula>NOT(OR(ISERROR(FIND($N$19,$K39))))</formula>
    </cfRule>
  </conditionalFormatting>
  <conditionalFormatting sqref="K39:K106">
    <cfRule type="expression" dxfId="32" priority="43">
      <formula>NOT(OR(ISERROR(FIND($N$20,$K39))))</formula>
    </cfRule>
  </conditionalFormatting>
  <conditionalFormatting sqref="K39:K106">
    <cfRule type="expression" dxfId="31" priority="44">
      <formula>NOT(OR(ISERROR(FIND($N$21,$K39))))</formula>
    </cfRule>
  </conditionalFormatting>
  <conditionalFormatting sqref="K39:K106">
    <cfRule type="expression" dxfId="30" priority="45">
      <formula>NOT(OR(ISERROR(FIND($N$22,$K39))))</formula>
    </cfRule>
  </conditionalFormatting>
  <conditionalFormatting sqref="K39:K106">
    <cfRule type="expression" dxfId="29" priority="46">
      <formula>NOT(OR(ISERROR(FIND($N$23,$K39))))</formula>
    </cfRule>
  </conditionalFormatting>
  <conditionalFormatting sqref="K39:K106">
    <cfRule type="expression" dxfId="28" priority="47">
      <formula>NOT(OR(ISERROR(FIND($N$25,$K39))))</formula>
    </cfRule>
  </conditionalFormatting>
  <conditionalFormatting sqref="K39:K106">
    <cfRule type="expression" dxfId="27" priority="49">
      <formula>NOT(OR(ISERROR(FIND($N$27,$K39))))</formula>
    </cfRule>
  </conditionalFormatting>
  <conditionalFormatting sqref="K39:K106">
    <cfRule type="expression" dxfId="26" priority="50">
      <formula>NOT(OR(ISERROR(FIND($N$29,$K39))))</formula>
    </cfRule>
  </conditionalFormatting>
  <conditionalFormatting sqref="K39:K106">
    <cfRule type="expression" dxfId="25" priority="51">
      <formula>NOT(OR(ISERROR(FIND($N$31,$K39))))</formula>
    </cfRule>
  </conditionalFormatting>
  <conditionalFormatting sqref="K39:K106">
    <cfRule type="expression" dxfId="24" priority="52">
      <formula>NOT(OR(ISERROR(FIND($N$33,$K39))))</formula>
    </cfRule>
  </conditionalFormatting>
  <conditionalFormatting sqref="K39:K106">
    <cfRule type="expression" dxfId="23" priority="54">
      <formula>NOT(OR(ISERROR(FIND($N$35,$K39))))</formula>
    </cfRule>
  </conditionalFormatting>
  <conditionalFormatting sqref="B39:J44 B47:J53 B56:J56 B67:J72 B62:J65 B59:J59 B74:J106">
    <cfRule type="expression" dxfId="22" priority="56">
      <formula>NOT(OR(ISERROR(FIND($N$12,$K39))))</formula>
    </cfRule>
    <cfRule type="expression" dxfId="21" priority="58">
      <formula>NOT(OR(ISERROR(FIND($N$14,$K39))))</formula>
    </cfRule>
  </conditionalFormatting>
  <conditionalFormatting sqref="G12:H16">
    <cfRule type="expression" dxfId="20" priority="2">
      <formula>$K$11&lt;3</formula>
    </cfRule>
  </conditionalFormatting>
  <conditionalFormatting sqref="G18:H23">
    <cfRule type="expression" dxfId="19" priority="1">
      <formula>$K$18&lt;4</formula>
    </cfRule>
  </conditionalFormatting>
  <conditionalFormatting sqref="B39:J44 B47:J53 B56:J56 B62:J65 B59:J59 B67:J72 B74:J106">
    <cfRule type="expression" dxfId="18" priority="777">
      <formula>NOT(OR(ISERROR(FIND($N$13,$K39))))</formula>
    </cfRule>
    <cfRule type="expression" dxfId="17" priority="778">
      <formula>NOT(OR(ISERROR(FIND($N$15,$K39))))</formula>
    </cfRule>
    <cfRule type="expression" dxfId="16" priority="779">
      <formula>NOT(OR(ISERROR(FIND($N$16,$K39))))</formula>
    </cfRule>
    <cfRule type="expression" dxfId="15" priority="780">
      <formula>NOT(OR(ISERROR(FIND($N$19,$K39))))</formula>
    </cfRule>
    <cfRule type="expression" dxfId="14" priority="781">
      <formula>NOT(OR(ISERROR(FIND($N$20,$K39))))</formula>
    </cfRule>
    <cfRule type="expression" dxfId="13" priority="782">
      <formula>NOT(OR(ISERROR(FIND($N$21,$K39))))</formula>
    </cfRule>
    <cfRule type="expression" dxfId="12" priority="783">
      <formula>NOT(OR(ISERROR(FIND($N$22,$K39))))</formula>
    </cfRule>
    <cfRule type="expression" dxfId="11" priority="784">
      <formula>NOT(OR(ISERROR(FIND($N$23,$K39))))</formula>
    </cfRule>
    <cfRule type="expression" dxfId="10" priority="785">
      <formula>NOT(OR(ISERROR(FIND($N$25,$K39))))</formula>
    </cfRule>
    <cfRule type="expression" dxfId="9" priority="786">
      <formula>NOT(OR(ISERROR(FIND(#REF!,$K39))))</formula>
    </cfRule>
    <cfRule type="expression" dxfId="8" priority="787">
      <formula>NOT(OR(ISERROR(FIND($N$27,$K39))))</formula>
    </cfRule>
    <cfRule type="expression" dxfId="7" priority="788">
      <formula>NOT(OR(ISERROR(FIND($N$29,$K39))))</formula>
    </cfRule>
    <cfRule type="expression" dxfId="6" priority="789">
      <formula>NOT(OR(ISERROR(FIND($N$31,$K39))))</formula>
    </cfRule>
    <cfRule type="expression" dxfId="5" priority="790">
      <formula>NOT(OR(ISERROR(FIND($N$33,$K39))))</formula>
    </cfRule>
    <cfRule type="expression" dxfId="4" priority="791">
      <formula>NOT(OR(ISERROR(FIND($N$35,$K39))))</formula>
    </cfRule>
    <cfRule type="expression" dxfId="3" priority="792">
      <formula>(ISERROR(FIND($N$12,$E39,NOT(ISERROR(FIND($N$13,$E39,NOT(ISERROR(FIND($N$14,$E39,NOT(ISERROR(FIND($N$15,$E39,NOT(ISERROR(FIND($N$16,$E39,NOT(ISERROR(FIND($N$19,$E39,NOT(ISERROR(FIND($N$20,$E39,NOT(ISERROR(FIND($N$21,$E39,NOT(ISERROR(FIND($N$22,$E39,NOT(ISERROR(FIND($N$23,$E39,NOT(ISERROR(FIND($N$25,$E39,NOT(ISERROR(FIND(#REF!,$E39,NOT(ISERROR(FIND($N$27,$E39,NOT(ISERROR(FIND($N$29,$E39,NOT(ISERROR(FIND($N$31,$E39,NOT(ISERROR(FIND($N$33,$E39,NOT(ISERROR(FIND($N$35,$E39)))))))))))))))))))))))))))))))))))))))))))))))))))</formula>
    </cfRule>
  </conditionalFormatting>
  <conditionalFormatting sqref="K39:K106">
    <cfRule type="expression" dxfId="2" priority="889">
      <formula>NOT(OR(ISERROR(FIND($N$12,$K39))))</formula>
    </cfRule>
    <cfRule type="expression" dxfId="1" priority="890">
      <formula>(ISERROR(FIND($N$12,$E39,NOT(ISERROR(FIND($N$13,$E39,NOT(ISERROR(FIND($N$14,$E39,NOT(ISERROR(FIND($N$15,$E39,NOT(ISERROR(FIND($N$16,$E39,NOT(ISERROR(FIND($N$19,$E39,NOT(ISERROR(FIND($N$20,$E39,NOT(ISERROR(FIND($N$21,$E39,NOT(ISERROR(FIND($N$22,$E39,NOT(ISERROR(FIND($N$23,$E39,NOT(ISERROR(FIND($N$25,$E39,NOT(ISERROR(FIND(#REF!,$E39,NOT(ISERROR(FIND($N$27,$E39,NOT(ISERROR(FIND($N$29,$E39,NOT(ISERROR(FIND($N$31,$E39,NOT(ISERROR(FIND($N$33,$E39,NOT(ISERROR(FIND($N$35,$E39)))))))))))))))))))))))))))))))))))))))))))))))))))</formula>
    </cfRule>
  </conditionalFormatting>
  <conditionalFormatting sqref="K39:K106">
    <cfRule type="expression" dxfId="0" priority="901">
      <formula>NOT(OR(ISERROR(FIND(#REF!,$K39))))</formula>
    </cfRule>
  </conditionalFormatting>
  <dataValidations count="1">
    <dataValidation type="list" allowBlank="1" showInputMessage="1" showErrorMessage="1" sqref="D62:D65 D59 D47:D53 D67:D72 D74:D106 D56">
      <formula1>$D$5:$D$6</formula1>
    </dataValidation>
  </dataValidations>
  <hyperlinks>
    <hyperlink ref="H44" location="URL" display="http://community.office365.com/en-us/wikis/live-at-edu-transition/1110.aspx#URL"/>
    <hyperlink ref="H69" location="continue" display="http://community.office365.com/en-us/wikis/live-at-edu-transition/1133.aspx#continue"/>
    <hyperlink ref="H71" location="support" display="http://community.office365.com/en-us/wikis/live-at-edu-transition/1133.aspx#support"/>
    <hyperlink ref="H79" r:id="rId1" display="http://go.microsoft.com/fwlink/p/?LinkId=253149"/>
    <hyperlink ref="H80" r:id="rId2" display="http://go.microsoft.com/fwlink/p/?LinkId=253601"/>
    <hyperlink ref="H81" r:id="rId3" display="http://go.microsoft.com/fwlink/p/?LinkId=253147"/>
    <hyperlink ref="H87" r:id="rId4" display="http://go.microsoft.com/fwlink/p/?LinkId=253149"/>
    <hyperlink ref="H88" r:id="rId5" display="http://go.microsoft.com/fwlink/p/?LinkId=253601"/>
    <hyperlink ref="H89" r:id="rId6" display="http://go.microsoft.com/fwlink/p/?LinkId=253147"/>
    <hyperlink ref="H91" r:id="rId7" display="http://go.microsoft.com/fwlink/p/?LinkId=253149"/>
    <hyperlink ref="H92" r:id="rId8" display="http://go.microsoft.com/fwlink/p/?LinkId=253601"/>
    <hyperlink ref="H93" r:id="rId9" display="http://go.microsoft.com/fwlink/p/?LinkId=253147"/>
    <hyperlink ref="H95" r:id="rId10" display="http://go.microsoft.com/fwlink/p/?LinkId=253149"/>
    <hyperlink ref="H96" r:id="rId11" display="http://go.microsoft.com/fwlink/p/?LinkId=253601"/>
    <hyperlink ref="H99" location="EO" display="http://community.office365.com/en-us/wikis/live-at-edu-transition/1134.aspx#EO"/>
    <hyperlink ref="H102" location="o365" display="http://community.office365.com/en-us/wikis/live-at-edu-transition/1134.aspx#o365"/>
    <hyperlink ref="H103" r:id="rId12" display="http://go.microsoft.com/fwlink/p/?LinkId=253597"/>
    <hyperlink ref="H104" r:id="rId13" display="http://go.microsoft.com/fwlink/p/?LinkId=253605"/>
    <hyperlink ref="H105" r:id="rId14" display="http://go.microsoft.com/fwlink/p/?LinkId=253606"/>
    <hyperlink ref="H63" location="EO" display="http://community.office365.com/en-us/wikis/live-at-edu-transition/1110.aspx#EO"/>
    <hyperlink ref="H53" r:id="rId15" display="http://go.microsoft.com/fwlink/p/?LinkId=260428"/>
    <hyperlink ref="H68" location="start" display="http://community.office365.com/en-us/wikis/live-at-edu-transition/1133.aspx#start"/>
    <hyperlink ref="H106" r:id="rId16" display="http://go.microsoft.com/fwlink/p/?LinkId=251279"/>
    <hyperlink ref="H43:J43" r:id="rId17" display="Learn more"/>
    <hyperlink ref="H44:J44" r:id="rId18" display="Learn more"/>
    <hyperlink ref="H47:J47" r:id="rId19" display="Office 365 software requirements"/>
    <hyperlink ref="H48:J48" r:id="rId20" display="Sample communications and resources can be found in the Upgrade End-user Kit"/>
    <hyperlink ref="H49:J49" r:id="rId21" display="Learn more"/>
    <hyperlink ref="H50:J50" r:id="rId22" display="Learn more"/>
    <hyperlink ref="H51:J51" r:id="rId23" display="Learn more"/>
    <hyperlink ref="H52:J52" r:id="rId24" display="Learn more"/>
    <hyperlink ref="H53:J53" r:id="rId25" display="Learn more"/>
    <hyperlink ref="H59:J59" r:id="rId26" display="Sample communications and resources can be found in the Upgrade End-user Kit"/>
    <hyperlink ref="H62:J62" r:id="rId27" display="Sample communications and resources can be found in the Upgrade End-user Kit"/>
    <hyperlink ref="H63:J63" r:id="rId28" display="Learn more"/>
    <hyperlink ref="H64:J64" r:id="rId29" display="Learn more"/>
    <hyperlink ref="H65:J65" r:id="rId30" display="Learn more"/>
    <hyperlink ref="H67:J67" r:id="rId31" display="Learn more"/>
    <hyperlink ref="H68:J68" r:id="rId32" display="Learn more"/>
    <hyperlink ref="H69:J69" r:id="rId33" display="Learn more"/>
    <hyperlink ref="H70:J70" r:id="rId34" display="Sample communications and resources can be found in the Upgrade End-user Kit"/>
    <hyperlink ref="H71:J71" r:id="rId35" display="Learn more"/>
    <hyperlink ref="H72:J72" r:id="rId36" display="Learn more"/>
    <hyperlink ref="H85:J85" r:id="rId37" display="Learn more"/>
    <hyperlink ref="H86:J86" r:id="rId38" display="Learn more"/>
    <hyperlink ref="H74:J74" r:id="rId39" display="Learn more"/>
    <hyperlink ref="H75:J75" r:id="rId40" display="Learn more"/>
    <hyperlink ref="H76:J76" r:id="rId41" display="http://g.microsoftonline.com/0rmcm00en-us/5405"/>
    <hyperlink ref="H77:J77" r:id="rId42" display="http://g.microsoftonline.com/0rmcm00en-us/5406"/>
    <hyperlink ref="H78:J78" r:id="rId43" display="http://g.microsoftonline.com/0rmcm00en-us/5407"/>
    <hyperlink ref="H79:J79" r:id="rId44" display="Learn more"/>
    <hyperlink ref="H80:J80" r:id="rId45" display="Learn more"/>
    <hyperlink ref="H81:J81" r:id="rId46" display="Learn more"/>
    <hyperlink ref="H82:J82" r:id="rId47" display="Learn More"/>
    <hyperlink ref="H83:J83" r:id="rId48" display="Learn More"/>
    <hyperlink ref="H84:J84" r:id="rId49" display="Learn more"/>
    <hyperlink ref="H87:J87" r:id="rId50" display="Learn more"/>
    <hyperlink ref="H88:J88" r:id="rId51" display="Learn more"/>
    <hyperlink ref="H89:J89" r:id="rId52" display="Learn more"/>
    <hyperlink ref="H90:J90" r:id="rId53" display="Learn more"/>
    <hyperlink ref="H91:J91" r:id="rId54" display="Learn more"/>
    <hyperlink ref="H92:J92" r:id="rId55" display="Learn more"/>
    <hyperlink ref="H93:J93" r:id="rId56" display="Learn more"/>
    <hyperlink ref="H94:J94" r:id="rId57" display="Learn more"/>
    <hyperlink ref="H95:J95" r:id="rId58" display="Learn more"/>
    <hyperlink ref="H96:J96" r:id="rId59" display="Learn more"/>
    <hyperlink ref="H97:J97" r:id="rId60" display="Learn more"/>
    <hyperlink ref="H98:J98" r:id="rId61" display="Learn more"/>
    <hyperlink ref="H99:J99" r:id="rId62" display="Learn more"/>
    <hyperlink ref="H100:J100" r:id="rId63" display="Learn more"/>
    <hyperlink ref="H101:J101" r:id="rId64" display="Sample communications and resources can be found in the Upgrade End-user Kit"/>
    <hyperlink ref="H102:J102" r:id="rId65" display="Learn more"/>
    <hyperlink ref="H103:J103" r:id="rId66" display="Learn more"/>
    <hyperlink ref="H104:J104" r:id="rId67" display="Learn more"/>
    <hyperlink ref="H105:J105" r:id="rId68" display="Learn more"/>
    <hyperlink ref="H106:J106" r:id="rId69" display="Learn more"/>
    <hyperlink ref="H42:J42" r:id="rId70" display="Learn more"/>
    <hyperlink ref="H41:J41" r:id="rId71" display="Learn more"/>
    <hyperlink ref="H40:J40" r:id="rId72" display="Learn more"/>
    <hyperlink ref="H39" location="learn" display="http://community.office365.com/en-us/wikis/live-at-edu-transition/1110.aspx#learn"/>
    <hyperlink ref="H39:J39" r:id="rId73" display="Learn more"/>
    <hyperlink ref="B8:H8" r:id="rId74" display="You can always find detailed information on how to plan and manage your upgrade to Office 365 for education at Upgrade help"/>
    <hyperlink ref="H56:J56" r:id="rId75" display="Learn more"/>
  </hyperlinks>
  <pageMargins left="0.7" right="0.7" top="0.54104166666666698" bottom="0.75" header="0.3" footer="0.3"/>
  <pageSetup scale="54" fitToHeight="0" orientation="portrait" r:id="rId76"/>
  <headerFooter>
    <oddHeader>&amp;L&amp;11&amp;"Segoe UI,Regular"&amp;K01+000Live@edu to Office 365 Work-back Timeline&amp;R&amp;11&amp;"Calibri,Regular"&amp;K01+0004-Week Plan</oddHeader>
    <oddFooter>&amp;C&amp;11&amp;"Calibri,Regular"&amp;K01+000&amp;P of &amp;N</oddFooter>
  </headerFooter>
  <rowBreaks count="2" manualBreakCount="2">
    <brk id="44" max="10" man="1"/>
    <brk id="72" max="16383" man="1"/>
  </rowBreaks>
  <drawing r:id="rId77"/>
  <legacyDrawing r:id="rId78"/>
  <mc:AlternateContent xmlns:mc="http://schemas.openxmlformats.org/markup-compatibility/2006">
    <mc:Choice Requires="x14">
      <controls>
        <mc:AlternateContent xmlns:mc="http://schemas.openxmlformats.org/markup-compatibility/2006">
          <mc:Choice Requires="x14">
            <control shapeId="2050" r:id="rId79" name="Check Box 2">
              <controlPr defaultSize="0" autoFill="0" autoLine="0" autoPict="0" altText="ADFS">
                <anchor moveWithCells="1">
                  <from>
                    <xdr:col>7</xdr:col>
                    <xdr:colOff>200025</xdr:colOff>
                    <xdr:row>12</xdr:row>
                    <xdr:rowOff>228600</xdr:rowOff>
                  </from>
                  <to>
                    <xdr:col>7</xdr:col>
                    <xdr:colOff>1819275</xdr:colOff>
                    <xdr:row>12</xdr:row>
                    <xdr:rowOff>447675</xdr:rowOff>
                  </to>
                </anchor>
              </controlPr>
            </control>
          </mc:Choice>
        </mc:AlternateContent>
        <mc:AlternateContent xmlns:mc="http://schemas.openxmlformats.org/markup-compatibility/2006">
          <mc:Choice Requires="x14">
            <control shapeId="2057" r:id="rId80" name="Check Box 9">
              <controlPr defaultSize="0" autoFill="0" autoLine="0" autoPict="0">
                <anchor moveWithCells="1">
                  <from>
                    <xdr:col>7</xdr:col>
                    <xdr:colOff>200025</xdr:colOff>
                    <xdr:row>26</xdr:row>
                    <xdr:rowOff>47625</xdr:rowOff>
                  </from>
                  <to>
                    <xdr:col>7</xdr:col>
                    <xdr:colOff>1819275</xdr:colOff>
                    <xdr:row>26</xdr:row>
                    <xdr:rowOff>266700</xdr:rowOff>
                  </to>
                </anchor>
              </controlPr>
            </control>
          </mc:Choice>
        </mc:AlternateContent>
        <mc:AlternateContent xmlns:mc="http://schemas.openxmlformats.org/markup-compatibility/2006">
          <mc:Choice Requires="x14">
            <control shapeId="2058" r:id="rId81" name="Check Box 10">
              <controlPr defaultSize="0" autoFill="0" autoLine="0" autoPict="0">
                <anchor moveWithCells="1">
                  <from>
                    <xdr:col>7</xdr:col>
                    <xdr:colOff>200025</xdr:colOff>
                    <xdr:row>28</xdr:row>
                    <xdr:rowOff>123825</xdr:rowOff>
                  </from>
                  <to>
                    <xdr:col>7</xdr:col>
                    <xdr:colOff>1819275</xdr:colOff>
                    <xdr:row>28</xdr:row>
                    <xdr:rowOff>342900</xdr:rowOff>
                  </to>
                </anchor>
              </controlPr>
            </control>
          </mc:Choice>
        </mc:AlternateContent>
        <mc:AlternateContent xmlns:mc="http://schemas.openxmlformats.org/markup-compatibility/2006">
          <mc:Choice Requires="x14">
            <control shapeId="2059" r:id="rId82" name="Check Box 11">
              <controlPr defaultSize="0" autoFill="0" autoLine="0" autoPict="0">
                <anchor moveWithCells="1">
                  <from>
                    <xdr:col>7</xdr:col>
                    <xdr:colOff>200025</xdr:colOff>
                    <xdr:row>34</xdr:row>
                    <xdr:rowOff>57150</xdr:rowOff>
                  </from>
                  <to>
                    <xdr:col>7</xdr:col>
                    <xdr:colOff>1819275</xdr:colOff>
                    <xdr:row>34</xdr:row>
                    <xdr:rowOff>276225</xdr:rowOff>
                  </to>
                </anchor>
              </controlPr>
            </control>
          </mc:Choice>
        </mc:AlternateContent>
        <mc:AlternateContent xmlns:mc="http://schemas.openxmlformats.org/markup-compatibility/2006">
          <mc:Choice Requires="x14">
            <control shapeId="2061" r:id="rId83" name="Check Box 13">
              <controlPr defaultSize="0" autoFill="0" autoLine="0" autoPict="0">
                <anchor moveWithCells="1">
                  <from>
                    <xdr:col>7</xdr:col>
                    <xdr:colOff>200025</xdr:colOff>
                    <xdr:row>18</xdr:row>
                    <xdr:rowOff>38100</xdr:rowOff>
                  </from>
                  <to>
                    <xdr:col>7</xdr:col>
                    <xdr:colOff>1819275</xdr:colOff>
                    <xdr:row>18</xdr:row>
                    <xdr:rowOff>257175</xdr:rowOff>
                  </to>
                </anchor>
              </controlPr>
            </control>
          </mc:Choice>
        </mc:AlternateContent>
        <mc:AlternateContent xmlns:mc="http://schemas.openxmlformats.org/markup-compatibility/2006">
          <mc:Choice Requires="x14">
            <control shapeId="2062" r:id="rId84" name="Check Box 14">
              <controlPr defaultSize="0" autoFill="0" autoLine="0" autoPict="0">
                <anchor moveWithCells="1">
                  <from>
                    <xdr:col>7</xdr:col>
                    <xdr:colOff>200025</xdr:colOff>
                    <xdr:row>19</xdr:row>
                    <xdr:rowOff>47625</xdr:rowOff>
                  </from>
                  <to>
                    <xdr:col>7</xdr:col>
                    <xdr:colOff>1819275</xdr:colOff>
                    <xdr:row>19</xdr:row>
                    <xdr:rowOff>266700</xdr:rowOff>
                  </to>
                </anchor>
              </controlPr>
            </control>
          </mc:Choice>
        </mc:AlternateContent>
        <mc:AlternateContent xmlns:mc="http://schemas.openxmlformats.org/markup-compatibility/2006">
          <mc:Choice Requires="x14">
            <control shapeId="2063" r:id="rId85" name="Check Box 15">
              <controlPr defaultSize="0" autoFill="0" autoLine="0" autoPict="0">
                <anchor moveWithCells="1">
                  <from>
                    <xdr:col>7</xdr:col>
                    <xdr:colOff>200025</xdr:colOff>
                    <xdr:row>20</xdr:row>
                    <xdr:rowOff>76200</xdr:rowOff>
                  </from>
                  <to>
                    <xdr:col>7</xdr:col>
                    <xdr:colOff>1819275</xdr:colOff>
                    <xdr:row>20</xdr:row>
                    <xdr:rowOff>295275</xdr:rowOff>
                  </to>
                </anchor>
              </controlPr>
            </control>
          </mc:Choice>
        </mc:AlternateContent>
        <mc:AlternateContent xmlns:mc="http://schemas.openxmlformats.org/markup-compatibility/2006">
          <mc:Choice Requires="x14">
            <control shapeId="2064" r:id="rId86" name="Check Box 16">
              <controlPr defaultSize="0" autoFill="0" autoLine="0" autoPict="0">
                <anchor moveWithCells="1">
                  <from>
                    <xdr:col>7</xdr:col>
                    <xdr:colOff>200025</xdr:colOff>
                    <xdr:row>21</xdr:row>
                    <xdr:rowOff>66675</xdr:rowOff>
                  </from>
                  <to>
                    <xdr:col>7</xdr:col>
                    <xdr:colOff>1819275</xdr:colOff>
                    <xdr:row>21</xdr:row>
                    <xdr:rowOff>285750</xdr:rowOff>
                  </to>
                </anchor>
              </controlPr>
            </control>
          </mc:Choice>
        </mc:AlternateContent>
        <mc:AlternateContent xmlns:mc="http://schemas.openxmlformats.org/markup-compatibility/2006">
          <mc:Choice Requires="x14">
            <control shapeId="2065" r:id="rId87" name="Check Box 17">
              <controlPr defaultSize="0" autoFill="0" autoLine="0" autoPict="0">
                <anchor moveWithCells="1">
                  <from>
                    <xdr:col>7</xdr:col>
                    <xdr:colOff>200025</xdr:colOff>
                    <xdr:row>24</xdr:row>
                    <xdr:rowOff>47625</xdr:rowOff>
                  </from>
                  <to>
                    <xdr:col>7</xdr:col>
                    <xdr:colOff>1819275</xdr:colOff>
                    <xdr:row>24</xdr:row>
                    <xdr:rowOff>266700</xdr:rowOff>
                  </to>
                </anchor>
              </controlPr>
            </control>
          </mc:Choice>
        </mc:AlternateContent>
        <mc:AlternateContent xmlns:mc="http://schemas.openxmlformats.org/markup-compatibility/2006">
          <mc:Choice Requires="x14">
            <control shapeId="2066" r:id="rId88" name="Check Box 18">
              <controlPr defaultSize="0" autoFill="0" autoLine="0" autoPict="0" altText="Shibboleth">
                <anchor moveWithCells="1">
                  <from>
                    <xdr:col>7</xdr:col>
                    <xdr:colOff>200025</xdr:colOff>
                    <xdr:row>13</xdr:row>
                    <xdr:rowOff>171450</xdr:rowOff>
                  </from>
                  <to>
                    <xdr:col>7</xdr:col>
                    <xdr:colOff>1819275</xdr:colOff>
                    <xdr:row>13</xdr:row>
                    <xdr:rowOff>390525</xdr:rowOff>
                  </to>
                </anchor>
              </controlPr>
            </control>
          </mc:Choice>
        </mc:AlternateContent>
        <mc:AlternateContent xmlns:mc="http://schemas.openxmlformats.org/markup-compatibility/2006">
          <mc:Choice Requires="x14">
            <control shapeId="2067" r:id="rId89" name="Check Box 19">
              <controlPr defaultSize="0" autoFill="0" autoLine="0" autoPict="0" altText="Add Federation">
                <anchor moveWithCells="1">
                  <from>
                    <xdr:col>7</xdr:col>
                    <xdr:colOff>200025</xdr:colOff>
                    <xdr:row>15</xdr:row>
                    <xdr:rowOff>219075</xdr:rowOff>
                  </from>
                  <to>
                    <xdr:col>7</xdr:col>
                    <xdr:colOff>1819275</xdr:colOff>
                    <xdr:row>15</xdr:row>
                    <xdr:rowOff>438150</xdr:rowOff>
                  </to>
                </anchor>
              </controlPr>
            </control>
          </mc:Choice>
        </mc:AlternateContent>
        <mc:AlternateContent xmlns:mc="http://schemas.openxmlformats.org/markup-compatibility/2006">
          <mc:Choice Requires="x14">
            <control shapeId="2068" r:id="rId90" name="Check Box 20">
              <controlPr defaultSize="0" autoFill="0" autoLine="0" autoPict="0">
                <anchor moveWithCells="1">
                  <from>
                    <xdr:col>7</xdr:col>
                    <xdr:colOff>200025</xdr:colOff>
                    <xdr:row>30</xdr:row>
                    <xdr:rowOff>47625</xdr:rowOff>
                  </from>
                  <to>
                    <xdr:col>7</xdr:col>
                    <xdr:colOff>1819275</xdr:colOff>
                    <xdr:row>30</xdr:row>
                    <xdr:rowOff>266700</xdr:rowOff>
                  </to>
                </anchor>
              </controlPr>
            </control>
          </mc:Choice>
        </mc:AlternateContent>
        <mc:AlternateContent xmlns:mc="http://schemas.openxmlformats.org/markup-compatibility/2006">
          <mc:Choice Requires="x14">
            <control shapeId="2069" r:id="rId91" name="Check Box 21">
              <controlPr defaultSize="0" autoFill="0" autoLine="0" autoPict="0">
                <anchor moveWithCells="1">
                  <from>
                    <xdr:col>7</xdr:col>
                    <xdr:colOff>200025</xdr:colOff>
                    <xdr:row>32</xdr:row>
                    <xdr:rowOff>57150</xdr:rowOff>
                  </from>
                  <to>
                    <xdr:col>7</xdr:col>
                    <xdr:colOff>1819275</xdr:colOff>
                    <xdr:row>32</xdr:row>
                    <xdr:rowOff>276225</xdr:rowOff>
                  </to>
                </anchor>
              </controlPr>
            </control>
          </mc:Choice>
        </mc:AlternateContent>
        <mc:AlternateContent xmlns:mc="http://schemas.openxmlformats.org/markup-compatibility/2006">
          <mc:Choice Requires="x14">
            <control shapeId="2075" r:id="rId92" name="Check Box 27">
              <controlPr defaultSize="0" autoFill="0" autoLine="0" autoPict="0">
                <anchor moveWithCells="1">
                  <from>
                    <xdr:col>7</xdr:col>
                    <xdr:colOff>200025</xdr:colOff>
                    <xdr:row>22</xdr:row>
                    <xdr:rowOff>76200</xdr:rowOff>
                  </from>
                  <to>
                    <xdr:col>7</xdr:col>
                    <xdr:colOff>1819275</xdr:colOff>
                    <xdr:row>22</xdr:row>
                    <xdr:rowOff>295275</xdr:rowOff>
                  </to>
                </anchor>
              </controlPr>
            </control>
          </mc:Choice>
        </mc:AlternateContent>
        <mc:AlternateContent xmlns:mc="http://schemas.openxmlformats.org/markup-compatibility/2006">
          <mc:Choice Requires="x14">
            <control shapeId="2076" r:id="rId93" name="Check Box 28">
              <controlPr defaultSize="0" autoFill="0" autoLine="0" autoPict="0" altText="Add Federation">
                <anchor moveWithCells="1">
                  <from>
                    <xdr:col>7</xdr:col>
                    <xdr:colOff>200025</xdr:colOff>
                    <xdr:row>14</xdr:row>
                    <xdr:rowOff>219075</xdr:rowOff>
                  </from>
                  <to>
                    <xdr:col>7</xdr:col>
                    <xdr:colOff>1819275</xdr:colOff>
                    <xdr:row>14</xdr:row>
                    <xdr:rowOff>438150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Instructions</vt:lpstr>
      <vt:lpstr>4-week plan</vt:lpstr>
      <vt:lpstr>'4-week plan'!Print_Area</vt:lpstr>
      <vt:lpstr>Instructions!Print_Area</vt:lpstr>
      <vt:lpstr>'4-week plan'!Print_Titles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2012-10-12T21:53:05Z</dcterms:created>
  <dcterms:modified xsi:type="dcterms:W3CDTF">2013-01-29T18:00:57Z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