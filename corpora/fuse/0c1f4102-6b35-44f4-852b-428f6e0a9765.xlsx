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customXml/itemProps3.xml" ContentType="application/vnd.openxmlformats-officedocument.customXmlProperties+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customXml/itemProps1.xml" ContentType="application/vnd.openxmlformats-officedocument.customXmlProperti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comments6.xml" ContentType="application/vnd.openxmlformats-officedocument.spreadsheetml.comments+xml"/>
  <Default Extension="rels" ContentType="application/vnd.openxmlformats-package.relationships+xml"/>
  <Default Extension="xml" ContentType="application/xml"/>
  <Override PartName="/xl/worksheets/sheet5.xml" ContentType="application/vnd.openxmlformats-officedocument.spreadsheetml.worksheet+xml"/>
  <Override PartName="/xl/comments4.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comments16.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Override PartName="/xl/comments14.xml" ContentType="application/vnd.openxmlformats-officedocument.spreadsheetml.comments+xml"/>
  <Override PartName="/xl/worksheets/sheet19.xml" ContentType="application/vnd.openxmlformats-officedocument.spreadsheetml.worksheet+xml"/>
  <Override PartName="/xl/sharedStrings.xml" ContentType="application/vnd.openxmlformats-officedocument.spreadsheetml.sharedStrings+xml"/>
  <Override PartName="/xl/comments12.xml" ContentType="application/vnd.openxmlformats-officedocument.spreadsheetml.comments+xml"/>
  <Override PartName="/xl/comments13.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Override PartName="/customXml/itemProps2.xml" ContentType="application/vnd.openxmlformats-officedocument.customXmlProperties+xml"/>
  <Override PartName="/xl/worksheets/sheet14.xml" ContentType="application/vnd.openxmlformats-officedocument.spreadsheetml.worksheet+xml"/>
  <Override PartName="/xl/worksheets/sheet23.xml" ContentType="application/vnd.openxmlformats-officedocument.spreadsheetml.worksheet+xml"/>
  <Override PartName="/xl/comments9.xml" ContentType="application/vnd.openxmlformats-officedocument.spreadsheetml.comments+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comments7.xml" ContentType="application/vnd.openxmlformats-officedocument.spreadsheetml.comments+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comments3.xml" ContentType="application/vnd.openxmlformats-officedocument.spreadsheetml.comments+xml"/>
  <Override PartName="/xl/comments17.xml" ContentType="application/vnd.openxmlformats-officedocument.spreadsheetml.comments+xml"/>
  <Default Extension="vml" ContentType="application/vnd.openxmlformats-officedocument.vmlDrawing"/>
  <Override PartName="/xl/comments1.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autoCompressPictures="0"/>
  <bookViews>
    <workbookView xWindow="-75" yWindow="-30" windowWidth="20730" windowHeight="11760" firstSheet="2" activeTab="2"/>
  </bookViews>
  <sheets>
    <sheet name="GF Recon" sheetId="27" state="hidden" r:id="rId1"/>
    <sheet name="DSA" sheetId="32" state="hidden" r:id="rId2"/>
    <sheet name="DSABUDGET" sheetId="1" r:id="rId3"/>
    <sheet name="DSADATABASE" sheetId="17" r:id="rId4"/>
    <sheet name="DSASUMM" sheetId="2" r:id="rId5"/>
    <sheet name="AVG SAL" sheetId="10" r:id="rId6"/>
    <sheet name="BASESAL" sheetId="3" r:id="rId7"/>
    <sheet name="M200SAL" sheetId="4" r:id="rId8"/>
    <sheet name="M300SAL" sheetId="5" r:id="rId9"/>
    <sheet name="E670SAL" sheetId="6" r:id="rId10"/>
    <sheet name="E671SAL" sheetId="21" r:id="rId11"/>
    <sheet name="E601 SAL" sheetId="28" r:id="rId12"/>
    <sheet name="Adult Ed" sheetId="30" r:id="rId13"/>
    <sheet name="M200OPR" sheetId="8" r:id="rId14"/>
    <sheet name="M101INF" sheetId="7" r:id="rId15"/>
    <sheet name="M200EQP" sheetId="9" r:id="rId16"/>
    <sheet name="CSRBASESAL" sheetId="13" r:id="rId17"/>
    <sheet name="CSRM200SAL" sheetId="14" r:id="rId18"/>
    <sheet name="CSRM300SAL" sheetId="15" r:id="rId19"/>
    <sheet name="CSRE670SAL" sheetId="16" r:id="rId20"/>
    <sheet name="CSRE671SAL" sheetId="22" r:id="rId21"/>
    <sheet name="CSRE601 SAL" sheetId="29" r:id="rId22"/>
    <sheet name="CSR At risk K" sheetId="26" r:id="rId23"/>
    <sheet name="ESTATETAXHIST" sheetId="19" r:id="rId24"/>
  </sheets>
  <definedNames>
    <definedName name="_xlnm.Print_Area" localSheetId="5">'AVG SAL'!$A$1:$H$26</definedName>
    <definedName name="_xlnm.Print_Area" localSheetId="6">BASESAL!$A$1:$H$66</definedName>
    <definedName name="_xlnm.Print_Area" localSheetId="16">CSRBASESAL!$A$1:$H$55</definedName>
    <definedName name="_xlnm.Print_Area" localSheetId="19">CSRE670SAL!$A$1:$H$69</definedName>
    <definedName name="_xlnm.Print_Area" localSheetId="20">CSRE671SAL!$A$1:$H$69</definedName>
    <definedName name="_xlnm.Print_Area" localSheetId="17">CSRM200SAL!$A$1:$H$64</definedName>
    <definedName name="_xlnm.Print_Area" localSheetId="18">CSRM300SAL!$A$1:$H$66</definedName>
    <definedName name="_xlnm.Print_Area" localSheetId="2">DSABUDGET!$A$1:$J$59</definedName>
    <definedName name="_xlnm.Print_Area" localSheetId="4">DSASUMM!$A$2:$AL$150</definedName>
    <definedName name="_xlnm.Print_Area" localSheetId="9">E670SAL!$A$1:$H$83</definedName>
    <definedName name="_xlnm.Print_Area" localSheetId="10">E671SAL!$A$1:$H$83</definedName>
    <definedName name="_xlnm.Print_Area" localSheetId="0">'GF Recon'!$B$17:$I$25</definedName>
    <definedName name="_xlnm.Print_Area" localSheetId="15">M200EQP!$A$1:$U$20</definedName>
    <definedName name="_xlnm.Print_Area" localSheetId="13">M200OPR!$A$1:$U$73</definedName>
    <definedName name="_xlnm.Print_Area" localSheetId="7">M200SAL!$A$1:$H$79</definedName>
    <definedName name="_xlnm.Print_Area" localSheetId="8">M300SAL!$A$1:$H$82</definedName>
    <definedName name="_xlnm.Print_Titles" localSheetId="6">BASESAL!$1:$1</definedName>
    <definedName name="_xlnm.Print_Titles" localSheetId="1">DSA!$1:$6</definedName>
    <definedName name="_xlnm.Print_Titles" localSheetId="2">DSABUDGET!$1:$1</definedName>
    <definedName name="_xlnm.Print_Titles" localSheetId="4">DSASUMM!$A:$A,DSASUMM!$2:$4</definedName>
    <definedName name="_xlnm.Print_Titles" localSheetId="9">E670SAL!$1:$1</definedName>
    <definedName name="_xlnm.Print_Titles" localSheetId="10">E671SAL!$1:$1</definedName>
    <definedName name="_xlnm.Print_Titles" localSheetId="14">M101INF!$1:$1</definedName>
    <definedName name="_xlnm.Print_Titles" localSheetId="13">M200OPR!$1:$1</definedName>
    <definedName name="_xlnm.Print_Titles" localSheetId="7">M200SAL!$1:$1</definedName>
    <definedName name="_xlnm.Print_Titles" localSheetId="8">M300SAL!$1:$1</definedName>
  </definedNames>
  <calcPr calcId="125725"/>
</workbook>
</file>

<file path=xl/calcChain.xml><?xml version="1.0" encoding="utf-8"?>
<calcChain xmlns="http://schemas.openxmlformats.org/spreadsheetml/2006/main">
  <c r="E36" i="1"/>
  <c r="C24" l="1"/>
  <c r="B48"/>
  <c r="B47"/>
  <c r="B46"/>
  <c r="B45"/>
  <c r="B44"/>
  <c r="B42"/>
  <c r="B41"/>
  <c r="B40"/>
  <c r="B39"/>
  <c r="B38"/>
  <c r="B37"/>
  <c r="B36"/>
  <c r="B31"/>
  <c r="J36"/>
  <c r="H36"/>
  <c r="AH124" i="2"/>
  <c r="AG124"/>
  <c r="D58" i="17" l="1"/>
  <c r="C58"/>
  <c r="L65"/>
  <c r="AK134" i="2" l="1"/>
  <c r="AK138"/>
  <c r="AK139"/>
  <c r="AK141"/>
  <c r="AK144"/>
  <c r="AI132"/>
  <c r="AI134"/>
  <c r="AI135"/>
  <c r="AI138"/>
  <c r="AI139"/>
  <c r="AI141"/>
  <c r="AK124"/>
  <c r="AK125"/>
  <c r="AI124"/>
  <c r="H31" i="1" s="1"/>
  <c r="AI125" i="2"/>
  <c r="AK107"/>
  <c r="AK110"/>
  <c r="AK118"/>
  <c r="AI106"/>
  <c r="AI107"/>
  <c r="AI110"/>
  <c r="AI118"/>
  <c r="AI78"/>
  <c r="AI80"/>
  <c r="AI81"/>
  <c r="AI65"/>
  <c r="AI66"/>
  <c r="AI44"/>
  <c r="AK19"/>
  <c r="AI19"/>
  <c r="AK8"/>
  <c r="AI8"/>
  <c r="AF67"/>
  <c r="AE67"/>
  <c r="AH57"/>
  <c r="AG57"/>
  <c r="AF57"/>
  <c r="AE57"/>
  <c r="AF47"/>
  <c r="AE47"/>
  <c r="AF15"/>
  <c r="AF16" s="1"/>
  <c r="AF21" s="1"/>
  <c r="AE15"/>
  <c r="AE16" s="1"/>
  <c r="AE21" s="1"/>
  <c r="AF137"/>
  <c r="AK137" s="1"/>
  <c r="AE137"/>
  <c r="AF3"/>
  <c r="AI144"/>
  <c r="L69" i="17"/>
  <c r="AH136" i="2" s="1"/>
  <c r="L68" i="17"/>
  <c r="AH121" i="2" s="1"/>
  <c r="K68" i="17"/>
  <c r="AG121" i="2" s="1"/>
  <c r="K69" i="17"/>
  <c r="AG136" i="2" s="1"/>
  <c r="L67" i="17"/>
  <c r="K67"/>
  <c r="C37"/>
  <c r="C42" s="1"/>
  <c r="G123" i="2"/>
  <c r="C88" i="17"/>
  <c r="F123" i="2"/>
  <c r="D123"/>
  <c r="AI137" l="1"/>
  <c r="AF58"/>
  <c r="AF68" s="1"/>
  <c r="AF70" s="1"/>
  <c r="AF86" s="1"/>
  <c r="AF95" s="1"/>
  <c r="AF119" s="1"/>
  <c r="AF127" s="1"/>
  <c r="AF130" s="1"/>
  <c r="AF146" s="1"/>
  <c r="AF150" s="1"/>
  <c r="AE58"/>
  <c r="AE68" s="1"/>
  <c r="AE70" s="1"/>
  <c r="AE86" s="1"/>
  <c r="AE95" s="1"/>
  <c r="AE119" s="1"/>
  <c r="AE127" s="1"/>
  <c r="AE130" s="1"/>
  <c r="AE146" s="1"/>
  <c r="AE150" s="1"/>
  <c r="L70" i="17"/>
  <c r="K70"/>
  <c r="W43" i="2" l="1"/>
  <c r="AI43" s="1"/>
  <c r="X43"/>
  <c r="D4" i="17" l="1"/>
  <c r="T109" i="2" l="1"/>
  <c r="S109"/>
  <c r="P109"/>
  <c r="O109"/>
  <c r="J28" i="17" l="1"/>
  <c r="C4"/>
  <c r="D57" l="1"/>
  <c r="C57"/>
  <c r="C59" l="1"/>
  <c r="D59"/>
  <c r="J43" i="1"/>
  <c r="H43"/>
  <c r="B43"/>
  <c r="D47" i="17" l="1"/>
  <c r="D52"/>
  <c r="C47"/>
  <c r="C52"/>
  <c r="AJ137" i="2"/>
  <c r="AL137"/>
  <c r="F47" i="1" l="1"/>
  <c r="D37" i="17" l="1"/>
  <c r="D42" s="1"/>
  <c r="B37" l="1"/>
  <c r="B42" s="1"/>
  <c r="B57"/>
  <c r="B47" l="1"/>
  <c r="B59"/>
  <c r="E133" i="2"/>
  <c r="H133"/>
  <c r="AK133" s="1"/>
  <c r="G133"/>
  <c r="AI133" s="1"/>
  <c r="N38" i="17"/>
  <c r="N37" s="1"/>
  <c r="AA123" i="2" l="1"/>
  <c r="AI123" s="1"/>
  <c r="G76"/>
  <c r="AI76" s="1"/>
  <c r="C29" i="30"/>
  <c r="C31" s="1"/>
  <c r="C33" s="1"/>
  <c r="E8" s="1"/>
  <c r="B29"/>
  <c r="B31" s="1"/>
  <c r="B33" s="1"/>
  <c r="C8" s="1"/>
  <c r="G17" l="1"/>
  <c r="I17" s="1"/>
  <c r="G16"/>
  <c r="I16" s="1"/>
  <c r="E18"/>
  <c r="C10"/>
  <c r="J53" i="32"/>
  <c r="N112"/>
  <c r="L112"/>
  <c r="N110"/>
  <c r="L110"/>
  <c r="N109"/>
  <c r="L109"/>
  <c r="L56" i="17"/>
  <c r="D88"/>
  <c r="H48" i="1"/>
  <c r="AC102" i="2"/>
  <c r="AD88"/>
  <c r="AC88"/>
  <c r="AC104" s="1"/>
  <c r="AD67"/>
  <c r="AC67"/>
  <c r="AD57"/>
  <c r="AC57"/>
  <c r="AD47"/>
  <c r="AC47"/>
  <c r="AD15"/>
  <c r="AD16" s="1"/>
  <c r="AD21" s="1"/>
  <c r="AC15"/>
  <c r="AC16" s="1"/>
  <c r="AC21" s="1"/>
  <c r="AD3"/>
  <c r="L46" i="17"/>
  <c r="K46"/>
  <c r="K16" i="30" l="1"/>
  <c r="I18"/>
  <c r="AD58" i="2"/>
  <c r="AD68" s="1"/>
  <c r="AD70" s="1"/>
  <c r="AD86" s="1"/>
  <c r="AD95" s="1"/>
  <c r="AD99" s="1"/>
  <c r="AC58"/>
  <c r="AC68" s="1"/>
  <c r="AC70" s="1"/>
  <c r="AC86" s="1"/>
  <c r="AC95" s="1"/>
  <c r="AC99" s="1"/>
  <c r="AB123"/>
  <c r="H123"/>
  <c r="K17" i="30"/>
  <c r="I8"/>
  <c r="G18"/>
  <c r="AJ123" i="2"/>
  <c r="L16" i="32"/>
  <c r="L26"/>
  <c r="J55" i="1"/>
  <c r="J54"/>
  <c r="N25" i="32"/>
  <c r="L25"/>
  <c r="N24"/>
  <c r="L24"/>
  <c r="N95"/>
  <c r="L95"/>
  <c r="J95"/>
  <c r="H95"/>
  <c r="F95"/>
  <c r="D95"/>
  <c r="B95"/>
  <c r="N94"/>
  <c r="L94"/>
  <c r="J94"/>
  <c r="H94"/>
  <c r="F94"/>
  <c r="D94"/>
  <c r="B94"/>
  <c r="N93"/>
  <c r="L93"/>
  <c r="J93"/>
  <c r="H93"/>
  <c r="F93"/>
  <c r="D93"/>
  <c r="B93"/>
  <c r="J76"/>
  <c r="H76"/>
  <c r="F76"/>
  <c r="P74"/>
  <c r="R74" s="1"/>
  <c r="P73"/>
  <c r="R73" s="1"/>
  <c r="P72"/>
  <c r="R72" s="1"/>
  <c r="P71"/>
  <c r="R71" s="1"/>
  <c r="P70"/>
  <c r="R70" s="1"/>
  <c r="P69"/>
  <c r="R69" s="1"/>
  <c r="P68"/>
  <c r="R68" s="1"/>
  <c r="P67"/>
  <c r="R67" s="1"/>
  <c r="D66"/>
  <c r="D76" s="1"/>
  <c r="B66"/>
  <c r="B76" s="1"/>
  <c r="P65"/>
  <c r="F61"/>
  <c r="F90" s="1"/>
  <c r="D61"/>
  <c r="D90" s="1"/>
  <c r="B61"/>
  <c r="B90" s="1"/>
  <c r="P59"/>
  <c r="R59" s="1"/>
  <c r="P58"/>
  <c r="R58" s="1"/>
  <c r="P56"/>
  <c r="R56" s="1"/>
  <c r="H53"/>
  <c r="J46"/>
  <c r="J92" s="1"/>
  <c r="F46"/>
  <c r="F92" s="1"/>
  <c r="D46"/>
  <c r="D92" s="1"/>
  <c r="B46"/>
  <c r="B92" s="1"/>
  <c r="P44"/>
  <c r="R44" s="1"/>
  <c r="H43"/>
  <c r="H46" s="1"/>
  <c r="H92" s="1"/>
  <c r="P42"/>
  <c r="R42" s="1"/>
  <c r="J34"/>
  <c r="H34"/>
  <c r="F34"/>
  <c r="D34"/>
  <c r="B34"/>
  <c r="P32"/>
  <c r="R32" s="1"/>
  <c r="P31"/>
  <c r="R31" s="1"/>
  <c r="P30"/>
  <c r="R30" s="1"/>
  <c r="P29"/>
  <c r="R29" s="1"/>
  <c r="P28"/>
  <c r="R28" s="1"/>
  <c r="J21"/>
  <c r="H21"/>
  <c r="F21"/>
  <c r="D21"/>
  <c r="D48" s="1"/>
  <c r="B21"/>
  <c r="P19"/>
  <c r="R19" s="1"/>
  <c r="P18"/>
  <c r="R18" s="1"/>
  <c r="P14"/>
  <c r="R14" s="1"/>
  <c r="P10"/>
  <c r="R10" s="1"/>
  <c r="J8"/>
  <c r="H8"/>
  <c r="K18" i="30" l="1"/>
  <c r="AK123" i="2"/>
  <c r="P24" i="32"/>
  <c r="P25"/>
  <c r="R25" s="1"/>
  <c r="B48"/>
  <c r="F48"/>
  <c r="J61"/>
  <c r="J90" s="1"/>
  <c r="J96" s="1"/>
  <c r="J77"/>
  <c r="H48"/>
  <c r="H49" s="1"/>
  <c r="H61"/>
  <c r="H90" s="1"/>
  <c r="H96" s="1"/>
  <c r="D77"/>
  <c r="D49"/>
  <c r="B96"/>
  <c r="B100" s="1"/>
  <c r="F96"/>
  <c r="F100" s="1"/>
  <c r="H77"/>
  <c r="F49"/>
  <c r="D96"/>
  <c r="D100" s="1"/>
  <c r="F77"/>
  <c r="R24"/>
  <c r="J48"/>
  <c r="D62"/>
  <c r="D79"/>
  <c r="D82" s="1"/>
  <c r="F62"/>
  <c r="R65"/>
  <c r="B79"/>
  <c r="B82" s="1"/>
  <c r="F79"/>
  <c r="F80" s="1"/>
  <c r="AL123" i="2" l="1"/>
  <c r="N16" i="32"/>
  <c r="P16" s="1"/>
  <c r="R16" s="1"/>
  <c r="H79"/>
  <c r="H62"/>
  <c r="H82"/>
  <c r="J79"/>
  <c r="D102"/>
  <c r="J62"/>
  <c r="H100"/>
  <c r="H102" s="1"/>
  <c r="F82"/>
  <c r="F102"/>
  <c r="J82"/>
  <c r="J49"/>
  <c r="D80"/>
  <c r="H80"/>
  <c r="J80" l="1"/>
  <c r="L61" i="17"/>
  <c r="K61"/>
  <c r="L58"/>
  <c r="K58"/>
  <c r="J31" i="1"/>
  <c r="E7"/>
  <c r="F49"/>
  <c r="E118" i="2"/>
  <c r="E130"/>
  <c r="F36" i="1" s="1"/>
  <c r="E111" i="2"/>
  <c r="G111" s="1"/>
  <c r="AI111" s="1"/>
  <c r="D7" i="1"/>
  <c r="C7"/>
  <c r="D81" i="28" l="1"/>
  <c r="G81"/>
  <c r="D81" i="21" l="1"/>
  <c r="G81"/>
  <c r="Y50" i="2"/>
  <c r="AI50" s="1"/>
  <c r="AH113"/>
  <c r="AK113" s="1"/>
  <c r="AG113"/>
  <c r="AI113" s="1"/>
  <c r="Z50" l="1"/>
  <c r="C60"/>
  <c r="C85"/>
  <c r="AH102" l="1"/>
  <c r="AG102"/>
  <c r="AB102"/>
  <c r="AA102"/>
  <c r="Z102"/>
  <c r="Y102"/>
  <c r="X102"/>
  <c r="W102"/>
  <c r="L102"/>
  <c r="K102"/>
  <c r="H40" i="1" l="1"/>
  <c r="C61" i="26"/>
  <c r="B61"/>
  <c r="AH88" i="2"/>
  <c r="AH104" s="1"/>
  <c r="AG88"/>
  <c r="AG104" s="1"/>
  <c r="AB88"/>
  <c r="AB104" s="1"/>
  <c r="AA88"/>
  <c r="AA104" s="1"/>
  <c r="Z88"/>
  <c r="Z104" s="1"/>
  <c r="Y88"/>
  <c r="Y104" s="1"/>
  <c r="X88"/>
  <c r="X104" s="1"/>
  <c r="W88"/>
  <c r="W104" s="1"/>
  <c r="V88"/>
  <c r="V104" s="1"/>
  <c r="U88"/>
  <c r="U104" s="1"/>
  <c r="L88"/>
  <c r="K88"/>
  <c r="L2" i="30"/>
  <c r="R2"/>
  <c r="F5"/>
  <c r="D5"/>
  <c r="U3"/>
  <c r="S3"/>
  <c r="J3"/>
  <c r="L3" s="1"/>
  <c r="I3"/>
  <c r="K3" s="1"/>
  <c r="P2"/>
  <c r="N2"/>
  <c r="E97" i="2"/>
  <c r="E10" i="30" l="1"/>
  <c r="I9"/>
  <c r="J8" l="1"/>
  <c r="I11"/>
  <c r="G10"/>
  <c r="G5" s="1"/>
  <c r="H10"/>
  <c r="J9"/>
  <c r="I10" l="1"/>
  <c r="J11"/>
  <c r="J10" s="1"/>
  <c r="H5"/>
  <c r="H61" i="2" s="1"/>
  <c r="G61"/>
  <c r="I5" i="30"/>
  <c r="I61" i="2" s="1"/>
  <c r="H88" l="1"/>
  <c r="G88"/>
  <c r="J5" i="30"/>
  <c r="J61" i="2" s="1"/>
  <c r="I88"/>
  <c r="H9" i="29"/>
  <c r="F9"/>
  <c r="E70" i="28"/>
  <c r="F70" s="1"/>
  <c r="B70"/>
  <c r="C70" s="1"/>
  <c r="A12"/>
  <c r="A51" s="1"/>
  <c r="H6"/>
  <c r="F6"/>
  <c r="G2"/>
  <c r="E2"/>
  <c r="C2"/>
  <c r="B2"/>
  <c r="L34" i="17"/>
  <c r="J88" i="2" l="1"/>
  <c r="A19" i="28"/>
  <c r="A26"/>
  <c r="A32"/>
  <c r="A39"/>
  <c r="A45"/>
  <c r="A88" i="17"/>
  <c r="B83"/>
  <c r="B87"/>
  <c r="C78"/>
  <c r="C77"/>
  <c r="C76"/>
  <c r="D76" s="1"/>
  <c r="C75"/>
  <c r="B45" i="13" s="1"/>
  <c r="B57" i="3"/>
  <c r="B55"/>
  <c r="D55" s="1"/>
  <c r="C57"/>
  <c r="C11" i="10" s="1"/>
  <c r="B4" i="3"/>
  <c r="B4" i="4" s="1"/>
  <c r="B4" i="5" s="1"/>
  <c r="B4" i="6" s="1"/>
  <c r="E4" i="3"/>
  <c r="G4"/>
  <c r="G4" i="4" s="1"/>
  <c r="G4" i="5" s="1"/>
  <c r="G4" i="6" s="1"/>
  <c r="A51" i="3"/>
  <c r="A50"/>
  <c r="A45"/>
  <c r="A44"/>
  <c r="A39"/>
  <c r="A38"/>
  <c r="A32"/>
  <c r="A31"/>
  <c r="A26"/>
  <c r="A25"/>
  <c r="A19"/>
  <c r="A18"/>
  <c r="H2"/>
  <c r="H2" i="28" s="1"/>
  <c r="F2" i="3"/>
  <c r="F2" i="28" s="1"/>
  <c r="D2" i="3"/>
  <c r="D2" i="28" s="1"/>
  <c r="C4" i="3"/>
  <c r="C4" i="4" s="1"/>
  <c r="C4" i="5" s="1"/>
  <c r="C4" i="6" s="1"/>
  <c r="D5" i="3"/>
  <c r="F5" s="1"/>
  <c r="F11" s="1"/>
  <c r="C49" i="26"/>
  <c r="B49"/>
  <c r="C37"/>
  <c r="B37"/>
  <c r="C25"/>
  <c r="B25"/>
  <c r="C14"/>
  <c r="B14"/>
  <c r="D43"/>
  <c r="B10" i="13"/>
  <c r="B12" s="1"/>
  <c r="C10"/>
  <c r="C12" s="1"/>
  <c r="B21"/>
  <c r="B23" s="1"/>
  <c r="C21"/>
  <c r="C23" s="1"/>
  <c r="B32"/>
  <c r="B34" s="1"/>
  <c r="C32"/>
  <c r="C34" s="1"/>
  <c r="E10"/>
  <c r="E12" s="1"/>
  <c r="G10"/>
  <c r="G12" s="1"/>
  <c r="E21"/>
  <c r="E22" s="1"/>
  <c r="G21"/>
  <c r="G23" s="1"/>
  <c r="E32"/>
  <c r="E34" s="1"/>
  <c r="G32"/>
  <c r="G33" s="1"/>
  <c r="B2"/>
  <c r="C2"/>
  <c r="E2"/>
  <c r="G2"/>
  <c r="A38"/>
  <c r="A37"/>
  <c r="A27"/>
  <c r="A27" i="14" s="1"/>
  <c r="A27" i="15" s="1"/>
  <c r="A26" i="13"/>
  <c r="G5"/>
  <c r="E5"/>
  <c r="E11"/>
  <c r="G34"/>
  <c r="H2"/>
  <c r="F2"/>
  <c r="D2"/>
  <c r="B22"/>
  <c r="B11"/>
  <c r="B33"/>
  <c r="B46"/>
  <c r="B6" i="26" s="1"/>
  <c r="B49" i="13"/>
  <c r="B9" i="26" s="1"/>
  <c r="B47" i="13"/>
  <c r="B7" i="26" s="1"/>
  <c r="D8" i="13"/>
  <c r="H8" s="1"/>
  <c r="F9" i="16"/>
  <c r="H9"/>
  <c r="F9" i="22"/>
  <c r="H9"/>
  <c r="C10" i="14"/>
  <c r="C11" s="1"/>
  <c r="C11" i="15" s="1"/>
  <c r="C13" i="16" s="1"/>
  <c r="B10" i="14"/>
  <c r="E55"/>
  <c r="A15"/>
  <c r="A26"/>
  <c r="A37"/>
  <c r="A38"/>
  <c r="A16"/>
  <c r="E21"/>
  <c r="E22" s="1"/>
  <c r="E22" i="15" s="1"/>
  <c r="E24" i="16" s="1"/>
  <c r="B11" i="14"/>
  <c r="E10"/>
  <c r="E12" s="1"/>
  <c r="E32"/>
  <c r="E34" s="1"/>
  <c r="E34" i="15" s="1"/>
  <c r="B55" i="14"/>
  <c r="B12"/>
  <c r="A7"/>
  <c r="A6"/>
  <c r="C2"/>
  <c r="E2"/>
  <c r="G2"/>
  <c r="B2"/>
  <c r="D2"/>
  <c r="H2"/>
  <c r="F2"/>
  <c r="B21"/>
  <c r="B23" s="1"/>
  <c r="E11"/>
  <c r="B46"/>
  <c r="C46" s="1"/>
  <c r="B49"/>
  <c r="C49" s="1"/>
  <c r="B47"/>
  <c r="C47" s="1"/>
  <c r="D8"/>
  <c r="C5" i="15"/>
  <c r="C6" i="16" s="1"/>
  <c r="C6" i="22" s="1"/>
  <c r="B2" i="15"/>
  <c r="F2"/>
  <c r="B10"/>
  <c r="B12" i="16" s="1"/>
  <c r="B5" i="15"/>
  <c r="B6" i="16" s="1"/>
  <c r="E57" i="15"/>
  <c r="A15"/>
  <c r="A7"/>
  <c r="A6"/>
  <c r="A26"/>
  <c r="A37"/>
  <c r="A38"/>
  <c r="A16"/>
  <c r="D2"/>
  <c r="H2"/>
  <c r="B11"/>
  <c r="B13" i="16" s="1"/>
  <c r="E32" i="15"/>
  <c r="E34" i="16" s="1"/>
  <c r="E34" i="29" s="1"/>
  <c r="E2" i="15"/>
  <c r="B57"/>
  <c r="G2"/>
  <c r="C2"/>
  <c r="B12"/>
  <c r="B14" i="16" s="1"/>
  <c r="E5" i="15"/>
  <c r="E6" i="16" s="1"/>
  <c r="G5" i="15"/>
  <c r="G6" i="16" s="1"/>
  <c r="E11" i="15"/>
  <c r="E13" i="16" s="1"/>
  <c r="B21" i="15"/>
  <c r="B23" i="16" s="1"/>
  <c r="D8" i="15"/>
  <c r="D10" i="16" s="1"/>
  <c r="F41" i="1"/>
  <c r="F40"/>
  <c r="F39"/>
  <c r="F32"/>
  <c r="F31"/>
  <c r="F22"/>
  <c r="F14"/>
  <c r="F21"/>
  <c r="F20"/>
  <c r="F18"/>
  <c r="F17"/>
  <c r="F16"/>
  <c r="F15"/>
  <c r="F12"/>
  <c r="F13"/>
  <c r="E31"/>
  <c r="D38"/>
  <c r="D48"/>
  <c r="C31"/>
  <c r="D31" s="1"/>
  <c r="C25"/>
  <c r="C32"/>
  <c r="D32"/>
  <c r="E32"/>
  <c r="J32"/>
  <c r="H32"/>
  <c r="D44"/>
  <c r="C44"/>
  <c r="E14"/>
  <c r="D14"/>
  <c r="C14"/>
  <c r="E46"/>
  <c r="E48"/>
  <c r="E37"/>
  <c r="E12"/>
  <c r="E15"/>
  <c r="E16"/>
  <c r="E17"/>
  <c r="F24"/>
  <c r="E18"/>
  <c r="E20"/>
  <c r="E21"/>
  <c r="E22"/>
  <c r="E13"/>
  <c r="C49"/>
  <c r="C39"/>
  <c r="C40"/>
  <c r="C41"/>
  <c r="C42"/>
  <c r="C45"/>
  <c r="C46"/>
  <c r="C47"/>
  <c r="C48"/>
  <c r="C37"/>
  <c r="C36"/>
  <c r="C30"/>
  <c r="C29"/>
  <c r="C22"/>
  <c r="C21"/>
  <c r="C20"/>
  <c r="C19"/>
  <c r="C18"/>
  <c r="C15"/>
  <c r="C16"/>
  <c r="C17"/>
  <c r="C12"/>
  <c r="C13"/>
  <c r="D17"/>
  <c r="D49"/>
  <c r="D15"/>
  <c r="D18"/>
  <c r="D20"/>
  <c r="D21"/>
  <c r="D22"/>
  <c r="B30"/>
  <c r="B29"/>
  <c r="D39"/>
  <c r="D40"/>
  <c r="D41"/>
  <c r="D42"/>
  <c r="D45"/>
  <c r="D46"/>
  <c r="D19"/>
  <c r="D47"/>
  <c r="D36"/>
  <c r="D16"/>
  <c r="D12"/>
  <c r="D37"/>
  <c r="D25"/>
  <c r="F5"/>
  <c r="F7" s="1"/>
  <c r="H25"/>
  <c r="J25"/>
  <c r="J45"/>
  <c r="H45"/>
  <c r="J44"/>
  <c r="H44"/>
  <c r="J47"/>
  <c r="H46"/>
  <c r="H49"/>
  <c r="J49"/>
  <c r="I5" i="17"/>
  <c r="I11"/>
  <c r="I6"/>
  <c r="C31"/>
  <c r="B47" i="3" s="1"/>
  <c r="C30" i="17"/>
  <c r="J10" s="1"/>
  <c r="K10" s="1"/>
  <c r="C29"/>
  <c r="B35" i="3" s="1"/>
  <c r="C28" i="17"/>
  <c r="J8" s="1"/>
  <c r="K8" s="1"/>
  <c r="C27"/>
  <c r="B22" i="3" s="1"/>
  <c r="C26" i="17"/>
  <c r="J6" s="1"/>
  <c r="K6" s="1"/>
  <c r="C25"/>
  <c r="B8" i="3" s="1"/>
  <c r="J9" i="17"/>
  <c r="J5"/>
  <c r="D74"/>
  <c r="B46" i="15" s="1"/>
  <c r="C38" i="17"/>
  <c r="J36"/>
  <c r="K35"/>
  <c r="L35" s="1"/>
  <c r="K32"/>
  <c r="C74"/>
  <c r="B44" i="13" s="1"/>
  <c r="E74" i="17"/>
  <c r="C46" i="15" s="1"/>
  <c r="C49" i="16" s="1"/>
  <c r="E65" i="17"/>
  <c r="D60"/>
  <c r="C60"/>
  <c r="D43"/>
  <c r="C43"/>
  <c r="A42"/>
  <c r="B43" s="1"/>
  <c r="D38"/>
  <c r="K9"/>
  <c r="B38" i="3" s="1"/>
  <c r="K5" i="17"/>
  <c r="E5" i="10" s="1"/>
  <c r="F6" s="1"/>
  <c r="G7" s="1"/>
  <c r="K12" i="17"/>
  <c r="B6" i="13" s="1"/>
  <c r="B7" s="1"/>
  <c r="D77" i="17"/>
  <c r="B49" i="15" s="1"/>
  <c r="B48"/>
  <c r="D78" i="17"/>
  <c r="B51" i="15" s="1"/>
  <c r="D75" i="17"/>
  <c r="B47" i="15" s="1"/>
  <c r="E77" i="17"/>
  <c r="C49" i="15" s="1"/>
  <c r="E76" i="17"/>
  <c r="C48" i="15" s="1"/>
  <c r="E78" i="17"/>
  <c r="C51" i="15" s="1"/>
  <c r="D5" i="17"/>
  <c r="D87"/>
  <c r="C87"/>
  <c r="A87"/>
  <c r="A82"/>
  <c r="C15"/>
  <c r="C5"/>
  <c r="C48"/>
  <c r="D48"/>
  <c r="C53"/>
  <c r="D53"/>
  <c r="E73"/>
  <c r="D73"/>
  <c r="B41"/>
  <c r="B46" s="1"/>
  <c r="B56" s="1"/>
  <c r="K43"/>
  <c r="L43"/>
  <c r="K49"/>
  <c r="L49"/>
  <c r="I52"/>
  <c r="K52"/>
  <c r="L52"/>
  <c r="K55"/>
  <c r="L55"/>
  <c r="A76"/>
  <c r="A77"/>
  <c r="A79"/>
  <c r="A78"/>
  <c r="A75"/>
  <c r="A74"/>
  <c r="D56"/>
  <c r="C56"/>
  <c r="A56"/>
  <c r="B15"/>
  <c r="I40"/>
  <c r="L40"/>
  <c r="K40"/>
  <c r="D51"/>
  <c r="C51"/>
  <c r="A51"/>
  <c r="D46"/>
  <c r="C46"/>
  <c r="A46"/>
  <c r="D41"/>
  <c r="C41"/>
  <c r="A41"/>
  <c r="D36"/>
  <c r="C36"/>
  <c r="B36"/>
  <c r="A36"/>
  <c r="D18"/>
  <c r="C18"/>
  <c r="B18"/>
  <c r="A18"/>
  <c r="D13"/>
  <c r="C13"/>
  <c r="B13"/>
  <c r="A13"/>
  <c r="D8"/>
  <c r="C8"/>
  <c r="B8"/>
  <c r="A8"/>
  <c r="J23"/>
  <c r="B5"/>
  <c r="K37"/>
  <c r="J37"/>
  <c r="I37"/>
  <c r="C32"/>
  <c r="D32" s="1"/>
  <c r="D31"/>
  <c r="D30"/>
  <c r="D29"/>
  <c r="D28"/>
  <c r="D27"/>
  <c r="D26"/>
  <c r="D25"/>
  <c r="D20"/>
  <c r="C20"/>
  <c r="B20"/>
  <c r="D15"/>
  <c r="D10"/>
  <c r="C10"/>
  <c r="B10"/>
  <c r="J22"/>
  <c r="J24" s="1"/>
  <c r="B52"/>
  <c r="E75" i="2" s="1"/>
  <c r="C75"/>
  <c r="A52" i="17" s="1"/>
  <c r="C122" i="2"/>
  <c r="D30" i="1" s="1"/>
  <c r="C121" i="2"/>
  <c r="A37" i="17" s="1"/>
  <c r="B38" s="1"/>
  <c r="C65" i="2"/>
  <c r="C78"/>
  <c r="C106"/>
  <c r="C76"/>
  <c r="L40" i="32" s="1"/>
  <c r="C101" i="2"/>
  <c r="D13" i="1" s="1"/>
  <c r="E78" i="2"/>
  <c r="E66"/>
  <c r="E60"/>
  <c r="E41"/>
  <c r="E72"/>
  <c r="E45"/>
  <c r="E19"/>
  <c r="E6"/>
  <c r="C6"/>
  <c r="D54" i="3" s="1"/>
  <c r="E5" i="2"/>
  <c r="G46"/>
  <c r="AI46" s="1"/>
  <c r="C45"/>
  <c r="G45" s="1"/>
  <c r="AI45" s="1"/>
  <c r="G91"/>
  <c r="AI91" s="1"/>
  <c r="H105"/>
  <c r="AK105" s="1"/>
  <c r="G105"/>
  <c r="AI105" s="1"/>
  <c r="C64"/>
  <c r="D64" s="1"/>
  <c r="H64"/>
  <c r="AK64" s="1"/>
  <c r="V64"/>
  <c r="U64"/>
  <c r="AI64" s="1"/>
  <c r="F64"/>
  <c r="G63"/>
  <c r="V63"/>
  <c r="U63"/>
  <c r="F63"/>
  <c r="D63"/>
  <c r="C74"/>
  <c r="C72"/>
  <c r="C66"/>
  <c r="Z53"/>
  <c r="AK53" s="1"/>
  <c r="Y53"/>
  <c r="F53"/>
  <c r="D53"/>
  <c r="Z54"/>
  <c r="AK54" s="1"/>
  <c r="Y54"/>
  <c r="AI54" s="1"/>
  <c r="F54"/>
  <c r="D54"/>
  <c r="C41"/>
  <c r="F45"/>
  <c r="D45"/>
  <c r="C5"/>
  <c r="C69" i="17" s="1"/>
  <c r="C97" i="2"/>
  <c r="D97" s="1"/>
  <c r="G97"/>
  <c r="H97"/>
  <c r="J97"/>
  <c r="I97"/>
  <c r="F19" i="1"/>
  <c r="AB3" i="2"/>
  <c r="AH3"/>
  <c r="AA4"/>
  <c r="AB4"/>
  <c r="AG4"/>
  <c r="AH4"/>
  <c r="AA15"/>
  <c r="AB15"/>
  <c r="AG15"/>
  <c r="AH15"/>
  <c r="AA16"/>
  <c r="AB16"/>
  <c r="AB21" s="1"/>
  <c r="AG16"/>
  <c r="AG21" s="1"/>
  <c r="AH16"/>
  <c r="AH21" s="1"/>
  <c r="AA21"/>
  <c r="AA58" s="1"/>
  <c r="AA47"/>
  <c r="AB47"/>
  <c r="AG47"/>
  <c r="AH47"/>
  <c r="AA57"/>
  <c r="AB57"/>
  <c r="AA67"/>
  <c r="AB67"/>
  <c r="AG67"/>
  <c r="AH67"/>
  <c r="H44"/>
  <c r="AK44" s="1"/>
  <c r="F44"/>
  <c r="D44"/>
  <c r="H76"/>
  <c r="AJ76"/>
  <c r="H135"/>
  <c r="AK135" s="1"/>
  <c r="J40" i="1"/>
  <c r="E122" i="2"/>
  <c r="F30" i="1" s="1"/>
  <c r="E136" i="2"/>
  <c r="E121"/>
  <c r="G108"/>
  <c r="H106"/>
  <c r="AK106" s="1"/>
  <c r="I114"/>
  <c r="J114"/>
  <c r="G143"/>
  <c r="AI143" s="1"/>
  <c r="G131"/>
  <c r="AI131" s="1"/>
  <c r="G140"/>
  <c r="AI140" s="1"/>
  <c r="H121"/>
  <c r="AK121" s="1"/>
  <c r="H122"/>
  <c r="AK122" s="1"/>
  <c r="H136"/>
  <c r="AK136" s="1"/>
  <c r="G122"/>
  <c r="AI122" s="1"/>
  <c r="G121"/>
  <c r="AI121" s="1"/>
  <c r="G136"/>
  <c r="AI136" s="1"/>
  <c r="G109"/>
  <c r="G112"/>
  <c r="AI112" s="1"/>
  <c r="G115"/>
  <c r="AI115" s="1"/>
  <c r="B15"/>
  <c r="B16" s="1"/>
  <c r="B21" s="1"/>
  <c r="B47"/>
  <c r="B57"/>
  <c r="B67"/>
  <c r="AJ46"/>
  <c r="G104"/>
  <c r="G90"/>
  <c r="AI90" s="1"/>
  <c r="C15"/>
  <c r="C16" s="1"/>
  <c r="C21" s="1"/>
  <c r="C47"/>
  <c r="C57"/>
  <c r="C67"/>
  <c r="E144"/>
  <c r="E132"/>
  <c r="F38" i="1" s="1"/>
  <c r="H132" i="2"/>
  <c r="AK132" s="1"/>
  <c r="G92"/>
  <c r="AI92" s="1"/>
  <c r="G93"/>
  <c r="AI93" s="1"/>
  <c r="G94"/>
  <c r="AI94" s="1"/>
  <c r="G18"/>
  <c r="H18" s="1"/>
  <c r="AK18" s="1"/>
  <c r="G24"/>
  <c r="H24" s="1"/>
  <c r="G25"/>
  <c r="H25" s="1"/>
  <c r="G26"/>
  <c r="H26" s="1"/>
  <c r="G27"/>
  <c r="H27" s="1"/>
  <c r="G28"/>
  <c r="H28" s="1"/>
  <c r="G29"/>
  <c r="H29" s="1"/>
  <c r="G30"/>
  <c r="H30" s="1"/>
  <c r="G31"/>
  <c r="H31" s="1"/>
  <c r="G32"/>
  <c r="H32" s="1"/>
  <c r="G33"/>
  <c r="H33" s="1"/>
  <c r="G34"/>
  <c r="H34" s="1"/>
  <c r="G35"/>
  <c r="H35" s="1"/>
  <c r="G36"/>
  <c r="H36" s="1"/>
  <c r="G37"/>
  <c r="H37" s="1"/>
  <c r="G38"/>
  <c r="H38" s="1"/>
  <c r="G39"/>
  <c r="H39" s="1"/>
  <c r="G40"/>
  <c r="H40" s="1"/>
  <c r="G41"/>
  <c r="H41" s="1"/>
  <c r="G42"/>
  <c r="H43"/>
  <c r="AK43" s="1"/>
  <c r="H50"/>
  <c r="H56"/>
  <c r="G60"/>
  <c r="G62"/>
  <c r="H62" s="1"/>
  <c r="H65"/>
  <c r="AK65" s="1"/>
  <c r="H66"/>
  <c r="AK66" s="1"/>
  <c r="G69"/>
  <c r="AI69" s="1"/>
  <c r="H75"/>
  <c r="AK75" s="1"/>
  <c r="H78"/>
  <c r="AK78" s="1"/>
  <c r="G73"/>
  <c r="G74"/>
  <c r="G77"/>
  <c r="G79"/>
  <c r="AI79" s="1"/>
  <c r="H80"/>
  <c r="AK80" s="1"/>
  <c r="H81"/>
  <c r="AK81" s="1"/>
  <c r="G82"/>
  <c r="AI82" s="1"/>
  <c r="G84"/>
  <c r="AI84" s="1"/>
  <c r="G85"/>
  <c r="G103"/>
  <c r="N17" i="32"/>
  <c r="G142" i="2"/>
  <c r="AI142" s="1"/>
  <c r="L15"/>
  <c r="L16" s="1"/>
  <c r="L21" s="1"/>
  <c r="L57"/>
  <c r="L67"/>
  <c r="J83"/>
  <c r="AK83" s="1"/>
  <c r="N47"/>
  <c r="N57"/>
  <c r="P47"/>
  <c r="P57"/>
  <c r="R47"/>
  <c r="R57"/>
  <c r="T47"/>
  <c r="T57"/>
  <c r="V15"/>
  <c r="V16" s="1"/>
  <c r="V21" s="1"/>
  <c r="V47"/>
  <c r="V57"/>
  <c r="X15"/>
  <c r="X16" s="1"/>
  <c r="X21" s="1"/>
  <c r="X47"/>
  <c r="X57"/>
  <c r="X67"/>
  <c r="Z15"/>
  <c r="Z16" s="1"/>
  <c r="Z21" s="1"/>
  <c r="Z47"/>
  <c r="Z49"/>
  <c r="Z51"/>
  <c r="Z52"/>
  <c r="Z55"/>
  <c r="Z56"/>
  <c r="Z67"/>
  <c r="G57"/>
  <c r="G67"/>
  <c r="G75"/>
  <c r="AI75" s="1"/>
  <c r="G72"/>
  <c r="AI72" s="1"/>
  <c r="K15"/>
  <c r="K16" s="1"/>
  <c r="K21" s="1"/>
  <c r="K57"/>
  <c r="K67"/>
  <c r="I83"/>
  <c r="AI83" s="1"/>
  <c r="M47"/>
  <c r="M57"/>
  <c r="O47"/>
  <c r="O57"/>
  <c r="Q47"/>
  <c r="Q57"/>
  <c r="S47"/>
  <c r="S57"/>
  <c r="U15"/>
  <c r="U16" s="1"/>
  <c r="U21" s="1"/>
  <c r="U47"/>
  <c r="U57"/>
  <c r="W15"/>
  <c r="W16" s="1"/>
  <c r="W21" s="1"/>
  <c r="W47"/>
  <c r="W57"/>
  <c r="W67"/>
  <c r="Y15"/>
  <c r="Y16" s="1"/>
  <c r="Y21" s="1"/>
  <c r="Y47"/>
  <c r="Y49"/>
  <c r="Y51"/>
  <c r="Y52"/>
  <c r="Y55"/>
  <c r="Y56"/>
  <c r="AI56" s="1"/>
  <c r="Y67"/>
  <c r="AI18"/>
  <c r="AJ18" s="1"/>
  <c r="E15"/>
  <c r="E16" s="1"/>
  <c r="E21" s="1"/>
  <c r="E47"/>
  <c r="E57"/>
  <c r="E67"/>
  <c r="F43"/>
  <c r="D43"/>
  <c r="AJ132"/>
  <c r="D132"/>
  <c r="F132"/>
  <c r="F124"/>
  <c r="D124"/>
  <c r="AJ138"/>
  <c r="F138"/>
  <c r="D138"/>
  <c r="H41" i="1"/>
  <c r="H39"/>
  <c r="AJ78" i="2"/>
  <c r="P3"/>
  <c r="AJ90"/>
  <c r="AL19"/>
  <c r="AJ50"/>
  <c r="AJ65"/>
  <c r="AJ69"/>
  <c r="AJ79"/>
  <c r="AL66"/>
  <c r="AJ142"/>
  <c r="AL139"/>
  <c r="AJ139"/>
  <c r="AL125"/>
  <c r="AJ125"/>
  <c r="AL118"/>
  <c r="AJ118"/>
  <c r="AL113"/>
  <c r="AJ113"/>
  <c r="AJ106"/>
  <c r="AL81"/>
  <c r="AJ81"/>
  <c r="AL80"/>
  <c r="AJ80"/>
  <c r="AJ66"/>
  <c r="AJ19"/>
  <c r="D116"/>
  <c r="F116"/>
  <c r="X97"/>
  <c r="W97"/>
  <c r="X4"/>
  <c r="W4"/>
  <c r="X3"/>
  <c r="V3"/>
  <c r="Z3"/>
  <c r="Z97"/>
  <c r="Y97"/>
  <c r="Z4"/>
  <c r="Y4"/>
  <c r="F18"/>
  <c r="D18"/>
  <c r="T4"/>
  <c r="S4"/>
  <c r="T3"/>
  <c r="L3"/>
  <c r="R97"/>
  <c r="Q97"/>
  <c r="R4"/>
  <c r="Q4"/>
  <c r="R3"/>
  <c r="L97"/>
  <c r="K97"/>
  <c r="F84"/>
  <c r="D84"/>
  <c r="F142"/>
  <c r="D142"/>
  <c r="F81"/>
  <c r="D81"/>
  <c r="F94"/>
  <c r="D94"/>
  <c r="D67"/>
  <c r="F56"/>
  <c r="D56"/>
  <c r="F50"/>
  <c r="D50"/>
  <c r="F46"/>
  <c r="D46"/>
  <c r="F42"/>
  <c r="F30"/>
  <c r="F31"/>
  <c r="D42"/>
  <c r="D30"/>
  <c r="F91"/>
  <c r="D91"/>
  <c r="V97"/>
  <c r="U97"/>
  <c r="V4"/>
  <c r="U4"/>
  <c r="F105"/>
  <c r="D105"/>
  <c r="C146"/>
  <c r="B146"/>
  <c r="F57"/>
  <c r="F144"/>
  <c r="F143"/>
  <c r="F141"/>
  <c r="F140"/>
  <c r="F139"/>
  <c r="F136"/>
  <c r="F135"/>
  <c r="F134"/>
  <c r="F133"/>
  <c r="F131"/>
  <c r="F130"/>
  <c r="F125"/>
  <c r="F118"/>
  <c r="F117"/>
  <c r="F115"/>
  <c r="F114"/>
  <c r="F113"/>
  <c r="F112"/>
  <c r="F111"/>
  <c r="F109"/>
  <c r="F108"/>
  <c r="F106"/>
  <c r="F104"/>
  <c r="F103"/>
  <c r="F102"/>
  <c r="F101"/>
  <c r="F93"/>
  <c r="F92"/>
  <c r="F90"/>
  <c r="F89"/>
  <c r="F88"/>
  <c r="F85"/>
  <c r="F83"/>
  <c r="F82"/>
  <c r="F80"/>
  <c r="F79"/>
  <c r="F78"/>
  <c r="F77"/>
  <c r="F76"/>
  <c r="F74"/>
  <c r="F73"/>
  <c r="F72"/>
  <c r="F69"/>
  <c r="F65"/>
  <c r="F62"/>
  <c r="F61"/>
  <c r="F60"/>
  <c r="F55"/>
  <c r="F52"/>
  <c r="F51"/>
  <c r="F49"/>
  <c r="F41"/>
  <c r="F40"/>
  <c r="F39"/>
  <c r="F38"/>
  <c r="F37"/>
  <c r="F36"/>
  <c r="F35"/>
  <c r="F34"/>
  <c r="F33"/>
  <c r="F32"/>
  <c r="F29"/>
  <c r="F28"/>
  <c r="F27"/>
  <c r="F26"/>
  <c r="F25"/>
  <c r="F24"/>
  <c r="C22"/>
  <c r="E22"/>
  <c r="F19"/>
  <c r="F7"/>
  <c r="F9"/>
  <c r="F10"/>
  <c r="F11"/>
  <c r="F12"/>
  <c r="F13"/>
  <c r="F14"/>
  <c r="F6"/>
  <c r="F15"/>
  <c r="F5"/>
  <c r="D57"/>
  <c r="D144"/>
  <c r="D143"/>
  <c r="D141"/>
  <c r="D140"/>
  <c r="D139"/>
  <c r="D136"/>
  <c r="D135"/>
  <c r="D134"/>
  <c r="D133"/>
  <c r="D131"/>
  <c r="D130"/>
  <c r="D125"/>
  <c r="D122"/>
  <c r="D121"/>
  <c r="D118"/>
  <c r="D117"/>
  <c r="D115"/>
  <c r="D114"/>
  <c r="D113"/>
  <c r="D112"/>
  <c r="D111"/>
  <c r="D109"/>
  <c r="D108"/>
  <c r="D106"/>
  <c r="D104"/>
  <c r="D103"/>
  <c r="D102"/>
  <c r="D101"/>
  <c r="D93"/>
  <c r="D92"/>
  <c r="D90"/>
  <c r="D89"/>
  <c r="D88"/>
  <c r="D85"/>
  <c r="D83"/>
  <c r="D82"/>
  <c r="D80"/>
  <c r="D79"/>
  <c r="D78"/>
  <c r="D77"/>
  <c r="D76"/>
  <c r="D75"/>
  <c r="D74"/>
  <c r="D73"/>
  <c r="D72"/>
  <c r="D69"/>
  <c r="D66"/>
  <c r="D65"/>
  <c r="D62"/>
  <c r="D61"/>
  <c r="D60"/>
  <c r="D55"/>
  <c r="D52"/>
  <c r="D51"/>
  <c r="D49"/>
  <c r="D41"/>
  <c r="D40"/>
  <c r="D39"/>
  <c r="D38"/>
  <c r="D37"/>
  <c r="D36"/>
  <c r="D35"/>
  <c r="D34"/>
  <c r="D33"/>
  <c r="D32"/>
  <c r="D31"/>
  <c r="D29"/>
  <c r="D28"/>
  <c r="D27"/>
  <c r="D26"/>
  <c r="D25"/>
  <c r="D24"/>
  <c r="D19"/>
  <c r="D7"/>
  <c r="D9"/>
  <c r="D10"/>
  <c r="D11"/>
  <c r="D12"/>
  <c r="D13"/>
  <c r="D14"/>
  <c r="D6"/>
  <c r="D5"/>
  <c r="P97"/>
  <c r="O97"/>
  <c r="P4"/>
  <c r="O4"/>
  <c r="N97"/>
  <c r="M97"/>
  <c r="N4"/>
  <c r="M4"/>
  <c r="J4"/>
  <c r="I4"/>
  <c r="L4"/>
  <c r="K4"/>
  <c r="AL4"/>
  <c r="AJ4"/>
  <c r="AK4"/>
  <c r="AI4"/>
  <c r="AJ84"/>
  <c r="AJ94"/>
  <c r="AJ92"/>
  <c r="AL144"/>
  <c r="AJ144"/>
  <c r="AJ83"/>
  <c r="AL83"/>
  <c r="AJ93"/>
  <c r="F67"/>
  <c r="F66"/>
  <c r="AJ141"/>
  <c r="AL141"/>
  <c r="AJ140"/>
  <c r="D146"/>
  <c r="AL78"/>
  <c r="AL65"/>
  <c r="F22"/>
  <c r="AL138"/>
  <c r="AJ82"/>
  <c r="D15"/>
  <c r="B22"/>
  <c r="D22" s="1"/>
  <c r="AL132"/>
  <c r="AJ91"/>
  <c r="H111"/>
  <c r="AK111" s="1"/>
  <c r="Y57"/>
  <c r="H72"/>
  <c r="AK72" s="1"/>
  <c r="G117"/>
  <c r="AI117" s="1"/>
  <c r="AJ72"/>
  <c r="D47"/>
  <c r="F47"/>
  <c r="AL44"/>
  <c r="H46"/>
  <c r="AK46" s="1"/>
  <c r="H143"/>
  <c r="AK143" s="1"/>
  <c r="AJ44"/>
  <c r="I103"/>
  <c r="H104"/>
  <c r="I67"/>
  <c r="J67"/>
  <c r="F6" i="6"/>
  <c r="H6"/>
  <c r="E69"/>
  <c r="F69" s="1"/>
  <c r="B69"/>
  <c r="C69" s="1"/>
  <c r="H2"/>
  <c r="G2"/>
  <c r="F2"/>
  <c r="E2"/>
  <c r="D2"/>
  <c r="C2"/>
  <c r="B2"/>
  <c r="F6" i="21"/>
  <c r="H6"/>
  <c r="B2"/>
  <c r="C2"/>
  <c r="E2"/>
  <c r="G2"/>
  <c r="A12"/>
  <c r="A19" s="1"/>
  <c r="B70"/>
  <c r="C70" s="1"/>
  <c r="E70"/>
  <c r="F70" s="1"/>
  <c r="H2"/>
  <c r="F2"/>
  <c r="D2"/>
  <c r="A39"/>
  <c r="A26"/>
  <c r="A32"/>
  <c r="R15" i="19"/>
  <c r="R17"/>
  <c r="S16"/>
  <c r="S37"/>
  <c r="S17"/>
  <c r="Q15"/>
  <c r="B16"/>
  <c r="C16"/>
  <c r="C19" s="1"/>
  <c r="D16"/>
  <c r="E16"/>
  <c r="F16"/>
  <c r="G16"/>
  <c r="H16"/>
  <c r="I16"/>
  <c r="J16"/>
  <c r="K16"/>
  <c r="L16"/>
  <c r="M16"/>
  <c r="N15"/>
  <c r="N16" s="1"/>
  <c r="O15"/>
  <c r="O16" s="1"/>
  <c r="P15"/>
  <c r="P16" s="1"/>
  <c r="Q16"/>
  <c r="R16"/>
  <c r="Q17"/>
  <c r="M17"/>
  <c r="L17"/>
  <c r="K17"/>
  <c r="J17"/>
  <c r="I17"/>
  <c r="H17"/>
  <c r="G17"/>
  <c r="F17"/>
  <c r="E17"/>
  <c r="D17"/>
  <c r="C17"/>
  <c r="B17"/>
  <c r="I25"/>
  <c r="E21"/>
  <c r="D20"/>
  <c r="F22"/>
  <c r="H24"/>
  <c r="J26"/>
  <c r="L28"/>
  <c r="M29"/>
  <c r="O17"/>
  <c r="G23"/>
  <c r="K27"/>
  <c r="P17"/>
  <c r="H23" i="27"/>
  <c r="E23"/>
  <c r="I23"/>
  <c r="H22"/>
  <c r="H21"/>
  <c r="H25" s="1"/>
  <c r="H20"/>
  <c r="E22"/>
  <c r="I22" s="1"/>
  <c r="E21"/>
  <c r="I21" s="1"/>
  <c r="E20"/>
  <c r="I20" s="1"/>
  <c r="D25"/>
  <c r="E25"/>
  <c r="F25"/>
  <c r="G25"/>
  <c r="C25"/>
  <c r="D4"/>
  <c r="C4"/>
  <c r="D6"/>
  <c r="C8"/>
  <c r="D8"/>
  <c r="U4" i="7"/>
  <c r="U5"/>
  <c r="U6"/>
  <c r="U8"/>
  <c r="O4"/>
  <c r="O5"/>
  <c r="O6"/>
  <c r="O7"/>
  <c r="O8"/>
  <c r="T23"/>
  <c r="O23"/>
  <c r="S4"/>
  <c r="S5"/>
  <c r="S6"/>
  <c r="S7"/>
  <c r="S8"/>
  <c r="Q23"/>
  <c r="V40"/>
  <c r="S40"/>
  <c r="V25"/>
  <c r="S25"/>
  <c r="A5"/>
  <c r="A6"/>
  <c r="A7"/>
  <c r="A8"/>
  <c r="A4"/>
  <c r="U53"/>
  <c r="R53"/>
  <c r="T36"/>
  <c r="Q36"/>
  <c r="O36"/>
  <c r="U40"/>
  <c r="T40"/>
  <c r="R40"/>
  <c r="Q40"/>
  <c r="P40"/>
  <c r="O40"/>
  <c r="U25"/>
  <c r="T25"/>
  <c r="R25"/>
  <c r="Q25"/>
  <c r="P25"/>
  <c r="O25"/>
  <c r="Q8"/>
  <c r="R8" s="1"/>
  <c r="Q7"/>
  <c r="Q6"/>
  <c r="Q5"/>
  <c r="Q4"/>
  <c r="R7"/>
  <c r="T4" i="9"/>
  <c r="O8"/>
  <c r="Q16" s="1"/>
  <c r="O4"/>
  <c r="O9"/>
  <c r="O10"/>
  <c r="P10" s="1"/>
  <c r="S10" s="1"/>
  <c r="O11"/>
  <c r="Q19" s="1"/>
  <c r="Q4"/>
  <c r="A11"/>
  <c r="A10"/>
  <c r="A9"/>
  <c r="A8"/>
  <c r="T14"/>
  <c r="R14"/>
  <c r="Q14"/>
  <c r="O2" i="8"/>
  <c r="O21" s="1"/>
  <c r="O36" s="1"/>
  <c r="O13"/>
  <c r="O13" i="7" s="1"/>
  <c r="U4" i="8"/>
  <c r="U5"/>
  <c r="U6"/>
  <c r="U8"/>
  <c r="O27"/>
  <c r="O27" i="7" s="1"/>
  <c r="T23" i="8"/>
  <c r="O28"/>
  <c r="O28" i="7" s="1"/>
  <c r="P28" s="1"/>
  <c r="O29" i="8"/>
  <c r="O29" i="7" s="1"/>
  <c r="O17" i="8"/>
  <c r="O17" i="7" s="1"/>
  <c r="O42" i="8"/>
  <c r="O42" i="7" s="1"/>
  <c r="O43" i="8"/>
  <c r="O43" i="7" s="1"/>
  <c r="O44" i="8"/>
  <c r="O44" i="7" s="1"/>
  <c r="O45" i="8"/>
  <c r="O45" i="7" s="1"/>
  <c r="O46" i="8"/>
  <c r="O46" i="7" s="1"/>
  <c r="O47" i="8"/>
  <c r="O47" i="7" s="1"/>
  <c r="O48" i="8"/>
  <c r="O48" i="7" s="1"/>
  <c r="O15" i="8"/>
  <c r="O15" i="7" s="1"/>
  <c r="O16" i="8"/>
  <c r="O16" i="7" s="1"/>
  <c r="O30" i="8"/>
  <c r="O30" i="7" s="1"/>
  <c r="P30" s="1"/>
  <c r="O31" i="8"/>
  <c r="O31" i="7" s="1"/>
  <c r="O32" i="8"/>
  <c r="O32" i="7" s="1"/>
  <c r="P32" s="1"/>
  <c r="S4" i="8"/>
  <c r="S5"/>
  <c r="S6"/>
  <c r="S7"/>
  <c r="S8"/>
  <c r="Q23"/>
  <c r="O25"/>
  <c r="O6" i="9" s="1"/>
  <c r="P25" i="8"/>
  <c r="P6" i="9" s="1"/>
  <c r="Q25" i="8"/>
  <c r="R25"/>
  <c r="R6" i="9" s="1"/>
  <c r="S25" i="8"/>
  <c r="S6" i="9" s="1"/>
  <c r="T25" i="8"/>
  <c r="V25"/>
  <c r="U6" i="9" s="1"/>
  <c r="U40" i="8"/>
  <c r="U25"/>
  <c r="O23"/>
  <c r="Q4"/>
  <c r="Q5"/>
  <c r="Q6"/>
  <c r="Q7"/>
  <c r="R7" s="1"/>
  <c r="Q8"/>
  <c r="O4"/>
  <c r="O5"/>
  <c r="O6"/>
  <c r="O7"/>
  <c r="O8"/>
  <c r="A8"/>
  <c r="A7"/>
  <c r="A6"/>
  <c r="A5"/>
  <c r="A4"/>
  <c r="V40"/>
  <c r="T40"/>
  <c r="S40"/>
  <c r="R40"/>
  <c r="Q40"/>
  <c r="P40"/>
  <c r="O40"/>
  <c r="T36"/>
  <c r="Q36"/>
  <c r="P2"/>
  <c r="Q2"/>
  <c r="R2"/>
  <c r="S2"/>
  <c r="T2"/>
  <c r="U2"/>
  <c r="T8"/>
  <c r="P62"/>
  <c r="O14"/>
  <c r="O14" i="7" s="1"/>
  <c r="C67" i="4"/>
  <c r="C55" i="14" s="1"/>
  <c r="C57" i="15" s="1"/>
  <c r="F67" i="4"/>
  <c r="F55" i="14" s="1"/>
  <c r="F57" i="15" s="1"/>
  <c r="E4" i="4"/>
  <c r="E4" i="5" s="1"/>
  <c r="E4" i="6" s="1"/>
  <c r="C57" i="4"/>
  <c r="B57"/>
  <c r="A55"/>
  <c r="A58" i="28" s="1"/>
  <c r="A12" i="4"/>
  <c r="A13" i="28" s="1"/>
  <c r="A11" i="4"/>
  <c r="A50" s="1"/>
  <c r="H2"/>
  <c r="C2"/>
  <c r="D2"/>
  <c r="E2"/>
  <c r="F2"/>
  <c r="G2"/>
  <c r="B2"/>
  <c r="B55"/>
  <c r="A25"/>
  <c r="D5"/>
  <c r="F5" s="1"/>
  <c r="H5" s="1"/>
  <c r="D5" i="5" s="1"/>
  <c r="F5" s="1"/>
  <c r="H5" s="1"/>
  <c r="D5" i="6" s="1"/>
  <c r="F5" s="1"/>
  <c r="H5" s="1"/>
  <c r="C60" i="5"/>
  <c r="C59" i="6" s="1"/>
  <c r="B60" i="5"/>
  <c r="B59" i="6" s="1"/>
  <c r="A12" i="5"/>
  <c r="A11" i="6" s="1"/>
  <c r="E70" i="5"/>
  <c r="F70" s="1"/>
  <c r="B70"/>
  <c r="C70" s="1"/>
  <c r="H2"/>
  <c r="G2"/>
  <c r="F2"/>
  <c r="E2"/>
  <c r="D2"/>
  <c r="C2"/>
  <c r="B2"/>
  <c r="A26"/>
  <c r="I25" i="27" l="1"/>
  <c r="R34" i="19"/>
  <c r="O31"/>
  <c r="P32"/>
  <c r="N30"/>
  <c r="Q33"/>
  <c r="S35"/>
  <c r="AG58" i="2"/>
  <c r="N17" i="19"/>
  <c r="E26" i="1"/>
  <c r="F26"/>
  <c r="AI74" i="2"/>
  <c r="AJ74" s="1"/>
  <c r="AI60"/>
  <c r="AJ60" s="1"/>
  <c r="AK50"/>
  <c r="AL50" s="1"/>
  <c r="H42"/>
  <c r="AK42" s="1"/>
  <c r="AI42"/>
  <c r="AK76"/>
  <c r="N40" i="32" s="1"/>
  <c r="P40" s="1"/>
  <c r="R40" s="1"/>
  <c r="H115" i="2"/>
  <c r="AK115" s="1"/>
  <c r="H112"/>
  <c r="AK112" s="1"/>
  <c r="AI63"/>
  <c r="AI85"/>
  <c r="AJ85" s="1"/>
  <c r="AI77"/>
  <c r="AJ77" s="1"/>
  <c r="AI73"/>
  <c r="AJ73" s="1"/>
  <c r="H108"/>
  <c r="AK108" s="1"/>
  <c r="AI108"/>
  <c r="AK56"/>
  <c r="AH58"/>
  <c r="F75"/>
  <c r="G89"/>
  <c r="H89" s="1"/>
  <c r="J89" s="1"/>
  <c r="J102" s="1"/>
  <c r="AI97"/>
  <c r="AK97"/>
  <c r="AC4"/>
  <c r="AE4"/>
  <c r="AD4"/>
  <c r="AF4"/>
  <c r="B5" i="26"/>
  <c r="B45" i="14"/>
  <c r="C45" s="1"/>
  <c r="J7" i="17"/>
  <c r="K7" s="1"/>
  <c r="B25" i="3" s="1"/>
  <c r="J11" i="17"/>
  <c r="K11" s="1"/>
  <c r="E10" i="15"/>
  <c r="E12" i="16" s="1"/>
  <c r="E21" i="15"/>
  <c r="E23" i="16" s="1"/>
  <c r="E23" i="29" s="1"/>
  <c r="C70" i="17"/>
  <c r="C15" i="10" s="1"/>
  <c r="H57" i="2"/>
  <c r="H60"/>
  <c r="AH68"/>
  <c r="AH70" s="1"/>
  <c r="AH86" s="1"/>
  <c r="AH95" s="1"/>
  <c r="AH99" s="1"/>
  <c r="R4" i="8"/>
  <c r="A45" i="4"/>
  <c r="R8" i="8"/>
  <c r="K38" i="17"/>
  <c r="F121" i="2"/>
  <c r="C10" i="15"/>
  <c r="C12" i="16" s="1"/>
  <c r="C12" i="29" s="1"/>
  <c r="G32" i="14"/>
  <c r="G21"/>
  <c r="G22" s="1"/>
  <c r="G22" i="15" s="1"/>
  <c r="G24" i="16" s="1"/>
  <c r="G10" i="14"/>
  <c r="C32"/>
  <c r="G22" i="13"/>
  <c r="G24" s="1"/>
  <c r="C50" i="1"/>
  <c r="T4" i="8"/>
  <c r="AL46" i="2"/>
  <c r="P4" i="7"/>
  <c r="T6"/>
  <c r="T4"/>
  <c r="A45" i="21"/>
  <c r="A51"/>
  <c r="F122" i="2"/>
  <c r="H5" i="1"/>
  <c r="Q9" i="7"/>
  <c r="T8"/>
  <c r="P8" i="9"/>
  <c r="S8" s="1"/>
  <c r="Q8" s="1"/>
  <c r="P5" i="7"/>
  <c r="P7"/>
  <c r="AJ56" i="2"/>
  <c r="AC109"/>
  <c r="AI109" s="1"/>
  <c r="AJ131"/>
  <c r="AH114"/>
  <c r="AK114" s="1"/>
  <c r="AL106"/>
  <c r="AJ64"/>
  <c r="J48" i="1"/>
  <c r="AL72" i="2"/>
  <c r="AJ42"/>
  <c r="AJ143"/>
  <c r="AG114"/>
  <c r="AJ108"/>
  <c r="AL135"/>
  <c r="N26" i="32"/>
  <c r="P26" s="1"/>
  <c r="R26" s="1"/>
  <c r="H63" i="2"/>
  <c r="AK63" s="1"/>
  <c r="AJ75"/>
  <c r="L27" i="32"/>
  <c r="L34" s="1"/>
  <c r="H30" i="1"/>
  <c r="N39" i="32"/>
  <c r="A58" i="5"/>
  <c r="A57" i="6" s="1"/>
  <c r="AJ124" i="2"/>
  <c r="L17" i="32"/>
  <c r="P17" s="1"/>
  <c r="R17" s="1"/>
  <c r="F8" i="1"/>
  <c r="J98" i="32"/>
  <c r="J100" s="1"/>
  <c r="J102" s="1"/>
  <c r="A38" i="4"/>
  <c r="P8" i="8"/>
  <c r="P6"/>
  <c r="P4"/>
  <c r="P5"/>
  <c r="T5"/>
  <c r="R4" i="7"/>
  <c r="B7" i="14"/>
  <c r="B6"/>
  <c r="B6" i="15" s="1"/>
  <c r="B7" i="16" s="1"/>
  <c r="B7" i="29" s="1"/>
  <c r="B26" i="3"/>
  <c r="B26" i="4" s="1"/>
  <c r="B27" i="5" s="1"/>
  <c r="B26" i="6" s="1"/>
  <c r="B27" i="21" s="1"/>
  <c r="B25" i="4"/>
  <c r="B26" i="5" s="1"/>
  <c r="B25" i="6" s="1"/>
  <c r="B26" i="21" s="1"/>
  <c r="K15" i="17"/>
  <c r="B18" i="3"/>
  <c r="K17" i="17"/>
  <c r="B31" i="3"/>
  <c r="K19" i="17"/>
  <c r="B44" i="3"/>
  <c r="B39"/>
  <c r="B39" i="4" s="1"/>
  <c r="B40" i="5" s="1"/>
  <c r="B38" i="4"/>
  <c r="B39" i="5" s="1"/>
  <c r="B38" i="6" s="1"/>
  <c r="B39" i="21" s="1"/>
  <c r="C44" i="13"/>
  <c r="B44" i="14"/>
  <c r="C44" s="1"/>
  <c r="U7" i="7"/>
  <c r="T7" s="1"/>
  <c r="L37" i="17"/>
  <c r="L38" s="1"/>
  <c r="U7" i="8"/>
  <c r="U9" s="1"/>
  <c r="E8" i="3"/>
  <c r="B8" i="4"/>
  <c r="E8" s="1"/>
  <c r="E22" i="3"/>
  <c r="B22" i="4"/>
  <c r="E22" s="1"/>
  <c r="B36" i="3"/>
  <c r="C35" s="1"/>
  <c r="B35" i="4"/>
  <c r="E35" s="1"/>
  <c r="B48" i="3"/>
  <c r="B48" i="4" s="1"/>
  <c r="B47"/>
  <c r="E47" s="1"/>
  <c r="B11" i="3"/>
  <c r="B41"/>
  <c r="B41" i="4" s="1"/>
  <c r="B28" i="3"/>
  <c r="B28" i="4" s="1"/>
  <c r="B15" i="3"/>
  <c r="B16" s="1"/>
  <c r="K16" i="17"/>
  <c r="K18"/>
  <c r="R5" i="8"/>
  <c r="P7"/>
  <c r="B23" i="3"/>
  <c r="B23" i="4" s="1"/>
  <c r="B24" i="5" s="1"/>
  <c r="B23" i="6" s="1"/>
  <c r="J38" i="17"/>
  <c r="B22" i="14"/>
  <c r="B22" i="15" s="1"/>
  <c r="B24" i="16" s="1"/>
  <c r="B24" i="22" s="1"/>
  <c r="B13" i="14"/>
  <c r="E15" s="1"/>
  <c r="A19" i="4"/>
  <c r="E33" i="14"/>
  <c r="E33" i="15" s="1"/>
  <c r="E35" i="16" s="1"/>
  <c r="E35" i="29" s="1"/>
  <c r="E23" i="13"/>
  <c r="E24" s="1"/>
  <c r="A32" i="4"/>
  <c r="B23" i="15"/>
  <c r="B25" i="16" s="1"/>
  <c r="B25" i="22" s="1"/>
  <c r="C47" i="3"/>
  <c r="C47" i="4" s="1"/>
  <c r="E48" s="1"/>
  <c r="A39" i="5"/>
  <c r="S9" i="7"/>
  <c r="O9"/>
  <c r="P15" s="1"/>
  <c r="T5"/>
  <c r="AL124" i="2"/>
  <c r="E13" i="13"/>
  <c r="B35"/>
  <c r="E37" s="1"/>
  <c r="G37" s="1"/>
  <c r="B24"/>
  <c r="E26" s="1"/>
  <c r="G26" s="1"/>
  <c r="B13"/>
  <c r="E15" s="1"/>
  <c r="G15" s="1"/>
  <c r="E47" i="3"/>
  <c r="E41"/>
  <c r="E35"/>
  <c r="B9"/>
  <c r="S9" i="8"/>
  <c r="AL97" i="2"/>
  <c r="G35" i="13"/>
  <c r="E36" i="16"/>
  <c r="E13" i="14"/>
  <c r="E12" i="15"/>
  <c r="B36" i="4"/>
  <c r="B37" i="5" s="1"/>
  <c r="B36" i="6" s="1"/>
  <c r="B37" i="21" s="1"/>
  <c r="L107" i="32"/>
  <c r="A13" i="5"/>
  <c r="A44" i="4"/>
  <c r="A31"/>
  <c r="A18"/>
  <c r="A26"/>
  <c r="A39"/>
  <c r="A51"/>
  <c r="O9" i="8"/>
  <c r="P65"/>
  <c r="Q9"/>
  <c r="P31" i="7"/>
  <c r="S31" s="1"/>
  <c r="P29"/>
  <c r="P9" i="9"/>
  <c r="Q9" s="1"/>
  <c r="R5" i="7"/>
  <c r="P6"/>
  <c r="P8"/>
  <c r="F97" i="2"/>
  <c r="AL42"/>
  <c r="AJ97"/>
  <c r="E146"/>
  <c r="F146" s="1"/>
  <c r="C34" i="14"/>
  <c r="C34" i="15" s="1"/>
  <c r="C36" i="16" s="1"/>
  <c r="C36" i="29" s="1"/>
  <c r="C12" i="14"/>
  <c r="C12" i="15" s="1"/>
  <c r="C14" i="16" s="1"/>
  <c r="C14" i="29" s="1"/>
  <c r="B32" i="14"/>
  <c r="C21"/>
  <c r="E33" i="13"/>
  <c r="E35" s="1"/>
  <c r="C33"/>
  <c r="C11"/>
  <c r="C22"/>
  <c r="G11"/>
  <c r="G13" s="1"/>
  <c r="P71" i="8"/>
  <c r="P11" i="9"/>
  <c r="S11" s="1"/>
  <c r="U11" s="1"/>
  <c r="Z57" i="2"/>
  <c r="H103"/>
  <c r="AB58"/>
  <c r="AB68" s="1"/>
  <c r="AB70" s="1"/>
  <c r="AB86" s="1"/>
  <c r="AB95" s="1"/>
  <c r="AB119" s="1"/>
  <c r="AB127" s="1"/>
  <c r="H109"/>
  <c r="Q18" i="9"/>
  <c r="O12"/>
  <c r="H79" i="2"/>
  <c r="AK79" s="1"/>
  <c r="AA68"/>
  <c r="AA70" s="1"/>
  <c r="AA86" s="1"/>
  <c r="AA95" s="1"/>
  <c r="AA119" s="1"/>
  <c r="AA127" s="1"/>
  <c r="A45" i="5"/>
  <c r="A32"/>
  <c r="A19"/>
  <c r="A51"/>
  <c r="F8" i="13"/>
  <c r="F28" s="1"/>
  <c r="H5" i="3"/>
  <c r="H11" s="1"/>
  <c r="AL18" i="2"/>
  <c r="B58"/>
  <c r="B68" s="1"/>
  <c r="B70" s="1"/>
  <c r="B86" s="1"/>
  <c r="B95" s="1"/>
  <c r="B99" s="1"/>
  <c r="P56" i="8"/>
  <c r="P61"/>
  <c r="O49"/>
  <c r="P63"/>
  <c r="P67"/>
  <c r="Q17" i="9"/>
  <c r="Z58" i="2"/>
  <c r="Z68" s="1"/>
  <c r="Z70" s="1"/>
  <c r="Z86" s="1"/>
  <c r="Z95" s="1"/>
  <c r="H84"/>
  <c r="AK84" s="1"/>
  <c r="H74"/>
  <c r="AK74" s="1"/>
  <c r="H67"/>
  <c r="H140"/>
  <c r="AK140" s="1"/>
  <c r="H131"/>
  <c r="AG68"/>
  <c r="AG70" s="1"/>
  <c r="AG86" s="1"/>
  <c r="AG95" s="1"/>
  <c r="AG99" s="1"/>
  <c r="X58"/>
  <c r="X68" s="1"/>
  <c r="X70" s="1"/>
  <c r="X86" s="1"/>
  <c r="X95" s="1"/>
  <c r="X99" s="1"/>
  <c r="W58"/>
  <c r="W68" s="1"/>
  <c r="W70" s="1"/>
  <c r="W86" s="1"/>
  <c r="W95" s="1"/>
  <c r="B119"/>
  <c r="B127" s="1"/>
  <c r="B148" s="1"/>
  <c r="D69" i="17"/>
  <c r="B62" i="3"/>
  <c r="U10" i="9"/>
  <c r="T10"/>
  <c r="T18" s="1"/>
  <c r="U18" s="1"/>
  <c r="F21" i="2"/>
  <c r="E58"/>
  <c r="D21"/>
  <c r="C58"/>
  <c r="AJ45"/>
  <c r="G47"/>
  <c r="H45"/>
  <c r="AK45" s="1"/>
  <c r="O18" i="8"/>
  <c r="P59"/>
  <c r="P55"/>
  <c r="P57"/>
  <c r="P69"/>
  <c r="P60"/>
  <c r="Q10" i="9"/>
  <c r="R18" s="1"/>
  <c r="S18" s="1"/>
  <c r="V58" i="2"/>
  <c r="H142"/>
  <c r="AK142" s="1"/>
  <c r="H85"/>
  <c r="AK85" s="1"/>
  <c r="H82"/>
  <c r="AK82" s="1"/>
  <c r="H77"/>
  <c r="AK77" s="1"/>
  <c r="H73"/>
  <c r="AK73" s="1"/>
  <c r="H69"/>
  <c r="AL56"/>
  <c r="H94"/>
  <c r="AK94" s="1"/>
  <c r="H93"/>
  <c r="AK93" s="1"/>
  <c r="H92"/>
  <c r="AK92" s="1"/>
  <c r="H90"/>
  <c r="AK90" s="1"/>
  <c r="AJ63"/>
  <c r="A47" i="17"/>
  <c r="A57" s="1"/>
  <c r="D29" i="1"/>
  <c r="B54" i="3"/>
  <c r="B54" i="4" s="1"/>
  <c r="C54" s="1"/>
  <c r="F54" s="1"/>
  <c r="F57" i="5" s="1"/>
  <c r="F54" i="3"/>
  <c r="C66" i="17"/>
  <c r="C68"/>
  <c r="Y58" i="2"/>
  <c r="Y68" s="1"/>
  <c r="Y70" s="1"/>
  <c r="Y86" s="1"/>
  <c r="Y95" s="1"/>
  <c r="U58"/>
  <c r="E50" i="1"/>
  <c r="AL64" i="2"/>
  <c r="H91"/>
  <c r="AK91" s="1"/>
  <c r="C67" i="17"/>
  <c r="D67" s="1"/>
  <c r="D50" i="1"/>
  <c r="D5" i="28"/>
  <c r="F5" s="1"/>
  <c r="H5" s="1"/>
  <c r="D5" i="21"/>
  <c r="F5" s="1"/>
  <c r="H5" s="1"/>
  <c r="B4" i="28"/>
  <c r="B4" i="21"/>
  <c r="C60" i="28"/>
  <c r="C60" i="21"/>
  <c r="AB99" i="2"/>
  <c r="G102"/>
  <c r="E24" i="29"/>
  <c r="E24" i="22"/>
  <c r="B39" i="28"/>
  <c r="B26"/>
  <c r="C4"/>
  <c r="C4" i="21"/>
  <c r="A25" i="6"/>
  <c r="A44"/>
  <c r="A50"/>
  <c r="A38"/>
  <c r="A18"/>
  <c r="A31"/>
  <c r="B60" i="28"/>
  <c r="B60" i="21"/>
  <c r="Z99" i="2"/>
  <c r="AA99"/>
  <c r="D10" i="29"/>
  <c r="F10" s="1"/>
  <c r="H10" s="1"/>
  <c r="F10" i="16"/>
  <c r="H10" s="1"/>
  <c r="D10" i="22"/>
  <c r="F10" s="1"/>
  <c r="H10" s="1"/>
  <c r="C60" i="29"/>
  <c r="C60" i="16"/>
  <c r="B26" i="26"/>
  <c r="C26" s="1"/>
  <c r="B49" i="16"/>
  <c r="B24" i="29"/>
  <c r="E13"/>
  <c r="E13" i="22"/>
  <c r="E6" i="29"/>
  <c r="C14" i="22"/>
  <c r="C2" i="29"/>
  <c r="C2" i="16"/>
  <c r="C2" i="22"/>
  <c r="G2" i="29"/>
  <c r="G2" i="22"/>
  <c r="G2" i="16"/>
  <c r="E12" i="29"/>
  <c r="E12" i="22"/>
  <c r="B13" i="29"/>
  <c r="B13" i="22"/>
  <c r="E23"/>
  <c r="H2" i="29"/>
  <c r="H2" i="16"/>
  <c r="H2" i="22"/>
  <c r="A18" i="29"/>
  <c r="A18" i="22"/>
  <c r="A18" i="16"/>
  <c r="A29" i="29"/>
  <c r="A29" i="22"/>
  <c r="A29" i="16"/>
  <c r="A28" i="29"/>
  <c r="A28" i="22"/>
  <c r="A28" i="16"/>
  <c r="A8" i="29"/>
  <c r="A8" i="16"/>
  <c r="A8" i="22"/>
  <c r="E60" i="29"/>
  <c r="E60" i="16"/>
  <c r="E60" i="22"/>
  <c r="B12" i="29"/>
  <c r="B12" i="22"/>
  <c r="B2" i="29"/>
  <c r="B2" i="22"/>
  <c r="B2" i="16"/>
  <c r="H8" i="10"/>
  <c r="H11" s="1"/>
  <c r="G11"/>
  <c r="B7" i="22"/>
  <c r="C60"/>
  <c r="E6"/>
  <c r="E34"/>
  <c r="A52" i="28"/>
  <c r="A20"/>
  <c r="A33"/>
  <c r="A46"/>
  <c r="A27"/>
  <c r="A40"/>
  <c r="L13" i="32"/>
  <c r="F60" i="29"/>
  <c r="F60" i="22"/>
  <c r="F60" i="16"/>
  <c r="C49" i="29"/>
  <c r="C49" i="22"/>
  <c r="C50" i="26" s="1"/>
  <c r="C62" s="1"/>
  <c r="B25" i="29"/>
  <c r="B26" s="1"/>
  <c r="E36" i="22"/>
  <c r="B23" i="29"/>
  <c r="B23" i="22"/>
  <c r="G6" i="29"/>
  <c r="B14"/>
  <c r="B15" i="16"/>
  <c r="B14" i="22"/>
  <c r="B15" s="1"/>
  <c r="C13" i="29"/>
  <c r="C13" i="22"/>
  <c r="B60" i="29"/>
  <c r="B60" i="22"/>
  <c r="B60" i="16"/>
  <c r="E2" i="29"/>
  <c r="E2" i="16"/>
  <c r="E2" i="22"/>
  <c r="D2" i="29"/>
  <c r="D2" i="16"/>
  <c r="D2" i="22"/>
  <c r="A40" i="29"/>
  <c r="A40" i="16"/>
  <c r="A40" i="22"/>
  <c r="A39" i="29"/>
  <c r="A39" i="16"/>
  <c r="A39" i="22"/>
  <c r="A7" i="29"/>
  <c r="A7" i="16"/>
  <c r="A7" i="22"/>
  <c r="A17" i="29"/>
  <c r="A17" i="22"/>
  <c r="A17" i="16"/>
  <c r="B6" i="29"/>
  <c r="B6" i="22"/>
  <c r="F2" i="29"/>
  <c r="F2" i="16"/>
  <c r="F2" i="22"/>
  <c r="C6" i="29"/>
  <c r="H39" i="13"/>
  <c r="H28"/>
  <c r="H17"/>
  <c r="H25" i="3"/>
  <c r="F11" i="10"/>
  <c r="E11"/>
  <c r="T6" i="8"/>
  <c r="A58" i="21"/>
  <c r="A13"/>
  <c r="F8" i="15"/>
  <c r="B13"/>
  <c r="H8" i="14"/>
  <c r="F8"/>
  <c r="E23"/>
  <c r="G6" i="22"/>
  <c r="B4" i="26"/>
  <c r="D5" i="13"/>
  <c r="D26"/>
  <c r="AL43" i="2"/>
  <c r="AJ43"/>
  <c r="B150"/>
  <c r="U8" i="9"/>
  <c r="S32" i="7"/>
  <c r="P32" i="8"/>
  <c r="S30" i="7"/>
  <c r="P30" i="8"/>
  <c r="S28" i="7"/>
  <c r="P28" i="8"/>
  <c r="P27" i="7"/>
  <c r="O33"/>
  <c r="O18"/>
  <c r="F55" i="3"/>
  <c r="C55" i="4"/>
  <c r="F55" s="1"/>
  <c r="H55" s="1"/>
  <c r="C70"/>
  <c r="O49" i="7"/>
  <c r="P29" i="8"/>
  <c r="S29" i="7"/>
  <c r="O33" i="8"/>
  <c r="P64"/>
  <c r="P58"/>
  <c r="P72"/>
  <c r="P70"/>
  <c r="P68"/>
  <c r="P66"/>
  <c r="F29" i="1"/>
  <c r="E15" i="10"/>
  <c r="C79" i="17"/>
  <c r="D70"/>
  <c r="B61" i="3"/>
  <c r="F15" i="10"/>
  <c r="H42" i="1"/>
  <c r="AJ136" i="2"/>
  <c r="AL136"/>
  <c r="F42" i="1"/>
  <c r="F50" s="1"/>
  <c r="AL133" i="2"/>
  <c r="J39" i="1"/>
  <c r="AJ133" i="2"/>
  <c r="J41" i="1"/>
  <c r="AJ135" i="2"/>
  <c r="AL134"/>
  <c r="AJ134"/>
  <c r="E33" i="1"/>
  <c r="G4" i="28"/>
  <c r="G4" i="21"/>
  <c r="J104" i="2"/>
  <c r="E4" i="28"/>
  <c r="E4" i="21"/>
  <c r="I89" i="2"/>
  <c r="I104"/>
  <c r="R6" i="8"/>
  <c r="R6" i="7"/>
  <c r="R9" s="1"/>
  <c r="C54" i="16"/>
  <c r="C54" i="29" s="1"/>
  <c r="B32" i="26"/>
  <c r="B54" i="16"/>
  <c r="B54" i="29" s="1"/>
  <c r="B20" i="26"/>
  <c r="C9"/>
  <c r="C49" i="13"/>
  <c r="C52" i="16"/>
  <c r="C52" i="29" s="1"/>
  <c r="B30" i="26"/>
  <c r="B52" i="16"/>
  <c r="B52" i="29" s="1"/>
  <c r="C7" i="26"/>
  <c r="B18"/>
  <c r="C47" i="13"/>
  <c r="C51" i="16"/>
  <c r="C51" i="29" s="1"/>
  <c r="B29" i="26"/>
  <c r="B51" i="16"/>
  <c r="B51" i="29" s="1"/>
  <c r="C6" i="26"/>
  <c r="B17"/>
  <c r="C46" i="13"/>
  <c r="B28" i="26"/>
  <c r="B50" i="16"/>
  <c r="B50" i="29" s="1"/>
  <c r="C5" i="26"/>
  <c r="B16"/>
  <c r="C45" i="13"/>
  <c r="E75" i="17"/>
  <c r="C47" i="15" s="1"/>
  <c r="AL76" i="2"/>
  <c r="C9" i="1" l="1"/>
  <c r="C8" s="1"/>
  <c r="E37" i="16"/>
  <c r="L37" i="32"/>
  <c r="L41"/>
  <c r="L43"/>
  <c r="G24" i="22"/>
  <c r="G24" i="29"/>
  <c r="P13" i="7"/>
  <c r="E35" i="22"/>
  <c r="D24" i="3"/>
  <c r="F24" s="1"/>
  <c r="H24" s="1"/>
  <c r="H38"/>
  <c r="C12" i="22"/>
  <c r="B27" i="28"/>
  <c r="P14" i="7"/>
  <c r="E35" i="14"/>
  <c r="E35" i="15"/>
  <c r="U10" i="8"/>
  <c r="C26" i="1"/>
  <c r="H7"/>
  <c r="L98" i="32" s="1"/>
  <c r="AK60" i="2"/>
  <c r="AL60" s="1"/>
  <c r="AI114"/>
  <c r="AJ114" s="1"/>
  <c r="L55" i="32"/>
  <c r="L38"/>
  <c r="AK69" i="2"/>
  <c r="AL69" s="1"/>
  <c r="AK131"/>
  <c r="J37" i="1" s="1"/>
  <c r="E36" i="29"/>
  <c r="E37" s="1"/>
  <c r="B37" i="28"/>
  <c r="R9" i="8"/>
  <c r="E48" i="3"/>
  <c r="E51" s="1"/>
  <c r="G47" s="1"/>
  <c r="G51" s="1"/>
  <c r="C36" i="22"/>
  <c r="C24" i="13"/>
  <c r="B29" i="3"/>
  <c r="Q20" i="9"/>
  <c r="R10"/>
  <c r="AL122" i="2"/>
  <c r="P31" i="8"/>
  <c r="S31" s="1"/>
  <c r="T31" s="1"/>
  <c r="H54" i="4"/>
  <c r="S9" i="9"/>
  <c r="S12" s="1"/>
  <c r="B50" i="3"/>
  <c r="K20" i="17"/>
  <c r="D48" i="3" s="1"/>
  <c r="F48" s="1"/>
  <c r="B53"/>
  <c r="AL143" i="2"/>
  <c r="P12" i="9"/>
  <c r="T11"/>
  <c r="T19" s="1"/>
  <c r="U19" s="1"/>
  <c r="J55" i="2" s="1"/>
  <c r="AK55" s="1"/>
  <c r="AL75"/>
  <c r="B15" i="29"/>
  <c r="C48" i="5"/>
  <c r="E49" s="1"/>
  <c r="G27" i="13"/>
  <c r="G29" s="1"/>
  <c r="E27"/>
  <c r="E29" s="1"/>
  <c r="D27"/>
  <c r="F27" s="1"/>
  <c r="H27" s="1"/>
  <c r="B60" i="17"/>
  <c r="A59"/>
  <c r="B26" i="22"/>
  <c r="E28" s="1"/>
  <c r="C13" i="13"/>
  <c r="P9" i="7"/>
  <c r="B26" i="16"/>
  <c r="C13" i="14"/>
  <c r="E16" s="1"/>
  <c r="J52" i="2"/>
  <c r="AK52" s="1"/>
  <c r="G11" i="14"/>
  <c r="G11" i="15" s="1"/>
  <c r="G13" i="16" s="1"/>
  <c r="G12" i="14"/>
  <c r="G10" i="15"/>
  <c r="G12" i="16" s="1"/>
  <c r="G33" i="14"/>
  <c r="G33" i="15" s="1"/>
  <c r="G35" i="16" s="1"/>
  <c r="G34" i="14"/>
  <c r="G32" i="15"/>
  <c r="G34" i="16" s="1"/>
  <c r="C33" i="14"/>
  <c r="C33" i="15" s="1"/>
  <c r="C35" i="16" s="1"/>
  <c r="C32" i="15"/>
  <c r="C34" i="16" s="1"/>
  <c r="G23" i="14"/>
  <c r="G21" i="15"/>
  <c r="G23" i="16" s="1"/>
  <c r="D37" i="13"/>
  <c r="D37" i="3"/>
  <c r="F37" s="1"/>
  <c r="H37" s="1"/>
  <c r="Q11" i="9"/>
  <c r="R11" s="1"/>
  <c r="B24" i="15"/>
  <c r="D15" i="14"/>
  <c r="U9" i="7"/>
  <c r="P16"/>
  <c r="B36" i="5"/>
  <c r="E36" s="1"/>
  <c r="B48"/>
  <c r="T7" i="8"/>
  <c r="T9" s="1"/>
  <c r="D24" i="4"/>
  <c r="F24" s="1"/>
  <c r="B23" i="5"/>
  <c r="B39" i="6"/>
  <c r="D38" i="5"/>
  <c r="F38" s="1"/>
  <c r="P17" i="7"/>
  <c r="B42" i="3"/>
  <c r="C33" i="1"/>
  <c r="T9" i="7"/>
  <c r="C22" i="3"/>
  <c r="AC119" i="2"/>
  <c r="AC127" s="1"/>
  <c r="AC130" s="1"/>
  <c r="AC146" s="1"/>
  <c r="AC148" s="1"/>
  <c r="AC150" s="1"/>
  <c r="L115" i="32"/>
  <c r="AL91" i="2"/>
  <c r="AL92"/>
  <c r="AL94"/>
  <c r="N41" i="32"/>
  <c r="P41" s="1"/>
  <c r="R41" s="1"/>
  <c r="N43"/>
  <c r="P43" s="1"/>
  <c r="R43" s="1"/>
  <c r="AL84" i="2"/>
  <c r="AD109"/>
  <c r="AK109" s="1"/>
  <c r="H37" i="1"/>
  <c r="AL93" i="2"/>
  <c r="N37" i="32"/>
  <c r="P37" s="1"/>
  <c r="R37" s="1"/>
  <c r="AL82" i="2"/>
  <c r="AL142"/>
  <c r="N38" i="32"/>
  <c r="P38" s="1"/>
  <c r="R38" s="1"/>
  <c r="AL79" i="2"/>
  <c r="H47" i="1"/>
  <c r="AL114" i="2"/>
  <c r="AL108"/>
  <c r="L39" i="32"/>
  <c r="S10" i="8"/>
  <c r="J5" i="1"/>
  <c r="J7" s="1"/>
  <c r="N98" i="32" s="1"/>
  <c r="P9" i="8"/>
  <c r="S15" i="7"/>
  <c r="P15" i="8"/>
  <c r="S15" s="1"/>
  <c r="Q15" s="1"/>
  <c r="B24" i="21"/>
  <c r="B24" i="28"/>
  <c r="B49" i="5"/>
  <c r="B48" i="6" s="1"/>
  <c r="E50" i="4"/>
  <c r="F50" s="1"/>
  <c r="C35"/>
  <c r="E36" i="3"/>
  <c r="E39" s="1"/>
  <c r="G35" s="1"/>
  <c r="G39" s="1"/>
  <c r="D36"/>
  <c r="F36" s="1"/>
  <c r="R9" i="9"/>
  <c r="R17"/>
  <c r="E28" i="3"/>
  <c r="C35" i="13"/>
  <c r="D15"/>
  <c r="F15" s="1"/>
  <c r="AJ122" i="2"/>
  <c r="L15" i="32"/>
  <c r="L21" s="1"/>
  <c r="J29" i="1"/>
  <c r="N13" i="32"/>
  <c r="P13" s="1"/>
  <c r="J30" i="1"/>
  <c r="N15" i="32"/>
  <c r="J42" i="1"/>
  <c r="N27" i="32"/>
  <c r="B24" i="14"/>
  <c r="B9" i="5"/>
  <c r="E15" i="3"/>
  <c r="B15" i="4"/>
  <c r="E41"/>
  <c r="B42" i="5"/>
  <c r="D5" i="14"/>
  <c r="F5" s="1"/>
  <c r="H5" s="1"/>
  <c r="B7" i="15"/>
  <c r="D37" i="4"/>
  <c r="F37" s="1"/>
  <c r="E28"/>
  <c r="B29" i="5"/>
  <c r="B12" i="3"/>
  <c r="B11" i="4"/>
  <c r="B12" i="5" s="1"/>
  <c r="B11" i="6" s="1"/>
  <c r="B45" i="3"/>
  <c r="B44" i="4"/>
  <c r="B45" i="5" s="1"/>
  <c r="B44" i="6" s="1"/>
  <c r="B32" i="3"/>
  <c r="B31" i="4"/>
  <c r="B32" i="5" s="1"/>
  <c r="B31" i="6" s="1"/>
  <c r="B19" i="3"/>
  <c r="B18" i="4"/>
  <c r="B19" i="5" s="1"/>
  <c r="B18" i="6" s="1"/>
  <c r="S17" i="9"/>
  <c r="C8" i="3"/>
  <c r="B9" i="4"/>
  <c r="E16" i="13"/>
  <c r="E18" s="1"/>
  <c r="D16"/>
  <c r="G16"/>
  <c r="N108" i="32"/>
  <c r="Y99" i="2"/>
  <c r="L108" i="32"/>
  <c r="B34" i="14"/>
  <c r="B34" i="15" s="1"/>
  <c r="B33" i="14"/>
  <c r="B32" i="15"/>
  <c r="B34" i="16" s="1"/>
  <c r="A12" i="6"/>
  <c r="A33" i="5"/>
  <c r="A52"/>
  <c r="A20"/>
  <c r="A27"/>
  <c r="A46"/>
  <c r="A40"/>
  <c r="D36" i="4"/>
  <c r="F36" s="1"/>
  <c r="H36" s="1"/>
  <c r="C36" i="5"/>
  <c r="E36" i="4"/>
  <c r="E38" s="1"/>
  <c r="F38" s="1"/>
  <c r="H37" s="1"/>
  <c r="Q10" i="8"/>
  <c r="AA130" i="2"/>
  <c r="AA146" s="1"/>
  <c r="AA148" s="1"/>
  <c r="AA150" s="1"/>
  <c r="AB130"/>
  <c r="AB146" s="1"/>
  <c r="AB148" s="1"/>
  <c r="AB150" s="1"/>
  <c r="C22" i="14"/>
  <c r="C22" i="15" s="1"/>
  <c r="C24" i="16" s="1"/>
  <c r="C24" i="22" s="1"/>
  <c r="C23" i="14"/>
  <c r="C21" i="15"/>
  <c r="C23" i="16" s="1"/>
  <c r="D49" i="5"/>
  <c r="F49" s="1"/>
  <c r="H49" s="1"/>
  <c r="E14" i="16"/>
  <c r="E13" i="15"/>
  <c r="J103" i="2"/>
  <c r="Y119"/>
  <c r="Y127" s="1"/>
  <c r="Z119"/>
  <c r="Z127" s="1"/>
  <c r="X119"/>
  <c r="X127" s="1"/>
  <c r="X130" s="1"/>
  <c r="W99"/>
  <c r="W119"/>
  <c r="E15" i="15"/>
  <c r="E51" i="4"/>
  <c r="G47" s="1"/>
  <c r="C15" i="3"/>
  <c r="B16" i="4"/>
  <c r="F17" i="13"/>
  <c r="F39"/>
  <c r="AL131" i="2"/>
  <c r="R19" i="9"/>
  <c r="S19" s="1"/>
  <c r="I55" i="2" s="1"/>
  <c r="AI55" s="1"/>
  <c r="J46" i="1"/>
  <c r="AL140" i="2"/>
  <c r="T9" i="9"/>
  <c r="T17" s="1"/>
  <c r="U17" s="1"/>
  <c r="B60" i="3"/>
  <c r="D68" i="17"/>
  <c r="H54" i="3"/>
  <c r="G6" i="2"/>
  <c r="B70" i="4"/>
  <c r="H117" i="2"/>
  <c r="AK117" s="1"/>
  <c r="C62" i="3"/>
  <c r="B62" i="4"/>
  <c r="AL63" i="2"/>
  <c r="B59" i="3"/>
  <c r="H17" i="1"/>
  <c r="AJ105" i="2"/>
  <c r="AJ109"/>
  <c r="H18" i="1"/>
  <c r="J20"/>
  <c r="AL112" i="2"/>
  <c r="J21" i="1"/>
  <c r="AL115" i="2"/>
  <c r="B58" i="3"/>
  <c r="D66" i="17"/>
  <c r="AL105" i="2"/>
  <c r="J17" i="1"/>
  <c r="AJ112" i="2"/>
  <c r="H20" i="1"/>
  <c r="H21"/>
  <c r="AJ115" i="2"/>
  <c r="H22" i="1"/>
  <c r="AJ117" i="2"/>
  <c r="AL45"/>
  <c r="H47"/>
  <c r="C68"/>
  <c r="D58"/>
  <c r="F58"/>
  <c r="E68"/>
  <c r="E69" i="17"/>
  <c r="C65" i="5" s="1"/>
  <c r="C64" i="6" s="1"/>
  <c r="B65" i="5"/>
  <c r="B64" i="6" s="1"/>
  <c r="H102" i="2"/>
  <c r="D29" i="13"/>
  <c r="F26"/>
  <c r="F5"/>
  <c r="E23" i="15"/>
  <c r="E24" i="14"/>
  <c r="C13" i="15"/>
  <c r="D16" s="1"/>
  <c r="F16" s="1"/>
  <c r="H16" s="1"/>
  <c r="D15"/>
  <c r="H8"/>
  <c r="H48" i="3"/>
  <c r="E17" i="16"/>
  <c r="E28"/>
  <c r="B49" i="29"/>
  <c r="B38" i="26"/>
  <c r="C38" s="1"/>
  <c r="B49" i="22"/>
  <c r="B50" i="26" s="1"/>
  <c r="B62" s="1"/>
  <c r="E37" i="22"/>
  <c r="G18" i="13"/>
  <c r="C15" i="16"/>
  <c r="F37" i="13"/>
  <c r="C4" i="26"/>
  <c r="C15" s="1"/>
  <c r="B15"/>
  <c r="A52" i="21"/>
  <c r="A46"/>
  <c r="A20"/>
  <c r="A40"/>
  <c r="A27"/>
  <c r="A33"/>
  <c r="H36" i="3"/>
  <c r="F39"/>
  <c r="E17" i="22"/>
  <c r="E17" i="29"/>
  <c r="E28"/>
  <c r="AJ121" i="2"/>
  <c r="H29" i="1"/>
  <c r="AL121" i="2"/>
  <c r="C24" i="29"/>
  <c r="C15" i="22"/>
  <c r="C15" i="29"/>
  <c r="E39" i="4"/>
  <c r="G35" s="1"/>
  <c r="T8" i="9"/>
  <c r="P73" i="8"/>
  <c r="C61" i="3"/>
  <c r="B61" i="4"/>
  <c r="B48" i="13"/>
  <c r="D79" i="17"/>
  <c r="E79" s="1"/>
  <c r="V29" i="7"/>
  <c r="T29" s="1"/>
  <c r="U62" s="1"/>
  <c r="Q29"/>
  <c r="R62" s="1"/>
  <c r="V31"/>
  <c r="T31" s="1"/>
  <c r="U64" s="1"/>
  <c r="Q31"/>
  <c r="R64" s="1"/>
  <c r="D70" i="4"/>
  <c r="I6" i="2" s="1"/>
  <c r="B73" i="5"/>
  <c r="F70" i="4"/>
  <c r="H57" i="5"/>
  <c r="C71" i="4"/>
  <c r="F58" i="5"/>
  <c r="P33" i="7"/>
  <c r="S27"/>
  <c r="P27" i="8"/>
  <c r="V28" i="7"/>
  <c r="T28" s="1"/>
  <c r="U61" s="1"/>
  <c r="Q28"/>
  <c r="R61" s="1"/>
  <c r="V30"/>
  <c r="T30" s="1"/>
  <c r="U63" s="1"/>
  <c r="Q30"/>
  <c r="V32"/>
  <c r="T32" s="1"/>
  <c r="Q32"/>
  <c r="G15" i="10"/>
  <c r="E70" i="17"/>
  <c r="B64" i="5"/>
  <c r="V29" i="8"/>
  <c r="Q29"/>
  <c r="S29"/>
  <c r="T29" s="1"/>
  <c r="Q31"/>
  <c r="V31"/>
  <c r="F56" i="6"/>
  <c r="C73" i="5"/>
  <c r="H55" i="3"/>
  <c r="G7" i="2"/>
  <c r="B71" i="4"/>
  <c r="S13" i="7"/>
  <c r="P13" i="8"/>
  <c r="Q28"/>
  <c r="S28"/>
  <c r="T28" s="1"/>
  <c r="V28"/>
  <c r="Q15" i="7"/>
  <c r="R57" s="1"/>
  <c r="V15"/>
  <c r="T15" s="1"/>
  <c r="U57" s="1"/>
  <c r="S30" i="8"/>
  <c r="T30" s="1"/>
  <c r="V30"/>
  <c r="Q30"/>
  <c r="S32"/>
  <c r="T32" s="1"/>
  <c r="V32"/>
  <c r="Q32"/>
  <c r="I102" i="2"/>
  <c r="Q12" i="9"/>
  <c r="Q13" s="1"/>
  <c r="R16"/>
  <c r="R8"/>
  <c r="F71" i="4"/>
  <c r="H58" i="5"/>
  <c r="I52" i="2"/>
  <c r="AI52" s="1"/>
  <c r="B54" i="22"/>
  <c r="B44" i="26"/>
  <c r="C54" i="22"/>
  <c r="C20" i="26"/>
  <c r="C32"/>
  <c r="C30"/>
  <c r="C52" i="22"/>
  <c r="C18" i="26"/>
  <c r="B42"/>
  <c r="B52" i="22"/>
  <c r="C17" i="26"/>
  <c r="B51" i="22"/>
  <c r="B41" i="26"/>
  <c r="C29"/>
  <c r="C51" i="22"/>
  <c r="C50" i="16"/>
  <c r="C50" i="29" s="1"/>
  <c r="C16" i="26"/>
  <c r="B40"/>
  <c r="B50" i="22"/>
  <c r="C28" i="26"/>
  <c r="S14" i="7" l="1"/>
  <c r="P14" i="8"/>
  <c r="N55" i="32"/>
  <c r="P55" s="1"/>
  <c r="R55" s="1"/>
  <c r="D26" i="15"/>
  <c r="F26" s="1"/>
  <c r="V15" i="8"/>
  <c r="T15" s="1"/>
  <c r="H39" i="3"/>
  <c r="F39" i="4"/>
  <c r="U9" i="9"/>
  <c r="U12" s="1"/>
  <c r="H15" i="13"/>
  <c r="C47" i="6"/>
  <c r="B35"/>
  <c r="D48" i="4"/>
  <c r="F48" s="1"/>
  <c r="H48" s="1"/>
  <c r="C28" i="3"/>
  <c r="B29" i="4"/>
  <c r="B51" i="3"/>
  <c r="B50" i="4"/>
  <c r="B51" i="5" s="1"/>
  <c r="B50" i="6" s="1"/>
  <c r="P18" i="7"/>
  <c r="S18" s="1"/>
  <c r="V18" s="1"/>
  <c r="R12" i="9"/>
  <c r="AL85" i="2"/>
  <c r="AL77"/>
  <c r="B48" i="17"/>
  <c r="B53"/>
  <c r="D16" i="14"/>
  <c r="F16" s="1"/>
  <c r="H16" s="1"/>
  <c r="E17"/>
  <c r="E17" i="15" s="1"/>
  <c r="F17" s="1"/>
  <c r="E16"/>
  <c r="G16" i="14"/>
  <c r="G16" i="15" s="1"/>
  <c r="B47" i="6"/>
  <c r="E48" i="5"/>
  <c r="E51" s="1"/>
  <c r="F51" s="1"/>
  <c r="P16" i="8"/>
  <c r="S16" i="7"/>
  <c r="F15" i="14"/>
  <c r="G23" i="29"/>
  <c r="G23" i="22"/>
  <c r="C34" i="29"/>
  <c r="C34" i="22"/>
  <c r="G34" i="15"/>
  <c r="G35" i="14"/>
  <c r="G12" i="29"/>
  <c r="G12" i="22"/>
  <c r="G13" i="29"/>
  <c r="G13" i="22"/>
  <c r="G23" i="15"/>
  <c r="G24" i="14"/>
  <c r="C35" i="29"/>
  <c r="C35" i="22"/>
  <c r="G34" i="29"/>
  <c r="G34" i="22"/>
  <c r="G35" i="29"/>
  <c r="G35" i="22"/>
  <c r="G13" i="14"/>
  <c r="G12" i="15"/>
  <c r="B22" i="6"/>
  <c r="D25" i="5"/>
  <c r="F25" s="1"/>
  <c r="E23"/>
  <c r="P17" i="8"/>
  <c r="S17" i="7"/>
  <c r="B40" i="28"/>
  <c r="B40" i="21"/>
  <c r="B42" i="4"/>
  <c r="B43" i="5" s="1"/>
  <c r="B42" i="6" s="1"/>
  <c r="C41" i="3"/>
  <c r="C22" i="4"/>
  <c r="E23" i="3"/>
  <c r="E26" s="1"/>
  <c r="G22" s="1"/>
  <c r="G26" s="1"/>
  <c r="D23"/>
  <c r="F23" s="1"/>
  <c r="AL109" i="2"/>
  <c r="J18" i="1"/>
  <c r="AD119" i="2"/>
  <c r="AD127" s="1"/>
  <c r="AD130" s="1"/>
  <c r="AD146" s="1"/>
  <c r="N115" i="32"/>
  <c r="N46"/>
  <c r="N92" s="1"/>
  <c r="AL74" i="2"/>
  <c r="AL73"/>
  <c r="P39" i="32"/>
  <c r="L46"/>
  <c r="L92" s="1"/>
  <c r="X146" i="2"/>
  <c r="X148" s="1"/>
  <c r="X150" s="1"/>
  <c r="L50" i="17" s="1"/>
  <c r="F17" i="14"/>
  <c r="E18"/>
  <c r="G15"/>
  <c r="E38" i="13"/>
  <c r="E40" s="1"/>
  <c r="E42" s="1"/>
  <c r="D38"/>
  <c r="G38"/>
  <c r="G40" s="1"/>
  <c r="G42" s="1"/>
  <c r="B49" i="21"/>
  <c r="B49" i="28"/>
  <c r="R13" i="32"/>
  <c r="N34"/>
  <c r="P27"/>
  <c r="N21"/>
  <c r="P15"/>
  <c r="R15" s="1"/>
  <c r="AL90" i="2"/>
  <c r="E26" i="14"/>
  <c r="E26" i="15" s="1"/>
  <c r="D26" i="14"/>
  <c r="F26" s="1"/>
  <c r="B8" i="6"/>
  <c r="E9" i="5"/>
  <c r="D17" i="3"/>
  <c r="F17" s="1"/>
  <c r="H17" s="1"/>
  <c r="B19" i="4"/>
  <c r="H18" i="3"/>
  <c r="D30"/>
  <c r="F30" s="1"/>
  <c r="H31"/>
  <c r="B32" i="4"/>
  <c r="B45"/>
  <c r="D43" i="3"/>
  <c r="F43" s="1"/>
  <c r="H44"/>
  <c r="D10"/>
  <c r="F10" s="1"/>
  <c r="H10" s="1"/>
  <c r="B12" i="4"/>
  <c r="B19" i="21"/>
  <c r="B19" i="28"/>
  <c r="B32" i="21"/>
  <c r="B32" i="28"/>
  <c r="B45" i="21"/>
  <c r="B45" i="28"/>
  <c r="B12" i="21"/>
  <c r="B12" i="28"/>
  <c r="B28" i="6"/>
  <c r="E29" i="5"/>
  <c r="B8" i="16"/>
  <c r="D5" i="15"/>
  <c r="F5" s="1"/>
  <c r="B41" i="6"/>
  <c r="E42" i="5"/>
  <c r="E15" i="4"/>
  <c r="B16" i="5"/>
  <c r="B53" i="4"/>
  <c r="I51" i="2"/>
  <c r="AI51" s="1"/>
  <c r="B10" i="5"/>
  <c r="C8" i="4"/>
  <c r="D9" i="3"/>
  <c r="F9" s="1"/>
  <c r="E9"/>
  <c r="E12" s="1"/>
  <c r="G8" s="1"/>
  <c r="G12" s="1"/>
  <c r="E14" i="29"/>
  <c r="E15" s="1"/>
  <c r="E14" i="22"/>
  <c r="E15" s="1"/>
  <c r="E15" i="16"/>
  <c r="E48" i="6"/>
  <c r="D48"/>
  <c r="F48" s="1"/>
  <c r="H48" s="1"/>
  <c r="C48" i="28"/>
  <c r="C48" i="21"/>
  <c r="C23" i="15"/>
  <c r="C24" i="14"/>
  <c r="C35" i="6"/>
  <c r="D37" i="5"/>
  <c r="F37" s="1"/>
  <c r="H37" s="1"/>
  <c r="E37"/>
  <c r="E39" s="1"/>
  <c r="F39" s="1"/>
  <c r="F38" i="6" s="1"/>
  <c r="A51"/>
  <c r="A19"/>
  <c r="A32"/>
  <c r="A39"/>
  <c r="A26"/>
  <c r="A45"/>
  <c r="B35" i="14"/>
  <c r="B33" i="15"/>
  <c r="B35" i="16" s="1"/>
  <c r="C23" i="22"/>
  <c r="C23" i="29"/>
  <c r="E35" i="6"/>
  <c r="B36" i="21"/>
  <c r="B36" i="28"/>
  <c r="D37" i="6"/>
  <c r="F37" s="1"/>
  <c r="B34" i="22"/>
  <c r="B34" i="29"/>
  <c r="B36" i="16"/>
  <c r="B35" i="15"/>
  <c r="F16" i="13"/>
  <c r="D18"/>
  <c r="Z130" i="2"/>
  <c r="Z146" s="1"/>
  <c r="L53" i="17" s="1"/>
  <c r="Y130" i="2"/>
  <c r="Y146" s="1"/>
  <c r="K53" i="17" s="1"/>
  <c r="W127" i="2"/>
  <c r="W130" s="1"/>
  <c r="B43" i="21"/>
  <c r="B43" i="28"/>
  <c r="B17" i="5"/>
  <c r="G50" i="4"/>
  <c r="H50" s="1"/>
  <c r="E18" i="15"/>
  <c r="C15" i="4"/>
  <c r="D16" i="3"/>
  <c r="E16"/>
  <c r="E19" s="1"/>
  <c r="C53"/>
  <c r="G15" i="15"/>
  <c r="G17" i="14"/>
  <c r="G18" s="1"/>
  <c r="E52" i="5"/>
  <c r="G48" s="1"/>
  <c r="J51" i="2"/>
  <c r="AK51" s="1"/>
  <c r="AL55"/>
  <c r="AJ55"/>
  <c r="C65" i="28"/>
  <c r="C65" i="21"/>
  <c r="D68" i="2"/>
  <c r="C70"/>
  <c r="C58" i="3"/>
  <c r="B58" i="4"/>
  <c r="E67" i="17"/>
  <c r="C62" i="5" s="1"/>
  <c r="C61" i="6" s="1"/>
  <c r="B62" i="5"/>
  <c r="B61" i="6" s="1"/>
  <c r="H6" i="2"/>
  <c r="E70" i="4"/>
  <c r="C60" i="3"/>
  <c r="B60" i="4"/>
  <c r="B65" i="28"/>
  <c r="B65" i="21"/>
  <c r="E70" i="2"/>
  <c r="F68"/>
  <c r="E66" i="17"/>
  <c r="C61" i="5" s="1"/>
  <c r="C60" i="6" s="1"/>
  <c r="B61" i="5"/>
  <c r="B60" i="6" s="1"/>
  <c r="C59" i="3"/>
  <c r="B59" i="4"/>
  <c r="C62"/>
  <c r="C16" i="10"/>
  <c r="E68" i="17"/>
  <c r="C63" i="5" s="1"/>
  <c r="C62" i="6" s="1"/>
  <c r="B63" i="5"/>
  <c r="B62" i="6" s="1"/>
  <c r="D18" i="29"/>
  <c r="F18" s="1"/>
  <c r="H18" s="1"/>
  <c r="E18"/>
  <c r="H38" i="5"/>
  <c r="E18" i="16"/>
  <c r="D18"/>
  <c r="F18" s="1"/>
  <c r="H18" s="1"/>
  <c r="F50" i="6"/>
  <c r="E25" i="16"/>
  <c r="E24" i="15"/>
  <c r="G38" i="4"/>
  <c r="H38" s="1"/>
  <c r="H39" s="1"/>
  <c r="D18" i="22"/>
  <c r="F18" s="1"/>
  <c r="H18" s="1"/>
  <c r="E18"/>
  <c r="H37" i="13"/>
  <c r="D18" i="15"/>
  <c r="F15"/>
  <c r="D2" i="26"/>
  <c r="H5" i="13"/>
  <c r="H26"/>
  <c r="H29" s="1"/>
  <c r="F29"/>
  <c r="E40" i="5"/>
  <c r="G36" s="1"/>
  <c r="T16" i="9"/>
  <c r="T12"/>
  <c r="T13" s="1"/>
  <c r="Q65" i="8"/>
  <c r="R32"/>
  <c r="S65"/>
  <c r="U32"/>
  <c r="R28" i="7"/>
  <c r="R28" i="8"/>
  <c r="Q61"/>
  <c r="Q13" i="7"/>
  <c r="V13"/>
  <c r="T13" s="1"/>
  <c r="E71" i="4"/>
  <c r="H7" i="2"/>
  <c r="F57" i="28"/>
  <c r="C73" s="1"/>
  <c r="C72" i="6"/>
  <c r="F57" i="21"/>
  <c r="C73" s="1"/>
  <c r="B73" i="28" s="1"/>
  <c r="U31" i="7"/>
  <c r="S64" i="8"/>
  <c r="U31"/>
  <c r="U29" i="7"/>
  <c r="S62" i="8"/>
  <c r="U29"/>
  <c r="C64" i="5"/>
  <c r="H15" i="10"/>
  <c r="R65" i="7"/>
  <c r="R32"/>
  <c r="R63"/>
  <c r="R30"/>
  <c r="U15"/>
  <c r="S57" i="8"/>
  <c r="U15"/>
  <c r="S27"/>
  <c r="Q27"/>
  <c r="P33"/>
  <c r="V27"/>
  <c r="V33" s="1"/>
  <c r="B74" i="5"/>
  <c r="D71" i="4"/>
  <c r="I7" i="2" s="1"/>
  <c r="G70" i="4"/>
  <c r="J6" i="2" s="1"/>
  <c r="E73" i="5"/>
  <c r="C61" i="4"/>
  <c r="Q63" i="8"/>
  <c r="R30"/>
  <c r="U30" i="7"/>
  <c r="S63" i="8"/>
  <c r="U30"/>
  <c r="U28" i="7"/>
  <c r="U28" i="8"/>
  <c r="S61"/>
  <c r="S13"/>
  <c r="P18"/>
  <c r="V13"/>
  <c r="B72" i="6"/>
  <c r="D73" i="5"/>
  <c r="M6" i="2" s="1"/>
  <c r="R31" i="7"/>
  <c r="Q64" i="8"/>
  <c r="R31"/>
  <c r="R29" i="7"/>
  <c r="Q62" i="8"/>
  <c r="R29"/>
  <c r="B63" i="6"/>
  <c r="B50" i="15"/>
  <c r="U65" i="7"/>
  <c r="U32"/>
  <c r="R15"/>
  <c r="R15" i="8"/>
  <c r="Q57"/>
  <c r="V27" i="7"/>
  <c r="S33"/>
  <c r="Q27"/>
  <c r="F57" i="6"/>
  <c r="C74" i="5"/>
  <c r="H56" i="6"/>
  <c r="F73" i="5"/>
  <c r="B8" i="26"/>
  <c r="C48" i="13"/>
  <c r="F48"/>
  <c r="B48" i="14"/>
  <c r="AL54" i="2"/>
  <c r="AJ54"/>
  <c r="G71" i="4"/>
  <c r="J7" i="2" s="1"/>
  <c r="E74" i="5"/>
  <c r="S16" i="9"/>
  <c r="R20"/>
  <c r="AJ52" i="2"/>
  <c r="AL52"/>
  <c r="H57" i="6"/>
  <c r="F74" i="5"/>
  <c r="B56" i="26"/>
  <c r="C56"/>
  <c r="C44"/>
  <c r="B54"/>
  <c r="C42"/>
  <c r="C54"/>
  <c r="C53"/>
  <c r="B53"/>
  <c r="C41"/>
  <c r="B52"/>
  <c r="C40"/>
  <c r="C50" i="22"/>
  <c r="V14" i="7" l="1"/>
  <c r="T14" s="1"/>
  <c r="Q14"/>
  <c r="V14" i="8"/>
  <c r="T14" s="1"/>
  <c r="S14"/>
  <c r="Q14" s="1"/>
  <c r="D18" i="14"/>
  <c r="B30" i="5"/>
  <c r="B29" i="6" s="1"/>
  <c r="D29" i="3"/>
  <c r="F29" s="1"/>
  <c r="H29" s="1"/>
  <c r="C28" i="4"/>
  <c r="E29" i="3"/>
  <c r="E32" s="1"/>
  <c r="G28" s="1"/>
  <c r="G32" s="1"/>
  <c r="B51" i="4"/>
  <c r="H50" i="3"/>
  <c r="D49"/>
  <c r="F49" s="1"/>
  <c r="B51" i="28"/>
  <c r="B51" i="21"/>
  <c r="F51"/>
  <c r="F51" i="28"/>
  <c r="F39" i="21"/>
  <c r="F39" i="28"/>
  <c r="G25" i="16"/>
  <c r="G24" i="15"/>
  <c r="G36" i="16"/>
  <c r="G35" i="15"/>
  <c r="V16" i="8"/>
  <c r="T16" s="1"/>
  <c r="S16"/>
  <c r="Q16" s="1"/>
  <c r="E47" i="6"/>
  <c r="B48" i="28"/>
  <c r="E48" s="1"/>
  <c r="B48" i="21"/>
  <c r="E48" s="1"/>
  <c r="F12" i="3"/>
  <c r="G14" i="16"/>
  <c r="G13" i="15"/>
  <c r="Q16" i="7"/>
  <c r="V16"/>
  <c r="T16" s="1"/>
  <c r="E50" i="6"/>
  <c r="E51" s="1"/>
  <c r="G47" s="1"/>
  <c r="G50" s="1"/>
  <c r="G51" s="1"/>
  <c r="H9" i="3"/>
  <c r="H12" s="1"/>
  <c r="F40" i="5"/>
  <c r="B23" i="28"/>
  <c r="D24" i="6"/>
  <c r="F24" s="1"/>
  <c r="E22"/>
  <c r="B23" i="21"/>
  <c r="S17" i="8"/>
  <c r="Q17" s="1"/>
  <c r="V17"/>
  <c r="T17" s="1"/>
  <c r="C41" i="4"/>
  <c r="D42" i="3"/>
  <c r="F42" s="1"/>
  <c r="H42" s="1"/>
  <c r="E42"/>
  <c r="E45" s="1"/>
  <c r="G41" s="1"/>
  <c r="G45" s="1"/>
  <c r="Q17" i="7"/>
  <c r="V17"/>
  <c r="T17" s="1"/>
  <c r="H23" i="3"/>
  <c r="H26" s="1"/>
  <c r="F26"/>
  <c r="D23" i="4"/>
  <c r="F23" s="1"/>
  <c r="E23"/>
  <c r="C23" i="5"/>
  <c r="AD148" i="2"/>
  <c r="AD150" s="1"/>
  <c r="AI53"/>
  <c r="AJ53" s="1"/>
  <c r="H19" i="1"/>
  <c r="AJ111" i="2"/>
  <c r="R39" i="32"/>
  <c r="R46" s="1"/>
  <c r="P46"/>
  <c r="AJ51" i="2"/>
  <c r="J19" i="1"/>
  <c r="AL111" i="2"/>
  <c r="W146"/>
  <c r="W148" s="1"/>
  <c r="W150" s="1"/>
  <c r="K50" i="17" s="1"/>
  <c r="H15" i="14"/>
  <c r="F18"/>
  <c r="H48" i="13"/>
  <c r="F38"/>
  <c r="D40"/>
  <c r="D42" s="1"/>
  <c r="P21" i="32"/>
  <c r="R27"/>
  <c r="R34" s="1"/>
  <c r="P34"/>
  <c r="R21"/>
  <c r="E9" i="6"/>
  <c r="B9" i="28"/>
  <c r="E9" s="1"/>
  <c r="B9" i="21"/>
  <c r="E9" s="1"/>
  <c r="O38" i="7"/>
  <c r="O38" i="8"/>
  <c r="B42" i="28"/>
  <c r="E42" s="1"/>
  <c r="B42" i="21"/>
  <c r="E42" s="1"/>
  <c r="E41" i="6"/>
  <c r="B8" i="22"/>
  <c r="D6" i="16"/>
  <c r="F6" s="1"/>
  <c r="B8" i="29"/>
  <c r="D28" i="16"/>
  <c r="F28" s="1"/>
  <c r="D17"/>
  <c r="F17" s="1"/>
  <c r="E28" i="6"/>
  <c r="B29" i="28"/>
  <c r="E29" s="1"/>
  <c r="B29" i="21"/>
  <c r="E29" s="1"/>
  <c r="D10" i="4"/>
  <c r="F10" s="1"/>
  <c r="B13" i="5"/>
  <c r="B46"/>
  <c r="D43" i="4"/>
  <c r="F43" s="1"/>
  <c r="B15" i="6"/>
  <c r="E16" i="5"/>
  <c r="B54"/>
  <c r="D24" i="26"/>
  <c r="H5" i="15"/>
  <c r="E24" i="26" s="1"/>
  <c r="H43" i="3"/>
  <c r="H45" s="1"/>
  <c r="F45"/>
  <c r="D30" i="4"/>
  <c r="F30" s="1"/>
  <c r="B33" i="5"/>
  <c r="H30" i="3"/>
  <c r="H32" s="1"/>
  <c r="F32"/>
  <c r="D17" i="4"/>
  <c r="F17" s="1"/>
  <c r="B20" i="5"/>
  <c r="B9" i="6"/>
  <c r="E9" i="4"/>
  <c r="C9" i="5"/>
  <c r="D9" i="4"/>
  <c r="F9" s="1"/>
  <c r="H16" i="13"/>
  <c r="H18" s="1"/>
  <c r="F18"/>
  <c r="B36" i="22"/>
  <c r="B37" i="16"/>
  <c r="B36" i="29"/>
  <c r="D38" i="28"/>
  <c r="F38" s="1"/>
  <c r="H38" s="1"/>
  <c r="E36"/>
  <c r="B35" i="22"/>
  <c r="B35" i="29"/>
  <c r="C36" i="28"/>
  <c r="C36" i="21"/>
  <c r="E36" i="6"/>
  <c r="E38" s="1"/>
  <c r="E39" s="1"/>
  <c r="G35" s="1"/>
  <c r="G38" s="1"/>
  <c r="G39" s="1"/>
  <c r="D36"/>
  <c r="F36" s="1"/>
  <c r="H36" s="1"/>
  <c r="C25" i="16"/>
  <c r="C24" i="15"/>
  <c r="D27" s="1"/>
  <c r="E49" i="28"/>
  <c r="E51" s="1"/>
  <c r="E52" s="1"/>
  <c r="G48" s="1"/>
  <c r="G51" s="1"/>
  <c r="G52" s="1"/>
  <c r="D49"/>
  <c r="F49" s="1"/>
  <c r="H49" s="1"/>
  <c r="U33" i="7"/>
  <c r="G39" i="4"/>
  <c r="D37" i="15"/>
  <c r="C35"/>
  <c r="D38" s="1"/>
  <c r="F38" s="1"/>
  <c r="H38" s="1"/>
  <c r="D38" i="21"/>
  <c r="F38" s="1"/>
  <c r="H38" s="1"/>
  <c r="E36"/>
  <c r="C35" i="14"/>
  <c r="D37"/>
  <c r="E37"/>
  <c r="E27"/>
  <c r="C40"/>
  <c r="D27"/>
  <c r="E49" i="21"/>
  <c r="E51" s="1"/>
  <c r="E52" s="1"/>
  <c r="G48" s="1"/>
  <c r="G51" s="1"/>
  <c r="G52" s="1"/>
  <c r="D49"/>
  <c r="F49" s="1"/>
  <c r="H49" s="1"/>
  <c r="Y148" i="2"/>
  <c r="Y150" s="1"/>
  <c r="Z148"/>
  <c r="Z150" s="1"/>
  <c r="G51" i="5"/>
  <c r="H51" s="1"/>
  <c r="H50" i="6" s="1"/>
  <c r="F16" i="3"/>
  <c r="D51"/>
  <c r="B16" i="6"/>
  <c r="G17" i="15"/>
  <c r="H17" i="14"/>
  <c r="G15" i="3"/>
  <c r="G19" s="1"/>
  <c r="E53"/>
  <c r="E16" i="4"/>
  <c r="C53"/>
  <c r="D16"/>
  <c r="C16" i="5"/>
  <c r="B30" i="28"/>
  <c r="B30" i="21"/>
  <c r="G51" i="4"/>
  <c r="C63" i="28"/>
  <c r="C63" i="21"/>
  <c r="C13" i="10"/>
  <c r="C59" i="4"/>
  <c r="C61" i="28"/>
  <c r="C61" i="21"/>
  <c r="F70" i="2"/>
  <c r="E86"/>
  <c r="C60" i="4"/>
  <c r="C14" i="10"/>
  <c r="AL117" i="2"/>
  <c r="J22" i="1"/>
  <c r="C62" i="28"/>
  <c r="C62" i="21"/>
  <c r="C12" i="10"/>
  <c r="C58" i="4"/>
  <c r="B63" i="28"/>
  <c r="B63" i="21"/>
  <c r="H16" i="10"/>
  <c r="F16"/>
  <c r="G16"/>
  <c r="E16"/>
  <c r="B61" i="28"/>
  <c r="B61" i="21"/>
  <c r="B62" i="28"/>
  <c r="B62" i="21"/>
  <c r="C86" i="2"/>
  <c r="D70"/>
  <c r="B64" i="26"/>
  <c r="B65"/>
  <c r="C65"/>
  <c r="B66"/>
  <c r="C68"/>
  <c r="B68"/>
  <c r="E2"/>
  <c r="F18" i="15"/>
  <c r="H15"/>
  <c r="G18" i="22"/>
  <c r="E19"/>
  <c r="E20" s="1"/>
  <c r="C66" i="26"/>
  <c r="G39" i="5"/>
  <c r="H39" s="1"/>
  <c r="H38" i="6" s="1"/>
  <c r="D4" i="26"/>
  <c r="D6"/>
  <c r="D5"/>
  <c r="D13"/>
  <c r="D9"/>
  <c r="D7"/>
  <c r="E25" i="29"/>
  <c r="E26" s="1"/>
  <c r="E26" i="16"/>
  <c r="E25" i="22"/>
  <c r="E26" s="1"/>
  <c r="G18" i="16"/>
  <c r="E19"/>
  <c r="F39" i="6"/>
  <c r="H37"/>
  <c r="G18" i="29"/>
  <c r="E19"/>
  <c r="F19" s="1"/>
  <c r="U16" i="9"/>
  <c r="T20"/>
  <c r="C48" i="14"/>
  <c r="E62"/>
  <c r="E72" i="6"/>
  <c r="G73" i="5"/>
  <c r="N6" i="2" s="1"/>
  <c r="B73" i="6"/>
  <c r="D74" i="5"/>
  <c r="M7" i="2" s="1"/>
  <c r="R60" i="7"/>
  <c r="Q33"/>
  <c r="V33"/>
  <c r="T27"/>
  <c r="Q57"/>
  <c r="S57" s="1"/>
  <c r="K31" i="2" s="1"/>
  <c r="R57" i="8"/>
  <c r="I31" i="2" s="1"/>
  <c r="AI31" s="1"/>
  <c r="B64" i="28"/>
  <c r="B64" i="21"/>
  <c r="R62" i="8"/>
  <c r="I28" i="2" s="1"/>
  <c r="Q62" i="7"/>
  <c r="S62" s="1"/>
  <c r="K28" i="2" s="1"/>
  <c r="T61" i="7"/>
  <c r="V61" s="1"/>
  <c r="L27" i="2" s="1"/>
  <c r="T61" i="8"/>
  <c r="J27" i="2" s="1"/>
  <c r="AK27" s="1"/>
  <c r="T63" i="7"/>
  <c r="V63" s="1"/>
  <c r="L36" i="2" s="1"/>
  <c r="T63" i="8"/>
  <c r="J36" i="2" s="1"/>
  <c r="AK36" s="1"/>
  <c r="R27" i="7"/>
  <c r="Q33" i="8"/>
  <c r="Q34" s="1"/>
  <c r="Q60"/>
  <c r="R27"/>
  <c r="R33" s="1"/>
  <c r="T57" i="7"/>
  <c r="V57" s="1"/>
  <c r="L31" i="2" s="1"/>
  <c r="T57" i="8"/>
  <c r="J31" i="2" s="1"/>
  <c r="AK31" s="1"/>
  <c r="T64" i="7"/>
  <c r="V64" s="1"/>
  <c r="L37" i="2" s="1"/>
  <c r="T64" i="8"/>
  <c r="J37" i="2" s="1"/>
  <c r="AK37" s="1"/>
  <c r="U55" i="7"/>
  <c r="T18"/>
  <c r="R61" i="8"/>
  <c r="I27" i="2" s="1"/>
  <c r="Q61" i="7"/>
  <c r="S61" s="1"/>
  <c r="K27" i="2" s="1"/>
  <c r="T65" i="7"/>
  <c r="V65" s="1"/>
  <c r="L38" i="2" s="1"/>
  <c r="T65" i="8"/>
  <c r="J38" i="2" s="1"/>
  <c r="AK38" s="1"/>
  <c r="Q65" i="7"/>
  <c r="S65" s="1"/>
  <c r="K38" i="2" s="1"/>
  <c r="R65" i="8"/>
  <c r="I38" i="2" s="1"/>
  <c r="AI38" s="1"/>
  <c r="R33" i="7"/>
  <c r="B62" i="14"/>
  <c r="B19" i="26"/>
  <c r="D19" s="1"/>
  <c r="C8"/>
  <c r="D8"/>
  <c r="H57" i="28"/>
  <c r="F73" s="1"/>
  <c r="H57" i="21"/>
  <c r="F73" s="1"/>
  <c r="E73" i="28" s="1"/>
  <c r="F72" i="6"/>
  <c r="C73"/>
  <c r="F58" i="28"/>
  <c r="C74" s="1"/>
  <c r="F58" i="21"/>
  <c r="C74" s="1"/>
  <c r="B74" i="28" s="1"/>
  <c r="B31" i="26"/>
  <c r="D31" s="1"/>
  <c r="B53" i="16"/>
  <c r="R64" i="8"/>
  <c r="I37" i="2" s="1"/>
  <c r="AI37" s="1"/>
  <c r="Q64" i="7"/>
  <c r="S64" s="1"/>
  <c r="K37" i="2" s="1"/>
  <c r="V18" i="8"/>
  <c r="T13"/>
  <c r="S18"/>
  <c r="Q13"/>
  <c r="R13" i="7" s="1"/>
  <c r="Q63"/>
  <c r="S63" s="1"/>
  <c r="K36" i="2" s="1"/>
  <c r="R63" i="8"/>
  <c r="I36" i="2" s="1"/>
  <c r="T27" i="8"/>
  <c r="S33"/>
  <c r="C31" i="26"/>
  <c r="C50" i="15"/>
  <c r="C63" i="6"/>
  <c r="T62" i="7"/>
  <c r="V62" s="1"/>
  <c r="L28" i="2" s="1"/>
  <c r="T62" i="8"/>
  <c r="J28" i="2" s="1"/>
  <c r="AK28" s="1"/>
  <c r="D72" i="6"/>
  <c r="O6" i="2" s="1"/>
  <c r="D73" i="28"/>
  <c r="B73" i="21"/>
  <c r="D73" s="1"/>
  <c r="Q6" i="2" s="1"/>
  <c r="Q18" i="7"/>
  <c r="R55"/>
  <c r="U33" i="8"/>
  <c r="H58" i="28"/>
  <c r="F74" s="1"/>
  <c r="F73" i="6"/>
  <c r="H58" i="21"/>
  <c r="F74" s="1"/>
  <c r="E74" i="28" s="1"/>
  <c r="I49" i="2"/>
  <c r="AI49" s="1"/>
  <c r="S20" i="9"/>
  <c r="E73" i="6"/>
  <c r="G74" i="5"/>
  <c r="N7" i="2" s="1"/>
  <c r="C52" i="26"/>
  <c r="S56" i="8" l="1"/>
  <c r="U14"/>
  <c r="U56" i="7"/>
  <c r="U14"/>
  <c r="Q56" i="8"/>
  <c r="R14"/>
  <c r="R14" i="7"/>
  <c r="R56"/>
  <c r="AN27" i="2"/>
  <c r="AI6"/>
  <c r="E29" i="4"/>
  <c r="C29" i="5"/>
  <c r="D29" i="4"/>
  <c r="F29" s="1"/>
  <c r="H29" s="1"/>
  <c r="AI36" i="2"/>
  <c r="AI27"/>
  <c r="AI28"/>
  <c r="H49" i="3"/>
  <c r="H51" s="1"/>
  <c r="F51"/>
  <c r="D49" i="4"/>
  <c r="F49" s="1"/>
  <c r="B52" i="5"/>
  <c r="H39" i="21"/>
  <c r="H39" i="28"/>
  <c r="H51" i="21"/>
  <c r="H51" i="28"/>
  <c r="R16" i="7"/>
  <c r="R58"/>
  <c r="G14" i="29"/>
  <c r="G15" s="1"/>
  <c r="G14" i="22"/>
  <c r="G15" s="1"/>
  <c r="G15" i="16"/>
  <c r="S58" i="8"/>
  <c r="U16"/>
  <c r="G36" i="29"/>
  <c r="G37" s="1"/>
  <c r="G37" i="16"/>
  <c r="G36" i="22"/>
  <c r="G37" s="1"/>
  <c r="G26" i="16"/>
  <c r="G25" i="29"/>
  <c r="G26" s="1"/>
  <c r="G25" i="22"/>
  <c r="G26" s="1"/>
  <c r="U16" i="7"/>
  <c r="U58"/>
  <c r="Q58" i="8"/>
  <c r="R16"/>
  <c r="H39" i="6"/>
  <c r="G53" i="3"/>
  <c r="H18" i="14"/>
  <c r="E23" i="28"/>
  <c r="D25"/>
  <c r="F25" s="1"/>
  <c r="D25" i="21"/>
  <c r="F25" s="1"/>
  <c r="E23"/>
  <c r="U59" i="7"/>
  <c r="U17"/>
  <c r="D42" i="4"/>
  <c r="F42" s="1"/>
  <c r="H42" s="1"/>
  <c r="E42"/>
  <c r="C42" i="5"/>
  <c r="R17" i="8"/>
  <c r="Q59"/>
  <c r="R59" i="7"/>
  <c r="R17"/>
  <c r="R18" s="1"/>
  <c r="S59" i="8"/>
  <c r="U17"/>
  <c r="C22" i="6"/>
  <c r="E24" i="5"/>
  <c r="D24"/>
  <c r="F24" s="1"/>
  <c r="H23" i="4"/>
  <c r="E25"/>
  <c r="F25" s="1"/>
  <c r="H24" s="1"/>
  <c r="AL53" i="2"/>
  <c r="AL51"/>
  <c r="H38" i="13"/>
  <c r="H40" s="1"/>
  <c r="H42" s="1"/>
  <c r="F40"/>
  <c r="F42" s="1"/>
  <c r="B37" i="22"/>
  <c r="E39" s="1"/>
  <c r="D26" i="26"/>
  <c r="D29"/>
  <c r="D32"/>
  <c r="D30"/>
  <c r="D28"/>
  <c r="B12" i="6"/>
  <c r="D11" i="5"/>
  <c r="F11" s="1"/>
  <c r="D36" i="26"/>
  <c r="H6" i="16"/>
  <c r="E36" i="26" s="1"/>
  <c r="E44" s="1"/>
  <c r="P47" i="7"/>
  <c r="P43"/>
  <c r="P48"/>
  <c r="P44"/>
  <c r="P42"/>
  <c r="P45"/>
  <c r="P46"/>
  <c r="D18" i="5"/>
  <c r="F18" s="1"/>
  <c r="B19" i="6"/>
  <c r="D31" i="5"/>
  <c r="F31" s="1"/>
  <c r="B32" i="6"/>
  <c r="E29" i="26"/>
  <c r="E30"/>
  <c r="E28"/>
  <c r="E32"/>
  <c r="E26"/>
  <c r="B16" i="28"/>
  <c r="B16" i="21"/>
  <c r="E15" i="6"/>
  <c r="B53"/>
  <c r="D44" i="5"/>
  <c r="F44" s="1"/>
  <c r="B45" i="6"/>
  <c r="D17" i="29"/>
  <c r="F17" s="1"/>
  <c r="H17" s="1"/>
  <c r="D28"/>
  <c r="F28" s="1"/>
  <c r="D6"/>
  <c r="F6" s="1"/>
  <c r="H6" s="1"/>
  <c r="D6" i="22"/>
  <c r="F6" s="1"/>
  <c r="H6" s="1"/>
  <c r="D17"/>
  <c r="F17" s="1"/>
  <c r="D28"/>
  <c r="F28" s="1"/>
  <c r="D10" i="26"/>
  <c r="H9" i="4"/>
  <c r="E11"/>
  <c r="F11" s="1"/>
  <c r="H10" s="1"/>
  <c r="B10" i="28"/>
  <c r="B10" i="21"/>
  <c r="E10" i="5"/>
  <c r="D10"/>
  <c r="F10" s="1"/>
  <c r="C8" i="6"/>
  <c r="E37" i="15"/>
  <c r="D38" i="14"/>
  <c r="F38" s="1"/>
  <c r="H38" s="1"/>
  <c r="E38"/>
  <c r="C25" i="22"/>
  <c r="C26" s="1"/>
  <c r="C25" i="29"/>
  <c r="C26" s="1"/>
  <c r="C26" i="16"/>
  <c r="D37" i="28"/>
  <c r="F37" s="1"/>
  <c r="H37" s="1"/>
  <c r="E37"/>
  <c r="E39" s="1"/>
  <c r="E40" s="1"/>
  <c r="G36" s="1"/>
  <c r="G39" s="1"/>
  <c r="G40" s="1"/>
  <c r="D39" i="22"/>
  <c r="F39" s="1"/>
  <c r="C37"/>
  <c r="B37" i="29"/>
  <c r="E41" i="26"/>
  <c r="D29" i="14"/>
  <c r="F27"/>
  <c r="H27" s="1"/>
  <c r="E27" i="15"/>
  <c r="G27" i="14"/>
  <c r="G27" i="15" s="1"/>
  <c r="E28" i="14"/>
  <c r="F37"/>
  <c r="F37" i="15"/>
  <c r="D40"/>
  <c r="F27"/>
  <c r="H27" s="1"/>
  <c r="D29"/>
  <c r="D42" s="1"/>
  <c r="D37" i="21"/>
  <c r="F37" s="1"/>
  <c r="H37" s="1"/>
  <c r="E37"/>
  <c r="E39" s="1"/>
  <c r="E40" s="1"/>
  <c r="G36" s="1"/>
  <c r="G39" s="1"/>
  <c r="G40" s="1"/>
  <c r="E39" i="16"/>
  <c r="C37"/>
  <c r="D39"/>
  <c r="F39" s="1"/>
  <c r="C15" i="6"/>
  <c r="D17" i="5"/>
  <c r="F17" s="1"/>
  <c r="E17"/>
  <c r="E65" i="3"/>
  <c r="F61"/>
  <c r="H17" i="15"/>
  <c r="H18" s="1"/>
  <c r="G18"/>
  <c r="B17" i="28"/>
  <c r="B17" i="21"/>
  <c r="H16" i="3"/>
  <c r="H19" s="1"/>
  <c r="H53" s="1"/>
  <c r="F19"/>
  <c r="F16" i="4"/>
  <c r="D53"/>
  <c r="E18"/>
  <c r="F18" s="1"/>
  <c r="H17" s="1"/>
  <c r="G65" i="3"/>
  <c r="H61"/>
  <c r="G52" i="5"/>
  <c r="C95" i="2"/>
  <c r="D86"/>
  <c r="G12" i="10"/>
  <c r="H12"/>
  <c r="F12"/>
  <c r="E12"/>
  <c r="F13"/>
  <c r="G13"/>
  <c r="H13"/>
  <c r="E13"/>
  <c r="E14"/>
  <c r="G14"/>
  <c r="H14"/>
  <c r="F14"/>
  <c r="E95" i="2"/>
  <c r="F86"/>
  <c r="AJ28"/>
  <c r="G116"/>
  <c r="F40" i="28"/>
  <c r="F19" i="22"/>
  <c r="G17"/>
  <c r="H44" i="13"/>
  <c r="E57" i="14"/>
  <c r="H46" i="13"/>
  <c r="E60" i="14" s="1"/>
  <c r="H45" i="13"/>
  <c r="E59" i="14" s="1"/>
  <c r="H49" i="13"/>
  <c r="E63" i="14" s="1"/>
  <c r="H47" i="13"/>
  <c r="E61" i="14" s="1"/>
  <c r="C64" i="26"/>
  <c r="G17" i="29"/>
  <c r="E20"/>
  <c r="F19" i="16"/>
  <c r="E20"/>
  <c r="G17"/>
  <c r="D15" i="26"/>
  <c r="D16"/>
  <c r="D18"/>
  <c r="D17"/>
  <c r="D20"/>
  <c r="E4"/>
  <c r="E13"/>
  <c r="E9"/>
  <c r="E7"/>
  <c r="E6"/>
  <c r="E5"/>
  <c r="AJ36" i="2"/>
  <c r="AJ38"/>
  <c r="AJ31"/>
  <c r="G40" i="5"/>
  <c r="H40"/>
  <c r="E42" i="26"/>
  <c r="J49" i="2"/>
  <c r="AK49" s="1"/>
  <c r="U20" i="9"/>
  <c r="C64" i="28"/>
  <c r="C64" i="21"/>
  <c r="E31" i="26"/>
  <c r="C43"/>
  <c r="U27" i="7"/>
  <c r="T33" i="8"/>
  <c r="T34" s="1"/>
  <c r="S60"/>
  <c r="U27"/>
  <c r="D73" i="6"/>
  <c r="O7" i="2" s="1"/>
  <c r="B74" i="21"/>
  <c r="D74" s="1"/>
  <c r="Q7" i="2" s="1"/>
  <c r="U60" i="7"/>
  <c r="T33"/>
  <c r="Q34"/>
  <c r="C53" i="16"/>
  <c r="Q55" i="8"/>
  <c r="Q18"/>
  <c r="Q19" s="1"/>
  <c r="R13"/>
  <c r="R18" s="1"/>
  <c r="S55"/>
  <c r="T18"/>
  <c r="T19" s="1"/>
  <c r="U13"/>
  <c r="U18" s="1"/>
  <c r="B53" i="29"/>
  <c r="B43" i="26"/>
  <c r="B53" i="22"/>
  <c r="E73" i="21"/>
  <c r="G73" s="1"/>
  <c r="R6" i="2" s="1"/>
  <c r="C19" i="26"/>
  <c r="E19" s="1"/>
  <c r="E8"/>
  <c r="R60" i="8"/>
  <c r="I26" i="2" s="1"/>
  <c r="Q60" i="7"/>
  <c r="S60" s="1"/>
  <c r="K26" i="2" s="1"/>
  <c r="AJ6"/>
  <c r="AJ37"/>
  <c r="D74" i="28"/>
  <c r="G73"/>
  <c r="AJ27" i="2"/>
  <c r="U13" i="7"/>
  <c r="U18" s="1"/>
  <c r="AL31" i="2"/>
  <c r="G72" i="6"/>
  <c r="P6" i="2" s="1"/>
  <c r="AK6" s="1"/>
  <c r="I57"/>
  <c r="G74" i="28"/>
  <c r="G73" i="6"/>
  <c r="P7" i="2" s="1"/>
  <c r="E74" i="21"/>
  <c r="G74" s="1"/>
  <c r="R7" i="2" s="1"/>
  <c r="AM27" l="1"/>
  <c r="Q56" i="7"/>
  <c r="S56" s="1"/>
  <c r="K25" i="2" s="1"/>
  <c r="R56" i="8"/>
  <c r="I25" i="2" s="1"/>
  <c r="T56" i="8"/>
  <c r="J25" i="2" s="1"/>
  <c r="T56" i="7"/>
  <c r="V56" s="1"/>
  <c r="L25" i="2" s="1"/>
  <c r="C54" i="5"/>
  <c r="AI7" i="2"/>
  <c r="E40" i="26"/>
  <c r="F53" i="3"/>
  <c r="AK7" i="2"/>
  <c r="AI26"/>
  <c r="D30" i="5"/>
  <c r="F30" s="1"/>
  <c r="H30" s="1"/>
  <c r="C28" i="6"/>
  <c r="E30" i="5"/>
  <c r="E31" i="4"/>
  <c r="F31" s="1"/>
  <c r="H49"/>
  <c r="H51" s="1"/>
  <c r="F51"/>
  <c r="D50" i="5"/>
  <c r="F50" s="1"/>
  <c r="B51" i="6"/>
  <c r="H17" i="22"/>
  <c r="R58" i="8"/>
  <c r="I33" i="2" s="1"/>
  <c r="Q58" i="7"/>
  <c r="S58" s="1"/>
  <c r="K33" i="2" s="1"/>
  <c r="T58" i="8"/>
  <c r="J33" i="2" s="1"/>
  <c r="T58" i="7"/>
  <c r="V58" s="1"/>
  <c r="L33" i="2" s="1"/>
  <c r="T59" i="7"/>
  <c r="V59" s="1"/>
  <c r="L29" i="2" s="1"/>
  <c r="T59" i="8"/>
  <c r="J29" i="2" s="1"/>
  <c r="Q59" i="7"/>
  <c r="S59" s="1"/>
  <c r="K29" i="2" s="1"/>
  <c r="R59" i="8"/>
  <c r="I29" i="2" s="1"/>
  <c r="C41" i="6"/>
  <c r="C53" s="1"/>
  <c r="E43" i="5"/>
  <c r="D43"/>
  <c r="F43" s="1"/>
  <c r="H43" s="1"/>
  <c r="E44" i="4"/>
  <c r="F44" s="1"/>
  <c r="F45" i="13"/>
  <c r="B59" i="14" s="1"/>
  <c r="F46" i="13"/>
  <c r="B60" i="14" s="1"/>
  <c r="F47" i="13"/>
  <c r="B61" i="14" s="1"/>
  <c r="F44" i="13"/>
  <c r="E26" i="4"/>
  <c r="G22" s="1"/>
  <c r="G25" s="1"/>
  <c r="H25" s="1"/>
  <c r="H26" s="1"/>
  <c r="H24" i="5"/>
  <c r="D23" i="6"/>
  <c r="F23" s="1"/>
  <c r="C23" i="21"/>
  <c r="E23" i="6"/>
  <c r="E25" s="1"/>
  <c r="E26" s="1"/>
  <c r="G22" s="1"/>
  <c r="G25" s="1"/>
  <c r="G26" s="1"/>
  <c r="C23" i="28"/>
  <c r="E26" i="5"/>
  <c r="F26" s="1"/>
  <c r="F26" i="4"/>
  <c r="B57" i="14"/>
  <c r="F49" i="13"/>
  <c r="B63" i="14" s="1"/>
  <c r="AJ26" i="2"/>
  <c r="H40" i="21"/>
  <c r="AL28" i="2"/>
  <c r="AL36"/>
  <c r="AL37"/>
  <c r="D33" i="26"/>
  <c r="E10"/>
  <c r="E33" s="1"/>
  <c r="F40" i="21"/>
  <c r="E38" i="26"/>
  <c r="D40" i="14"/>
  <c r="F17" i="10"/>
  <c r="F19" s="1"/>
  <c r="G17"/>
  <c r="G19" s="1"/>
  <c r="E16" i="28"/>
  <c r="B54"/>
  <c r="B33" i="21"/>
  <c r="D31" s="1"/>
  <c r="F31" s="1"/>
  <c r="B33" i="28"/>
  <c r="D31" s="1"/>
  <c r="F31" s="1"/>
  <c r="D30" i="6"/>
  <c r="F30" s="1"/>
  <c r="B20" i="28"/>
  <c r="D18" s="1"/>
  <c r="F18" s="1"/>
  <c r="B20" i="21"/>
  <c r="D18" s="1"/>
  <c r="F18" s="1"/>
  <c r="D17" i="6"/>
  <c r="F17" s="1"/>
  <c r="P45" i="8"/>
  <c r="S45" i="7"/>
  <c r="V45" s="1"/>
  <c r="S44"/>
  <c r="V44" s="1"/>
  <c r="P44" i="8"/>
  <c r="P43"/>
  <c r="S43" i="7"/>
  <c r="V43" s="1"/>
  <c r="D48" i="26"/>
  <c r="D60" s="1"/>
  <c r="E48"/>
  <c r="E60" s="1"/>
  <c r="B46" i="28"/>
  <c r="D44" s="1"/>
  <c r="F44" s="1"/>
  <c r="B46" i="21"/>
  <c r="D44" s="1"/>
  <c r="F44" s="1"/>
  <c r="D43" i="6"/>
  <c r="F43" s="1"/>
  <c r="E16" i="21"/>
  <c r="B54"/>
  <c r="P46" i="8"/>
  <c r="S46" i="7"/>
  <c r="V46" s="1"/>
  <c r="P49"/>
  <c r="S42"/>
  <c r="P42" i="8"/>
  <c r="P48"/>
  <c r="S48" i="7"/>
  <c r="V48" s="1"/>
  <c r="P47" i="8"/>
  <c r="S47" i="7"/>
  <c r="V47" s="1"/>
  <c r="D38" i="26"/>
  <c r="D42"/>
  <c r="D44"/>
  <c r="D40"/>
  <c r="D41"/>
  <c r="B13" i="28"/>
  <c r="D11" s="1"/>
  <c r="F11" s="1"/>
  <c r="D11" i="6"/>
  <c r="F11" s="1"/>
  <c r="B13" i="21"/>
  <c r="D11" s="1"/>
  <c r="F11" s="1"/>
  <c r="B58" i="14"/>
  <c r="F51" i="13"/>
  <c r="E12" i="4"/>
  <c r="G8" s="1"/>
  <c r="E10" i="6"/>
  <c r="C9" i="28"/>
  <c r="C9" i="21"/>
  <c r="D10" i="6"/>
  <c r="F10" s="1"/>
  <c r="E12" i="5"/>
  <c r="F12" s="1"/>
  <c r="H11" s="1"/>
  <c r="H10"/>
  <c r="F12" i="4"/>
  <c r="D40" i="16"/>
  <c r="F40" s="1"/>
  <c r="H40" s="1"/>
  <c r="E40"/>
  <c r="G40" s="1"/>
  <c r="E29" i="14"/>
  <c r="F28"/>
  <c r="E28" i="15"/>
  <c r="G26" i="14"/>
  <c r="E29" i="16"/>
  <c r="D29"/>
  <c r="F29" s="1"/>
  <c r="H29" s="1"/>
  <c r="E29" i="22"/>
  <c r="D29"/>
  <c r="F29" s="1"/>
  <c r="H29" s="1"/>
  <c r="E19" i="4"/>
  <c r="D42" i="14"/>
  <c r="C37" i="29"/>
  <c r="D39"/>
  <c r="F39" s="1"/>
  <c r="E39"/>
  <c r="D40" i="22"/>
  <c r="F40" s="1"/>
  <c r="H40" s="1"/>
  <c r="E40"/>
  <c r="D29" i="29"/>
  <c r="F29" s="1"/>
  <c r="H29" s="1"/>
  <c r="E29"/>
  <c r="E38" i="15"/>
  <c r="G38" i="14"/>
  <c r="G38" i="15" s="1"/>
  <c r="E39" i="14"/>
  <c r="E40" s="1"/>
  <c r="G15" i="4"/>
  <c r="H16"/>
  <c r="F19"/>
  <c r="H59" i="3"/>
  <c r="H60"/>
  <c r="H58"/>
  <c r="H62"/>
  <c r="H5" i="2"/>
  <c r="H57" i="3"/>
  <c r="E69" i="4"/>
  <c r="E19" i="5"/>
  <c r="F19" s="1"/>
  <c r="F20" s="1"/>
  <c r="C16" i="28"/>
  <c r="E16" i="6"/>
  <c r="E18" s="1"/>
  <c r="E19" s="1"/>
  <c r="D16"/>
  <c r="F16" s="1"/>
  <c r="C16" i="21"/>
  <c r="D21" i="26"/>
  <c r="E76" i="4"/>
  <c r="H13" i="2"/>
  <c r="F57" i="3"/>
  <c r="B69" i="4"/>
  <c r="F59" i="3"/>
  <c r="F62"/>
  <c r="G5" i="2"/>
  <c r="F58" i="3"/>
  <c r="F60"/>
  <c r="G13" i="2"/>
  <c r="B76" i="4"/>
  <c r="H17" i="5"/>
  <c r="T34" i="7"/>
  <c r="C99" i="2"/>
  <c r="D99" s="1"/>
  <c r="D9" i="1"/>
  <c r="D95" i="2"/>
  <c r="C119"/>
  <c r="F95"/>
  <c r="E99"/>
  <c r="E119"/>
  <c r="E17" i="10"/>
  <c r="E19" s="1"/>
  <c r="H17"/>
  <c r="H19" s="1"/>
  <c r="AL38" i="2"/>
  <c r="AL6"/>
  <c r="E15" i="26"/>
  <c r="E16"/>
  <c r="E18"/>
  <c r="E17"/>
  <c r="E20"/>
  <c r="F20" i="29"/>
  <c r="E58" i="14"/>
  <c r="E64" s="1"/>
  <c r="H51" i="13"/>
  <c r="F20" i="22"/>
  <c r="Q19" i="7"/>
  <c r="E45" i="26"/>
  <c r="P116" i="2" s="1"/>
  <c r="G19" i="16"/>
  <c r="H19" s="1"/>
  <c r="H17"/>
  <c r="F20"/>
  <c r="G19" i="29"/>
  <c r="G19" i="22"/>
  <c r="H19" s="1"/>
  <c r="H40" i="28"/>
  <c r="AJ7" i="2"/>
  <c r="AK57"/>
  <c r="N54" i="32" s="1"/>
  <c r="J57" i="2"/>
  <c r="AL27"/>
  <c r="M116"/>
  <c r="H116"/>
  <c r="B55" i="26"/>
  <c r="T55" i="7"/>
  <c r="V55" s="1"/>
  <c r="L24" i="2" s="1"/>
  <c r="T55" i="8"/>
  <c r="J24" i="2" s="1"/>
  <c r="T60" i="8"/>
  <c r="J26" i="2" s="1"/>
  <c r="T60" i="7"/>
  <c r="V60" s="1"/>
  <c r="L26" i="2" s="1"/>
  <c r="T19" i="7"/>
  <c r="Q55"/>
  <c r="R55" i="8"/>
  <c r="I24" i="2" s="1"/>
  <c r="C53" i="29"/>
  <c r="C53" i="22"/>
  <c r="AJ49" i="2"/>
  <c r="AI57"/>
  <c r="L54" i="32" s="1"/>
  <c r="AL49" i="2"/>
  <c r="AK25" l="1"/>
  <c r="AI25"/>
  <c r="AJ25" s="1"/>
  <c r="D8" i="1"/>
  <c r="D26"/>
  <c r="AK24" i="2"/>
  <c r="AK33"/>
  <c r="AI33"/>
  <c r="H30" i="4"/>
  <c r="F32"/>
  <c r="E32" i="5"/>
  <c r="F32" s="1"/>
  <c r="AK26" i="2"/>
  <c r="E29" i="6"/>
  <c r="E31" s="1"/>
  <c r="E32" s="1"/>
  <c r="G28" s="1"/>
  <c r="G31" s="1"/>
  <c r="G32" s="1"/>
  <c r="C29" i="21"/>
  <c r="C29" i="28"/>
  <c r="D29" i="6"/>
  <c r="F29" s="1"/>
  <c r="H29" s="1"/>
  <c r="AI29" i="2"/>
  <c r="AK29"/>
  <c r="E32" i="4"/>
  <c r="G28" s="1"/>
  <c r="H50" i="5"/>
  <c r="H52" s="1"/>
  <c r="F52"/>
  <c r="B52" i="28"/>
  <c r="D50" s="1"/>
  <c r="F50" s="1"/>
  <c r="B52" i="21"/>
  <c r="D50" s="1"/>
  <c r="F50" s="1"/>
  <c r="D49" i="6"/>
  <c r="F49" s="1"/>
  <c r="AJ33" i="2"/>
  <c r="B64" i="14"/>
  <c r="AJ29" i="2"/>
  <c r="E42" i="6"/>
  <c r="E44" s="1"/>
  <c r="E45" s="1"/>
  <c r="G41" s="1"/>
  <c r="G44" s="1"/>
  <c r="G45" s="1"/>
  <c r="C42" i="21"/>
  <c r="C42" i="28"/>
  <c r="D42" i="6"/>
  <c r="F42" s="1"/>
  <c r="H42" s="1"/>
  <c r="E45" i="4"/>
  <c r="G41" s="1"/>
  <c r="H43"/>
  <c r="F45"/>
  <c r="E45" i="5"/>
  <c r="F45" s="1"/>
  <c r="H25"/>
  <c r="F25" i="6"/>
  <c r="H23"/>
  <c r="F26"/>
  <c r="D24" i="28"/>
  <c r="F24" s="1"/>
  <c r="H24" s="1"/>
  <c r="E24"/>
  <c r="E26" s="1"/>
  <c r="E27" s="1"/>
  <c r="G23" s="1"/>
  <c r="G26" s="1"/>
  <c r="G27" s="1"/>
  <c r="E24" i="21"/>
  <c r="E26" s="1"/>
  <c r="E27" s="1"/>
  <c r="G23" s="1"/>
  <c r="G26" s="1"/>
  <c r="G27" s="1"/>
  <c r="D24"/>
  <c r="F24" s="1"/>
  <c r="H24" s="1"/>
  <c r="F53" i="4"/>
  <c r="E27" i="5"/>
  <c r="G23" s="1"/>
  <c r="F27"/>
  <c r="G26" i="4"/>
  <c r="H19" i="29"/>
  <c r="H20" s="1"/>
  <c r="D45" i="26"/>
  <c r="O116" i="2" s="1"/>
  <c r="E42" i="14"/>
  <c r="F48" s="1"/>
  <c r="C62" s="1"/>
  <c r="P54" i="32"/>
  <c r="D62" i="26"/>
  <c r="D66"/>
  <c r="D64"/>
  <c r="D68"/>
  <c r="D65"/>
  <c r="S47" i="8"/>
  <c r="V47"/>
  <c r="S48"/>
  <c r="V48"/>
  <c r="V42" i="7"/>
  <c r="V49" s="1"/>
  <c r="S49"/>
  <c r="D50" i="26"/>
  <c r="D52"/>
  <c r="D53"/>
  <c r="D54"/>
  <c r="D56"/>
  <c r="V43" i="8"/>
  <c r="S43"/>
  <c r="S45"/>
  <c r="V45"/>
  <c r="P49"/>
  <c r="S42"/>
  <c r="V42"/>
  <c r="S46"/>
  <c r="V46"/>
  <c r="E50" i="26"/>
  <c r="E53"/>
  <c r="E56"/>
  <c r="E54"/>
  <c r="E52"/>
  <c r="S44" i="8"/>
  <c r="V44"/>
  <c r="F53" i="13"/>
  <c r="G101" i="2" s="1"/>
  <c r="F55" i="13"/>
  <c r="E21" i="26"/>
  <c r="G11" i="4"/>
  <c r="H11" s="1"/>
  <c r="H12" s="1"/>
  <c r="AL7" i="2"/>
  <c r="D62" i="14"/>
  <c r="B64" i="15"/>
  <c r="D10" i="21"/>
  <c r="F10" s="1"/>
  <c r="H10" s="1"/>
  <c r="E10"/>
  <c r="E12" i="6"/>
  <c r="F12" s="1"/>
  <c r="H11" s="1"/>
  <c r="E41" i="16"/>
  <c r="F13" i="5"/>
  <c r="E13"/>
  <c r="G9" s="1"/>
  <c r="H10" i="6"/>
  <c r="E10" i="28"/>
  <c r="D10"/>
  <c r="F10" s="1"/>
  <c r="H10" s="1"/>
  <c r="F39" i="14"/>
  <c r="E39" i="15"/>
  <c r="F39" s="1"/>
  <c r="G37" i="14"/>
  <c r="G29" i="29"/>
  <c r="E30"/>
  <c r="G40" i="22"/>
  <c r="E40" i="29"/>
  <c r="G40" s="1"/>
  <c r="D40"/>
  <c r="F40" s="1"/>
  <c r="H40" s="1"/>
  <c r="G39" i="16"/>
  <c r="F41"/>
  <c r="G29" i="22"/>
  <c r="E30"/>
  <c r="G29" i="16"/>
  <c r="E30"/>
  <c r="E31" s="1"/>
  <c r="F28" i="15"/>
  <c r="E29"/>
  <c r="G20" i="22"/>
  <c r="G20" i="29"/>
  <c r="G26" i="15"/>
  <c r="G28" i="14"/>
  <c r="H26"/>
  <c r="F29"/>
  <c r="E42" i="16"/>
  <c r="E41" i="22"/>
  <c r="G12" i="2"/>
  <c r="B75" i="4"/>
  <c r="G11" i="2"/>
  <c r="B74" i="4"/>
  <c r="B72"/>
  <c r="G9" i="2"/>
  <c r="F63" i="3"/>
  <c r="C54" i="21"/>
  <c r="E17"/>
  <c r="E19" s="1"/>
  <c r="E20" s="1"/>
  <c r="D17"/>
  <c r="F17" s="1"/>
  <c r="H17" s="1"/>
  <c r="G15" i="6"/>
  <c r="G18" s="1"/>
  <c r="G19" s="1"/>
  <c r="H18" i="5"/>
  <c r="F18" i="6"/>
  <c r="F19" i="28" s="1"/>
  <c r="H10" i="2"/>
  <c r="E73" i="4"/>
  <c r="E74"/>
  <c r="H11" i="2"/>
  <c r="G18" i="4"/>
  <c r="H18" s="1"/>
  <c r="H19" s="1"/>
  <c r="G10" i="2"/>
  <c r="B73" i="4"/>
  <c r="B77"/>
  <c r="G14" i="2"/>
  <c r="H16" i="6"/>
  <c r="D17" i="28"/>
  <c r="F17" s="1"/>
  <c r="H17" s="1"/>
  <c r="E17"/>
  <c r="E19" s="1"/>
  <c r="E20" s="1"/>
  <c r="H63" i="3"/>
  <c r="H9" i="2"/>
  <c r="E72" i="4"/>
  <c r="E77"/>
  <c r="H14" i="2"/>
  <c r="E75" i="4"/>
  <c r="H12" i="2"/>
  <c r="F62" i="4"/>
  <c r="C77" s="1"/>
  <c r="B80" i="5" s="1"/>
  <c r="F57" i="4"/>
  <c r="F58"/>
  <c r="C73" s="1"/>
  <c r="B76" i="5" s="1"/>
  <c r="C69" i="4"/>
  <c r="D69" s="1"/>
  <c r="I5" i="2" s="1"/>
  <c r="F60" i="4"/>
  <c r="C75" s="1"/>
  <c r="B78" i="5" s="1"/>
  <c r="F59" i="4"/>
  <c r="C74" s="1"/>
  <c r="B77" i="5" s="1"/>
  <c r="E20"/>
  <c r="F33" i="1"/>
  <c r="F99" i="2"/>
  <c r="E127"/>
  <c r="F119"/>
  <c r="C127"/>
  <c r="D119"/>
  <c r="D33" i="1"/>
  <c r="H55" i="13"/>
  <c r="H53"/>
  <c r="H101" i="2" s="1"/>
  <c r="H20" i="16"/>
  <c r="G20"/>
  <c r="H20" i="22"/>
  <c r="C55" i="26"/>
  <c r="S55" i="7"/>
  <c r="AL26" i="2"/>
  <c r="N116"/>
  <c r="AJ57"/>
  <c r="AL57"/>
  <c r="AL25"/>
  <c r="C54" i="28" l="1"/>
  <c r="G31" i="4"/>
  <c r="H31" s="1"/>
  <c r="D30" i="21"/>
  <c r="F30" s="1"/>
  <c r="E30"/>
  <c r="E32" s="1"/>
  <c r="E33" s="1"/>
  <c r="G29" s="1"/>
  <c r="G32" s="1"/>
  <c r="G33" s="1"/>
  <c r="E33" i="5"/>
  <c r="G29" s="1"/>
  <c r="D30" i="28"/>
  <c r="F30" s="1"/>
  <c r="E30"/>
  <c r="E32" s="1"/>
  <c r="E33" s="1"/>
  <c r="G29" s="1"/>
  <c r="G32" s="1"/>
  <c r="G33" s="1"/>
  <c r="F31" i="6"/>
  <c r="F32" s="1"/>
  <c r="H31" i="5"/>
  <c r="F33"/>
  <c r="H32" i="4"/>
  <c r="F51" i="6"/>
  <c r="H49"/>
  <c r="H51" s="1"/>
  <c r="H50" i="28"/>
  <c r="H52" s="1"/>
  <c r="F52"/>
  <c r="H50" i="21"/>
  <c r="H52" s="1"/>
  <c r="F52"/>
  <c r="F26"/>
  <c r="H25" s="1"/>
  <c r="F26" i="28"/>
  <c r="H25" s="1"/>
  <c r="AL33" i="2"/>
  <c r="F19" i="6"/>
  <c r="F19" i="21"/>
  <c r="H18" s="1"/>
  <c r="AL29" i="2"/>
  <c r="F44" i="6"/>
  <c r="F46" i="5"/>
  <c r="H44"/>
  <c r="D43" i="28"/>
  <c r="F43" s="1"/>
  <c r="H43" s="1"/>
  <c r="E43"/>
  <c r="E45" s="1"/>
  <c r="E46" s="1"/>
  <c r="G42" s="1"/>
  <c r="G45" s="1"/>
  <c r="G46" s="1"/>
  <c r="F54" i="5"/>
  <c r="F55" s="1"/>
  <c r="F56" s="1"/>
  <c r="F62" s="1"/>
  <c r="C77" s="1"/>
  <c r="E53" i="4"/>
  <c r="G44"/>
  <c r="H44" s="1"/>
  <c r="H45" s="1"/>
  <c r="H53" s="1"/>
  <c r="E43" i="21"/>
  <c r="E45" s="1"/>
  <c r="E46" s="1"/>
  <c r="G42" s="1"/>
  <c r="G45" s="1"/>
  <c r="G46" s="1"/>
  <c r="D43"/>
  <c r="F43" s="1"/>
  <c r="H43" s="1"/>
  <c r="E46" i="5"/>
  <c r="G42" s="1"/>
  <c r="G26"/>
  <c r="H26" s="1"/>
  <c r="H24" i="6"/>
  <c r="E31" i="29"/>
  <c r="F30"/>
  <c r="H28" s="1"/>
  <c r="R54" i="32"/>
  <c r="D57" i="26"/>
  <c r="Q116" i="2" s="1"/>
  <c r="D69" i="26"/>
  <c r="S116" i="2" s="1"/>
  <c r="E57" i="26"/>
  <c r="R116" i="2" s="1"/>
  <c r="V49" i="8"/>
  <c r="E66" i="26"/>
  <c r="E68"/>
  <c r="E62"/>
  <c r="E64"/>
  <c r="E65"/>
  <c r="S49" i="8"/>
  <c r="E40" i="15"/>
  <c r="G12" i="4"/>
  <c r="F61" i="5"/>
  <c r="C76" s="1"/>
  <c r="B75" i="6" s="1"/>
  <c r="F63" i="5"/>
  <c r="C78" s="1"/>
  <c r="F60"/>
  <c r="C75" s="1"/>
  <c r="E12" i="28"/>
  <c r="F12" s="1"/>
  <c r="H11" s="1"/>
  <c r="G12" i="5"/>
  <c r="H12" s="1"/>
  <c r="H13" s="1"/>
  <c r="E12" i="21"/>
  <c r="F12" s="1"/>
  <c r="H11" s="1"/>
  <c r="F13" i="6"/>
  <c r="E13"/>
  <c r="F30" i="22"/>
  <c r="H28" s="1"/>
  <c r="G28"/>
  <c r="H39" i="16"/>
  <c r="F42"/>
  <c r="G28" i="29"/>
  <c r="G39" i="14"/>
  <c r="G37" i="15"/>
  <c r="G40" i="14"/>
  <c r="F40"/>
  <c r="F42" s="1"/>
  <c r="H37"/>
  <c r="E42" i="15"/>
  <c r="F50" s="1"/>
  <c r="C64" s="1"/>
  <c r="E44" i="16"/>
  <c r="F53" s="1"/>
  <c r="C67" s="1"/>
  <c r="E41" i="29"/>
  <c r="F41" i="22"/>
  <c r="H39" s="1"/>
  <c r="G39"/>
  <c r="G29" i="14"/>
  <c r="H28"/>
  <c r="H29" s="1"/>
  <c r="G28" i="15"/>
  <c r="F29"/>
  <c r="H26"/>
  <c r="G28" i="16"/>
  <c r="F30"/>
  <c r="G41"/>
  <c r="H41" s="1"/>
  <c r="F40" i="15"/>
  <c r="H37"/>
  <c r="E31" i="22"/>
  <c r="E42"/>
  <c r="E79" i="4"/>
  <c r="H15" i="2"/>
  <c r="B72" i="5"/>
  <c r="C72" i="4"/>
  <c r="H65" i="3"/>
  <c r="H66"/>
  <c r="B77" i="6"/>
  <c r="D78" i="5"/>
  <c r="M12" i="2" s="1"/>
  <c r="G16" i="21"/>
  <c r="G19" s="1"/>
  <c r="G20" s="1"/>
  <c r="F65" i="3"/>
  <c r="F66"/>
  <c r="D73" i="4"/>
  <c r="I10" i="2" s="1"/>
  <c r="G19" i="4"/>
  <c r="B79"/>
  <c r="G16" i="5"/>
  <c r="E54"/>
  <c r="G16" i="28"/>
  <c r="G19" s="1"/>
  <c r="G20" s="1"/>
  <c r="D76" i="5"/>
  <c r="M10" i="2" s="1"/>
  <c r="H17" i="6"/>
  <c r="H18" i="28"/>
  <c r="F20" i="21"/>
  <c r="D77" i="4"/>
  <c r="I14" i="2" s="1"/>
  <c r="G15"/>
  <c r="D74" i="4"/>
  <c r="I11" i="2" s="1"/>
  <c r="D75" i="4"/>
  <c r="I12" i="2" s="1"/>
  <c r="D127"/>
  <c r="C148"/>
  <c r="E148"/>
  <c r="F127"/>
  <c r="K24"/>
  <c r="AI24" s="1"/>
  <c r="AI116" l="1"/>
  <c r="G32" i="5"/>
  <c r="H32" s="1"/>
  <c r="H31" i="6" s="1"/>
  <c r="G32" i="4"/>
  <c r="H16" i="2"/>
  <c r="H21" s="1"/>
  <c r="H58" s="1"/>
  <c r="H68" s="1"/>
  <c r="H70" s="1"/>
  <c r="H86" s="1"/>
  <c r="H95" s="1"/>
  <c r="F32" i="21"/>
  <c r="H31" s="1"/>
  <c r="F32" i="28"/>
  <c r="H31" s="1"/>
  <c r="H30" i="6"/>
  <c r="H30" i="28"/>
  <c r="H30" i="21"/>
  <c r="F33"/>
  <c r="F45"/>
  <c r="H44" s="1"/>
  <c r="F45" i="28"/>
  <c r="H44" s="1"/>
  <c r="H22" i="2"/>
  <c r="D77" i="5"/>
  <c r="M11" i="2" s="1"/>
  <c r="B76" i="6"/>
  <c r="F65" i="5"/>
  <c r="C80" s="1"/>
  <c r="C72"/>
  <c r="G45" i="4"/>
  <c r="G53" s="1"/>
  <c r="F69"/>
  <c r="H60"/>
  <c r="F75" s="1"/>
  <c r="H62"/>
  <c r="F77" s="1"/>
  <c r="H58"/>
  <c r="F73" s="1"/>
  <c r="H59"/>
  <c r="F74" s="1"/>
  <c r="H57"/>
  <c r="F61"/>
  <c r="Q38" i="7"/>
  <c r="E65" i="4"/>
  <c r="Q38" i="8"/>
  <c r="F45" i="6"/>
  <c r="H43"/>
  <c r="F53"/>
  <c r="F54" s="1"/>
  <c r="F55" s="1"/>
  <c r="G45" i="5"/>
  <c r="H45" s="1"/>
  <c r="H44" i="6" s="1"/>
  <c r="F46" i="28"/>
  <c r="H25" i="6"/>
  <c r="H27" i="5"/>
  <c r="H26" i="6"/>
  <c r="F27" i="28"/>
  <c r="F27" i="21"/>
  <c r="G27" i="5"/>
  <c r="D72" i="26"/>
  <c r="E42" i="29"/>
  <c r="E44" s="1"/>
  <c r="F53" s="1"/>
  <c r="C67" s="1"/>
  <c r="F41"/>
  <c r="H39" s="1"/>
  <c r="E69" i="26"/>
  <c r="F42" i="15"/>
  <c r="F43" s="1"/>
  <c r="F44" s="1"/>
  <c r="F13" i="28"/>
  <c r="G42" i="16"/>
  <c r="E13" i="28"/>
  <c r="F60" i="6"/>
  <c r="C75" s="1"/>
  <c r="D75" s="1"/>
  <c r="O10" i="2" s="1"/>
  <c r="C71" i="6"/>
  <c r="F64"/>
  <c r="C79" s="1"/>
  <c r="F59"/>
  <c r="F62"/>
  <c r="C77" s="1"/>
  <c r="F61"/>
  <c r="C76" s="1"/>
  <c r="G9"/>
  <c r="E53"/>
  <c r="E13" i="21"/>
  <c r="G13" i="5"/>
  <c r="F13" i="21"/>
  <c r="F44" i="14"/>
  <c r="F47"/>
  <c r="C61" s="1"/>
  <c r="F46"/>
  <c r="C60" s="1"/>
  <c r="F45"/>
  <c r="C59" s="1"/>
  <c r="C57"/>
  <c r="F49"/>
  <c r="C63" s="1"/>
  <c r="H28" i="16"/>
  <c r="F31"/>
  <c r="F44" s="1"/>
  <c r="F45" s="1"/>
  <c r="F46" s="1"/>
  <c r="H28" i="15"/>
  <c r="H29" s="1"/>
  <c r="G29"/>
  <c r="F42" i="22"/>
  <c r="B67"/>
  <c r="G39" i="15"/>
  <c r="H39" s="1"/>
  <c r="H40" s="1"/>
  <c r="H39" i="14"/>
  <c r="H40" s="1"/>
  <c r="H42" s="1"/>
  <c r="G30" i="29"/>
  <c r="H30" s="1"/>
  <c r="F31" i="22"/>
  <c r="E44"/>
  <c r="F53" s="1"/>
  <c r="C67" s="1"/>
  <c r="G42" i="14"/>
  <c r="H48" s="1"/>
  <c r="F62" s="1"/>
  <c r="H42" i="16"/>
  <c r="G30"/>
  <c r="H30" s="1"/>
  <c r="G41" i="22"/>
  <c r="H41" s="1"/>
  <c r="G39" i="29"/>
  <c r="B67" i="16"/>
  <c r="D67" s="1"/>
  <c r="D64" i="15"/>
  <c r="F31" i="29"/>
  <c r="G30" i="22"/>
  <c r="H30" s="1"/>
  <c r="G16" i="2"/>
  <c r="G21" s="1"/>
  <c r="G58" s="1"/>
  <c r="G68" s="1"/>
  <c r="G70" s="1"/>
  <c r="G86" s="1"/>
  <c r="G95" s="1"/>
  <c r="G22"/>
  <c r="F72" i="4"/>
  <c r="E77" i="5"/>
  <c r="G74" i="4"/>
  <c r="J11" i="2" s="1"/>
  <c r="E76" i="5"/>
  <c r="G73" i="4"/>
  <c r="J10" i="2" s="1"/>
  <c r="G19" i="5"/>
  <c r="H19" s="1"/>
  <c r="B74" i="6"/>
  <c r="B80" i="21"/>
  <c r="B72"/>
  <c r="B76"/>
  <c r="F20" i="28"/>
  <c r="E80" i="5"/>
  <c r="G77" i="4"/>
  <c r="J14" i="2" s="1"/>
  <c r="E78" i="5"/>
  <c r="G75" i="4"/>
  <c r="J12" i="2" s="1"/>
  <c r="G69" i="4"/>
  <c r="J5" i="2" s="1"/>
  <c r="E72" i="5"/>
  <c r="H119" i="2"/>
  <c r="H127" s="1"/>
  <c r="H130" s="1"/>
  <c r="H99"/>
  <c r="E68" i="5"/>
  <c r="F64"/>
  <c r="B77" i="21"/>
  <c r="D76" i="6"/>
  <c r="O11" i="2" s="1"/>
  <c r="B78" i="21"/>
  <c r="D77" i="6"/>
  <c r="O12" i="2" s="1"/>
  <c r="C74" i="6"/>
  <c r="B75" i="5"/>
  <c r="D72" i="4"/>
  <c r="I9" i="2" s="1"/>
  <c r="F148"/>
  <c r="E150"/>
  <c r="C150"/>
  <c r="D148"/>
  <c r="H32" i="6" l="1"/>
  <c r="F33" i="28"/>
  <c r="F54" s="1"/>
  <c r="H33" i="5"/>
  <c r="G33"/>
  <c r="H32" i="21"/>
  <c r="H32" i="28"/>
  <c r="H33" i="21"/>
  <c r="H33" i="28"/>
  <c r="H26" i="21"/>
  <c r="H26" i="28"/>
  <c r="H45" i="21"/>
  <c r="H45" i="28"/>
  <c r="B79" i="6"/>
  <c r="D79" s="1"/>
  <c r="O14" i="2" s="1"/>
  <c r="D80" i="5"/>
  <c r="M14" i="2" s="1"/>
  <c r="B71" i="6"/>
  <c r="D71" s="1"/>
  <c r="O5" i="2" s="1"/>
  <c r="D72" i="5"/>
  <c r="M5" i="2" s="1"/>
  <c r="T38" i="8"/>
  <c r="H61" i="4"/>
  <c r="F76" s="1"/>
  <c r="T38" i="7"/>
  <c r="G65" i="4"/>
  <c r="H46" i="21"/>
  <c r="C76" i="4"/>
  <c r="F63"/>
  <c r="Q42" i="8"/>
  <c r="Q46"/>
  <c r="Q48"/>
  <c r="Q43"/>
  <c r="Q44"/>
  <c r="Q47"/>
  <c r="Q45"/>
  <c r="Q45" i="7"/>
  <c r="Q48"/>
  <c r="Q47"/>
  <c r="Q42"/>
  <c r="Q44"/>
  <c r="Q43"/>
  <c r="Q46"/>
  <c r="G46" i="5"/>
  <c r="H46"/>
  <c r="H45" i="6"/>
  <c r="H46" i="28"/>
  <c r="F46" i="21"/>
  <c r="F54" s="1"/>
  <c r="F55" s="1"/>
  <c r="F56" s="1"/>
  <c r="H27" i="28"/>
  <c r="H27" i="21"/>
  <c r="H14" i="1"/>
  <c r="L111" i="32"/>
  <c r="H146" i="2"/>
  <c r="H148" s="1"/>
  <c r="H150" s="1"/>
  <c r="D67" i="22"/>
  <c r="B67" i="29"/>
  <c r="D67" s="1"/>
  <c r="T116" i="2"/>
  <c r="AK116" s="1"/>
  <c r="E72" i="26"/>
  <c r="G40" i="15"/>
  <c r="H31" i="29"/>
  <c r="H42" i="15"/>
  <c r="H43" s="1"/>
  <c r="H44" s="1"/>
  <c r="F79" i="4"/>
  <c r="G79" s="1"/>
  <c r="C59" i="15"/>
  <c r="B62" i="16" s="1"/>
  <c r="F49" i="15"/>
  <c r="C63" s="1"/>
  <c r="B66" i="16" s="1"/>
  <c r="F47" i="15"/>
  <c r="C61" s="1"/>
  <c r="B64" i="16" s="1"/>
  <c r="F46" i="15"/>
  <c r="F51"/>
  <c r="C65" s="1"/>
  <c r="B68" i="16" s="1"/>
  <c r="F48" i="15"/>
  <c r="C62" s="1"/>
  <c r="B65" i="16" s="1"/>
  <c r="F44" i="22"/>
  <c r="F45" s="1"/>
  <c r="F46" s="1"/>
  <c r="F54" s="1"/>
  <c r="C68" s="1"/>
  <c r="B68" i="29" s="1"/>
  <c r="G31" i="22"/>
  <c r="G20" i="5"/>
  <c r="G54" s="1"/>
  <c r="G9" i="28"/>
  <c r="E54"/>
  <c r="G12" i="6"/>
  <c r="H12" s="1"/>
  <c r="H13" s="1"/>
  <c r="G9" i="21"/>
  <c r="E54"/>
  <c r="E67" i="6"/>
  <c r="F63"/>
  <c r="F57" i="14"/>
  <c r="H49"/>
  <c r="F63" s="1"/>
  <c r="H47"/>
  <c r="F61" s="1"/>
  <c r="H44"/>
  <c r="H45"/>
  <c r="F59" s="1"/>
  <c r="H46"/>
  <c r="F60" s="1"/>
  <c r="G41" i="29"/>
  <c r="H41" s="1"/>
  <c r="B59" i="15"/>
  <c r="D59" s="1"/>
  <c r="D57" i="14"/>
  <c r="B62" i="15"/>
  <c r="D62" s="1"/>
  <c r="D60" i="14"/>
  <c r="C58"/>
  <c r="C64" s="1"/>
  <c r="F50"/>
  <c r="G42" i="22"/>
  <c r="G31" i="16"/>
  <c r="G44" s="1"/>
  <c r="H53" s="1"/>
  <c r="F67" s="1"/>
  <c r="H31" i="22"/>
  <c r="G31" i="29"/>
  <c r="H31" i="16"/>
  <c r="H44" s="1"/>
  <c r="F42" i="29"/>
  <c r="F44" s="1"/>
  <c r="F45" s="1"/>
  <c r="G62" i="14"/>
  <c r="E64" i="15"/>
  <c r="F59"/>
  <c r="E62" i="16" s="1"/>
  <c r="H49" i="15"/>
  <c r="F63" s="1"/>
  <c r="E66" i="16" s="1"/>
  <c r="H47" i="15"/>
  <c r="F61" s="1"/>
  <c r="E64" i="16" s="1"/>
  <c r="H46" i="15"/>
  <c r="H48"/>
  <c r="F62" s="1"/>
  <c r="E65" i="16" s="1"/>
  <c r="H51" i="15"/>
  <c r="F65" s="1"/>
  <c r="C62" i="22"/>
  <c r="B62" i="29" s="1"/>
  <c r="F52" i="22"/>
  <c r="C66" s="1"/>
  <c r="B66" i="29" s="1"/>
  <c r="F50" i="22"/>
  <c r="C64" s="1"/>
  <c r="B64" i="29" s="1"/>
  <c r="F49" i="16"/>
  <c r="F54"/>
  <c r="C68" s="1"/>
  <c r="F51"/>
  <c r="C65" s="1"/>
  <c r="D65" s="1"/>
  <c r="C62"/>
  <c r="F52"/>
  <c r="C66" s="1"/>
  <c r="F50"/>
  <c r="C64" s="1"/>
  <c r="D64" s="1"/>
  <c r="B65" i="15"/>
  <c r="D65" s="1"/>
  <c r="D63" i="14"/>
  <c r="B61" i="15"/>
  <c r="D61" s="1"/>
  <c r="D59" i="14"/>
  <c r="B63" i="15"/>
  <c r="D63" s="1"/>
  <c r="D61" i="14"/>
  <c r="D66" i="16"/>
  <c r="D68"/>
  <c r="G44" i="22"/>
  <c r="H53" s="1"/>
  <c r="F67" s="1"/>
  <c r="E67" i="29" s="1"/>
  <c r="H42" i="22"/>
  <c r="G42" i="15"/>
  <c r="H50" s="1"/>
  <c r="F64" s="1"/>
  <c r="B75" i="21"/>
  <c r="E79" i="5"/>
  <c r="G76" i="4"/>
  <c r="J13" i="2" s="1"/>
  <c r="T45" i="8"/>
  <c r="T48"/>
  <c r="T47"/>
  <c r="T44"/>
  <c r="T43"/>
  <c r="T42"/>
  <c r="T46"/>
  <c r="H64" i="5"/>
  <c r="F79" s="1"/>
  <c r="G68"/>
  <c r="G72" i="4"/>
  <c r="J9" i="2" s="1"/>
  <c r="E75" i="5"/>
  <c r="G99" i="2"/>
  <c r="G119"/>
  <c r="G127" s="1"/>
  <c r="G130" s="1"/>
  <c r="D75" i="5"/>
  <c r="M9" i="2" s="1"/>
  <c r="C79" i="5"/>
  <c r="F66"/>
  <c r="T42" i="7"/>
  <c r="T46"/>
  <c r="T43"/>
  <c r="T47"/>
  <c r="T44"/>
  <c r="T48"/>
  <c r="T45"/>
  <c r="H18" i="6"/>
  <c r="H20" i="5"/>
  <c r="H54" s="1"/>
  <c r="H55" s="1"/>
  <c r="H56" s="1"/>
  <c r="D74" i="6"/>
  <c r="O9" i="2" s="1"/>
  <c r="H63" i="4"/>
  <c r="AJ24" i="2"/>
  <c r="AL24"/>
  <c r="F55" i="28" l="1"/>
  <c r="F56" s="1"/>
  <c r="H19" i="21"/>
  <c r="H19" i="28"/>
  <c r="F49" i="22"/>
  <c r="C63" s="1"/>
  <c r="F51"/>
  <c r="C65" s="1"/>
  <c r="B65" i="29" s="1"/>
  <c r="F60" i="21"/>
  <c r="C75" s="1"/>
  <c r="B75" i="28" s="1"/>
  <c r="C72" i="21"/>
  <c r="F63"/>
  <c r="C78" s="1"/>
  <c r="F61"/>
  <c r="C76" s="1"/>
  <c r="F65"/>
  <c r="C80" s="1"/>
  <c r="B80" i="28" s="1"/>
  <c r="F62" i="21"/>
  <c r="C77" s="1"/>
  <c r="R70" i="7"/>
  <c r="R46"/>
  <c r="R68"/>
  <c r="R44"/>
  <c r="R47"/>
  <c r="R71"/>
  <c r="R45"/>
  <c r="R69"/>
  <c r="R47" i="8"/>
  <c r="Q71"/>
  <c r="R43"/>
  <c r="Q67"/>
  <c r="R46"/>
  <c r="Q70"/>
  <c r="B79" i="5"/>
  <c r="B82" s="1"/>
  <c r="D76" i="4"/>
  <c r="I13" i="2" s="1"/>
  <c r="C79" i="4"/>
  <c r="D79" s="1"/>
  <c r="R43" i="7"/>
  <c r="R67"/>
  <c r="R66"/>
  <c r="R42"/>
  <c r="Q49"/>
  <c r="R72"/>
  <c r="R48"/>
  <c r="R45" i="8"/>
  <c r="Q69"/>
  <c r="R44"/>
  <c r="Q68"/>
  <c r="R48"/>
  <c r="Q72"/>
  <c r="R42"/>
  <c r="R49" s="1"/>
  <c r="Q49"/>
  <c r="Q50" s="1"/>
  <c r="Q51" s="1"/>
  <c r="Q66"/>
  <c r="F65" i="4"/>
  <c r="F66"/>
  <c r="AJ116" i="2"/>
  <c r="F46" i="29"/>
  <c r="N111" i="32"/>
  <c r="J15" i="2"/>
  <c r="G146"/>
  <c r="G148" s="1"/>
  <c r="G150" s="1"/>
  <c r="D77" i="21"/>
  <c r="Q11" i="2" s="1"/>
  <c r="B77" i="28"/>
  <c r="C60" i="15"/>
  <c r="F52"/>
  <c r="G42" i="29"/>
  <c r="G44" s="1"/>
  <c r="H53" s="1"/>
  <c r="F67" s="1"/>
  <c r="G13" i="6"/>
  <c r="G53" s="1"/>
  <c r="G67" s="1"/>
  <c r="G12" i="28"/>
  <c r="H12" s="1"/>
  <c r="F64"/>
  <c r="C79" s="1"/>
  <c r="E68"/>
  <c r="G12" i="21"/>
  <c r="H63" i="6"/>
  <c r="F78" s="1"/>
  <c r="C78"/>
  <c r="F65"/>
  <c r="F64" i="21"/>
  <c r="E68"/>
  <c r="G64" i="15"/>
  <c r="E67" i="16"/>
  <c r="G67" s="1"/>
  <c r="B66" i="22"/>
  <c r="D66" s="1"/>
  <c r="B65"/>
  <c r="C63" i="16"/>
  <c r="C69" s="1"/>
  <c r="F55"/>
  <c r="E67" i="22"/>
  <c r="G67" s="1"/>
  <c r="F52" i="14"/>
  <c r="F54"/>
  <c r="G59"/>
  <c r="E61" i="15"/>
  <c r="G61" s="1"/>
  <c r="E63"/>
  <c r="G63" s="1"/>
  <c r="G61" i="14"/>
  <c r="G57"/>
  <c r="E59" i="15"/>
  <c r="G59" s="1"/>
  <c r="D65" i="22"/>
  <c r="H42" i="29"/>
  <c r="H44" s="1"/>
  <c r="H45" s="1"/>
  <c r="B64" i="22"/>
  <c r="B62"/>
  <c r="B68"/>
  <c r="D68" s="1"/>
  <c r="F55"/>
  <c r="E68" i="16"/>
  <c r="F60" i="15"/>
  <c r="H52"/>
  <c r="H45" i="16"/>
  <c r="H46" s="1"/>
  <c r="D58" i="14"/>
  <c r="D64" s="1"/>
  <c r="I101" i="2" s="1"/>
  <c r="B60" i="15"/>
  <c r="G60" i="14"/>
  <c r="E62" i="15"/>
  <c r="G62" s="1"/>
  <c r="H50" i="14"/>
  <c r="F58"/>
  <c r="E65" i="15"/>
  <c r="G65" s="1"/>
  <c r="G63" i="14"/>
  <c r="D64" i="22"/>
  <c r="H44"/>
  <c r="H45" s="1"/>
  <c r="H46" s="1"/>
  <c r="D62" i="16"/>
  <c r="H65" i="4"/>
  <c r="H66"/>
  <c r="H20" i="28"/>
  <c r="H20" i="21"/>
  <c r="H19" i="6"/>
  <c r="H53" s="1"/>
  <c r="H54" s="1"/>
  <c r="H55" s="1"/>
  <c r="U48" i="7"/>
  <c r="U72"/>
  <c r="U71"/>
  <c r="U47"/>
  <c r="U70"/>
  <c r="U46"/>
  <c r="F68" i="5"/>
  <c r="F69"/>
  <c r="J22" i="2"/>
  <c r="U46" i="8"/>
  <c r="S70"/>
  <c r="U43"/>
  <c r="S67"/>
  <c r="U47"/>
  <c r="S71"/>
  <c r="S69"/>
  <c r="U45"/>
  <c r="E82" i="5"/>
  <c r="H62"/>
  <c r="F77" s="1"/>
  <c r="H60"/>
  <c r="H63"/>
  <c r="F78" s="1"/>
  <c r="F72"/>
  <c r="H65"/>
  <c r="F80" s="1"/>
  <c r="H61"/>
  <c r="F76" s="1"/>
  <c r="U45" i="7"/>
  <c r="U69"/>
  <c r="U44"/>
  <c r="U68"/>
  <c r="U67"/>
  <c r="U43"/>
  <c r="U42"/>
  <c r="U66"/>
  <c r="T49"/>
  <c r="B78" i="6"/>
  <c r="C82" i="5"/>
  <c r="G79"/>
  <c r="N13" i="2" s="1"/>
  <c r="E78" i="6"/>
  <c r="U42" i="8"/>
  <c r="T49"/>
  <c r="T50" s="1"/>
  <c r="T51" s="1"/>
  <c r="S66"/>
  <c r="S68"/>
  <c r="U44"/>
  <c r="S72"/>
  <c r="U48"/>
  <c r="F60" i="28" l="1"/>
  <c r="F63"/>
  <c r="C78" s="1"/>
  <c r="C72"/>
  <c r="F61"/>
  <c r="C76" s="1"/>
  <c r="F65"/>
  <c r="C80" s="1"/>
  <c r="F62"/>
  <c r="C77" s="1"/>
  <c r="D77" s="1"/>
  <c r="S11" i="2" s="1"/>
  <c r="G78" i="6"/>
  <c r="P13" i="2" s="1"/>
  <c r="D82" i="5"/>
  <c r="D83" s="1"/>
  <c r="M103" i="2" s="1"/>
  <c r="D79" i="5"/>
  <c r="M13" i="2" s="1"/>
  <c r="I15"/>
  <c r="J16"/>
  <c r="J21" s="1"/>
  <c r="AI11"/>
  <c r="D80" i="28"/>
  <c r="S14" i="2" s="1"/>
  <c r="H13" i="28"/>
  <c r="H54" s="1"/>
  <c r="H12" i="21"/>
  <c r="H13" s="1"/>
  <c r="H54" s="1"/>
  <c r="H55" s="1"/>
  <c r="H56" s="1"/>
  <c r="D75"/>
  <c r="Q9" i="2" s="1"/>
  <c r="D80" i="21"/>
  <c r="Q14" i="2" s="1"/>
  <c r="AI14" s="1"/>
  <c r="Q73" i="8"/>
  <c r="R73" s="1"/>
  <c r="R66"/>
  <c r="I30" i="2" s="1"/>
  <c r="Q66" i="7"/>
  <c r="B78" i="28"/>
  <c r="D78" i="21"/>
  <c r="Q12" i="2" s="1"/>
  <c r="R49" i="7"/>
  <c r="Q72"/>
  <c r="S72" s="1"/>
  <c r="K41" i="2" s="1"/>
  <c r="R72" i="8"/>
  <c r="I41" i="2" s="1"/>
  <c r="Q68" i="7"/>
  <c r="S68" s="1"/>
  <c r="K34" i="2" s="1"/>
  <c r="R68" i="8"/>
  <c r="I34" i="2" s="1"/>
  <c r="R69" i="8"/>
  <c r="I35" i="2" s="1"/>
  <c r="Q69" i="7"/>
  <c r="S69" s="1"/>
  <c r="K35" i="2" s="1"/>
  <c r="R70" i="8"/>
  <c r="I39" i="2" s="1"/>
  <c r="Q70" i="7"/>
  <c r="S70" s="1"/>
  <c r="K39" i="2" s="1"/>
  <c r="Q67" i="7"/>
  <c r="S67" s="1"/>
  <c r="K32" i="2" s="1"/>
  <c r="R67" i="8"/>
  <c r="I32" i="2" s="1"/>
  <c r="Q71" i="7"/>
  <c r="S71" s="1"/>
  <c r="K40" i="2" s="1"/>
  <c r="R71" i="8"/>
  <c r="I40" i="2" s="1"/>
  <c r="B76" i="28"/>
  <c r="D76" s="1"/>
  <c r="S10" i="2" s="1"/>
  <c r="D76" i="21"/>
  <c r="Q10" i="2" s="1"/>
  <c r="B72" i="28"/>
  <c r="D72" i="21"/>
  <c r="Q5" i="2" s="1"/>
  <c r="D78" i="28"/>
  <c r="S12" i="2" s="1"/>
  <c r="Q50" i="7"/>
  <c r="Q51" s="1"/>
  <c r="R73"/>
  <c r="O103" i="2"/>
  <c r="Q103" s="1"/>
  <c r="AJ14"/>
  <c r="J14" i="1"/>
  <c r="AJ11" i="2"/>
  <c r="F51" i="29"/>
  <c r="C65" s="1"/>
  <c r="C62"/>
  <c r="F49"/>
  <c r="C63" s="1"/>
  <c r="F52"/>
  <c r="C66" s="1"/>
  <c r="F54"/>
  <c r="C68" s="1"/>
  <c r="F50"/>
  <c r="C64" s="1"/>
  <c r="H46"/>
  <c r="C69" i="22"/>
  <c r="B63" i="29"/>
  <c r="C66" i="15"/>
  <c r="B63" i="16"/>
  <c r="B69" s="1"/>
  <c r="F54" i="15"/>
  <c r="F56"/>
  <c r="G67" i="29"/>
  <c r="G13" i="28"/>
  <c r="G54" s="1"/>
  <c r="C79" i="21"/>
  <c r="B79" i="28" s="1"/>
  <c r="F66" i="21"/>
  <c r="B79"/>
  <c r="B83" s="1"/>
  <c r="C81" i="6"/>
  <c r="F68"/>
  <c r="F67"/>
  <c r="E79" i="21"/>
  <c r="G13"/>
  <c r="G54" s="1"/>
  <c r="F64" i="14"/>
  <c r="E60" i="15"/>
  <c r="E66" s="1"/>
  <c r="G58" i="14"/>
  <c r="G64" s="1"/>
  <c r="J101" i="2" s="1"/>
  <c r="B66" i="15"/>
  <c r="D60"/>
  <c r="D66" s="1"/>
  <c r="M101" i="2" s="1"/>
  <c r="H56" i="15"/>
  <c r="H54"/>
  <c r="F57" i="22"/>
  <c r="F59"/>
  <c r="D62"/>
  <c r="F57" i="16"/>
  <c r="F59"/>
  <c r="F55" i="29"/>
  <c r="D62"/>
  <c r="D65"/>
  <c r="H49" i="22"/>
  <c r="H51"/>
  <c r="F65" s="1"/>
  <c r="E65" i="29" s="1"/>
  <c r="H50" i="22"/>
  <c r="F64" s="1"/>
  <c r="E64" i="29" s="1"/>
  <c r="F62" i="22"/>
  <c r="E62" i="29" s="1"/>
  <c r="H54" i="22"/>
  <c r="F68" s="1"/>
  <c r="E68" i="29" s="1"/>
  <c r="H52" i="22"/>
  <c r="F66" s="1"/>
  <c r="E66" i="29" s="1"/>
  <c r="H54" i="14"/>
  <c r="H52"/>
  <c r="H49" i="16"/>
  <c r="H52"/>
  <c r="F66" s="1"/>
  <c r="H51"/>
  <c r="F65" s="1"/>
  <c r="F62"/>
  <c r="H54"/>
  <c r="F68" s="1"/>
  <c r="H50"/>
  <c r="F64" s="1"/>
  <c r="F66" i="15"/>
  <c r="G60"/>
  <c r="G66" s="1"/>
  <c r="N101" i="2" s="1"/>
  <c r="E63" i="16"/>
  <c r="E69" s="1"/>
  <c r="D63"/>
  <c r="D69" s="1"/>
  <c r="D71" s="1"/>
  <c r="O101" i="2" s="1"/>
  <c r="B63" i="22"/>
  <c r="D63" s="1"/>
  <c r="B69" i="29"/>
  <c r="D64"/>
  <c r="D68"/>
  <c r="D66"/>
  <c r="K5" i="30"/>
  <c r="M61" i="2" s="1"/>
  <c r="M89"/>
  <c r="T66" i="8"/>
  <c r="T66" i="7"/>
  <c r="V66" s="1"/>
  <c r="S73" i="8"/>
  <c r="D78" i="6"/>
  <c r="O13" i="2" s="1"/>
  <c r="O15" s="1"/>
  <c r="B81" i="6"/>
  <c r="E75"/>
  <c r="G76" i="5"/>
  <c r="N10" i="2" s="1"/>
  <c r="E71" i="6"/>
  <c r="G72" i="5"/>
  <c r="N5" i="2" s="1"/>
  <c r="H66" i="5"/>
  <c r="F75"/>
  <c r="D72" i="28"/>
  <c r="F66"/>
  <c r="C75"/>
  <c r="D75" s="1"/>
  <c r="S9" i="2" s="1"/>
  <c r="T69" i="7"/>
  <c r="V69" s="1"/>
  <c r="L35" i="2" s="1"/>
  <c r="T69" i="8"/>
  <c r="J35" i="2" s="1"/>
  <c r="U49" i="8"/>
  <c r="T50" i="7"/>
  <c r="T51" s="1"/>
  <c r="U49"/>
  <c r="T72"/>
  <c r="V72" s="1"/>
  <c r="L41" i="2" s="1"/>
  <c r="T72" i="8"/>
  <c r="J41" i="2" s="1"/>
  <c r="T68" i="7"/>
  <c r="V68" s="1"/>
  <c r="L34" i="2" s="1"/>
  <c r="T68" i="8"/>
  <c r="J34" i="2" s="1"/>
  <c r="U73" i="7"/>
  <c r="G80" i="5"/>
  <c r="N14" i="2" s="1"/>
  <c r="E79" i="6"/>
  <c r="G78" i="5"/>
  <c r="N12" i="2" s="1"/>
  <c r="E77" i="6"/>
  <c r="G77" i="5"/>
  <c r="N11" i="2" s="1"/>
  <c r="E76" i="6"/>
  <c r="T71" i="8"/>
  <c r="J40" i="2" s="1"/>
  <c r="T71" i="7"/>
  <c r="V71" s="1"/>
  <c r="L40" i="2" s="1"/>
  <c r="T67" i="7"/>
  <c r="V67" s="1"/>
  <c r="L32" i="2" s="1"/>
  <c r="T67" i="8"/>
  <c r="J32" i="2" s="1"/>
  <c r="T70" i="8"/>
  <c r="J39" i="2" s="1"/>
  <c r="T70" i="7"/>
  <c r="V70" s="1"/>
  <c r="L39" i="2" s="1"/>
  <c r="H59" i="6"/>
  <c r="H64"/>
  <c r="F79" s="1"/>
  <c r="H60"/>
  <c r="F75" s="1"/>
  <c r="F71"/>
  <c r="H61"/>
  <c r="F76" s="1"/>
  <c r="H62"/>
  <c r="F77" s="1"/>
  <c r="M15" i="2"/>
  <c r="AK32" l="1"/>
  <c r="AK35"/>
  <c r="AI10"/>
  <c r="AI40"/>
  <c r="AI32"/>
  <c r="AJ32" s="1"/>
  <c r="AI34"/>
  <c r="AI41"/>
  <c r="AJ41" s="1"/>
  <c r="I22"/>
  <c r="I16"/>
  <c r="I21" s="1"/>
  <c r="AK39"/>
  <c r="AK40"/>
  <c r="AK34"/>
  <c r="AK41"/>
  <c r="AL41" s="1"/>
  <c r="AI39"/>
  <c r="AI35"/>
  <c r="AI12"/>
  <c r="AJ12" s="1"/>
  <c r="AI9"/>
  <c r="AJ9" s="1"/>
  <c r="H55" i="28"/>
  <c r="H56" s="1"/>
  <c r="F72" i="21"/>
  <c r="E72" i="28" s="1"/>
  <c r="H60" i="21"/>
  <c r="H61"/>
  <c r="F76" s="1"/>
  <c r="E76" i="28" s="1"/>
  <c r="H65" i="21"/>
  <c r="F80" s="1"/>
  <c r="E80" i="28" s="1"/>
  <c r="H62" i="21"/>
  <c r="F77" s="1"/>
  <c r="E77" i="28" s="1"/>
  <c r="H63" i="21"/>
  <c r="F78" s="1"/>
  <c r="E78" i="28" s="1"/>
  <c r="AJ10" i="2"/>
  <c r="D81" i="6"/>
  <c r="C69" i="29"/>
  <c r="AJ39" i="2"/>
  <c r="AJ35"/>
  <c r="D69" i="22"/>
  <c r="Q101" i="2" s="1"/>
  <c r="S66" i="7"/>
  <c r="Q73"/>
  <c r="AJ40" i="2"/>
  <c r="AJ34"/>
  <c r="I47"/>
  <c r="I58" s="1"/>
  <c r="I68" s="1"/>
  <c r="I70" s="1"/>
  <c r="I86" s="1"/>
  <c r="I95" s="1"/>
  <c r="S103"/>
  <c r="AI103" s="1"/>
  <c r="M5" i="30"/>
  <c r="O5" s="1"/>
  <c r="M16" i="2"/>
  <c r="M21" s="1"/>
  <c r="M58" s="1"/>
  <c r="H49" i="29"/>
  <c r="F62"/>
  <c r="H54"/>
  <c r="F68" s="1"/>
  <c r="H51"/>
  <c r="F65" s="1"/>
  <c r="G65" s="1"/>
  <c r="H50"/>
  <c r="F64" s="1"/>
  <c r="G64" s="1"/>
  <c r="H52"/>
  <c r="F66" s="1"/>
  <c r="AL116" i="2"/>
  <c r="G68" i="28"/>
  <c r="H64"/>
  <c r="F79" s="1"/>
  <c r="D79" i="21"/>
  <c r="Q13" i="2" s="1"/>
  <c r="AI13" s="1"/>
  <c r="C83" i="21"/>
  <c r="G68"/>
  <c r="H64"/>
  <c r="F79" s="1"/>
  <c r="B83" i="28"/>
  <c r="D79"/>
  <c r="D83" s="1"/>
  <c r="F69" i="21"/>
  <c r="F68"/>
  <c r="G68" i="16"/>
  <c r="G68" i="29"/>
  <c r="E68" i="22"/>
  <c r="G68" s="1"/>
  <c r="G65" i="16"/>
  <c r="E65" i="22"/>
  <c r="G65" s="1"/>
  <c r="H55" i="16"/>
  <c r="F63"/>
  <c r="F69" s="1"/>
  <c r="F59" i="29"/>
  <c r="F57"/>
  <c r="B69" i="22"/>
  <c r="F63" i="29"/>
  <c r="E64" i="22"/>
  <c r="G64" s="1"/>
  <c r="G64" i="16"/>
  <c r="G62"/>
  <c r="E62" i="22"/>
  <c r="G66" i="29"/>
  <c r="G66" i="16"/>
  <c r="E66" i="22"/>
  <c r="G66" s="1"/>
  <c r="F63"/>
  <c r="H55"/>
  <c r="D63" i="29"/>
  <c r="D69" s="1"/>
  <c r="S101" i="2" s="1"/>
  <c r="M102"/>
  <c r="O89"/>
  <c r="AL34"/>
  <c r="AL35"/>
  <c r="E77" i="21"/>
  <c r="E76"/>
  <c r="H65" i="6"/>
  <c r="F74"/>
  <c r="M67" i="2"/>
  <c r="M68" s="1"/>
  <c r="M70" s="1"/>
  <c r="M86" s="1"/>
  <c r="M88"/>
  <c r="F75" i="21"/>
  <c r="S15" i="2"/>
  <c r="E74" i="6"/>
  <c r="E81" s="1"/>
  <c r="G75" i="5"/>
  <c r="N9" i="2" s="1"/>
  <c r="G71" i="6"/>
  <c r="P5" i="2" s="1"/>
  <c r="O22"/>
  <c r="O16"/>
  <c r="O21" s="1"/>
  <c r="O58" s="1"/>
  <c r="AL39"/>
  <c r="AL40"/>
  <c r="C83" i="28"/>
  <c r="G75" i="6"/>
  <c r="P10" i="2" s="1"/>
  <c r="T73" i="7"/>
  <c r="E78" i="21"/>
  <c r="E72"/>
  <c r="E80"/>
  <c r="G80" s="1"/>
  <c r="R14" i="2" s="1"/>
  <c r="V73" i="7"/>
  <c r="L30" i="2"/>
  <c r="Q61"/>
  <c r="G72" i="21"/>
  <c r="F69" i="28"/>
  <c r="F68"/>
  <c r="S5" i="2"/>
  <c r="AI5" s="1"/>
  <c r="H69" i="5"/>
  <c r="H68"/>
  <c r="D83" i="6"/>
  <c r="J30" i="2"/>
  <c r="T73" i="8"/>
  <c r="G76" i="6"/>
  <c r="P11" i="2" s="1"/>
  <c r="G77" i="6"/>
  <c r="P12" i="2" s="1"/>
  <c r="G79" i="6"/>
  <c r="P14" i="2" s="1"/>
  <c r="G78" i="21"/>
  <c r="R12" i="2" s="1"/>
  <c r="F82" i="5"/>
  <c r="AL32" i="2" l="1"/>
  <c r="G77" i="21"/>
  <c r="R11" i="2" s="1"/>
  <c r="O61"/>
  <c r="AK30"/>
  <c r="H55" i="29"/>
  <c r="AI101" i="2"/>
  <c r="F69" i="29"/>
  <c r="H62" i="28"/>
  <c r="F77" s="1"/>
  <c r="G77" s="1"/>
  <c r="T11" i="2" s="1"/>
  <c r="H65" i="28"/>
  <c r="F80" s="1"/>
  <c r="G80" s="1"/>
  <c r="T14" i="2" s="1"/>
  <c r="AK14" s="1"/>
  <c r="AL14" s="1"/>
  <c r="H61" i="28"/>
  <c r="F76" s="1"/>
  <c r="H63"/>
  <c r="F78" s="1"/>
  <c r="G78" s="1"/>
  <c r="T12" i="2" s="1"/>
  <c r="F72" i="28"/>
  <c r="H60"/>
  <c r="F75" s="1"/>
  <c r="G76"/>
  <c r="T10" i="2" s="1"/>
  <c r="H66" i="21"/>
  <c r="H69" s="1"/>
  <c r="G76"/>
  <c r="R10" i="2" s="1"/>
  <c r="AK10" s="1"/>
  <c r="AL10" s="1"/>
  <c r="I119"/>
  <c r="I127" s="1"/>
  <c r="I130" s="1"/>
  <c r="I146" s="1"/>
  <c r="I148" s="1"/>
  <c r="I150" s="1"/>
  <c r="I99"/>
  <c r="S73" i="7"/>
  <c r="K30" i="2"/>
  <c r="AI30" s="1"/>
  <c r="AJ103"/>
  <c r="H15" i="1"/>
  <c r="J47" i="2"/>
  <c r="J58" s="1"/>
  <c r="J68" s="1"/>
  <c r="J70" s="1"/>
  <c r="J86" s="1"/>
  <c r="J95" s="1"/>
  <c r="J119" s="1"/>
  <c r="J127" s="1"/>
  <c r="J130" s="1"/>
  <c r="N15"/>
  <c r="Q5" i="30"/>
  <c r="S5" s="1"/>
  <c r="F69" i="22"/>
  <c r="E63" i="29"/>
  <c r="G63" s="1"/>
  <c r="G79" i="21"/>
  <c r="R13" i="2" s="1"/>
  <c r="AK13" s="1"/>
  <c r="E79" i="28"/>
  <c r="G79" s="1"/>
  <c r="F83" i="21"/>
  <c r="E75" i="28"/>
  <c r="G82" i="5"/>
  <c r="G83" s="1"/>
  <c r="M95" i="2"/>
  <c r="L106" i="32"/>
  <c r="L117" s="1"/>
  <c r="D83" i="21"/>
  <c r="M104" i="2"/>
  <c r="H59" i="22"/>
  <c r="H57"/>
  <c r="G62" i="29"/>
  <c r="H59"/>
  <c r="H57"/>
  <c r="H57" i="16"/>
  <c r="H59"/>
  <c r="G62" i="22"/>
  <c r="G63" i="16"/>
  <c r="G69" s="1"/>
  <c r="G71" s="1"/>
  <c r="P101" i="2" s="1"/>
  <c r="E63" i="22"/>
  <c r="G63" s="1"/>
  <c r="G74" i="6"/>
  <c r="P9" i="2" s="1"/>
  <c r="P15" s="1"/>
  <c r="P22" s="1"/>
  <c r="N89"/>
  <c r="O102"/>
  <c r="Q89"/>
  <c r="S89" s="1"/>
  <c r="AJ5"/>
  <c r="R5"/>
  <c r="O88"/>
  <c r="O104" s="1"/>
  <c r="O67"/>
  <c r="O68" s="1"/>
  <c r="O70" s="1"/>
  <c r="O86" s="1"/>
  <c r="H68" i="21"/>
  <c r="H68" i="6"/>
  <c r="H67"/>
  <c r="F83" i="28"/>
  <c r="Q88" i="2"/>
  <c r="Q104" s="1"/>
  <c r="Q67"/>
  <c r="L47"/>
  <c r="L58" s="1"/>
  <c r="L68" s="1"/>
  <c r="L70" s="1"/>
  <c r="L86" s="1"/>
  <c r="L95" s="1"/>
  <c r="F81" i="6"/>
  <c r="G81" s="1"/>
  <c r="G75" i="28"/>
  <c r="T9" i="2" s="1"/>
  <c r="E75" i="21"/>
  <c r="E83" s="1"/>
  <c r="S16" i="2"/>
  <c r="S21" s="1"/>
  <c r="S58" s="1"/>
  <c r="G72" i="28"/>
  <c r="E83" l="1"/>
  <c r="N16" i="2"/>
  <c r="N21" s="1"/>
  <c r="N58" s="1"/>
  <c r="AK12"/>
  <c r="AL12" s="1"/>
  <c r="AK11"/>
  <c r="AL11" s="1"/>
  <c r="G75" i="21"/>
  <c r="R9" i="2" s="1"/>
  <c r="R15" s="1"/>
  <c r="R16" s="1"/>
  <c r="R21" s="1"/>
  <c r="R58" s="1"/>
  <c r="H66" i="28"/>
  <c r="K47" i="2"/>
  <c r="K58" s="1"/>
  <c r="K68" s="1"/>
  <c r="K70" s="1"/>
  <c r="K86" s="1"/>
  <c r="K95" s="1"/>
  <c r="L5" i="30"/>
  <c r="N61" i="2" s="1"/>
  <c r="N103"/>
  <c r="J99"/>
  <c r="J146"/>
  <c r="J148" s="1"/>
  <c r="J150" s="1"/>
  <c r="AG119"/>
  <c r="AG127" s="1"/>
  <c r="AG130" s="1"/>
  <c r="M119"/>
  <c r="M127" s="1"/>
  <c r="M130" s="1"/>
  <c r="M146" s="1"/>
  <c r="M148" s="1"/>
  <c r="M150" s="1"/>
  <c r="M99"/>
  <c r="Q15"/>
  <c r="AI15" s="1"/>
  <c r="E69" i="29"/>
  <c r="O95" i="2"/>
  <c r="O99" s="1"/>
  <c r="G69" i="22"/>
  <c r="R101" i="2" s="1"/>
  <c r="E69" i="22"/>
  <c r="G69" i="29"/>
  <c r="T101" i="2" s="1"/>
  <c r="L119"/>
  <c r="L127" s="1"/>
  <c r="L130" s="1"/>
  <c r="L146" s="1"/>
  <c r="L148" s="1"/>
  <c r="L150" s="1"/>
  <c r="Q102"/>
  <c r="N102"/>
  <c r="P89"/>
  <c r="T15"/>
  <c r="G83" i="6"/>
  <c r="L99" i="2"/>
  <c r="S61"/>
  <c r="AI61" s="1"/>
  <c r="T5" i="30"/>
  <c r="T5" i="2"/>
  <c r="AK5" s="1"/>
  <c r="G83" i="28"/>
  <c r="AL30" i="2"/>
  <c r="AK47"/>
  <c r="P16"/>
  <c r="P21" s="1"/>
  <c r="P58" s="1"/>
  <c r="AK101" l="1"/>
  <c r="AK9"/>
  <c r="N88"/>
  <c r="AK15"/>
  <c r="AG146"/>
  <c r="AG148" s="1"/>
  <c r="AG150" s="1"/>
  <c r="N5" i="30"/>
  <c r="P5" s="1"/>
  <c r="G83" i="21"/>
  <c r="AL9" i="2"/>
  <c r="H69" i="28"/>
  <c r="H68"/>
  <c r="AJ101" i="2"/>
  <c r="H13" i="1"/>
  <c r="AJ30" i="2"/>
  <c r="AI47"/>
  <c r="AL47" s="1"/>
  <c r="K99"/>
  <c r="K119"/>
  <c r="K127" s="1"/>
  <c r="K130" s="1"/>
  <c r="K146" s="1"/>
  <c r="K148" s="1"/>
  <c r="K150" s="1"/>
  <c r="P103"/>
  <c r="R103" s="1"/>
  <c r="N104"/>
  <c r="N67"/>
  <c r="N68" s="1"/>
  <c r="N70" s="1"/>
  <c r="N86" s="1"/>
  <c r="P61"/>
  <c r="P67" s="1"/>
  <c r="P68" s="1"/>
  <c r="P70" s="1"/>
  <c r="P86" s="1"/>
  <c r="T16"/>
  <c r="T21" s="1"/>
  <c r="T58" s="1"/>
  <c r="N53" i="32"/>
  <c r="O119" i="2"/>
  <c r="O127" s="1"/>
  <c r="O130" s="1"/>
  <c r="O146" s="1"/>
  <c r="K44" i="17" s="1"/>
  <c r="Q16" i="2"/>
  <c r="Q21" s="1"/>
  <c r="Q58" s="1"/>
  <c r="Q68" s="1"/>
  <c r="Q70" s="1"/>
  <c r="Q86" s="1"/>
  <c r="Q95" s="1"/>
  <c r="AJ13"/>
  <c r="AL13"/>
  <c r="N106" i="32"/>
  <c r="S102" i="2"/>
  <c r="U89"/>
  <c r="AI89" s="1"/>
  <c r="P102"/>
  <c r="R89"/>
  <c r="R102" s="1"/>
  <c r="P88"/>
  <c r="AL15"/>
  <c r="S88"/>
  <c r="AI88" s="1"/>
  <c r="S67"/>
  <c r="S68" s="1"/>
  <c r="S70" s="1"/>
  <c r="S86" s="1"/>
  <c r="N95"/>
  <c r="R61" l="1"/>
  <c r="R5" i="30"/>
  <c r="T61" i="2" s="1"/>
  <c r="T67" s="1"/>
  <c r="T68" s="1"/>
  <c r="T70" s="1"/>
  <c r="T86" s="1"/>
  <c r="R67"/>
  <c r="R68" s="1"/>
  <c r="R70" s="1"/>
  <c r="R86" s="1"/>
  <c r="R88"/>
  <c r="R104" s="1"/>
  <c r="L53" i="32"/>
  <c r="P53" s="1"/>
  <c r="R53" s="1"/>
  <c r="AJ47" i="2"/>
  <c r="AJ89"/>
  <c r="J13" i="1"/>
  <c r="T89" i="2"/>
  <c r="T102" s="1"/>
  <c r="O148"/>
  <c r="O150" s="1"/>
  <c r="U5" i="30"/>
  <c r="V5" s="1"/>
  <c r="Q99" i="2"/>
  <c r="Q119"/>
  <c r="Q127" s="1"/>
  <c r="Q130" s="1"/>
  <c r="Q146" s="1"/>
  <c r="K41" i="17" s="1"/>
  <c r="AJ15" i="2"/>
  <c r="AI22"/>
  <c r="AI16"/>
  <c r="AI21" s="1"/>
  <c r="L52" i="32" s="1"/>
  <c r="T88" i="2"/>
  <c r="T104" s="1"/>
  <c r="S104"/>
  <c r="AI104" s="1"/>
  <c r="N119"/>
  <c r="N127" s="1"/>
  <c r="N130" s="1"/>
  <c r="U102"/>
  <c r="AI102" s="1"/>
  <c r="U62"/>
  <c r="AI62" s="1"/>
  <c r="N99"/>
  <c r="AL5"/>
  <c r="AK16"/>
  <c r="AK21" s="1"/>
  <c r="N52" i="32" s="1"/>
  <c r="AJ61" i="2"/>
  <c r="S95"/>
  <c r="P104"/>
  <c r="AK104" s="1"/>
  <c r="P95"/>
  <c r="AK22"/>
  <c r="AK61" l="1"/>
  <c r="AK88"/>
  <c r="AL61"/>
  <c r="R95"/>
  <c r="R99" s="1"/>
  <c r="T103"/>
  <c r="AK103" s="1"/>
  <c r="L66" i="32"/>
  <c r="L76" s="1"/>
  <c r="L77" s="1"/>
  <c r="N66"/>
  <c r="N76" s="1"/>
  <c r="N146" i="2"/>
  <c r="N148" s="1"/>
  <c r="N150" s="1"/>
  <c r="AL88"/>
  <c r="P52" i="32"/>
  <c r="AL101" i="2"/>
  <c r="Q148"/>
  <c r="Q150" s="1"/>
  <c r="R119"/>
  <c r="R127" s="1"/>
  <c r="R130" s="1"/>
  <c r="AI58"/>
  <c r="AJ58" s="1"/>
  <c r="AJ21"/>
  <c r="L57" i="32"/>
  <c r="U67" i="2"/>
  <c r="U68" s="1"/>
  <c r="U70" s="1"/>
  <c r="U86" s="1"/>
  <c r="U95" s="1"/>
  <c r="U119" s="1"/>
  <c r="U127" s="1"/>
  <c r="U130" s="1"/>
  <c r="U146" s="1"/>
  <c r="H12" i="1"/>
  <c r="AJ102" i="2"/>
  <c r="P119"/>
  <c r="P127" s="1"/>
  <c r="P130" s="1"/>
  <c r="P146" s="1"/>
  <c r="P148" s="1"/>
  <c r="P150" s="1"/>
  <c r="L44" i="17" s="1"/>
  <c r="V89" i="2"/>
  <c r="AK89" s="1"/>
  <c r="T95"/>
  <c r="S119"/>
  <c r="S127" s="1"/>
  <c r="P99"/>
  <c r="AJ88"/>
  <c r="AL21"/>
  <c r="AK58"/>
  <c r="S99"/>
  <c r="N77" i="32" l="1"/>
  <c r="H16" i="1"/>
  <c r="AJ104" i="2"/>
  <c r="S130"/>
  <c r="AI130" s="1"/>
  <c r="K47" i="17"/>
  <c r="P66" i="32"/>
  <c r="R66" s="1"/>
  <c r="R76" s="1"/>
  <c r="R52"/>
  <c r="L61"/>
  <c r="V102" i="2"/>
  <c r="AK102" s="1"/>
  <c r="V62"/>
  <c r="AK62" s="1"/>
  <c r="AJ62"/>
  <c r="AI67"/>
  <c r="T99"/>
  <c r="U148"/>
  <c r="U150" s="1"/>
  <c r="K59" i="17" s="1"/>
  <c r="U99" i="2"/>
  <c r="AL89"/>
  <c r="T119"/>
  <c r="T127" s="1"/>
  <c r="AL104"/>
  <c r="J16" i="1"/>
  <c r="R146" i="2"/>
  <c r="L41" i="17" s="1"/>
  <c r="AL58" i="2"/>
  <c r="AL103" l="1"/>
  <c r="J15" i="1"/>
  <c r="N107" i="32"/>
  <c r="N117" s="1"/>
  <c r="AH119" i="2"/>
  <c r="AH127" s="1"/>
  <c r="AH130" s="1"/>
  <c r="S146"/>
  <c r="S148" s="1"/>
  <c r="S150" s="1"/>
  <c r="T130"/>
  <c r="L47" i="17"/>
  <c r="P76" i="32"/>
  <c r="L90"/>
  <c r="L96" s="1"/>
  <c r="L100" s="1"/>
  <c r="L102" s="1"/>
  <c r="L79"/>
  <c r="L80" s="1"/>
  <c r="L62"/>
  <c r="AI68" i="2"/>
  <c r="AJ67"/>
  <c r="N57" i="32"/>
  <c r="V67" i="2"/>
  <c r="V68" s="1"/>
  <c r="V70" s="1"/>
  <c r="V86" s="1"/>
  <c r="V95" s="1"/>
  <c r="R148"/>
  <c r="R150" s="1"/>
  <c r="AH146" l="1"/>
  <c r="AH148" s="1"/>
  <c r="AH150" s="1"/>
  <c r="L8" i="32"/>
  <c r="L48" s="1"/>
  <c r="L82" s="1"/>
  <c r="AI146" i="2"/>
  <c r="AJ146" s="1"/>
  <c r="AJ130"/>
  <c r="T146"/>
  <c r="T148" s="1"/>
  <c r="T150" s="1"/>
  <c r="N61" i="32"/>
  <c r="P57"/>
  <c r="V119" i="2"/>
  <c r="V127" s="1"/>
  <c r="V130" s="1"/>
  <c r="AL62"/>
  <c r="AK67"/>
  <c r="AI70"/>
  <c r="AJ68"/>
  <c r="V99"/>
  <c r="J12" i="1"/>
  <c r="AL102" i="2"/>
  <c r="AK130" l="1"/>
  <c r="N8" i="32" s="1"/>
  <c r="L49"/>
  <c r="AI150" i="2"/>
  <c r="H50" i="1"/>
  <c r="N79" i="32"/>
  <c r="N80" s="1"/>
  <c r="N90"/>
  <c r="N96" s="1"/>
  <c r="N100" s="1"/>
  <c r="N102" s="1"/>
  <c r="N62"/>
  <c r="R57"/>
  <c r="R61" s="1"/>
  <c r="R79" s="1"/>
  <c r="P61"/>
  <c r="P79" s="1"/>
  <c r="AI86" i="2"/>
  <c r="AJ70"/>
  <c r="V146"/>
  <c r="V148" s="1"/>
  <c r="V150" s="1"/>
  <c r="L59" i="17" s="1"/>
  <c r="AL67" i="2"/>
  <c r="AK68"/>
  <c r="N48" i="32" l="1"/>
  <c r="P8"/>
  <c r="AI95" i="2"/>
  <c r="AJ86"/>
  <c r="AL68"/>
  <c r="AK70"/>
  <c r="AL130"/>
  <c r="AK146"/>
  <c r="N82" i="32" l="1"/>
  <c r="N49"/>
  <c r="P48"/>
  <c r="P82" s="1"/>
  <c r="R8"/>
  <c r="R48" s="1"/>
  <c r="R82" s="1"/>
  <c r="J50" i="1"/>
  <c r="AL146" i="2"/>
  <c r="AK150"/>
  <c r="AI99"/>
  <c r="AJ99" s="1"/>
  <c r="AJ95"/>
  <c r="AI119"/>
  <c r="H9" i="1"/>
  <c r="AL70" i="2"/>
  <c r="AK86"/>
  <c r="H8" i="1" l="1"/>
  <c r="H26"/>
  <c r="H33" s="1"/>
  <c r="AJ119" i="2"/>
  <c r="AI127"/>
  <c r="AJ127" s="1"/>
  <c r="AK95"/>
  <c r="AL86"/>
  <c r="J9" i="1" l="1"/>
  <c r="AL95" i="2"/>
  <c r="AK119"/>
  <c r="AK99"/>
  <c r="AL99" s="1"/>
  <c r="J8" i="1" l="1"/>
  <c r="J26"/>
  <c r="AK127" i="2"/>
  <c r="AL127" s="1"/>
  <c r="AL119"/>
  <c r="J33" i="1" l="1"/>
</calcChain>
</file>

<file path=xl/comments1.xml><?xml version="1.0" encoding="utf-8"?>
<comments xmlns="http://schemas.openxmlformats.org/spreadsheetml/2006/main">
  <authors>
    <author>A satisfied Microsoft Office user</author>
    <author>Valued Gateway Client</author>
    <author>Julie Waller, Program Analyst</author>
    <author>Budget</author>
  </authors>
  <commentList>
    <comment ref="A5" authorId="0">
      <text>
        <r>
          <rPr>
            <sz val="8"/>
            <color indexed="81"/>
            <rFont val="Tahoma"/>
            <family val="2"/>
          </rPr>
          <t>Enrollment information obtained from NDE Schedule I report - See DSADATABASE</t>
        </r>
      </text>
    </comment>
    <comment ref="A8" authorId="0">
      <text>
        <r>
          <rPr>
            <sz val="8"/>
            <color indexed="81"/>
            <rFont val="Tahoma"/>
            <family val="2"/>
          </rPr>
          <t>The Basic Support per pupil is obtained from Line 70 of the DSASUMM worksheet</t>
        </r>
      </text>
    </comment>
    <comment ref="A9" authorId="0">
      <text>
        <r>
          <rPr>
            <sz val="8"/>
            <color indexed="81"/>
            <rFont val="Tahoma"/>
            <family val="2"/>
          </rPr>
          <t>The Total Basic Support per pupil is obtained from Line 66 of the DSASUMM worksheet.  The multiplication of line 4 (enrollment) and line 5 (basic support per student) may not generate line 6 (total basis support) due to rounding created by the DSASUMM worksheet.</t>
        </r>
      </text>
    </comment>
    <comment ref="B12" authorId="0">
      <text>
        <r>
          <rPr>
            <sz val="8"/>
            <color indexed="81"/>
            <rFont val="Tahoma"/>
            <family val="2"/>
          </rPr>
          <t>Special education units are an extension of the numbers authorized for the 2001-03 biennium adjusted by (a) a 2% roll up in the per unit cost and (b) an increase in the number of units to coincide with the general enrollment increase projected for the 2003-05 biennium.  The summary of the number of units and the unit value is at the bottom of this worksheet.</t>
        </r>
      </text>
    </comment>
    <comment ref="B13" authorId="1">
      <text>
        <r>
          <rPr>
            <sz val="8"/>
            <color indexed="81"/>
            <rFont val="Tahoma"/>
            <family val="2"/>
          </rPr>
          <t>The Class-size Reduction information for the 2003-05 biennium can be obtained from Line P21 and Q21 of the CSRBALANCE spreadsheet within this document. The supporting Base and Maintenance spreadsheets for CSRBALANCE are also attached.</t>
        </r>
        <r>
          <rPr>
            <b/>
            <sz val="8"/>
            <color indexed="81"/>
            <rFont val="Tahoma"/>
            <family val="2"/>
          </rPr>
          <t xml:space="preserve">
</t>
        </r>
      </text>
    </comment>
    <comment ref="B16" authorId="0">
      <text>
        <r>
          <rPr>
            <sz val="8"/>
            <color indexed="81"/>
            <rFont val="Tahoma"/>
            <family val="2"/>
          </rPr>
          <t>The 2003-05 biennium values for the Adult Diploma program reflect an adjustment for a 2% roll-up in salaries and an adjustment for the general enrollment growth.</t>
        </r>
      </text>
    </comment>
    <comment ref="B21" authorId="1">
      <text>
        <r>
          <rPr>
            <sz val="8"/>
            <color indexed="81"/>
            <rFont val="Tahoma"/>
            <family val="2"/>
          </rPr>
          <t>This program provides $50,000 per year to each school district to ensure the each district provides minimum pupil counseling services at the elementary grade level.</t>
        </r>
        <r>
          <rPr>
            <b/>
            <sz val="8"/>
            <color indexed="81"/>
            <rFont val="Tahoma"/>
            <family val="2"/>
          </rPr>
          <t xml:space="preserve">
</t>
        </r>
      </text>
    </comment>
    <comment ref="A24" authorId="1">
      <text>
        <r>
          <rPr>
            <sz val="8"/>
            <color indexed="81"/>
            <rFont val="Tahoma"/>
            <family val="2"/>
          </rPr>
          <t>NRS 387.1233 provides for the method for calculating the basic support per pupil.  Sub-Section 2 of this section provides that if the enrollment counts authorized is less than the sum obtained for the immediately preceding year, the sum larger must be used in computing basic support.  On the basis of the unknown nature of this occurrence from year-to-year, there are no funds budgeted for addressing the issue.</t>
        </r>
      </text>
    </comment>
    <comment ref="A26" authorId="0">
      <text>
        <r>
          <rPr>
            <sz val="8"/>
            <color indexed="81"/>
            <rFont val="Tahoma"/>
            <family val="2"/>
          </rPr>
          <t>The "Total Support" is obtained from Line 87 of the DSASUMM worksheet.  The total support is the amount guaranteed through the Nevada Plan by the General Fund as reflected in Line 33 of this worksheet.  In the event of a change in enrollment and or a change in any of the non-general revenues most notably the local school support tax, Line 33 could be impacted either positively or negatively.</t>
        </r>
      </text>
    </comment>
    <comment ref="A33" authorId="0">
      <text>
        <r>
          <rPr>
            <sz val="8"/>
            <color indexed="81"/>
            <rFont val="Tahoma"/>
            <family val="2"/>
          </rPr>
          <t>The "State Share" is the sum of the Total Support less the amount projected from the Local School Support Tax and the 25 cent Ad Valorem tax.  The information is taken from Line 106 of the DSASUMM worksheet.  The term "state share" is actually a misnomer on the basis of the fact that the LSST and 25 cent property tax is considered "local taxes."  In reality, the negative or positive movements in actual amount collected for Lines 27, 28, 35, 36, 37, 38 and 39 will determine the actual state share as reflected in Line 33.</t>
        </r>
      </text>
    </comment>
    <comment ref="B36" authorId="0">
      <text>
        <r>
          <rPr>
            <sz val="8"/>
            <color indexed="81"/>
            <rFont val="Tahoma"/>
            <family val="2"/>
          </rPr>
          <t>After estimates are established for Slot Tax, Investment Income from the Permanent School Fund, Federal Mineral Land Lease Income, Out of State Local School Support Tax revenue and the transfer from the Fund for School Improvement the balance of the state share is the responsibility of the state general fund.  The appropriation for this purpose is in a separate appropriations bill.  The general fund requirement for the 2003-05 biennium is taken from Lines 96 and 108 of the DSASUMM worksheet.</t>
        </r>
      </text>
    </comment>
    <comment ref="B39" authorId="0">
      <text>
        <r>
          <rPr>
            <sz val="8"/>
            <color indexed="81"/>
            <rFont val="Tahoma"/>
            <family val="2"/>
          </rPr>
          <t>NRS 463.385(4) requires that each fiscal year the first $5M of the slot tax be distributed to the Capital Construction fund for Higher Education, 20% of the remainder be distributed to the Special Capital Construction Fund for Higher Education and the remaining balance be distributed to the Distributive School Account.  The information shown is taken from Line 98 of the DSASUMM worksheet.</t>
        </r>
      </text>
    </comment>
    <comment ref="B40" authorId="0">
      <text>
        <r>
          <rPr>
            <sz val="8"/>
            <color indexed="81"/>
            <rFont val="Tahoma"/>
            <family val="2"/>
          </rPr>
          <t>NRS 387.030 provides that all money derived from interest earned on the balance in the state Permanent School Fund be placed in the Distributive School Account.  The information is taken from Line 99 of the DSASUMM worksheet.</t>
        </r>
      </text>
    </comment>
    <comment ref="B41" authorId="0">
      <text>
        <r>
          <rPr>
            <sz val="8"/>
            <color indexed="81"/>
            <rFont val="Tahoma"/>
            <family val="2"/>
          </rPr>
          <t>NRS 328.450 as amended by Chapter 728 of the 1995 Statutes of Nevada provides that the DSA receives the first $7,000,000 of the lease of federal lands under 30 U.S.C. S191. NRS 328.460(1) provides that 25% of the revenue from the lease of federal lands in excess of the $7,000,000 shall also be distributed to the DSA.  The information has been taken from Line 100 of the DSASUMM worksheet.  There is a legal issue as to whether these funds should go to the counties. Assemblyman Neighbors submitted bills for consideration for the three previous legislative sessions without success. However, in the event the NRS is changed, Line 33 would have to be increased, some other revenue adjusted, expenditures adjusted or some combination thereof.</t>
        </r>
      </text>
    </comment>
    <comment ref="B42" authorId="0">
      <text>
        <r>
          <rPr>
            <sz val="8"/>
            <color indexed="81"/>
            <rFont val="Tahoma"/>
            <family val="2"/>
          </rPr>
          <t>NRS 374.015(7) provides that LSST collected on out-of-state sales is to be channeled directly to the school districts through the Distributive School Account.  The information is taken from Line 101 of the DSASUMM worksheet.  A majority of this source is generated by the construction industry through the purchase of building material from out-of-state suppliers.</t>
        </r>
      </text>
    </comment>
    <comment ref="B43" authorId="2">
      <text>
        <r>
          <rPr>
            <b/>
            <sz val="8"/>
            <color indexed="81"/>
            <rFont val="Tahoma"/>
            <family val="2"/>
          </rPr>
          <t>Julie Waller, Program Analyst:</t>
        </r>
        <r>
          <rPr>
            <sz val="8"/>
            <color indexed="81"/>
            <rFont val="Tahoma"/>
            <family val="2"/>
          </rPr>
          <t xml:space="preserve">
Transfer fro State Supplemental School Support Fund (BA 2617) for the 2011-13 biennium only</t>
        </r>
      </text>
    </comment>
    <comment ref="B44" authorId="2">
      <text>
        <r>
          <rPr>
            <b/>
            <sz val="8"/>
            <color indexed="81"/>
            <rFont val="Tahoma"/>
            <family val="2"/>
          </rPr>
          <t>Julie Waller, Program Analyst:</t>
        </r>
        <r>
          <rPr>
            <sz val="8"/>
            <color indexed="81"/>
            <rFont val="Tahoma"/>
            <family val="2"/>
          </rPr>
          <t xml:space="preserve">
Legislation ultimately did not pass - no funding received</t>
        </r>
      </text>
    </comment>
    <comment ref="B45" authorId="1">
      <text>
        <r>
          <rPr>
            <sz val="8"/>
            <color indexed="81"/>
            <rFont val="Tahoma"/>
            <family val="2"/>
          </rPr>
          <t>The Fund for School Improvement is the repository of funds generated from the local school district share of the estate tax revenues. The original intent was to use the resource  for the support of the class-size reduction program.  However, with the continued growth in the class-size program, the estate tax plays a much smaller role in that endeavor.  Therefore the 1999 legislature approved a recommendation from the Governor, to redirect the estate tax funds to all areas of school improvement including class-size reduction.</t>
        </r>
        <r>
          <rPr>
            <b/>
            <sz val="8"/>
            <color indexed="81"/>
            <rFont val="Tahoma"/>
            <family val="2"/>
          </rPr>
          <t xml:space="preserve">
</t>
        </r>
      </text>
    </comment>
    <comment ref="B46" authorId="3">
      <text>
        <r>
          <rPr>
            <sz val="8"/>
            <color indexed="81"/>
            <rFont val="Tahoma"/>
            <family val="2"/>
          </rPr>
          <t xml:space="preserve">On the basis of the fact the history is mixed as to how much will be generated the common practice is to not budget for this source.
</t>
        </r>
      </text>
    </comment>
    <comment ref="B47" authorId="2">
      <text>
        <r>
          <rPr>
            <b/>
            <sz val="8"/>
            <color indexed="81"/>
            <rFont val="Tahoma"/>
            <family val="2"/>
          </rPr>
          <t>Julie Waller, Program Analyst:</t>
        </r>
        <r>
          <rPr>
            <sz val="8"/>
            <color indexed="81"/>
            <rFont val="Tahoma"/>
            <family val="2"/>
          </rPr>
          <t xml:space="preserve">
2011 Session - AB 483 </t>
        </r>
      </text>
    </comment>
    <comment ref="B49" authorId="0">
      <text>
        <r>
          <rPr>
            <sz val="8"/>
            <color indexed="81"/>
            <rFont val="Tahoma"/>
            <family val="2"/>
          </rPr>
          <t xml:space="preserve">Appropriations to the DSA are available in both years of the biennium, but any excess balance at the end of the biennium reverts to the general fund.  On the basis of approval of a balanced budget by the legislature, no funds should be reflected in either year of the 2003-05 biennium.
</t>
        </r>
      </text>
    </comment>
    <comment ref="A50" authorId="0">
      <text>
        <r>
          <rPr>
            <sz val="8"/>
            <color indexed="81"/>
            <rFont val="Tahoma"/>
            <family val="2"/>
          </rPr>
          <t>This line must balance with the State Share on line 30.</t>
        </r>
      </text>
    </comment>
  </commentList>
</comments>
</file>

<file path=xl/comments2.xml><?xml version="1.0" encoding="utf-8"?>
<comments xmlns="http://schemas.openxmlformats.org/spreadsheetml/2006/main">
  <authors>
    <author>Budget</author>
    <author xml:space="preserve"> Budget</author>
    <author>Julia Teska</author>
    <author>Julie Waller, Program Analyst</author>
  </authors>
  <commentList>
    <comment ref="A1" authorId="0">
      <text>
        <r>
          <rPr>
            <sz val="8"/>
            <color indexed="81"/>
            <rFont val="Tahoma"/>
            <family val="2"/>
          </rPr>
          <t xml:space="preserve">Except for the information on the (a) average starting salary for Licensed Instruction Personnel, (b) Building Square Footage and (c) Assessed Valuation  that is submitted separately all of the information contained on this page is obtained from the NRS 387 report submitted by the Department of Education.
</t>
        </r>
      </text>
    </comment>
    <comment ref="A4" authorId="1">
      <text>
        <r>
          <rPr>
            <b/>
            <sz val="8"/>
            <color indexed="81"/>
            <rFont val="Tahoma"/>
            <family val="2"/>
          </rPr>
          <t xml:space="preserve"> Budget:</t>
        </r>
        <r>
          <rPr>
            <sz val="8"/>
            <color indexed="81"/>
            <rFont val="Tahoma"/>
            <family val="2"/>
          </rPr>
          <t xml:space="preserve">
Includes "Hold Harmless" Students</t>
        </r>
      </text>
    </comment>
    <comment ref="B4" authorId="2">
      <text>
        <r>
          <rPr>
            <b/>
            <sz val="8"/>
            <color indexed="81"/>
            <rFont val="Tahoma"/>
            <family val="2"/>
          </rPr>
          <t>Julia Teska:</t>
        </r>
        <r>
          <rPr>
            <sz val="8"/>
            <color indexed="81"/>
            <rFont val="Tahoma"/>
            <family val="2"/>
          </rPr>
          <t xml:space="preserve">
Per review of prior workbooks - this figure is projected actual weighted enrollment - no hold harmless</t>
        </r>
      </text>
    </comment>
    <comment ref="C4" authorId="2">
      <text>
        <r>
          <rPr>
            <b/>
            <sz val="8"/>
            <color indexed="81"/>
            <rFont val="Tahoma"/>
            <family val="2"/>
          </rPr>
          <t>Julia Teska:</t>
        </r>
        <r>
          <rPr>
            <sz val="8"/>
            <color indexed="81"/>
            <rFont val="Tahoma"/>
            <family val="2"/>
          </rPr>
          <t xml:space="preserve">
Per review of prior workbooks - this figure is projected actual weighted enrollment - no hold harmless</t>
        </r>
      </text>
    </comment>
    <comment ref="D4" authorId="2">
      <text>
        <r>
          <rPr>
            <b/>
            <sz val="8"/>
            <color indexed="81"/>
            <rFont val="Tahoma"/>
            <family val="2"/>
          </rPr>
          <t>Julia Teska:</t>
        </r>
        <r>
          <rPr>
            <sz val="8"/>
            <color indexed="81"/>
            <rFont val="Tahoma"/>
            <family val="2"/>
          </rPr>
          <t xml:space="preserve">
Per review of prior workbooks - this figure is projected actual weighted enrollment - no hold harmless</t>
        </r>
      </text>
    </comment>
    <comment ref="K14" authorId="1">
      <text>
        <r>
          <rPr>
            <b/>
            <sz val="8"/>
            <color indexed="81"/>
            <rFont val="Tahoma"/>
            <family val="2"/>
          </rPr>
          <t xml:space="preserve"> Budget:</t>
        </r>
        <r>
          <rPr>
            <sz val="8"/>
            <color indexed="81"/>
            <rFont val="Tahoma"/>
            <family val="2"/>
          </rPr>
          <t xml:space="preserve">
Starting salary FLAT given no funded COLA for 2009-2011 biennium - matches starting salary from FY 2009 workbook
</t>
        </r>
      </text>
    </comment>
    <comment ref="C58" authorId="3">
      <text>
        <r>
          <rPr>
            <b/>
            <sz val="8"/>
            <color indexed="81"/>
            <rFont val="Tahoma"/>
            <family val="2"/>
          </rPr>
          <t>Julie Waller, Program Analyst:</t>
        </r>
        <r>
          <rPr>
            <sz val="8"/>
            <color indexed="81"/>
            <rFont val="Tahoma"/>
            <family val="2"/>
          </rPr>
          <t xml:space="preserve">
NRS 387.1235: school districts cannot use NPM received in current fiscal year until next fiscal year.  For example, amount of NPM available to school districts for FY 2010-11 was based on the amounts received in FY 2009-10.</t>
        </r>
      </text>
    </comment>
  </commentList>
</comments>
</file>

<file path=xl/comments3.xml><?xml version="1.0" encoding="utf-8"?>
<comments xmlns="http://schemas.openxmlformats.org/spreadsheetml/2006/main">
  <authors>
    <author>A satisfied Microsoft Office user</author>
    <author>Julia Teska</author>
    <author>Valued Gateway Client</author>
    <author>jt</author>
  </authors>
  <commentList>
    <comment ref="B3" authorId="0">
      <text>
        <r>
          <rPr>
            <sz val="8"/>
            <color indexed="81"/>
            <rFont val="Tahoma"/>
            <family val="2"/>
          </rPr>
          <t>This column represents the budget for the DSA as approved by the 2009 Legislative Session and modified by the 26th Special Session (Februiary 2010).</t>
        </r>
      </text>
    </comment>
    <comment ref="C3" authorId="0">
      <text>
        <r>
          <rPr>
            <sz val="8"/>
            <color indexed="81"/>
            <rFont val="Tahoma"/>
            <family val="2"/>
          </rPr>
          <t>This column represents the actual FY10 revenues and expenses taken from the NDE NRS 387 LEA General Fund/Special Education Report submitted by the Department of Education. The information is based on the financial reports of the individual LEA's for the year ended June 30, 2010.  The information is due from NDE on or before November 25, 2010 as required by NRS 387.303.</t>
        </r>
      </text>
    </comment>
    <comment ref="C21" authorId="1">
      <text>
        <r>
          <rPr>
            <b/>
            <sz val="9"/>
            <color indexed="81"/>
            <rFont val="Arial"/>
            <family val="2"/>
          </rPr>
          <t>Julia Teska:</t>
        </r>
        <r>
          <rPr>
            <sz val="9"/>
            <color indexed="81"/>
            <rFont val="Arial"/>
            <family val="2"/>
          </rPr>
          <t xml:space="preserve">
should match line 78 from 387 report</t>
        </r>
      </text>
    </comment>
    <comment ref="C46" authorId="1">
      <text>
        <r>
          <rPr>
            <b/>
            <sz val="9"/>
            <color indexed="81"/>
            <rFont val="Arial"/>
            <family val="2"/>
          </rPr>
          <t>Julia Teska:</t>
        </r>
        <r>
          <rPr>
            <sz val="9"/>
            <color indexed="81"/>
            <rFont val="Arial"/>
            <family val="2"/>
          </rPr>
          <t xml:space="preserve">
cat 17 DAWN</t>
        </r>
      </text>
    </comment>
    <comment ref="C47" authorId="1">
      <text>
        <r>
          <rPr>
            <b/>
            <sz val="9"/>
            <color indexed="81"/>
            <rFont val="Arial"/>
            <family val="2"/>
          </rPr>
          <t>Julia Teska:</t>
        </r>
        <r>
          <rPr>
            <sz val="9"/>
            <color indexed="81"/>
            <rFont val="Arial"/>
            <family val="2"/>
          </rPr>
          <t xml:space="preserve">
should match line 96 + $588,732 for NSLP state match</t>
        </r>
      </text>
    </comment>
    <comment ref="C57" authorId="1">
      <text>
        <r>
          <rPr>
            <b/>
            <sz val="9"/>
            <color indexed="81"/>
            <rFont val="Arial"/>
            <family val="2"/>
          </rPr>
          <t>Julia Teska:</t>
        </r>
        <r>
          <rPr>
            <sz val="9"/>
            <color indexed="81"/>
            <rFont val="Arial"/>
            <family val="2"/>
          </rPr>
          <t xml:space="preserve">
should match line 100b from 387 report</t>
        </r>
      </text>
    </comment>
    <comment ref="C60" authorId="1">
      <text>
        <r>
          <rPr>
            <b/>
            <sz val="9"/>
            <color indexed="81"/>
            <rFont val="Arial"/>
            <family val="2"/>
          </rPr>
          <t>Julia Teska:</t>
        </r>
        <r>
          <rPr>
            <sz val="9"/>
            <color indexed="81"/>
            <rFont val="Arial"/>
            <family val="2"/>
          </rPr>
          <t xml:space="preserve">
total line 102 &amp; 102.1 on 387 report</t>
        </r>
      </text>
    </comment>
    <comment ref="C61" authorId="1">
      <text>
        <r>
          <rPr>
            <b/>
            <sz val="9"/>
            <color indexed="81"/>
            <rFont val="Arial"/>
            <family val="2"/>
          </rPr>
          <t>Julia Teska:</t>
        </r>
        <r>
          <rPr>
            <sz val="9"/>
            <color indexed="81"/>
            <rFont val="Arial"/>
            <family val="2"/>
          </rPr>
          <t xml:space="preserve">
cat 78 in DAWN</t>
        </r>
      </text>
    </comment>
    <comment ref="C63" authorId="1">
      <text>
        <r>
          <rPr>
            <b/>
            <sz val="9"/>
            <color indexed="81"/>
            <rFont val="Arial"/>
            <family val="2"/>
          </rPr>
          <t>Julia Teska:</t>
        </r>
        <r>
          <rPr>
            <sz val="9"/>
            <color indexed="81"/>
            <rFont val="Arial"/>
            <family val="2"/>
          </rPr>
          <t xml:space="preserve">
line 13a4 387 report</t>
        </r>
      </text>
    </comment>
    <comment ref="C64" authorId="1">
      <text>
        <r>
          <rPr>
            <b/>
            <sz val="9"/>
            <color indexed="81"/>
            <rFont val="Arial"/>
            <family val="2"/>
          </rPr>
          <t>Julia Teska:</t>
        </r>
        <r>
          <rPr>
            <sz val="9"/>
            <color indexed="81"/>
            <rFont val="Arial"/>
            <family val="2"/>
          </rPr>
          <t xml:space="preserve">
line 13a5 387 report</t>
        </r>
      </text>
    </comment>
    <comment ref="C65" authorId="1">
      <text>
        <r>
          <rPr>
            <b/>
            <sz val="9"/>
            <color indexed="81"/>
            <rFont val="Arial"/>
            <family val="2"/>
          </rPr>
          <t>Julia Teska:</t>
        </r>
        <r>
          <rPr>
            <sz val="9"/>
            <color indexed="81"/>
            <rFont val="Arial"/>
            <family val="2"/>
          </rPr>
          <t xml:space="preserve">
line 21a/102c from 387 report</t>
        </r>
      </text>
    </comment>
    <comment ref="C66" authorId="1">
      <text>
        <r>
          <rPr>
            <b/>
            <sz val="9"/>
            <color indexed="81"/>
            <rFont val="Arial"/>
            <family val="2"/>
          </rPr>
          <t>Julia Teska:</t>
        </r>
        <r>
          <rPr>
            <sz val="9"/>
            <color indexed="81"/>
            <rFont val="Arial"/>
            <family val="2"/>
          </rPr>
          <t xml:space="preserve">
lines 104a, 104c, 104e and 105 from 387 report</t>
        </r>
      </text>
    </comment>
    <comment ref="C69" authorId="1">
      <text>
        <r>
          <rPr>
            <b/>
            <sz val="9"/>
            <color indexed="81"/>
            <rFont val="Arial"/>
            <family val="2"/>
          </rPr>
          <t>Julia Teska:</t>
        </r>
        <r>
          <rPr>
            <sz val="9"/>
            <color indexed="81"/>
            <rFont val="Arial"/>
            <family val="2"/>
          </rPr>
          <t xml:space="preserve">
line 107 387 report</t>
        </r>
      </text>
    </comment>
    <comment ref="C72" authorId="1">
      <text>
        <r>
          <rPr>
            <b/>
            <sz val="9"/>
            <color indexed="81"/>
            <rFont val="Arial"/>
            <family val="2"/>
          </rPr>
          <t>Julia Teska:</t>
        </r>
        <r>
          <rPr>
            <sz val="9"/>
            <color indexed="81"/>
            <rFont val="Arial"/>
            <family val="2"/>
          </rPr>
          <t xml:space="preserve">
line 43 387 report</t>
        </r>
      </text>
    </comment>
    <comment ref="C73" authorId="1">
      <text>
        <r>
          <rPr>
            <b/>
            <sz val="9"/>
            <color indexed="81"/>
            <rFont val="Arial"/>
            <family val="2"/>
          </rPr>
          <t>Julia Teska:</t>
        </r>
        <r>
          <rPr>
            <sz val="9"/>
            <color indexed="81"/>
            <rFont val="Arial"/>
            <family val="2"/>
          </rPr>
          <t xml:space="preserve">
line 38 387 report</t>
        </r>
      </text>
    </comment>
    <comment ref="C74" authorId="1">
      <text>
        <r>
          <rPr>
            <b/>
            <sz val="9"/>
            <color indexed="81"/>
            <rFont val="Arial"/>
            <family val="2"/>
          </rPr>
          <t>Julia Teska:</t>
        </r>
        <r>
          <rPr>
            <sz val="9"/>
            <color indexed="81"/>
            <rFont val="Arial"/>
            <family val="2"/>
          </rPr>
          <t xml:space="preserve">
lines 29, 33, 40, 40a &amp; 40b from 387 report</t>
        </r>
      </text>
    </comment>
    <comment ref="C75" authorId="1">
      <text>
        <r>
          <rPr>
            <b/>
            <sz val="9"/>
            <color indexed="81"/>
            <rFont val="Arial"/>
            <family val="2"/>
          </rPr>
          <t>Julia Teska:</t>
        </r>
        <r>
          <rPr>
            <sz val="9"/>
            <color indexed="81"/>
            <rFont val="Arial"/>
            <family val="2"/>
          </rPr>
          <t xml:space="preserve">
line 24 &amp; 24a from 387 report</t>
        </r>
      </text>
    </comment>
    <comment ref="C76" authorId="1">
      <text>
        <r>
          <rPr>
            <b/>
            <sz val="9"/>
            <color indexed="81"/>
            <rFont val="Arial"/>
            <family val="2"/>
          </rPr>
          <t>Julia Teska:</t>
        </r>
        <r>
          <rPr>
            <sz val="9"/>
            <color indexed="81"/>
            <rFont val="Arial"/>
            <family val="2"/>
          </rPr>
          <t xml:space="preserve">
line 27 387 report</t>
        </r>
      </text>
    </comment>
    <comment ref="C77" authorId="1">
      <text>
        <r>
          <rPr>
            <b/>
            <sz val="9"/>
            <color indexed="81"/>
            <rFont val="Arial"/>
            <family val="2"/>
          </rPr>
          <t>Julia Teska:</t>
        </r>
        <r>
          <rPr>
            <sz val="9"/>
            <color indexed="81"/>
            <rFont val="Arial"/>
            <family val="2"/>
          </rPr>
          <t xml:space="preserve">
line 28 387 report</t>
        </r>
      </text>
    </comment>
    <comment ref="C78" authorId="1">
      <text>
        <r>
          <rPr>
            <b/>
            <sz val="9"/>
            <color indexed="81"/>
            <rFont val="Arial"/>
            <family val="2"/>
          </rPr>
          <t>Julia Teska:</t>
        </r>
        <r>
          <rPr>
            <sz val="9"/>
            <color indexed="81"/>
            <rFont val="Arial"/>
            <family val="2"/>
          </rPr>
          <t xml:space="preserve">
lines 40d, 40f, 40h &amp; 41 387 report</t>
        </r>
      </text>
    </comment>
    <comment ref="C84" authorId="1">
      <text>
        <r>
          <rPr>
            <b/>
            <sz val="9"/>
            <color indexed="81"/>
            <rFont val="Arial"/>
            <family val="2"/>
          </rPr>
          <t>Julia Teska:</t>
        </r>
        <r>
          <rPr>
            <sz val="9"/>
            <color indexed="81"/>
            <rFont val="Arial"/>
            <family val="2"/>
          </rPr>
          <t xml:space="preserve">
line 13a1 387 report</t>
        </r>
      </text>
    </comment>
    <comment ref="C85" authorId="1">
      <text>
        <r>
          <rPr>
            <b/>
            <sz val="9"/>
            <color indexed="81"/>
            <rFont val="Arial"/>
            <family val="2"/>
          </rPr>
          <t>Julia Teska:</t>
        </r>
        <r>
          <rPr>
            <sz val="9"/>
            <color indexed="81"/>
            <rFont val="Arial"/>
            <family val="2"/>
          </rPr>
          <t xml:space="preserve">
line 41a and 23 d from 387 report</t>
        </r>
      </text>
    </comment>
    <comment ref="C88" authorId="1">
      <text>
        <r>
          <rPr>
            <b/>
            <sz val="9"/>
            <color indexed="81"/>
            <rFont val="Arial"/>
            <family val="2"/>
          </rPr>
          <t>Julia Teska:</t>
        </r>
        <r>
          <rPr>
            <sz val="9"/>
            <color indexed="81"/>
            <rFont val="Arial"/>
            <family val="2"/>
          </rPr>
          <t xml:space="preserve">
cat 78 DAWN</t>
        </r>
      </text>
    </comment>
    <comment ref="C89" authorId="1">
      <text>
        <r>
          <rPr>
            <b/>
            <sz val="9"/>
            <color indexed="81"/>
            <rFont val="Arial"/>
            <family val="2"/>
          </rPr>
          <t>Julia Teska:</t>
        </r>
        <r>
          <rPr>
            <sz val="9"/>
            <color indexed="81"/>
            <rFont val="Arial"/>
            <family val="2"/>
          </rPr>
          <t xml:space="preserve">
line 16 387 report</t>
        </r>
      </text>
    </comment>
    <comment ref="C90" authorId="1">
      <text>
        <r>
          <rPr>
            <b/>
            <sz val="9"/>
            <color indexed="81"/>
            <rFont val="Arial"/>
            <family val="2"/>
          </rPr>
          <t>Julia Teska:</t>
        </r>
        <r>
          <rPr>
            <sz val="9"/>
            <color indexed="81"/>
            <rFont val="Arial"/>
            <family val="2"/>
          </rPr>
          <t xml:space="preserve">
cat 80 DAWN</t>
        </r>
      </text>
    </comment>
    <comment ref="C91" authorId="1">
      <text>
        <r>
          <rPr>
            <b/>
            <sz val="9"/>
            <color indexed="81"/>
            <rFont val="Arial"/>
            <family val="2"/>
          </rPr>
          <t>Julia Teska:</t>
        </r>
        <r>
          <rPr>
            <sz val="9"/>
            <color indexed="81"/>
            <rFont val="Arial"/>
            <family val="2"/>
          </rPr>
          <t xml:space="preserve">
cat 17 DAWN</t>
        </r>
      </text>
    </comment>
    <comment ref="C92" authorId="1">
      <text>
        <r>
          <rPr>
            <b/>
            <sz val="9"/>
            <color indexed="81"/>
            <rFont val="Arial"/>
            <family val="2"/>
          </rPr>
          <t>Julia Teska:</t>
        </r>
        <r>
          <rPr>
            <sz val="9"/>
            <color indexed="81"/>
            <rFont val="Arial"/>
            <family val="2"/>
          </rPr>
          <t xml:space="preserve">
line 13 b 387 report</t>
        </r>
      </text>
    </comment>
    <comment ref="C93" authorId="1">
      <text>
        <r>
          <rPr>
            <b/>
            <sz val="9"/>
            <color indexed="81"/>
            <rFont val="Arial"/>
            <family val="2"/>
          </rPr>
          <t>Julia Teska:</t>
        </r>
        <r>
          <rPr>
            <sz val="9"/>
            <color indexed="81"/>
            <rFont val="Arial"/>
            <family val="2"/>
          </rPr>
          <t xml:space="preserve">
line 13c 387 report</t>
        </r>
      </text>
    </comment>
    <comment ref="AI95" authorId="2">
      <text>
        <r>
          <rPr>
            <sz val="8"/>
            <color indexed="81"/>
            <rFont val="Tahoma"/>
            <family val="2"/>
          </rPr>
          <t>This total represents the total expenditures adjusted by revenue internal to the DSA, adjustments in expenditures such as the transfer of expenditure requirements to non-general fund accounts and the reduction in expenditures for special funding outside the DSA (a portion of special education, adult education, etc.)  This total is divided by the projected enrollment to obtain the basic support per pupil that is used to determine the amount of basic support for each enrolled student.</t>
        </r>
        <r>
          <rPr>
            <b/>
            <sz val="8"/>
            <color indexed="81"/>
            <rFont val="Tahoma"/>
            <family val="2"/>
          </rPr>
          <t xml:space="preserve">
</t>
        </r>
      </text>
    </comment>
    <comment ref="C97" authorId="2">
      <text>
        <r>
          <rPr>
            <sz val="8"/>
            <color indexed="81"/>
            <rFont val="Tahoma"/>
            <family val="2"/>
          </rPr>
          <t>This total represents the actual weighted enrollment as adjusted for the hold harmless students for FY 06.</t>
        </r>
        <r>
          <rPr>
            <b/>
            <sz val="8"/>
            <color indexed="81"/>
            <rFont val="Tahoma"/>
            <family val="2"/>
          </rPr>
          <t xml:space="preserve">
</t>
        </r>
      </text>
    </comment>
    <comment ref="C101" authorId="1">
      <text>
        <r>
          <rPr>
            <b/>
            <sz val="9"/>
            <color indexed="81"/>
            <rFont val="Arial"/>
            <family val="2"/>
          </rPr>
          <t>Julia Teska:</t>
        </r>
        <r>
          <rPr>
            <sz val="9"/>
            <color indexed="81"/>
            <rFont val="Arial"/>
            <family val="2"/>
          </rPr>
          <t xml:space="preserve">
cat 16 DAWN</t>
        </r>
      </text>
    </comment>
    <comment ref="C102" authorId="1">
      <text>
        <r>
          <rPr>
            <b/>
            <sz val="9"/>
            <color indexed="81"/>
            <rFont val="Arial"/>
            <family val="2"/>
          </rPr>
          <t>Julia Teska:</t>
        </r>
        <r>
          <rPr>
            <sz val="9"/>
            <color indexed="81"/>
            <rFont val="Arial"/>
            <family val="2"/>
          </rPr>
          <t xml:space="preserve">
line 16 387 report</t>
        </r>
      </text>
    </comment>
    <comment ref="C103" authorId="1">
      <text>
        <r>
          <rPr>
            <b/>
            <sz val="9"/>
            <color indexed="81"/>
            <rFont val="Arial"/>
            <family val="2"/>
          </rPr>
          <t>Julia Teska:</t>
        </r>
        <r>
          <rPr>
            <sz val="9"/>
            <color indexed="81"/>
            <rFont val="Arial"/>
            <family val="2"/>
          </rPr>
          <t xml:space="preserve">
cat 33 DAWN</t>
        </r>
      </text>
    </comment>
    <comment ref="C104" authorId="1">
      <text>
        <r>
          <rPr>
            <b/>
            <sz val="9"/>
            <color indexed="81"/>
            <rFont val="Arial"/>
            <family val="2"/>
          </rPr>
          <t>Julia Teska:</t>
        </r>
        <r>
          <rPr>
            <sz val="9"/>
            <color indexed="81"/>
            <rFont val="Arial"/>
            <family val="2"/>
          </rPr>
          <t xml:space="preserve">
cat 78 DAWN</t>
        </r>
      </text>
    </comment>
    <comment ref="C105" authorId="1">
      <text>
        <r>
          <rPr>
            <b/>
            <sz val="9"/>
            <color indexed="81"/>
            <rFont val="Arial"/>
            <family val="2"/>
          </rPr>
          <t>Julia Teska:</t>
        </r>
        <r>
          <rPr>
            <sz val="9"/>
            <color indexed="81"/>
            <rFont val="Arial"/>
            <family val="2"/>
          </rPr>
          <t xml:space="preserve">
cat 17 DAWN</t>
        </r>
      </text>
    </comment>
    <comment ref="C106" authorId="3">
      <text>
        <r>
          <rPr>
            <b/>
            <sz val="8"/>
            <color indexed="81"/>
            <rFont val="Tahoma"/>
            <family val="2"/>
          </rPr>
          <t>jt:</t>
        </r>
        <r>
          <rPr>
            <sz val="8"/>
            <color indexed="81"/>
            <rFont val="Tahoma"/>
            <family val="2"/>
          </rPr>
          <t xml:space="preserve">
this is the offset for the growth increment and non-trad student amounts above - and Eureka adjustmnet</t>
        </r>
      </text>
    </comment>
    <comment ref="G108" authorId="2">
      <text>
        <r>
          <rPr>
            <sz val="8"/>
            <color indexed="81"/>
            <rFont val="Tahoma"/>
            <family val="2"/>
          </rPr>
          <t>Remediation funding has moved to BA2615.</t>
        </r>
      </text>
    </comment>
    <comment ref="C109" authorId="1">
      <text>
        <r>
          <rPr>
            <b/>
            <sz val="9"/>
            <color indexed="81"/>
            <rFont val="Arial"/>
            <family val="2"/>
          </rPr>
          <t>Julia Teska:</t>
        </r>
        <r>
          <rPr>
            <sz val="9"/>
            <color indexed="81"/>
            <rFont val="Arial"/>
            <family val="2"/>
          </rPr>
          <t xml:space="preserve">
cat 36 DAWN</t>
        </r>
      </text>
    </comment>
    <comment ref="C111" authorId="1">
      <text>
        <r>
          <rPr>
            <b/>
            <sz val="9"/>
            <color indexed="81"/>
            <rFont val="Arial"/>
            <family val="2"/>
          </rPr>
          <t>Julia Teska:</t>
        </r>
        <r>
          <rPr>
            <sz val="9"/>
            <color indexed="81"/>
            <rFont val="Arial"/>
            <family val="2"/>
          </rPr>
          <t xml:space="preserve">
cat 45 DAWN</t>
        </r>
      </text>
    </comment>
    <comment ref="C112" authorId="1">
      <text>
        <r>
          <rPr>
            <b/>
            <sz val="9"/>
            <color indexed="81"/>
            <rFont val="Arial"/>
            <family val="2"/>
          </rPr>
          <t>Julia Teska:</t>
        </r>
        <r>
          <rPr>
            <sz val="9"/>
            <color indexed="81"/>
            <rFont val="Arial"/>
            <family val="2"/>
          </rPr>
          <t xml:space="preserve">
cat 47 DAWN</t>
        </r>
      </text>
    </comment>
    <comment ref="C115" authorId="1">
      <text>
        <r>
          <rPr>
            <b/>
            <sz val="9"/>
            <color indexed="81"/>
            <rFont val="Arial"/>
            <family val="2"/>
          </rPr>
          <t>Julia Teska:</t>
        </r>
        <r>
          <rPr>
            <sz val="9"/>
            <color indexed="81"/>
            <rFont val="Arial"/>
            <family val="2"/>
          </rPr>
          <t xml:space="preserve">
cat 46 DAWN</t>
        </r>
      </text>
    </comment>
    <comment ref="C116" authorId="1">
      <text>
        <r>
          <rPr>
            <b/>
            <sz val="9"/>
            <color indexed="81"/>
            <rFont val="Arial"/>
            <family val="2"/>
          </rPr>
          <t>Julia Teska:</t>
        </r>
        <r>
          <rPr>
            <sz val="9"/>
            <color indexed="81"/>
            <rFont val="Arial"/>
            <family val="2"/>
          </rPr>
          <t xml:space="preserve">
cat 18 DAWN</t>
        </r>
      </text>
    </comment>
    <comment ref="C117" authorId="1">
      <text>
        <r>
          <rPr>
            <b/>
            <sz val="9"/>
            <color indexed="81"/>
            <rFont val="Arial"/>
            <family val="2"/>
          </rPr>
          <t>Julia Teska:</t>
        </r>
        <r>
          <rPr>
            <sz val="9"/>
            <color indexed="81"/>
            <rFont val="Arial"/>
            <family val="2"/>
          </rPr>
          <t xml:space="preserve">
cat 80 DAWN</t>
        </r>
      </text>
    </comment>
    <comment ref="C121" authorId="1">
      <text>
        <r>
          <rPr>
            <b/>
            <sz val="9"/>
            <color indexed="81"/>
            <rFont val="Arial"/>
            <family val="2"/>
          </rPr>
          <t>Julia Teska:</t>
        </r>
        <r>
          <rPr>
            <sz val="9"/>
            <color indexed="81"/>
            <rFont val="Arial"/>
            <family val="2"/>
          </rPr>
          <t xml:space="preserve">
line 26 387 report</t>
        </r>
      </text>
    </comment>
    <comment ref="C122" authorId="3">
      <text>
        <r>
          <rPr>
            <b/>
            <sz val="8"/>
            <color indexed="81"/>
            <rFont val="Tahoma"/>
            <family val="2"/>
          </rPr>
          <t>jt:</t>
        </r>
        <r>
          <rPr>
            <sz val="8"/>
            <color indexed="81"/>
            <rFont val="Tahoma"/>
            <family val="2"/>
          </rPr>
          <t xml:space="preserve">
line 25 &amp; 25a from 387 report</t>
        </r>
      </text>
    </comment>
  </commentList>
</comments>
</file>

<file path=xl/comments4.xml><?xml version="1.0" encoding="utf-8"?>
<comments xmlns="http://schemas.openxmlformats.org/spreadsheetml/2006/main">
  <authors>
    <author>Valued Gateway Client</author>
  </authors>
  <commentList>
    <comment ref="A4" authorId="0">
      <text>
        <r>
          <rPr>
            <sz val="8"/>
            <color indexed="81"/>
            <rFont val="Tahoma"/>
            <family val="2"/>
          </rPr>
          <t>Please refer to the notes for the variables that will impact on the actual average salary through the years.  For example the actual average annual salary increase for instructional personnel from FY 92 through FY 99 is 1.76% per year.  The average cola negotiated during these years is much higher; however, the impact of new hires reduces the overall average increase.  With the projected large number of existing personnel to retire during the next few years along with the new hires created by growth the districts could potentially experience a stabilization of or even a decrease in the average salary.</t>
        </r>
        <r>
          <rPr>
            <b/>
            <sz val="8"/>
            <color indexed="81"/>
            <rFont val="Tahoma"/>
            <family val="2"/>
          </rPr>
          <t xml:space="preserve">
</t>
        </r>
      </text>
    </comment>
  </commentList>
</comments>
</file>

<file path=xl/comments5.xml><?xml version="1.0" encoding="utf-8"?>
<comments xmlns="http://schemas.openxmlformats.org/spreadsheetml/2006/main">
  <authors>
    <author>A satisfied Microsoft Office user</author>
    <author>Valued Gateway Client</author>
  </authors>
  <commentList>
    <comment ref="B4" authorId="0">
      <text>
        <r>
          <rPr>
            <sz val="8"/>
            <color indexed="81"/>
            <rFont val="Tahoma"/>
            <family val="2"/>
          </rPr>
          <t>FY 04 actual weighted enrollment - See NDE Schedule I Report and DSADATABASE</t>
        </r>
      </text>
    </comment>
    <comment ref="C4" authorId="0">
      <text>
        <r>
          <rPr>
            <sz val="8"/>
            <color indexed="81"/>
            <rFont val="Tahoma"/>
            <family val="2"/>
          </rPr>
          <t>FY 05 actual weighted enrollment - See NDE Schedule I Report and DSADATABASE</t>
        </r>
      </text>
    </comment>
    <comment ref="E4" authorId="0">
      <text>
        <r>
          <rPr>
            <sz val="8"/>
            <color indexed="81"/>
            <rFont val="Tahoma"/>
            <family val="2"/>
          </rPr>
          <t>FY 04 projected weighted enrollment - See NDE Schedule I Report and DSADATABASE</t>
        </r>
      </text>
    </comment>
    <comment ref="G4" authorId="0">
      <text>
        <r>
          <rPr>
            <sz val="8"/>
            <color indexed="81"/>
            <rFont val="Tahoma"/>
            <family val="2"/>
          </rPr>
          <t>FY 05 projected weighted enrollment - See NDE Schedule I Report and DSADATABASE</t>
        </r>
      </text>
    </comment>
    <comment ref="D5" authorId="0">
      <text>
        <r>
          <rPr>
            <sz val="8"/>
            <color indexed="81"/>
            <rFont val="Tahoma"/>
            <family val="2"/>
          </rPr>
          <t>The fiscal year 2003 average starting salary is obtained by NDE from all local school districts.  The average is for October 1, 2002 as reported by the districts as part of the NRS 387 reporting requirements.</t>
        </r>
      </text>
    </comment>
    <comment ref="F5" authorId="0">
      <text>
        <r>
          <rPr>
            <sz val="8"/>
            <color indexed="81"/>
            <rFont val="Tahoma"/>
            <family val="2"/>
          </rPr>
          <t>Although there is an indirect relationship between the salary range for a licensed instruction employee, there is no direct correlation from one year to the next.  The average starting salary is as much impacted by the labor pool available in any one fiscal year as there is to the cost of living adjustment that may be negotiated.  Therefore, for budget purposes, the average starting salary as of October 1, 2002 is used to calculate the fiscal impact of new teachers for each year of the 2003-05 biennium.</t>
        </r>
      </text>
    </comment>
    <comment ref="B8" authorId="0">
      <text>
        <r>
          <rPr>
            <sz val="8"/>
            <color indexed="81"/>
            <rFont val="Tahoma"/>
            <family val="2"/>
          </rPr>
          <t>Number of licensed instruction personnel for FY 02 - See NDE Schedule II Report and DSADATABASE</t>
        </r>
      </text>
    </comment>
    <comment ref="C8" authorId="0">
      <text>
        <r>
          <rPr>
            <sz val="8"/>
            <color indexed="81"/>
            <rFont val="Tahoma"/>
            <family val="2"/>
          </rPr>
          <t>FY 03 enrollment divided by FY 02 employee-student ratio less FY 02 licensed instructional personnel equals number of new FY 03 personnel</t>
        </r>
      </text>
    </comment>
    <comment ref="E8" authorId="0">
      <text>
        <r>
          <rPr>
            <sz val="8"/>
            <color indexed="81"/>
            <rFont val="Tahoma"/>
            <family val="2"/>
          </rPr>
          <t>FY 02 licensed instructional personnel continuing in base</t>
        </r>
      </text>
    </comment>
    <comment ref="G8" authorId="0">
      <text>
        <r>
          <rPr>
            <sz val="8"/>
            <color indexed="81"/>
            <rFont val="Tahoma"/>
            <family val="2"/>
          </rPr>
          <t>FY 02 existing plus additional personnel added in FY 03 continuing in base</t>
        </r>
      </text>
    </comment>
    <comment ref="B9" authorId="0">
      <text>
        <r>
          <rPr>
            <sz val="8"/>
            <color indexed="81"/>
            <rFont val="Tahoma"/>
            <family val="2"/>
          </rPr>
          <t>Total FY 02 enrollment divided by actual FY 02 licensed instructional personnel equals the average employee/student ratio - See DSADATABASE</t>
        </r>
      </text>
    </comment>
    <comment ref="D9" authorId="0">
      <text>
        <r>
          <rPr>
            <sz val="8"/>
            <color indexed="81"/>
            <rFont val="Tahoma"/>
            <family val="2"/>
          </rPr>
          <t>Number of licensed instruction personnel added in FY 03 multiplied by average FY 03 beginning salary (salary as of October 1, 2002) in Cell D5  - See NDE Report on Average Starting Salaries</t>
        </r>
      </text>
    </comment>
    <comment ref="E9" authorId="0">
      <text>
        <r>
          <rPr>
            <sz val="8"/>
            <color indexed="81"/>
            <rFont val="Tahoma"/>
            <family val="2"/>
          </rPr>
          <t>Base - Number of additional licensed instruction personnel added in FY 03 continuing in base</t>
        </r>
      </text>
    </comment>
    <comment ref="F9" authorId="0">
      <text>
        <r>
          <rPr>
            <sz val="8"/>
            <color indexed="81"/>
            <rFont val="Tahoma"/>
            <family val="2"/>
          </rPr>
          <t>Base - Total FY 03 salaries for the new personnel added in FY 03 increased by 2% roll-up and 2% Cola (Note: Cola's are normally not built into Base; however, this was part of the legislative approved closing process of the 2001 legislature)
M300 - Base salaries
M400 - Base and M300 salaries plus the cost of living increase, if any, recommended in the Executive Budget.</t>
        </r>
      </text>
    </comment>
    <comment ref="H9" authorId="0">
      <text>
        <r>
          <rPr>
            <sz val="8"/>
            <color indexed="81"/>
            <rFont val="Tahoma"/>
            <family val="2"/>
          </rPr>
          <t>Base - Total FY 04 salaries for the new personnel added in FY 03 increased by 2% roll-up
M300 - See F9 for calculation
M400 - See F9 for calculation</t>
        </r>
      </text>
    </comment>
    <comment ref="D10" authorId="0">
      <text>
        <r>
          <rPr>
            <sz val="8"/>
            <color indexed="81"/>
            <rFont val="Tahoma"/>
            <family val="2"/>
          </rPr>
          <t>FY 02 number of licensed instructional personnel times average FY 02 salary with 2% roll-up and 2% Cola for FY 03</t>
        </r>
      </text>
    </comment>
    <comment ref="F10" authorId="0">
      <text>
        <r>
          <rPr>
            <sz val="8"/>
            <color indexed="81"/>
            <rFont val="Tahoma"/>
            <family val="2"/>
          </rPr>
          <t>Base - FY 03 salaries for continuing FY 02 personnel with 2% roll-up PLUS 2% Cola
M300 - See F9 for calculation
M400 - See F9 for calculation</t>
        </r>
      </text>
    </comment>
    <comment ref="H10" authorId="0">
      <text>
        <r>
          <rPr>
            <sz val="8"/>
            <color indexed="81"/>
            <rFont val="Tahoma"/>
            <family val="2"/>
          </rPr>
          <t>Base - FY 04 salaries for continuing FY 00 personnel with 2% roll-up
M200 - FY 04 salaries for continuing FY 03 personnel and new FY 04 personnel with 2% roll-up
M300 - See F9 for calculation
M400 - See F9 for calculation</t>
        </r>
      </text>
    </comment>
    <comment ref="B11" authorId="0">
      <text>
        <r>
          <rPr>
            <sz val="8"/>
            <color indexed="81"/>
            <rFont val="Tahoma"/>
            <family val="2"/>
          </rPr>
          <t>FY 02 Average Licensed Instruction Personnel Salary - See NDE NRS 387 General Fund Report and DSADATABASE</t>
        </r>
      </text>
    </comment>
    <comment ref="E11" authorId="0">
      <text>
        <r>
          <rPr>
            <sz val="8"/>
            <color indexed="81"/>
            <rFont val="Tahoma"/>
            <family val="2"/>
          </rPr>
          <t>M200 - FY 04 enrollment divided by FY 02 student ratio minus number of existing FY 02 and new FY 03 personnel</t>
        </r>
      </text>
    </comment>
    <comment ref="F11" authorId="0">
      <text>
        <r>
          <rPr>
            <sz val="8"/>
            <color indexed="81"/>
            <rFont val="Tahoma"/>
            <family val="2"/>
          </rPr>
          <t>M200 - Number of additional FY 04 personnel times the average FY 03  starting salary in Cell F5
M400 - M200 plus the cost of living increase, if any, recommended in the Executive Budget</t>
        </r>
      </text>
    </comment>
    <comment ref="G11" authorId="0">
      <text>
        <r>
          <rPr>
            <sz val="8"/>
            <color indexed="81"/>
            <rFont val="Tahoma"/>
            <family val="2"/>
          </rPr>
          <t>M200 - FY 05 enrollment divided by FY 02 student ratio minus number of existing FY 02 and additional FY 03 and FY 04 personnel.</t>
        </r>
      </text>
    </comment>
    <comment ref="H11" authorId="0">
      <text>
        <r>
          <rPr>
            <sz val="8"/>
            <color indexed="81"/>
            <rFont val="Tahoma"/>
            <family val="2"/>
          </rPr>
          <t>M200 - Number of additional FY 05 personnel times the average FY 03 starting salary in Cell H5
M400 - M200 plus the cost of living increase, if any, recommended in the Executive Budget</t>
        </r>
      </text>
    </comment>
    <comment ref="B12" authorId="0">
      <text>
        <r>
          <rPr>
            <sz val="8"/>
            <color indexed="81"/>
            <rFont val="Tahoma"/>
            <family val="2"/>
          </rPr>
          <t>FY 04 average licensed instructional salary with 2% roll-up and 2% Cola for FY 05</t>
        </r>
      </text>
    </comment>
    <comment ref="E12" authorId="0">
      <text>
        <r>
          <rPr>
            <sz val="8"/>
            <color indexed="81"/>
            <rFont val="Tahoma"/>
            <family val="2"/>
          </rPr>
          <t>Base: Total of FY02 existing and FY 03 additional licensed instructional personnel
M200: Base personnel plus FY 04 additional personnel driven by enrollment increase.</t>
        </r>
      </text>
    </comment>
    <comment ref="F12" authorId="0">
      <text>
        <r>
          <rPr>
            <sz val="8"/>
            <color indexed="81"/>
            <rFont val="Tahoma"/>
            <family val="2"/>
          </rPr>
          <t>Base: Total of FY 02 existing and FY 03 additional licensed instructional personnel
M200: Base personnel plus FY 04 additional personnel driven by enrollment increase.</t>
        </r>
      </text>
    </comment>
    <comment ref="G12" authorId="0">
      <text>
        <r>
          <rPr>
            <sz val="8"/>
            <color indexed="81"/>
            <rFont val="Tahoma"/>
            <family val="2"/>
          </rPr>
          <t>Base: Total of FY 02 existing and FY 03 additional licensed instructional personnel
M200: Base personnel plus FY 04 and FY 05 additional personnel driven by enrollment increase.</t>
        </r>
      </text>
    </comment>
    <comment ref="H12" authorId="0">
      <text>
        <r>
          <rPr>
            <sz val="8"/>
            <color indexed="81"/>
            <rFont val="Tahoma"/>
            <family val="2"/>
          </rPr>
          <t>Base: Total of FY 02 existing and FY 03 additional licensed instructional personnel
M200: Base personnel plus FY 05 additional personnel driven by enrollment increase.</t>
        </r>
      </text>
    </comment>
    <comment ref="A14" authorId="0">
      <text>
        <r>
          <rPr>
            <sz val="8"/>
            <color indexed="81"/>
            <rFont val="Tahoma"/>
            <family val="2"/>
          </rPr>
          <t>The same procedures, except as noted, identified in the notes for B8 through H12 for licensed instruction personnel are used to calculate all other personnel categories.  See F18 on the method to calculate average starting salary.</t>
        </r>
      </text>
    </comment>
    <comment ref="F18" authorId="0">
      <text>
        <r>
          <rPr>
            <sz val="8"/>
            <color indexed="81"/>
            <rFont val="Tahoma"/>
            <family val="2"/>
          </rPr>
          <t>The 1995 legislature closed the DSA budget using 75% of the average salaries of existing personnel to drive the salaries for all new non-licensed instructional personnel.  The same seventy-five percent factor was used to calculate the salary cost for all new non licensed instruction personnel for the last three biennia and that practice is continued for the 2003-05 biennium.</t>
        </r>
      </text>
    </comment>
    <comment ref="B53" authorId="0">
      <text>
        <r>
          <rPr>
            <sz val="8"/>
            <color indexed="81"/>
            <rFont val="Tahoma"/>
            <family val="2"/>
          </rPr>
          <t>Base - This is the total of all FTE personnel continuing from actual FY 02 and new for FY 03.
M200 - This is the total of all existing and new personnel calculated for the projected enrollment for each year of the biennium.</t>
        </r>
      </text>
    </comment>
    <comment ref="C53" authorId="0">
      <text>
        <r>
          <rPr>
            <sz val="8"/>
            <color indexed="81"/>
            <rFont val="Tahoma"/>
            <family val="2"/>
          </rPr>
          <t>Base - This is the total of all FTE personnel continuing from actual FY 02 and new for FY 03.
M200 - This is the total of all existing and new personnel calculated for the projected enrollment for each year of the biennium.</t>
        </r>
      </text>
    </comment>
    <comment ref="E53" authorId="0">
      <text>
        <r>
          <rPr>
            <sz val="8"/>
            <color indexed="81"/>
            <rFont val="Tahoma"/>
            <family val="2"/>
          </rPr>
          <t>Base - This is the total of all FTE personnel continuing from actual FY 02 and new for FY 03.
M200 - This is the total of all existing and new personnel calculated for the projected enrollment for each year of the biennium.</t>
        </r>
      </text>
    </comment>
    <comment ref="F53" authorId="0">
      <text>
        <r>
          <rPr>
            <sz val="8"/>
            <color indexed="81"/>
            <rFont val="Tahoma"/>
            <family val="2"/>
          </rPr>
          <t>Base - This is the total of all FTE personnel continuing from actual FY 02 and new for FY 03.
M200 - This is the total of all existing and new personnel calculated for the projected enrollment for each year of the biennium.</t>
        </r>
      </text>
    </comment>
    <comment ref="G53" authorId="0">
      <text>
        <r>
          <rPr>
            <sz val="8"/>
            <color indexed="81"/>
            <rFont val="Tahoma"/>
            <family val="2"/>
          </rPr>
          <t>Base - This is the total of all FTE personnel continuing from actual FY 02 and new for FY 03.
M200 - This is the total of all existing and new personnel calculated for the projected enrollment for each year of the biennium.</t>
        </r>
      </text>
    </comment>
    <comment ref="H53" authorId="0">
      <text>
        <r>
          <rPr>
            <sz val="8"/>
            <color indexed="81"/>
            <rFont val="Tahoma"/>
            <family val="2"/>
          </rPr>
          <t>Base - This is the total of all FTE personnel continuing from actual FY 02 and new for FY 03.
M200 - This is the total of all existing and new personnel calculated for the projected enrollment for each year of the biennium.</t>
        </r>
      </text>
    </comment>
    <comment ref="F54" authorId="0">
      <text>
        <r>
          <rPr>
            <sz val="8"/>
            <color indexed="81"/>
            <rFont val="Tahoma"/>
            <family val="2"/>
          </rPr>
          <t>In order to reflect the total salary and fringe benefit expenditures, the actual FY 02 expenditures for substitutes pay is reflected in this row for both years of the biennium.  On the basis of the fact that the pay for substitutes is not modified on a regular basis, there is no roll-up included for the biennium.  This practice has been acceptable to past legislatures.</t>
        </r>
      </text>
    </comment>
    <comment ref="F55" authorId="1">
      <text>
        <r>
          <rPr>
            <sz val="8"/>
            <color indexed="81"/>
            <rFont val="Tahoma"/>
            <family val="2"/>
          </rPr>
          <t>In order to reflect the total salary and fringe benefit expenditures, the actual FY 02 expenditures for all non-substitutes extra and miscellaneous pay is reflected in this row for both years of the biennium.  Costs herein would include such areas as athletic coaches and after hour tutorial services. On the basis of the fact that this pay is an extension of the regular salary of an employee, there is a roll-up of 2%  for each year of the biennium PLUS a 2% COLA for FY 03.  This practice has been acceptable to past legislatures.</t>
        </r>
        <r>
          <rPr>
            <b/>
            <sz val="8"/>
            <color indexed="81"/>
            <rFont val="Tahoma"/>
            <family val="2"/>
          </rPr>
          <t xml:space="preserve">
</t>
        </r>
      </text>
    </comment>
    <comment ref="A56" authorId="0">
      <text>
        <r>
          <rPr>
            <sz val="8"/>
            <color indexed="81"/>
            <rFont val="Tahoma"/>
            <family val="2"/>
          </rPr>
          <t>Base - The total salaries are multiplied by the actual  fringe benefit percentage rates identified in the NDE NRS 387 General Fund Report for FY 02 for each year of the biennium.  
M300 - Fringe benefit rates are adjusted by the percentage increase (decrease), if applicable, for fringe benefit rates reflected in the NRS 387 report as budgeted for FY 03.</t>
        </r>
      </text>
    </comment>
    <comment ref="F57" authorId="0">
      <text>
        <r>
          <rPr>
            <sz val="8"/>
            <color indexed="81"/>
            <rFont val="Tahoma"/>
            <family val="2"/>
          </rPr>
          <t>F64 is the product of F60 multiplied by B64.  The same process is applicable for all other fringe calculations.</t>
        </r>
      </text>
    </comment>
    <comment ref="F65" authorId="0">
      <text>
        <r>
          <rPr>
            <sz val="8"/>
            <color indexed="81"/>
            <rFont val="Tahoma"/>
            <family val="2"/>
          </rPr>
          <t>Base - This number is the sum of the salaries and fringe benefits.  The total FY 04 and FY 05 salaries and the individual fringe benefit expenditures are transferred to the salary and fringe benefit section of the "DSASUMM" worksheet.
Other Decision Units - A separate summary is added to each non-base salary and fringe benefit decision units that reflects the fiscal difference between decision units.  The net difference is transferred to the salary and fringe section for the specific decision unit of the "DSASUMM" worksheet.  For example, the fiscal impact of the M200 decision unit is the net difference between Base salaries and fringe benefits and M200 salaries and fringe benefits.</t>
        </r>
      </text>
    </comment>
    <comment ref="H65" authorId="0">
      <text>
        <r>
          <rPr>
            <sz val="8"/>
            <color indexed="81"/>
            <rFont val="Tahoma"/>
            <family val="2"/>
          </rPr>
          <t>Base - This number is the sum of the salaries and fringe benefits.  The total FY 04 and FY 05 salaries and the individual fringe benefit expenditures are transferred to the salary and fringe benefit section of the "DSASUMM" worksheet.
Other Decision Units - A separate summary is added to each non-base salary and fringe benefit decision units that reflects the fiscal difference between decision units.  The net difference is transferred to the salary and fringe section for the specific decision unit of the "DSASUMM" worksheet.  For example, the fiscal impact of the M200 decision unit is the net difference between Base salaries and fringe benefits and M200 salaries and fringe benefits.</t>
        </r>
      </text>
    </comment>
    <comment ref="F66" authorId="0">
      <text>
        <r>
          <rPr>
            <sz val="8"/>
            <color indexed="81"/>
            <rFont val="Tahoma"/>
            <family val="2"/>
          </rPr>
          <t>This figure is the ratio between total salaries and total fringe benefits</t>
        </r>
      </text>
    </comment>
  </commentList>
</comments>
</file>

<file path=xl/comments6.xml><?xml version="1.0" encoding="utf-8"?>
<comments xmlns="http://schemas.openxmlformats.org/spreadsheetml/2006/main">
  <authors>
    <author>Valued Gateway Client</author>
    <author>A satisfied Microsoft Office user</author>
  </authors>
  <commentList>
    <comment ref="B79" authorId="0">
      <text>
        <r>
          <rPr>
            <sz val="8"/>
            <color indexed="81"/>
            <rFont val="Tahoma"/>
            <family val="2"/>
          </rPr>
          <t>This value to be exactly the same as Cell F72 on BASESAL.</t>
        </r>
        <r>
          <rPr>
            <b/>
            <sz val="8"/>
            <color indexed="81"/>
            <rFont val="Tahoma"/>
            <family val="2"/>
          </rPr>
          <t xml:space="preserve">
</t>
        </r>
      </text>
    </comment>
    <comment ref="C79" authorId="0">
      <text>
        <r>
          <rPr>
            <sz val="8"/>
            <color indexed="81"/>
            <rFont val="Tahoma"/>
            <family val="2"/>
          </rPr>
          <t>This value should be exactly the same as Cell F72 in this worksheet.</t>
        </r>
        <r>
          <rPr>
            <b/>
            <sz val="8"/>
            <color indexed="81"/>
            <rFont val="Tahoma"/>
            <family val="2"/>
          </rPr>
          <t xml:space="preserve">
</t>
        </r>
      </text>
    </comment>
    <comment ref="D79" authorId="1">
      <text>
        <r>
          <rPr>
            <sz val="8"/>
            <color indexed="81"/>
            <rFont val="Tahoma"/>
            <family val="2"/>
          </rPr>
          <t>This total represents the net difference between the Base and M200 decision units for fiscal year 2004.  This value should tie to Cell I15 in the DSASUMM worksheet plus the values of Cells I5 and I6.  The latter two cells are the growth increments for substitute, extra duty and miscellaneous salaries.</t>
        </r>
      </text>
    </comment>
    <comment ref="G79" authorId="1">
      <text>
        <r>
          <rPr>
            <sz val="8"/>
            <color indexed="81"/>
            <rFont val="Tahoma"/>
            <family val="2"/>
          </rPr>
          <t>This total represents the net difference between the base and M200 decision units for fiscal year 2005.  See Cell D86 for additional information.</t>
        </r>
      </text>
    </comment>
  </commentList>
</comments>
</file>

<file path=xl/comments7.xml><?xml version="1.0" encoding="utf-8"?>
<comments xmlns="http://schemas.openxmlformats.org/spreadsheetml/2006/main">
  <authors>
    <author>Valued Gateway Client</author>
    <author>A satisfied Microsoft Office user</author>
  </authors>
  <commentList>
    <comment ref="A59" authorId="0">
      <text>
        <r>
          <rPr>
            <sz val="8"/>
            <color indexed="81"/>
            <rFont val="Tahoma"/>
            <family val="2"/>
          </rPr>
          <t>The only change reflected in M300SAL is the difference in the budgeted  FY 03 fringe benefit rates and the actual fringe benefit rates reflected in the NRS 387 report.  The NRS 387 report is to only official document available and the legislature has found this practice to be appropriate.  All other information should be identical to the M200SAL.</t>
        </r>
        <r>
          <rPr>
            <b/>
            <sz val="8"/>
            <color indexed="81"/>
            <rFont val="Tahoma"/>
            <family val="2"/>
          </rPr>
          <t xml:space="preserve">
</t>
        </r>
      </text>
    </comment>
    <comment ref="D82" authorId="1">
      <text>
        <r>
          <rPr>
            <sz val="8"/>
            <color indexed="81"/>
            <rFont val="Tahoma"/>
            <family val="2"/>
          </rPr>
          <t>This total is the net difference between the M200 and M300 decision units and represents the additional cost for adjusting fringe benefits.  Only the applicable fringe benefits should change.</t>
        </r>
      </text>
    </comment>
    <comment ref="G82" authorId="1">
      <text>
        <r>
          <rPr>
            <sz val="8"/>
            <color indexed="81"/>
            <rFont val="Tahoma"/>
            <family val="2"/>
          </rPr>
          <t>This total represents the net difference between the M200 and M300 decision units and is the fiscal impact of any adjustments to fringe benefits.</t>
        </r>
      </text>
    </comment>
  </commentList>
</comments>
</file>

<file path=xl/comments8.xml><?xml version="1.0" encoding="utf-8"?>
<comments xmlns="http://schemas.openxmlformats.org/spreadsheetml/2006/main">
  <authors>
    <author>A satisfied Microsoft Office user</author>
  </authors>
  <commentList>
    <comment ref="F6" authorId="0">
      <text>
        <r>
          <rPr>
            <sz val="8"/>
            <color indexed="81"/>
            <rFont val="Tahoma"/>
            <family val="2"/>
          </rPr>
          <t>The cell represents the cost-of-living increase, if any, recommended in the Executive Budget.  For example, 1.01 would represent a recommended 1% COLA.  The 1.0 value is in effect until a decision is made on the issue.  However, be aware of the fact that this is a quick method to determine the fiscal impact of any proposed adjustment.  For example, a 1% increase would be automatically calculated and the net change would be reflected at the bottom of this worksheet. See DSADATABASE</t>
        </r>
      </text>
    </comment>
    <comment ref="H6" authorId="0">
      <text>
        <r>
          <rPr>
            <sz val="8"/>
            <color indexed="81"/>
            <rFont val="Tahoma"/>
            <family val="2"/>
          </rPr>
          <t>See F6 for information.</t>
        </r>
      </text>
    </comment>
    <comment ref="D81" authorId="0">
      <text>
        <r>
          <rPr>
            <sz val="8"/>
            <color indexed="81"/>
            <rFont val="Tahoma"/>
            <family val="2"/>
          </rPr>
          <t>This total represents the net difference between the M300 and M400 decision units and represents the fiscal impact of any recommended cost of living adjustment.</t>
        </r>
      </text>
    </comment>
    <comment ref="G81" authorId="0">
      <text>
        <r>
          <rPr>
            <sz val="8"/>
            <color indexed="81"/>
            <rFont val="Tahoma"/>
            <family val="2"/>
          </rPr>
          <t>This total represents the net difference between the M300 and M400 decision units and represents the fiscal impact of any recommended cost of living adjustment.</t>
        </r>
      </text>
    </comment>
  </commentList>
</comments>
</file>

<file path=xl/comments9.xml><?xml version="1.0" encoding="utf-8"?>
<comments xmlns="http://schemas.openxmlformats.org/spreadsheetml/2006/main">
  <authors>
    <author>A satisfied Microsoft Office user</author>
    <author>Valued Gateway Client</author>
  </authors>
  <commentList>
    <comment ref="F6" authorId="0">
      <text>
        <r>
          <rPr>
            <sz val="8"/>
            <color indexed="81"/>
            <rFont val="Tahoma"/>
            <family val="2"/>
          </rPr>
          <t>The cell represents the cost-of-living increase, if any, recommended in the Executive Budget.  For example, 1.01 would represent a recommended 1% COLA.  The 1.0 value is in effect until a decision is made on the issue.  However, be aware of the fact that this is a quick method to determine the fiscal impact of any proposed adjustment.  For example, a 1% increase would be automatically calculated and the net change would be reflected at the bottom of this worksheet. See DSADATABASE</t>
        </r>
      </text>
    </comment>
    <comment ref="H6" authorId="0">
      <text>
        <r>
          <rPr>
            <sz val="8"/>
            <color indexed="81"/>
            <rFont val="Tahoma"/>
            <family val="2"/>
          </rPr>
          <t>See F6 for information.</t>
        </r>
      </text>
    </comment>
    <comment ref="A59" authorId="1">
      <text>
        <r>
          <rPr>
            <sz val="8"/>
            <color indexed="81"/>
            <rFont val="Tahoma"/>
            <family val="2"/>
          </rPr>
          <t>The only change reflected in M300SAL is the difference in the budgeted  FY 03 fringe benefit rates and the actual fringe benefit rates reflected in the NRS 387 report.  The NRS 387 report is to only official document available and the legislature has found this practice to be appropriate.  All other information should be identical to the M200SAL.</t>
        </r>
        <r>
          <rPr>
            <b/>
            <sz val="8"/>
            <color indexed="81"/>
            <rFont val="Tahoma"/>
            <family val="2"/>
          </rPr>
          <t xml:space="preserve">
</t>
        </r>
      </text>
    </comment>
    <comment ref="D83" authorId="0">
      <text>
        <r>
          <rPr>
            <sz val="8"/>
            <color indexed="81"/>
            <rFont val="Tahoma"/>
            <family val="2"/>
          </rPr>
          <t>This total is the net difference between the M200 and M300 decision units and represents the additional cost for adjusting fringe benefits.  Only the applicable fringe benefits should change.</t>
        </r>
      </text>
    </comment>
    <comment ref="G83" authorId="0">
      <text>
        <r>
          <rPr>
            <sz val="8"/>
            <color indexed="81"/>
            <rFont val="Tahoma"/>
            <family val="2"/>
          </rPr>
          <t>This total represents the net difference between the M200 and M300 decision units and is the fiscal impact of any adjustments to fringe benefits.</t>
        </r>
      </text>
    </comment>
  </commentList>
</comments>
</file>

<file path=xl/comments10.xml><?xml version="1.0" encoding="utf-8"?>
<comments xmlns="http://schemas.openxmlformats.org/spreadsheetml/2006/main">
  <authors>
    <author>A satisfied Microsoft Office user</author>
    <author>Valued Gateway Client</author>
  </authors>
  <commentList>
    <comment ref="F6" authorId="0">
      <text>
        <r>
          <rPr>
            <sz val="8"/>
            <color indexed="81"/>
            <rFont val="Tahoma"/>
            <family val="2"/>
          </rPr>
          <t>The cell represents the cost-of-living increase, if any, recommended in the Executive Budget.  For example, 1.01 would represent a recommended 1% COLA.  The 1.0 value is in effect until a decision is made on the issue.  However, be aware of the fact that this is a quick method to determine the fiscal impact of any proposed adjustment.  For example, a 1% increase would be automatically calculated and the net change would be reflected at the bottom of this worksheet. See DSADATABASE</t>
        </r>
      </text>
    </comment>
    <comment ref="H6" authorId="0">
      <text>
        <r>
          <rPr>
            <sz val="8"/>
            <color indexed="81"/>
            <rFont val="Tahoma"/>
            <family val="2"/>
          </rPr>
          <t>See F6 for information.</t>
        </r>
      </text>
    </comment>
    <comment ref="A59" authorId="1">
      <text>
        <r>
          <rPr>
            <sz val="8"/>
            <color indexed="81"/>
            <rFont val="Tahoma"/>
            <family val="2"/>
          </rPr>
          <t>The only change reflected in M300SAL is the difference in the budgeted  FY 03 fringe benefit rates and the actual fringe benefit rates reflected in the NRS 387 report.  The NRS 387 report is to only official document available and the legislature has found this practice to be appropriate.  All other information should be identical to the M200SAL.</t>
        </r>
        <r>
          <rPr>
            <b/>
            <sz val="8"/>
            <color indexed="81"/>
            <rFont val="Tahoma"/>
            <family val="2"/>
          </rPr>
          <t xml:space="preserve">
</t>
        </r>
      </text>
    </comment>
    <comment ref="D83" authorId="0">
      <text>
        <r>
          <rPr>
            <sz val="8"/>
            <color indexed="81"/>
            <rFont val="Tahoma"/>
            <family val="2"/>
          </rPr>
          <t>This total is the net difference between the M200 and M300 decision units and represents the additional cost for adjusting fringe benefits.  Only the applicable fringe benefits should change.</t>
        </r>
      </text>
    </comment>
    <comment ref="G83" authorId="0">
      <text>
        <r>
          <rPr>
            <sz val="8"/>
            <color indexed="81"/>
            <rFont val="Tahoma"/>
            <family val="2"/>
          </rPr>
          <t>This total represents the net difference between the M200 and M300 decision units and is the fiscal impact of any adjustments to fringe benefits.</t>
        </r>
      </text>
    </comment>
  </commentList>
</comments>
</file>

<file path=xl/comments11.xml><?xml version="1.0" encoding="utf-8"?>
<comments xmlns="http://schemas.openxmlformats.org/spreadsheetml/2006/main">
  <authors>
    <author>Valued Gateway Client</author>
  </authors>
  <commentList>
    <comment ref="S2" authorId="0">
      <text>
        <r>
          <rPr>
            <sz val="8"/>
            <color indexed="81"/>
            <rFont val="Tahoma"/>
            <family val="2"/>
          </rPr>
          <t>Columns W and Y are the sum of all decision units for each of the fiscal years, e.g.., Base,  M200 and M300.</t>
        </r>
        <r>
          <rPr>
            <b/>
            <sz val="8"/>
            <color indexed="81"/>
            <rFont val="Tahoma"/>
            <family val="2"/>
          </rPr>
          <t xml:space="preserve">
</t>
        </r>
      </text>
    </comment>
    <comment ref="T2" authorId="0">
      <text>
        <r>
          <rPr>
            <sz val="8"/>
            <color indexed="81"/>
            <rFont val="Tahoma"/>
            <family val="2"/>
          </rPr>
          <t>Column X represents the percent change from FY 02 actual and FY 04 projected.</t>
        </r>
        <r>
          <rPr>
            <b/>
            <sz val="8"/>
            <color indexed="81"/>
            <rFont val="Tahoma"/>
            <family val="2"/>
          </rPr>
          <t xml:space="preserve">
</t>
        </r>
      </text>
    </comment>
    <comment ref="V2" authorId="0">
      <text>
        <r>
          <rPr>
            <sz val="8"/>
            <color indexed="81"/>
            <rFont val="Tahoma"/>
            <family val="2"/>
          </rPr>
          <t>Column Z represents to percent change from FY 04 and FY 05 projected.</t>
        </r>
        <r>
          <rPr>
            <b/>
            <sz val="8"/>
            <color indexed="81"/>
            <rFont val="Tahoma"/>
            <family val="2"/>
          </rPr>
          <t xml:space="preserve">
</t>
        </r>
      </text>
    </comment>
  </commentList>
</comments>
</file>

<file path=xl/comments12.xml><?xml version="1.0" encoding="utf-8"?>
<comments xmlns="http://schemas.openxmlformats.org/spreadsheetml/2006/main">
  <authors>
    <author>A satisfied Microsoft Office user</author>
    <author>Valued Gateway Client</author>
  </authors>
  <commentList>
    <comment ref="A2" authorId="0">
      <text>
        <r>
          <rPr>
            <sz val="8"/>
            <color indexed="81"/>
            <rFont val="Tahoma"/>
            <family val="2"/>
          </rPr>
          <t>Building square footage information is taken from NDE Schedule of Current, New and Planned Facilities provided by NDE and titled "BUILDING SQUARE FOOTAGE; 10YRPROJ".  See DSADATABASE</t>
        </r>
      </text>
    </comment>
    <comment ref="A11" authorId="1">
      <text>
        <r>
          <rPr>
            <sz val="8"/>
            <color indexed="81"/>
            <rFont val="Tahoma"/>
            <family val="2"/>
          </rPr>
          <t>The expenditure elements within the "operating" category are assigned to the three major elements that drive costs, i.e., building space, number of students and the number of employees.  Although several of the operating categories could probably be assigned to another element, previous tests indicate that there is no material change in cost adjustment.  Therefore, for the past several budget cycles, the assignments as reflected in  M200 have been accepted by the money committees.</t>
        </r>
        <r>
          <rPr>
            <b/>
            <sz val="8"/>
            <color indexed="81"/>
            <rFont val="Tahoma"/>
            <family val="2"/>
          </rPr>
          <t xml:space="preserve">
</t>
        </r>
      </text>
    </comment>
    <comment ref="M11" authorId="0">
      <text>
        <r>
          <rPr>
            <sz val="8"/>
            <color indexed="81"/>
            <rFont val="Tahoma"/>
            <family val="2"/>
          </rPr>
          <t>The total FY 99 cost as reflected in NDE 387 reports for reference only.</t>
        </r>
      </text>
    </comment>
    <comment ref="N11" authorId="1">
      <text>
        <r>
          <rPr>
            <sz val="8"/>
            <color indexed="81"/>
            <rFont val="Tahoma"/>
            <family val="2"/>
          </rPr>
          <t xml:space="preserve">The total FY 00 cost as reflected in the NRS 387 for reference only.
</t>
        </r>
        <r>
          <rPr>
            <b/>
            <sz val="8"/>
            <color indexed="81"/>
            <rFont val="Tahoma"/>
            <family val="2"/>
          </rPr>
          <t xml:space="preserve">
</t>
        </r>
      </text>
    </comment>
    <comment ref="O11" authorId="1">
      <text>
        <r>
          <rPr>
            <sz val="8"/>
            <color indexed="81"/>
            <rFont val="Tahoma"/>
            <family val="2"/>
          </rPr>
          <t>The total FY 02 cost as reflected in NDE 387 reports.  Each of the individual operating expenses must tie to the  operating expenses reflected in Column B on the DSASUMM worksheet.</t>
        </r>
        <r>
          <rPr>
            <b/>
            <sz val="8"/>
            <color indexed="81"/>
            <rFont val="Tahoma"/>
            <family val="2"/>
          </rPr>
          <t xml:space="preserve">
</t>
        </r>
      </text>
    </comment>
    <comment ref="P11" authorId="1">
      <text>
        <r>
          <rPr>
            <sz val="8"/>
            <color indexed="81"/>
            <rFont val="Tahoma"/>
            <family val="2"/>
          </rPr>
          <t xml:space="preserve">The FY 02 cost per square foot is obtained by dividing the actual expenses by the actual FY 02 total building square footage of local school district facilities.  Previous actual years are also included to provide a picture of the changing global expenditure patterns of the districts.  Columns of previous years are hidden to allow the use of a single page for this exercise.  </t>
        </r>
        <r>
          <rPr>
            <b/>
            <sz val="8"/>
            <color indexed="81"/>
            <rFont val="Tahoma"/>
            <family val="2"/>
          </rPr>
          <t xml:space="preserve">
</t>
        </r>
      </text>
    </comment>
    <comment ref="Q11" authorId="0">
      <text>
        <r>
          <rPr>
            <sz val="8"/>
            <color indexed="81"/>
            <rFont val="Tahoma"/>
            <family val="2"/>
          </rPr>
          <t>The total FY 04 cost  is obtained by multiplying the actual FY 02 per unit cost by the projected total square footage for FY 04</t>
        </r>
      </text>
    </comment>
    <comment ref="O18" authorId="0">
      <text>
        <r>
          <rPr>
            <sz val="8"/>
            <color indexed="81"/>
            <rFont val="Tahoma"/>
            <family val="2"/>
          </rPr>
          <t>FY 02 total actual expenses for operating expenses impacted by building facilities</t>
        </r>
      </text>
    </comment>
    <comment ref="Q18" authorId="0">
      <text>
        <r>
          <rPr>
            <sz val="8"/>
            <color indexed="81"/>
            <rFont val="Tahoma"/>
            <family val="2"/>
          </rPr>
          <t>FY 04 total projected  expenses for all eligible operating expenses impacted by building facilities</t>
        </r>
      </text>
    </comment>
    <comment ref="R18" authorId="0">
      <text>
        <r>
          <rPr>
            <sz val="8"/>
            <color indexed="81"/>
            <rFont val="Tahoma"/>
            <family val="2"/>
          </rPr>
          <t>Net additional expenses for FY 04.  This number should balance with the amount in Cell Q19.</t>
        </r>
      </text>
    </comment>
    <comment ref="T18" authorId="0">
      <text>
        <r>
          <rPr>
            <sz val="8"/>
            <color indexed="81"/>
            <rFont val="Tahoma"/>
            <family val="2"/>
          </rPr>
          <t>FY 05 total projected  expenses for all eligible operating expenses impacted by building facilities</t>
        </r>
      </text>
    </comment>
    <comment ref="U18" authorId="0">
      <text>
        <r>
          <rPr>
            <sz val="8"/>
            <color indexed="81"/>
            <rFont val="Tahoma"/>
            <family val="2"/>
          </rPr>
          <t>Net additional expenses for FY 04.  This number should balance with the amount in Cell Q19.</t>
        </r>
      </text>
    </comment>
    <comment ref="Q19" authorId="0">
      <text>
        <r>
          <rPr>
            <sz val="8"/>
            <color indexed="81"/>
            <rFont val="Tahoma"/>
            <family val="2"/>
          </rPr>
          <t>FY 04 cost of building growth.</t>
        </r>
      </text>
    </comment>
    <comment ref="T19" authorId="0">
      <text>
        <r>
          <rPr>
            <sz val="8"/>
            <color indexed="81"/>
            <rFont val="Tahoma"/>
            <family val="2"/>
          </rPr>
          <t>FY 05 cost adjustment on the basis of projected square footage.</t>
        </r>
      </text>
    </comment>
    <comment ref="A21" authorId="0">
      <text>
        <r>
          <rPr>
            <sz val="8"/>
            <color indexed="81"/>
            <rFont val="Tahoma"/>
            <family val="2"/>
          </rPr>
          <t>School enrollment information obtained from NDE Schedule I Report - See DSADATABASE. The same procedure and formulas for obtaining cost per square footage described for those operating categories impacted by building facilities is used except that school enrollments are used as the determining factor.</t>
        </r>
      </text>
    </comment>
    <comment ref="A36" authorId="0">
      <text>
        <r>
          <rPr>
            <sz val="8"/>
            <color indexed="81"/>
            <rFont val="Tahoma"/>
            <family val="2"/>
          </rPr>
          <t>The total school staff is the product of the actual FY 02 number provided by the local school districts as reflected in the student/staffing worksheet and as projected on the M200SAL worksheet for FY 03, 04 and 05. See Cells E72 and G72 of M200SAL.
The same formula and procedures used to calculate the cost per square foot and total cost for building square footage is used in this section except the total number of staff is substituted for building square footage.</t>
        </r>
      </text>
    </comment>
    <comment ref="Q51" authorId="0">
      <text>
        <r>
          <rPr>
            <sz val="8"/>
            <color indexed="81"/>
            <rFont val="Tahoma"/>
            <family val="2"/>
          </rPr>
          <t>FY 02 cost of growth adjustment for building, student and employee driven operating expenses.  This amount should balance with the amount in Cell Q73.</t>
        </r>
      </text>
    </comment>
    <comment ref="T51" authorId="0">
      <text>
        <r>
          <rPr>
            <sz val="8"/>
            <color indexed="81"/>
            <rFont val="Tahoma"/>
            <family val="2"/>
          </rPr>
          <t>FY 01 cost of growth adjustment for building, student and employee driven operating expenses.  This amount should balance with the amount in Cell S73.  Note: this amount includes the amount in Q51 in order to reflect the total second year additional cost.</t>
        </r>
      </text>
    </comment>
    <comment ref="P53" authorId="0">
      <text>
        <r>
          <rPr>
            <sz val="8"/>
            <color indexed="81"/>
            <rFont val="Tahoma"/>
            <family val="2"/>
          </rPr>
          <t>The actual cost for all operating expense categories is taken from the DSASUMM worksheet of this workbook.</t>
        </r>
      </text>
    </comment>
    <comment ref="R73" authorId="0">
      <text>
        <r>
          <rPr>
            <sz val="8"/>
            <color indexed="81"/>
            <rFont val="Tahoma"/>
            <family val="2"/>
          </rPr>
          <t>The net difference between FY 04 adjusted base and FY 04 adjusted growth cost is transferred to the DSASUMM worksheet.  This amount should balance with the amount in Cell Q51.</t>
        </r>
      </text>
    </comment>
    <comment ref="T73" authorId="0">
      <text>
        <r>
          <rPr>
            <sz val="8"/>
            <color indexed="81"/>
            <rFont val="Tahoma"/>
            <family val="2"/>
          </rPr>
          <t>The net difference between FY 05 adjusted base and FY 05 adjusted growth cost is transferred to the DSASUMM worksheet.  This amount should balance with the amount in Cell T51.</t>
        </r>
      </text>
    </comment>
  </commentList>
</comments>
</file>

<file path=xl/comments13.xml><?xml version="1.0" encoding="utf-8"?>
<comments xmlns="http://schemas.openxmlformats.org/spreadsheetml/2006/main">
  <authors>
    <author>A satisfied Microsoft Office user</author>
    <author>Valued Gateway Client</author>
  </authors>
  <commentList>
    <comment ref="A2" authorId="0">
      <text>
        <r>
          <rPr>
            <sz val="8"/>
            <color indexed="81"/>
            <rFont val="Tahoma"/>
            <family val="2"/>
          </rPr>
          <t>Building square footage information is taken from NDE Schedule of Current, New and Planned Facilities provided by NDE and titled "BUILDING SQUARE FOOTAGE; 10YRPROJ". See DSADATABASE</t>
        </r>
      </text>
    </comment>
    <comment ref="A11" authorId="1">
      <text>
        <r>
          <rPr>
            <sz val="8"/>
            <color indexed="81"/>
            <rFont val="Tahoma"/>
            <family val="2"/>
          </rPr>
          <t>The expenditure elements within the "operating" category are assigned to the three major elements that drive costs, i.e., building space, number of students and the number of employees.  Although several of the operating categories could probably be assigned to another element, previous tests indicate that there is no material change in cost adjustment.  Therefore, for the past several budget cycles, the assignments as reflected in both M100 and M200 have been accepted by the money committees.</t>
        </r>
        <r>
          <rPr>
            <b/>
            <sz val="8"/>
            <color indexed="81"/>
            <rFont val="Tahoma"/>
            <family val="2"/>
          </rPr>
          <t xml:space="preserve">
</t>
        </r>
      </text>
    </comment>
    <comment ref="M11" authorId="0">
      <text>
        <r>
          <rPr>
            <sz val="8"/>
            <color indexed="81"/>
            <rFont val="Tahoma"/>
            <family val="2"/>
          </rPr>
          <t>The total FY 99 cost as reflected in NDE 387 reports for reference only.</t>
        </r>
      </text>
    </comment>
    <comment ref="N11" authorId="1">
      <text>
        <r>
          <rPr>
            <sz val="8"/>
            <color indexed="81"/>
            <rFont val="Tahoma"/>
            <family val="2"/>
          </rPr>
          <t xml:space="preserve">The total FY 00 cost as reflected in the NRS 387 for reference only.
</t>
        </r>
        <r>
          <rPr>
            <b/>
            <sz val="8"/>
            <color indexed="81"/>
            <rFont val="Tahoma"/>
            <family val="2"/>
          </rPr>
          <t xml:space="preserve">
</t>
        </r>
      </text>
    </comment>
    <comment ref="O11" authorId="1">
      <text>
        <r>
          <rPr>
            <sz val="8"/>
            <color indexed="81"/>
            <rFont val="Tahoma"/>
            <family val="2"/>
          </rPr>
          <t>The total FY 02 cost as reflected in NDE 387 reports.  Each of the individual operating expenses must tie to the  operating expenses reflected in Column B on the DSASUMM worksheet.</t>
        </r>
        <r>
          <rPr>
            <b/>
            <sz val="8"/>
            <color indexed="81"/>
            <rFont val="Tahoma"/>
            <family val="2"/>
          </rPr>
          <t xml:space="preserve">
</t>
        </r>
      </text>
    </comment>
    <comment ref="P11" authorId="1">
      <text>
        <r>
          <rPr>
            <sz val="8"/>
            <color indexed="81"/>
            <rFont val="Tahoma"/>
            <family val="2"/>
          </rPr>
          <t xml:space="preserve">The FY 02 cost per square foot is obtained by dividing the actual expenses by the actual FY 02 total building square footage of local school district facilities.  The previous two actual years are also included to provide a picture of the changing global expenditure patterns of the districts.  Columns of previous years are hidden to allow the use of a single page for this exercise.  </t>
        </r>
        <r>
          <rPr>
            <b/>
            <sz val="8"/>
            <color indexed="81"/>
            <rFont val="Tahoma"/>
            <family val="2"/>
          </rPr>
          <t xml:space="preserve">
</t>
        </r>
      </text>
    </comment>
    <comment ref="Q11" authorId="0">
      <text>
        <r>
          <rPr>
            <sz val="8"/>
            <color indexed="81"/>
            <rFont val="Tahoma"/>
            <family val="2"/>
          </rPr>
          <t xml:space="preserve">The total FY 04 cost with inflationary adjustment for each eligible element is obtained by multiplying the base FY 02 expenditure by the allowed inflation rate as approved by the Governor, plus the net additional FY 04 costs.  This worksheet is only used for Governor approved general inflation adjustments.
</t>
        </r>
      </text>
    </comment>
    <comment ref="O18" authorId="0">
      <text>
        <r>
          <rPr>
            <sz val="8"/>
            <color indexed="81"/>
            <rFont val="Tahoma"/>
            <family val="2"/>
          </rPr>
          <t>FY 02 total actual expenses for operating expenses impacted by building facilities</t>
        </r>
      </text>
    </comment>
    <comment ref="Q18" authorId="0">
      <text>
        <r>
          <rPr>
            <sz val="8"/>
            <color indexed="81"/>
            <rFont val="Tahoma"/>
            <family val="2"/>
          </rPr>
          <t>FY 04 total projected inflationary expenses for all eligible operating expenses impacted by building facilities</t>
        </r>
      </text>
    </comment>
    <comment ref="R18" authorId="0">
      <text>
        <r>
          <rPr>
            <sz val="8"/>
            <color indexed="81"/>
            <rFont val="Tahoma"/>
            <family val="2"/>
          </rPr>
          <t>Net additional inflationary expenses for FY 04.  This number should balance with the amount in Cell Q20.</t>
        </r>
      </text>
    </comment>
    <comment ref="T18" authorId="0">
      <text>
        <r>
          <rPr>
            <sz val="8"/>
            <color indexed="81"/>
            <rFont val="Tahoma"/>
            <family val="2"/>
          </rPr>
          <t>FY 05 total projected inflationary expenses for all eligible operating expenses impacted by building facilities</t>
        </r>
      </text>
    </comment>
    <comment ref="Q19" authorId="0">
      <text>
        <r>
          <rPr>
            <sz val="8"/>
            <color indexed="81"/>
            <rFont val="Tahoma"/>
            <family val="2"/>
          </rPr>
          <t>FY 04 cost of inflationary adjustment</t>
        </r>
      </text>
    </comment>
    <comment ref="T19" authorId="0">
      <text>
        <r>
          <rPr>
            <sz val="8"/>
            <color indexed="81"/>
            <rFont val="Tahoma"/>
            <family val="2"/>
          </rPr>
          <t>FY 05 cost of inflationary adjustment</t>
        </r>
      </text>
    </comment>
    <comment ref="A21" authorId="0">
      <text>
        <r>
          <rPr>
            <sz val="8"/>
            <color indexed="81"/>
            <rFont val="Tahoma"/>
            <family val="2"/>
          </rPr>
          <t>School enrollment information obtained from NDE Schedule I Report - See DSADATABASE. The same procedure and formulas for obtaining cost per square footage described for those operating categories impacted by building facilities is used except that school enrollments are used as the determining factor.</t>
        </r>
      </text>
    </comment>
    <comment ref="M25" authorId="0">
      <text>
        <r>
          <rPr>
            <sz val="8"/>
            <color indexed="81"/>
            <rFont val="Tahoma"/>
            <family val="2"/>
          </rPr>
          <t>The total FY 99 cost as reflected in NDE 387 reports for reference only.</t>
        </r>
      </text>
    </comment>
    <comment ref="N25" authorId="1">
      <text>
        <r>
          <rPr>
            <sz val="8"/>
            <color indexed="81"/>
            <rFont val="Tahoma"/>
            <family val="2"/>
          </rPr>
          <t>The total FY 00 cost as reflected in NDE 387 reports for reference only.</t>
        </r>
      </text>
    </comment>
    <comment ref="O25" authorId="1">
      <text>
        <r>
          <rPr>
            <sz val="8"/>
            <color indexed="81"/>
            <rFont val="Tahoma"/>
            <family val="2"/>
          </rPr>
          <t>The total FY 02 cost as reflected in NDE 387 reports.  Each of the individual operating expenses must tie to the  operating expenses reflected in Column B on the DSASUMM worksheet.</t>
        </r>
        <r>
          <rPr>
            <b/>
            <sz val="8"/>
            <color indexed="81"/>
            <rFont val="Tahoma"/>
            <family val="2"/>
          </rPr>
          <t xml:space="preserve">
</t>
        </r>
      </text>
    </comment>
    <comment ref="P25" authorId="1">
      <text>
        <r>
          <rPr>
            <sz val="8"/>
            <color indexed="81"/>
            <rFont val="Tahoma"/>
            <family val="2"/>
          </rPr>
          <t xml:space="preserve">The FY 02 cost per square foot is obtained by dividing the actual expenses by the actual FY 02 total building square footage of local school district facilities.  The previous two actual years are also included to provide a picture of the changing global expenditure patterns of the districts.  Columns of previous years are hidden to allow the use of a single page for this exercise.  </t>
        </r>
        <r>
          <rPr>
            <b/>
            <sz val="8"/>
            <color indexed="81"/>
            <rFont val="Tahoma"/>
            <family val="2"/>
          </rPr>
          <t xml:space="preserve">
</t>
        </r>
      </text>
    </comment>
    <comment ref="Q25" authorId="0">
      <text>
        <r>
          <rPr>
            <sz val="8"/>
            <color indexed="81"/>
            <rFont val="Tahoma"/>
            <family val="2"/>
          </rPr>
          <t xml:space="preserve">The total FY 02 cost with inflationary adjustment for each eligible element is obtained by multiplying the base FY 02 expenditure by the allowed inflation rate as reflected in the budget instructions, plus the net additional FY 00 costs.  This worksheet is only used for Governor approved general inflation adjustments.
</t>
        </r>
      </text>
    </comment>
    <comment ref="A36" authorId="0">
      <text>
        <r>
          <rPr>
            <sz val="8"/>
            <color indexed="81"/>
            <rFont val="Tahoma"/>
            <family val="2"/>
          </rPr>
          <t>The total school staff is the product of the actual FY 00 number provided by the local school districts as reflected in the student/staffing worksheet and as projected on the M200SAL worksheet for FY 01, 02 and 03. See Cells E72 and G72 of M200SAL.
The same formula and procedures used to calculate the cost per square foot and total cost for building square footage is used in this section except the total number of staff is substituted for building square footage.</t>
        </r>
      </text>
    </comment>
    <comment ref="M40" authorId="0">
      <text>
        <r>
          <rPr>
            <sz val="8"/>
            <color indexed="81"/>
            <rFont val="Tahoma"/>
            <family val="2"/>
          </rPr>
          <t>The total FY 99 cost as reflected in NDE 387 reports for reference only.</t>
        </r>
      </text>
    </comment>
    <comment ref="N40" authorId="1">
      <text>
        <r>
          <rPr>
            <sz val="8"/>
            <color indexed="81"/>
            <rFont val="Tahoma"/>
            <family val="2"/>
          </rPr>
          <t>The total FY 00 cost as reflected in NDE 387 reports for reference only.</t>
        </r>
      </text>
    </comment>
    <comment ref="Q51" authorId="0">
      <text>
        <r>
          <rPr>
            <sz val="8"/>
            <color indexed="81"/>
            <rFont val="Tahoma"/>
            <family val="2"/>
          </rPr>
          <t>FY 04 cost of inflationary adjustment for building, student and employee driven operating expenses.  This amount should balance with the amount in Cell S74.</t>
        </r>
      </text>
    </comment>
    <comment ref="T51" authorId="0">
      <text>
        <r>
          <rPr>
            <sz val="8"/>
            <color indexed="81"/>
            <rFont val="Tahoma"/>
            <family val="2"/>
          </rPr>
          <t>FY 05 cost of inflationary adjustment for building, student and employee driven operating expenses.  This amount should balance with the amount in Cell U74. Note that this total includes the amount reflected in Cell Q 52 to incorporate adjustments for both years of the biennium.</t>
        </r>
      </text>
    </comment>
    <comment ref="S73" authorId="0">
      <text>
        <r>
          <rPr>
            <sz val="8"/>
            <color indexed="81"/>
            <rFont val="Tahoma"/>
            <family val="2"/>
          </rPr>
          <t>The net difference, if any, between FY 04 adjusted base and FY 04 adjusted for inflation is transferred to the DSASUMM worksheet.  This amount should balance with the amount in Cell Q52.</t>
        </r>
      </text>
    </comment>
    <comment ref="V73" authorId="0">
      <text>
        <r>
          <rPr>
            <sz val="8"/>
            <color indexed="81"/>
            <rFont val="Tahoma"/>
            <family val="2"/>
          </rPr>
          <t>The net difference, if any, between FY 04 adjusted base and FY 04 adjusted for inflation is transferred to the DSASUMM worksheet.  This amount should balance with the amount in Cell Q52.</t>
        </r>
      </text>
    </comment>
  </commentList>
</comments>
</file>

<file path=xl/comments14.xml><?xml version="1.0" encoding="utf-8"?>
<comments xmlns="http://schemas.openxmlformats.org/spreadsheetml/2006/main">
  <authors>
    <author>A satisfied Microsoft Office user</author>
  </authors>
  <commentList>
    <comment ref="A2" authorId="0">
      <text>
        <r>
          <rPr>
            <sz val="8"/>
            <color indexed="81"/>
            <rFont val="Tahoma"/>
            <family val="2"/>
          </rPr>
          <t xml:space="preserve">School enrollment information obtained from NDE Schedule I Report - See DSADATABASE
</t>
        </r>
      </text>
    </comment>
    <comment ref="A6" authorId="0">
      <text>
        <r>
          <rPr>
            <sz val="8"/>
            <color indexed="81"/>
            <rFont val="Tahoma"/>
            <family val="2"/>
          </rPr>
          <t>Per student cost for FY 98, FY 99 and FY 00 are included to provide a historic comparison for the cost per student for FY 02.
The same procedures used in M200OPR  to determine the adjusted cost for the 2003-05 biennium is used in M200EQP, i.e., multiple the FY 02 per student cost by the projected enrollment for each year of the biennium.</t>
        </r>
      </text>
    </comment>
    <comment ref="Q12" authorId="0">
      <text>
        <r>
          <rPr>
            <sz val="8"/>
            <color indexed="81"/>
            <rFont val="Tahoma"/>
            <family val="2"/>
          </rPr>
          <t>FY 04 total projected growth expenses impacted by enrollment.</t>
        </r>
      </text>
    </comment>
    <comment ref="R12" authorId="0">
      <text>
        <r>
          <rPr>
            <sz val="8"/>
            <color indexed="81"/>
            <rFont val="Tahoma"/>
            <family val="2"/>
          </rPr>
          <t>FY 04 total cost adjustment for operating expenses impacted by enrollment.</t>
        </r>
      </text>
    </comment>
    <comment ref="T12" authorId="0">
      <text>
        <r>
          <rPr>
            <sz val="8"/>
            <color indexed="81"/>
            <rFont val="Tahoma"/>
            <family val="2"/>
          </rPr>
          <t>FY 05 total projected growth expenses impacted by enrollment.</t>
        </r>
      </text>
    </comment>
    <comment ref="Q13" authorId="0">
      <text>
        <r>
          <rPr>
            <sz val="8"/>
            <color indexed="81"/>
            <rFont val="Tahoma"/>
            <family val="2"/>
          </rPr>
          <t xml:space="preserve">FY 04 cost of growth adjustment. This amount should balance with the amount in Cell S20. </t>
        </r>
      </text>
    </comment>
    <comment ref="T13" authorId="0">
      <text>
        <r>
          <rPr>
            <sz val="8"/>
            <color indexed="81"/>
            <rFont val="Tahoma"/>
            <family val="2"/>
          </rPr>
          <t>FY 05 cost of growth adjustment. This amount should balance with the amount in Cell U20. Note the value in Q14 included to reflected the total adjusted cost.</t>
        </r>
      </text>
    </comment>
    <comment ref="Q14" authorId="0">
      <text>
        <r>
          <rPr>
            <sz val="8"/>
            <color indexed="81"/>
            <rFont val="Tahoma"/>
            <family val="2"/>
          </rPr>
          <t>The actual cost for equipment expenses is taken from the DSASUMM worksheet.</t>
        </r>
      </text>
    </comment>
    <comment ref="S20" authorId="0">
      <text>
        <r>
          <rPr>
            <sz val="8"/>
            <color indexed="81"/>
            <rFont val="Tahoma"/>
            <family val="2"/>
          </rPr>
          <t xml:space="preserve">The net difference between E710 and FY 04 adjusted for growth in transferred to the DSASUMM worksheet.  </t>
        </r>
      </text>
    </comment>
    <comment ref="U20" authorId="0">
      <text>
        <r>
          <rPr>
            <sz val="8"/>
            <color indexed="81"/>
            <rFont val="Tahoma"/>
            <family val="2"/>
          </rPr>
          <t xml:space="preserve">The net difference between E710 and FY 05 adjusted for growth in transferred to the DSASUMM worksheet.  </t>
        </r>
      </text>
    </comment>
  </commentList>
</comments>
</file>

<file path=xl/comments15.xml><?xml version="1.0" encoding="utf-8"?>
<comments xmlns="http://schemas.openxmlformats.org/spreadsheetml/2006/main">
  <authors>
    <author>A satisfied Microsoft Office user</author>
    <author>Valued Gateway Client</author>
  </authors>
  <commentList>
    <comment ref="B5" authorId="0">
      <text>
        <r>
          <rPr>
            <sz val="8"/>
            <color indexed="81"/>
            <rFont val="Tahoma"/>
            <family val="2"/>
          </rPr>
          <t>Base - The legislatively approved 23.5 positions for the reduction in class size for at-risk kindergartens continued through the biennium.  The number of funded positions has been in existence since the inception of CSR.</t>
        </r>
      </text>
    </comment>
    <comment ref="D5" authorId="0">
      <text>
        <r>
          <rPr>
            <sz val="8"/>
            <color indexed="81"/>
            <rFont val="Tahoma"/>
            <family val="2"/>
          </rPr>
          <t xml:space="preserve">FY 02 number of licensed instructional personnel (B6) times FY 02 salary with 3% roll-up plus 2% Cola for FY 03 (B8).  </t>
        </r>
      </text>
    </comment>
    <comment ref="F5" authorId="0">
      <text>
        <r>
          <rPr>
            <sz val="8"/>
            <color indexed="81"/>
            <rFont val="Tahoma"/>
            <family val="2"/>
          </rPr>
          <t>FY 03 salaries with 3% roll-up and 2% Cola</t>
        </r>
      </text>
    </comment>
    <comment ref="H5" authorId="0">
      <text>
        <r>
          <rPr>
            <sz val="8"/>
            <color indexed="81"/>
            <rFont val="Tahoma"/>
            <family val="2"/>
          </rPr>
          <t>FY 04 salaries with 3% roll-up</t>
        </r>
      </text>
    </comment>
    <comment ref="B6" authorId="0">
      <text>
        <r>
          <rPr>
            <sz val="8"/>
            <color indexed="81"/>
            <rFont val="Tahoma"/>
            <family val="2"/>
          </rPr>
          <t>FY 02 Average Licensed Instruction Personnel Salary for Class Size Reduction teachers.  See NDE NRS 387 Class Size Report and DSADATABASE</t>
        </r>
      </text>
    </comment>
    <comment ref="B7" authorId="0">
      <text>
        <r>
          <rPr>
            <sz val="8"/>
            <color indexed="81"/>
            <rFont val="Tahoma"/>
            <family val="2"/>
          </rPr>
          <t xml:space="preserve">FY 02 Average licensed instruction salary with 3% roll-up plus 2% Cola.  Note: since the inception of the CSR a 3% roll-up has been used for roll-up versus the 2% roll-up for regular DSA positions.  The basis for this difference is the fact that there are more personnel eligible for grade and step increases.  In the early years of CSR the average salary was approximately 60% of the DSA average.  Now the difference is approximately 96%.  As that difference disappears over time, an decision can be made on the continued use of the 3% roll-up.
</t>
        </r>
      </text>
    </comment>
    <comment ref="D8" authorId="1">
      <text>
        <r>
          <rPr>
            <sz val="8"/>
            <color indexed="81"/>
            <rFont val="Tahoma"/>
            <family val="2"/>
          </rPr>
          <t>The average starting salary as reported by the school districts for FY 03 is used to generate the value of new employees for each year of the biennium.</t>
        </r>
        <r>
          <rPr>
            <b/>
            <sz val="8"/>
            <color indexed="81"/>
            <rFont val="Tahoma"/>
            <family val="2"/>
          </rPr>
          <t xml:space="preserve">
</t>
        </r>
      </text>
    </comment>
    <comment ref="B10" authorId="0">
      <text>
        <r>
          <rPr>
            <sz val="8"/>
            <color indexed="81"/>
            <rFont val="Tahoma"/>
            <family val="2"/>
          </rPr>
          <t>FY 02 weighted enrollment - see NDE Schedule I Report and DSADATABASE</t>
        </r>
      </text>
    </comment>
    <comment ref="C10" authorId="0">
      <text>
        <r>
          <rPr>
            <sz val="8"/>
            <color indexed="81"/>
            <rFont val="Tahoma"/>
            <family val="2"/>
          </rPr>
          <t>FY 03 weighted enrollment - see NDE Schedule 1 Report and DSADATABASE</t>
        </r>
      </text>
    </comment>
    <comment ref="E10" authorId="0">
      <text>
        <r>
          <rPr>
            <sz val="8"/>
            <color indexed="81"/>
            <rFont val="Tahoma"/>
            <family val="2"/>
          </rPr>
          <t>FY 04 projected weighted enrollment - see NDE Schedule I Report and DSADATABASE</t>
        </r>
      </text>
    </comment>
    <comment ref="G10" authorId="0">
      <text>
        <r>
          <rPr>
            <sz val="8"/>
            <color indexed="81"/>
            <rFont val="Tahoma"/>
            <family val="2"/>
          </rPr>
          <t>FY 05 projected weighted enrollment - see NDE Schedule I Report and DSADATABASE</t>
        </r>
      </text>
    </comment>
    <comment ref="B11" authorId="0">
      <text>
        <r>
          <rPr>
            <sz val="8"/>
            <color indexed="81"/>
            <rFont val="Tahoma"/>
            <family val="2"/>
          </rPr>
          <t>Weighted enrollment divided by the statewide average student-teacher ratio in existence the year prior to class size reduction as mandated by NRS.</t>
        </r>
      </text>
    </comment>
    <comment ref="C11" authorId="0">
      <text>
        <r>
          <rPr>
            <sz val="8"/>
            <color indexed="81"/>
            <rFont val="Tahoma"/>
            <family val="2"/>
          </rPr>
          <t>Weighted enrollment divided by the statewide average student-teacher ratio in existence the year prior to class size reduction</t>
        </r>
      </text>
    </comment>
    <comment ref="E11" authorId="0">
      <text>
        <r>
          <rPr>
            <sz val="8"/>
            <color indexed="81"/>
            <rFont val="Tahoma"/>
            <family val="2"/>
          </rPr>
          <t>Weighted enrollment divided by the statewide average student-teacher ratio in existence the year prior to class size reduction</t>
        </r>
      </text>
    </comment>
    <comment ref="G11" authorId="0">
      <text>
        <r>
          <rPr>
            <sz val="8"/>
            <color indexed="81"/>
            <rFont val="Tahoma"/>
            <family val="2"/>
          </rPr>
          <t>Weighted enrollment divided by the statewide average student-teacher ratio in existence the year prior to class size reduction</t>
        </r>
      </text>
    </comment>
    <comment ref="B12" authorId="0">
      <text>
        <r>
          <rPr>
            <sz val="8"/>
            <color indexed="81"/>
            <rFont val="Tahoma"/>
            <family val="2"/>
          </rPr>
          <t>Weighted enrollment divided by the current legislatively approved statewide average student-teacher ratio of 16.1. Note that this ratio is different from the NRS required ratio.</t>
        </r>
      </text>
    </comment>
    <comment ref="C12" authorId="0">
      <text>
        <r>
          <rPr>
            <sz val="8"/>
            <color indexed="81"/>
            <rFont val="Tahoma"/>
            <family val="2"/>
          </rPr>
          <t>Weighted enrollment divided by the current legislatively approved statewide average student-teacher ratio of 16.1</t>
        </r>
      </text>
    </comment>
    <comment ref="E12" authorId="0">
      <text>
        <r>
          <rPr>
            <sz val="8"/>
            <color indexed="81"/>
            <rFont val="Tahoma"/>
            <family val="2"/>
          </rPr>
          <t>Weighted enrollment divided by the current legislatively approved statewide average student-teacher ratio of 16.1</t>
        </r>
      </text>
    </comment>
    <comment ref="G12" authorId="0">
      <text>
        <r>
          <rPr>
            <sz val="8"/>
            <color indexed="81"/>
            <rFont val="Tahoma"/>
            <family val="2"/>
          </rPr>
          <t>Weighted enrollment divided by the current legislatively approved statewide average student-teacher ratio of 16.1.</t>
        </r>
      </text>
    </comment>
    <comment ref="B13" authorId="0">
      <text>
        <r>
          <rPr>
            <sz val="8"/>
            <color indexed="81"/>
            <rFont val="Tahoma"/>
            <family val="2"/>
          </rPr>
          <t>Difference between pre class-size reduction statewide ratio and current legislatively approved ratio.</t>
        </r>
      </text>
    </comment>
    <comment ref="C13" authorId="0">
      <text>
        <r>
          <rPr>
            <sz val="8"/>
            <color indexed="81"/>
            <rFont val="Tahoma"/>
            <family val="2"/>
          </rPr>
          <t>Difference between pre class-size reduction statewide ratio and current legislatively approved ratio minus the FY 00 requirement</t>
        </r>
      </text>
    </comment>
    <comment ref="E13" authorId="0">
      <text>
        <r>
          <rPr>
            <sz val="8"/>
            <color indexed="81"/>
            <rFont val="Tahoma"/>
            <family val="2"/>
          </rPr>
          <t>Difference between pre class-size reduction statewide ratio and current legislatively approved ratio.</t>
        </r>
      </text>
    </comment>
    <comment ref="G13" authorId="0">
      <text>
        <r>
          <rPr>
            <sz val="8"/>
            <color indexed="81"/>
            <rFont val="Tahoma"/>
            <family val="2"/>
          </rPr>
          <t>Difference between pre class-size reduction statewide ratio and current legislatively approved ratio</t>
        </r>
      </text>
    </comment>
    <comment ref="D15" authorId="0">
      <text>
        <r>
          <rPr>
            <sz val="8"/>
            <color indexed="81"/>
            <rFont val="Tahoma"/>
            <family val="2"/>
          </rPr>
          <t>FY 03 salaries required for FY 02 licensed instruction personnel times the FY 03 roll-up salary</t>
        </r>
      </text>
    </comment>
    <comment ref="E15" authorId="0">
      <text>
        <r>
          <rPr>
            <sz val="8"/>
            <color indexed="81"/>
            <rFont val="Tahoma"/>
            <family val="2"/>
          </rPr>
          <t xml:space="preserve">FY 02 continuing licensed instruction personnel </t>
        </r>
      </text>
    </comment>
    <comment ref="F15" authorId="0">
      <text>
        <r>
          <rPr>
            <sz val="8"/>
            <color indexed="81"/>
            <rFont val="Tahoma"/>
            <family val="2"/>
          </rPr>
          <t>Base - FY 03 adjusted base salaries for FY 02 positions with 3% roll-up and 2% Cola
M300 - Base salaries
M400 - Base and M300 salaries plus the cost of living, if any, recommended in the Executive Budget</t>
        </r>
      </text>
    </comment>
    <comment ref="G15" authorId="0">
      <text>
        <r>
          <rPr>
            <sz val="8"/>
            <color indexed="81"/>
            <rFont val="Tahoma"/>
            <family val="2"/>
          </rPr>
          <t xml:space="preserve">Base - FY 02 continuing licensed instruction personnel
M200 - FY 02 continuing and FY 04 new licensed instruction personnel </t>
        </r>
      </text>
    </comment>
    <comment ref="H15" authorId="0">
      <text>
        <r>
          <rPr>
            <sz val="8"/>
            <color indexed="81"/>
            <rFont val="Tahoma"/>
            <family val="2"/>
          </rPr>
          <t>Base - FY 02 adjusted base salaries for FY 04  positions with 3% roll-up
M200 - FY 02 adjusted base salaries for FY 02 and FY 03 positions with 3% roll-up
M300 - see F16 for calculations
M400 - see F16 for calculations</t>
        </r>
      </text>
    </comment>
    <comment ref="D16" authorId="0">
      <text>
        <r>
          <rPr>
            <sz val="8"/>
            <color indexed="81"/>
            <rFont val="Tahoma"/>
            <family val="2"/>
          </rPr>
          <t>FY 03 salaries required for FY 03 licensed instruction personnel (C14) times the FY 03 average starting salary as reported by NDE for October 1, 2002 (D9).</t>
        </r>
      </text>
    </comment>
    <comment ref="E16" authorId="0">
      <text>
        <r>
          <rPr>
            <sz val="8"/>
            <color indexed="81"/>
            <rFont val="Tahoma"/>
            <family val="2"/>
          </rPr>
          <t xml:space="preserve">FY 03 licensed instruction personnel continuing in base </t>
        </r>
      </text>
    </comment>
    <comment ref="F16" authorId="0">
      <text>
        <r>
          <rPr>
            <sz val="8"/>
            <color indexed="81"/>
            <rFont val="Tahoma"/>
            <family val="2"/>
          </rPr>
          <t>Base - FY 03 adjusted base salaries for FY 03 positions with 3% roll-up and 2% Cola</t>
        </r>
      </text>
    </comment>
    <comment ref="G16" authorId="0">
      <text>
        <r>
          <rPr>
            <sz val="8"/>
            <color indexed="81"/>
            <rFont val="Tahoma"/>
            <family val="2"/>
          </rPr>
          <t xml:space="preserve">FY 03 licensed instruction personnel continuing in base </t>
        </r>
      </text>
    </comment>
    <comment ref="H16" authorId="0">
      <text>
        <r>
          <rPr>
            <sz val="8"/>
            <color indexed="81"/>
            <rFont val="Tahoma"/>
            <family val="2"/>
          </rPr>
          <t>FY 05 adjusted base salaries for FY 04 positions with 3% roll-up</t>
        </r>
      </text>
    </comment>
    <comment ref="E17" authorId="0">
      <text>
        <r>
          <rPr>
            <sz val="8"/>
            <color indexed="81"/>
            <rFont val="Tahoma"/>
            <family val="2"/>
          </rPr>
          <t>M200 - This is the difference between the number of teachers required for FY 04 minus the base FY 02 and FY 03 positions</t>
        </r>
      </text>
    </comment>
    <comment ref="F17" authorId="0">
      <text>
        <r>
          <rPr>
            <sz val="8"/>
            <color indexed="81"/>
            <rFont val="Tahoma"/>
            <family val="2"/>
          </rPr>
          <t>Number of additional personnel times the average FY 03 starting salary as reported by NDE for October 1, 2002.</t>
        </r>
      </text>
    </comment>
    <comment ref="G17" authorId="0">
      <text>
        <r>
          <rPr>
            <sz val="8"/>
            <color indexed="81"/>
            <rFont val="Tahoma"/>
            <family val="2"/>
          </rPr>
          <t>This is the difference between the number of teachers required for FY 05 minus the base FY 02, FY 03 and FY 04 positions</t>
        </r>
      </text>
    </comment>
    <comment ref="H17" authorId="0">
      <text>
        <r>
          <rPr>
            <sz val="8"/>
            <color indexed="81"/>
            <rFont val="Tahoma"/>
            <family val="2"/>
          </rPr>
          <t>Number of additional positions times the average FY 03 starting salary as reported by NDE for October 1, 2002.</t>
        </r>
      </text>
    </comment>
    <comment ref="D18" authorId="0">
      <text>
        <r>
          <rPr>
            <sz val="8"/>
            <color indexed="81"/>
            <rFont val="Tahoma"/>
            <family val="2"/>
          </rPr>
          <t>This is the sum of all salaries for the number of teachers required</t>
        </r>
      </text>
    </comment>
    <comment ref="E18" authorId="0">
      <text>
        <r>
          <rPr>
            <sz val="8"/>
            <color indexed="81"/>
            <rFont val="Tahoma"/>
            <family val="2"/>
          </rPr>
          <t>Base - The total number of FY 02 and FY 03 teachers continued in base
M200 - The total number of teachers required for the biennium.  This number should balance with the number required in Cell E14.</t>
        </r>
      </text>
    </comment>
    <comment ref="F18" authorId="0">
      <text>
        <r>
          <rPr>
            <sz val="8"/>
            <color indexed="81"/>
            <rFont val="Tahoma"/>
            <family val="2"/>
          </rPr>
          <t>This is the sum of all salaries for the number of teachers required</t>
        </r>
      </text>
    </comment>
    <comment ref="G18" authorId="0">
      <text>
        <r>
          <rPr>
            <sz val="8"/>
            <color indexed="81"/>
            <rFont val="Tahoma"/>
            <family val="2"/>
          </rPr>
          <t>Base - The total number of FY 04 and FY 05 teachers continued in base
M200 - The total number of teachers required for the biennium.  This number should balance with the number required in Cell G14</t>
        </r>
      </text>
    </comment>
    <comment ref="H18" authorId="0">
      <text>
        <r>
          <rPr>
            <sz val="8"/>
            <color indexed="81"/>
            <rFont val="Tahoma"/>
            <family val="2"/>
          </rPr>
          <t>The sum of all salaries for the number of teachers required</t>
        </r>
      </text>
    </comment>
    <comment ref="A20" authorId="0">
      <text>
        <r>
          <rPr>
            <sz val="8"/>
            <color indexed="81"/>
            <rFont val="Tahoma"/>
            <family val="2"/>
          </rPr>
          <t>The same methodology used to construct the 1st Grade component is used to construct the 2nd Grade component.</t>
        </r>
      </text>
    </comment>
    <comment ref="A31" authorId="0">
      <text>
        <r>
          <rPr>
            <sz val="8"/>
            <color indexed="81"/>
            <rFont val="Tahoma"/>
            <family val="2"/>
          </rPr>
          <t>The same methodology used to construct the 1st and 2nd Grade projections is used for 3rd Grade with 19 to 1 used in lieu of 16 to 1.</t>
        </r>
      </text>
    </comment>
    <comment ref="A43" authorId="0">
      <text>
        <r>
          <rPr>
            <sz val="8"/>
            <color indexed="81"/>
            <rFont val="Tahoma"/>
            <family val="2"/>
          </rPr>
          <t>Base - The total salaries are multiplied by the actual fringe benefit percentage rates identified in the NDE NRS 387 Class Size Reduction Report for FY 02 for each year of the biennium.  
M300 - Fringe benefit rates are adjusted by the percentage increase (decrease), if applicable, for the fringe benefit rates reflected in the NRS 387 report for FY 03.</t>
        </r>
      </text>
    </comment>
    <comment ref="F44" authorId="0">
      <text>
        <r>
          <rPr>
            <sz val="8"/>
            <color indexed="81"/>
            <rFont val="Tahoma"/>
            <family val="2"/>
          </rPr>
          <t>The total projected expenditures for all fringe benefits is the rate times the total salaries reflected for FY 04 and FY 05.</t>
        </r>
      </text>
    </comment>
    <comment ref="F53" authorId="0">
      <text>
        <r>
          <rPr>
            <sz val="8"/>
            <color indexed="81"/>
            <rFont val="Tahoma"/>
            <family val="2"/>
          </rPr>
          <t>Base - This is the sum of all salary and fringe benefits for kindergarten, 1st, 2nd and 3rd grade components for FY 04 and FY 05
All Other Decision Units - A separate summary is added to each non-base decision unit that calculates the fiscal difference between decision units.  The net difference is transferred to the CSRBALANCE worksheet to show the incremental additional fiscal impact of the decision unit.  For example, the fiscal impact of the M200 decision unit is the net difference between Base salaries and benefits and M200 salaries and fringe benefits.</t>
        </r>
      </text>
    </comment>
    <comment ref="F55" authorId="0">
      <text>
        <r>
          <rPr>
            <sz val="8"/>
            <color indexed="81"/>
            <rFont val="Tahoma"/>
            <family val="2"/>
          </rPr>
          <t>The figure is the ratio between total salaries and total fringe benefits. It should match the percent reflected in Row 52.</t>
        </r>
      </text>
    </comment>
  </commentList>
</comments>
</file>

<file path=xl/comments16.xml><?xml version="1.0" encoding="utf-8"?>
<comments xmlns="http://schemas.openxmlformats.org/spreadsheetml/2006/main">
  <authors>
    <author>A satisfied Microsoft Office user</author>
    <author>Valued Gateway Client</author>
  </authors>
  <commentList>
    <comment ref="F5" authorId="0">
      <text>
        <r>
          <rPr>
            <sz val="8"/>
            <color indexed="81"/>
            <rFont val="Tahoma"/>
            <family val="2"/>
          </rPr>
          <t>FY 03 salaries with 3% roll-up and 2% Cola</t>
        </r>
      </text>
    </comment>
    <comment ref="D64" authorId="1">
      <text>
        <r>
          <rPr>
            <sz val="8"/>
            <color indexed="81"/>
            <rFont val="Tahoma"/>
            <family val="2"/>
          </rPr>
          <t>This net difference is linked to the CSRBALANCE worksheet</t>
        </r>
        <r>
          <rPr>
            <b/>
            <sz val="8"/>
            <color indexed="81"/>
            <rFont val="Tahoma"/>
            <family val="2"/>
          </rPr>
          <t xml:space="preserve">
</t>
        </r>
      </text>
    </comment>
    <comment ref="G64" authorId="1">
      <text>
        <r>
          <rPr>
            <sz val="8"/>
            <color indexed="81"/>
            <rFont val="Tahoma"/>
            <family val="2"/>
          </rPr>
          <t>This net difference is linked to the CSRBALANCE worksheet</t>
        </r>
        <r>
          <rPr>
            <b/>
            <sz val="8"/>
            <color indexed="81"/>
            <rFont val="Tahoma"/>
            <family val="2"/>
          </rPr>
          <t xml:space="preserve">
</t>
        </r>
      </text>
    </comment>
  </commentList>
</comments>
</file>

<file path=xl/comments17.xml><?xml version="1.0" encoding="utf-8"?>
<comments xmlns="http://schemas.openxmlformats.org/spreadsheetml/2006/main">
  <authors>
    <author xml:space="preserve"> Budget</author>
  </authors>
  <commentList>
    <comment ref="S37" authorId="0">
      <text>
        <r>
          <rPr>
            <b/>
            <sz val="8"/>
            <color indexed="81"/>
            <rFont val="Tahoma"/>
            <family val="2"/>
          </rPr>
          <t xml:space="preserve"> Budget:</t>
        </r>
        <r>
          <rPr>
            <sz val="8"/>
            <color indexed="81"/>
            <rFont val="Tahoma"/>
            <family val="2"/>
          </rPr>
          <t xml:space="preserve">
Used FY06 monthly average due to elimination of Estate Tax</t>
        </r>
      </text>
    </comment>
  </commentList>
</comments>
</file>

<file path=xl/sharedStrings.xml><?xml version="1.0" encoding="utf-8"?>
<sst xmlns="http://schemas.openxmlformats.org/spreadsheetml/2006/main" count="1997" uniqueCount="667">
  <si>
    <t>1993 Add'l</t>
  </si>
  <si>
    <t>1993 Actual</t>
  </si>
  <si>
    <t>1994 Add'l</t>
  </si>
  <si>
    <t>1994 Actual</t>
  </si>
  <si>
    <t>1995 Actual</t>
  </si>
  <si>
    <t>1996 Add'l</t>
  </si>
  <si>
    <t>1996 Actual</t>
  </si>
  <si>
    <t>1997 Actual</t>
  </si>
  <si>
    <t>1998 Actual</t>
  </si>
  <si>
    <t>FOOTAGE PER</t>
  </si>
  <si>
    <t>Sq Ft</t>
  </si>
  <si>
    <t>High Schools</t>
  </si>
  <si>
    <t>Elementary Schools</t>
  </si>
  <si>
    <t>Special Schools</t>
  </si>
  <si>
    <t>Other Facilities</t>
  </si>
  <si>
    <t>BUILDING</t>
  </si>
  <si>
    <t>1992 Cost</t>
  </si>
  <si>
    <t>1993 Cost</t>
  </si>
  <si>
    <t>TOTAL POSITIONS AND SALARIES</t>
  </si>
  <si>
    <t>TOTAL FRINGE</t>
  </si>
  <si>
    <t>TOTAL FRINGE AND SALARIES</t>
  </si>
  <si>
    <t>NET</t>
  </si>
  <si>
    <t>SUMMARY</t>
  </si>
  <si>
    <t>BASE</t>
  </si>
  <si>
    <t>DIFF</t>
  </si>
  <si>
    <t>TOTAL SALARIES AND FRINGE</t>
  </si>
  <si>
    <t xml:space="preserve">3RD GRADE @ 19 TO 1 </t>
  </si>
  <si>
    <t>SALARY ADJUSTMENT (COLA)</t>
  </si>
  <si>
    <t>SALARY ADJUSTMENT</t>
  </si>
  <si>
    <t>SPECIAL EDUCATION-15</t>
  </si>
  <si>
    <t>BASIC SUPPORT PER PUPIL</t>
  </si>
  <si>
    <t>1ST GRADE ENROLLMENT</t>
  </si>
  <si>
    <t>2ND GRADE ENROLLMENT</t>
  </si>
  <si>
    <t>3RD GRADE ENROLLMENT</t>
  </si>
  <si>
    <t>TOTAL WEIGHTED ENROLLMENT</t>
  </si>
  <si>
    <t>Classification</t>
  </si>
  <si>
    <t>FTE</t>
  </si>
  <si>
    <t>Ratio</t>
  </si>
  <si>
    <t>% Increase</t>
  </si>
  <si>
    <t>Instruction Support - Licensed</t>
  </si>
  <si>
    <t>Instruction - Licensed</t>
  </si>
  <si>
    <t>Actual</t>
  </si>
  <si>
    <t>*</t>
  </si>
  <si>
    <t>LESS</t>
  </si>
  <si>
    <t>Total</t>
  </si>
  <si>
    <t>%</t>
  </si>
  <si>
    <t>DSABASE</t>
  </si>
  <si>
    <t>DSAE710</t>
  </si>
  <si>
    <t>DSABME</t>
  </si>
  <si>
    <t>% CHG</t>
  </si>
  <si>
    <t>ACTUAL</t>
  </si>
  <si>
    <t>WK PROGRAM</t>
  </si>
  <si>
    <t>CHG</t>
  </si>
  <si>
    <t>SALARIES</t>
  </si>
  <si>
    <t>SUBSTITUTE PAY</t>
  </si>
  <si>
    <t>RETIREMENT</t>
  </si>
  <si>
    <t>SIIS</t>
  </si>
  <si>
    <t>MEDICARE</t>
  </si>
  <si>
    <t>OTHER</t>
  </si>
  <si>
    <t>TOTAL FRINGES</t>
  </si>
  <si>
    <t>TOTAL SALARIES</t>
  </si>
  <si>
    <t>OPERATING:</t>
  </si>
  <si>
    <t xml:space="preserve"> Heat</t>
  </si>
  <si>
    <t xml:space="preserve"> Electricity</t>
  </si>
  <si>
    <t xml:space="preserve"> Textbooks</t>
  </si>
  <si>
    <t xml:space="preserve"> Library</t>
  </si>
  <si>
    <t xml:space="preserve"> Other Supplies</t>
  </si>
  <si>
    <t xml:space="preserve"> Other Fuel</t>
  </si>
  <si>
    <t>1992 Actual</t>
  </si>
  <si>
    <t>Special Education Unit funded separately from Basic Support</t>
  </si>
  <si>
    <t>FUND FOR CLASS SIZE REDUCTION</t>
  </si>
  <si>
    <t>ESTATE TAX COLLECTIONS</t>
  </si>
  <si>
    <t>MONTH</t>
  </si>
  <si>
    <t>FY 90</t>
  </si>
  <si>
    <t>FY 91</t>
  </si>
  <si>
    <t>FY 92</t>
  </si>
  <si>
    <t>FY 93</t>
  </si>
  <si>
    <t>FY 94</t>
  </si>
  <si>
    <t>FY 95</t>
  </si>
  <si>
    <t>FY 96</t>
  </si>
  <si>
    <t>FY 97</t>
  </si>
  <si>
    <t>FY 98</t>
  </si>
  <si>
    <t>FY 99</t>
  </si>
  <si>
    <t>FY 00</t>
  </si>
  <si>
    <t>FY 01</t>
  </si>
  <si>
    <t>JULY</t>
  </si>
  <si>
    <t>AUGUST</t>
  </si>
  <si>
    <t>SEPTEMBER</t>
  </si>
  <si>
    <t>OCTOBER</t>
  </si>
  <si>
    <t>NOVEMBER</t>
  </si>
  <si>
    <t>DECEMBER</t>
  </si>
  <si>
    <t>JANUARY</t>
  </si>
  <si>
    <t>FEBRUARY</t>
  </si>
  <si>
    <t>MARCH</t>
  </si>
  <si>
    <t>APRIL</t>
  </si>
  <si>
    <t>MAY</t>
  </si>
  <si>
    <t>JUNE</t>
  </si>
  <si>
    <t>YEARLY TOTAL</t>
  </si>
  <si>
    <t>MONTHLY AVERAGE</t>
  </si>
  <si>
    <t>FY 90 - FY 91 AVG</t>
  </si>
  <si>
    <t>FY 90 - FY 92 AVG</t>
  </si>
  <si>
    <t>Property Insurance</t>
  </si>
  <si>
    <t>Maint/Repair</t>
  </si>
  <si>
    <t>SCHOOL WEIGHTED</t>
  </si>
  <si>
    <t>ENROLLMENTS</t>
  </si>
  <si>
    <t>Projected</t>
  </si>
  <si>
    <t>STUDENT</t>
  </si>
  <si>
    <t>Per Student</t>
  </si>
  <si>
    <t>Pupil Transportation</t>
  </si>
  <si>
    <t>Textbooks</t>
  </si>
  <si>
    <t>Library</t>
  </si>
  <si>
    <t>Instruction Supplies</t>
  </si>
  <si>
    <t>Instruction Software</t>
  </si>
  <si>
    <t>n/a</t>
  </si>
  <si>
    <t>Other Supplies</t>
  </si>
  <si>
    <t>SCHOOL GENERAL</t>
  </si>
  <si>
    <t>TOTAL STAFF</t>
  </si>
  <si>
    <t>STAFF</t>
  </si>
  <si>
    <t>Per Staff</t>
  </si>
  <si>
    <t>Prof Service</t>
  </si>
  <si>
    <t>Liability Insurance</t>
  </si>
  <si>
    <t>Postage/Comm</t>
  </si>
  <si>
    <t>1994 Cost</t>
  </si>
  <si>
    <t>1995 Cost</t>
  </si>
  <si>
    <t>1996 Cost</t>
  </si>
  <si>
    <t>1998 Cost</t>
  </si>
  <si>
    <t>2000 Cost</t>
  </si>
  <si>
    <t>DRIVEN COST</t>
  </si>
  <si>
    <t>Cost</t>
  </si>
  <si>
    <t>Per Sq Ft</t>
  </si>
  <si>
    <t>W  Cola</t>
  </si>
  <si>
    <t>W Cola</t>
  </si>
  <si>
    <t xml:space="preserve">Heat </t>
  </si>
  <si>
    <t>Electricity</t>
  </si>
  <si>
    <t>Water,sewer,garbage</t>
  </si>
  <si>
    <t>DSAE600</t>
  </si>
  <si>
    <t>To balance to district expend</t>
  </si>
  <si>
    <t>DSAE300</t>
  </si>
  <si>
    <t>2010 Actual</t>
  </si>
  <si>
    <t>2012 Proj</t>
  </si>
  <si>
    <t>2012 Add'l</t>
  </si>
  <si>
    <t>2013 Proj</t>
  </si>
  <si>
    <t>2012 Cost</t>
  </si>
  <si>
    <t>2013 Add'l</t>
  </si>
  <si>
    <t>2013 Cost</t>
  </si>
  <si>
    <t>2012 Annual</t>
  </si>
  <si>
    <t xml:space="preserve">   1.  AVERAGE STARTING SALARIES OF NEW TEACHERS HIRED AFTER FY  ACTUAL AVERAGE</t>
  </si>
  <si>
    <t>FY11 = FY10  @ 1% Roll-Up Plus 0% Cola</t>
  </si>
  <si>
    <t>FY 11 @ 1% Roll-Up PLUS 0% Cola</t>
  </si>
  <si>
    <t>Add back estimated column adjustments*</t>
  </si>
  <si>
    <t>CSR At Risk Kindergarten Teachers - 18</t>
  </si>
  <si>
    <t>DSAE601</t>
  </si>
  <si>
    <t xml:space="preserve">  PERS Rate Change (23.75%-21.5%*.50)</t>
  </si>
  <si>
    <t>DSAE900</t>
  </si>
  <si>
    <t xml:space="preserve"> All Other</t>
    <phoneticPr fontId="0" type="noConversion"/>
  </si>
  <si>
    <t>Charter School Fees/Management Fees</t>
    <phoneticPr fontId="0" type="noConversion"/>
  </si>
  <si>
    <t>Computer Hardware</t>
    <phoneticPr fontId="0" type="noConversion"/>
  </si>
  <si>
    <t>Computer hardware - Capital Lease</t>
    <phoneticPr fontId="0" type="noConversion"/>
  </si>
  <si>
    <t>prior year adjustments</t>
    <phoneticPr fontId="0" type="noConversion"/>
  </si>
  <si>
    <t>charter school fees</t>
    <phoneticPr fontId="0" type="noConversion"/>
  </si>
  <si>
    <t>Middle/Junior High Schools</t>
  </si>
  <si>
    <t>TOTAL SHARE STATE ELEMENTS</t>
  </si>
  <si>
    <t>TOTAL STATE SHARE</t>
  </si>
  <si>
    <t>TOTAL REQUIRED STATE SUPPORT</t>
  </si>
  <si>
    <t>BASIC SUPPORT</t>
  </si>
  <si>
    <t>SPECIAL UNITS/GIFTED &amp; TALENTED</t>
  </si>
  <si>
    <t>ADULT HIGH SCHOOL DIPLOMA</t>
  </si>
  <si>
    <t>EARLY CHILDHOOD EDUCATION</t>
  </si>
  <si>
    <t>SPECIAL ELEMENTARY COUNSELING</t>
  </si>
  <si>
    <t>TOTAL REGULAR BASIC SUPPORT  **</t>
  </si>
  <si>
    <t>TOTAL ENROLLMENT  *</t>
  </si>
  <si>
    <t>SPECIAL EDUCATION  ***</t>
  </si>
  <si>
    <t>Instruction - Non-Licensed</t>
  </si>
  <si>
    <t>Instruction Support - Non-Licensed</t>
  </si>
  <si>
    <t>Administration - Licensed</t>
  </si>
  <si>
    <t>All Other Personnel</t>
  </si>
  <si>
    <t>Expenditures</t>
  </si>
  <si>
    <t>Average</t>
  </si>
  <si>
    <t>Salary</t>
  </si>
  <si>
    <t>BUILDING SQUARE FOOTAGE</t>
  </si>
  <si>
    <t>Total Building Square Footage</t>
  </si>
  <si>
    <t>COST OF LIVING ADJUSTMENT</t>
  </si>
  <si>
    <t>FY 04</t>
  </si>
  <si>
    <t>FY 05</t>
  </si>
  <si>
    <t>NON LICENSED</t>
  </si>
  <si>
    <t>With Cola</t>
  </si>
  <si>
    <t>Instructional Hardware</t>
  </si>
  <si>
    <t>Instruct Software</t>
  </si>
  <si>
    <t>Operating</t>
  </si>
  <si>
    <t>Unit</t>
  </si>
  <si>
    <t>Extra Pay, Misc Salaries</t>
  </si>
  <si>
    <t>TOTAL OPERATING</t>
  </si>
  <si>
    <t>EQUIPMENT</t>
  </si>
  <si>
    <t>TOTAL EQUIPMENT</t>
  </si>
  <si>
    <t>SUBTOTAL EXP</t>
  </si>
  <si>
    <t xml:space="preserve"> NRS Conversion</t>
  </si>
  <si>
    <t xml:space="preserve"> Other Obligations</t>
  </si>
  <si>
    <t>ENDING FUND BAL</t>
  </si>
  <si>
    <t>TOTAL</t>
  </si>
  <si>
    <t xml:space="preserve"> FRANCHISE TAX</t>
  </si>
  <si>
    <t>LESS:</t>
  </si>
  <si>
    <t>TOTAL BASIC SUPP</t>
  </si>
  <si>
    <t>TOTAL SUPPORT</t>
  </si>
  <si>
    <t>STATE SHARE</t>
  </si>
  <si>
    <t xml:space="preserve"> GENERAL FUND</t>
  </si>
  <si>
    <t>POS</t>
  </si>
  <si>
    <t>$</t>
  </si>
  <si>
    <t>WEIGHTED ENROLLMENT</t>
  </si>
  <si>
    <t>AVG STARTING TEACHER SALARY</t>
  </si>
  <si>
    <t>SALARY</t>
  </si>
  <si>
    <t>INSTRUCTIONAL PERSONNEL</t>
  </si>
  <si>
    <t>LICENSED</t>
  </si>
  <si>
    <t>STUDENT RATIO</t>
  </si>
  <si>
    <t>2%ROLL-UP</t>
  </si>
  <si>
    <t>NON-LICENSED</t>
  </si>
  <si>
    <t>INSTRUCTION SUPPORT PERSONNEL</t>
  </si>
  <si>
    <t>ADMINISTRATIVE SUPPORT PERSONNEL</t>
  </si>
  <si>
    <t>SUBSTITUTE SALARIES</t>
  </si>
  <si>
    <t>EXTRA PAY, MISC SALARIES</t>
  </si>
  <si>
    <t>FRINGE BENEFITS</t>
  </si>
  <si>
    <t>UNEMP INS</t>
  </si>
  <si>
    <t>MEDICAL INS</t>
  </si>
  <si>
    <t>TOTAL POSITIONS/SALARIES</t>
  </si>
  <si>
    <t xml:space="preserve">  AND FRINGE BENEFITS</t>
  </si>
  <si>
    <t>BENEFIT/SALARY RATIO</t>
  </si>
  <si>
    <t xml:space="preserve"> </t>
  </si>
  <si>
    <t>Net</t>
  </si>
  <si>
    <t>Summary</t>
  </si>
  <si>
    <t>Base</t>
  </si>
  <si>
    <t>M200</t>
  </si>
  <si>
    <t>Diff</t>
  </si>
  <si>
    <t>Salaries</t>
  </si>
  <si>
    <t>Substitute Salaries</t>
  </si>
  <si>
    <t>Retirement</t>
  </si>
  <si>
    <t>Unemp Comp</t>
  </si>
  <si>
    <t>Medicare</t>
  </si>
  <si>
    <t>Medical</t>
  </si>
  <si>
    <t>Other</t>
  </si>
  <si>
    <t>Total Salaries and Fringe Benefits</t>
  </si>
  <si>
    <t>M300</t>
  </si>
  <si>
    <t>Extra Duty, Misc Salaries</t>
  </si>
  <si>
    <t>BLDG SQUARE</t>
  </si>
  <si>
    <t>Sub-Total - Salaries and Fringe</t>
  </si>
  <si>
    <t>MEDICAL INSURANCE (PER FTE)</t>
  </si>
  <si>
    <t>SPECIAL TRANSPORTATION</t>
  </si>
  <si>
    <t>Remediation Programs-34/35</t>
  </si>
  <si>
    <t>RPDP, NELIP &amp; LEAD-36</t>
  </si>
  <si>
    <t>Early Childhood Education-45</t>
  </si>
  <si>
    <t>High Impact Position Stipends-51</t>
  </si>
  <si>
    <t>Retired Employee Ins Subsidy-55</t>
  </si>
  <si>
    <t>Special Elementary Counseling-46</t>
  </si>
  <si>
    <t>Special Transportation - 80</t>
  </si>
  <si>
    <t>FY 90 - FY 93 AVG</t>
  </si>
  <si>
    <t>FY 90 - FY 94 AVG</t>
  </si>
  <si>
    <t>FY 90 - FY 95 AVG</t>
  </si>
  <si>
    <t>FY 90 - FY 96 AVG</t>
  </si>
  <si>
    <t>FY 90 - FY 97 AVG</t>
  </si>
  <si>
    <t>FY 90 - FY 98 AVG</t>
  </si>
  <si>
    <t>FY 90 - FY 99 AVG</t>
  </si>
  <si>
    <t>FY 90 - FY 00 AVG</t>
  </si>
  <si>
    <t>FY 90 - FY 01 AVG</t>
  </si>
  <si>
    <t>FY 90 - FY 02 AVG</t>
  </si>
  <si>
    <t>DSABASE ADJUSTMENT</t>
  </si>
  <si>
    <t>Administration - Non-Licensed</t>
  </si>
  <si>
    <t>Total Personnel</t>
  </si>
  <si>
    <t>Worker's Comp</t>
  </si>
  <si>
    <t xml:space="preserve"> CHARTER SCHOOL ADJ</t>
  </si>
  <si>
    <t xml:space="preserve"> ESTATE TAX</t>
  </si>
  <si>
    <t>FY 07</t>
  </si>
  <si>
    <t>FY 06</t>
  </si>
  <si>
    <t>LOCAL SCHOOL SUPPORT TAX</t>
  </si>
  <si>
    <t xml:space="preserve"> OBLIGATIONS</t>
  </si>
  <si>
    <t>Printing/Binding</t>
  </si>
  <si>
    <t>Other Fuel</t>
  </si>
  <si>
    <t>Staff Travel</t>
  </si>
  <si>
    <t>All Other</t>
  </si>
  <si>
    <t>TOTAL INFLATION ADJUSTMENTS</t>
  </si>
  <si>
    <t>Operating Unit</t>
  </si>
  <si>
    <t>Adj</t>
  </si>
  <si>
    <t>Water/Sewer/Garbage</t>
  </si>
  <si>
    <t>EX BUD RECOMMENDS</t>
  </si>
  <si>
    <t>NET CHANGE</t>
  </si>
  <si>
    <t>TOTAL GROWTH ADJUSTMENTS</t>
  </si>
  <si>
    <t>Instructional Equip</t>
  </si>
  <si>
    <t>All Other Equip</t>
  </si>
  <si>
    <t>DSA CALCULATIONS - AVERAGE TEACHER SALARY AND FRINGE BENEFITS (SEE NOTE)</t>
  </si>
  <si>
    <t>AVG RATE</t>
  </si>
  <si>
    <t>TOTAL SALARY AND FRINGE BENEFITS</t>
  </si>
  <si>
    <t>NOTE: VARIABLES TO IMPACT AVERAGE</t>
  </si>
  <si>
    <t xml:space="preserve">   5.  LOCAL COLLECTIVE BARGAINING AGREEMENTS</t>
  </si>
  <si>
    <t>TOTAL EXPENDITURES</t>
  </si>
  <si>
    <t xml:space="preserve"> Staff Travel/Training</t>
  </si>
  <si>
    <t>SCHOOL IMPROVEMENT:</t>
  </si>
  <si>
    <t>SPECIAL FUNDING:</t>
  </si>
  <si>
    <t>2000 Actual</t>
  </si>
  <si>
    <t>1999 Actual</t>
  </si>
  <si>
    <t>1999 Cost</t>
  </si>
  <si>
    <t>FY 02</t>
  </si>
  <si>
    <t>FY 03</t>
  </si>
  <si>
    <t>AT-RISK KINDERGARTEN:</t>
  </si>
  <si>
    <t># POSITIONS/SALARIES</t>
  </si>
  <si>
    <t>AVG STARTING SALARY</t>
  </si>
  <si>
    <t>1ST GRADE @ 16 TO 1</t>
  </si>
  <si>
    <t># PUPILS</t>
  </si>
  <si>
    <t># POSITIONS @ 25.5</t>
  </si>
  <si>
    <t># POSITIONS @ 16.0</t>
  </si>
  <si>
    <t># REQUIRED</t>
  </si>
  <si>
    <t>NEW FY POSITIONS/SALARIES</t>
  </si>
  <si>
    <t>2ND GRADE @ 16 TO 1</t>
  </si>
  <si>
    <t># POSITIONS @ 25.7</t>
  </si>
  <si>
    <t>3RD GRADE @ 19 TO 1</t>
  </si>
  <si>
    <t># POSITIONS @ 26.9</t>
  </si>
  <si>
    <t># POSITIONS @ 19.0</t>
  </si>
  <si>
    <t>Costs are included in CSR worksheets and under the CSR total in DSA Summ.  This is the amount that should be in Cat 18</t>
  </si>
  <si>
    <t>DSA</t>
  </si>
  <si>
    <t>FY 2010</t>
  </si>
  <si>
    <t>FY 2011</t>
  </si>
  <si>
    <t>Adult Ed</t>
  </si>
  <si>
    <t>IDEA MOE</t>
  </si>
  <si>
    <t>Early Childhood Education</t>
  </si>
  <si>
    <t>RPDP</t>
  </si>
  <si>
    <t>ok</t>
  </si>
  <si>
    <t>TRANSFER FROM CLOSURE OF CC RDA</t>
  </si>
  <si>
    <t>FY2010</t>
  </si>
  <si>
    <t>BIENNIAL</t>
  </si>
  <si>
    <t>GOV</t>
  </si>
  <si>
    <t xml:space="preserve">  RETIREMENT</t>
  </si>
  <si>
    <t xml:space="preserve">  UNEMPLOYMENT COMP</t>
  </si>
  <si>
    <t xml:space="preserve">  MEDICARE</t>
  </si>
  <si>
    <t xml:space="preserve">  RETIRED EMPOYEES GROUP INS</t>
  </si>
  <si>
    <t xml:space="preserve">  OTHER</t>
  </si>
  <si>
    <t>FRINGES</t>
  </si>
  <si>
    <t>OUT OF STATE LOCAL SCHOOL SUPPORT TAX</t>
  </si>
  <si>
    <t xml:space="preserve"> Postage/Communications</t>
  </si>
  <si>
    <t xml:space="preserve"> Printing/Binding</t>
  </si>
  <si>
    <t xml:space="preserve"> Instructional Computer Software</t>
  </si>
  <si>
    <t>FY 90 - FY 03 AVG</t>
  </si>
  <si>
    <t>FY 90 - FY 04 AVG</t>
  </si>
  <si>
    <t>GRAND TOTALS:</t>
  </si>
  <si>
    <t>SCHOOL LUNCH PROGRAM STATE MATCH</t>
  </si>
  <si>
    <t>SCHOOL LUNCH PROG MATCH-17</t>
  </si>
  <si>
    <t xml:space="preserve">  SCHOOL LUNCH PROG MATCH</t>
  </si>
  <si>
    <t xml:space="preserve">   BENEFIT/SALARY</t>
  </si>
  <si>
    <t>No. of Units</t>
  </si>
  <si>
    <t>$ per Unit</t>
  </si>
  <si>
    <t xml:space="preserve"> GOVT SERVICES TAX</t>
  </si>
  <si>
    <t>WORKER'S COMP</t>
  </si>
  <si>
    <t>Cost *</t>
  </si>
  <si>
    <t>CLASS SIZE REDUCTION - M-300 SALARY</t>
  </si>
  <si>
    <t>CLASS SIZE REDUCTION - M-200 SALARY</t>
  </si>
  <si>
    <t>CLASS SIZE REDUCTION - BASE SALARY</t>
  </si>
  <si>
    <t>EQUIPMENT CALCULATIONS - M-200 GROWTH ADJUSTMENTS</t>
  </si>
  <si>
    <t>OPERATING CALCULATIONS - M-200 GROWTH ADJUSTMENTS</t>
  </si>
  <si>
    <t xml:space="preserve">DISTRIBUTIVE SCHOOL ACCOUNT - DECISION M-300 SALARY </t>
  </si>
  <si>
    <t xml:space="preserve">DISTRIBUTIVE SCHOOL ACCOUNT - DECISION M-200 SALARY </t>
  </si>
  <si>
    <t xml:space="preserve">DISTRIBUTIVE SCHOOL ACCOUNT - BASE SALARY </t>
  </si>
  <si>
    <t>DISTRIBUTIVE SCHOOL ACCOUNT DATA BASE ELEMENTS</t>
  </si>
  <si>
    <t>BASE/M200</t>
  </si>
  <si>
    <t>DSA FRINGE BENEFIT RATES</t>
  </si>
  <si>
    <t>CSR FRINGE BENEFIT RATES</t>
  </si>
  <si>
    <t>**</t>
  </si>
  <si>
    <t>STATE SHARE ELEMENTS</t>
  </si>
  <si>
    <t>***</t>
  </si>
  <si>
    <t>Totals May Not Balance Due to Rounding</t>
  </si>
  <si>
    <t xml:space="preserve">Class Size Reduction Personnel </t>
  </si>
  <si>
    <t>DSA Licensed Instruction Avg Salary</t>
  </si>
  <si>
    <t>CSR Licensed Instruction Avg Salary</t>
  </si>
  <si>
    <t>Yearly % Increase</t>
  </si>
  <si>
    <t>CSR as % of DSA Avg Salary</t>
  </si>
  <si>
    <t xml:space="preserve"> DSA SHARE OF SLOT TAX</t>
  </si>
  <si>
    <t xml:space="preserve">Special Education Units </t>
  </si>
  <si>
    <t xml:space="preserve">  FULL DAY KINDERGARTEN - 22</t>
  </si>
  <si>
    <t>Session</t>
  </si>
  <si>
    <t>2011-12</t>
  </si>
  <si>
    <t>2012-13</t>
  </si>
  <si>
    <t>DISTRIBUTIVE SCHOOL ACCOUNT - SUMMARY FOR 2011-13 BIENNIUM</t>
  </si>
  <si>
    <t>DISTRIBUTIVE SCHOOL ACCOUNT MAIN WORK SHEET - 2011-13 BIENNIUM</t>
  </si>
  <si>
    <t>FY13</t>
  </si>
  <si>
    <t>FY12</t>
  </si>
  <si>
    <t>13 FY</t>
  </si>
  <si>
    <t>12 FY</t>
  </si>
  <si>
    <t>FY 10 AVG SALARY</t>
  </si>
  <si>
    <t>FY 12 @ 2% Roll-Up</t>
  </si>
  <si>
    <t>FY 13 @ 2% Roll-Up</t>
  </si>
  <si>
    <t>FY 10 Actual</t>
  </si>
  <si>
    <t>FY 11 Actual</t>
  </si>
  <si>
    <t>FY 12 Projected</t>
  </si>
  <si>
    <t>FY 13 Projected</t>
  </si>
  <si>
    <t>AVERAGE SALARIES - FY 10 ACTUAL</t>
  </si>
  <si>
    <t>AVERAGE STARTING SALARY - FY 11</t>
  </si>
  <si>
    <t>FY 12</t>
  </si>
  <si>
    <t>FY 13</t>
  </si>
  <si>
    <t>FY 10 FTE</t>
  </si>
  <si>
    <t>STUDENT STAFFING RATIO - FY 10 ACTUAL</t>
  </si>
  <si>
    <t>Adjustment to Balance to 387.303</t>
  </si>
  <si>
    <t>2009-10</t>
  </si>
  <si>
    <t>2010-11</t>
  </si>
  <si>
    <t xml:space="preserve"> OTHER STATE SUPPORT</t>
  </si>
  <si>
    <t>DSAM200</t>
  </si>
  <si>
    <t>DSAM300</t>
  </si>
  <si>
    <t xml:space="preserve"> ELEMENTARY COUNSELORS</t>
  </si>
  <si>
    <t xml:space="preserve"> GROUP INS SPEC APPROP</t>
  </si>
  <si>
    <t xml:space="preserve"> RETIRED EMPL GROUP INS</t>
  </si>
  <si>
    <t xml:space="preserve">  SPECIAL TRANSPORTATION</t>
  </si>
  <si>
    <t xml:space="preserve">  SPECIAL EDUCATION</t>
  </si>
  <si>
    <t xml:space="preserve">  ADULT EDUCATION</t>
  </si>
  <si>
    <t xml:space="preserve"> OPENING BALANCE</t>
  </si>
  <si>
    <t xml:space="preserve"> FEDERAL REVENUE</t>
  </si>
  <si>
    <t xml:space="preserve"> OTHER LOCAL REVENUE</t>
  </si>
  <si>
    <t xml:space="preserve"> Adult Education Expense</t>
  </si>
  <si>
    <t xml:space="preserve"> Special Education Adjustment</t>
  </si>
  <si>
    <t xml:space="preserve"> Instructional Hardware</t>
  </si>
  <si>
    <t xml:space="preserve"> Instructional Supplies</t>
  </si>
  <si>
    <t xml:space="preserve"> Property Insurance</t>
  </si>
  <si>
    <t xml:space="preserve"> Liability Insurance</t>
  </si>
  <si>
    <t xml:space="preserve"> Water/Sewer/Garbage</t>
  </si>
  <si>
    <t xml:space="preserve"> Professional Services</t>
  </si>
  <si>
    <t xml:space="preserve"> Maintenance/Repair</t>
  </si>
  <si>
    <t xml:space="preserve"> Pupil Transportation</t>
  </si>
  <si>
    <t>TOTAL SALARY AND FRINGE</t>
  </si>
  <si>
    <t>WORKERS' COMPENSATION</t>
  </si>
  <si>
    <t>EXTRA DUTY MISCELLANEOUS</t>
  </si>
  <si>
    <t>CLASS SIZE REDUCTION-16*</t>
  </si>
  <si>
    <t>SPEC UNITS/GIFTED &amp; TALENT-33</t>
  </si>
  <si>
    <t>ADULT HIGH SCHOOL DIPLOMA-78</t>
  </si>
  <si>
    <t xml:space="preserve"> OTHER STATE FUNDING</t>
  </si>
  <si>
    <t xml:space="preserve">  GROWTH INCREMENT</t>
  </si>
  <si>
    <t xml:space="preserve">  NON-TRADITIONAL STUDENT</t>
  </si>
  <si>
    <t xml:space="preserve">  NET PROCEEDS FROM MINES</t>
  </si>
  <si>
    <t>NRS ADJUSTMENT</t>
  </si>
  <si>
    <t>OTHER (INCLUDES FICA)</t>
  </si>
  <si>
    <t>ENHANCEMENT</t>
  </si>
  <si>
    <t>OTHER LICENSED &amp; NON-LICENSED</t>
  </si>
  <si>
    <t>Total should be</t>
  </si>
  <si>
    <t>FY 10</t>
  </si>
  <si>
    <t>FY 11</t>
  </si>
  <si>
    <t>10 FY</t>
  </si>
  <si>
    <t>11 FY</t>
  </si>
  <si>
    <t>FY10</t>
  </si>
  <si>
    <t>FY11</t>
  </si>
  <si>
    <t>2010 Add'l</t>
  </si>
  <si>
    <t>2011 Add'l</t>
  </si>
  <si>
    <t>2011 Proj</t>
  </si>
  <si>
    <t>2010 Cost</t>
  </si>
  <si>
    <t>Decision Unit E-670</t>
  </si>
  <si>
    <t>E671</t>
  </si>
  <si>
    <t xml:space="preserve">DISTRIBUTIVE SCHOOL ACCOUNT - DECISION E-671 SALARY </t>
  </si>
  <si>
    <t xml:space="preserve">DISTRIBUTIVE SCHOOL ACCOUNT - DECISION E-670 SALARY </t>
  </si>
  <si>
    <t>E670</t>
  </si>
  <si>
    <t>DSAE670</t>
  </si>
  <si>
    <t>DSAE671</t>
  </si>
  <si>
    <t>Library Media Specialist - 47</t>
  </si>
  <si>
    <t>Library Media Specialist</t>
  </si>
  <si>
    <t>BASE SALARIES</t>
  </si>
  <si>
    <t>UNEMPLOYMENT INSURANCE</t>
  </si>
  <si>
    <t xml:space="preserve"> Instructional Equipment</t>
  </si>
  <si>
    <t xml:space="preserve"> All Other Equipment</t>
  </si>
  <si>
    <t>FY 90 - FY 05 AVG</t>
  </si>
  <si>
    <t>FY 90 - FY 06 AVG</t>
  </si>
  <si>
    <t>FY 90 - FY 07 YTD AVG</t>
  </si>
  <si>
    <t>07 YTD + 90-07 YTD AVG</t>
  </si>
  <si>
    <t>WORKERS COMP</t>
  </si>
  <si>
    <t xml:space="preserve">  MEDICAL INSURANCE</t>
  </si>
  <si>
    <t xml:space="preserve"> Facility Leasing/Rental</t>
  </si>
  <si>
    <t xml:space="preserve"> Nat'l School Lunch Prog State Match</t>
  </si>
  <si>
    <t xml:space="preserve"> Pupil Transportation-Capital Lease</t>
  </si>
  <si>
    <t xml:space="preserve"> All Other Equipment-Capital Lease</t>
  </si>
  <si>
    <t>ADJUSTMENTS</t>
  </si>
  <si>
    <t xml:space="preserve"> Transfer of Funds to State Spec Ed</t>
  </si>
  <si>
    <t>TOTAL ADJUSTMENTS</t>
  </si>
  <si>
    <t xml:space="preserve"> PSOPT 2/3 (PREVIOUSLY $.50)</t>
  </si>
  <si>
    <t xml:space="preserve"> CERTIFIED COUNSELOR STIPEND</t>
  </si>
  <si>
    <t>TOTAL SALARIES LESS PERS RATE CHANGE</t>
  </si>
  <si>
    <t>PUBLIC SCHOOL OPERATING PROPERTY TAX - 1/3</t>
  </si>
  <si>
    <t>PUBLIC SCHOOL OPERATING PROPERTY TAX - 2/3</t>
  </si>
  <si>
    <t xml:space="preserve"> PRIOR FY SHORTFALL IN CURRENT FY</t>
  </si>
  <si>
    <t>DSAM101</t>
  </si>
  <si>
    <t>OPERATING CALCULATIONS - M-101 AGENCY SPECIFIC INFLATION ADJUSTMENTS</t>
  </si>
  <si>
    <t>Replacement Equipment.</t>
  </si>
  <si>
    <t>LEG</t>
  </si>
  <si>
    <t>SLOT TAX</t>
  </si>
  <si>
    <t>PERM SCHOOL FUND</t>
  </si>
  <si>
    <t>FEDERAL LEASE REVENUE</t>
  </si>
  <si>
    <t>REAL PROPERTY TRANS TAX AB 458</t>
  </si>
  <si>
    <t xml:space="preserve">  WORKER'S COMP</t>
  </si>
  <si>
    <t>CLASS SIZE REDUCTION - E671 SALARY</t>
  </si>
  <si>
    <t>2011 Annual</t>
  </si>
  <si>
    <t>If using Adult HS Enrollment &amp; Enrollment Growth:</t>
  </si>
  <si>
    <t>Adult HS Enrollment - Regular</t>
  </si>
  <si>
    <t>Adult HS Enrollment - Corrections</t>
  </si>
  <si>
    <t>Adult HS Enrollment - Total</t>
  </si>
  <si>
    <t>AHS Projected Enrollment</t>
  </si>
  <si>
    <t>Corrections</t>
  </si>
  <si>
    <t>Regular</t>
  </si>
  <si>
    <t>FY 2012</t>
  </si>
  <si>
    <t>FY 2013</t>
  </si>
  <si>
    <t>DSAE602</t>
  </si>
  <si>
    <t>PERS+UI</t>
  </si>
  <si>
    <t>E601 PERS</t>
  </si>
  <si>
    <t>E601</t>
  </si>
  <si>
    <t xml:space="preserve">DISTRIBUTIVE SCHOOL ACCOUNT - DECISION E-601 SALARY </t>
  </si>
  <si>
    <t>State of Nevada</t>
  </si>
  <si>
    <t>Distributive School Account</t>
  </si>
  <si>
    <t>Biennium</t>
  </si>
  <si>
    <t>Legislature Approved</t>
  </si>
  <si>
    <t>Revenues and Appropriations</t>
  </si>
  <si>
    <t>General Fund Appropriations</t>
  </si>
  <si>
    <t>State Guaranteed Revenues</t>
  </si>
  <si>
    <t>Local School Support Tax</t>
  </si>
  <si>
    <t>Public School Operating Property Tax (1/3)</t>
  </si>
  <si>
    <t>Clark County School District Capital Construction Funds</t>
  </si>
  <si>
    <t>Transfer from closure of CC RDA</t>
  </si>
  <si>
    <t>Total State Guaranteed Revenues</t>
  </si>
  <si>
    <t>Dedicated State Revenues</t>
  </si>
  <si>
    <t>DSA Share of Slot Tax</t>
  </si>
  <si>
    <t>Permanent School Fund</t>
  </si>
  <si>
    <t>Federal Mineral Lease Revenue</t>
  </si>
  <si>
    <t>Out of State Local School Support Tax</t>
  </si>
  <si>
    <t>Estate Tax</t>
  </si>
  <si>
    <t>Prior Year Refunds</t>
  </si>
  <si>
    <t>Real Property Tax - Sec. 36 of AB 458</t>
  </si>
  <si>
    <t>Total Dedicated State Revenues</t>
  </si>
  <si>
    <t>Total Revenues and Appropriations</t>
  </si>
  <si>
    <t>Total Basic Support</t>
  </si>
  <si>
    <t>Categorical Expenditures</t>
  </si>
  <si>
    <t>Class Size Reduction</t>
  </si>
  <si>
    <t>Adult Education</t>
  </si>
  <si>
    <t>Special Education</t>
  </si>
  <si>
    <t>Special Transportation</t>
  </si>
  <si>
    <t>School Lunch Program Match</t>
  </si>
  <si>
    <t>Special Units / Gifted and Talented</t>
  </si>
  <si>
    <t>Regional Professional Development</t>
  </si>
  <si>
    <t>High Impact Position Stipends</t>
  </si>
  <si>
    <t>Special Elementary Counseling</t>
  </si>
  <si>
    <t>Class Size Reduction - At Risk Kindergarten Teachers</t>
  </si>
  <si>
    <t>Total Categorical Expenditures</t>
  </si>
  <si>
    <t>Total Expenditures</t>
  </si>
  <si>
    <t>Total Revenue and Appropriations Less Total Expenditures</t>
  </si>
  <si>
    <t>Basic Support Per Pupil</t>
  </si>
  <si>
    <t>Suspend Merits</t>
  </si>
  <si>
    <t>Budget Reduction</t>
  </si>
  <si>
    <t>Transfer categoricals to block grant</t>
  </si>
  <si>
    <t>2013 Annual</t>
  </si>
  <si>
    <t>FY12 M200OPR</t>
  </si>
  <si>
    <t>FY13 M200OPR</t>
  </si>
  <si>
    <t>FY 10 POSITIONS/SALARIES</t>
  </si>
  <si>
    <t>FY 11 NEW POSITIONS/SALARIES</t>
  </si>
  <si>
    <t>Fiscal Years 2010 Through 2013</t>
  </si>
  <si>
    <t>Legislature Approved Plus</t>
  </si>
  <si>
    <t>26th Special Session Adjustments</t>
  </si>
  <si>
    <t>FY 2008</t>
  </si>
  <si>
    <t>FY 2009</t>
  </si>
  <si>
    <t>Change</t>
  </si>
  <si>
    <t>Federal Education Stabilization Fund</t>
  </si>
  <si>
    <t>Local School Support Tax Rate Sunset</t>
  </si>
  <si>
    <t>26th Special Session - CCSD Capital Construction Funds</t>
  </si>
  <si>
    <t>Out of State Local School Support Tax Sunset</t>
  </si>
  <si>
    <t>Local Revenues</t>
  </si>
  <si>
    <t>Federal Revenue</t>
  </si>
  <si>
    <t>Other Local Revenue</t>
  </si>
  <si>
    <t>Public School Operating Property Tax (2/3)</t>
  </si>
  <si>
    <t>Government Services Tax</t>
  </si>
  <si>
    <t>Franchise Tax</t>
  </si>
  <si>
    <t>Obligations</t>
  </si>
  <si>
    <t>Other State Support</t>
  </si>
  <si>
    <t>School District Fund Balance</t>
  </si>
  <si>
    <t>Total Local Revenues</t>
  </si>
  <si>
    <t>% Change</t>
  </si>
  <si>
    <t>Operating Expenditures</t>
  </si>
  <si>
    <t>Salaries and Fringe Benefits</t>
  </si>
  <si>
    <t>Equipment</t>
  </si>
  <si>
    <t>Transfer to State Special Education</t>
  </si>
  <si>
    <t>Other Obligations</t>
  </si>
  <si>
    <t>Other Adjustments</t>
  </si>
  <si>
    <t>Agency Request 10% Reduction</t>
  </si>
  <si>
    <t>26th Special Session Reductions</t>
  </si>
  <si>
    <t>Total Operating Expenditures (Note 1 &amp; 2)</t>
  </si>
  <si>
    <t>Note 1 - Total Operating Expenditures Include the following:</t>
  </si>
  <si>
    <t>Note 2 - Calculation of Basic Support:</t>
  </si>
  <si>
    <t>Total Operating Expenditures</t>
  </si>
  <si>
    <t>Less:</t>
  </si>
  <si>
    <t>Weighted Enrollment</t>
  </si>
  <si>
    <t>Governor Recommends</t>
  </si>
  <si>
    <t>2009-2010</t>
  </si>
  <si>
    <t>2010-2011</t>
  </si>
  <si>
    <t>2011-2012</t>
  </si>
  <si>
    <t>2012-2013</t>
  </si>
  <si>
    <t xml:space="preserve">   2.  NUMBER OF FY 10 TEACHERS WHO LEAVE SERVICE  (RETIREMENT, CHANGE OF PROFESSION, ETC)</t>
  </si>
  <si>
    <t xml:space="preserve">   3.  NUMBER OF FY 10 TEACHERS NO LONGER ELIGIBLE FOR MERIT ADJUSTMENT</t>
  </si>
  <si>
    <t xml:space="preserve">   4.  FINAL FRINGE RATES AFTER FY 11 BUDGETED AVERAGE</t>
  </si>
  <si>
    <t>M300 FY12</t>
  </si>
  <si>
    <t>M300 FY13</t>
  </si>
  <si>
    <t>CLASS SIZE REDUCTION - E601 SALARY</t>
  </si>
  <si>
    <t>state pay factor = .89385</t>
  </si>
  <si>
    <t>use 50% of employee pay reduction for DSA</t>
  </si>
  <si>
    <t>50% of the PERS pay factor (state employee pay factor = 89.385%, DSA factor = 94.6925%)</t>
  </si>
  <si>
    <t>PERS Equalization</t>
  </si>
  <si>
    <t>DSAE904</t>
  </si>
  <si>
    <t>School District Debt Service Excess Reserves</t>
  </si>
  <si>
    <t>Note 3 - Categorical Programs transferred out of DSA</t>
  </si>
  <si>
    <t>The following amounts have been transferred from the DSA to the Remediation Trust and rolled into a Student Achievement Block Grant</t>
  </si>
  <si>
    <t>Note 4 - Regional Professional Development Programs transferred to</t>
  </si>
  <si>
    <t>Remediation Trust</t>
  </si>
  <si>
    <t>Total Transfers from DSA to Remediation Trust</t>
  </si>
  <si>
    <t>Enrollment projections above for 2011, 2012, 2013 made using average enrollment growth for Fiscal Years 2006 through 2010</t>
  </si>
  <si>
    <t>FY 2010 Actual</t>
  </si>
  <si>
    <t>FY2010 L01</t>
  </si>
  <si>
    <t>FY 2011 L01</t>
  </si>
  <si>
    <t>L01</t>
  </si>
  <si>
    <t>workbook</t>
  </si>
  <si>
    <t>funding</t>
  </si>
  <si>
    <t>enrollment</t>
  </si>
  <si>
    <t>should have been</t>
  </si>
  <si>
    <t>Per pupil</t>
  </si>
  <si>
    <t>funded enrollment</t>
  </si>
  <si>
    <t>difference</t>
  </si>
  <si>
    <t xml:space="preserve">ADDITIONAL ENROLLMENT FOR HOLD HARMLESS </t>
  </si>
  <si>
    <t>BALANCE FORWARD TO NEXT FISCAL YEAR</t>
  </si>
  <si>
    <t>GENERAL FUND SUPPLEMENTAL APPROPRIATION</t>
  </si>
  <si>
    <t xml:space="preserve">FY 10 Actual Weighted Apportioned Enrollment; FY 11, 12 &amp; 13 reflect Estimated and Projected  </t>
  </si>
  <si>
    <t>LIBRARY MEDIA SPECIALIST</t>
  </si>
  <si>
    <t>OTHER ADJUSTMENTS</t>
  </si>
  <si>
    <r>
      <t>26</t>
    </r>
    <r>
      <rPr>
        <b/>
        <vertAlign val="superscript"/>
        <sz val="9"/>
        <rFont val="Arial Narrow"/>
        <family val="2"/>
      </rPr>
      <t>th</t>
    </r>
    <r>
      <rPr>
        <b/>
        <sz val="9"/>
        <rFont val="Arial Narrow"/>
        <family val="2"/>
      </rPr>
      <t xml:space="preserve"> Special </t>
    </r>
  </si>
  <si>
    <t>CLASS SIZE REDUCTION - E-670 SALARY</t>
  </si>
  <si>
    <t>SCHOOL DISTRICT DEBT SERVICE RESERVES</t>
  </si>
  <si>
    <t>PSOPT and NET PROCEEDS OF MINERALS - TOTAL REVENUE</t>
  </si>
  <si>
    <t>Estimated</t>
  </si>
  <si>
    <t>FY 11 Actual*</t>
  </si>
  <si>
    <t>TOTAL SALARIES LESS 25% PERS EQUAL</t>
  </si>
  <si>
    <t>STATE RESPONSIBILITY</t>
  </si>
  <si>
    <t>Approved</t>
  </si>
  <si>
    <t>DSAE130</t>
  </si>
  <si>
    <t>Extend LSST from 2.25% to 2.60% (91%)</t>
  </si>
  <si>
    <t>Extend LSST from 2.25% to 2.60% OOS LSST (9%)</t>
  </si>
  <si>
    <t>DSAE140</t>
  </si>
  <si>
    <t>Transfer IP1 Room Tax Funding from BA 2617</t>
  </si>
  <si>
    <t>2.5% Pay Reduction</t>
  </si>
  <si>
    <t>Total Additional LSST from extending rate sunset</t>
  </si>
  <si>
    <t>RPDP - TRANSFER TO REMEDIATION TRUST FUND</t>
  </si>
  <si>
    <t xml:space="preserve"> IP1 (2009)  ROOM TAX REVENUE TRANSFER</t>
  </si>
  <si>
    <t xml:space="preserve"> REAL PROPERTY TAX </t>
  </si>
  <si>
    <t xml:space="preserve">1/3 PUBLIC SCHOOLS OPERATING PROPERTY TAX </t>
  </si>
  <si>
    <t>LOCAL SCHOOL SUPPORT TAX - 2.60%</t>
  </si>
  <si>
    <t xml:space="preserve"> OUT OF STATE LSST - 2.60%</t>
  </si>
  <si>
    <t>26th Special Session Reduction/ 2011-13 Bud Reduction</t>
  </si>
  <si>
    <t>Total Txtbook, Software, Hardware, Instructional Supplies</t>
  </si>
  <si>
    <t>Legislature</t>
  </si>
  <si>
    <t xml:space="preserve">CLASS-SIZE REDUCTION </t>
  </si>
  <si>
    <t>CLASS-SIZE REDUCTION - AT-RISK KINDERGARTEN</t>
  </si>
  <si>
    <t>CAPITAL CONSTRUCTION FUNDS</t>
  </si>
  <si>
    <t xml:space="preserve"> FEDERAL MINERAL LEASE REVENUE</t>
  </si>
  <si>
    <t xml:space="preserve"> PERMANENT SCHOOL FUND</t>
  </si>
  <si>
    <t xml:space="preserve">CATEGORICAL FUNDING: </t>
  </si>
  <si>
    <t xml:space="preserve"> GENERAL FUND TRANSFER FY 2010 TO FY 2009</t>
  </si>
  <si>
    <t xml:space="preserve"> GENERAL FUND TRANSFER FY 2011 TO FY 2010</t>
  </si>
  <si>
    <t>REVERSION TO STATE GENERAL FUND</t>
  </si>
  <si>
    <t xml:space="preserve"> BALANCE FORWARD TO NEXT FISCAL YEAR</t>
  </si>
  <si>
    <t xml:space="preserve"> PRIOR YEAR REFUNDS</t>
  </si>
  <si>
    <t>Revenue Adjustments</t>
  </si>
  <si>
    <t>IP1 Rm Tx to DSA</t>
  </si>
  <si>
    <t>2.5% Salary Reduction</t>
  </si>
  <si>
    <t>Merit/Longevity</t>
  </si>
  <si>
    <t>Transfer RPDP$ to BA 2615</t>
  </si>
  <si>
    <t>Per Pupil Budget Reduction</t>
  </si>
  <si>
    <t>New Equipment</t>
  </si>
  <si>
    <t>Enrollment Change</t>
  </si>
  <si>
    <t>Benefit Change</t>
  </si>
</sst>
</file>

<file path=xl/styles.xml><?xml version="1.0" encoding="utf-8"?>
<styleSheet xmlns="http://schemas.openxmlformats.org/spreadsheetml/2006/main">
  <numFmts count="2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_);\(#,##0.0\)"/>
    <numFmt numFmtId="165" formatCode="#,##0.0"/>
    <numFmt numFmtId="166" formatCode="#,##0.0_);[Red]\(#,##0.0\)"/>
    <numFmt numFmtId="167" formatCode="#,##0.000_);\(#,##0.000\)"/>
    <numFmt numFmtId="168" formatCode="_(* #,##0_);_(* \(#,##0\);_(* &quot;-&quot;??_);_(@_)"/>
    <numFmt numFmtId="169" formatCode="_(* #,##0.000_);_(* \(#,##0.000\);_(* &quot;-&quot;??_);_(@_)"/>
    <numFmt numFmtId="170" formatCode="_(* #,##0.0000_);_(* \(#,##0.0000\);_(* &quot;-&quot;??_);_(@_)"/>
    <numFmt numFmtId="171" formatCode="_(* #,##0.0_);_(* \(#,##0.0\);_(* &quot;-&quot;??_);_(@_)"/>
    <numFmt numFmtId="172" formatCode="0.00000"/>
    <numFmt numFmtId="173" formatCode="0.0000"/>
    <numFmt numFmtId="174" formatCode="0.000"/>
    <numFmt numFmtId="175" formatCode="#,##0.0000_);[Red]\(#,##0.0000\)"/>
    <numFmt numFmtId="176" formatCode="0.0%"/>
    <numFmt numFmtId="177" formatCode="#,##0.000_);[Red]\(#,##0.000\)"/>
    <numFmt numFmtId="178" formatCode="#,##0.00000_);\(#,##0.00000\)"/>
    <numFmt numFmtId="179" formatCode="#,##0.0000_);\(#,##0.0000\)"/>
    <numFmt numFmtId="180" formatCode="#,##0.0000"/>
    <numFmt numFmtId="181" formatCode="0.0000%"/>
    <numFmt numFmtId="182" formatCode="_(* #,##0.00000_);_(* \(#,##0.00000\);_(* &quot;-&quot;??_);_(@_)"/>
    <numFmt numFmtId="183" formatCode="_(&quot;$&quot;* #,##0_);_(&quot;$&quot;* \(#,##0\);_(&quot;$&quot;* &quot;-&quot;??_);_(@_)"/>
  </numFmts>
  <fonts count="38">
    <font>
      <sz val="10"/>
      <name val="Arial"/>
    </font>
    <font>
      <sz val="10"/>
      <color theme="1"/>
      <name val="Arial"/>
      <family val="2"/>
    </font>
    <font>
      <sz val="10"/>
      <color theme="1"/>
      <name val="Arial"/>
      <family val="2"/>
    </font>
    <font>
      <b/>
      <sz val="10"/>
      <name val="Arial"/>
      <family val="2"/>
    </font>
    <font>
      <sz val="10"/>
      <name val="Arial"/>
      <family val="2"/>
    </font>
    <font>
      <sz val="8"/>
      <name val="Arial Narrow"/>
      <family val="2"/>
    </font>
    <font>
      <b/>
      <sz val="8"/>
      <name val="Arial Narrow"/>
      <family val="2"/>
    </font>
    <font>
      <sz val="8"/>
      <name val="Arial Narrow"/>
      <family val="2"/>
    </font>
    <font>
      <sz val="10"/>
      <name val="Arial Narrow"/>
      <family val="2"/>
    </font>
    <font>
      <b/>
      <sz val="8"/>
      <name val="Arial Narrow"/>
      <family val="2"/>
    </font>
    <font>
      <sz val="9"/>
      <name val="Arial Narrow"/>
      <family val="2"/>
    </font>
    <font>
      <b/>
      <sz val="9"/>
      <name val="Arial Narrow"/>
      <family val="2"/>
    </font>
    <font>
      <sz val="9"/>
      <name val="Arial Narrow"/>
      <family val="2"/>
    </font>
    <font>
      <sz val="9"/>
      <name val="Arial"/>
      <family val="2"/>
    </font>
    <font>
      <b/>
      <sz val="10"/>
      <name val="Arial Narrow"/>
      <family val="2"/>
    </font>
    <font>
      <sz val="8"/>
      <color indexed="81"/>
      <name val="Tahoma"/>
      <family val="2"/>
    </font>
    <font>
      <b/>
      <sz val="8"/>
      <color indexed="81"/>
      <name val="Tahoma"/>
      <family val="2"/>
    </font>
    <font>
      <b/>
      <sz val="9"/>
      <name val="Arial Narrow"/>
      <family val="2"/>
    </font>
    <font>
      <strike/>
      <sz val="9"/>
      <name val="Arial Narrow"/>
      <family val="2"/>
    </font>
    <font>
      <sz val="9"/>
      <color indexed="8"/>
      <name val="Arial Narrow"/>
      <family val="2"/>
    </font>
    <font>
      <b/>
      <sz val="8"/>
      <color indexed="10"/>
      <name val="Arial Narrow"/>
      <family val="2"/>
    </font>
    <font>
      <sz val="8"/>
      <name val="Arial"/>
      <family val="2"/>
    </font>
    <font>
      <b/>
      <sz val="10"/>
      <name val="Arial"/>
      <family val="2"/>
    </font>
    <font>
      <b/>
      <sz val="12"/>
      <name val="Arial Narrow"/>
      <family val="2"/>
    </font>
    <font>
      <sz val="9"/>
      <color indexed="81"/>
      <name val="Arial"/>
      <family val="2"/>
    </font>
    <font>
      <b/>
      <sz val="9"/>
      <color indexed="81"/>
      <name val="Arial"/>
      <family val="2"/>
    </font>
    <font>
      <sz val="8"/>
      <color theme="3"/>
      <name val="Arial Narrow"/>
      <family val="2"/>
    </font>
    <font>
      <b/>
      <sz val="8"/>
      <color theme="3"/>
      <name val="Arial Narrow"/>
      <family val="2"/>
    </font>
    <font>
      <sz val="10"/>
      <name val="Calibri"/>
      <family val="2"/>
      <scheme val="minor"/>
    </font>
    <font>
      <b/>
      <sz val="10"/>
      <name val="Times New Roman"/>
      <family val="1"/>
    </font>
    <font>
      <sz val="10"/>
      <name val="Times New Roman"/>
      <family val="1"/>
    </font>
    <font>
      <b/>
      <i/>
      <sz val="10"/>
      <name val="Times New Roman"/>
      <family val="1"/>
    </font>
    <font>
      <i/>
      <sz val="10"/>
      <name val="Times New Roman"/>
      <family val="1"/>
    </font>
    <font>
      <sz val="10"/>
      <name val="Arial"/>
      <family val="2"/>
    </font>
    <font>
      <sz val="8.5"/>
      <name val="Arial"/>
      <family val="2"/>
    </font>
    <font>
      <b/>
      <vertAlign val="superscript"/>
      <sz val="9"/>
      <name val="Arial Narrow"/>
      <family val="2"/>
    </font>
    <font>
      <u/>
      <sz val="10"/>
      <color theme="10"/>
      <name val="Arial"/>
      <family val="2"/>
    </font>
    <font>
      <u/>
      <sz val="9"/>
      <color theme="10"/>
      <name val="Arial Narrow"/>
      <family val="2"/>
    </font>
  </fonts>
  <fills count="5">
    <fill>
      <patternFill patternType="none"/>
    </fill>
    <fill>
      <patternFill patternType="gray125"/>
    </fill>
    <fill>
      <patternFill patternType="solid">
        <fgColor indexed="13"/>
        <bgColor indexed="64"/>
      </patternFill>
    </fill>
    <fill>
      <patternFill patternType="solid">
        <fgColor theme="6" tint="0.59999389629810485"/>
        <bgColor indexed="64"/>
      </patternFill>
    </fill>
    <fill>
      <patternFill patternType="solid">
        <fgColor theme="0"/>
        <bgColor indexed="64"/>
      </patternFill>
    </fill>
  </fills>
  <borders count="61">
    <border>
      <left/>
      <right/>
      <top/>
      <bottom/>
      <diagonal/>
    </border>
    <border>
      <left style="medium">
        <color indexed="64"/>
      </left>
      <right/>
      <top/>
      <bottom style="medium">
        <color indexed="64"/>
      </bottom>
      <diagonal/>
    </border>
    <border>
      <left/>
      <right/>
      <top/>
      <bottom style="thin">
        <color indexed="64"/>
      </bottom>
      <diagonal/>
    </border>
    <border>
      <left style="medium">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right style="medium">
        <color indexed="64"/>
      </right>
      <top/>
      <bottom/>
      <diagonal/>
    </border>
    <border>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style="thin">
        <color indexed="64"/>
      </right>
      <top style="medium">
        <color indexed="64"/>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style="thin">
        <color indexed="8"/>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10"/>
      </left>
      <right style="thin">
        <color indexed="10"/>
      </right>
      <top style="thin">
        <color indexed="10"/>
      </top>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6">
    <xf numFmtId="0" fontId="0"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0" borderId="0"/>
    <xf numFmtId="0" fontId="36" fillId="0" borderId="0" applyNumberFormat="0" applyFill="0" applyBorder="0" applyAlignment="0" applyProtection="0">
      <alignment vertical="top"/>
      <protection locked="0"/>
    </xf>
    <xf numFmtId="0" fontId="2" fillId="0" borderId="0"/>
    <xf numFmtId="44" fontId="2" fillId="0" borderId="0" applyFont="0" applyFill="0" applyBorder="0" applyAlignment="0" applyProtection="0"/>
    <xf numFmtId="0" fontId="1" fillId="0" borderId="0"/>
    <xf numFmtId="44" fontId="1" fillId="0" borderId="0" applyFont="0" applyFill="0" applyBorder="0" applyAlignment="0" applyProtection="0"/>
  </cellStyleXfs>
  <cellXfs count="1070">
    <xf numFmtId="0" fontId="0" fillId="0" borderId="0" xfId="0"/>
    <xf numFmtId="10" fontId="7" fillId="0" borderId="0" xfId="0" applyNumberFormat="1" applyFont="1" applyFill="1" applyBorder="1" applyProtection="1">
      <protection locked="0"/>
    </xf>
    <xf numFmtId="0" fontId="6" fillId="0" borderId="1" xfId="0" applyFont="1" applyFill="1" applyBorder="1" applyAlignment="1">
      <alignment horizontal="left"/>
    </xf>
    <xf numFmtId="38" fontId="7" fillId="0" borderId="0" xfId="1" applyNumberFormat="1" applyFont="1" applyFill="1" applyBorder="1" applyProtection="1"/>
    <xf numFmtId="38" fontId="7" fillId="0" borderId="2" xfId="1" applyNumberFormat="1" applyFont="1" applyFill="1" applyBorder="1" applyProtection="1"/>
    <xf numFmtId="0" fontId="7" fillId="0" borderId="0" xfId="0" applyFont="1" applyFill="1" applyBorder="1"/>
    <xf numFmtId="0" fontId="8" fillId="0" borderId="0" xfId="0" applyFont="1" applyFill="1"/>
    <xf numFmtId="38" fontId="7" fillId="0" borderId="0" xfId="1" applyNumberFormat="1" applyFont="1" applyFill="1" applyBorder="1"/>
    <xf numFmtId="0" fontId="6" fillId="0" borderId="3" xfId="0" applyFont="1" applyFill="1" applyBorder="1" applyAlignment="1" applyProtection="1">
      <alignment horizontal="left"/>
      <protection locked="0"/>
    </xf>
    <xf numFmtId="0" fontId="0" fillId="0" borderId="0" xfId="0" applyFill="1"/>
    <xf numFmtId="0" fontId="0" fillId="0" borderId="0" xfId="0" applyFill="1" applyBorder="1"/>
    <xf numFmtId="0" fontId="6" fillId="0" borderId="0" xfId="0" applyFont="1" applyFill="1" applyAlignment="1">
      <alignment horizontal="left"/>
    </xf>
    <xf numFmtId="0" fontId="6" fillId="0" borderId="4" xfId="0" applyFont="1" applyFill="1" applyBorder="1" applyAlignment="1">
      <alignment horizontal="left"/>
    </xf>
    <xf numFmtId="0" fontId="3" fillId="0" borderId="0" xfId="0" applyFont="1" applyFill="1"/>
    <xf numFmtId="0" fontId="6" fillId="0" borderId="5" xfId="0" applyFont="1" applyFill="1" applyBorder="1" applyAlignment="1">
      <alignment horizontal="left"/>
    </xf>
    <xf numFmtId="0" fontId="7" fillId="0" borderId="6" xfId="0" applyFont="1" applyFill="1" applyBorder="1" applyProtection="1">
      <protection locked="0"/>
    </xf>
    <xf numFmtId="0" fontId="7" fillId="0" borderId="1" xfId="0" applyFont="1" applyFill="1" applyBorder="1" applyProtection="1">
      <protection locked="0"/>
    </xf>
    <xf numFmtId="0" fontId="6" fillId="0" borderId="3" xfId="0" applyFont="1" applyFill="1" applyBorder="1" applyProtection="1">
      <protection locked="0"/>
    </xf>
    <xf numFmtId="0" fontId="6" fillId="0" borderId="7" xfId="0" applyFont="1" applyFill="1" applyBorder="1" applyAlignment="1" applyProtection="1">
      <alignment horizontal="left"/>
      <protection locked="0"/>
    </xf>
    <xf numFmtId="40" fontId="6" fillId="0" borderId="7" xfId="0" applyNumberFormat="1" applyFont="1" applyFill="1" applyBorder="1" applyAlignment="1" applyProtection="1">
      <alignment horizontal="left"/>
      <protection locked="0"/>
    </xf>
    <xf numFmtId="40" fontId="0" fillId="0" borderId="0" xfId="0" applyNumberFormat="1" applyFill="1"/>
    <xf numFmtId="0" fontId="17" fillId="0" borderId="0" xfId="0" applyFont="1" applyFill="1"/>
    <xf numFmtId="37" fontId="0" fillId="0" borderId="0" xfId="0" applyNumberFormat="1" applyFill="1"/>
    <xf numFmtId="0" fontId="20" fillId="0" borderId="3" xfId="0" applyFont="1" applyFill="1" applyBorder="1" applyProtection="1">
      <protection locked="0"/>
    </xf>
    <xf numFmtId="0" fontId="6" fillId="0" borderId="1" xfId="0" applyFont="1" applyFill="1" applyBorder="1" applyProtection="1">
      <protection locked="0"/>
    </xf>
    <xf numFmtId="0" fontId="6" fillId="0" borderId="6" xfId="0" applyFont="1" applyFill="1" applyBorder="1" applyProtection="1">
      <protection locked="0"/>
    </xf>
    <xf numFmtId="0" fontId="6" fillId="0" borderId="7" xfId="0" applyFont="1" applyFill="1" applyBorder="1" applyProtection="1">
      <protection locked="0"/>
    </xf>
    <xf numFmtId="38" fontId="7" fillId="0" borderId="2" xfId="1" applyNumberFormat="1" applyFont="1" applyFill="1" applyBorder="1"/>
    <xf numFmtId="0" fontId="8" fillId="0" borderId="3" xfId="0" applyFont="1" applyFill="1" applyBorder="1" applyProtection="1">
      <protection locked="0"/>
    </xf>
    <xf numFmtId="0" fontId="6" fillId="0" borderId="3" xfId="0" applyFont="1" applyFill="1" applyBorder="1"/>
    <xf numFmtId="0" fontId="7" fillId="0" borderId="8" xfId="0" applyFont="1" applyFill="1" applyBorder="1"/>
    <xf numFmtId="0" fontId="7" fillId="0" borderId="0" xfId="0" applyFont="1" applyFill="1"/>
    <xf numFmtId="0" fontId="17" fillId="0" borderId="2" xfId="0" applyFont="1" applyFill="1" applyBorder="1" applyAlignment="1">
      <alignment horizontal="center"/>
    </xf>
    <xf numFmtId="0" fontId="17" fillId="0" borderId="9" xfId="0" applyFont="1" applyFill="1" applyBorder="1" applyAlignment="1">
      <alignment horizontal="center"/>
    </xf>
    <xf numFmtId="168" fontId="12" fillId="0" borderId="10" xfId="1" applyNumberFormat="1" applyFont="1" applyFill="1" applyBorder="1" applyAlignment="1">
      <alignment horizontal="center"/>
    </xf>
    <xf numFmtId="168" fontId="12" fillId="0" borderId="0" xfId="1" applyNumberFormat="1" applyFont="1" applyFill="1" applyBorder="1" applyAlignment="1">
      <alignment horizontal="center"/>
    </xf>
    <xf numFmtId="0" fontId="17" fillId="0" borderId="5" xfId="0" applyFont="1" applyFill="1" applyBorder="1"/>
    <xf numFmtId="10" fontId="12" fillId="0" borderId="2" xfId="3" applyNumberFormat="1" applyFont="1" applyFill="1" applyBorder="1"/>
    <xf numFmtId="10" fontId="12" fillId="0" borderId="9" xfId="3" applyNumberFormat="1" applyFont="1" applyFill="1" applyBorder="1"/>
    <xf numFmtId="0" fontId="12" fillId="0" borderId="0" xfId="0" applyFont="1" applyFill="1"/>
    <xf numFmtId="0" fontId="12" fillId="0" borderId="0" xfId="0" applyFont="1" applyFill="1" applyBorder="1"/>
    <xf numFmtId="0" fontId="12" fillId="0" borderId="11" xfId="0" applyFont="1" applyFill="1" applyBorder="1"/>
    <xf numFmtId="0" fontId="17" fillId="0" borderId="10" xfId="0" applyFont="1" applyFill="1" applyBorder="1"/>
    <xf numFmtId="43" fontId="12" fillId="0" borderId="0" xfId="1" applyFont="1" applyFill="1" applyBorder="1"/>
    <xf numFmtId="43" fontId="12" fillId="0" borderId="2" xfId="1" applyFont="1" applyFill="1" applyBorder="1"/>
    <xf numFmtId="0" fontId="12" fillId="0" borderId="2" xfId="0" applyFont="1" applyFill="1" applyBorder="1"/>
    <xf numFmtId="43" fontId="12" fillId="0" borderId="2" xfId="0" applyNumberFormat="1" applyFont="1" applyFill="1" applyBorder="1"/>
    <xf numFmtId="0" fontId="17" fillId="0" borderId="4" xfId="0" applyFont="1" applyFill="1" applyBorder="1" applyAlignment="1">
      <alignment horizontal="center"/>
    </xf>
    <xf numFmtId="0" fontId="17" fillId="0" borderId="12" xfId="0" applyFont="1" applyFill="1" applyBorder="1" applyAlignment="1">
      <alignment horizontal="center"/>
    </xf>
    <xf numFmtId="168" fontId="17" fillId="0" borderId="12" xfId="1" applyNumberFormat="1" applyFont="1" applyFill="1" applyBorder="1" applyAlignment="1">
      <alignment horizontal="center"/>
    </xf>
    <xf numFmtId="0" fontId="17" fillId="0" borderId="13" xfId="0" applyFont="1" applyFill="1" applyBorder="1" applyAlignment="1">
      <alignment horizontal="center"/>
    </xf>
    <xf numFmtId="168" fontId="17" fillId="0" borderId="2" xfId="1" applyNumberFormat="1" applyFont="1" applyFill="1" applyBorder="1" applyAlignment="1">
      <alignment horizontal="center"/>
    </xf>
    <xf numFmtId="168" fontId="12" fillId="0" borderId="0" xfId="1" applyNumberFormat="1" applyFont="1" applyFill="1" applyBorder="1"/>
    <xf numFmtId="168" fontId="12" fillId="0" borderId="14" xfId="1" applyNumberFormat="1" applyFont="1" applyFill="1" applyBorder="1"/>
    <xf numFmtId="168" fontId="12" fillId="0" borderId="0" xfId="0" applyNumberFormat="1" applyFont="1" applyFill="1"/>
    <xf numFmtId="168" fontId="12" fillId="0" borderId="2" xfId="1" applyNumberFormat="1" applyFont="1" applyFill="1" applyBorder="1"/>
    <xf numFmtId="168" fontId="12" fillId="0" borderId="9" xfId="1" applyNumberFormat="1" applyFont="1" applyFill="1" applyBorder="1"/>
    <xf numFmtId="0" fontId="12" fillId="0" borderId="0" xfId="0" applyFont="1" applyFill="1" applyBorder="1" applyAlignment="1">
      <alignment horizontal="center"/>
    </xf>
    <xf numFmtId="10" fontId="12" fillId="0" borderId="0" xfId="0" applyNumberFormat="1" applyFont="1" applyFill="1" applyBorder="1"/>
    <xf numFmtId="0" fontId="17" fillId="0" borderId="0" xfId="0" applyFont="1" applyFill="1" applyBorder="1"/>
    <xf numFmtId="0" fontId="7" fillId="0" borderId="12" xfId="0" applyFont="1" applyFill="1" applyBorder="1"/>
    <xf numFmtId="0" fontId="6" fillId="0" borderId="10" xfId="0" applyFont="1" applyFill="1" applyBorder="1" applyAlignment="1">
      <alignment horizontal="left"/>
    </xf>
    <xf numFmtId="0" fontId="6" fillId="0" borderId="5" xfId="0" applyFont="1" applyFill="1" applyBorder="1"/>
    <xf numFmtId="0" fontId="7" fillId="0" borderId="2" xfId="0" applyFont="1" applyFill="1" applyBorder="1"/>
    <xf numFmtId="168" fontId="12" fillId="0" borderId="0" xfId="1" applyNumberFormat="1" applyFont="1" applyFill="1"/>
    <xf numFmtId="0" fontId="12" fillId="0" borderId="0" xfId="0" quotePrefix="1" applyFont="1" applyFill="1"/>
    <xf numFmtId="0" fontId="17" fillId="0" borderId="15" xfId="0" applyFont="1" applyFill="1" applyBorder="1"/>
    <xf numFmtId="168" fontId="18" fillId="0" borderId="11" xfId="1" applyNumberFormat="1" applyFont="1" applyFill="1" applyBorder="1"/>
    <xf numFmtId="168" fontId="12" fillId="0" borderId="11" xfId="1" applyNumberFormat="1" applyFont="1" applyFill="1" applyBorder="1"/>
    <xf numFmtId="10" fontId="12" fillId="0" borderId="11" xfId="3" applyNumberFormat="1" applyFont="1" applyFill="1" applyBorder="1"/>
    <xf numFmtId="10" fontId="12" fillId="0" borderId="16" xfId="3" applyNumberFormat="1" applyFont="1" applyFill="1" applyBorder="1"/>
    <xf numFmtId="0" fontId="6" fillId="0" borderId="6" xfId="0" applyFont="1" applyFill="1" applyBorder="1"/>
    <xf numFmtId="0" fontId="6" fillId="0" borderId="3" xfId="0" applyFont="1" applyFill="1" applyBorder="1" applyAlignment="1">
      <alignment horizontal="left"/>
    </xf>
    <xf numFmtId="0" fontId="6" fillId="0" borderId="17" xfId="0" applyFont="1" applyFill="1" applyBorder="1" applyAlignment="1">
      <alignment horizontal="left"/>
    </xf>
    <xf numFmtId="0" fontId="14" fillId="0" borderId="0" xfId="0" applyFont="1" applyFill="1"/>
    <xf numFmtId="37" fontId="7" fillId="0" borderId="0" xfId="0" applyNumberFormat="1" applyFont="1" applyFill="1" applyBorder="1" applyProtection="1"/>
    <xf numFmtId="37" fontId="7" fillId="0" borderId="2" xfId="0" applyNumberFormat="1" applyFont="1" applyFill="1" applyBorder="1" applyProtection="1"/>
    <xf numFmtId="39" fontId="7" fillId="0" borderId="0" xfId="0" applyNumberFormat="1" applyFont="1" applyFill="1" applyBorder="1" applyProtection="1"/>
    <xf numFmtId="0" fontId="7" fillId="0" borderId="10" xfId="0" applyFont="1" applyFill="1" applyBorder="1"/>
    <xf numFmtId="40" fontId="7" fillId="0" borderId="0" xfId="0" applyNumberFormat="1" applyFont="1" applyFill="1"/>
    <xf numFmtId="38" fontId="7" fillId="0" borderId="0" xfId="1" applyNumberFormat="1" applyFont="1" applyFill="1"/>
    <xf numFmtId="40" fontId="7" fillId="0" borderId="0" xfId="0" applyNumberFormat="1" applyFont="1" applyFill="1" applyProtection="1"/>
    <xf numFmtId="0" fontId="6" fillId="0" borderId="11" xfId="0" applyFont="1" applyFill="1" applyBorder="1"/>
    <xf numFmtId="37" fontId="6" fillId="0" borderId="11" xfId="0" applyNumberFormat="1" applyFont="1" applyFill="1" applyBorder="1" applyProtection="1"/>
    <xf numFmtId="0" fontId="6" fillId="0" borderId="18" xfId="0" applyFont="1" applyFill="1" applyBorder="1" applyAlignment="1">
      <alignment horizontal="left"/>
    </xf>
    <xf numFmtId="40" fontId="7" fillId="0" borderId="0" xfId="0" applyNumberFormat="1" applyFont="1" applyFill="1" applyBorder="1" applyProtection="1"/>
    <xf numFmtId="38" fontId="6" fillId="0" borderId="11" xfId="1" applyNumberFormat="1" applyFont="1" applyFill="1" applyBorder="1"/>
    <xf numFmtId="38" fontId="6" fillId="0" borderId="19" xfId="1" applyNumberFormat="1" applyFont="1" applyFill="1" applyBorder="1"/>
    <xf numFmtId="38" fontId="7" fillId="0" borderId="8" xfId="1" applyNumberFormat="1" applyFont="1" applyFill="1" applyBorder="1"/>
    <xf numFmtId="40" fontId="6" fillId="0" borderId="11" xfId="0" applyNumberFormat="1" applyFont="1" applyFill="1" applyBorder="1" applyProtection="1"/>
    <xf numFmtId="37" fontId="6" fillId="0" borderId="19" xfId="0" applyNumberFormat="1" applyFont="1" applyFill="1" applyBorder="1" applyProtection="1"/>
    <xf numFmtId="37" fontId="7" fillId="0" borderId="8" xfId="0" applyNumberFormat="1" applyFont="1" applyFill="1" applyBorder="1" applyProtection="1"/>
    <xf numFmtId="40" fontId="7" fillId="0" borderId="0" xfId="0" applyNumberFormat="1" applyFont="1" applyFill="1" applyBorder="1"/>
    <xf numFmtId="168" fontId="6" fillId="0" borderId="20" xfId="1" applyNumberFormat="1" applyFont="1" applyFill="1" applyBorder="1"/>
    <xf numFmtId="0" fontId="6" fillId="0" borderId="21" xfId="0" applyFont="1" applyFill="1" applyBorder="1" applyAlignment="1" applyProtection="1">
      <alignment horizontal="left"/>
      <protection locked="0"/>
    </xf>
    <xf numFmtId="0" fontId="14" fillId="0" borderId="1" xfId="0" applyFont="1" applyFill="1" applyBorder="1"/>
    <xf numFmtId="0" fontId="17" fillId="0" borderId="0" xfId="0" applyFont="1" applyFill="1" applyBorder="1" applyAlignment="1">
      <alignment horizontal="center"/>
    </xf>
    <xf numFmtId="38" fontId="12" fillId="0" borderId="0" xfId="0" applyNumberFormat="1" applyFont="1" applyFill="1" applyBorder="1"/>
    <xf numFmtId="181" fontId="7" fillId="0" borderId="0" xfId="3" applyNumberFormat="1" applyFont="1" applyFill="1" applyBorder="1" applyAlignment="1" applyProtection="1">
      <alignment horizontal="right"/>
    </xf>
    <xf numFmtId="0" fontId="17" fillId="0" borderId="15" xfId="0" applyFont="1" applyFill="1" applyBorder="1" applyAlignment="1">
      <alignment horizontal="center"/>
    </xf>
    <xf numFmtId="0" fontId="17" fillId="0" borderId="11" xfId="0" applyFont="1" applyFill="1" applyBorder="1" applyAlignment="1">
      <alignment horizontal="center"/>
    </xf>
    <xf numFmtId="0" fontId="17" fillId="0" borderId="16" xfId="0" applyFont="1" applyFill="1" applyBorder="1" applyAlignment="1">
      <alignment horizontal="center"/>
    </xf>
    <xf numFmtId="0" fontId="6" fillId="0" borderId="20" xfId="0" applyFont="1" applyFill="1" applyBorder="1" applyAlignment="1" applyProtection="1">
      <alignment horizontal="center"/>
      <protection locked="0"/>
    </xf>
    <xf numFmtId="0" fontId="11" fillId="0" borderId="0" xfId="0" applyFont="1" applyFill="1" applyBorder="1"/>
    <xf numFmtId="0" fontId="11" fillId="0" borderId="0" xfId="0" applyFont="1" applyFill="1" applyBorder="1" applyAlignment="1">
      <alignment horizontal="center"/>
    </xf>
    <xf numFmtId="37" fontId="12" fillId="0" borderId="3" xfId="0" applyNumberFormat="1" applyFont="1" applyFill="1" applyBorder="1" applyProtection="1"/>
    <xf numFmtId="37" fontId="12" fillId="0" borderId="0" xfId="0" applyNumberFormat="1" applyFont="1" applyFill="1" applyBorder="1" applyProtection="1"/>
    <xf numFmtId="37" fontId="12" fillId="0" borderId="7" xfId="0" applyNumberFormat="1" applyFont="1" applyFill="1" applyBorder="1" applyProtection="1"/>
    <xf numFmtId="37" fontId="12" fillId="0" borderId="2" xfId="0" applyNumberFormat="1" applyFont="1" applyFill="1" applyBorder="1" applyProtection="1"/>
    <xf numFmtId="0" fontId="6" fillId="0" borderId="23" xfId="0" applyFont="1" applyFill="1" applyBorder="1" applyAlignment="1">
      <alignment horizontal="center"/>
    </xf>
    <xf numFmtId="37" fontId="12" fillId="0" borderId="1" xfId="0" applyNumberFormat="1" applyFont="1" applyFill="1" applyBorder="1" applyProtection="1"/>
    <xf numFmtId="37" fontId="12" fillId="0" borderId="24" xfId="0" applyNumberFormat="1" applyFont="1" applyFill="1" applyBorder="1" applyProtection="1"/>
    <xf numFmtId="0" fontId="0" fillId="0" borderId="23" xfId="0" applyFill="1" applyBorder="1"/>
    <xf numFmtId="0" fontId="10" fillId="0" borderId="0" xfId="0" applyFont="1" applyFill="1" applyBorder="1"/>
    <xf numFmtId="0" fontId="17" fillId="0" borderId="26" xfId="0" applyFont="1" applyFill="1" applyBorder="1" applyAlignment="1">
      <alignment horizontal="right"/>
    </xf>
    <xf numFmtId="43" fontId="12" fillId="0" borderId="0" xfId="1" applyNumberFormat="1" applyFont="1" applyFill="1" applyBorder="1"/>
    <xf numFmtId="43" fontId="12" fillId="0" borderId="23" xfId="1" applyNumberFormat="1" applyFont="1" applyFill="1" applyBorder="1"/>
    <xf numFmtId="0" fontId="0" fillId="0" borderId="8" xfId="0" applyFill="1" applyBorder="1"/>
    <xf numFmtId="0" fontId="13" fillId="0" borderId="0" xfId="0" applyFont="1" applyFill="1"/>
    <xf numFmtId="0" fontId="6" fillId="0" borderId="27" xfId="0" applyFont="1" applyFill="1" applyBorder="1" applyAlignment="1">
      <alignment horizontal="center"/>
    </xf>
    <xf numFmtId="0" fontId="6" fillId="0" borderId="20" xfId="0" applyFont="1" applyFill="1" applyBorder="1" applyAlignment="1">
      <alignment horizontal="center"/>
    </xf>
    <xf numFmtId="0" fontId="6" fillId="0" borderId="28" xfId="0" applyFont="1" applyFill="1" applyBorder="1" applyAlignment="1">
      <alignment horizontal="center"/>
    </xf>
    <xf numFmtId="0" fontId="6" fillId="0" borderId="1" xfId="0" applyFont="1" applyFill="1" applyBorder="1"/>
    <xf numFmtId="0" fontId="6" fillId="0" borderId="29" xfId="0" applyFont="1" applyFill="1" applyBorder="1" applyAlignment="1">
      <alignment horizontal="center"/>
    </xf>
    <xf numFmtId="0" fontId="6" fillId="0" borderId="30" xfId="0" applyFont="1" applyFill="1" applyBorder="1" applyAlignment="1">
      <alignment horizontal="center"/>
    </xf>
    <xf numFmtId="0" fontId="7" fillId="0" borderId="3" xfId="0" applyFont="1" applyFill="1" applyBorder="1"/>
    <xf numFmtId="0" fontId="7" fillId="0" borderId="0" xfId="0" applyFont="1" applyFill="1" applyBorder="1" applyAlignment="1">
      <alignment horizontal="right"/>
    </xf>
    <xf numFmtId="168" fontId="7" fillId="0" borderId="0" xfId="1" applyNumberFormat="1" applyFont="1" applyFill="1" applyBorder="1" applyAlignment="1">
      <alignment horizontal="right"/>
    </xf>
    <xf numFmtId="168" fontId="7" fillId="0" borderId="8" xfId="1" applyNumberFormat="1" applyFont="1" applyFill="1" applyBorder="1" applyAlignment="1">
      <alignment horizontal="right"/>
    </xf>
    <xf numFmtId="0" fontId="7" fillId="0" borderId="3" xfId="0" applyFont="1" applyFill="1" applyBorder="1" applyAlignment="1">
      <alignment horizontal="right"/>
    </xf>
    <xf numFmtId="0" fontId="7" fillId="0" borderId="8" xfId="0" applyFont="1" applyFill="1" applyBorder="1" applyAlignment="1">
      <alignment horizontal="right"/>
    </xf>
    <xf numFmtId="0" fontId="6" fillId="0" borderId="31" xfId="0" applyFont="1" applyFill="1" applyBorder="1" applyAlignment="1">
      <alignment horizontal="left"/>
    </xf>
    <xf numFmtId="40" fontId="7" fillId="0" borderId="3" xfId="0" applyNumberFormat="1" applyFont="1" applyFill="1" applyBorder="1" applyAlignment="1" applyProtection="1">
      <alignment horizontal="right"/>
    </xf>
    <xf numFmtId="40" fontId="7" fillId="0" borderId="0" xfId="0" applyNumberFormat="1" applyFont="1" applyFill="1" applyBorder="1" applyAlignment="1" applyProtection="1">
      <alignment horizontal="right"/>
    </xf>
    <xf numFmtId="37" fontId="7" fillId="0" borderId="0" xfId="0" applyNumberFormat="1" applyFont="1" applyFill="1" applyBorder="1" applyAlignment="1" applyProtection="1">
      <alignment horizontal="right"/>
    </xf>
    <xf numFmtId="40" fontId="7" fillId="0" borderId="0" xfId="1" applyNumberFormat="1" applyFont="1" applyFill="1" applyBorder="1" applyAlignment="1" applyProtection="1">
      <alignment horizontal="right"/>
    </xf>
    <xf numFmtId="37" fontId="7" fillId="0" borderId="8" xfId="0" applyNumberFormat="1" applyFont="1" applyFill="1" applyBorder="1" applyAlignment="1" applyProtection="1">
      <alignment horizontal="right"/>
    </xf>
    <xf numFmtId="2" fontId="7" fillId="0" borderId="0" xfId="0" applyNumberFormat="1" applyFont="1" applyFill="1" applyBorder="1" applyAlignment="1" applyProtection="1">
      <alignment horizontal="right"/>
    </xf>
    <xf numFmtId="3" fontId="7" fillId="0" borderId="3" xfId="0" applyNumberFormat="1" applyFont="1" applyFill="1" applyBorder="1" applyAlignment="1" applyProtection="1">
      <alignment horizontal="right"/>
    </xf>
    <xf numFmtId="3" fontId="7" fillId="0" borderId="0" xfId="0" applyNumberFormat="1" applyFont="1" applyFill="1" applyBorder="1" applyAlignment="1" applyProtection="1">
      <alignment horizontal="right"/>
    </xf>
    <xf numFmtId="3" fontId="7" fillId="0" borderId="3" xfId="0" applyNumberFormat="1" applyFont="1" applyFill="1" applyBorder="1" applyAlignment="1">
      <alignment horizontal="right"/>
    </xf>
    <xf numFmtId="3" fontId="7" fillId="0" borderId="0" xfId="0" applyNumberFormat="1" applyFont="1" applyFill="1" applyBorder="1" applyAlignment="1">
      <alignment horizontal="right"/>
    </xf>
    <xf numFmtId="40" fontId="7" fillId="0" borderId="2" xfId="1" applyNumberFormat="1" applyFont="1" applyFill="1" applyBorder="1" applyAlignment="1" applyProtection="1">
      <alignment horizontal="right"/>
    </xf>
    <xf numFmtId="37" fontId="7" fillId="0" borderId="2" xfId="0" applyNumberFormat="1" applyFont="1" applyFill="1" applyBorder="1" applyAlignment="1" applyProtection="1">
      <alignment horizontal="right"/>
    </xf>
    <xf numFmtId="37" fontId="7" fillId="0" borderId="32" xfId="0" applyNumberFormat="1" applyFont="1" applyFill="1" applyBorder="1" applyAlignment="1" applyProtection="1">
      <alignment horizontal="right"/>
    </xf>
    <xf numFmtId="40" fontId="6" fillId="0" borderId="11" xfId="1" applyNumberFormat="1" applyFont="1" applyFill="1" applyBorder="1" applyAlignment="1" applyProtection="1">
      <alignment horizontal="right"/>
    </xf>
    <xf numFmtId="38" fontId="6" fillId="0" borderId="11" xfId="1" applyNumberFormat="1" applyFont="1" applyFill="1" applyBorder="1" applyAlignment="1" applyProtection="1">
      <alignment horizontal="right"/>
    </xf>
    <xf numFmtId="38" fontId="6" fillId="0" borderId="19" xfId="1" applyNumberFormat="1" applyFont="1" applyFill="1" applyBorder="1" applyAlignment="1" applyProtection="1">
      <alignment horizontal="right"/>
    </xf>
    <xf numFmtId="37" fontId="7" fillId="0" borderId="3" xfId="0" applyNumberFormat="1" applyFont="1" applyFill="1" applyBorder="1" applyAlignment="1" applyProtection="1">
      <alignment horizontal="right"/>
    </xf>
    <xf numFmtId="166" fontId="7" fillId="0" borderId="0" xfId="1" applyNumberFormat="1" applyFont="1" applyFill="1" applyBorder="1" applyAlignment="1">
      <alignment horizontal="right"/>
    </xf>
    <xf numFmtId="40" fontId="7" fillId="0" borderId="3" xfId="1" applyNumberFormat="1" applyFont="1" applyFill="1" applyBorder="1" applyAlignment="1" applyProtection="1">
      <alignment horizontal="right"/>
    </xf>
    <xf numFmtId="166" fontId="7" fillId="0" borderId="0" xfId="1" applyNumberFormat="1" applyFont="1" applyFill="1" applyBorder="1" applyAlignment="1" applyProtection="1">
      <alignment horizontal="right"/>
    </xf>
    <xf numFmtId="38" fontId="7" fillId="0" borderId="3" xfId="0" applyNumberFormat="1" applyFont="1" applyFill="1" applyBorder="1" applyAlignment="1">
      <alignment horizontal="right"/>
    </xf>
    <xf numFmtId="38" fontId="7" fillId="0" borderId="0" xfId="0" applyNumberFormat="1" applyFont="1" applyFill="1" applyBorder="1" applyAlignment="1">
      <alignment horizontal="right"/>
    </xf>
    <xf numFmtId="38" fontId="7" fillId="0" borderId="0" xfId="1" applyNumberFormat="1" applyFont="1" applyFill="1" applyBorder="1" applyAlignment="1" applyProtection="1">
      <alignment horizontal="right"/>
    </xf>
    <xf numFmtId="38" fontId="7" fillId="0" borderId="8" xfId="1" applyNumberFormat="1" applyFont="1" applyFill="1" applyBorder="1" applyAlignment="1" applyProtection="1">
      <alignment horizontal="right"/>
    </xf>
    <xf numFmtId="0" fontId="6" fillId="0" borderId="33" xfId="0" applyFont="1" applyFill="1" applyBorder="1" applyAlignment="1">
      <alignment horizontal="left"/>
    </xf>
    <xf numFmtId="181" fontId="7" fillId="0" borderId="3" xfId="3" applyNumberFormat="1" applyFont="1" applyFill="1" applyBorder="1" applyAlignment="1" applyProtection="1">
      <alignment horizontal="right"/>
    </xf>
    <xf numFmtId="181" fontId="7" fillId="0" borderId="3" xfId="0" applyNumberFormat="1" applyFont="1" applyFill="1" applyBorder="1" applyAlignment="1">
      <alignment horizontal="right"/>
    </xf>
    <xf numFmtId="181" fontId="7" fillId="0" borderId="0" xfId="0" applyNumberFormat="1" applyFont="1" applyFill="1" applyBorder="1" applyAlignment="1">
      <alignment horizontal="right"/>
    </xf>
    <xf numFmtId="0" fontId="6" fillId="0" borderId="6" xfId="0" applyFont="1" applyFill="1" applyBorder="1" applyAlignment="1">
      <alignment horizontal="left"/>
    </xf>
    <xf numFmtId="0" fontId="7" fillId="0" borderId="6" xfId="0" applyFont="1" applyFill="1" applyBorder="1" applyAlignment="1">
      <alignment horizontal="right"/>
    </xf>
    <xf numFmtId="0" fontId="7" fillId="0" borderId="20" xfId="0" applyFont="1" applyFill="1" applyBorder="1" applyAlignment="1">
      <alignment horizontal="right"/>
    </xf>
    <xf numFmtId="0" fontId="7" fillId="0" borderId="28" xfId="0" applyFont="1" applyFill="1" applyBorder="1" applyAlignment="1">
      <alignment horizontal="right"/>
    </xf>
    <xf numFmtId="0" fontId="7" fillId="0" borderId="1" xfId="0" applyFont="1" applyFill="1" applyBorder="1" applyAlignment="1">
      <alignment horizontal="right"/>
    </xf>
    <xf numFmtId="0" fontId="7" fillId="0" borderId="23" xfId="0" applyFont="1" applyFill="1" applyBorder="1" applyAlignment="1">
      <alignment horizontal="right"/>
    </xf>
    <xf numFmtId="164" fontId="6" fillId="0" borderId="23" xfId="0" applyNumberFormat="1" applyFont="1" applyFill="1" applyBorder="1" applyAlignment="1" applyProtection="1">
      <alignment horizontal="right"/>
    </xf>
    <xf numFmtId="37" fontId="6" fillId="0" borderId="23" xfId="0" applyNumberFormat="1" applyFont="1" applyFill="1" applyBorder="1" applyAlignment="1" applyProtection="1">
      <alignment horizontal="right"/>
    </xf>
    <xf numFmtId="37" fontId="6" fillId="0" borderId="30" xfId="0" applyNumberFormat="1" applyFont="1" applyFill="1" applyBorder="1" applyAlignment="1" applyProtection="1">
      <alignment horizontal="right"/>
    </xf>
    <xf numFmtId="0" fontId="6" fillId="0" borderId="23" xfId="0" applyFont="1" applyFill="1" applyBorder="1" applyAlignment="1">
      <alignment horizontal="right"/>
    </xf>
    <xf numFmtId="181" fontId="6" fillId="0" borderId="23" xfId="0" applyNumberFormat="1" applyFont="1" applyFill="1" applyBorder="1" applyAlignment="1" applyProtection="1">
      <alignment horizontal="right"/>
    </xf>
    <xf numFmtId="181" fontId="6" fillId="0" borderId="30" xfId="0" applyNumberFormat="1" applyFont="1" applyFill="1" applyBorder="1" applyAlignment="1" applyProtection="1">
      <alignment horizontal="right"/>
    </xf>
    <xf numFmtId="0" fontId="6" fillId="0" borderId="0" xfId="0" applyFont="1" applyFill="1"/>
    <xf numFmtId="0" fontId="6" fillId="0" borderId="17" xfId="0" applyFont="1" applyFill="1" applyBorder="1"/>
    <xf numFmtId="0" fontId="6" fillId="0" borderId="34" xfId="0" applyFont="1" applyFill="1" applyBorder="1" applyAlignment="1">
      <alignment horizontal="left"/>
    </xf>
    <xf numFmtId="39" fontId="7" fillId="0" borderId="0" xfId="0" applyNumberFormat="1" applyFont="1" applyFill="1" applyBorder="1" applyAlignment="1" applyProtection="1">
      <alignment horizontal="right"/>
    </xf>
    <xf numFmtId="39" fontId="7" fillId="0" borderId="0" xfId="1" applyNumberFormat="1" applyFont="1" applyFill="1" applyBorder="1" applyAlignment="1" applyProtection="1">
      <alignment horizontal="right"/>
    </xf>
    <xf numFmtId="39" fontId="7" fillId="0" borderId="2" xfId="1" applyNumberFormat="1" applyFont="1" applyFill="1" applyBorder="1" applyAlignment="1" applyProtection="1">
      <alignment horizontal="right"/>
    </xf>
    <xf numFmtId="39" fontId="6" fillId="0" borderId="11" xfId="1" applyNumberFormat="1" applyFont="1" applyFill="1" applyBorder="1" applyAlignment="1" applyProtection="1">
      <alignment horizontal="right"/>
    </xf>
    <xf numFmtId="0" fontId="14" fillId="0" borderId="17" xfId="0" applyFont="1" applyFill="1" applyBorder="1"/>
    <xf numFmtId="37" fontId="7" fillId="0" borderId="0" xfId="0" applyNumberFormat="1" applyFont="1" applyFill="1" applyBorder="1" applyAlignment="1">
      <alignment horizontal="right"/>
    </xf>
    <xf numFmtId="39" fontId="7" fillId="0" borderId="0" xfId="0" applyNumberFormat="1" applyFont="1" applyFill="1" applyBorder="1" applyAlignment="1">
      <alignment horizontal="right"/>
    </xf>
    <xf numFmtId="166" fontId="6" fillId="0" borderId="11" xfId="1" applyNumberFormat="1" applyFont="1" applyFill="1" applyBorder="1" applyAlignment="1" applyProtection="1">
      <alignment horizontal="right"/>
    </xf>
    <xf numFmtId="166" fontId="6" fillId="0" borderId="19" xfId="1" applyNumberFormat="1" applyFont="1" applyFill="1" applyBorder="1" applyAlignment="1" applyProtection="1">
      <alignment horizontal="right"/>
    </xf>
    <xf numFmtId="38" fontId="5" fillId="0" borderId="0" xfId="0" applyNumberFormat="1" applyFont="1" applyFill="1" applyBorder="1" applyAlignment="1">
      <alignment horizontal="right"/>
    </xf>
    <xf numFmtId="0" fontId="5" fillId="0" borderId="0" xfId="0" applyFont="1" applyFill="1" applyBorder="1" applyAlignment="1">
      <alignment horizontal="right"/>
    </xf>
    <xf numFmtId="166" fontId="5" fillId="0" borderId="0" xfId="1" applyNumberFormat="1" applyFont="1" applyFill="1" applyBorder="1" applyAlignment="1" applyProtection="1">
      <alignment horizontal="right"/>
    </xf>
    <xf numFmtId="38" fontId="5" fillId="0" borderId="0" xfId="1" applyNumberFormat="1" applyFont="1" applyFill="1" applyBorder="1" applyAlignment="1" applyProtection="1">
      <alignment horizontal="right"/>
    </xf>
    <xf numFmtId="38" fontId="5" fillId="0" borderId="35" xfId="1" applyNumberFormat="1" applyFont="1" applyFill="1" applyBorder="1" applyAlignment="1" applyProtection="1">
      <alignment horizontal="right"/>
    </xf>
    <xf numFmtId="38" fontId="5" fillId="0" borderId="8" xfId="1" applyNumberFormat="1" applyFont="1" applyFill="1" applyBorder="1" applyAlignment="1" applyProtection="1">
      <alignment horizontal="right"/>
    </xf>
    <xf numFmtId="181" fontId="5" fillId="0" borderId="0" xfId="3" applyNumberFormat="1" applyFont="1" applyFill="1" applyBorder="1" applyAlignment="1" applyProtection="1">
      <alignment horizontal="right"/>
    </xf>
    <xf numFmtId="0" fontId="8" fillId="0" borderId="0" xfId="0" applyFont="1" applyFill="1" applyBorder="1"/>
    <xf numFmtId="0" fontId="6" fillId="0" borderId="36" xfId="0" applyFont="1" applyFill="1" applyBorder="1" applyAlignment="1">
      <alignment horizontal="left"/>
    </xf>
    <xf numFmtId="0" fontId="6" fillId="0" borderId="37" xfId="0" applyFont="1" applyFill="1" applyBorder="1" applyAlignment="1">
      <alignment horizontal="left"/>
    </xf>
    <xf numFmtId="0" fontId="6" fillId="0" borderId="0" xfId="0" applyFont="1" applyFill="1" applyBorder="1" applyAlignment="1">
      <alignment horizontal="right"/>
    </xf>
    <xf numFmtId="181" fontId="6" fillId="0" borderId="0" xfId="0" applyNumberFormat="1" applyFont="1" applyFill="1" applyBorder="1" applyAlignment="1" applyProtection="1">
      <alignment horizontal="right"/>
    </xf>
    <xf numFmtId="181" fontId="6" fillId="0" borderId="8" xfId="0" applyNumberFormat="1" applyFont="1" applyFill="1" applyBorder="1" applyAlignment="1" applyProtection="1">
      <alignment horizontal="right"/>
    </xf>
    <xf numFmtId="0" fontId="6" fillId="0" borderId="38" xfId="0" applyFont="1" applyFill="1" applyBorder="1" applyAlignment="1">
      <alignment horizontal="center"/>
    </xf>
    <xf numFmtId="0" fontId="6" fillId="0" borderId="12" xfId="0" applyFont="1" applyFill="1" applyBorder="1" applyAlignment="1">
      <alignment horizontal="center"/>
    </xf>
    <xf numFmtId="0" fontId="6" fillId="0" borderId="13" xfId="0" applyFont="1" applyFill="1" applyBorder="1" applyAlignment="1">
      <alignment horizontal="center"/>
    </xf>
    <xf numFmtId="0" fontId="8" fillId="0" borderId="8" xfId="0" applyFont="1" applyFill="1" applyBorder="1" applyAlignment="1">
      <alignment horizontal="right"/>
    </xf>
    <xf numFmtId="0" fontId="6" fillId="0" borderId="31" xfId="0" applyFont="1" applyFill="1" applyBorder="1" applyAlignment="1">
      <alignment horizontal="center"/>
    </xf>
    <xf numFmtId="0" fontId="6" fillId="0" borderId="2" xfId="0" applyFont="1" applyFill="1" applyBorder="1" applyAlignment="1">
      <alignment horizontal="center"/>
    </xf>
    <xf numFmtId="0" fontId="6" fillId="0" borderId="9" xfId="0" applyFont="1" applyFill="1" applyBorder="1" applyAlignment="1">
      <alignment horizontal="center"/>
    </xf>
    <xf numFmtId="38" fontId="7" fillId="0" borderId="0" xfId="1" applyNumberFormat="1" applyFont="1" applyFill="1" applyBorder="1" applyAlignment="1">
      <alignment horizontal="right"/>
    </xf>
    <xf numFmtId="0" fontId="6" fillId="0" borderId="36" xfId="0" applyFont="1" applyFill="1" applyBorder="1"/>
    <xf numFmtId="38" fontId="7" fillId="0" borderId="20" xfId="1" applyNumberFormat="1" applyFont="1" applyFill="1" applyBorder="1" applyAlignment="1">
      <alignment horizontal="right"/>
    </xf>
    <xf numFmtId="38" fontId="7" fillId="0" borderId="20" xfId="0" applyNumberFormat="1" applyFont="1" applyFill="1" applyBorder="1" applyAlignment="1">
      <alignment horizontal="right"/>
    </xf>
    <xf numFmtId="0" fontId="8" fillId="0" borderId="28" xfId="0" applyFont="1" applyFill="1" applyBorder="1" applyAlignment="1">
      <alignment horizontal="right"/>
    </xf>
    <xf numFmtId="0" fontId="6" fillId="0" borderId="37" xfId="0" applyFont="1" applyFill="1" applyBorder="1"/>
    <xf numFmtId="38" fontId="6" fillId="0" borderId="23" xfId="1" applyNumberFormat="1" applyFont="1" applyFill="1" applyBorder="1" applyAlignment="1">
      <alignment horizontal="right"/>
    </xf>
    <xf numFmtId="38" fontId="6" fillId="0" borderId="23" xfId="0" applyNumberFormat="1" applyFont="1" applyFill="1" applyBorder="1" applyAlignment="1">
      <alignment horizontal="right"/>
    </xf>
    <xf numFmtId="0" fontId="8" fillId="0" borderId="30" xfId="0" applyFont="1" applyFill="1" applyBorder="1" applyAlignment="1">
      <alignment horizontal="right"/>
    </xf>
    <xf numFmtId="0" fontId="6" fillId="0" borderId="0" xfId="0" applyFont="1" applyFill="1" applyAlignment="1">
      <alignment wrapText="1"/>
    </xf>
    <xf numFmtId="168" fontId="7" fillId="0" borderId="0" xfId="1" applyNumberFormat="1" applyFont="1" applyFill="1" applyBorder="1"/>
    <xf numFmtId="168" fontId="7" fillId="0" borderId="0" xfId="0" applyNumberFormat="1" applyFont="1" applyFill="1" applyBorder="1"/>
    <xf numFmtId="39" fontId="6" fillId="0" borderId="2" xfId="1" applyNumberFormat="1" applyFont="1" applyFill="1" applyBorder="1" applyAlignment="1" applyProtection="1">
      <alignment horizontal="right"/>
    </xf>
    <xf numFmtId="38" fontId="6" fillId="0" borderId="2" xfId="1" applyNumberFormat="1" applyFont="1" applyFill="1" applyBorder="1" applyAlignment="1" applyProtection="1">
      <alignment horizontal="right"/>
    </xf>
    <xf numFmtId="38" fontId="6" fillId="0" borderId="32" xfId="1" applyNumberFormat="1" applyFont="1" applyFill="1" applyBorder="1" applyAlignment="1" applyProtection="1">
      <alignment horizontal="right"/>
    </xf>
    <xf numFmtId="0" fontId="9" fillId="0" borderId="17" xfId="0" applyFont="1" applyFill="1" applyBorder="1" applyAlignment="1">
      <alignment horizontal="left"/>
    </xf>
    <xf numFmtId="0" fontId="6" fillId="0" borderId="20" xfId="0" applyFont="1" applyFill="1" applyBorder="1" applyAlignment="1">
      <alignment horizontal="right"/>
    </xf>
    <xf numFmtId="0" fontId="6" fillId="0" borderId="28" xfId="0" applyFont="1" applyFill="1" applyBorder="1" applyAlignment="1">
      <alignment horizontal="right"/>
    </xf>
    <xf numFmtId="181" fontId="7" fillId="0" borderId="0" xfId="0" applyNumberFormat="1" applyFont="1" applyFill="1" applyBorder="1" applyAlignment="1" applyProtection="1">
      <alignment horizontal="right"/>
    </xf>
    <xf numFmtId="181" fontId="7" fillId="0" borderId="8" xfId="0" applyNumberFormat="1" applyFont="1" applyFill="1" applyBorder="1" applyAlignment="1" applyProtection="1">
      <alignment horizontal="right"/>
    </xf>
    <xf numFmtId="0" fontId="7" fillId="0" borderId="38" xfId="0" applyFont="1" applyFill="1" applyBorder="1" applyAlignment="1">
      <alignment horizontal="center"/>
    </xf>
    <xf numFmtId="0" fontId="7" fillId="0" borderId="12" xfId="0" applyFont="1" applyFill="1" applyBorder="1" applyAlignment="1">
      <alignment horizontal="center"/>
    </xf>
    <xf numFmtId="0" fontId="7" fillId="0" borderId="13" xfId="0" applyFont="1" applyFill="1" applyBorder="1" applyAlignment="1">
      <alignment horizontal="center"/>
    </xf>
    <xf numFmtId="0" fontId="7" fillId="0" borderId="31" xfId="0" applyFont="1" applyFill="1" applyBorder="1" applyAlignment="1">
      <alignment horizontal="center"/>
    </xf>
    <xf numFmtId="0" fontId="7" fillId="0" borderId="2" xfId="0" applyFont="1" applyFill="1" applyBorder="1" applyAlignment="1">
      <alignment horizontal="center"/>
    </xf>
    <xf numFmtId="0" fontId="7" fillId="0" borderId="9" xfId="0" applyFont="1" applyFill="1" applyBorder="1" applyAlignment="1">
      <alignment horizontal="center"/>
    </xf>
    <xf numFmtId="38" fontId="6" fillId="0" borderId="20" xfId="1" applyNumberFormat="1" applyFont="1" applyFill="1" applyBorder="1" applyAlignment="1">
      <alignment horizontal="right"/>
    </xf>
    <xf numFmtId="38" fontId="6" fillId="0" borderId="20" xfId="0" applyNumberFormat="1" applyFont="1" applyFill="1" applyBorder="1" applyAlignment="1">
      <alignment horizontal="right"/>
    </xf>
    <xf numFmtId="0" fontId="14" fillId="0" borderId="28" xfId="0" applyFont="1" applyFill="1" applyBorder="1" applyAlignment="1">
      <alignment horizontal="right"/>
    </xf>
    <xf numFmtId="0" fontId="14" fillId="0" borderId="30" xfId="0" applyFont="1" applyFill="1" applyBorder="1" applyAlignment="1">
      <alignment horizontal="right"/>
    </xf>
    <xf numFmtId="0" fontId="6" fillId="0" borderId="39" xfId="0" applyFont="1" applyFill="1" applyBorder="1" applyAlignment="1">
      <alignment horizontal="center"/>
    </xf>
    <xf numFmtId="0" fontId="6" fillId="0" borderId="5" xfId="0" applyFont="1" applyFill="1" applyBorder="1" applyAlignment="1">
      <alignment horizontal="center"/>
    </xf>
    <xf numFmtId="0" fontId="6" fillId="0" borderId="2" xfId="0" applyFont="1" applyFill="1" applyBorder="1" applyAlignment="1">
      <alignment horizontal="left"/>
    </xf>
    <xf numFmtId="169" fontId="7" fillId="0" borderId="0" xfId="1" applyNumberFormat="1" applyFont="1" applyFill="1" applyBorder="1" applyAlignment="1">
      <alignment horizontal="right"/>
    </xf>
    <xf numFmtId="0" fontId="7" fillId="0" borderId="0" xfId="0" applyFont="1" applyFill="1" applyAlignment="1">
      <alignment horizontal="right"/>
    </xf>
    <xf numFmtId="39" fontId="7" fillId="0" borderId="0" xfId="0" applyNumberFormat="1" applyFont="1" applyFill="1" applyAlignment="1" applyProtection="1">
      <alignment horizontal="right"/>
    </xf>
    <xf numFmtId="2" fontId="7" fillId="0" borderId="0" xfId="0" applyNumberFormat="1" applyFont="1" applyFill="1" applyAlignment="1" applyProtection="1">
      <alignment horizontal="right"/>
    </xf>
    <xf numFmtId="37" fontId="7" fillId="0" borderId="0" xfId="0" applyNumberFormat="1" applyFont="1" applyFill="1" applyAlignment="1" applyProtection="1">
      <alignment horizontal="right"/>
    </xf>
    <xf numFmtId="39" fontId="7" fillId="0" borderId="0" xfId="1" applyNumberFormat="1" applyFont="1" applyFill="1" applyAlignment="1" applyProtection="1">
      <alignment horizontal="right"/>
    </xf>
    <xf numFmtId="3" fontId="7" fillId="0" borderId="0" xfId="0" applyNumberFormat="1" applyFont="1" applyFill="1" applyAlignment="1">
      <alignment horizontal="right"/>
    </xf>
    <xf numFmtId="3" fontId="7" fillId="0" borderId="0" xfId="0" applyNumberFormat="1" applyFont="1" applyFill="1" applyAlignment="1" applyProtection="1">
      <alignment horizontal="right"/>
    </xf>
    <xf numFmtId="166" fontId="7" fillId="0" borderId="0" xfId="1" applyNumberFormat="1" applyFont="1" applyFill="1" applyAlignment="1">
      <alignment horizontal="right"/>
    </xf>
    <xf numFmtId="39" fontId="7" fillId="0" borderId="0" xfId="0" applyNumberFormat="1" applyFont="1" applyFill="1" applyAlignment="1">
      <alignment horizontal="right"/>
    </xf>
    <xf numFmtId="0" fontId="9" fillId="0" borderId="0" xfId="0" applyFont="1" applyFill="1" applyAlignment="1">
      <alignment horizontal="left"/>
    </xf>
    <xf numFmtId="0" fontId="5" fillId="0" borderId="0" xfId="0" applyFont="1" applyFill="1" applyAlignment="1">
      <alignment horizontal="right"/>
    </xf>
    <xf numFmtId="181" fontId="5" fillId="0" borderId="0" xfId="3" applyNumberFormat="1" applyFont="1" applyFill="1" applyAlignment="1" applyProtection="1">
      <alignment horizontal="right"/>
    </xf>
    <xf numFmtId="37" fontId="6" fillId="0" borderId="12" xfId="0" applyNumberFormat="1" applyFont="1" applyFill="1" applyBorder="1" applyAlignment="1" applyProtection="1">
      <alignment horizontal="right"/>
    </xf>
    <xf numFmtId="0" fontId="6" fillId="0" borderId="12" xfId="0" applyFont="1" applyFill="1" applyBorder="1" applyAlignment="1">
      <alignment horizontal="right"/>
    </xf>
    <xf numFmtId="0" fontId="6" fillId="0" borderId="13" xfId="0" applyFont="1" applyFill="1" applyBorder="1" applyAlignment="1">
      <alignment horizontal="right"/>
    </xf>
    <xf numFmtId="0" fontId="6" fillId="0" borderId="2" xfId="0" applyFont="1" applyFill="1" applyBorder="1" applyAlignment="1">
      <alignment horizontal="right"/>
    </xf>
    <xf numFmtId="164" fontId="6" fillId="0" borderId="2" xfId="0" applyNumberFormat="1" applyFont="1" applyFill="1" applyBorder="1" applyAlignment="1" applyProtection="1">
      <alignment horizontal="right"/>
    </xf>
    <xf numFmtId="37" fontId="6" fillId="0" borderId="2" xfId="0" applyNumberFormat="1" applyFont="1" applyFill="1" applyBorder="1" applyAlignment="1" applyProtection="1">
      <alignment horizontal="right"/>
    </xf>
    <xf numFmtId="37" fontId="6" fillId="0" borderId="9" xfId="0" applyNumberFormat="1" applyFont="1" applyFill="1" applyBorder="1" applyAlignment="1" applyProtection="1">
      <alignment horizontal="right"/>
    </xf>
    <xf numFmtId="0" fontId="6" fillId="0" borderId="0" xfId="0" applyFont="1" applyFill="1" applyAlignment="1">
      <alignment horizontal="right"/>
    </xf>
    <xf numFmtId="10" fontId="7" fillId="0" borderId="0" xfId="0" applyNumberFormat="1" applyFont="1" applyFill="1" applyAlignment="1" applyProtection="1">
      <alignment horizontal="right"/>
    </xf>
    <xf numFmtId="0" fontId="6" fillId="0" borderId="4" xfId="0" applyFont="1" applyFill="1" applyBorder="1" applyAlignment="1">
      <alignment horizontal="center"/>
    </xf>
    <xf numFmtId="0" fontId="8" fillId="0" borderId="0" xfId="0" applyFont="1" applyFill="1" applyAlignment="1">
      <alignment horizontal="right"/>
    </xf>
    <xf numFmtId="38" fontId="7" fillId="0" borderId="0" xfId="1" applyNumberFormat="1" applyFont="1" applyFill="1" applyAlignment="1">
      <alignment horizontal="right"/>
    </xf>
    <xf numFmtId="38" fontId="6" fillId="0" borderId="0" xfId="1" applyNumberFormat="1" applyFont="1" applyFill="1" applyAlignment="1">
      <alignment horizontal="right"/>
    </xf>
    <xf numFmtId="38" fontId="6" fillId="0" borderId="0" xfId="0" applyNumberFormat="1" applyFont="1" applyFill="1" applyAlignment="1">
      <alignment horizontal="right"/>
    </xf>
    <xf numFmtId="38" fontId="7" fillId="0" borderId="2" xfId="1" applyNumberFormat="1" applyFont="1" applyFill="1" applyBorder="1" applyAlignment="1">
      <alignment horizontal="right"/>
    </xf>
    <xf numFmtId="38" fontId="6" fillId="0" borderId="2" xfId="1" applyNumberFormat="1" applyFont="1" applyFill="1" applyBorder="1" applyAlignment="1">
      <alignment horizontal="right"/>
    </xf>
    <xf numFmtId="38" fontId="6" fillId="0" borderId="2" xfId="0" applyNumberFormat="1" applyFont="1" applyFill="1" applyBorder="1" applyAlignment="1">
      <alignment horizontal="right"/>
    </xf>
    <xf numFmtId="38" fontId="6" fillId="0" borderId="0" xfId="1" applyNumberFormat="1" applyFont="1" applyFill="1" applyBorder="1" applyAlignment="1">
      <alignment horizontal="right"/>
    </xf>
    <xf numFmtId="38" fontId="6" fillId="0" borderId="0" xfId="0" applyNumberFormat="1" applyFont="1" applyFill="1" applyBorder="1" applyAlignment="1">
      <alignment horizontal="right"/>
    </xf>
    <xf numFmtId="0" fontId="9" fillId="0" borderId="4" xfId="0" applyFont="1" applyFill="1" applyBorder="1" applyAlignment="1" applyProtection="1">
      <alignment horizontal="center"/>
      <protection locked="0"/>
    </xf>
    <xf numFmtId="0" fontId="9" fillId="0" borderId="12" xfId="0" applyFont="1" applyFill="1" applyBorder="1" applyAlignment="1" applyProtection="1">
      <alignment horizontal="center"/>
      <protection locked="0"/>
    </xf>
    <xf numFmtId="3" fontId="9" fillId="0" borderId="12" xfId="0" applyNumberFormat="1" applyFont="1" applyFill="1" applyBorder="1" applyAlignment="1" applyProtection="1">
      <alignment horizontal="center"/>
      <protection locked="0"/>
    </xf>
    <xf numFmtId="0" fontId="6" fillId="0" borderId="12" xfId="0" applyFont="1" applyFill="1" applyBorder="1" applyAlignment="1" applyProtection="1">
      <alignment horizontal="center"/>
      <protection locked="0"/>
    </xf>
    <xf numFmtId="0" fontId="9" fillId="0" borderId="12" xfId="0" applyFont="1" applyFill="1" applyBorder="1" applyAlignment="1">
      <alignment horizontal="center"/>
    </xf>
    <xf numFmtId="0" fontId="9" fillId="0" borderId="5" xfId="0" applyFont="1" applyFill="1" applyBorder="1" applyAlignment="1" applyProtection="1">
      <alignment horizontal="center"/>
      <protection locked="0"/>
    </xf>
    <xf numFmtId="0" fontId="9" fillId="0" borderId="2" xfId="0" applyFont="1" applyFill="1" applyBorder="1" applyAlignment="1" applyProtection="1">
      <alignment horizontal="center"/>
      <protection locked="0"/>
    </xf>
    <xf numFmtId="3" fontId="9" fillId="0" borderId="2" xfId="0" applyNumberFormat="1" applyFont="1" applyFill="1" applyBorder="1" applyAlignment="1" applyProtection="1">
      <alignment horizontal="center"/>
      <protection locked="0"/>
    </xf>
    <xf numFmtId="0" fontId="6" fillId="0" borderId="2" xfId="0" applyFont="1" applyFill="1" applyBorder="1" applyAlignment="1" applyProtection="1">
      <alignment horizontal="center"/>
      <protection locked="0"/>
    </xf>
    <xf numFmtId="0" fontId="9" fillId="0" borderId="2" xfId="0" applyFont="1" applyFill="1" applyBorder="1" applyAlignment="1">
      <alignment horizontal="center"/>
    </xf>
    <xf numFmtId="0" fontId="9" fillId="0" borderId="9" xfId="0" applyFont="1" applyFill="1" applyBorder="1" applyAlignment="1">
      <alignment horizontal="center"/>
    </xf>
    <xf numFmtId="0" fontId="7" fillId="0" borderId="0" xfId="0" applyFont="1" applyFill="1" applyBorder="1" applyAlignment="1">
      <alignment horizontal="left"/>
    </xf>
    <xf numFmtId="3" fontId="7" fillId="0" borderId="0" xfId="0" applyNumberFormat="1" applyFont="1" applyFill="1" applyBorder="1" applyProtection="1"/>
    <xf numFmtId="168" fontId="7" fillId="0" borderId="0" xfId="1" applyNumberFormat="1" applyFont="1" applyFill="1"/>
    <xf numFmtId="37" fontId="7" fillId="0" borderId="0" xfId="0" applyNumberFormat="1" applyFont="1" applyFill="1"/>
    <xf numFmtId="37" fontId="7" fillId="0" borderId="40" xfId="0" applyNumberFormat="1" applyFont="1" applyFill="1" applyBorder="1" applyProtection="1"/>
    <xf numFmtId="3" fontId="7" fillId="0" borderId="40" xfId="0" applyNumberFormat="1" applyFont="1" applyFill="1" applyBorder="1" applyProtection="1"/>
    <xf numFmtId="168" fontId="7" fillId="0" borderId="2" xfId="1" applyNumberFormat="1" applyFont="1" applyFill="1" applyBorder="1"/>
    <xf numFmtId="37" fontId="7" fillId="0" borderId="2" xfId="0" applyNumberFormat="1" applyFont="1" applyFill="1" applyBorder="1"/>
    <xf numFmtId="3" fontId="7" fillId="0" borderId="0" xfId="0" applyNumberFormat="1" applyFont="1" applyFill="1" applyBorder="1"/>
    <xf numFmtId="0" fontId="9" fillId="0" borderId="4" xfId="0" applyFont="1" applyFill="1" applyBorder="1" applyAlignment="1">
      <alignment horizontal="center"/>
    </xf>
    <xf numFmtId="3" fontId="9" fillId="0" borderId="12" xfId="0" applyNumberFormat="1" applyFont="1" applyFill="1" applyBorder="1" applyAlignment="1">
      <alignment horizontal="center"/>
    </xf>
    <xf numFmtId="0" fontId="9" fillId="0" borderId="0" xfId="0" applyFont="1" applyFill="1" applyAlignment="1">
      <alignment horizontal="center"/>
    </xf>
    <xf numFmtId="0" fontId="6" fillId="0" borderId="0" xfId="0" applyFont="1" applyFill="1" applyAlignment="1">
      <alignment horizontal="center"/>
    </xf>
    <xf numFmtId="0" fontId="9" fillId="0" borderId="5" xfId="0" applyFont="1" applyFill="1" applyBorder="1" applyAlignment="1">
      <alignment horizontal="center"/>
    </xf>
    <xf numFmtId="3" fontId="9" fillId="0" borderId="2" xfId="0" applyNumberFormat="1" applyFont="1" applyFill="1" applyBorder="1" applyAlignment="1">
      <alignment horizontal="center"/>
    </xf>
    <xf numFmtId="167" fontId="7" fillId="0" borderId="0" xfId="0" applyNumberFormat="1" applyFont="1" applyFill="1" applyBorder="1" applyProtection="1"/>
    <xf numFmtId="169" fontId="7" fillId="0" borderId="0" xfId="1" applyNumberFormat="1" applyFont="1" applyFill="1"/>
    <xf numFmtId="174" fontId="7" fillId="0" borderId="0" xfId="0" applyNumberFormat="1" applyFont="1" applyFill="1"/>
    <xf numFmtId="177" fontId="7" fillId="0" borderId="0" xfId="0" applyNumberFormat="1" applyFont="1" applyFill="1"/>
    <xf numFmtId="169" fontId="7" fillId="0" borderId="0" xfId="1" applyNumberFormat="1" applyFont="1" applyFill="1" applyBorder="1" applyProtection="1"/>
    <xf numFmtId="168" fontId="7" fillId="0" borderId="0" xfId="1" applyNumberFormat="1" applyFont="1" applyFill="1" applyBorder="1" applyProtection="1"/>
    <xf numFmtId="172" fontId="7" fillId="0" borderId="0" xfId="0" applyNumberFormat="1" applyFont="1" applyFill="1" applyBorder="1" applyProtection="1"/>
    <xf numFmtId="3" fontId="7" fillId="0" borderId="0" xfId="0" applyNumberFormat="1" applyFont="1" applyFill="1"/>
    <xf numFmtId="169" fontId="7" fillId="0" borderId="0" xfId="1" applyNumberFormat="1" applyFont="1" applyFill="1" applyBorder="1"/>
    <xf numFmtId="174" fontId="7" fillId="0" borderId="2" xfId="0" applyNumberFormat="1" applyFont="1" applyFill="1" applyBorder="1"/>
    <xf numFmtId="177" fontId="7" fillId="0" borderId="2" xfId="0" applyNumberFormat="1" applyFont="1" applyFill="1" applyBorder="1"/>
    <xf numFmtId="169" fontId="7" fillId="0" borderId="2" xfId="1" applyNumberFormat="1" applyFont="1" applyFill="1" applyBorder="1" applyProtection="1"/>
    <xf numFmtId="172" fontId="7" fillId="0" borderId="2" xfId="0" applyNumberFormat="1" applyFont="1" applyFill="1" applyBorder="1" applyProtection="1"/>
    <xf numFmtId="3" fontId="7" fillId="0" borderId="41" xfId="0" applyNumberFormat="1" applyFont="1" applyFill="1" applyBorder="1" applyProtection="1"/>
    <xf numFmtId="37" fontId="7" fillId="0" borderId="41" xfId="0" applyNumberFormat="1" applyFont="1" applyFill="1" applyBorder="1" applyProtection="1"/>
    <xf numFmtId="172" fontId="7" fillId="0" borderId="0" xfId="0" applyNumberFormat="1" applyFont="1" applyFill="1"/>
    <xf numFmtId="3" fontId="7" fillId="0" borderId="41" xfId="0" applyNumberFormat="1" applyFont="1" applyFill="1" applyBorder="1"/>
    <xf numFmtId="3" fontId="7" fillId="0" borderId="42" xfId="0" applyNumberFormat="1" applyFont="1" applyFill="1" applyBorder="1" applyProtection="1"/>
    <xf numFmtId="3" fontId="6" fillId="0" borderId="12" xfId="0" applyNumberFormat="1" applyFont="1" applyFill="1" applyBorder="1"/>
    <xf numFmtId="0" fontId="0" fillId="0" borderId="12" xfId="0" applyFill="1" applyBorder="1"/>
    <xf numFmtId="0" fontId="7" fillId="0" borderId="13" xfId="0" applyFont="1" applyFill="1" applyBorder="1"/>
    <xf numFmtId="3" fontId="6" fillId="0" borderId="2" xfId="0" applyNumberFormat="1" applyFont="1" applyFill="1" applyBorder="1"/>
    <xf numFmtId="0" fontId="0" fillId="0" borderId="2" xfId="0" applyFill="1" applyBorder="1"/>
    <xf numFmtId="0" fontId="7" fillId="0" borderId="9" xfId="0" applyFont="1" applyFill="1" applyBorder="1"/>
    <xf numFmtId="0" fontId="7" fillId="0" borderId="0" xfId="0" applyFont="1" applyFill="1" applyBorder="1" applyAlignment="1">
      <alignment horizontal="center"/>
    </xf>
    <xf numFmtId="0" fontId="6" fillId="0" borderId="43" xfId="0" applyFont="1" applyFill="1" applyBorder="1" applyAlignment="1">
      <alignment horizontal="center"/>
    </xf>
    <xf numFmtId="3" fontId="6" fillId="0" borderId="44" xfId="0" applyNumberFormat="1" applyFont="1" applyFill="1" applyBorder="1" applyAlignment="1">
      <alignment horizontal="center"/>
    </xf>
    <xf numFmtId="0" fontId="6" fillId="0" borderId="44" xfId="0" applyFont="1" applyFill="1" applyBorder="1" applyAlignment="1">
      <alignment horizontal="center"/>
    </xf>
    <xf numFmtId="0" fontId="6" fillId="0" borderId="45" xfId="0" applyFont="1" applyFill="1" applyBorder="1" applyAlignment="1">
      <alignment horizontal="center"/>
    </xf>
    <xf numFmtId="3" fontId="6" fillId="0" borderId="40" xfId="0" applyNumberFormat="1" applyFont="1" applyFill="1" applyBorder="1" applyAlignment="1">
      <alignment horizontal="center"/>
    </xf>
    <xf numFmtId="0" fontId="6" fillId="0" borderId="40" xfId="0" applyFont="1" applyFill="1" applyBorder="1" applyAlignment="1">
      <alignment horizontal="center"/>
    </xf>
    <xf numFmtId="4" fontId="7" fillId="0" borderId="0" xfId="0" applyNumberFormat="1" applyFont="1" applyFill="1" applyBorder="1"/>
    <xf numFmtId="4" fontId="7" fillId="0" borderId="0" xfId="0" applyNumberFormat="1" applyFont="1" applyFill="1" applyBorder="1" applyProtection="1"/>
    <xf numFmtId="43" fontId="7" fillId="0" borderId="0" xfId="1" applyFont="1" applyFill="1"/>
    <xf numFmtId="179" fontId="7" fillId="0" borderId="0" xfId="0" applyNumberFormat="1" applyFont="1" applyFill="1" applyBorder="1" applyProtection="1"/>
    <xf numFmtId="1" fontId="7" fillId="0" borderId="0" xfId="0" applyNumberFormat="1" applyFont="1" applyFill="1"/>
    <xf numFmtId="4" fontId="7" fillId="0" borderId="0" xfId="0" applyNumberFormat="1" applyFont="1" applyFill="1" applyBorder="1" applyAlignment="1">
      <alignment horizontal="right"/>
    </xf>
    <xf numFmtId="4" fontId="7" fillId="0" borderId="2" xfId="0" applyNumberFormat="1" applyFont="1" applyFill="1" applyBorder="1" applyProtection="1"/>
    <xf numFmtId="43" fontId="7" fillId="0" borderId="2" xfId="1" applyFont="1" applyFill="1" applyBorder="1"/>
    <xf numFmtId="39" fontId="7" fillId="0" borderId="2" xfId="0" applyNumberFormat="1" applyFont="1" applyFill="1" applyBorder="1" applyProtection="1"/>
    <xf numFmtId="179" fontId="7" fillId="0" borderId="2" xfId="0" applyNumberFormat="1" applyFont="1" applyFill="1" applyBorder="1" applyProtection="1"/>
    <xf numFmtId="3" fontId="7" fillId="0" borderId="12" xfId="0" applyNumberFormat="1" applyFont="1" applyFill="1" applyBorder="1"/>
    <xf numFmtId="3" fontId="7" fillId="0" borderId="2" xfId="0" applyNumberFormat="1" applyFont="1" applyFill="1" applyBorder="1"/>
    <xf numFmtId="0" fontId="6" fillId="0" borderId="0" xfId="0" applyFont="1" applyFill="1" applyBorder="1" applyAlignment="1">
      <alignment horizontal="center"/>
    </xf>
    <xf numFmtId="0" fontId="6" fillId="0" borderId="0" xfId="0" applyFont="1" applyFill="1" applyBorder="1"/>
    <xf numFmtId="3" fontId="7" fillId="0" borderId="44" xfId="0" applyNumberFormat="1" applyFont="1" applyFill="1" applyBorder="1" applyAlignment="1">
      <alignment horizontal="center"/>
    </xf>
    <xf numFmtId="0" fontId="7" fillId="0" borderId="44" xfId="0" applyFont="1" applyFill="1" applyBorder="1" applyAlignment="1">
      <alignment horizontal="center"/>
    </xf>
    <xf numFmtId="3" fontId="7" fillId="0" borderId="40" xfId="0" applyNumberFormat="1" applyFont="1" applyFill="1" applyBorder="1" applyAlignment="1">
      <alignment horizontal="center"/>
    </xf>
    <xf numFmtId="0" fontId="7" fillId="0" borderId="40" xfId="0" applyFont="1" applyFill="1" applyBorder="1" applyAlignment="1">
      <alignment horizontal="center"/>
    </xf>
    <xf numFmtId="43" fontId="7" fillId="0" borderId="0" xfId="1" applyFont="1" applyFill="1" applyBorder="1"/>
    <xf numFmtId="43" fontId="7" fillId="0" borderId="0" xfId="1" applyFont="1" applyFill="1" applyBorder="1" applyProtection="1"/>
    <xf numFmtId="180" fontId="7" fillId="0" borderId="0" xfId="0" applyNumberFormat="1" applyFont="1" applyFill="1" applyBorder="1"/>
    <xf numFmtId="43" fontId="7" fillId="0" borderId="2" xfId="1" applyFont="1" applyFill="1" applyBorder="1" applyProtection="1"/>
    <xf numFmtId="4" fontId="7" fillId="0" borderId="2" xfId="0" applyNumberFormat="1" applyFont="1" applyFill="1" applyBorder="1"/>
    <xf numFmtId="180" fontId="7" fillId="0" borderId="2" xfId="0" applyNumberFormat="1" applyFont="1" applyFill="1" applyBorder="1"/>
    <xf numFmtId="43" fontId="7" fillId="0" borderId="0" xfId="0" applyNumberFormat="1" applyFont="1" applyFill="1"/>
    <xf numFmtId="180" fontId="7" fillId="0" borderId="0" xfId="0" applyNumberFormat="1" applyFont="1" applyFill="1"/>
    <xf numFmtId="1" fontId="7" fillId="0" borderId="15" xfId="0" applyNumberFormat="1" applyFont="1" applyFill="1" applyBorder="1"/>
    <xf numFmtId="0" fontId="6" fillId="0" borderId="15" xfId="0" applyFont="1" applyFill="1" applyBorder="1" applyAlignment="1">
      <alignment horizontal="centerContinuous"/>
    </xf>
    <xf numFmtId="0" fontId="6" fillId="0" borderId="11" xfId="0" applyFont="1" applyFill="1" applyBorder="1" applyAlignment="1">
      <alignment horizontal="centerContinuous"/>
    </xf>
    <xf numFmtId="3" fontId="6" fillId="0" borderId="11" xfId="0" applyNumberFormat="1" applyFont="1" applyFill="1" applyBorder="1" applyAlignment="1">
      <alignment horizontal="centerContinuous"/>
    </xf>
    <xf numFmtId="3" fontId="7" fillId="0" borderId="11" xfId="0" applyNumberFormat="1" applyFont="1" applyFill="1" applyBorder="1" applyAlignment="1">
      <alignment horizontal="centerContinuous"/>
    </xf>
    <xf numFmtId="0" fontId="7" fillId="0" borderId="11" xfId="0" applyFont="1" applyFill="1" applyBorder="1" applyAlignment="1">
      <alignment horizontal="centerContinuous"/>
    </xf>
    <xf numFmtId="3" fontId="7" fillId="0" borderId="16" xfId="0" applyNumberFormat="1" applyFont="1" applyFill="1" applyBorder="1" applyAlignment="1">
      <alignment horizontal="centerContinuous"/>
    </xf>
    <xf numFmtId="0" fontId="9" fillId="0" borderId="0" xfId="0" applyFont="1" applyFill="1" applyBorder="1" applyAlignment="1">
      <alignment horizontal="center"/>
    </xf>
    <xf numFmtId="0" fontId="6" fillId="0" borderId="4" xfId="0" applyFont="1" applyFill="1" applyBorder="1"/>
    <xf numFmtId="0" fontId="6" fillId="0" borderId="12" xfId="0" applyFont="1" applyFill="1" applyBorder="1"/>
    <xf numFmtId="3" fontId="6" fillId="0" borderId="12" xfId="0" applyNumberFormat="1" applyFont="1" applyFill="1" applyBorder="1" applyAlignment="1">
      <alignment horizontal="center"/>
    </xf>
    <xf numFmtId="0" fontId="6" fillId="0" borderId="2" xfId="0" applyFont="1" applyFill="1" applyBorder="1"/>
    <xf numFmtId="3" fontId="6" fillId="0" borderId="2" xfId="0" applyNumberFormat="1" applyFont="1" applyFill="1" applyBorder="1" applyAlignment="1">
      <alignment horizontal="center"/>
    </xf>
    <xf numFmtId="0" fontId="7" fillId="0" borderId="10" xfId="0" applyFont="1" applyFill="1" applyBorder="1" applyAlignment="1">
      <alignment horizontal="left"/>
    </xf>
    <xf numFmtId="3" fontId="7" fillId="0" borderId="13" xfId="0" applyNumberFormat="1" applyFont="1" applyFill="1" applyBorder="1"/>
    <xf numFmtId="3" fontId="7" fillId="0" borderId="14" xfId="0" applyNumberFormat="1" applyFont="1" applyFill="1" applyBorder="1"/>
    <xf numFmtId="0" fontId="7" fillId="0" borderId="5" xfId="0" applyFont="1" applyFill="1" applyBorder="1"/>
    <xf numFmtId="3" fontId="7" fillId="0" borderId="9" xfId="0" applyNumberFormat="1" applyFont="1" applyFill="1" applyBorder="1"/>
    <xf numFmtId="0" fontId="9" fillId="0" borderId="20" xfId="0" applyFont="1" applyFill="1" applyBorder="1" applyAlignment="1" applyProtection="1">
      <alignment horizontal="center"/>
      <protection locked="0"/>
    </xf>
    <xf numFmtId="3" fontId="9" fillId="0" borderId="20" xfId="0" applyNumberFormat="1" applyFont="1" applyFill="1" applyBorder="1" applyAlignment="1" applyProtection="1">
      <alignment horizontal="center"/>
      <protection locked="0"/>
    </xf>
    <xf numFmtId="0" fontId="9" fillId="0" borderId="23" xfId="0" applyFont="1" applyFill="1" applyBorder="1" applyAlignment="1" applyProtection="1">
      <alignment horizontal="center"/>
      <protection locked="0"/>
    </xf>
    <xf numFmtId="3" fontId="9" fillId="0" borderId="23" xfId="0" applyNumberFormat="1" applyFont="1" applyFill="1" applyBorder="1" applyAlignment="1" applyProtection="1">
      <alignment horizontal="center"/>
      <protection locked="0"/>
    </xf>
    <xf numFmtId="0" fontId="6" fillId="0" borderId="23" xfId="0" applyFont="1" applyFill="1" applyBorder="1" applyAlignment="1" applyProtection="1">
      <alignment horizontal="center"/>
      <protection locked="0"/>
    </xf>
    <xf numFmtId="0" fontId="9" fillId="0" borderId="23" xfId="0" applyFont="1" applyFill="1" applyBorder="1" applyAlignment="1">
      <alignment horizontal="center"/>
    </xf>
    <xf numFmtId="0" fontId="9" fillId="0" borderId="30" xfId="0" applyFont="1" applyFill="1" applyBorder="1" applyAlignment="1">
      <alignment horizontal="center"/>
    </xf>
    <xf numFmtId="37" fontId="7" fillId="0" borderId="0" xfId="0" applyNumberFormat="1" applyFont="1" applyFill="1" applyBorder="1"/>
    <xf numFmtId="168" fontId="7" fillId="0" borderId="8" xfId="1" applyNumberFormat="1" applyFont="1" applyFill="1" applyBorder="1"/>
    <xf numFmtId="37" fontId="6" fillId="0" borderId="0" xfId="0" applyNumberFormat="1" applyFont="1" applyFill="1" applyBorder="1" applyProtection="1"/>
    <xf numFmtId="168" fontId="6" fillId="0" borderId="0" xfId="1" applyNumberFormat="1" applyFont="1" applyFill="1" applyBorder="1"/>
    <xf numFmtId="10" fontId="7" fillId="0" borderId="0" xfId="0" applyNumberFormat="1" applyFont="1" applyFill="1" applyBorder="1"/>
    <xf numFmtId="0" fontId="9" fillId="0" borderId="6" xfId="0" applyFont="1" applyFill="1" applyBorder="1" applyAlignment="1">
      <alignment horizontal="center"/>
    </xf>
    <xf numFmtId="0" fontId="9" fillId="0" borderId="20" xfId="0" applyFont="1" applyFill="1" applyBorder="1" applyAlignment="1">
      <alignment horizontal="center"/>
    </xf>
    <xf numFmtId="3" fontId="9" fillId="0" borderId="20" xfId="0" applyNumberFormat="1" applyFont="1" applyFill="1" applyBorder="1" applyAlignment="1">
      <alignment horizontal="center"/>
    </xf>
    <xf numFmtId="0" fontId="9" fillId="0" borderId="28" xfId="0" applyFont="1" applyFill="1" applyBorder="1" applyAlignment="1">
      <alignment horizontal="center"/>
    </xf>
    <xf numFmtId="0" fontId="9" fillId="0" borderId="1" xfId="0" applyFont="1" applyFill="1" applyBorder="1" applyAlignment="1">
      <alignment horizontal="center"/>
    </xf>
    <xf numFmtId="3" fontId="9" fillId="0" borderId="23" xfId="0" applyNumberFormat="1" applyFont="1" applyFill="1" applyBorder="1" applyAlignment="1">
      <alignment horizontal="center"/>
    </xf>
    <xf numFmtId="0" fontId="7" fillId="0" borderId="3" xfId="0" applyFont="1" applyFill="1" applyBorder="1" applyAlignment="1">
      <alignment horizontal="left"/>
    </xf>
    <xf numFmtId="174" fontId="7" fillId="0" borderId="0" xfId="0" applyNumberFormat="1" applyFont="1" applyFill="1" applyBorder="1"/>
    <xf numFmtId="177" fontId="7" fillId="0" borderId="0" xfId="0" applyNumberFormat="1" applyFont="1" applyFill="1" applyBorder="1"/>
    <xf numFmtId="178" fontId="7" fillId="0" borderId="0" xfId="0" applyNumberFormat="1" applyFont="1" applyFill="1" applyBorder="1" applyProtection="1"/>
    <xf numFmtId="178" fontId="7" fillId="0" borderId="2" xfId="0" applyNumberFormat="1" applyFont="1" applyFill="1" applyBorder="1" applyProtection="1"/>
    <xf numFmtId="37" fontId="6" fillId="0" borderId="41" xfId="0" applyNumberFormat="1" applyFont="1" applyFill="1" applyBorder="1" applyProtection="1"/>
    <xf numFmtId="178" fontId="6" fillId="0" borderId="0" xfId="0" applyNumberFormat="1" applyFont="1" applyFill="1" applyBorder="1"/>
    <xf numFmtId="3" fontId="6" fillId="0" borderId="41" xfId="0" applyNumberFormat="1" applyFont="1" applyFill="1" applyBorder="1" applyProtection="1"/>
    <xf numFmtId="3" fontId="6" fillId="0" borderId="41" xfId="0" applyNumberFormat="1" applyFont="1" applyFill="1" applyBorder="1"/>
    <xf numFmtId="178" fontId="6" fillId="0" borderId="0" xfId="0" applyNumberFormat="1" applyFont="1" applyFill="1" applyBorder="1" applyProtection="1"/>
    <xf numFmtId="3" fontId="6" fillId="0" borderId="42" xfId="0" applyNumberFormat="1" applyFont="1" applyFill="1" applyBorder="1" applyProtection="1"/>
    <xf numFmtId="167" fontId="6" fillId="0" borderId="0" xfId="0" applyNumberFormat="1" applyFont="1" applyFill="1" applyBorder="1" applyProtection="1"/>
    <xf numFmtId="3" fontId="6" fillId="0" borderId="0" xfId="0" applyNumberFormat="1" applyFont="1" applyFill="1" applyBorder="1" applyProtection="1"/>
    <xf numFmtId="0" fontId="6" fillId="0" borderId="6" xfId="0" applyFont="1" applyFill="1" applyBorder="1" applyAlignment="1">
      <alignment horizontal="center"/>
    </xf>
    <xf numFmtId="3" fontId="6" fillId="0" borderId="20" xfId="0" applyNumberFormat="1" applyFont="1" applyFill="1" applyBorder="1"/>
    <xf numFmtId="0" fontId="0" fillId="0" borderId="20" xfId="0" applyFill="1" applyBorder="1"/>
    <xf numFmtId="0" fontId="7" fillId="0" borderId="20" xfId="0" applyFont="1" applyFill="1" applyBorder="1"/>
    <xf numFmtId="0" fontId="6" fillId="0" borderId="1" xfId="0" applyFont="1" applyFill="1" applyBorder="1" applyAlignment="1">
      <alignment horizontal="center"/>
    </xf>
    <xf numFmtId="3" fontId="6" fillId="0" borderId="23" xfId="0" applyNumberFormat="1" applyFont="1" applyFill="1" applyBorder="1"/>
    <xf numFmtId="0" fontId="7" fillId="0" borderId="23" xfId="0" applyFont="1" applyFill="1" applyBorder="1"/>
    <xf numFmtId="0" fontId="0" fillId="0" borderId="30" xfId="0" applyFill="1" applyBorder="1"/>
    <xf numFmtId="0" fontId="7" fillId="0" borderId="3" xfId="0" applyFont="1" applyFill="1" applyBorder="1" applyAlignment="1">
      <alignment horizontal="center"/>
    </xf>
    <xf numFmtId="3" fontId="6" fillId="0" borderId="0" xfId="0" applyNumberFormat="1" applyFont="1" applyFill="1" applyBorder="1"/>
    <xf numFmtId="3" fontId="6" fillId="0" borderId="20" xfId="0" applyNumberFormat="1" applyFont="1" applyFill="1" applyBorder="1" applyAlignment="1">
      <alignment horizontal="center"/>
    </xf>
    <xf numFmtId="3" fontId="6" fillId="0" borderId="23" xfId="0" applyNumberFormat="1" applyFont="1" applyFill="1" applyBorder="1" applyAlignment="1">
      <alignment horizontal="center"/>
    </xf>
    <xf numFmtId="180" fontId="7" fillId="0" borderId="0" xfId="0" applyNumberFormat="1" applyFont="1" applyFill="1" applyBorder="1" applyProtection="1"/>
    <xf numFmtId="3" fontId="7" fillId="0" borderId="2" xfId="0" applyNumberFormat="1" applyFont="1" applyFill="1" applyBorder="1" applyProtection="1"/>
    <xf numFmtId="179" fontId="6" fillId="0" borderId="41" xfId="0" applyNumberFormat="1" applyFont="1" applyFill="1" applyBorder="1" applyProtection="1"/>
    <xf numFmtId="180" fontId="6" fillId="0" borderId="41" xfId="0" applyNumberFormat="1" applyFont="1" applyFill="1" applyBorder="1" applyProtection="1"/>
    <xf numFmtId="3" fontId="7" fillId="0" borderId="20" xfId="0" applyNumberFormat="1" applyFont="1" applyFill="1" applyBorder="1"/>
    <xf numFmtId="0" fontId="7" fillId="0" borderId="20" xfId="0" applyFont="1" applyFill="1" applyBorder="1" applyAlignment="1">
      <alignment horizontal="center"/>
    </xf>
    <xf numFmtId="3" fontId="7" fillId="0" borderId="23" xfId="0" applyNumberFormat="1" applyFont="1" applyFill="1" applyBorder="1"/>
    <xf numFmtId="0" fontId="7" fillId="0" borderId="23" xfId="0" applyFont="1" applyFill="1" applyBorder="1" applyAlignment="1">
      <alignment horizontal="center"/>
    </xf>
    <xf numFmtId="0" fontId="6" fillId="0" borderId="8" xfId="0" applyFont="1" applyFill="1" applyBorder="1"/>
    <xf numFmtId="3" fontId="7" fillId="0" borderId="20" xfId="0" applyNumberFormat="1" applyFont="1" applyFill="1" applyBorder="1" applyAlignment="1">
      <alignment horizontal="center"/>
    </xf>
    <xf numFmtId="3" fontId="7" fillId="0" borderId="23" xfId="0" applyNumberFormat="1" applyFont="1" applyFill="1" applyBorder="1" applyAlignment="1">
      <alignment horizontal="center"/>
    </xf>
    <xf numFmtId="43" fontId="7" fillId="0" borderId="0" xfId="0" applyNumberFormat="1" applyFont="1" applyFill="1" applyBorder="1"/>
    <xf numFmtId="179" fontId="6" fillId="0" borderId="41" xfId="0" applyNumberFormat="1" applyFont="1" applyFill="1" applyBorder="1"/>
    <xf numFmtId="165" fontId="6" fillId="0" borderId="0" xfId="0" applyNumberFormat="1" applyFont="1" applyFill="1" applyBorder="1" applyProtection="1"/>
    <xf numFmtId="3" fontId="6" fillId="0" borderId="46" xfId="0" applyNumberFormat="1" applyFont="1" applyFill="1" applyBorder="1" applyProtection="1"/>
    <xf numFmtId="168" fontId="7" fillId="0" borderId="0" xfId="1" applyNumberFormat="1" applyFont="1" applyFill="1" applyBorder="1" applyAlignment="1">
      <alignment horizontal="left"/>
    </xf>
    <xf numFmtId="0" fontId="7" fillId="0" borderId="1" xfId="0" applyFont="1" applyFill="1" applyBorder="1"/>
    <xf numFmtId="3" fontId="6" fillId="0" borderId="47" xfId="0" applyNumberFormat="1" applyFont="1" applyFill="1" applyBorder="1"/>
    <xf numFmtId="0" fontId="3" fillId="0" borderId="0" xfId="0" applyFont="1" applyFill="1" applyAlignment="1">
      <alignment horizontal="center"/>
    </xf>
    <xf numFmtId="43" fontId="7" fillId="0" borderId="0" xfId="1" applyNumberFormat="1" applyFont="1" applyFill="1" applyBorder="1"/>
    <xf numFmtId="170" fontId="7" fillId="0" borderId="0" xfId="1" applyNumberFormat="1" applyFont="1" applyFill="1" applyBorder="1" applyProtection="1"/>
    <xf numFmtId="170" fontId="7" fillId="0" borderId="0" xfId="1" applyNumberFormat="1" applyFont="1" applyFill="1" applyBorder="1"/>
    <xf numFmtId="173" fontId="7" fillId="0" borderId="8" xfId="0" applyNumberFormat="1" applyFont="1" applyFill="1" applyBorder="1"/>
    <xf numFmtId="43" fontId="7" fillId="0" borderId="2" xfId="1" applyNumberFormat="1" applyFont="1" applyFill="1" applyBorder="1"/>
    <xf numFmtId="170" fontId="7" fillId="0" borderId="2" xfId="1" applyNumberFormat="1" applyFont="1" applyFill="1" applyBorder="1" applyProtection="1"/>
    <xf numFmtId="170" fontId="7" fillId="0" borderId="2" xfId="1" applyNumberFormat="1" applyFont="1" applyFill="1" applyBorder="1"/>
    <xf numFmtId="173" fontId="7" fillId="0" borderId="32" xfId="0" applyNumberFormat="1" applyFont="1" applyFill="1" applyBorder="1"/>
    <xf numFmtId="168" fontId="7" fillId="0" borderId="41" xfId="0" applyNumberFormat="1" applyFont="1" applyFill="1" applyBorder="1"/>
    <xf numFmtId="164" fontId="6" fillId="0" borderId="41" xfId="0" applyNumberFormat="1" applyFont="1" applyFill="1" applyBorder="1" applyProtection="1"/>
    <xf numFmtId="170" fontId="6" fillId="0" borderId="0" xfId="0" applyNumberFormat="1" applyFont="1" applyFill="1" applyBorder="1" applyProtection="1"/>
    <xf numFmtId="170" fontId="6" fillId="0" borderId="0" xfId="0" applyNumberFormat="1" applyFont="1" applyFill="1" applyBorder="1"/>
    <xf numFmtId="3" fontId="7" fillId="0" borderId="0" xfId="0" applyNumberFormat="1" applyFont="1" applyFill="1" applyBorder="1" applyAlignment="1">
      <alignment horizontal="center"/>
    </xf>
    <xf numFmtId="43" fontId="9" fillId="0" borderId="4" xfId="1" applyFont="1" applyFill="1" applyBorder="1" applyAlignment="1">
      <alignment horizontal="center"/>
    </xf>
    <xf numFmtId="3" fontId="9" fillId="0" borderId="35" xfId="0" applyNumberFormat="1" applyFont="1" applyFill="1" applyBorder="1" applyAlignment="1">
      <alignment horizontal="center"/>
    </xf>
    <xf numFmtId="43" fontId="9" fillId="0" borderId="5" xfId="1" applyFont="1" applyFill="1" applyBorder="1" applyAlignment="1">
      <alignment horizontal="center"/>
    </xf>
    <xf numFmtId="3" fontId="9" fillId="0" borderId="32" xfId="0" applyNumberFormat="1" applyFont="1" applyFill="1" applyBorder="1" applyAlignment="1">
      <alignment horizontal="center"/>
    </xf>
    <xf numFmtId="3" fontId="7" fillId="0" borderId="8" xfId="0" applyNumberFormat="1" applyFont="1" applyFill="1" applyBorder="1"/>
    <xf numFmtId="43" fontId="6" fillId="0" borderId="22" xfId="1" applyFont="1" applyFill="1" applyBorder="1"/>
    <xf numFmtId="0" fontId="7" fillId="0" borderId="47" xfId="0" applyFont="1" applyFill="1" applyBorder="1"/>
    <xf numFmtId="3" fontId="6" fillId="0" borderId="48" xfId="0" applyNumberFormat="1" applyFont="1" applyFill="1" applyBorder="1"/>
    <xf numFmtId="0" fontId="11" fillId="0" borderId="3" xfId="0" applyFont="1" applyFill="1" applyBorder="1"/>
    <xf numFmtId="0" fontId="11" fillId="0" borderId="5" xfId="0" applyFont="1" applyFill="1" applyBorder="1" applyAlignment="1">
      <alignment horizontal="center"/>
    </xf>
    <xf numFmtId="0" fontId="11" fillId="0" borderId="2" xfId="0" applyFont="1" applyFill="1" applyBorder="1" applyAlignment="1">
      <alignment horizontal="center"/>
    </xf>
    <xf numFmtId="0" fontId="11" fillId="0" borderId="32" xfId="0" applyFont="1" applyFill="1" applyBorder="1" applyAlignment="1">
      <alignment horizontal="center"/>
    </xf>
    <xf numFmtId="0" fontId="11" fillId="0" borderId="3" xfId="0" applyFont="1" applyFill="1" applyBorder="1" applyAlignment="1">
      <alignment horizontal="left"/>
    </xf>
    <xf numFmtId="0" fontId="11" fillId="0" borderId="0" xfId="0" applyFont="1" applyFill="1" applyBorder="1" applyAlignment="1">
      <alignment horizontal="right"/>
    </xf>
    <xf numFmtId="0" fontId="11" fillId="0" borderId="8" xfId="0" applyFont="1" applyFill="1" applyBorder="1" applyAlignment="1">
      <alignment horizontal="right"/>
    </xf>
    <xf numFmtId="3" fontId="11" fillId="0" borderId="0" xfId="0" applyNumberFormat="1" applyFont="1" applyFill="1" applyBorder="1" applyAlignment="1">
      <alignment horizontal="right"/>
    </xf>
    <xf numFmtId="37" fontId="11" fillId="0" borderId="0" xfId="0" applyNumberFormat="1" applyFont="1" applyFill="1" applyBorder="1" applyAlignment="1" applyProtection="1">
      <alignment horizontal="right"/>
    </xf>
    <xf numFmtId="166" fontId="11" fillId="0" borderId="8" xfId="1" applyNumberFormat="1" applyFont="1" applyFill="1" applyBorder="1" applyAlignment="1" applyProtection="1">
      <alignment horizontal="right"/>
    </xf>
    <xf numFmtId="3" fontId="11" fillId="0" borderId="0" xfId="0" applyNumberFormat="1" applyFont="1" applyFill="1" applyBorder="1" applyAlignment="1" applyProtection="1">
      <alignment horizontal="right"/>
    </xf>
    <xf numFmtId="3" fontId="11" fillId="0" borderId="8" xfId="0" applyNumberFormat="1" applyFont="1" applyFill="1" applyBorder="1" applyAlignment="1" applyProtection="1">
      <alignment horizontal="right"/>
    </xf>
    <xf numFmtId="0" fontId="11" fillId="0" borderId="7" xfId="0" applyFont="1" applyFill="1" applyBorder="1" applyAlignment="1">
      <alignment horizontal="left"/>
    </xf>
    <xf numFmtId="0" fontId="11" fillId="0" borderId="50" xfId="0" applyFont="1" applyFill="1" applyBorder="1" applyAlignment="1">
      <alignment horizontal="center"/>
    </xf>
    <xf numFmtId="10" fontId="11" fillId="0" borderId="0" xfId="3" applyNumberFormat="1" applyFont="1" applyFill="1" applyBorder="1" applyAlignment="1" applyProtection="1">
      <alignment horizontal="right"/>
    </xf>
    <xf numFmtId="181" fontId="11" fillId="0" borderId="0" xfId="3" applyNumberFormat="1" applyFont="1" applyFill="1" applyBorder="1" applyAlignment="1" applyProtection="1">
      <alignment horizontal="right"/>
    </xf>
    <xf numFmtId="168" fontId="11" fillId="0" borderId="0" xfId="1" applyNumberFormat="1" applyFont="1" applyFill="1" applyBorder="1" applyAlignment="1">
      <alignment horizontal="right"/>
    </xf>
    <xf numFmtId="168" fontId="11" fillId="0" borderId="8" xfId="1" applyNumberFormat="1" applyFont="1" applyFill="1" applyBorder="1" applyAlignment="1">
      <alignment horizontal="right"/>
    </xf>
    <xf numFmtId="10" fontId="11" fillId="0" borderId="0" xfId="3" applyNumberFormat="1" applyFont="1" applyFill="1" applyBorder="1" applyAlignment="1">
      <alignment horizontal="right"/>
    </xf>
    <xf numFmtId="168" fontId="11" fillId="0" borderId="2" xfId="1" applyNumberFormat="1" applyFont="1" applyFill="1" applyBorder="1" applyAlignment="1">
      <alignment horizontal="right"/>
    </xf>
    <xf numFmtId="168" fontId="11" fillId="0" borderId="32" xfId="1" applyNumberFormat="1" applyFont="1" applyFill="1" applyBorder="1" applyAlignment="1">
      <alignment horizontal="right"/>
    </xf>
    <xf numFmtId="168" fontId="11" fillId="0" borderId="11" xfId="1" applyNumberFormat="1" applyFont="1" applyFill="1" applyBorder="1" applyAlignment="1">
      <alignment horizontal="right"/>
    </xf>
    <xf numFmtId="168" fontId="11" fillId="0" borderId="0" xfId="1" applyNumberFormat="1" applyFont="1" applyFill="1" applyBorder="1"/>
    <xf numFmtId="168" fontId="11" fillId="0" borderId="8" xfId="1" applyNumberFormat="1" applyFont="1" applyFill="1" applyBorder="1"/>
    <xf numFmtId="168" fontId="11" fillId="0" borderId="22" xfId="1" applyNumberFormat="1" applyFont="1" applyFill="1" applyBorder="1"/>
    <xf numFmtId="168" fontId="11" fillId="0" borderId="47" xfId="1" applyNumberFormat="1" applyFont="1" applyFill="1" applyBorder="1"/>
    <xf numFmtId="168" fontId="11" fillId="0" borderId="48" xfId="1" applyNumberFormat="1" applyFont="1" applyFill="1" applyBorder="1"/>
    <xf numFmtId="0" fontId="11" fillId="0" borderId="6" xfId="0" applyFont="1" applyFill="1" applyBorder="1"/>
    <xf numFmtId="0" fontId="11" fillId="0" borderId="20" xfId="0" applyFont="1" applyFill="1" applyBorder="1"/>
    <xf numFmtId="0" fontId="11" fillId="0" borderId="28" xfId="0" applyFont="1" applyFill="1" applyBorder="1"/>
    <xf numFmtId="0" fontId="11" fillId="0" borderId="8" xfId="0" applyFont="1" applyFill="1" applyBorder="1"/>
    <xf numFmtId="0" fontId="11" fillId="0" borderId="1" xfId="0" applyFont="1" applyFill="1" applyBorder="1"/>
    <xf numFmtId="0" fontId="11" fillId="0" borderId="23" xfId="0" applyFont="1" applyFill="1" applyBorder="1"/>
    <xf numFmtId="0" fontId="11" fillId="0" borderId="30" xfId="0" applyFont="1" applyFill="1" applyBorder="1"/>
    <xf numFmtId="0" fontId="11" fillId="0" borderId="0" xfId="0" applyFont="1" applyFill="1"/>
    <xf numFmtId="40" fontId="7" fillId="0" borderId="2" xfId="0" applyNumberFormat="1" applyFont="1" applyFill="1" applyBorder="1" applyProtection="1"/>
    <xf numFmtId="164" fontId="7" fillId="0" borderId="0" xfId="0" applyNumberFormat="1" applyFont="1" applyFill="1" applyBorder="1" applyProtection="1"/>
    <xf numFmtId="40" fontId="7" fillId="0" borderId="0" xfId="1" applyNumberFormat="1" applyFont="1" applyFill="1" applyBorder="1"/>
    <xf numFmtId="164" fontId="7" fillId="0" borderId="2" xfId="0" applyNumberFormat="1" applyFont="1" applyFill="1" applyBorder="1" applyProtection="1"/>
    <xf numFmtId="38" fontId="7" fillId="0" borderId="32" xfId="1" applyNumberFormat="1" applyFont="1" applyFill="1" applyBorder="1"/>
    <xf numFmtId="171" fontId="7" fillId="0" borderId="0" xfId="1" applyNumberFormat="1" applyFont="1" applyFill="1" applyBorder="1"/>
    <xf numFmtId="168" fontId="6" fillId="0" borderId="11" xfId="1" applyNumberFormat="1" applyFont="1" applyFill="1" applyBorder="1"/>
    <xf numFmtId="40" fontId="6" fillId="0" borderId="11" xfId="1" applyNumberFormat="1" applyFont="1" applyFill="1" applyBorder="1"/>
    <xf numFmtId="168" fontId="6" fillId="0" borderId="19" xfId="1" applyNumberFormat="1" applyFont="1" applyFill="1" applyBorder="1"/>
    <xf numFmtId="181" fontId="7" fillId="0" borderId="0" xfId="3" applyNumberFormat="1" applyFont="1" applyFill="1" applyBorder="1" applyProtection="1"/>
    <xf numFmtId="175" fontId="7" fillId="0" borderId="0" xfId="1" applyNumberFormat="1" applyFont="1" applyFill="1" applyBorder="1" applyProtection="1"/>
    <xf numFmtId="37" fontId="7" fillId="0" borderId="32" xfId="0" applyNumberFormat="1" applyFont="1" applyFill="1" applyBorder="1" applyProtection="1"/>
    <xf numFmtId="181" fontId="7" fillId="0" borderId="0" xfId="3" applyNumberFormat="1" applyFont="1" applyFill="1" applyBorder="1"/>
    <xf numFmtId="0" fontId="7" fillId="0" borderId="0" xfId="0" applyFont="1" applyFill="1" applyBorder="1" applyAlignment="1">
      <alignment horizontal="fill"/>
    </xf>
    <xf numFmtId="0" fontId="7" fillId="0" borderId="8" xfId="0" applyFont="1" applyFill="1" applyBorder="1" applyAlignment="1">
      <alignment horizontal="fill"/>
    </xf>
    <xf numFmtId="0" fontId="6" fillId="0" borderId="25" xfId="0" applyFont="1" applyFill="1" applyBorder="1" applyAlignment="1">
      <alignment horizontal="left"/>
    </xf>
    <xf numFmtId="0" fontId="6" fillId="0" borderId="26" xfId="0" applyFont="1" applyFill="1" applyBorder="1"/>
    <xf numFmtId="37" fontId="6" fillId="0" borderId="26" xfId="0" applyNumberFormat="1" applyFont="1" applyFill="1" applyBorder="1" applyProtection="1"/>
    <xf numFmtId="37" fontId="6" fillId="0" borderId="51" xfId="0" applyNumberFormat="1" applyFont="1" applyFill="1" applyBorder="1" applyProtection="1"/>
    <xf numFmtId="0" fontId="6" fillId="0" borderId="23" xfId="0" applyFont="1" applyFill="1" applyBorder="1"/>
    <xf numFmtId="10" fontId="6" fillId="0" borderId="23" xfId="3" applyNumberFormat="1" applyFont="1" applyFill="1" applyBorder="1"/>
    <xf numFmtId="10" fontId="6" fillId="0" borderId="30" xfId="3" applyNumberFormat="1" applyFont="1" applyFill="1" applyBorder="1"/>
    <xf numFmtId="40" fontId="5" fillId="0" borderId="0" xfId="0" applyNumberFormat="1" applyFont="1" applyFill="1" applyBorder="1" applyProtection="1"/>
    <xf numFmtId="0" fontId="9" fillId="0" borderId="6" xfId="0" applyFont="1" applyFill="1" applyBorder="1"/>
    <xf numFmtId="0" fontId="9" fillId="0" borderId="1" xfId="0" applyFont="1" applyFill="1" applyBorder="1"/>
    <xf numFmtId="10" fontId="7" fillId="0" borderId="0" xfId="3" applyNumberFormat="1" applyFont="1" applyFill="1" applyBorder="1" applyProtection="1"/>
    <xf numFmtId="0" fontId="7" fillId="0" borderId="12" xfId="0" applyFont="1" applyFill="1" applyBorder="1" applyAlignment="1">
      <alignment horizontal="left"/>
    </xf>
    <xf numFmtId="37" fontId="7" fillId="0" borderId="12" xfId="0" applyNumberFormat="1" applyFont="1" applyFill="1" applyBorder="1" applyProtection="1"/>
    <xf numFmtId="37" fontId="7" fillId="0" borderId="35" xfId="0" applyNumberFormat="1" applyFont="1" applyFill="1" applyBorder="1" applyProtection="1"/>
    <xf numFmtId="10" fontId="7" fillId="0" borderId="0" xfId="0" applyNumberFormat="1" applyFont="1" applyFill="1" applyBorder="1" applyProtection="1"/>
    <xf numFmtId="10" fontId="7" fillId="0" borderId="8" xfId="3" applyNumberFormat="1" applyFont="1" applyFill="1" applyBorder="1" applyProtection="1"/>
    <xf numFmtId="0" fontId="6" fillId="0" borderId="38" xfId="0" applyFont="1" applyFill="1" applyBorder="1"/>
    <xf numFmtId="37" fontId="6" fillId="0" borderId="13" xfId="0" applyNumberFormat="1" applyFont="1" applyFill="1" applyBorder="1" applyAlignment="1" applyProtection="1">
      <alignment horizontal="center"/>
    </xf>
    <xf numFmtId="37" fontId="6" fillId="0" borderId="2" xfId="0" applyNumberFormat="1" applyFont="1" applyFill="1" applyBorder="1" applyAlignment="1" applyProtection="1">
      <alignment horizontal="center"/>
    </xf>
    <xf numFmtId="37" fontId="6" fillId="0" borderId="9" xfId="0" applyNumberFormat="1" applyFont="1" applyFill="1" applyBorder="1" applyAlignment="1" applyProtection="1">
      <alignment horizontal="center"/>
    </xf>
    <xf numFmtId="38" fontId="7" fillId="0" borderId="22" xfId="1" applyNumberFormat="1" applyFont="1" applyFill="1" applyBorder="1" applyAlignment="1">
      <alignment horizontal="right"/>
    </xf>
    <xf numFmtId="38" fontId="7" fillId="0" borderId="47" xfId="1" applyNumberFormat="1" applyFont="1" applyFill="1" applyBorder="1" applyAlignment="1">
      <alignment horizontal="right"/>
    </xf>
    <xf numFmtId="38" fontId="6" fillId="0" borderId="47" xfId="1" applyNumberFormat="1" applyFont="1" applyFill="1" applyBorder="1" applyAlignment="1">
      <alignment horizontal="right"/>
    </xf>
    <xf numFmtId="38" fontId="6" fillId="0" borderId="48" xfId="1" applyNumberFormat="1" applyFont="1" applyFill="1" applyBorder="1" applyAlignment="1">
      <alignment horizontal="right"/>
    </xf>
    <xf numFmtId="0" fontId="6" fillId="0" borderId="11" xfId="0" applyFont="1" applyFill="1" applyBorder="1" applyAlignment="1">
      <alignment horizontal="left"/>
    </xf>
    <xf numFmtId="164" fontId="7" fillId="0" borderId="0" xfId="0" applyNumberFormat="1" applyFont="1" applyFill="1" applyProtection="1"/>
    <xf numFmtId="40" fontId="7" fillId="0" borderId="0" xfId="1" applyNumberFormat="1" applyFont="1" applyFill="1"/>
    <xf numFmtId="37" fontId="7" fillId="0" borderId="0" xfId="0" applyNumberFormat="1" applyFont="1" applyFill="1" applyProtection="1"/>
    <xf numFmtId="171" fontId="7" fillId="0" borderId="0" xfId="1" applyNumberFormat="1" applyFont="1" applyFill="1"/>
    <xf numFmtId="181" fontId="7" fillId="0" borderId="0" xfId="3" applyNumberFormat="1" applyFont="1" applyFill="1" applyProtection="1"/>
    <xf numFmtId="10" fontId="7" fillId="0" borderId="0" xfId="3" applyNumberFormat="1" applyFont="1" applyFill="1" applyProtection="1"/>
    <xf numFmtId="0" fontId="6" fillId="0" borderId="15" xfId="0" applyFont="1" applyFill="1" applyBorder="1" applyAlignment="1">
      <alignment horizontal="left"/>
    </xf>
    <xf numFmtId="38" fontId="7" fillId="0" borderId="2" xfId="1" applyNumberFormat="1" applyFont="1" applyFill="1" applyBorder="1" applyAlignment="1" applyProtection="1">
      <alignment horizontal="right"/>
    </xf>
    <xf numFmtId="0" fontId="6" fillId="0" borderId="41" xfId="0" applyFont="1" applyFill="1" applyBorder="1" applyAlignment="1">
      <alignment horizontal="left"/>
    </xf>
    <xf numFmtId="0" fontId="9" fillId="0" borderId="4" xfId="0" applyFont="1" applyFill="1" applyBorder="1"/>
    <xf numFmtId="0" fontId="9" fillId="0" borderId="5" xfId="0" applyFont="1" applyFill="1" applyBorder="1"/>
    <xf numFmtId="0" fontId="17" fillId="0" borderId="4" xfId="0" applyFont="1" applyFill="1" applyBorder="1" applyAlignment="1">
      <alignment horizontal="centerContinuous"/>
    </xf>
    <xf numFmtId="168" fontId="17" fillId="0" borderId="12" xfId="1" applyNumberFormat="1" applyFont="1" applyFill="1" applyBorder="1" applyAlignment="1">
      <alignment horizontal="centerContinuous"/>
    </xf>
    <xf numFmtId="0" fontId="12" fillId="0" borderId="12" xfId="0" applyFont="1" applyFill="1" applyBorder="1" applyAlignment="1">
      <alignment horizontal="centerContinuous"/>
    </xf>
    <xf numFmtId="0" fontId="0" fillId="0" borderId="12" xfId="0" applyFill="1" applyBorder="1" applyAlignment="1">
      <alignment horizontal="centerContinuous"/>
    </xf>
    <xf numFmtId="168" fontId="12" fillId="0" borderId="13" xfId="1" applyNumberFormat="1" applyFont="1" applyFill="1" applyBorder="1" applyAlignment="1">
      <alignment horizontal="centerContinuous"/>
    </xf>
    <xf numFmtId="0" fontId="17" fillId="0" borderId="5" xfId="0" applyFont="1" applyFill="1" applyBorder="1" applyAlignment="1">
      <alignment horizontal="centerContinuous"/>
    </xf>
    <xf numFmtId="168" fontId="17" fillId="0" borderId="2" xfId="1" applyNumberFormat="1" applyFont="1" applyFill="1" applyBorder="1" applyAlignment="1">
      <alignment horizontal="centerContinuous"/>
    </xf>
    <xf numFmtId="0" fontId="17" fillId="0" borderId="2" xfId="0" applyFont="1" applyFill="1" applyBorder="1" applyAlignment="1">
      <alignment horizontal="centerContinuous"/>
    </xf>
    <xf numFmtId="168" fontId="17" fillId="0" borderId="9" xfId="1" applyNumberFormat="1" applyFont="1" applyFill="1" applyBorder="1" applyAlignment="1">
      <alignment horizontal="centerContinuous"/>
    </xf>
    <xf numFmtId="168" fontId="17" fillId="0" borderId="11" xfId="1" applyNumberFormat="1" applyFont="1" applyFill="1" applyBorder="1" applyAlignment="1">
      <alignment horizontal="center"/>
    </xf>
    <xf numFmtId="168" fontId="17" fillId="0" borderId="16" xfId="1" applyNumberFormat="1" applyFont="1" applyFill="1" applyBorder="1" applyAlignment="1">
      <alignment horizontal="center"/>
    </xf>
    <xf numFmtId="168" fontId="19" fillId="0" borderId="0" xfId="1" applyNumberFormat="1" applyFont="1" applyFill="1" applyBorder="1" applyAlignment="1" applyProtection="1"/>
    <xf numFmtId="168" fontId="19" fillId="0" borderId="2" xfId="1" applyNumberFormat="1" applyFont="1" applyFill="1" applyBorder="1" applyAlignment="1" applyProtection="1"/>
    <xf numFmtId="168" fontId="12" fillId="0" borderId="0" xfId="1" applyNumberFormat="1" applyFont="1" applyFill="1" applyAlignment="1">
      <alignment horizontal="right"/>
    </xf>
    <xf numFmtId="10" fontId="6" fillId="0" borderId="2" xfId="0" applyNumberFormat="1" applyFont="1" applyFill="1" applyBorder="1" applyProtection="1">
      <protection locked="0"/>
    </xf>
    <xf numFmtId="10" fontId="6" fillId="0" borderId="32" xfId="0" applyNumberFormat="1" applyFont="1" applyFill="1" applyBorder="1" applyProtection="1">
      <protection locked="0"/>
    </xf>
    <xf numFmtId="10" fontId="7" fillId="0" borderId="8" xfId="0" applyNumberFormat="1" applyFont="1" applyFill="1" applyBorder="1" applyProtection="1">
      <protection locked="0"/>
    </xf>
    <xf numFmtId="10" fontId="7" fillId="0" borderId="2" xfId="0" applyNumberFormat="1" applyFont="1" applyFill="1" applyBorder="1" applyProtection="1">
      <protection locked="0"/>
    </xf>
    <xf numFmtId="10" fontId="6" fillId="0" borderId="11" xfId="0" applyNumberFormat="1" applyFont="1" applyFill="1" applyBorder="1" applyProtection="1">
      <protection locked="0"/>
    </xf>
    <xf numFmtId="10" fontId="6" fillId="0" borderId="19" xfId="0" applyNumberFormat="1" applyFont="1" applyFill="1" applyBorder="1" applyProtection="1">
      <protection locked="0"/>
    </xf>
    <xf numFmtId="10" fontId="6" fillId="0" borderId="0" xfId="0" applyNumberFormat="1" applyFont="1" applyFill="1" applyBorder="1" applyProtection="1">
      <protection locked="0"/>
    </xf>
    <xf numFmtId="10" fontId="6" fillId="0" borderId="8" xfId="0" applyNumberFormat="1" applyFont="1" applyFill="1" applyBorder="1" applyProtection="1">
      <protection locked="0"/>
    </xf>
    <xf numFmtId="10" fontId="7" fillId="0" borderId="32" xfId="0" applyNumberFormat="1" applyFont="1" applyFill="1" applyBorder="1" applyProtection="1">
      <protection locked="0"/>
    </xf>
    <xf numFmtId="37" fontId="7" fillId="0" borderId="0" xfId="0" applyNumberFormat="1" applyFont="1" applyFill="1" applyBorder="1" applyProtection="1">
      <protection locked="0"/>
    </xf>
    <xf numFmtId="10" fontId="6" fillId="0" borderId="24" xfId="0" applyNumberFormat="1" applyFont="1" applyFill="1" applyBorder="1" applyProtection="1">
      <protection locked="0"/>
    </xf>
    <xf numFmtId="10" fontId="7" fillId="0" borderId="20" xfId="0" applyNumberFormat="1" applyFont="1" applyFill="1" applyBorder="1" applyProtection="1">
      <protection locked="0"/>
    </xf>
    <xf numFmtId="37" fontId="7" fillId="0" borderId="20" xfId="0" applyNumberFormat="1" applyFont="1" applyFill="1" applyBorder="1" applyProtection="1">
      <protection locked="0"/>
    </xf>
    <xf numFmtId="37" fontId="6" fillId="0" borderId="2" xfId="0" applyNumberFormat="1" applyFont="1" applyFill="1" applyBorder="1" applyProtection="1">
      <protection locked="0"/>
    </xf>
    <xf numFmtId="10" fontId="6" fillId="0" borderId="23" xfId="0" applyNumberFormat="1" applyFont="1" applyFill="1" applyBorder="1" applyProtection="1">
      <protection locked="0"/>
    </xf>
    <xf numFmtId="10" fontId="6" fillId="0" borderId="30" xfId="0" applyNumberFormat="1" applyFont="1" applyFill="1" applyBorder="1" applyProtection="1">
      <protection locked="0"/>
    </xf>
    <xf numFmtId="10" fontId="6" fillId="0" borderId="20" xfId="0" applyNumberFormat="1" applyFont="1" applyFill="1" applyBorder="1" applyProtection="1">
      <protection locked="0"/>
    </xf>
    <xf numFmtId="10" fontId="6" fillId="0" borderId="28" xfId="0" applyNumberFormat="1" applyFont="1" applyFill="1" applyBorder="1" applyProtection="1">
      <protection locked="0"/>
    </xf>
    <xf numFmtId="0" fontId="12" fillId="0" borderId="15" xfId="0" applyFont="1" applyFill="1" applyBorder="1"/>
    <xf numFmtId="181" fontId="5" fillId="0" borderId="0" xfId="3" applyNumberFormat="1" applyFont="1" applyFill="1" applyBorder="1" applyAlignment="1">
      <alignment horizontal="right"/>
    </xf>
    <xf numFmtId="168" fontId="7" fillId="0" borderId="13" xfId="0" applyNumberFormat="1" applyFont="1" applyFill="1" applyBorder="1"/>
    <xf numFmtId="168" fontId="7" fillId="0" borderId="14" xfId="0" applyNumberFormat="1" applyFont="1" applyFill="1" applyBorder="1"/>
    <xf numFmtId="176" fontId="7" fillId="0" borderId="9" xfId="3" applyNumberFormat="1" applyFont="1" applyFill="1" applyBorder="1"/>
    <xf numFmtId="0" fontId="12" fillId="0" borderId="5" xfId="0" applyFont="1" applyFill="1" applyBorder="1"/>
    <xf numFmtId="172" fontId="12" fillId="0" borderId="2" xfId="0" applyNumberFormat="1" applyFont="1" applyFill="1" applyBorder="1"/>
    <xf numFmtId="172" fontId="12" fillId="0" borderId="9" xfId="0" applyNumberFormat="1" applyFont="1" applyFill="1" applyBorder="1"/>
    <xf numFmtId="43" fontId="12" fillId="0" borderId="14" xfId="1" applyFont="1" applyFill="1" applyBorder="1"/>
    <xf numFmtId="43" fontId="12" fillId="0" borderId="9" xfId="1" applyFont="1" applyFill="1" applyBorder="1"/>
    <xf numFmtId="43" fontId="12" fillId="0" borderId="0" xfId="0" applyNumberFormat="1" applyFont="1" applyFill="1" applyBorder="1"/>
    <xf numFmtId="0" fontId="6" fillId="0" borderId="52" xfId="0" applyFont="1" applyFill="1" applyBorder="1" applyAlignment="1" applyProtection="1">
      <alignment horizontal="left"/>
      <protection locked="0"/>
    </xf>
    <xf numFmtId="178" fontId="7" fillId="0" borderId="0" xfId="0" applyNumberFormat="1" applyFont="1" applyFill="1" applyBorder="1"/>
    <xf numFmtId="10" fontId="7" fillId="0" borderId="23" xfId="0" applyNumberFormat="1" applyFont="1" applyFill="1" applyBorder="1"/>
    <xf numFmtId="179" fontId="7" fillId="0" borderId="0" xfId="1" applyNumberFormat="1" applyFont="1" applyFill="1" applyBorder="1"/>
    <xf numFmtId="179" fontId="6" fillId="0" borderId="15" xfId="1" applyNumberFormat="1" applyFont="1" applyFill="1" applyBorder="1"/>
    <xf numFmtId="0" fontId="0" fillId="0" borderId="10" xfId="0" applyFill="1" applyBorder="1"/>
    <xf numFmtId="3" fontId="6" fillId="0" borderId="39" xfId="0" applyNumberFormat="1" applyFont="1" applyFill="1" applyBorder="1"/>
    <xf numFmtId="38" fontId="7" fillId="0" borderId="0" xfId="0" applyNumberFormat="1" applyFont="1" applyFill="1"/>
    <xf numFmtId="3" fontId="7" fillId="0" borderId="53" xfId="0" applyNumberFormat="1" applyFont="1" applyFill="1" applyBorder="1" applyProtection="1"/>
    <xf numFmtId="3" fontId="7" fillId="0" borderId="49" xfId="0" applyNumberFormat="1" applyFont="1" applyFill="1" applyBorder="1" applyProtection="1"/>
    <xf numFmtId="0" fontId="0" fillId="0" borderId="11" xfId="0" applyFill="1" applyBorder="1" applyAlignment="1">
      <alignment horizontal="centerContinuous"/>
    </xf>
    <xf numFmtId="168" fontId="7" fillId="0" borderId="2" xfId="1" applyNumberFormat="1" applyFont="1" applyFill="1" applyBorder="1" applyAlignment="1">
      <alignment horizontal="left"/>
    </xf>
    <xf numFmtId="0" fontId="6" fillId="0" borderId="22" xfId="0" applyFont="1" applyFill="1" applyBorder="1" applyAlignment="1" applyProtection="1">
      <alignment horizontal="centerContinuous"/>
      <protection locked="0"/>
    </xf>
    <xf numFmtId="0" fontId="17" fillId="0" borderId="4" xfId="0" applyFont="1" applyFill="1" applyBorder="1"/>
    <xf numFmtId="0" fontId="12" fillId="0" borderId="12" xfId="0" applyFont="1" applyFill="1" applyBorder="1"/>
    <xf numFmtId="168" fontId="12" fillId="0" borderId="12" xfId="1" applyNumberFormat="1" applyFont="1" applyFill="1" applyBorder="1"/>
    <xf numFmtId="39" fontId="6" fillId="0" borderId="0" xfId="1" applyNumberFormat="1" applyFont="1" applyFill="1" applyBorder="1" applyAlignment="1" applyProtection="1">
      <alignment horizontal="right"/>
    </xf>
    <xf numFmtId="38" fontId="6" fillId="0" borderId="0" xfId="1" applyNumberFormat="1" applyFont="1" applyFill="1" applyBorder="1" applyAlignment="1" applyProtection="1">
      <alignment horizontal="right"/>
    </xf>
    <xf numFmtId="38" fontId="6" fillId="0" borderId="54" xfId="1" applyNumberFormat="1" applyFont="1" applyFill="1" applyBorder="1" applyAlignment="1" applyProtection="1">
      <alignment horizontal="right"/>
    </xf>
    <xf numFmtId="38" fontId="6" fillId="0" borderId="55" xfId="1" applyNumberFormat="1" applyFont="1" applyFill="1" applyBorder="1" applyAlignment="1" applyProtection="1">
      <alignment horizontal="right"/>
    </xf>
    <xf numFmtId="168" fontId="12" fillId="0" borderId="13" xfId="1" applyNumberFormat="1" applyFont="1" applyFill="1" applyBorder="1" applyAlignment="1">
      <alignment horizontal="center"/>
    </xf>
    <xf numFmtId="40" fontId="12" fillId="0" borderId="3" xfId="0" applyNumberFormat="1" applyFont="1" applyFill="1" applyBorder="1" applyProtection="1"/>
    <xf numFmtId="40" fontId="12" fillId="0" borderId="0" xfId="0" applyNumberFormat="1" applyFont="1" applyFill="1" applyBorder="1" applyProtection="1"/>
    <xf numFmtId="40" fontId="7" fillId="0" borderId="6" xfId="1" applyNumberFormat="1" applyFont="1" applyFill="1" applyBorder="1" applyAlignment="1">
      <alignment horizontal="right"/>
    </xf>
    <xf numFmtId="40" fontId="7" fillId="0" borderId="20" xfId="0" applyNumberFormat="1" applyFont="1" applyFill="1" applyBorder="1" applyAlignment="1">
      <alignment horizontal="right"/>
    </xf>
    <xf numFmtId="40" fontId="7" fillId="0" borderId="28" xfId="0" applyNumberFormat="1" applyFont="1" applyFill="1" applyBorder="1" applyAlignment="1">
      <alignment horizontal="right"/>
    </xf>
    <xf numFmtId="40" fontId="7" fillId="0" borderId="0" xfId="0" applyNumberFormat="1" applyFont="1" applyFill="1" applyBorder="1" applyAlignment="1">
      <alignment horizontal="right"/>
    </xf>
    <xf numFmtId="40" fontId="7" fillId="0" borderId="8" xfId="0" applyNumberFormat="1" applyFont="1" applyFill="1" applyBorder="1" applyAlignment="1">
      <alignment horizontal="right"/>
    </xf>
    <xf numFmtId="40" fontId="6" fillId="0" borderId="0" xfId="0" applyNumberFormat="1" applyFont="1" applyFill="1" applyBorder="1"/>
    <xf numFmtId="40" fontId="0" fillId="0" borderId="8" xfId="0" applyNumberFormat="1" applyFill="1" applyBorder="1"/>
    <xf numFmtId="40" fontId="6" fillId="0" borderId="11" xfId="0" applyNumberFormat="1" applyFont="1" applyFill="1" applyBorder="1"/>
    <xf numFmtId="37" fontId="12" fillId="0" borderId="4" xfId="0" applyNumberFormat="1" applyFont="1" applyFill="1" applyBorder="1"/>
    <xf numFmtId="164" fontId="6" fillId="0" borderId="11" xfId="0" applyNumberFormat="1" applyFont="1" applyFill="1" applyBorder="1" applyProtection="1"/>
    <xf numFmtId="39" fontId="6" fillId="0" borderId="23" xfId="1" applyNumberFormat="1" applyFont="1" applyFill="1" applyBorder="1" applyAlignment="1" applyProtection="1">
      <alignment horizontal="right"/>
    </xf>
    <xf numFmtId="38" fontId="6" fillId="0" borderId="23" xfId="1" applyNumberFormat="1" applyFont="1" applyFill="1" applyBorder="1" applyAlignment="1" applyProtection="1">
      <alignment horizontal="right"/>
    </xf>
    <xf numFmtId="0" fontId="6" fillId="0" borderId="56" xfId="0" applyFont="1" applyFill="1" applyBorder="1" applyAlignment="1" applyProtection="1">
      <alignment horizontal="left"/>
      <protection locked="0"/>
    </xf>
    <xf numFmtId="168" fontId="6" fillId="0" borderId="2" xfId="1" applyNumberFormat="1" applyFont="1" applyFill="1" applyBorder="1"/>
    <xf numFmtId="181" fontId="12" fillId="0" borderId="2" xfId="3" applyNumberFormat="1" applyFont="1" applyFill="1" applyBorder="1"/>
    <xf numFmtId="181" fontId="12" fillId="0" borderId="9" xfId="3" applyNumberFormat="1" applyFont="1" applyFill="1" applyBorder="1"/>
    <xf numFmtId="39" fontId="6" fillId="0" borderId="0" xfId="0" applyNumberFormat="1" applyFont="1" applyFill="1" applyBorder="1" applyProtection="1">
      <protection locked="0"/>
    </xf>
    <xf numFmtId="39" fontId="6" fillId="0" borderId="10" xfId="0" applyNumberFormat="1" applyFont="1" applyFill="1" applyBorder="1" applyProtection="1">
      <protection locked="0"/>
    </xf>
    <xf numFmtId="37" fontId="6" fillId="0" borderId="20" xfId="0" applyNumberFormat="1" applyFont="1" applyFill="1" applyBorder="1" applyAlignment="1" applyProtection="1">
      <alignment horizontal="centerContinuous"/>
      <protection locked="0"/>
    </xf>
    <xf numFmtId="37" fontId="6" fillId="0" borderId="15" xfId="0" applyNumberFormat="1" applyFont="1" applyFill="1" applyBorder="1" applyAlignment="1" applyProtection="1">
      <alignment horizontal="centerContinuous"/>
      <protection locked="0"/>
    </xf>
    <xf numFmtId="37" fontId="6" fillId="0" borderId="11" xfId="0" applyNumberFormat="1" applyFont="1" applyFill="1" applyBorder="1" applyAlignment="1" applyProtection="1">
      <alignment horizontal="centerContinuous"/>
      <protection locked="0"/>
    </xf>
    <xf numFmtId="37" fontId="6" fillId="0" borderId="57" xfId="0" applyNumberFormat="1" applyFont="1" applyFill="1" applyBorder="1" applyAlignment="1" applyProtection="1">
      <alignment horizontal="center"/>
      <protection locked="0"/>
    </xf>
    <xf numFmtId="37" fontId="6" fillId="0" borderId="24" xfId="0" applyNumberFormat="1" applyFont="1" applyFill="1" applyBorder="1" applyAlignment="1" applyProtection="1">
      <alignment horizontal="center"/>
      <protection locked="0"/>
    </xf>
    <xf numFmtId="37" fontId="6" fillId="0" borderId="5" xfId="1" applyNumberFormat="1" applyFont="1" applyFill="1" applyBorder="1" applyProtection="1"/>
    <xf numFmtId="37" fontId="6" fillId="0" borderId="2" xfId="1" applyNumberFormat="1" applyFont="1" applyFill="1" applyBorder="1" applyProtection="1"/>
    <xf numFmtId="37" fontId="7" fillId="0" borderId="10" xfId="1" applyNumberFormat="1" applyFont="1" applyFill="1" applyBorder="1" applyProtection="1"/>
    <xf numFmtId="37" fontId="7" fillId="0" borderId="0" xfId="1" applyNumberFormat="1" applyFont="1" applyFill="1" applyBorder="1" applyProtection="1"/>
    <xf numFmtId="37" fontId="7" fillId="0" borderId="5" xfId="1" applyNumberFormat="1" applyFont="1" applyFill="1" applyBorder="1" applyProtection="1"/>
    <xf numFmtId="37" fontId="7" fillId="0" borderId="2" xfId="1" applyNumberFormat="1" applyFont="1" applyFill="1" applyBorder="1" applyProtection="1"/>
    <xf numFmtId="37" fontId="6" fillId="0" borderId="15" xfId="1" applyNumberFormat="1" applyFont="1" applyFill="1" applyBorder="1" applyProtection="1"/>
    <xf numFmtId="37" fontId="6" fillId="0" borderId="11" xfId="1" applyNumberFormat="1" applyFont="1" applyFill="1" applyBorder="1" applyProtection="1"/>
    <xf numFmtId="37" fontId="6" fillId="0" borderId="10" xfId="1" applyNumberFormat="1" applyFont="1" applyFill="1" applyBorder="1" applyProtection="1"/>
    <xf numFmtId="37" fontId="6" fillId="0" borderId="0" xfId="1" applyNumberFormat="1" applyFont="1" applyFill="1" applyBorder="1" applyProtection="1"/>
    <xf numFmtId="37" fontId="7" fillId="0" borderId="10" xfId="1" applyNumberFormat="1" applyFont="1" applyFill="1" applyBorder="1" applyProtection="1">
      <protection locked="0"/>
    </xf>
    <xf numFmtId="37" fontId="7" fillId="0" borderId="0" xfId="1" applyNumberFormat="1" applyFont="1" applyFill="1" applyBorder="1" applyProtection="1">
      <protection locked="0"/>
    </xf>
    <xf numFmtId="37" fontId="7" fillId="0" borderId="10" xfId="0" applyNumberFormat="1" applyFont="1" applyFill="1" applyBorder="1" applyProtection="1">
      <protection locked="0"/>
    </xf>
    <xf numFmtId="37" fontId="6" fillId="0" borderId="24" xfId="1" applyNumberFormat="1" applyFont="1" applyFill="1" applyBorder="1" applyProtection="1"/>
    <xf numFmtId="37" fontId="7" fillId="0" borderId="27" xfId="1" applyNumberFormat="1" applyFont="1" applyFill="1" applyBorder="1" applyProtection="1"/>
    <xf numFmtId="37" fontId="7" fillId="0" borderId="20" xfId="1" applyNumberFormat="1" applyFont="1" applyFill="1" applyBorder="1" applyProtection="1"/>
    <xf numFmtId="37" fontId="6" fillId="0" borderId="15" xfId="0" applyNumberFormat="1" applyFont="1" applyFill="1" applyBorder="1" applyProtection="1">
      <protection locked="0"/>
    </xf>
    <xf numFmtId="37" fontId="6" fillId="0" borderId="11" xfId="0" applyNumberFormat="1" applyFont="1" applyFill="1" applyBorder="1" applyProtection="1">
      <protection locked="0"/>
    </xf>
    <xf numFmtId="37" fontId="6" fillId="0" borderId="10" xfId="0" applyNumberFormat="1" applyFont="1" applyFill="1" applyBorder="1" applyProtection="1">
      <protection locked="0"/>
    </xf>
    <xf numFmtId="37" fontId="6" fillId="0" borderId="0" xfId="0" applyNumberFormat="1" applyFont="1" applyFill="1" applyBorder="1" applyProtection="1">
      <protection locked="0"/>
    </xf>
    <xf numFmtId="37" fontId="7" fillId="0" borderId="5" xfId="1" applyNumberFormat="1" applyFont="1" applyFill="1" applyBorder="1" applyProtection="1">
      <protection locked="0"/>
    </xf>
    <xf numFmtId="37" fontId="7" fillId="0" borderId="2" xfId="1" applyNumberFormat="1" applyFont="1" applyFill="1" applyBorder="1" applyProtection="1">
      <protection locked="0"/>
    </xf>
    <xf numFmtId="37" fontId="6" fillId="0" borderId="15" xfId="1" applyNumberFormat="1" applyFont="1" applyFill="1" applyBorder="1" applyProtection="1">
      <protection locked="0"/>
    </xf>
    <xf numFmtId="37" fontId="6" fillId="0" borderId="11" xfId="1" applyNumberFormat="1" applyFont="1" applyFill="1" applyBorder="1" applyProtection="1">
      <protection locked="0"/>
    </xf>
    <xf numFmtId="37" fontId="6" fillId="0" borderId="29" xfId="1" applyNumberFormat="1" applyFont="1" applyFill="1" applyBorder="1" applyProtection="1">
      <protection locked="0"/>
    </xf>
    <xf numFmtId="37" fontId="6" fillId="0" borderId="23" xfId="1" applyNumberFormat="1" applyFont="1" applyFill="1" applyBorder="1" applyProtection="1">
      <protection locked="0"/>
    </xf>
    <xf numFmtId="37" fontId="7" fillId="0" borderId="27" xfId="1" applyNumberFormat="1" applyFont="1" applyFill="1" applyBorder="1" applyProtection="1">
      <protection locked="0"/>
    </xf>
    <xf numFmtId="37" fontId="7" fillId="0" borderId="20" xfId="1" applyNumberFormat="1" applyFont="1" applyFill="1" applyBorder="1" applyProtection="1">
      <protection locked="0"/>
    </xf>
    <xf numFmtId="37" fontId="6" fillId="0" borderId="10" xfId="1" applyNumberFormat="1" applyFont="1" applyFill="1" applyBorder="1" applyProtection="1">
      <protection locked="0"/>
    </xf>
    <xf numFmtId="37" fontId="6" fillId="0" borderId="0" xfId="1" applyNumberFormat="1" applyFont="1" applyFill="1" applyBorder="1" applyProtection="1">
      <protection locked="0"/>
    </xf>
    <xf numFmtId="37" fontId="6" fillId="0" borderId="27" xfId="1" applyNumberFormat="1" applyFont="1" applyFill="1" applyBorder="1" applyProtection="1">
      <protection locked="0"/>
    </xf>
    <xf numFmtId="37" fontId="6" fillId="0" borderId="20" xfId="1" applyNumberFormat="1" applyFont="1" applyFill="1" applyBorder="1" applyProtection="1">
      <protection locked="0"/>
    </xf>
    <xf numFmtId="37" fontId="7" fillId="0" borderId="0" xfId="1" applyNumberFormat="1" applyFont="1" applyFill="1" applyBorder="1"/>
    <xf numFmtId="37" fontId="8" fillId="0" borderId="0" xfId="0" applyNumberFormat="1" applyFont="1" applyFill="1" applyBorder="1"/>
    <xf numFmtId="37" fontId="8" fillId="0" borderId="0" xfId="0" applyNumberFormat="1" applyFont="1" applyFill="1"/>
    <xf numFmtId="37" fontId="6" fillId="0" borderId="47" xfId="0" applyNumberFormat="1" applyFont="1" applyFill="1" applyBorder="1" applyAlignment="1" applyProtection="1">
      <alignment horizontal="centerContinuous"/>
      <protection locked="0"/>
    </xf>
    <xf numFmtId="37" fontId="6" fillId="0" borderId="20" xfId="0" applyNumberFormat="1" applyFont="1" applyFill="1" applyBorder="1" applyAlignment="1" applyProtection="1">
      <alignment horizontal="center"/>
      <protection locked="0"/>
    </xf>
    <xf numFmtId="37" fontId="6" fillId="0" borderId="23" xfId="0" applyNumberFormat="1" applyFont="1" applyFill="1" applyBorder="1" applyAlignment="1" applyProtection="1">
      <alignment horizontal="center"/>
      <protection locked="0"/>
    </xf>
    <xf numFmtId="37" fontId="7" fillId="0" borderId="2" xfId="0" applyNumberFormat="1" applyFont="1" applyFill="1" applyBorder="1" applyProtection="1">
      <protection locked="0"/>
    </xf>
    <xf numFmtId="37" fontId="7" fillId="0" borderId="2" xfId="1" applyNumberFormat="1" applyFont="1" applyFill="1" applyBorder="1"/>
    <xf numFmtId="37" fontId="6" fillId="0" borderId="23" xfId="0" applyNumberFormat="1" applyFont="1" applyFill="1" applyBorder="1" applyProtection="1">
      <protection locked="0"/>
    </xf>
    <xf numFmtId="37" fontId="0" fillId="0" borderId="0" xfId="0" applyNumberFormat="1" applyFill="1" applyBorder="1"/>
    <xf numFmtId="37" fontId="6" fillId="0" borderId="20" xfId="0" applyNumberFormat="1" applyFont="1" applyFill="1" applyBorder="1" applyProtection="1">
      <protection locked="0"/>
    </xf>
    <xf numFmtId="10" fontId="6" fillId="0" borderId="48" xfId="0" applyNumberFormat="1" applyFont="1" applyFill="1" applyBorder="1" applyAlignment="1" applyProtection="1">
      <alignment horizontal="centerContinuous"/>
      <protection locked="0"/>
    </xf>
    <xf numFmtId="10" fontId="6" fillId="0" borderId="28" xfId="0" applyNumberFormat="1" applyFont="1" applyFill="1" applyBorder="1" applyAlignment="1" applyProtection="1">
      <alignment horizontal="center"/>
      <protection locked="0"/>
    </xf>
    <xf numFmtId="10" fontId="6" fillId="0" borderId="30" xfId="0" applyNumberFormat="1" applyFont="1" applyFill="1" applyBorder="1" applyAlignment="1" applyProtection="1">
      <alignment horizontal="center"/>
      <protection locked="0"/>
    </xf>
    <xf numFmtId="10" fontId="7" fillId="0" borderId="28" xfId="0" applyNumberFormat="1" applyFont="1" applyFill="1" applyBorder="1" applyProtection="1">
      <protection locked="0"/>
    </xf>
    <xf numFmtId="10" fontId="7" fillId="0" borderId="8" xfId="1" applyNumberFormat="1" applyFont="1" applyFill="1" applyBorder="1" applyProtection="1">
      <protection locked="0"/>
    </xf>
    <xf numFmtId="10" fontId="7" fillId="0" borderId="28" xfId="1" applyNumberFormat="1" applyFont="1" applyFill="1" applyBorder="1" applyProtection="1">
      <protection locked="0"/>
    </xf>
    <xf numFmtId="10" fontId="7" fillId="0" borderId="8" xfId="0" applyNumberFormat="1" applyFont="1" applyFill="1" applyBorder="1"/>
    <xf numFmtId="10" fontId="14" fillId="0" borderId="30" xfId="0" applyNumberFormat="1" applyFont="1" applyFill="1" applyBorder="1"/>
    <xf numFmtId="10" fontId="8" fillId="0" borderId="0" xfId="0" applyNumberFormat="1" applyFont="1" applyFill="1"/>
    <xf numFmtId="10" fontId="6" fillId="0" borderId="47" xfId="0" applyNumberFormat="1" applyFont="1" applyFill="1" applyBorder="1" applyAlignment="1" applyProtection="1">
      <alignment horizontal="centerContinuous"/>
      <protection locked="0"/>
    </xf>
    <xf numFmtId="10" fontId="6" fillId="0" borderId="20" xfId="0" applyNumberFormat="1" applyFont="1" applyFill="1" applyBorder="1" applyAlignment="1" applyProtection="1">
      <alignment horizontal="center"/>
      <protection locked="0"/>
    </xf>
    <xf numFmtId="10" fontId="6" fillId="0" borderId="23" xfId="0" applyNumberFormat="1" applyFont="1" applyFill="1" applyBorder="1" applyAlignment="1" applyProtection="1">
      <alignment horizontal="center"/>
      <protection locked="0"/>
    </xf>
    <xf numFmtId="10" fontId="7" fillId="0" borderId="0" xfId="1" applyNumberFormat="1" applyFont="1" applyFill="1" applyBorder="1" applyProtection="1">
      <protection locked="0"/>
    </xf>
    <xf numFmtId="10" fontId="7" fillId="0" borderId="20" xfId="1" applyNumberFormat="1" applyFont="1" applyFill="1" applyBorder="1" applyProtection="1">
      <protection locked="0"/>
    </xf>
    <xf numFmtId="10" fontId="6" fillId="0" borderId="20" xfId="1" applyNumberFormat="1" applyFont="1" applyFill="1" applyBorder="1" applyProtection="1">
      <protection locked="0"/>
    </xf>
    <xf numFmtId="10" fontId="6" fillId="0" borderId="20" xfId="0" applyNumberFormat="1" applyFont="1" applyFill="1" applyBorder="1" applyAlignment="1" applyProtection="1">
      <alignment horizontal="centerContinuous"/>
      <protection locked="0"/>
    </xf>
    <xf numFmtId="10" fontId="6" fillId="0" borderId="16" xfId="0" applyNumberFormat="1" applyFont="1" applyFill="1" applyBorder="1" applyAlignment="1" applyProtection="1">
      <alignment horizontal="centerContinuous"/>
      <protection locked="0"/>
    </xf>
    <xf numFmtId="10" fontId="6" fillId="0" borderId="58" xfId="0" applyNumberFormat="1" applyFont="1" applyFill="1" applyBorder="1" applyAlignment="1" applyProtection="1">
      <alignment horizontal="center"/>
      <protection locked="0"/>
    </xf>
    <xf numFmtId="39" fontId="11" fillId="0" borderId="3" xfId="0" applyNumberFormat="1" applyFont="1" applyFill="1" applyBorder="1" applyAlignment="1">
      <alignment horizontal="left"/>
    </xf>
    <xf numFmtId="39" fontId="11" fillId="0" borderId="0" xfId="0" applyNumberFormat="1" applyFont="1" applyFill="1" applyBorder="1" applyAlignment="1">
      <alignment horizontal="right"/>
    </xf>
    <xf numFmtId="39" fontId="7" fillId="0" borderId="2" xfId="3" applyNumberFormat="1" applyFont="1" applyFill="1" applyBorder="1" applyAlignment="1" applyProtection="1">
      <alignment horizontal="right"/>
    </xf>
    <xf numFmtId="39" fontId="5" fillId="0" borderId="2" xfId="2" applyNumberFormat="1" applyFont="1" applyFill="1" applyBorder="1" applyAlignment="1" applyProtection="1">
      <alignment horizontal="right"/>
    </xf>
    <xf numFmtId="39" fontId="7" fillId="0" borderId="3" xfId="3" applyNumberFormat="1" applyFont="1" applyFill="1" applyBorder="1" applyAlignment="1" applyProtection="1">
      <alignment horizontal="right"/>
    </xf>
    <xf numFmtId="39" fontId="7" fillId="0" borderId="0" xfId="3" applyNumberFormat="1" applyFont="1" applyFill="1" applyBorder="1" applyAlignment="1" applyProtection="1">
      <alignment horizontal="right"/>
    </xf>
    <xf numFmtId="181" fontId="7" fillId="0" borderId="3" xfId="3" applyNumberFormat="1" applyFont="1" applyFill="1" applyBorder="1" applyAlignment="1">
      <alignment horizontal="right"/>
    </xf>
    <xf numFmtId="39" fontId="5" fillId="0" borderId="0" xfId="2" applyNumberFormat="1" applyFont="1" applyFill="1" applyBorder="1" applyAlignment="1" applyProtection="1">
      <alignment horizontal="right"/>
    </xf>
    <xf numFmtId="39" fontId="5" fillId="0" borderId="0" xfId="3" applyNumberFormat="1" applyFont="1" applyFill="1" applyBorder="1" applyAlignment="1" applyProtection="1">
      <alignment horizontal="right"/>
    </xf>
    <xf numFmtId="39" fontId="5" fillId="0" borderId="0" xfId="2" applyNumberFormat="1" applyFont="1" applyFill="1" applyAlignment="1" applyProtection="1">
      <alignment horizontal="right"/>
    </xf>
    <xf numFmtId="39" fontId="7" fillId="0" borderId="0" xfId="3" applyNumberFormat="1" applyFont="1" applyFill="1" applyBorder="1" applyProtection="1"/>
    <xf numFmtId="181" fontId="7" fillId="0" borderId="23" xfId="0" applyNumberFormat="1" applyFont="1" applyFill="1" applyBorder="1" applyAlignment="1">
      <alignment horizontal="right"/>
    </xf>
    <xf numFmtId="181" fontId="5" fillId="0" borderId="3" xfId="3" applyNumberFormat="1" applyFont="1" applyFill="1" applyBorder="1" applyAlignment="1" applyProtection="1">
      <alignment horizontal="right"/>
    </xf>
    <xf numFmtId="181" fontId="7" fillId="0" borderId="2" xfId="0" applyNumberFormat="1" applyFont="1" applyFill="1" applyBorder="1" applyAlignment="1">
      <alignment horizontal="right"/>
    </xf>
    <xf numFmtId="181" fontId="7" fillId="0" borderId="3" xfId="3" applyNumberFormat="1" applyFont="1" applyFill="1" applyBorder="1" applyProtection="1"/>
    <xf numFmtId="39" fontId="6" fillId="0" borderId="0" xfId="0" applyNumberFormat="1" applyFont="1" applyFill="1" applyBorder="1" applyAlignment="1">
      <alignment horizontal="left"/>
    </xf>
    <xf numFmtId="39" fontId="7" fillId="0" borderId="0" xfId="3" applyNumberFormat="1" applyFont="1" applyFill="1" applyBorder="1"/>
    <xf numFmtId="39" fontId="7" fillId="0" borderId="0" xfId="3" applyNumberFormat="1" applyFont="1" applyFill="1" applyProtection="1"/>
    <xf numFmtId="40" fontId="6" fillId="0" borderId="2" xfId="1" applyNumberFormat="1" applyFont="1" applyFill="1" applyBorder="1"/>
    <xf numFmtId="39" fontId="11" fillId="0" borderId="0" xfId="3" applyNumberFormat="1" applyFont="1" applyFill="1" applyBorder="1" applyAlignment="1" applyProtection="1">
      <alignment horizontal="right"/>
    </xf>
    <xf numFmtId="0" fontId="6" fillId="0" borderId="3" xfId="0" applyFont="1" applyFill="1" applyBorder="1" applyAlignment="1" applyProtection="1">
      <alignment horizontal="left" indent="1"/>
      <protection locked="0"/>
    </xf>
    <xf numFmtId="0" fontId="6" fillId="0" borderId="3" xfId="0" applyFont="1" applyFill="1" applyBorder="1" applyAlignment="1" applyProtection="1">
      <alignment horizontal="left" wrapText="1" indent="1"/>
      <protection locked="0"/>
    </xf>
    <xf numFmtId="40" fontId="12" fillId="0" borderId="0" xfId="1" applyNumberFormat="1" applyFont="1" applyFill="1" applyBorder="1" applyAlignment="1"/>
    <xf numFmtId="40" fontId="12" fillId="0" borderId="14" xfId="1" applyNumberFormat="1" applyFont="1" applyFill="1" applyBorder="1" applyAlignment="1"/>
    <xf numFmtId="37" fontId="12" fillId="0" borderId="3" xfId="0" applyNumberFormat="1" applyFont="1" applyFill="1" applyBorder="1" applyAlignment="1" applyProtection="1">
      <alignment vertical="top"/>
    </xf>
    <xf numFmtId="37" fontId="12" fillId="0" borderId="0" xfId="0" applyNumberFormat="1" applyFont="1" applyFill="1" applyBorder="1" applyAlignment="1" applyProtection="1">
      <alignment vertical="top"/>
    </xf>
    <xf numFmtId="40" fontId="12" fillId="0" borderId="10" xfId="1" applyNumberFormat="1" applyFont="1" applyFill="1" applyBorder="1" applyAlignment="1"/>
    <xf numFmtId="168" fontId="12" fillId="0" borderId="11" xfId="0" applyNumberFormat="1" applyFont="1" applyFill="1" applyBorder="1"/>
    <xf numFmtId="168" fontId="12" fillId="0" borderId="16" xfId="0" applyNumberFormat="1" applyFont="1" applyFill="1" applyBorder="1"/>
    <xf numFmtId="168" fontId="12" fillId="0" borderId="9" xfId="0" applyNumberFormat="1" applyFont="1" applyFill="1" applyBorder="1"/>
    <xf numFmtId="3" fontId="12" fillId="0" borderId="0" xfId="0" applyNumberFormat="1" applyFont="1" applyFill="1"/>
    <xf numFmtId="37" fontId="12" fillId="0" borderId="2" xfId="0" applyNumberFormat="1" applyFont="1" applyFill="1" applyBorder="1"/>
    <xf numFmtId="37" fontId="12" fillId="0" borderId="9" xfId="0" applyNumberFormat="1" applyFont="1" applyFill="1" applyBorder="1"/>
    <xf numFmtId="168" fontId="12" fillId="0" borderId="0" xfId="0" applyNumberFormat="1" applyFont="1" applyFill="1" applyBorder="1"/>
    <xf numFmtId="168" fontId="12" fillId="2" borderId="13" xfId="1" applyNumberFormat="1" applyFont="1" applyFill="1" applyBorder="1"/>
    <xf numFmtId="9" fontId="7" fillId="0" borderId="0" xfId="3" applyFont="1" applyFill="1" applyBorder="1" applyProtection="1">
      <protection locked="0"/>
    </xf>
    <xf numFmtId="10" fontId="7" fillId="0" borderId="0" xfId="3" applyNumberFormat="1" applyFont="1" applyFill="1" applyBorder="1" applyProtection="1">
      <protection locked="0"/>
    </xf>
    <xf numFmtId="10" fontId="7" fillId="0" borderId="10" xfId="3" applyNumberFormat="1" applyFont="1" applyFill="1" applyBorder="1" applyProtection="1">
      <protection locked="0"/>
    </xf>
    <xf numFmtId="169" fontId="7" fillId="0" borderId="8" xfId="1" applyNumberFormat="1" applyFont="1" applyFill="1" applyBorder="1" applyAlignment="1">
      <alignment horizontal="right"/>
    </xf>
    <xf numFmtId="181" fontId="0" fillId="0" borderId="0" xfId="3" applyNumberFormat="1" applyFont="1"/>
    <xf numFmtId="43" fontId="0" fillId="0" borderId="0" xfId="1" applyFont="1"/>
    <xf numFmtId="181" fontId="0" fillId="0" borderId="0" xfId="0" applyNumberFormat="1"/>
    <xf numFmtId="0" fontId="7" fillId="0" borderId="0" xfId="0" applyFont="1" applyFill="1" applyBorder="1" applyAlignment="1"/>
    <xf numFmtId="0" fontId="22" fillId="0" borderId="0" xfId="0" applyFont="1"/>
    <xf numFmtId="38" fontId="0" fillId="0" borderId="0" xfId="0" applyNumberFormat="1"/>
    <xf numFmtId="0" fontId="0" fillId="0" borderId="22" xfId="0" applyBorder="1"/>
    <xf numFmtId="181" fontId="0" fillId="0" borderId="47" xfId="3" applyNumberFormat="1" applyFont="1" applyBorder="1"/>
    <xf numFmtId="38" fontId="0" fillId="0" borderId="47" xfId="0" applyNumberFormat="1" applyBorder="1"/>
    <xf numFmtId="38" fontId="0" fillId="0" borderId="48" xfId="0" applyNumberFormat="1" applyBorder="1"/>
    <xf numFmtId="181" fontId="0" fillId="0" borderId="47" xfId="0" applyNumberFormat="1" applyBorder="1"/>
    <xf numFmtId="0" fontId="0" fillId="0" borderId="47" xfId="0" applyBorder="1"/>
    <xf numFmtId="43" fontId="0" fillId="0" borderId="0" xfId="0" applyNumberFormat="1"/>
    <xf numFmtId="0" fontId="22" fillId="0" borderId="0" xfId="0" applyFont="1" applyAlignment="1">
      <alignment horizontal="center"/>
    </xf>
    <xf numFmtId="168" fontId="4" fillId="0" borderId="0" xfId="1" applyNumberFormat="1"/>
    <xf numFmtId="37" fontId="17" fillId="0" borderId="23" xfId="1" applyNumberFormat="1" applyFont="1" applyFill="1" applyBorder="1"/>
    <xf numFmtId="37" fontId="8" fillId="0" borderId="0" xfId="0" applyNumberFormat="1" applyFont="1" applyFill="1" applyAlignment="1">
      <alignment horizontal="center"/>
    </xf>
    <xf numFmtId="10" fontId="8" fillId="0" borderId="0" xfId="0" applyNumberFormat="1" applyFont="1" applyFill="1" applyAlignment="1">
      <alignment horizontal="center"/>
    </xf>
    <xf numFmtId="0" fontId="0" fillId="0" borderId="0" xfId="0" applyFill="1" applyAlignment="1">
      <alignment horizontal="center"/>
    </xf>
    <xf numFmtId="37" fontId="5" fillId="0" borderId="0" xfId="0" applyNumberFormat="1" applyFont="1" applyFill="1" applyBorder="1"/>
    <xf numFmtId="37" fontId="5" fillId="0" borderId="0" xfId="1" applyNumberFormat="1" applyFont="1" applyFill="1" applyBorder="1" applyProtection="1"/>
    <xf numFmtId="37" fontId="6" fillId="0" borderId="26" xfId="0" applyNumberFormat="1" applyFont="1" applyFill="1" applyBorder="1" applyProtection="1">
      <protection locked="0"/>
    </xf>
    <xf numFmtId="37" fontId="7" fillId="0" borderId="11" xfId="0" applyNumberFormat="1" applyFont="1" applyFill="1" applyBorder="1" applyProtection="1">
      <protection locked="0"/>
    </xf>
    <xf numFmtId="37" fontId="7" fillId="0" borderId="15" xfId="0" applyNumberFormat="1" applyFont="1" applyFill="1" applyBorder="1" applyProtection="1">
      <protection locked="0"/>
    </xf>
    <xf numFmtId="10" fontId="7" fillId="0" borderId="11" xfId="0" applyNumberFormat="1" applyFont="1" applyFill="1" applyBorder="1" applyProtection="1">
      <protection locked="0"/>
    </xf>
    <xf numFmtId="37" fontId="7" fillId="0" borderId="16" xfId="0" applyNumberFormat="1" applyFont="1" applyFill="1" applyBorder="1" applyProtection="1">
      <protection locked="0"/>
    </xf>
    <xf numFmtId="37" fontId="7" fillId="0" borderId="4" xfId="0" applyNumberFormat="1" applyFont="1" applyFill="1" applyBorder="1" applyProtection="1">
      <protection locked="0"/>
    </xf>
    <xf numFmtId="10" fontId="7" fillId="0" borderId="12" xfId="0" applyNumberFormat="1" applyFont="1" applyFill="1" applyBorder="1" applyProtection="1">
      <protection locked="0"/>
    </xf>
    <xf numFmtId="37" fontId="7" fillId="0" borderId="13" xfId="0" applyNumberFormat="1" applyFont="1" applyFill="1" applyBorder="1" applyProtection="1">
      <protection locked="0"/>
    </xf>
    <xf numFmtId="37" fontId="7" fillId="0" borderId="5" xfId="0" applyNumberFormat="1" applyFont="1" applyFill="1" applyBorder="1" applyProtection="1">
      <protection locked="0"/>
    </xf>
    <xf numFmtId="37" fontId="7" fillId="0" borderId="9" xfId="0" applyNumberFormat="1" applyFont="1" applyFill="1" applyBorder="1" applyProtection="1">
      <protection locked="0"/>
    </xf>
    <xf numFmtId="37" fontId="12" fillId="0" borderId="0" xfId="0" applyNumberFormat="1" applyFont="1" applyFill="1" applyBorder="1"/>
    <xf numFmtId="181" fontId="12" fillId="0" borderId="0" xfId="3" applyNumberFormat="1" applyFont="1" applyFill="1" applyBorder="1"/>
    <xf numFmtId="168" fontId="0" fillId="0" borderId="0" xfId="1" applyNumberFormat="1" applyFont="1"/>
    <xf numFmtId="168" fontId="22" fillId="0" borderId="0" xfId="1" applyNumberFormat="1" applyFont="1" applyAlignment="1">
      <alignment horizontal="center"/>
    </xf>
    <xf numFmtId="168" fontId="0" fillId="0" borderId="0" xfId="1" applyNumberFormat="1" applyFont="1" applyFill="1"/>
    <xf numFmtId="3" fontId="17" fillId="0" borderId="26" xfId="0" applyNumberFormat="1" applyFont="1" applyFill="1" applyBorder="1" applyAlignment="1">
      <alignment horizontal="center"/>
    </xf>
    <xf numFmtId="37" fontId="12" fillId="0" borderId="32" xfId="0" applyNumberFormat="1" applyFont="1" applyFill="1" applyBorder="1" applyProtection="1"/>
    <xf numFmtId="37" fontId="12" fillId="0" borderId="23" xfId="0" applyNumberFormat="1" applyFont="1" applyFill="1" applyBorder="1" applyProtection="1"/>
    <xf numFmtId="0" fontId="17" fillId="0" borderId="51" xfId="0" applyFont="1" applyFill="1" applyBorder="1" applyAlignment="1">
      <alignment horizontal="right"/>
    </xf>
    <xf numFmtId="43" fontId="12" fillId="0" borderId="8" xfId="1" applyFont="1" applyFill="1" applyBorder="1"/>
    <xf numFmtId="43" fontId="12" fillId="0" borderId="30" xfId="1" applyFont="1" applyFill="1" applyBorder="1"/>
    <xf numFmtId="37" fontId="12" fillId="0" borderId="8" xfId="0" applyNumberFormat="1" applyFont="1" applyFill="1" applyBorder="1"/>
    <xf numFmtId="0" fontId="13" fillId="0" borderId="0" xfId="0" applyFont="1" applyFill="1" applyBorder="1" applyAlignment="1">
      <alignment vertical="center"/>
    </xf>
    <xf numFmtId="0" fontId="12" fillId="0" borderId="0" xfId="0" applyFont="1" applyFill="1" applyBorder="1" applyAlignment="1">
      <alignment vertical="center"/>
    </xf>
    <xf numFmtId="0" fontId="17" fillId="0" borderId="20" xfId="0" applyFont="1" applyFill="1" applyBorder="1" applyAlignment="1">
      <alignment horizontal="center"/>
    </xf>
    <xf numFmtId="0" fontId="17" fillId="0" borderId="23" xfId="0" applyFont="1" applyFill="1" applyBorder="1" applyAlignment="1">
      <alignment horizontal="center"/>
    </xf>
    <xf numFmtId="0" fontId="17" fillId="0" borderId="28" xfId="0" applyFont="1" applyFill="1" applyBorder="1" applyAlignment="1">
      <alignment horizontal="center"/>
    </xf>
    <xf numFmtId="0" fontId="17" fillId="0" borderId="8" xfId="0" applyFont="1" applyFill="1" applyBorder="1" applyAlignment="1">
      <alignment horizontal="center"/>
    </xf>
    <xf numFmtId="0" fontId="17" fillId="0" borderId="10" xfId="0" applyFont="1" applyFill="1" applyBorder="1" applyAlignment="1">
      <alignment horizontal="center"/>
    </xf>
    <xf numFmtId="0" fontId="17" fillId="0" borderId="49" xfId="0" applyFont="1" applyFill="1" applyBorder="1" applyAlignment="1">
      <alignment horizontal="center"/>
    </xf>
    <xf numFmtId="0" fontId="17" fillId="0" borderId="3" xfId="0" applyFont="1" applyFill="1" applyBorder="1" applyAlignment="1">
      <alignment horizontal="left"/>
    </xf>
    <xf numFmtId="38" fontId="0" fillId="0" borderId="0" xfId="0" applyNumberFormat="1" applyFill="1"/>
    <xf numFmtId="0" fontId="5" fillId="0" borderId="0" xfId="0" applyFont="1" applyFill="1" applyBorder="1" applyAlignment="1"/>
    <xf numFmtId="181" fontId="5" fillId="0" borderId="0" xfId="3" applyNumberFormat="1" applyFont="1" applyFill="1" applyBorder="1" applyAlignment="1" applyProtection="1">
      <alignment horizontal="right"/>
    </xf>
    <xf numFmtId="0" fontId="6" fillId="0" borderId="23" xfId="0" applyFont="1" applyFill="1" applyBorder="1" applyAlignment="1">
      <alignment horizontal="center"/>
    </xf>
    <xf numFmtId="168" fontId="12" fillId="3" borderId="0" xfId="1" applyNumberFormat="1" applyFont="1" applyFill="1" applyBorder="1"/>
    <xf numFmtId="168" fontId="12" fillId="3" borderId="13" xfId="1" applyNumberFormat="1" applyFont="1" applyFill="1" applyBorder="1"/>
    <xf numFmtId="168" fontId="12" fillId="3" borderId="14" xfId="1" applyNumberFormat="1" applyFont="1" applyFill="1" applyBorder="1"/>
    <xf numFmtId="168" fontId="12" fillId="3" borderId="2" xfId="1" applyNumberFormat="1" applyFont="1" applyFill="1" applyBorder="1"/>
    <xf numFmtId="168" fontId="12" fillId="3" borderId="9" xfId="1" applyNumberFormat="1" applyFont="1" applyFill="1" applyBorder="1"/>
    <xf numFmtId="0" fontId="0" fillId="0" borderId="3" xfId="0" applyBorder="1"/>
    <xf numFmtId="0" fontId="0" fillId="0" borderId="0" xfId="0" applyBorder="1"/>
    <xf numFmtId="0" fontId="0" fillId="0" borderId="8" xfId="0" applyBorder="1"/>
    <xf numFmtId="37" fontId="5" fillId="0" borderId="0" xfId="0" applyNumberFormat="1" applyFont="1" applyFill="1" applyBorder="1" applyProtection="1">
      <protection locked="0"/>
    </xf>
    <xf numFmtId="10" fontId="5" fillId="0" borderId="0" xfId="0" applyNumberFormat="1" applyFont="1" applyFill="1" applyBorder="1" applyProtection="1">
      <protection locked="0"/>
    </xf>
    <xf numFmtId="10" fontId="5" fillId="0" borderId="8" xfId="0" applyNumberFormat="1" applyFont="1" applyFill="1" applyBorder="1" applyProtection="1">
      <protection locked="0"/>
    </xf>
    <xf numFmtId="39" fontId="6" fillId="0" borderId="3" xfId="0" applyNumberFormat="1" applyFont="1" applyFill="1" applyBorder="1" applyProtection="1">
      <protection locked="0"/>
    </xf>
    <xf numFmtId="0" fontId="0" fillId="0" borderId="23" xfId="0" applyBorder="1"/>
    <xf numFmtId="39" fontId="6" fillId="0" borderId="23" xfId="0" applyNumberFormat="1" applyFont="1" applyFill="1" applyBorder="1" applyProtection="1">
      <protection locked="0"/>
    </xf>
    <xf numFmtId="0" fontId="0" fillId="0" borderId="30" xfId="0" applyBorder="1"/>
    <xf numFmtId="37" fontId="26" fillId="0" borderId="0" xfId="0" applyNumberFormat="1" applyFont="1" applyFill="1" applyBorder="1" applyProtection="1">
      <protection locked="0"/>
    </xf>
    <xf numFmtId="39" fontId="27" fillId="0" borderId="0" xfId="0" applyNumberFormat="1" applyFont="1" applyFill="1" applyBorder="1" applyProtection="1">
      <protection locked="0"/>
    </xf>
    <xf numFmtId="10" fontId="27" fillId="0" borderId="0" xfId="3" applyNumberFormat="1" applyFont="1" applyFill="1" applyBorder="1" applyProtection="1">
      <protection locked="0"/>
    </xf>
    <xf numFmtId="10" fontId="6" fillId="0" borderId="0" xfId="3" applyNumberFormat="1" applyFont="1" applyFill="1" applyBorder="1" applyAlignment="1" applyProtection="1">
      <alignment horizontal="center"/>
      <protection locked="0"/>
    </xf>
    <xf numFmtId="43" fontId="27" fillId="0" borderId="0" xfId="1" applyFont="1" applyFill="1" applyBorder="1" applyProtection="1">
      <protection locked="0"/>
    </xf>
    <xf numFmtId="0" fontId="0" fillId="0" borderId="1" xfId="0" applyBorder="1"/>
    <xf numFmtId="10" fontId="27" fillId="0" borderId="23" xfId="3" applyNumberFormat="1" applyFont="1" applyFill="1" applyBorder="1" applyProtection="1">
      <protection locked="0"/>
    </xf>
    <xf numFmtId="43" fontId="27" fillId="0" borderId="23" xfId="1" applyFont="1" applyFill="1" applyBorder="1" applyProtection="1">
      <protection locked="0"/>
    </xf>
    <xf numFmtId="0" fontId="17" fillId="0" borderId="11" xfId="0" applyFont="1" applyFill="1" applyBorder="1" applyAlignment="1">
      <alignment horizontal="center"/>
    </xf>
    <xf numFmtId="0" fontId="17" fillId="0" borderId="15" xfId="0" applyFont="1" applyFill="1" applyBorder="1" applyAlignment="1">
      <alignment horizontal="center"/>
    </xf>
    <xf numFmtId="0" fontId="28" fillId="0" borderId="0" xfId="0" applyFont="1" applyBorder="1"/>
    <xf numFmtId="0" fontId="0" fillId="0" borderId="0" xfId="0" applyFill="1" applyAlignment="1">
      <alignment horizontal="right"/>
    </xf>
    <xf numFmtId="10" fontId="7" fillId="0" borderId="20" xfId="3" applyNumberFormat="1" applyFont="1" applyFill="1" applyBorder="1" applyProtection="1">
      <protection locked="0"/>
    </xf>
    <xf numFmtId="10" fontId="6" fillId="0" borderId="0" xfId="3" applyNumberFormat="1" applyFont="1" applyFill="1" applyBorder="1" applyProtection="1"/>
    <xf numFmtId="10" fontId="6" fillId="0" borderId="20" xfId="3" applyNumberFormat="1" applyFont="1" applyFill="1" applyBorder="1" applyAlignment="1">
      <alignment horizontal="right"/>
    </xf>
    <xf numFmtId="0" fontId="5" fillId="0" borderId="2" xfId="0" applyFont="1" applyFill="1" applyBorder="1" applyAlignment="1">
      <alignment horizontal="center"/>
    </xf>
    <xf numFmtId="0" fontId="17" fillId="0" borderId="11" xfId="0" applyFont="1" applyFill="1" applyBorder="1" applyAlignment="1">
      <alignment horizontal="center"/>
    </xf>
    <xf numFmtId="0" fontId="17" fillId="0" borderId="15" xfId="0" applyFont="1" applyFill="1" applyBorder="1" applyAlignment="1">
      <alignment horizontal="center"/>
    </xf>
    <xf numFmtId="0" fontId="10" fillId="0" borderId="15" xfId="0" applyFont="1" applyFill="1" applyBorder="1"/>
    <xf numFmtId="0" fontId="11" fillId="0" borderId="11" xfId="0" applyFont="1" applyFill="1" applyBorder="1" applyAlignment="1">
      <alignment horizontal="center"/>
    </xf>
    <xf numFmtId="0" fontId="10" fillId="0" borderId="5" xfId="0" applyFont="1" applyFill="1" applyBorder="1"/>
    <xf numFmtId="0" fontId="3" fillId="0" borderId="0" xfId="0" applyFont="1"/>
    <xf numFmtId="0" fontId="30" fillId="0" borderId="0" xfId="0" applyFont="1"/>
    <xf numFmtId="49" fontId="30" fillId="0" borderId="0" xfId="0" applyNumberFormat="1" applyFont="1"/>
    <xf numFmtId="49" fontId="29" fillId="0" borderId="49" xfId="0" applyNumberFormat="1" applyFont="1" applyBorder="1" applyAlignment="1">
      <alignment horizontal="center"/>
    </xf>
    <xf numFmtId="49" fontId="29" fillId="0" borderId="12" xfId="0" applyNumberFormat="1" applyFont="1" applyBorder="1" applyAlignment="1">
      <alignment horizontal="center"/>
    </xf>
    <xf numFmtId="49" fontId="29" fillId="0" borderId="13" xfId="0" applyNumberFormat="1" applyFont="1" applyBorder="1" applyAlignment="1">
      <alignment horizontal="center"/>
    </xf>
    <xf numFmtId="49" fontId="29" fillId="0" borderId="5" xfId="0" applyNumberFormat="1" applyFont="1" applyBorder="1" applyAlignment="1">
      <alignment horizontal="center"/>
    </xf>
    <xf numFmtId="49" fontId="29" fillId="0" borderId="2" xfId="0" applyNumberFormat="1" applyFont="1" applyBorder="1" applyAlignment="1">
      <alignment horizontal="center"/>
    </xf>
    <xf numFmtId="49" fontId="29" fillId="0" borderId="9" xfId="0" applyNumberFormat="1" applyFont="1" applyBorder="1" applyAlignment="1">
      <alignment horizontal="center"/>
    </xf>
    <xf numFmtId="49" fontId="29" fillId="0" borderId="50" xfId="0" applyNumberFormat="1" applyFont="1" applyBorder="1" applyAlignment="1">
      <alignment horizontal="center"/>
    </xf>
    <xf numFmtId="0" fontId="29" fillId="0" borderId="0" xfId="0" applyFont="1"/>
    <xf numFmtId="41" fontId="30" fillId="0" borderId="0" xfId="0" applyNumberFormat="1" applyFont="1"/>
    <xf numFmtId="0" fontId="29" fillId="0" borderId="0" xfId="0" applyFont="1" applyAlignment="1">
      <alignment horizontal="left" indent="3"/>
    </xf>
    <xf numFmtId="42" fontId="30" fillId="0" borderId="0" xfId="0" applyNumberFormat="1" applyFont="1"/>
    <xf numFmtId="42" fontId="30" fillId="0" borderId="0" xfId="0" applyNumberFormat="1" applyFont="1" applyFill="1"/>
    <xf numFmtId="41" fontId="30" fillId="0" borderId="0" xfId="0" applyNumberFormat="1" applyFont="1" applyFill="1"/>
    <xf numFmtId="0" fontId="30" fillId="0" borderId="0" xfId="0" applyFont="1" applyAlignment="1">
      <alignment horizontal="left" indent="6"/>
    </xf>
    <xf numFmtId="41" fontId="30" fillId="0" borderId="0" xfId="0" applyNumberFormat="1" applyFont="1" applyBorder="1"/>
    <xf numFmtId="41" fontId="30" fillId="0" borderId="0" xfId="0" applyNumberFormat="1" applyFont="1" applyFill="1" applyBorder="1"/>
    <xf numFmtId="0" fontId="30" fillId="0" borderId="0" xfId="0" applyFont="1" applyFill="1"/>
    <xf numFmtId="41" fontId="30" fillId="0" borderId="2" xfId="0" applyNumberFormat="1" applyFont="1" applyBorder="1"/>
    <xf numFmtId="41" fontId="30" fillId="0" borderId="2" xfId="0" applyNumberFormat="1" applyFont="1" applyFill="1" applyBorder="1"/>
    <xf numFmtId="0" fontId="30" fillId="0" borderId="2" xfId="0" applyFont="1" applyFill="1" applyBorder="1"/>
    <xf numFmtId="42" fontId="30" fillId="0" borderId="54" xfId="0" applyNumberFormat="1" applyFont="1" applyBorder="1"/>
    <xf numFmtId="42" fontId="30" fillId="0" borderId="54" xfId="0" applyNumberFormat="1" applyFont="1" applyFill="1" applyBorder="1"/>
    <xf numFmtId="0" fontId="31" fillId="0" borderId="0" xfId="0" applyFont="1"/>
    <xf numFmtId="41" fontId="32" fillId="0" borderId="0" xfId="0" applyNumberFormat="1" applyFont="1" applyBorder="1"/>
    <xf numFmtId="10" fontId="32" fillId="0" borderId="0" xfId="0" applyNumberFormat="1" applyFont="1" applyBorder="1"/>
    <xf numFmtId="10" fontId="32" fillId="0" borderId="0" xfId="0" applyNumberFormat="1" applyFont="1" applyFill="1" applyBorder="1"/>
    <xf numFmtId="41" fontId="32" fillId="0" borderId="0" xfId="0" applyNumberFormat="1" applyFont="1" applyFill="1" applyBorder="1"/>
    <xf numFmtId="0" fontId="31" fillId="0" borderId="0" xfId="0" applyFont="1" applyAlignment="1">
      <alignment horizontal="left" indent="3"/>
    </xf>
    <xf numFmtId="41" fontId="32" fillId="0" borderId="0" xfId="0" applyNumberFormat="1" applyFont="1"/>
    <xf numFmtId="41" fontId="32" fillId="0" borderId="0" xfId="0" applyNumberFormat="1" applyFont="1" applyFill="1"/>
    <xf numFmtId="42" fontId="30" fillId="0" borderId="0" xfId="0" applyNumberFormat="1" applyFont="1" applyBorder="1"/>
    <xf numFmtId="0" fontId="30" fillId="0" borderId="0" xfId="0" applyFont="1" applyAlignment="1">
      <alignment horizontal="left" indent="8"/>
    </xf>
    <xf numFmtId="4" fontId="30" fillId="0" borderId="0" xfId="0" applyNumberFormat="1" applyFont="1"/>
    <xf numFmtId="44" fontId="30" fillId="0" borderId="0" xfId="0" applyNumberFormat="1" applyFont="1"/>
    <xf numFmtId="44" fontId="30" fillId="2" borderId="0" xfId="0" applyNumberFormat="1" applyFont="1" applyFill="1"/>
    <xf numFmtId="10" fontId="30" fillId="0" borderId="0" xfId="0" applyNumberFormat="1" applyFont="1"/>
    <xf numFmtId="0" fontId="11" fillId="0" borderId="11" xfId="0" applyFont="1" applyFill="1" applyBorder="1" applyAlignment="1">
      <alignment horizontal="center"/>
    </xf>
    <xf numFmtId="0" fontId="11" fillId="0" borderId="11" xfId="0" applyFont="1" applyFill="1" applyBorder="1" applyAlignment="1">
      <alignment horizontal="center"/>
    </xf>
    <xf numFmtId="0" fontId="17" fillId="0" borderId="15" xfId="0" applyFont="1" applyFill="1" applyBorder="1" applyAlignment="1">
      <alignment horizontal="center"/>
    </xf>
    <xf numFmtId="0" fontId="17" fillId="0" borderId="11" xfId="0" applyFont="1" applyFill="1" applyBorder="1" applyAlignment="1">
      <alignment horizontal="center"/>
    </xf>
    <xf numFmtId="0" fontId="17" fillId="0" borderId="16" xfId="0" applyFont="1" applyFill="1" applyBorder="1" applyAlignment="1">
      <alignment horizontal="center"/>
    </xf>
    <xf numFmtId="0" fontId="30" fillId="0" borderId="0" xfId="0" applyFont="1" applyAlignment="1">
      <alignment wrapText="1"/>
    </xf>
    <xf numFmtId="37" fontId="30" fillId="0" borderId="0" xfId="0" applyNumberFormat="1" applyFont="1"/>
    <xf numFmtId="43" fontId="0" fillId="0" borderId="0" xfId="1" applyNumberFormat="1" applyFont="1"/>
    <xf numFmtId="0" fontId="0" fillId="0" borderId="0" xfId="0" applyFill="1"/>
    <xf numFmtId="0" fontId="0" fillId="0" borderId="0" xfId="0" applyFill="1" applyBorder="1"/>
    <xf numFmtId="0" fontId="10" fillId="0" borderId="0" xfId="0" applyFont="1" applyFill="1" applyBorder="1"/>
    <xf numFmtId="0" fontId="11" fillId="0" borderId="0" xfId="0" applyFont="1" applyFill="1" applyBorder="1"/>
    <xf numFmtId="0" fontId="11" fillId="0" borderId="0" xfId="0" applyFont="1" applyFill="1" applyBorder="1" applyAlignment="1">
      <alignment horizontal="center"/>
    </xf>
    <xf numFmtId="38" fontId="10" fillId="0" borderId="0" xfId="0" applyNumberFormat="1" applyFont="1" applyFill="1" applyBorder="1"/>
    <xf numFmtId="0" fontId="0" fillId="0" borderId="22" xfId="0" applyFill="1" applyBorder="1"/>
    <xf numFmtId="0" fontId="0" fillId="0" borderId="3" xfId="0" applyFill="1" applyBorder="1"/>
    <xf numFmtId="0" fontId="11" fillId="0" borderId="20" xfId="0" applyFont="1" applyFill="1" applyBorder="1" applyAlignment="1">
      <alignment horizontal="center"/>
    </xf>
    <xf numFmtId="0" fontId="11" fillId="0" borderId="23" xfId="0" applyFont="1" applyFill="1" applyBorder="1" applyAlignment="1">
      <alignment horizontal="center"/>
    </xf>
    <xf numFmtId="37" fontId="10" fillId="0" borderId="0" xfId="0" applyNumberFormat="1" applyFont="1" applyFill="1" applyBorder="1"/>
    <xf numFmtId="37" fontId="10" fillId="0" borderId="0" xfId="0" applyNumberFormat="1" applyFont="1" applyFill="1" applyBorder="1" applyProtection="1"/>
    <xf numFmtId="37" fontId="10" fillId="0" borderId="2" xfId="0" applyNumberFormat="1" applyFont="1" applyFill="1" applyBorder="1"/>
    <xf numFmtId="0" fontId="0" fillId="0" borderId="23" xfId="0" applyFill="1" applyBorder="1"/>
    <xf numFmtId="0" fontId="10" fillId="0" borderId="25" xfId="0" applyFont="1" applyFill="1" applyBorder="1"/>
    <xf numFmtId="2" fontId="10" fillId="0" borderId="3" xfId="0" applyNumberFormat="1" applyFont="1" applyFill="1" applyBorder="1" applyAlignment="1">
      <alignment horizontal="right"/>
    </xf>
    <xf numFmtId="3" fontId="10" fillId="0" borderId="0" xfId="0" applyNumberFormat="1" applyFont="1" applyFill="1" applyBorder="1"/>
    <xf numFmtId="2" fontId="10" fillId="0" borderId="0" xfId="0" applyNumberFormat="1" applyFont="1" applyFill="1" applyBorder="1" applyAlignment="1">
      <alignment horizontal="right"/>
    </xf>
    <xf numFmtId="2" fontId="10" fillId="0" borderId="1" xfId="0" applyNumberFormat="1" applyFont="1" applyFill="1" applyBorder="1" applyAlignment="1">
      <alignment horizontal="right"/>
    </xf>
    <xf numFmtId="3" fontId="10" fillId="0" borderId="23" xfId="0" applyNumberFormat="1" applyFont="1" applyFill="1" applyBorder="1"/>
    <xf numFmtId="2" fontId="10" fillId="0" borderId="23" xfId="0" applyNumberFormat="1" applyFont="1" applyFill="1" applyBorder="1" applyAlignment="1">
      <alignment horizontal="right"/>
    </xf>
    <xf numFmtId="0" fontId="0" fillId="0" borderId="8" xfId="0" applyFill="1" applyBorder="1"/>
    <xf numFmtId="0" fontId="11" fillId="0" borderId="3" xfId="0" applyFont="1" applyFill="1" applyBorder="1"/>
    <xf numFmtId="40" fontId="10" fillId="0" borderId="0" xfId="0" applyNumberFormat="1" applyFont="1" applyFill="1" applyBorder="1"/>
    <xf numFmtId="37" fontId="10" fillId="0" borderId="0" xfId="0" applyNumberFormat="1" applyFont="1" applyFill="1" applyBorder="1" applyAlignment="1">
      <alignment vertical="top"/>
    </xf>
    <xf numFmtId="37" fontId="10" fillId="0" borderId="32" xfId="0" applyNumberFormat="1" applyFont="1" applyFill="1" applyBorder="1"/>
    <xf numFmtId="37" fontId="10" fillId="0" borderId="8" xfId="0" applyNumberFormat="1" applyFont="1" applyFill="1" applyBorder="1"/>
    <xf numFmtId="37" fontId="10" fillId="0" borderId="8" xfId="0" applyNumberFormat="1" applyFont="1" applyFill="1" applyBorder="1" applyAlignment="1">
      <alignment vertical="top"/>
    </xf>
    <xf numFmtId="0" fontId="0" fillId="0" borderId="26" xfId="0" applyFill="1" applyBorder="1"/>
    <xf numFmtId="37" fontId="0" fillId="0" borderId="30" xfId="0" applyNumberFormat="1" applyFill="1" applyBorder="1"/>
    <xf numFmtId="0" fontId="13" fillId="0" borderId="0" xfId="0" applyFont="1" applyFill="1" applyBorder="1" applyAlignment="1">
      <alignment vertical="center"/>
    </xf>
    <xf numFmtId="0" fontId="10" fillId="0" borderId="0" xfId="0" applyFont="1" applyFill="1" applyBorder="1" applyAlignment="1">
      <alignment vertical="center"/>
    </xf>
    <xf numFmtId="0" fontId="13" fillId="0" borderId="23" xfId="0" applyFont="1" applyFill="1" applyBorder="1" applyAlignment="1">
      <alignment vertical="center"/>
    </xf>
    <xf numFmtId="0" fontId="11" fillId="0" borderId="8" xfId="0" applyFont="1" applyFill="1" applyBorder="1" applyAlignment="1">
      <alignment horizontal="center"/>
    </xf>
    <xf numFmtId="0" fontId="10" fillId="0" borderId="3" xfId="0" applyFont="1" applyFill="1" applyBorder="1"/>
    <xf numFmtId="38" fontId="10" fillId="0" borderId="8" xfId="0" applyNumberFormat="1" applyFont="1" applyFill="1" applyBorder="1"/>
    <xf numFmtId="0" fontId="11" fillId="0" borderId="26" xfId="0" applyFont="1" applyFill="1" applyBorder="1" applyAlignment="1">
      <alignment horizontal="center"/>
    </xf>
    <xf numFmtId="38" fontId="12" fillId="0" borderId="3" xfId="0" applyNumberFormat="1" applyFont="1" applyFill="1" applyBorder="1" applyProtection="1"/>
    <xf numFmtId="38" fontId="12" fillId="0" borderId="0" xfId="0" applyNumberFormat="1" applyFont="1" applyFill="1" applyBorder="1" applyProtection="1"/>
    <xf numFmtId="37" fontId="10" fillId="0" borderId="24" xfId="0" applyNumberFormat="1" applyFont="1" applyFill="1" applyBorder="1"/>
    <xf numFmtId="37" fontId="10" fillId="0" borderId="60" xfId="0" applyNumberFormat="1" applyFont="1" applyFill="1" applyBorder="1"/>
    <xf numFmtId="37" fontId="12" fillId="0" borderId="59" xfId="0" applyNumberFormat="1" applyFont="1" applyFill="1" applyBorder="1" applyProtection="1"/>
    <xf numFmtId="0" fontId="11" fillId="0" borderId="0" xfId="10" applyFont="1" applyFill="1" applyBorder="1"/>
    <xf numFmtId="43" fontId="10" fillId="0" borderId="0" xfId="1" applyNumberFormat="1" applyFont="1" applyFill="1" applyBorder="1"/>
    <xf numFmtId="43" fontId="10" fillId="0" borderId="23" xfId="1" applyNumberFormat="1" applyFont="1" applyFill="1" applyBorder="1"/>
    <xf numFmtId="0" fontId="13" fillId="0" borderId="0" xfId="10" applyFont="1" applyFill="1" applyBorder="1" applyAlignment="1">
      <alignment vertical="center"/>
    </xf>
    <xf numFmtId="0" fontId="10" fillId="0" borderId="0" xfId="10" applyFont="1" applyFill="1" applyBorder="1" applyAlignment="1">
      <alignment vertical="center"/>
    </xf>
    <xf numFmtId="0" fontId="10" fillId="0" borderId="23" xfId="10" applyFont="1" applyFill="1" applyBorder="1" applyAlignment="1">
      <alignment vertical="center"/>
    </xf>
    <xf numFmtId="0" fontId="13" fillId="0" borderId="23" xfId="10" applyFont="1" applyFill="1" applyBorder="1" applyAlignment="1">
      <alignment vertical="center"/>
    </xf>
    <xf numFmtId="0" fontId="13" fillId="0" borderId="3" xfId="10" applyFont="1" applyFill="1" applyBorder="1" applyAlignment="1">
      <alignment vertical="center"/>
    </xf>
    <xf numFmtId="0" fontId="13" fillId="0" borderId="1" xfId="10" applyFont="1" applyFill="1" applyBorder="1" applyAlignment="1">
      <alignment vertical="center"/>
    </xf>
    <xf numFmtId="0" fontId="34" fillId="0" borderId="0" xfId="10" applyFont="1" applyFill="1" applyBorder="1" applyAlignment="1">
      <alignment vertical="center"/>
    </xf>
    <xf numFmtId="0" fontId="34" fillId="0" borderId="23" xfId="10" applyFont="1" applyFill="1" applyBorder="1" applyAlignment="1">
      <alignment vertical="center"/>
    </xf>
    <xf numFmtId="0" fontId="11" fillId="0" borderId="0" xfId="0" applyFont="1" applyFill="1" applyBorder="1" applyProtection="1">
      <protection locked="0"/>
    </xf>
    <xf numFmtId="0" fontId="11" fillId="0" borderId="11" xfId="0" applyFont="1" applyFill="1" applyBorder="1" applyAlignment="1">
      <alignment horizontal="center"/>
    </xf>
    <xf numFmtId="182" fontId="10" fillId="0" borderId="0" xfId="1" applyNumberFormat="1" applyFont="1" applyFill="1" applyBorder="1"/>
    <xf numFmtId="183" fontId="10" fillId="0" borderId="0" xfId="2" applyNumberFormat="1" applyFont="1" applyFill="1" applyBorder="1"/>
    <xf numFmtId="0" fontId="0" fillId="0" borderId="6" xfId="0" applyBorder="1"/>
    <xf numFmtId="0" fontId="0" fillId="0" borderId="48" xfId="0" applyBorder="1"/>
    <xf numFmtId="37" fontId="12" fillId="0" borderId="10" xfId="0" applyNumberFormat="1" applyFont="1" applyFill="1" applyBorder="1"/>
    <xf numFmtId="14" fontId="11" fillId="0" borderId="23" xfId="0" applyNumberFormat="1" applyFont="1" applyFill="1" applyBorder="1" applyAlignment="1">
      <alignment horizontal="center"/>
    </xf>
    <xf numFmtId="14" fontId="11" fillId="0" borderId="30" xfId="0" applyNumberFormat="1" applyFont="1" applyFill="1" applyBorder="1" applyAlignment="1">
      <alignment horizontal="center"/>
    </xf>
    <xf numFmtId="0" fontId="10" fillId="0" borderId="0" xfId="0" applyFont="1" applyFill="1"/>
    <xf numFmtId="0" fontId="10" fillId="0" borderId="0" xfId="0" applyFont="1" applyFill="1" applyAlignment="1">
      <alignment horizontal="center"/>
    </xf>
    <xf numFmtId="37" fontId="10" fillId="0" borderId="0" xfId="0" applyNumberFormat="1" applyFont="1" applyFill="1"/>
    <xf numFmtId="37" fontId="37" fillId="0" borderId="0" xfId="11" applyNumberFormat="1" applyFont="1" applyFill="1" applyAlignment="1" applyProtection="1"/>
    <xf numFmtId="168" fontId="10" fillId="0" borderId="0" xfId="1" applyNumberFormat="1" applyFont="1" applyFill="1" applyBorder="1"/>
    <xf numFmtId="183" fontId="10" fillId="0" borderId="0" xfId="0" applyNumberFormat="1" applyFont="1" applyFill="1" applyBorder="1"/>
    <xf numFmtId="168" fontId="10" fillId="0" borderId="0" xfId="0" applyNumberFormat="1" applyFont="1" applyFill="1" applyBorder="1"/>
    <xf numFmtId="168" fontId="10" fillId="0" borderId="0" xfId="1" applyNumberFormat="1" applyFont="1" applyFill="1"/>
    <xf numFmtId="168" fontId="10" fillId="0" borderId="0" xfId="0" applyNumberFormat="1" applyFont="1" applyFill="1"/>
    <xf numFmtId="0" fontId="23" fillId="0" borderId="0" xfId="0" applyFont="1" applyFill="1" applyBorder="1" applyAlignment="1">
      <alignment horizontal="center"/>
    </xf>
    <xf numFmtId="14" fontId="11" fillId="0" borderId="0" xfId="0" applyNumberFormat="1" applyFont="1" applyFill="1" applyBorder="1" applyAlignment="1">
      <alignment horizontal="center"/>
    </xf>
    <xf numFmtId="37" fontId="11" fillId="0" borderId="0" xfId="0" applyNumberFormat="1" applyFont="1" applyFill="1" applyBorder="1"/>
    <xf numFmtId="0" fontId="17" fillId="0" borderId="0" xfId="0" applyFont="1" applyFill="1" applyBorder="1" applyAlignment="1">
      <alignment horizontal="right"/>
    </xf>
    <xf numFmtId="0" fontId="11" fillId="0" borderId="11" xfId="0" applyFont="1" applyFill="1" applyBorder="1" applyAlignment="1">
      <alignment horizontal="center"/>
    </xf>
    <xf numFmtId="0" fontId="17" fillId="0" borderId="15" xfId="0" applyFont="1" applyFill="1" applyBorder="1" applyAlignment="1">
      <alignment horizontal="center"/>
    </xf>
    <xf numFmtId="0" fontId="17" fillId="0" borderId="11" xfId="0" applyFont="1" applyFill="1" applyBorder="1" applyAlignment="1">
      <alignment horizontal="center"/>
    </xf>
    <xf numFmtId="0" fontId="17" fillId="0" borderId="16" xfId="0" applyFont="1" applyFill="1" applyBorder="1" applyAlignment="1">
      <alignment horizontal="center"/>
    </xf>
    <xf numFmtId="0" fontId="10" fillId="0" borderId="11" xfId="0" applyFont="1" applyFill="1" applyBorder="1"/>
    <xf numFmtId="168" fontId="10" fillId="0" borderId="11" xfId="1" applyNumberFormat="1" applyFont="1" applyFill="1" applyBorder="1" applyAlignment="1">
      <alignment horizontal="center"/>
    </xf>
    <xf numFmtId="0" fontId="11" fillId="0" borderId="16" xfId="0" applyFont="1" applyFill="1" applyBorder="1" applyAlignment="1">
      <alignment horizontal="center"/>
    </xf>
    <xf numFmtId="0" fontId="5" fillId="0" borderId="10" xfId="0" applyFont="1" applyFill="1" applyBorder="1" applyAlignment="1">
      <alignment horizontal="left"/>
    </xf>
    <xf numFmtId="0" fontId="5" fillId="0" borderId="5" xfId="0" applyFont="1" applyFill="1" applyBorder="1" applyAlignment="1">
      <alignment horizontal="left"/>
    </xf>
    <xf numFmtId="0" fontId="10" fillId="0" borderId="2" xfId="0" applyFont="1" applyFill="1" applyBorder="1"/>
    <xf numFmtId="0" fontId="10" fillId="0" borderId="10" xfId="0" applyFont="1" applyFill="1" applyBorder="1"/>
    <xf numFmtId="37" fontId="10" fillId="0" borderId="14" xfId="0" applyNumberFormat="1" applyFont="1" applyFill="1" applyBorder="1"/>
    <xf numFmtId="181" fontId="10" fillId="0" borderId="2" xfId="3" applyNumberFormat="1" applyFont="1" applyFill="1" applyBorder="1"/>
    <xf numFmtId="168" fontId="10" fillId="0" borderId="2" xfId="1" applyNumberFormat="1" applyFont="1" applyFill="1" applyBorder="1"/>
    <xf numFmtId="168" fontId="10" fillId="0" borderId="9" xfId="1" applyNumberFormat="1" applyFont="1" applyFill="1" applyBorder="1"/>
    <xf numFmtId="37" fontId="12" fillId="4" borderId="2" xfId="0" applyNumberFormat="1" applyFont="1" applyFill="1" applyBorder="1"/>
    <xf numFmtId="37" fontId="12" fillId="4" borderId="9" xfId="0" applyNumberFormat="1" applyFont="1" applyFill="1" applyBorder="1"/>
    <xf numFmtId="181" fontId="5" fillId="4" borderId="0" xfId="3" applyNumberFormat="1" applyFont="1" applyFill="1" applyBorder="1" applyAlignment="1" applyProtection="1">
      <alignment horizontal="right"/>
    </xf>
    <xf numFmtId="40" fontId="12" fillId="4" borderId="0" xfId="1" applyNumberFormat="1" applyFont="1" applyFill="1" applyBorder="1" applyAlignment="1"/>
    <xf numFmtId="40" fontId="12" fillId="4" borderId="14" xfId="1" applyNumberFormat="1" applyFont="1" applyFill="1" applyBorder="1" applyAlignment="1"/>
    <xf numFmtId="37" fontId="7" fillId="4" borderId="0" xfId="0" applyNumberFormat="1" applyFont="1" applyFill="1" applyBorder="1" applyProtection="1">
      <protection locked="0"/>
    </xf>
    <xf numFmtId="37" fontId="7" fillId="4" borderId="0" xfId="0" applyNumberFormat="1" applyFont="1" applyFill="1" applyBorder="1" applyProtection="1"/>
    <xf numFmtId="37" fontId="7" fillId="4" borderId="0" xfId="1" applyNumberFormat="1" applyFont="1" applyFill="1" applyBorder="1" applyProtection="1">
      <protection locked="0"/>
    </xf>
    <xf numFmtId="37" fontId="12" fillId="0" borderId="5" xfId="0" applyNumberFormat="1" applyFont="1" applyFill="1" applyBorder="1"/>
    <xf numFmtId="168" fontId="12" fillId="0" borderId="2" xfId="1" applyNumberFormat="1" applyFont="1" applyFill="1" applyBorder="1" applyAlignment="1">
      <alignment horizontal="center"/>
    </xf>
    <xf numFmtId="168" fontId="12" fillId="4" borderId="2" xfId="1" applyNumberFormat="1" applyFont="1" applyFill="1" applyBorder="1" applyAlignment="1">
      <alignment horizontal="center"/>
    </xf>
    <xf numFmtId="168" fontId="12" fillId="4" borderId="9" xfId="1" applyNumberFormat="1" applyFont="1" applyFill="1" applyBorder="1" applyAlignment="1">
      <alignment horizontal="center"/>
    </xf>
    <xf numFmtId="37" fontId="12" fillId="0" borderId="14" xfId="0" applyNumberFormat="1" applyFont="1" applyFill="1" applyBorder="1"/>
    <xf numFmtId="0" fontId="17" fillId="0" borderId="15" xfId="0" applyFont="1" applyFill="1" applyBorder="1" applyAlignment="1">
      <alignment horizontal="center"/>
    </xf>
    <xf numFmtId="0" fontId="17" fillId="0" borderId="11" xfId="0" applyFont="1" applyFill="1" applyBorder="1" applyAlignment="1">
      <alignment horizontal="center"/>
    </xf>
    <xf numFmtId="0" fontId="17" fillId="0" borderId="16" xfId="0" applyFont="1" applyFill="1" applyBorder="1" applyAlignment="1">
      <alignment horizontal="center"/>
    </xf>
    <xf numFmtId="0" fontId="11" fillId="0" borderId="15" xfId="0" applyFont="1" applyFill="1" applyBorder="1" applyAlignment="1">
      <alignment horizontal="center"/>
    </xf>
    <xf numFmtId="0" fontId="17" fillId="0" borderId="12" xfId="0" applyFont="1" applyFill="1" applyBorder="1" applyAlignment="1">
      <alignment horizontal="center"/>
    </xf>
    <xf numFmtId="0" fontId="11" fillId="0" borderId="11" xfId="0" applyFont="1" applyFill="1" applyBorder="1" applyAlignment="1">
      <alignment horizontal="center"/>
    </xf>
    <xf numFmtId="0" fontId="11" fillId="0" borderId="16" xfId="0" applyFont="1" applyFill="1" applyBorder="1" applyAlignment="1">
      <alignment horizontal="center"/>
    </xf>
    <xf numFmtId="181" fontId="5" fillId="0" borderId="0" xfId="3" applyNumberFormat="1" applyFont="1" applyFill="1" applyBorder="1" applyAlignment="1" applyProtection="1">
      <alignment horizontal="right"/>
    </xf>
    <xf numFmtId="0" fontId="10" fillId="0" borderId="11" xfId="0" applyFont="1" applyFill="1" applyBorder="1" applyAlignment="1">
      <alignment horizontal="center"/>
    </xf>
    <xf numFmtId="39" fontId="5" fillId="0" borderId="2" xfId="3" applyNumberFormat="1" applyFont="1" applyFill="1" applyBorder="1" applyAlignment="1" applyProtection="1">
      <alignment horizontal="right"/>
    </xf>
    <xf numFmtId="183" fontId="12" fillId="0" borderId="7" xfId="2" applyNumberFormat="1" applyFont="1" applyFill="1" applyBorder="1" applyProtection="1"/>
    <xf numFmtId="183" fontId="10" fillId="0" borderId="2" xfId="2" applyNumberFormat="1" applyFont="1" applyFill="1" applyBorder="1"/>
    <xf numFmtId="183" fontId="12" fillId="0" borderId="2" xfId="2" applyNumberFormat="1" applyFont="1" applyFill="1" applyBorder="1" applyProtection="1"/>
    <xf numFmtId="183" fontId="10" fillId="0" borderId="32" xfId="2" applyNumberFormat="1" applyFont="1" applyFill="1" applyBorder="1"/>
    <xf numFmtId="183" fontId="12" fillId="0" borderId="24" xfId="2" applyNumberFormat="1" applyFont="1" applyFill="1" applyBorder="1" applyProtection="1"/>
    <xf numFmtId="183" fontId="12" fillId="0" borderId="23" xfId="2" applyNumberFormat="1" applyFont="1" applyFill="1" applyBorder="1" applyProtection="1"/>
    <xf numFmtId="183" fontId="12" fillId="0" borderId="30" xfId="2" applyNumberFormat="1" applyFont="1" applyFill="1" applyBorder="1" applyProtection="1"/>
    <xf numFmtId="183" fontId="12" fillId="0" borderId="32" xfId="2" applyNumberFormat="1" applyFont="1" applyFill="1" applyBorder="1" applyProtection="1"/>
    <xf numFmtId="0" fontId="21" fillId="0" borderId="0" xfId="0" applyFont="1" applyFill="1"/>
    <xf numFmtId="183" fontId="21" fillId="0" borderId="0" xfId="2" applyNumberFormat="1" applyFont="1" applyFill="1"/>
    <xf numFmtId="0" fontId="17" fillId="0" borderId="2" xfId="0" applyFont="1" applyFill="1" applyBorder="1"/>
    <xf numFmtId="0" fontId="17" fillId="0" borderId="12" xfId="0" applyFont="1" applyFill="1" applyBorder="1"/>
    <xf numFmtId="0" fontId="6" fillId="0" borderId="12" xfId="0" applyFont="1" applyFill="1" applyBorder="1" applyAlignment="1">
      <alignment horizontal="left"/>
    </xf>
    <xf numFmtId="0" fontId="6" fillId="0" borderId="0" xfId="0" applyFont="1" applyFill="1" applyBorder="1" applyAlignment="1">
      <alignment horizontal="left"/>
    </xf>
    <xf numFmtId="0" fontId="17" fillId="0" borderId="11" xfId="0" applyFont="1" applyFill="1" applyBorder="1"/>
    <xf numFmtId="0" fontId="4" fillId="0" borderId="0" xfId="0" applyFont="1" applyFill="1" applyBorder="1" applyAlignment="1">
      <alignment horizontal="right"/>
    </xf>
    <xf numFmtId="0" fontId="4" fillId="0" borderId="0" xfId="0" applyFont="1" applyFill="1" applyBorder="1" applyAlignment="1"/>
    <xf numFmtId="0" fontId="0" fillId="0" borderId="0" xfId="0" applyFill="1" applyBorder="1" applyAlignment="1"/>
    <xf numFmtId="0" fontId="0" fillId="0" borderId="0" xfId="0" applyFill="1" applyBorder="1" applyAlignment="1">
      <alignment horizontal="right"/>
    </xf>
    <xf numFmtId="39" fontId="0" fillId="0" borderId="0" xfId="0" applyNumberFormat="1" applyFill="1" applyBorder="1" applyAlignment="1"/>
    <xf numFmtId="39" fontId="4" fillId="0" borderId="0" xfId="0" applyNumberFormat="1" applyFont="1" applyFill="1" applyBorder="1" applyAlignment="1"/>
    <xf numFmtId="183" fontId="12" fillId="0" borderId="6" xfId="2" applyNumberFormat="1" applyFont="1" applyFill="1" applyBorder="1" applyProtection="1"/>
    <xf numFmtId="183" fontId="12" fillId="0" borderId="20" xfId="2" applyNumberFormat="1" applyFont="1" applyFill="1" applyBorder="1" applyProtection="1"/>
    <xf numFmtId="183" fontId="12" fillId="0" borderId="0" xfId="2" applyNumberFormat="1" applyFont="1" applyFill="1" applyBorder="1" applyProtection="1"/>
    <xf numFmtId="183" fontId="10" fillId="0" borderId="20" xfId="2" applyNumberFormat="1" applyFont="1" applyFill="1" applyBorder="1"/>
    <xf numFmtId="183" fontId="10" fillId="0" borderId="28" xfId="2" applyNumberFormat="1" applyFont="1" applyFill="1" applyBorder="1"/>
    <xf numFmtId="183" fontId="12" fillId="0" borderId="3" xfId="2" applyNumberFormat="1" applyFont="1" applyFill="1" applyBorder="1" applyProtection="1"/>
    <xf numFmtId="183" fontId="10" fillId="0" borderId="8" xfId="2" applyNumberFormat="1" applyFont="1" applyFill="1" applyBorder="1"/>
    <xf numFmtId="38" fontId="12" fillId="0" borderId="2" xfId="0" applyNumberFormat="1" applyFont="1" applyFill="1" applyBorder="1"/>
    <xf numFmtId="0" fontId="0" fillId="0" borderId="6" xfId="0" applyFill="1" applyBorder="1"/>
    <xf numFmtId="40" fontId="12" fillId="0" borderId="6" xfId="0" applyNumberFormat="1" applyFont="1" applyFill="1" applyBorder="1" applyProtection="1"/>
    <xf numFmtId="40" fontId="10" fillId="0" borderId="20" xfId="0" applyNumberFormat="1" applyFont="1" applyFill="1" applyBorder="1"/>
    <xf numFmtId="40" fontId="12" fillId="0" borderId="20" xfId="0" applyNumberFormat="1" applyFont="1" applyFill="1" applyBorder="1" applyProtection="1"/>
    <xf numFmtId="38" fontId="10" fillId="0" borderId="20" xfId="0" applyNumberFormat="1" applyFont="1" applyFill="1" applyBorder="1"/>
    <xf numFmtId="38" fontId="10" fillId="0" borderId="28" xfId="0" applyNumberFormat="1" applyFont="1" applyFill="1" applyBorder="1"/>
    <xf numFmtId="37" fontId="10" fillId="0" borderId="23" xfId="0" applyNumberFormat="1" applyFont="1" applyFill="1" applyBorder="1"/>
    <xf numFmtId="37" fontId="10" fillId="0" borderId="30" xfId="0" applyNumberFormat="1" applyFont="1" applyFill="1" applyBorder="1"/>
    <xf numFmtId="37" fontId="10" fillId="0" borderId="3" xfId="0" applyNumberFormat="1" applyFont="1" applyFill="1" applyBorder="1"/>
    <xf numFmtId="0" fontId="11" fillId="0" borderId="17" xfId="0" applyFont="1" applyFill="1" applyBorder="1" applyAlignment="1">
      <alignment vertical="center"/>
    </xf>
    <xf numFmtId="49" fontId="29" fillId="0" borderId="4" xfId="0" applyNumberFormat="1" applyFont="1" applyBorder="1" applyAlignment="1">
      <alignment horizontal="center"/>
    </xf>
    <xf numFmtId="49" fontId="29" fillId="0" borderId="12" xfId="0" applyNumberFormat="1" applyFont="1" applyBorder="1" applyAlignment="1">
      <alignment horizontal="center"/>
    </xf>
    <xf numFmtId="0" fontId="29" fillId="0" borderId="0" xfId="0" applyFont="1" applyAlignment="1">
      <alignment horizontal="center"/>
    </xf>
    <xf numFmtId="49" fontId="29" fillId="0" borderId="13" xfId="0" applyNumberFormat="1" applyFont="1" applyBorder="1" applyAlignment="1">
      <alignment horizontal="center"/>
    </xf>
    <xf numFmtId="49" fontId="29" fillId="0" borderId="10" xfId="0" applyNumberFormat="1" applyFont="1" applyBorder="1" applyAlignment="1">
      <alignment horizontal="center"/>
    </xf>
    <xf numFmtId="49" fontId="29" fillId="0" borderId="0" xfId="0" applyNumberFormat="1" applyFont="1" applyBorder="1" applyAlignment="1">
      <alignment horizontal="center"/>
    </xf>
    <xf numFmtId="49" fontId="29" fillId="0" borderId="14" xfId="0" applyNumberFormat="1" applyFont="1" applyBorder="1" applyAlignment="1">
      <alignment horizontal="center"/>
    </xf>
    <xf numFmtId="0" fontId="23" fillId="0" borderId="47" xfId="0" applyFont="1" applyFill="1" applyBorder="1" applyAlignment="1">
      <alignment horizontal="center"/>
    </xf>
    <xf numFmtId="0" fontId="23" fillId="0" borderId="48" xfId="0" applyFont="1" applyFill="1" applyBorder="1" applyAlignment="1">
      <alignment horizontal="center"/>
    </xf>
    <xf numFmtId="0" fontId="17" fillId="0" borderId="15" xfId="0" applyFont="1" applyFill="1" applyBorder="1" applyAlignment="1">
      <alignment horizontal="center"/>
    </xf>
    <xf numFmtId="0" fontId="17" fillId="0" borderId="11" xfId="0" applyFont="1" applyFill="1" applyBorder="1" applyAlignment="1">
      <alignment horizontal="center"/>
    </xf>
    <xf numFmtId="0" fontId="17" fillId="0" borderId="16" xfId="0" applyFont="1" applyFill="1" applyBorder="1" applyAlignment="1">
      <alignment horizontal="center"/>
    </xf>
    <xf numFmtId="0" fontId="11" fillId="0" borderId="15" xfId="0" applyFont="1" applyFill="1" applyBorder="1" applyAlignment="1">
      <alignment horizontal="center"/>
    </xf>
    <xf numFmtId="0" fontId="11" fillId="0" borderId="11" xfId="0" applyFont="1" applyFill="1" applyBorder="1" applyAlignment="1">
      <alignment horizontal="center"/>
    </xf>
    <xf numFmtId="0" fontId="11" fillId="0" borderId="16" xfId="0" applyFont="1" applyFill="1" applyBorder="1" applyAlignment="1">
      <alignment horizontal="center"/>
    </xf>
    <xf numFmtId="181" fontId="5" fillId="0" borderId="0" xfId="3" applyNumberFormat="1" applyFont="1" applyFill="1" applyBorder="1" applyAlignment="1" applyProtection="1">
      <alignment horizontal="right"/>
    </xf>
    <xf numFmtId="0" fontId="4" fillId="0" borderId="14" xfId="0" applyFont="1" applyFill="1" applyBorder="1" applyAlignment="1">
      <alignment horizontal="right"/>
    </xf>
    <xf numFmtId="0" fontId="10" fillId="0" borderId="11" xfId="0" applyFont="1" applyFill="1" applyBorder="1" applyAlignment="1">
      <alignment horizontal="center"/>
    </xf>
    <xf numFmtId="0" fontId="4" fillId="0" borderId="16" xfId="0" applyFont="1" applyFill="1" applyBorder="1" applyAlignment="1"/>
    <xf numFmtId="181" fontId="5" fillId="0" borderId="12" xfId="3" applyNumberFormat="1" applyFont="1" applyFill="1" applyBorder="1" applyAlignment="1" applyProtection="1">
      <alignment horizontal="right"/>
    </xf>
    <xf numFmtId="0" fontId="4" fillId="0" borderId="13" xfId="0" applyFont="1" applyFill="1" applyBorder="1" applyAlignment="1">
      <alignment horizontal="right"/>
    </xf>
    <xf numFmtId="0" fontId="0" fillId="0" borderId="16" xfId="0" applyFill="1" applyBorder="1" applyAlignment="1"/>
    <xf numFmtId="39" fontId="5" fillId="0" borderId="2" xfId="3" applyNumberFormat="1" applyFont="1" applyFill="1" applyBorder="1" applyAlignment="1" applyProtection="1">
      <alignment horizontal="right"/>
    </xf>
    <xf numFmtId="39" fontId="0" fillId="0" borderId="9" xfId="0" applyNumberFormat="1" applyFill="1" applyBorder="1" applyAlignment="1"/>
    <xf numFmtId="0" fontId="17" fillId="0" borderId="4" xfId="0" applyFont="1" applyFill="1" applyBorder="1" applyAlignment="1">
      <alignment horizontal="center"/>
    </xf>
    <xf numFmtId="0" fontId="17" fillId="0" borderId="12" xfId="0" applyFont="1" applyFill="1" applyBorder="1" applyAlignment="1">
      <alignment horizontal="center"/>
    </xf>
    <xf numFmtId="0" fontId="17" fillId="0" borderId="13" xfId="0" applyFont="1" applyFill="1" applyBorder="1" applyAlignment="1">
      <alignment horizontal="center"/>
    </xf>
    <xf numFmtId="0" fontId="17" fillId="0" borderId="5" xfId="0" applyFont="1" applyFill="1" applyBorder="1" applyAlignment="1">
      <alignment horizontal="center"/>
    </xf>
    <xf numFmtId="0" fontId="17" fillId="0" borderId="2" xfId="0" applyFont="1" applyFill="1" applyBorder="1" applyAlignment="1">
      <alignment horizontal="center"/>
    </xf>
    <xf numFmtId="0" fontId="17" fillId="0" borderId="9" xfId="0" applyFont="1" applyFill="1" applyBorder="1" applyAlignment="1">
      <alignment horizontal="center"/>
    </xf>
    <xf numFmtId="0" fontId="0" fillId="0" borderId="14" xfId="0" applyFill="1" applyBorder="1" applyAlignment="1"/>
    <xf numFmtId="39" fontId="4" fillId="0" borderId="9" xfId="0" applyNumberFormat="1" applyFont="1" applyFill="1" applyBorder="1" applyAlignment="1"/>
    <xf numFmtId="0" fontId="4" fillId="0" borderId="14" xfId="0" applyFont="1" applyFill="1" applyBorder="1" applyAlignment="1"/>
    <xf numFmtId="0" fontId="0" fillId="0" borderId="13" xfId="0" applyFill="1" applyBorder="1" applyAlignment="1">
      <alignment horizontal="right"/>
    </xf>
    <xf numFmtId="37" fontId="8" fillId="0" borderId="23" xfId="0" quotePrefix="1" applyNumberFormat="1" applyFont="1" applyFill="1" applyBorder="1" applyAlignment="1">
      <alignment horizontal="center"/>
    </xf>
    <xf numFmtId="37" fontId="8" fillId="0" borderId="23" xfId="0" applyNumberFormat="1" applyFont="1" applyFill="1" applyBorder="1" applyAlignment="1">
      <alignment horizontal="center"/>
    </xf>
    <xf numFmtId="0" fontId="11" fillId="0" borderId="22" xfId="0" applyFont="1" applyFill="1" applyBorder="1" applyAlignment="1">
      <alignment horizontal="center"/>
    </xf>
    <xf numFmtId="0" fontId="11" fillId="0" borderId="47" xfId="0" applyFont="1" applyFill="1" applyBorder="1" applyAlignment="1">
      <alignment horizontal="center"/>
    </xf>
    <xf numFmtId="0" fontId="11" fillId="0" borderId="48" xfId="0" applyFont="1" applyFill="1" applyBorder="1" applyAlignment="1">
      <alignment horizontal="center"/>
    </xf>
    <xf numFmtId="0" fontId="6" fillId="0" borderId="22" xfId="0" applyFont="1" applyFill="1" applyBorder="1" applyAlignment="1">
      <alignment horizontal="center"/>
    </xf>
    <xf numFmtId="0" fontId="6" fillId="0" borderId="47" xfId="0" applyFont="1" applyFill="1" applyBorder="1" applyAlignment="1">
      <alignment horizontal="center"/>
    </xf>
    <xf numFmtId="0" fontId="6" fillId="0" borderId="48" xfId="0" applyFont="1" applyFill="1" applyBorder="1" applyAlignment="1">
      <alignment horizontal="center"/>
    </xf>
    <xf numFmtId="0" fontId="6" fillId="0" borderId="15" xfId="0" applyFont="1" applyFill="1" applyBorder="1" applyAlignment="1">
      <alignment horizontal="center"/>
    </xf>
    <xf numFmtId="0" fontId="6" fillId="0" borderId="11" xfId="0" applyFont="1" applyFill="1" applyBorder="1" applyAlignment="1">
      <alignment horizontal="center"/>
    </xf>
    <xf numFmtId="0" fontId="6" fillId="0" borderId="16" xfId="0" applyFont="1" applyFill="1" applyBorder="1" applyAlignment="1">
      <alignment horizontal="center"/>
    </xf>
    <xf numFmtId="0" fontId="6" fillId="0" borderId="23" xfId="0" applyFont="1" applyFill="1" applyBorder="1" applyAlignment="1">
      <alignment horizontal="center"/>
    </xf>
    <xf numFmtId="0" fontId="9" fillId="0" borderId="22" xfId="0" applyFont="1" applyFill="1" applyBorder="1" applyAlignment="1">
      <alignment horizontal="center"/>
    </xf>
    <xf numFmtId="0" fontId="9" fillId="0" borderId="47" xfId="0" applyFont="1" applyFill="1" applyBorder="1" applyAlignment="1">
      <alignment horizontal="center"/>
    </xf>
    <xf numFmtId="0" fontId="9" fillId="0" borderId="48" xfId="0" applyFont="1" applyFill="1" applyBorder="1" applyAlignment="1">
      <alignment horizontal="center"/>
    </xf>
    <xf numFmtId="0" fontId="9" fillId="0" borderId="11" xfId="0" applyFont="1" applyFill="1" applyBorder="1" applyAlignment="1">
      <alignment horizontal="center"/>
    </xf>
    <xf numFmtId="0" fontId="9" fillId="0" borderId="16" xfId="0" applyFont="1" applyFill="1" applyBorder="1" applyAlignment="1">
      <alignment horizontal="center"/>
    </xf>
  </cellXfs>
  <cellStyles count="16">
    <cellStyle name="Comma" xfId="1" builtinId="3"/>
    <cellStyle name="Comma 2" xfId="4"/>
    <cellStyle name="Comma 2 2" xfId="7"/>
    <cellStyle name="Currency" xfId="2" builtinId="4"/>
    <cellStyle name="Currency 2" xfId="5"/>
    <cellStyle name="Currency 2 2" xfId="8"/>
    <cellStyle name="Currency 3" xfId="13"/>
    <cellStyle name="Currency 3 2" xfId="15"/>
    <cellStyle name="Hyperlink" xfId="11" builtinId="8"/>
    <cellStyle name="Normal" xfId="0" builtinId="0"/>
    <cellStyle name="Normal 2" xfId="10"/>
    <cellStyle name="Normal 3" xfId="12"/>
    <cellStyle name="Normal 3 2" xfId="14"/>
    <cellStyle name="Percent" xfId="3" builtinId="5"/>
    <cellStyle name="Percent 2" xfId="6"/>
    <cellStyle name="Percent 2 2" xfId="9"/>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dimension ref="B2:J31"/>
  <sheetViews>
    <sheetView workbookViewId="0">
      <selection activeCell="G30" sqref="G30"/>
    </sheetView>
  </sheetViews>
  <sheetFormatPr defaultColWidth="8.85546875" defaultRowHeight="12.75"/>
  <cols>
    <col min="1" max="1" width="13.28515625" customWidth="1"/>
    <col min="2" max="2" width="35.42578125" customWidth="1"/>
    <col min="3" max="3" width="12.7109375" customWidth="1"/>
    <col min="4" max="4" width="11.85546875" customWidth="1"/>
    <col min="5" max="5" width="12.42578125" customWidth="1"/>
    <col min="6" max="6" width="13.85546875" customWidth="1"/>
    <col min="7" max="7" width="12.7109375" customWidth="1"/>
    <col min="8" max="8" width="11.85546875" customWidth="1"/>
    <col min="9" max="9" width="12.7109375" customWidth="1"/>
  </cols>
  <sheetData>
    <row r="2" spans="2:4">
      <c r="B2" s="741" t="s">
        <v>314</v>
      </c>
      <c r="C2" s="741" t="s">
        <v>315</v>
      </c>
      <c r="D2" s="741" t="s">
        <v>316</v>
      </c>
    </row>
    <row r="3" spans="2:4">
      <c r="B3" t="s">
        <v>317</v>
      </c>
      <c r="C3" s="742">
        <v>2400000</v>
      </c>
      <c r="D3" s="742">
        <v>3600000</v>
      </c>
    </row>
    <row r="4" spans="2:4">
      <c r="B4" t="s">
        <v>318</v>
      </c>
      <c r="C4" s="742">
        <f>7607573+1968</f>
        <v>7609541</v>
      </c>
      <c r="D4" s="742">
        <f>6526678+1968</f>
        <v>6528646</v>
      </c>
    </row>
    <row r="5" spans="2:4">
      <c r="B5" t="s">
        <v>319</v>
      </c>
      <c r="C5" s="742">
        <v>-26109</v>
      </c>
      <c r="D5" s="742">
        <v>-58191</v>
      </c>
    </row>
    <row r="6" spans="2:4">
      <c r="B6" t="s">
        <v>320</v>
      </c>
      <c r="C6" s="742">
        <v>7897804</v>
      </c>
      <c r="D6" s="742">
        <f>+C6</f>
        <v>7897804</v>
      </c>
    </row>
    <row r="7" spans="2:4">
      <c r="C7" s="742"/>
      <c r="D7" s="742"/>
    </row>
    <row r="8" spans="2:4">
      <c r="C8" s="742">
        <f>SUM(C3:C7)</f>
        <v>17881236</v>
      </c>
      <c r="D8" s="742">
        <f>SUM(D3:D7)</f>
        <v>17968259</v>
      </c>
    </row>
    <row r="9" spans="2:4">
      <c r="C9" s="742"/>
      <c r="D9" s="742"/>
    </row>
    <row r="10" spans="2:4">
      <c r="C10" s="742"/>
      <c r="D10" s="742"/>
    </row>
    <row r="11" spans="2:4">
      <c r="C11" s="742"/>
      <c r="D11" s="742"/>
    </row>
    <row r="12" spans="2:4">
      <c r="C12" s="742"/>
      <c r="D12" s="742"/>
    </row>
    <row r="13" spans="2:4">
      <c r="C13" s="742"/>
      <c r="D13" s="742"/>
    </row>
    <row r="14" spans="2:4">
      <c r="C14" s="742"/>
      <c r="D14" s="742"/>
    </row>
    <row r="15" spans="2:4">
      <c r="C15" s="742"/>
      <c r="D15" s="742"/>
    </row>
    <row r="16" spans="2:4">
      <c r="C16" s="742"/>
      <c r="D16" s="742"/>
    </row>
    <row r="17" spans="2:10">
      <c r="C17" s="742"/>
      <c r="D17" s="742"/>
    </row>
    <row r="18" spans="2:10">
      <c r="C18" s="762" t="s">
        <v>325</v>
      </c>
      <c r="D18" s="762" t="s">
        <v>479</v>
      </c>
      <c r="E18" s="741"/>
      <c r="F18" s="741" t="s">
        <v>325</v>
      </c>
      <c r="G18" s="741" t="s">
        <v>479</v>
      </c>
      <c r="H18" s="741"/>
      <c r="I18" s="741" t="s">
        <v>324</v>
      </c>
    </row>
    <row r="19" spans="2:10">
      <c r="C19" s="741" t="s">
        <v>315</v>
      </c>
      <c r="D19" s="741" t="s">
        <v>323</v>
      </c>
      <c r="E19" s="741" t="s">
        <v>24</v>
      </c>
      <c r="F19" s="741" t="s">
        <v>316</v>
      </c>
      <c r="G19" s="741" t="s">
        <v>316</v>
      </c>
      <c r="H19" s="741" t="s">
        <v>24</v>
      </c>
      <c r="I19" s="741" t="s">
        <v>198</v>
      </c>
    </row>
    <row r="20" spans="2:10">
      <c r="B20" t="s">
        <v>480</v>
      </c>
      <c r="C20" s="761">
        <v>36173569.3266</v>
      </c>
      <c r="D20" s="761">
        <v>35888197</v>
      </c>
      <c r="E20" s="761">
        <f>D20-C20</f>
        <v>-285372.32660000026</v>
      </c>
      <c r="F20" s="761">
        <v>36571478.589192599</v>
      </c>
      <c r="G20" s="761">
        <v>36554830</v>
      </c>
      <c r="H20" s="761">
        <f>G20-F20</f>
        <v>-16648.589192599058</v>
      </c>
      <c r="I20" s="761">
        <f>E20+H20</f>
        <v>-302020.91579259932</v>
      </c>
      <c r="J20" s="761"/>
    </row>
    <row r="21" spans="2:10">
      <c r="B21" t="s">
        <v>481</v>
      </c>
      <c r="C21" s="761">
        <v>14631920</v>
      </c>
      <c r="D21" s="761">
        <v>13100000</v>
      </c>
      <c r="E21" s="761">
        <f>D21-C21</f>
        <v>-1531920</v>
      </c>
      <c r="F21" s="761">
        <v>14924558</v>
      </c>
      <c r="G21" s="761">
        <v>13100000</v>
      </c>
      <c r="H21" s="761">
        <f>G21-F21</f>
        <v>-1824558</v>
      </c>
      <c r="I21" s="761">
        <f>E21+H21</f>
        <v>-3356478</v>
      </c>
      <c r="J21" s="761"/>
    </row>
    <row r="22" spans="2:10">
      <c r="B22" t="s">
        <v>482</v>
      </c>
      <c r="C22" s="761">
        <v>9198446</v>
      </c>
      <c r="D22" s="761">
        <v>10706000</v>
      </c>
      <c r="E22" s="761">
        <f>D22-C22</f>
        <v>1507554</v>
      </c>
      <c r="F22" s="761">
        <v>9474399</v>
      </c>
      <c r="G22" s="761">
        <v>10706000</v>
      </c>
      <c r="H22" s="761">
        <f>G22-F22</f>
        <v>1231601</v>
      </c>
      <c r="I22" s="761">
        <f>E22+H22</f>
        <v>2739155</v>
      </c>
      <c r="J22" s="761"/>
    </row>
    <row r="23" spans="2:10">
      <c r="B23" t="s">
        <v>483</v>
      </c>
      <c r="C23" s="761"/>
      <c r="D23" s="761">
        <v>1000000</v>
      </c>
      <c r="E23" s="761">
        <f>D23-C23</f>
        <v>1000000</v>
      </c>
      <c r="F23" s="761">
        <v>0</v>
      </c>
      <c r="G23" s="761">
        <v>1000000</v>
      </c>
      <c r="H23" s="761">
        <f>G23-F23</f>
        <v>1000000</v>
      </c>
      <c r="I23" s="761">
        <f>E23+H23</f>
        <v>2000000</v>
      </c>
      <c r="J23" s="761"/>
    </row>
    <row r="24" spans="2:10">
      <c r="C24" s="761"/>
      <c r="D24" s="761"/>
      <c r="E24" s="761"/>
      <c r="F24" s="761"/>
      <c r="G24" s="761"/>
      <c r="H24" s="761"/>
      <c r="I24" s="761"/>
      <c r="J24" s="761"/>
    </row>
    <row r="25" spans="2:10">
      <c r="C25" s="761">
        <f>SUM(C20:C24)</f>
        <v>60003935.3266</v>
      </c>
      <c r="D25" s="761">
        <f t="shared" ref="D25:I25" si="0">SUM(D20:D24)</f>
        <v>60694197</v>
      </c>
      <c r="E25" s="761">
        <f t="shared" si="0"/>
        <v>690261.67339999974</v>
      </c>
      <c r="F25" s="761">
        <f>SUM(F20:F24)</f>
        <v>60970435.589192599</v>
      </c>
      <c r="G25" s="761">
        <f t="shared" si="0"/>
        <v>61360830</v>
      </c>
      <c r="H25" s="761">
        <f t="shared" si="0"/>
        <v>390394.41080740094</v>
      </c>
      <c r="I25" s="761">
        <f t="shared" si="0"/>
        <v>1080656.0842074007</v>
      </c>
      <c r="J25" s="761"/>
    </row>
    <row r="26" spans="2:10">
      <c r="C26" s="761"/>
      <c r="D26" s="761"/>
      <c r="E26" s="761"/>
      <c r="F26" s="761"/>
      <c r="G26" s="761"/>
      <c r="H26" s="761"/>
      <c r="I26" s="761"/>
      <c r="J26" s="761"/>
    </row>
    <row r="27" spans="2:10">
      <c r="C27" s="761"/>
      <c r="D27" s="761"/>
      <c r="E27" s="761"/>
      <c r="F27" s="761"/>
      <c r="G27" s="761"/>
      <c r="H27" s="761"/>
      <c r="I27" s="761"/>
      <c r="J27" s="761"/>
    </row>
    <row r="28" spans="2:10">
      <c r="C28" s="761"/>
      <c r="D28" s="761"/>
      <c r="E28" s="761"/>
      <c r="F28" s="761"/>
      <c r="G28" s="761"/>
      <c r="H28" s="761"/>
      <c r="I28" s="761"/>
      <c r="J28" s="761"/>
    </row>
    <row r="29" spans="2:10">
      <c r="C29" s="761"/>
      <c r="D29" s="761"/>
      <c r="E29" s="761"/>
      <c r="F29" s="761"/>
      <c r="G29" s="761"/>
      <c r="H29" s="761"/>
      <c r="I29" s="761"/>
      <c r="J29" s="761"/>
    </row>
    <row r="30" spans="2:10">
      <c r="C30" s="761"/>
      <c r="D30" s="761"/>
      <c r="E30" s="761"/>
      <c r="F30" s="761"/>
      <c r="G30" s="761"/>
      <c r="H30" s="761"/>
      <c r="I30" s="761"/>
      <c r="J30" s="761"/>
    </row>
    <row r="31" spans="2:10">
      <c r="C31" s="761"/>
      <c r="D31" s="761"/>
      <c r="E31" s="761"/>
      <c r="F31" s="761"/>
      <c r="G31" s="761"/>
      <c r="H31" s="761"/>
      <c r="I31" s="761"/>
      <c r="J31" s="761"/>
    </row>
  </sheetData>
  <phoneticPr fontId="21" type="noConversion"/>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dimension ref="A1:R117"/>
  <sheetViews>
    <sheetView topLeftCell="A79" workbookViewId="0">
      <selection activeCell="A11" sqref="A11"/>
    </sheetView>
  </sheetViews>
  <sheetFormatPr defaultRowHeight="12.75"/>
  <cols>
    <col min="1" max="1" width="56" style="821" bestFit="1" customWidth="1"/>
    <col min="2" max="2" width="13.28515625" style="821" hidden="1" customWidth="1"/>
    <col min="3" max="3" width="1.7109375" style="821" hidden="1" customWidth="1"/>
    <col min="4" max="4" width="13.28515625" style="821" hidden="1" customWidth="1"/>
    <col min="5" max="5" width="1.7109375" style="821" hidden="1" customWidth="1"/>
    <col min="6" max="6" width="13.28515625" style="821" hidden="1" customWidth="1"/>
    <col min="7" max="7" width="1.7109375" style="821" customWidth="1"/>
    <col min="8" max="8" width="13.28515625" style="821" customWidth="1"/>
    <col min="9" max="9" width="1.7109375" style="821" customWidth="1"/>
    <col min="10" max="10" width="13.28515625" style="821" customWidth="1"/>
    <col min="11" max="11" width="1.7109375" style="821" customWidth="1"/>
    <col min="12" max="12" width="13.42578125" style="821" customWidth="1"/>
    <col min="13" max="13" width="1.7109375" style="821" customWidth="1"/>
    <col min="14" max="14" width="13.28515625" style="821" customWidth="1"/>
    <col min="15" max="15" width="1.7109375" style="821" customWidth="1"/>
    <col min="16" max="16" width="13.28515625" style="821" bestFit="1" customWidth="1"/>
    <col min="17" max="17" width="1.7109375" customWidth="1"/>
    <col min="18" max="18" width="15" style="821" customWidth="1"/>
    <col min="19" max="19" width="12.85546875" bestFit="1" customWidth="1"/>
  </cols>
  <sheetData>
    <row r="1" spans="1:18">
      <c r="A1" s="1021" t="s">
        <v>501</v>
      </c>
      <c r="B1" s="1021"/>
      <c r="C1" s="1021"/>
      <c r="D1" s="1021"/>
      <c r="E1" s="1021"/>
      <c r="F1" s="1021"/>
      <c r="G1" s="1021"/>
      <c r="H1" s="1021"/>
      <c r="I1" s="1021"/>
      <c r="J1" s="1021"/>
      <c r="K1" s="1021"/>
      <c r="L1" s="1021"/>
      <c r="M1" s="1021"/>
      <c r="N1" s="1021"/>
      <c r="O1" s="1021"/>
      <c r="P1" s="1021"/>
      <c r="Q1" s="1021"/>
      <c r="R1" s="1021"/>
    </row>
    <row r="2" spans="1:18">
      <c r="A2" s="1021" t="s">
        <v>502</v>
      </c>
      <c r="B2" s="1021"/>
      <c r="C2" s="1021"/>
      <c r="D2" s="1021"/>
      <c r="E2" s="1021"/>
      <c r="F2" s="1021"/>
      <c r="G2" s="1021"/>
      <c r="H2" s="1021"/>
      <c r="I2" s="1021"/>
      <c r="J2" s="1021"/>
      <c r="K2" s="1021"/>
      <c r="L2" s="1021"/>
      <c r="M2" s="1021"/>
      <c r="N2" s="1021"/>
      <c r="O2" s="1021"/>
      <c r="P2" s="1021"/>
      <c r="Q2" s="1021"/>
      <c r="R2" s="1021"/>
    </row>
    <row r="3" spans="1:18">
      <c r="A3" s="1021" t="s">
        <v>547</v>
      </c>
      <c r="B3" s="1021"/>
      <c r="C3" s="1021"/>
      <c r="D3" s="1021"/>
      <c r="E3" s="1021"/>
      <c r="F3" s="1021"/>
      <c r="G3" s="1021"/>
      <c r="H3" s="1021"/>
      <c r="I3" s="1021"/>
      <c r="J3" s="1021"/>
      <c r="K3" s="1021"/>
      <c r="L3" s="1021"/>
      <c r="M3" s="1021"/>
      <c r="N3" s="1021"/>
      <c r="O3" s="1021"/>
      <c r="P3" s="1021"/>
      <c r="Q3" s="1021"/>
      <c r="R3" s="1021"/>
    </row>
    <row r="4" spans="1:18">
      <c r="H4" s="1019" t="s">
        <v>548</v>
      </c>
      <c r="I4" s="1020"/>
      <c r="J4" s="1022"/>
    </row>
    <row r="5" spans="1:18">
      <c r="A5" s="822"/>
      <c r="B5" s="1019" t="s">
        <v>504</v>
      </c>
      <c r="C5" s="1020"/>
      <c r="D5" s="1022"/>
      <c r="F5" s="823" t="s">
        <v>41</v>
      </c>
      <c r="H5" s="1023" t="s">
        <v>549</v>
      </c>
      <c r="I5" s="1024"/>
      <c r="J5" s="1025"/>
      <c r="K5" s="822"/>
      <c r="L5" s="1019" t="s">
        <v>582</v>
      </c>
      <c r="M5" s="1020"/>
      <c r="N5" s="1020"/>
      <c r="O5" s="824"/>
      <c r="P5" s="825" t="s">
        <v>503</v>
      </c>
      <c r="R5" s="823" t="s">
        <v>503</v>
      </c>
    </row>
    <row r="6" spans="1:18">
      <c r="A6" s="822"/>
      <c r="B6" s="826" t="s">
        <v>550</v>
      </c>
      <c r="C6" s="827"/>
      <c r="D6" s="828" t="s">
        <v>551</v>
      </c>
      <c r="F6" s="829" t="s">
        <v>551</v>
      </c>
      <c r="H6" s="826" t="s">
        <v>315</v>
      </c>
      <c r="I6" s="827"/>
      <c r="J6" s="828" t="s">
        <v>316</v>
      </c>
      <c r="K6" s="822"/>
      <c r="L6" s="826" t="s">
        <v>494</v>
      </c>
      <c r="M6" s="827"/>
      <c r="N6" s="827" t="s">
        <v>495</v>
      </c>
      <c r="O6" s="827"/>
      <c r="P6" s="828" t="s">
        <v>44</v>
      </c>
      <c r="R6" s="829" t="s">
        <v>552</v>
      </c>
    </row>
    <row r="7" spans="1:18">
      <c r="A7" s="830" t="s">
        <v>505</v>
      </c>
      <c r="B7" s="831"/>
      <c r="C7" s="831"/>
      <c r="D7" s="831"/>
      <c r="E7" s="831"/>
      <c r="F7" s="831"/>
      <c r="G7" s="831"/>
      <c r="H7" s="831"/>
      <c r="I7" s="831"/>
      <c r="J7" s="831"/>
      <c r="L7" s="831"/>
      <c r="M7" s="831"/>
      <c r="N7" s="831"/>
      <c r="O7" s="831"/>
    </row>
    <row r="8" spans="1:18">
      <c r="A8" s="832" t="s">
        <v>506</v>
      </c>
      <c r="B8" s="833">
        <v>1041362589</v>
      </c>
      <c r="C8" s="831"/>
      <c r="D8" s="833">
        <v>1090795262</v>
      </c>
      <c r="E8" s="831"/>
      <c r="F8" s="833">
        <v>1137402312</v>
      </c>
      <c r="G8" s="831"/>
      <c r="H8" s="833">
        <f>1173542690+69080821-18917900-42371-33893</f>
        <v>1223629347</v>
      </c>
      <c r="I8" s="831"/>
      <c r="J8" s="833">
        <f>1154625174-69080821+33893+139533874</f>
        <v>1225112120</v>
      </c>
      <c r="L8" s="834">
        <f>DSASUMM!AI130</f>
        <v>1088280726.8191226</v>
      </c>
      <c r="M8" s="835"/>
      <c r="N8" s="834">
        <f>DSASUMM!AK130</f>
        <v>1111331100.0721803</v>
      </c>
      <c r="O8" s="835"/>
      <c r="P8" s="834">
        <f>SUM(L8:N8)</f>
        <v>2199611826.8913031</v>
      </c>
      <c r="Q8" s="9"/>
      <c r="R8" s="834">
        <f>P8-SUM(H8:J8)</f>
        <v>-249129640.10869694</v>
      </c>
    </row>
    <row r="9" spans="1:18" ht="6" customHeight="1">
      <c r="A9" s="836"/>
      <c r="B9" s="837"/>
      <c r="C9" s="837"/>
      <c r="D9" s="837"/>
      <c r="E9" s="837"/>
      <c r="F9" s="837"/>
      <c r="G9" s="837"/>
      <c r="H9" s="837"/>
      <c r="I9" s="837"/>
      <c r="J9" s="837"/>
      <c r="L9" s="838"/>
      <c r="M9" s="838"/>
      <c r="N9" s="838"/>
      <c r="O9" s="838"/>
      <c r="P9" s="839"/>
      <c r="Q9" s="9"/>
      <c r="R9" s="839"/>
    </row>
    <row r="10" spans="1:18">
      <c r="A10" s="832" t="s">
        <v>553</v>
      </c>
      <c r="B10" s="833">
        <v>0</v>
      </c>
      <c r="C10" s="831"/>
      <c r="D10" s="833">
        <v>0</v>
      </c>
      <c r="E10" s="831"/>
      <c r="F10" s="833">
        <v>139626106</v>
      </c>
      <c r="G10" s="831"/>
      <c r="H10" s="833">
        <v>0</v>
      </c>
      <c r="I10" s="831"/>
      <c r="J10" s="833">
        <v>0</v>
      </c>
      <c r="L10" s="834">
        <v>0</v>
      </c>
      <c r="M10" s="835"/>
      <c r="N10" s="834">
        <v>0</v>
      </c>
      <c r="O10" s="835"/>
      <c r="P10" s="834">
        <f>SUM(L10:N10)</f>
        <v>0</v>
      </c>
      <c r="Q10" s="9"/>
      <c r="R10" s="834">
        <f>P10-SUM(H10:J10)</f>
        <v>0</v>
      </c>
    </row>
    <row r="11" spans="1:18" ht="6" customHeight="1">
      <c r="A11" s="836"/>
      <c r="B11" s="837"/>
      <c r="C11" s="837"/>
      <c r="D11" s="837"/>
      <c r="E11" s="837"/>
      <c r="F11" s="837"/>
      <c r="G11" s="837"/>
      <c r="H11" s="837"/>
      <c r="I11" s="837"/>
      <c r="J11" s="837"/>
      <c r="L11" s="838"/>
      <c r="M11" s="838"/>
      <c r="N11" s="838"/>
      <c r="O11" s="838"/>
      <c r="P11" s="839"/>
      <c r="Q11" s="9"/>
      <c r="R11" s="839"/>
    </row>
    <row r="12" spans="1:18">
      <c r="A12" s="832" t="s">
        <v>507</v>
      </c>
      <c r="B12" s="833"/>
      <c r="C12" s="833"/>
      <c r="D12" s="833"/>
      <c r="E12" s="833"/>
      <c r="F12" s="833"/>
      <c r="G12" s="833"/>
      <c r="H12" s="833"/>
      <c r="I12" s="833"/>
      <c r="J12" s="833"/>
      <c r="L12" s="834"/>
      <c r="M12" s="834"/>
      <c r="N12" s="834"/>
      <c r="O12" s="834"/>
      <c r="P12" s="839"/>
      <c r="Q12" s="9"/>
      <c r="R12" s="839"/>
    </row>
    <row r="13" spans="1:18">
      <c r="A13" s="836" t="s">
        <v>508</v>
      </c>
      <c r="B13" s="833">
        <v>1021135885</v>
      </c>
      <c r="C13" s="831"/>
      <c r="D13" s="833">
        <v>1108717188</v>
      </c>
      <c r="E13" s="831"/>
      <c r="F13" s="833"/>
      <c r="G13" s="831"/>
      <c r="H13" s="833">
        <v>872948748</v>
      </c>
      <c r="I13" s="831"/>
      <c r="J13" s="833">
        <v>888433910</v>
      </c>
      <c r="L13" s="834">
        <f>-DSASUMM!AI121</f>
        <v>941734793.09000003</v>
      </c>
      <c r="M13" s="835"/>
      <c r="N13" s="834">
        <f>-DSASUMM!AK121</f>
        <v>969986647.63000011</v>
      </c>
      <c r="O13" s="835"/>
      <c r="P13" s="834">
        <f t="shared" ref="P13:P18" si="0">SUM(L13:N13)</f>
        <v>1911721440.7200003</v>
      </c>
      <c r="Q13" s="9"/>
      <c r="R13" s="834">
        <f t="shared" ref="R13:R19" si="1">P13-SUM(H13:J13)</f>
        <v>150338782.72000027</v>
      </c>
    </row>
    <row r="14" spans="1:18">
      <c r="A14" s="836" t="s">
        <v>554</v>
      </c>
      <c r="B14" s="833"/>
      <c r="C14" s="831"/>
      <c r="D14" s="833"/>
      <c r="E14" s="831"/>
      <c r="F14" s="833"/>
      <c r="G14" s="831"/>
      <c r="H14" s="831">
        <v>0</v>
      </c>
      <c r="I14" s="831"/>
      <c r="J14" s="831">
        <v>0</v>
      </c>
      <c r="L14" s="835"/>
      <c r="M14" s="835"/>
      <c r="N14" s="835"/>
      <c r="O14" s="835"/>
      <c r="P14" s="835">
        <f t="shared" si="0"/>
        <v>0</v>
      </c>
      <c r="Q14" s="9"/>
      <c r="R14" s="835">
        <f t="shared" si="1"/>
        <v>0</v>
      </c>
    </row>
    <row r="15" spans="1:18">
      <c r="A15" s="836" t="s">
        <v>509</v>
      </c>
      <c r="B15" s="831">
        <v>258661179</v>
      </c>
      <c r="C15" s="831"/>
      <c r="D15" s="831">
        <v>290268708</v>
      </c>
      <c r="E15" s="831"/>
      <c r="F15" s="831"/>
      <c r="G15" s="831"/>
      <c r="H15" s="831">
        <v>262851182</v>
      </c>
      <c r="I15" s="831"/>
      <c r="J15" s="831">
        <v>212922114</v>
      </c>
      <c r="L15" s="835">
        <f>-DSASUMM!AI122</f>
        <v>202433266</v>
      </c>
      <c r="M15" s="835"/>
      <c r="N15" s="835">
        <f>-DSASUMM!AK122</f>
        <v>202931773</v>
      </c>
      <c r="O15" s="835"/>
      <c r="P15" s="835">
        <f t="shared" si="0"/>
        <v>405365039</v>
      </c>
      <c r="Q15" s="9"/>
      <c r="R15" s="835">
        <f t="shared" si="1"/>
        <v>-70408257</v>
      </c>
    </row>
    <row r="16" spans="1:18">
      <c r="A16" s="836" t="s">
        <v>598</v>
      </c>
      <c r="B16" s="831"/>
      <c r="C16" s="831"/>
      <c r="D16" s="831"/>
      <c r="E16" s="831"/>
      <c r="F16" s="831"/>
      <c r="G16" s="831"/>
      <c r="H16" s="831">
        <v>0</v>
      </c>
      <c r="I16" s="831"/>
      <c r="J16" s="831">
        <v>0</v>
      </c>
      <c r="L16" s="835">
        <f>-DSASUMM!AI123</f>
        <v>0</v>
      </c>
      <c r="M16" s="835"/>
      <c r="N16" s="835">
        <f>-DSASUMM!AK123</f>
        <v>0</v>
      </c>
      <c r="O16" s="835"/>
      <c r="P16" s="835">
        <f t="shared" ref="P16" si="2">SUM(L16:N16)</f>
        <v>0</v>
      </c>
      <c r="Q16" s="9"/>
      <c r="R16" s="835">
        <f t="shared" ref="R16" si="3">P16-SUM(H16:J16)</f>
        <v>0</v>
      </c>
    </row>
    <row r="17" spans="1:18">
      <c r="A17" s="836" t="s">
        <v>510</v>
      </c>
      <c r="B17" s="831">
        <v>0</v>
      </c>
      <c r="C17" s="831"/>
      <c r="D17" s="831">
        <v>0</v>
      </c>
      <c r="E17" s="831"/>
      <c r="F17" s="831"/>
      <c r="G17" s="831"/>
      <c r="H17" s="831">
        <v>10000000</v>
      </c>
      <c r="I17" s="831"/>
      <c r="J17" s="831">
        <v>10000000</v>
      </c>
      <c r="L17" s="835">
        <f>-DSASUMM!AI124</f>
        <v>20000000</v>
      </c>
      <c r="M17" s="835"/>
      <c r="N17" s="835">
        <f>-DSASUMM!AK124</f>
        <v>20000000</v>
      </c>
      <c r="O17" s="835"/>
      <c r="P17" s="835">
        <f t="shared" si="0"/>
        <v>40000000</v>
      </c>
      <c r="Q17" s="9"/>
      <c r="R17" s="835">
        <f t="shared" si="1"/>
        <v>20000000</v>
      </c>
    </row>
    <row r="18" spans="1:18">
      <c r="A18" s="836" t="s">
        <v>511</v>
      </c>
      <c r="B18" s="831">
        <v>0</v>
      </c>
      <c r="C18" s="831"/>
      <c r="D18" s="831">
        <v>0</v>
      </c>
      <c r="E18" s="831"/>
      <c r="F18" s="831"/>
      <c r="G18" s="831"/>
      <c r="H18" s="831">
        <v>6000000</v>
      </c>
      <c r="I18" s="831"/>
      <c r="J18" s="831">
        <v>5400000</v>
      </c>
      <c r="L18" s="835">
        <v>0</v>
      </c>
      <c r="M18" s="835"/>
      <c r="N18" s="835">
        <v>0</v>
      </c>
      <c r="O18" s="835"/>
      <c r="P18" s="835">
        <f t="shared" si="0"/>
        <v>0</v>
      </c>
      <c r="Q18" s="9"/>
      <c r="R18" s="835">
        <f t="shared" si="1"/>
        <v>-11400000</v>
      </c>
    </row>
    <row r="19" spans="1:18">
      <c r="A19" s="836" t="s">
        <v>555</v>
      </c>
      <c r="B19" s="831"/>
      <c r="C19" s="831"/>
      <c r="D19" s="831"/>
      <c r="E19" s="831"/>
      <c r="F19" s="831"/>
      <c r="G19" s="831"/>
      <c r="H19" s="831">
        <v>0</v>
      </c>
      <c r="I19" s="831"/>
      <c r="J19" s="831">
        <v>25000000</v>
      </c>
      <c r="L19" s="835">
        <v>0</v>
      </c>
      <c r="M19" s="835"/>
      <c r="N19" s="835">
        <v>0</v>
      </c>
      <c r="O19" s="835"/>
      <c r="P19" s="835">
        <f t="shared" ref="P19" si="4">SUM(L19:N19)</f>
        <v>0</v>
      </c>
      <c r="Q19" s="9"/>
      <c r="R19" s="835">
        <f t="shared" si="1"/>
        <v>-25000000</v>
      </c>
    </row>
    <row r="20" spans="1:18" ht="6" customHeight="1">
      <c r="A20" s="836"/>
      <c r="B20" s="840"/>
      <c r="C20" s="837"/>
      <c r="D20" s="840"/>
      <c r="E20" s="837"/>
      <c r="F20" s="840"/>
      <c r="G20" s="837"/>
      <c r="H20" s="840"/>
      <c r="I20" s="837"/>
      <c r="J20" s="840"/>
      <c r="L20" s="841"/>
      <c r="M20" s="838"/>
      <c r="N20" s="841"/>
      <c r="O20" s="838"/>
      <c r="P20" s="842"/>
      <c r="Q20" s="9"/>
      <c r="R20" s="842"/>
    </row>
    <row r="21" spans="1:18">
      <c r="A21" s="832" t="s">
        <v>512</v>
      </c>
      <c r="B21" s="833">
        <f>SUM(B13:B20)</f>
        <v>1279797064</v>
      </c>
      <c r="C21" s="833"/>
      <c r="D21" s="833">
        <f>SUM(D13:D20)</f>
        <v>1398985896</v>
      </c>
      <c r="E21" s="833"/>
      <c r="F21" s="833">
        <f>SUM(F13:F20)</f>
        <v>0</v>
      </c>
      <c r="G21" s="833"/>
      <c r="H21" s="833">
        <f>SUM(H13:H20)</f>
        <v>1151799930</v>
      </c>
      <c r="I21" s="833"/>
      <c r="J21" s="833">
        <f>SUM(J13:J20)</f>
        <v>1141756024</v>
      </c>
      <c r="L21" s="834">
        <f>SUM(L13:L20)</f>
        <v>1164168059.0900002</v>
      </c>
      <c r="M21" s="834"/>
      <c r="N21" s="834">
        <f>SUM(N13:N20)</f>
        <v>1192918420.6300001</v>
      </c>
      <c r="O21" s="834"/>
      <c r="P21" s="834">
        <f>SUM(P13:P20)</f>
        <v>2357086479.7200003</v>
      </c>
      <c r="Q21" s="9"/>
      <c r="R21" s="834">
        <f>SUM(R13:R20)</f>
        <v>63530525.720000267</v>
      </c>
    </row>
    <row r="22" spans="1:18">
      <c r="B22" s="831"/>
      <c r="C22" s="831"/>
      <c r="D22" s="831"/>
      <c r="E22" s="831"/>
      <c r="F22" s="831"/>
      <c r="G22" s="831"/>
      <c r="H22" s="831"/>
      <c r="I22" s="831"/>
      <c r="J22" s="831"/>
      <c r="L22" s="835"/>
      <c r="M22" s="835"/>
      <c r="N22" s="835"/>
      <c r="O22" s="835"/>
      <c r="P22" s="839"/>
      <c r="Q22" s="9"/>
      <c r="R22" s="839"/>
    </row>
    <row r="23" spans="1:18">
      <c r="A23" s="832" t="s">
        <v>513</v>
      </c>
      <c r="B23" s="831"/>
      <c r="C23" s="831"/>
      <c r="D23" s="831"/>
      <c r="E23" s="831"/>
      <c r="F23" s="831"/>
      <c r="G23" s="831"/>
      <c r="H23" s="831"/>
      <c r="I23" s="831"/>
      <c r="J23" s="831"/>
      <c r="L23" s="835"/>
      <c r="M23" s="835"/>
      <c r="N23" s="835"/>
      <c r="O23" s="835"/>
      <c r="P23" s="839"/>
      <c r="Q23" s="9"/>
      <c r="R23" s="839"/>
    </row>
    <row r="24" spans="1:18">
      <c r="A24" s="836" t="s">
        <v>514</v>
      </c>
      <c r="B24" s="833">
        <v>37682635</v>
      </c>
      <c r="C24" s="833"/>
      <c r="D24" s="833">
        <v>40294194</v>
      </c>
      <c r="E24" s="833"/>
      <c r="F24" s="833">
        <v>34617391.289999999</v>
      </c>
      <c r="G24" s="833"/>
      <c r="H24" s="833">
        <v>33712074</v>
      </c>
      <c r="I24" s="833"/>
      <c r="J24" s="833">
        <v>33359606</v>
      </c>
      <c r="L24" s="834">
        <f>DSASUMM!AI133</f>
        <v>33542238</v>
      </c>
      <c r="M24" s="834"/>
      <c r="N24" s="834">
        <f>DSASUMM!AK133</f>
        <v>34144068</v>
      </c>
      <c r="O24" s="834"/>
      <c r="P24" s="834">
        <f t="shared" ref="P24:P32" si="5">SUM(L24:N24)</f>
        <v>67686306</v>
      </c>
      <c r="Q24" s="9"/>
      <c r="R24" s="834">
        <f t="shared" ref="R24:R32" si="6">P24-SUM(H24:J24)</f>
        <v>614626</v>
      </c>
    </row>
    <row r="25" spans="1:18">
      <c r="A25" s="836" t="s">
        <v>515</v>
      </c>
      <c r="B25" s="831">
        <v>11800136</v>
      </c>
      <c r="C25" s="831"/>
      <c r="D25" s="831">
        <v>12315982</v>
      </c>
      <c r="E25" s="831"/>
      <c r="F25" s="831">
        <v>13118713.57</v>
      </c>
      <c r="G25" s="831"/>
      <c r="H25" s="831">
        <v>9173420</v>
      </c>
      <c r="I25" s="831"/>
      <c r="J25" s="831">
        <v>8000000</v>
      </c>
      <c r="L25" s="835">
        <f>DSASUMM!AI134</f>
        <v>6600000</v>
      </c>
      <c r="M25" s="835"/>
      <c r="N25" s="835">
        <f>DSASUMM!AK134</f>
        <v>6800000</v>
      </c>
      <c r="O25" s="835"/>
      <c r="P25" s="835">
        <f t="shared" si="5"/>
        <v>13400000</v>
      </c>
      <c r="Q25" s="9"/>
      <c r="R25" s="835">
        <f t="shared" si="6"/>
        <v>-3773420</v>
      </c>
    </row>
    <row r="26" spans="1:18">
      <c r="A26" s="836" t="s">
        <v>516</v>
      </c>
      <c r="B26" s="831">
        <v>6354164</v>
      </c>
      <c r="C26" s="831"/>
      <c r="D26" s="831">
        <v>6354164</v>
      </c>
      <c r="E26" s="831"/>
      <c r="F26" s="831">
        <v>21609332.989999998</v>
      </c>
      <c r="G26" s="831"/>
      <c r="H26" s="831">
        <v>8116846</v>
      </c>
      <c r="I26" s="831"/>
      <c r="J26" s="831">
        <v>8000000</v>
      </c>
      <c r="L26" s="835">
        <f>DSASUMM!G135</f>
        <v>8000000</v>
      </c>
      <c r="M26" s="835"/>
      <c r="N26" s="835">
        <f>DSASUMM!H135</f>
        <v>8000000</v>
      </c>
      <c r="O26" s="835"/>
      <c r="P26" s="835">
        <f t="shared" si="5"/>
        <v>16000000</v>
      </c>
      <c r="Q26" s="9"/>
      <c r="R26" s="835">
        <f t="shared" si="6"/>
        <v>-116846</v>
      </c>
    </row>
    <row r="27" spans="1:18">
      <c r="A27" s="836" t="s">
        <v>517</v>
      </c>
      <c r="B27" s="831">
        <v>116384350</v>
      </c>
      <c r="C27" s="831"/>
      <c r="D27" s="831">
        <v>123716564</v>
      </c>
      <c r="E27" s="831"/>
      <c r="F27" s="831">
        <v>93575531.379999995</v>
      </c>
      <c r="G27" s="831"/>
      <c r="H27" s="831">
        <v>86190829</v>
      </c>
      <c r="I27" s="831"/>
      <c r="J27" s="831">
        <v>87867090</v>
      </c>
      <c r="L27" s="835">
        <f>DSASUMM!AI136</f>
        <v>93138605.909999996</v>
      </c>
      <c r="M27" s="835"/>
      <c r="N27" s="835">
        <f>DSASUMM!AK136</f>
        <v>95932745.369999915</v>
      </c>
      <c r="O27" s="835"/>
      <c r="P27" s="835">
        <f>SUM(L27:N27)</f>
        <v>189071351.27999991</v>
      </c>
      <c r="Q27" s="9"/>
      <c r="R27" s="835">
        <f t="shared" si="6"/>
        <v>15013432.279999912</v>
      </c>
    </row>
    <row r="28" spans="1:18">
      <c r="A28" s="836" t="s">
        <v>556</v>
      </c>
      <c r="B28" s="831"/>
      <c r="C28" s="831"/>
      <c r="D28" s="831"/>
      <c r="E28" s="831"/>
      <c r="F28" s="831"/>
      <c r="G28" s="831"/>
      <c r="H28" s="831">
        <v>0</v>
      </c>
      <c r="I28" s="831"/>
      <c r="J28" s="831">
        <v>0</v>
      </c>
      <c r="L28" s="835"/>
      <c r="M28" s="835"/>
      <c r="N28" s="835"/>
      <c r="O28" s="835"/>
      <c r="P28" s="835">
        <f t="shared" si="5"/>
        <v>0</v>
      </c>
      <c r="Q28" s="9"/>
      <c r="R28" s="835">
        <f t="shared" si="6"/>
        <v>0</v>
      </c>
    </row>
    <row r="29" spans="1:18">
      <c r="A29" s="836" t="s">
        <v>518</v>
      </c>
      <c r="B29" s="831">
        <v>100</v>
      </c>
      <c r="C29" s="831"/>
      <c r="D29" s="831">
        <v>100</v>
      </c>
      <c r="E29" s="831"/>
      <c r="F29" s="831">
        <v>16.32</v>
      </c>
      <c r="G29" s="831"/>
      <c r="H29" s="831">
        <v>0</v>
      </c>
      <c r="I29" s="831"/>
      <c r="J29" s="831">
        <v>0</v>
      </c>
      <c r="L29" s="835"/>
      <c r="M29" s="835"/>
      <c r="N29" s="835"/>
      <c r="O29" s="835"/>
      <c r="P29" s="835">
        <f t="shared" si="5"/>
        <v>0</v>
      </c>
      <c r="Q29" s="9"/>
      <c r="R29" s="835">
        <f t="shared" si="6"/>
        <v>0</v>
      </c>
    </row>
    <row r="30" spans="1:18">
      <c r="A30" s="836" t="s">
        <v>519</v>
      </c>
      <c r="B30" s="831">
        <v>0</v>
      </c>
      <c r="C30" s="831"/>
      <c r="D30" s="831">
        <v>0</v>
      </c>
      <c r="E30" s="831"/>
      <c r="F30" s="831">
        <v>35787.86</v>
      </c>
      <c r="G30" s="831"/>
      <c r="H30" s="831">
        <v>816539</v>
      </c>
      <c r="I30" s="831"/>
      <c r="J30" s="831">
        <v>0</v>
      </c>
      <c r="L30" s="835">
        <v>0</v>
      </c>
      <c r="M30" s="835"/>
      <c r="N30" s="835">
        <v>0</v>
      </c>
      <c r="O30" s="835"/>
      <c r="P30" s="835">
        <f t="shared" si="5"/>
        <v>0</v>
      </c>
      <c r="Q30" s="9"/>
      <c r="R30" s="835">
        <f t="shared" si="6"/>
        <v>-816539</v>
      </c>
    </row>
    <row r="31" spans="1:18">
      <c r="A31" s="836" t="s">
        <v>520</v>
      </c>
      <c r="B31" s="831">
        <v>0</v>
      </c>
      <c r="C31" s="831"/>
      <c r="D31" s="831">
        <v>0</v>
      </c>
      <c r="E31" s="831"/>
      <c r="F31" s="831">
        <v>0</v>
      </c>
      <c r="G31" s="831"/>
      <c r="H31" s="831">
        <v>0</v>
      </c>
      <c r="I31" s="831"/>
      <c r="J31" s="831">
        <v>0</v>
      </c>
      <c r="L31" s="835">
        <v>0</v>
      </c>
      <c r="M31" s="835"/>
      <c r="N31" s="835">
        <v>0</v>
      </c>
      <c r="O31" s="835"/>
      <c r="P31" s="835">
        <f t="shared" si="5"/>
        <v>0</v>
      </c>
      <c r="Q31" s="9"/>
      <c r="R31" s="835">
        <f t="shared" si="6"/>
        <v>0</v>
      </c>
    </row>
    <row r="32" spans="1:18">
      <c r="A32" s="836" t="s">
        <v>237</v>
      </c>
      <c r="B32" s="831"/>
      <c r="C32" s="831"/>
      <c r="D32" s="831"/>
      <c r="E32" s="831"/>
      <c r="F32" s="831"/>
      <c r="G32" s="831"/>
      <c r="H32" s="831">
        <v>0</v>
      </c>
      <c r="I32" s="831"/>
      <c r="J32" s="831"/>
      <c r="L32" s="835"/>
      <c r="M32" s="835"/>
      <c r="N32" s="835"/>
      <c r="O32" s="835"/>
      <c r="P32" s="835">
        <f t="shared" si="5"/>
        <v>0</v>
      </c>
      <c r="Q32" s="9"/>
      <c r="R32" s="835">
        <f t="shared" si="6"/>
        <v>0</v>
      </c>
    </row>
    <row r="33" spans="1:18" ht="6" customHeight="1">
      <c r="A33" s="836"/>
      <c r="B33" s="840"/>
      <c r="C33" s="837"/>
      <c r="D33" s="840"/>
      <c r="E33" s="837"/>
      <c r="F33" s="840"/>
      <c r="G33" s="837"/>
      <c r="H33" s="840"/>
      <c r="I33" s="837"/>
      <c r="J33" s="840"/>
      <c r="L33" s="841"/>
      <c r="M33" s="838"/>
      <c r="N33" s="841"/>
      <c r="O33" s="838"/>
      <c r="P33" s="842"/>
      <c r="Q33" s="9"/>
      <c r="R33" s="842"/>
    </row>
    <row r="34" spans="1:18">
      <c r="A34" s="832" t="s">
        <v>521</v>
      </c>
      <c r="B34" s="833">
        <f>SUM(B24:B33)</f>
        <v>172221385</v>
      </c>
      <c r="C34" s="833"/>
      <c r="D34" s="833">
        <f>SUM(D24:D33)</f>
        <v>182681004</v>
      </c>
      <c r="E34" s="833"/>
      <c r="F34" s="833">
        <f>SUM(F24:F33)</f>
        <v>162956773.41</v>
      </c>
      <c r="G34" s="833"/>
      <c r="H34" s="833">
        <f>SUM(H24:H33)</f>
        <v>138009708</v>
      </c>
      <c r="I34" s="833"/>
      <c r="J34" s="833">
        <f>SUM(J24:J33)</f>
        <v>137226696</v>
      </c>
      <c r="L34" s="834">
        <f>SUM(L24:L33)</f>
        <v>141280843.91</v>
      </c>
      <c r="M34" s="834"/>
      <c r="N34" s="834">
        <f>SUM(N24:N33)</f>
        <v>144876813.36999992</v>
      </c>
      <c r="O34" s="834"/>
      <c r="P34" s="834">
        <f>SUM(P24:P33)</f>
        <v>286157657.27999991</v>
      </c>
      <c r="Q34" s="9"/>
      <c r="R34" s="834">
        <f>SUM(R24:R33)</f>
        <v>10921253.279999912</v>
      </c>
    </row>
    <row r="35" spans="1:18">
      <c r="A35" s="832"/>
      <c r="B35" s="833"/>
      <c r="C35" s="833"/>
      <c r="D35" s="833"/>
      <c r="E35" s="833"/>
      <c r="F35" s="833"/>
      <c r="G35" s="833"/>
      <c r="H35" s="833"/>
      <c r="I35" s="833"/>
      <c r="J35" s="833"/>
      <c r="L35" s="834"/>
      <c r="M35" s="834"/>
      <c r="N35" s="834"/>
      <c r="O35" s="834"/>
      <c r="P35" s="839"/>
      <c r="Q35" s="9"/>
      <c r="R35" s="839"/>
    </row>
    <row r="36" spans="1:18">
      <c r="A36" s="832" t="s">
        <v>557</v>
      </c>
      <c r="B36" s="833"/>
      <c r="C36" s="833"/>
      <c r="D36" s="833"/>
      <c r="E36" s="833"/>
      <c r="F36" s="833"/>
      <c r="G36" s="833"/>
      <c r="H36" s="833"/>
      <c r="I36" s="833"/>
      <c r="J36" s="833"/>
      <c r="L36" s="834"/>
      <c r="M36" s="834"/>
      <c r="N36" s="834"/>
      <c r="O36" s="834"/>
      <c r="P36" s="839"/>
      <c r="Q36" s="9"/>
      <c r="R36" s="839"/>
    </row>
    <row r="37" spans="1:18">
      <c r="A37" s="836" t="s">
        <v>558</v>
      </c>
      <c r="B37" s="833">
        <v>5837244</v>
      </c>
      <c r="C37" s="833"/>
      <c r="D37" s="833">
        <v>5837244</v>
      </c>
      <c r="E37" s="833"/>
      <c r="F37" s="833"/>
      <c r="G37" s="833"/>
      <c r="H37" s="833">
        <v>8499450</v>
      </c>
      <c r="I37" s="833"/>
      <c r="J37" s="833">
        <v>7863361</v>
      </c>
      <c r="L37" s="834">
        <f>-DSASUMM!AI73</f>
        <v>8499450</v>
      </c>
      <c r="M37" s="834"/>
      <c r="N37" s="834">
        <f>-DSASUMM!AK73</f>
        <v>8499450</v>
      </c>
      <c r="O37" s="834"/>
      <c r="P37" s="834">
        <f>SUM(L37:N37)</f>
        <v>16998900</v>
      </c>
      <c r="Q37" s="9"/>
      <c r="R37" s="834">
        <f t="shared" ref="R37:R44" si="7">P37-SUM(H37:J37)</f>
        <v>636089</v>
      </c>
    </row>
    <row r="38" spans="1:18">
      <c r="A38" s="836" t="s">
        <v>559</v>
      </c>
      <c r="B38" s="831">
        <v>52643811</v>
      </c>
      <c r="C38" s="833"/>
      <c r="D38" s="831">
        <v>52643811</v>
      </c>
      <c r="E38" s="833"/>
      <c r="F38" s="831"/>
      <c r="G38" s="833"/>
      <c r="H38" s="831">
        <v>80820145</v>
      </c>
      <c r="I38" s="833"/>
      <c r="J38" s="831">
        <v>94520861</v>
      </c>
      <c r="L38" s="835">
        <f>-DSASUMM!AI74</f>
        <v>80820145</v>
      </c>
      <c r="M38" s="834"/>
      <c r="N38" s="835">
        <f>-DSASUMM!AK74</f>
        <v>80820145</v>
      </c>
      <c r="O38" s="834"/>
      <c r="P38" s="835">
        <f t="shared" ref="P38:P44" si="8">SUM(L38:N38)</f>
        <v>161640290</v>
      </c>
      <c r="Q38" s="9"/>
      <c r="R38" s="835">
        <f t="shared" si="7"/>
        <v>-13700716</v>
      </c>
    </row>
    <row r="39" spans="1:18">
      <c r="A39" s="836" t="s">
        <v>560</v>
      </c>
      <c r="B39" s="831">
        <v>517322359</v>
      </c>
      <c r="C39" s="833"/>
      <c r="D39" s="831">
        <v>580537415</v>
      </c>
      <c r="E39" s="833"/>
      <c r="F39" s="831"/>
      <c r="G39" s="833"/>
      <c r="H39" s="831">
        <v>525702505</v>
      </c>
      <c r="I39" s="833"/>
      <c r="J39" s="831">
        <v>425844229</v>
      </c>
      <c r="L39" s="835">
        <f>-DSASUMM!AI75</f>
        <v>404866532</v>
      </c>
      <c r="M39" s="834"/>
      <c r="N39" s="835">
        <f>-DSASUMM!AK75</f>
        <v>405863545</v>
      </c>
      <c r="O39" s="834"/>
      <c r="P39" s="835">
        <f t="shared" si="8"/>
        <v>810730077</v>
      </c>
      <c r="Q39" s="9"/>
      <c r="R39" s="835">
        <f t="shared" si="7"/>
        <v>-140816657</v>
      </c>
    </row>
    <row r="40" spans="1:18">
      <c r="A40" s="836" t="s">
        <v>561</v>
      </c>
      <c r="B40" s="831">
        <v>98664516</v>
      </c>
      <c r="C40" s="833"/>
      <c r="D40" s="831">
        <v>102591364</v>
      </c>
      <c r="E40" s="833"/>
      <c r="F40" s="831"/>
      <c r="G40" s="833"/>
      <c r="H40" s="831">
        <v>75725120</v>
      </c>
      <c r="I40" s="833"/>
      <c r="J40" s="831">
        <v>81402633</v>
      </c>
      <c r="L40" s="835">
        <f>-DSASUMM!AI76</f>
        <v>72381781</v>
      </c>
      <c r="M40" s="834"/>
      <c r="N40" s="835">
        <f>-DSASUMM!AK76</f>
        <v>72381781</v>
      </c>
      <c r="O40" s="834"/>
      <c r="P40" s="835">
        <f t="shared" si="8"/>
        <v>144763562</v>
      </c>
      <c r="Q40" s="9"/>
      <c r="R40" s="835">
        <f t="shared" si="7"/>
        <v>-12364191</v>
      </c>
    </row>
    <row r="41" spans="1:18">
      <c r="A41" s="836" t="s">
        <v>562</v>
      </c>
      <c r="B41" s="831">
        <v>2940945</v>
      </c>
      <c r="C41" s="833"/>
      <c r="D41" s="831">
        <v>3029173</v>
      </c>
      <c r="E41" s="833"/>
      <c r="F41" s="831"/>
      <c r="G41" s="833"/>
      <c r="H41" s="831">
        <v>3451000</v>
      </c>
      <c r="I41" s="833"/>
      <c r="J41" s="831">
        <v>4236760</v>
      </c>
      <c r="L41" s="835">
        <f>-DSASUMM!AI77</f>
        <v>3661166</v>
      </c>
      <c r="M41" s="834"/>
      <c r="N41" s="835">
        <f>-DSASUMM!AK77</f>
        <v>3771001</v>
      </c>
      <c r="O41" s="834"/>
      <c r="P41" s="835">
        <f t="shared" si="8"/>
        <v>7432167</v>
      </c>
      <c r="Q41" s="9"/>
      <c r="R41" s="835">
        <f t="shared" si="7"/>
        <v>-255593</v>
      </c>
    </row>
    <row r="42" spans="1:18">
      <c r="A42" s="836" t="s">
        <v>563</v>
      </c>
      <c r="B42" s="831">
        <v>2748725</v>
      </c>
      <c r="C42" s="833"/>
      <c r="D42" s="831">
        <v>2748725</v>
      </c>
      <c r="E42" s="833"/>
      <c r="F42" s="831"/>
      <c r="G42" s="833"/>
      <c r="H42" s="831">
        <v>710310</v>
      </c>
      <c r="I42" s="833"/>
      <c r="J42" s="831">
        <v>49497203</v>
      </c>
      <c r="L42" s="835">
        <v>0</v>
      </c>
      <c r="M42" s="834"/>
      <c r="N42" s="835">
        <v>0</v>
      </c>
      <c r="O42" s="834"/>
      <c r="P42" s="835">
        <f t="shared" si="8"/>
        <v>0</v>
      </c>
      <c r="Q42" s="9"/>
      <c r="R42" s="835">
        <f t="shared" si="7"/>
        <v>-50207513</v>
      </c>
    </row>
    <row r="43" spans="1:18">
      <c r="A43" s="836" t="s">
        <v>564</v>
      </c>
      <c r="B43" s="831">
        <v>210381</v>
      </c>
      <c r="C43" s="833"/>
      <c r="D43" s="831">
        <v>210381</v>
      </c>
      <c r="E43" s="833"/>
      <c r="F43" s="831"/>
      <c r="G43" s="833"/>
      <c r="H43" s="831">
        <f>76582+931314</f>
        <v>1007896</v>
      </c>
      <c r="I43" s="833"/>
      <c r="J43" s="831">
        <v>879943</v>
      </c>
      <c r="L43" s="835">
        <f>-DSASUMM!AI85</f>
        <v>931314</v>
      </c>
      <c r="M43" s="834"/>
      <c r="N43" s="835">
        <f>-DSASUMM!AK85</f>
        <v>931314</v>
      </c>
      <c r="O43" s="834"/>
      <c r="P43" s="835">
        <f t="shared" si="8"/>
        <v>1862628</v>
      </c>
      <c r="Q43" s="9"/>
      <c r="R43" s="835">
        <f t="shared" si="7"/>
        <v>-25211</v>
      </c>
    </row>
    <row r="44" spans="1:18">
      <c r="A44" s="836" t="s">
        <v>565</v>
      </c>
      <c r="B44" s="831">
        <v>0</v>
      </c>
      <c r="C44" s="833"/>
      <c r="D44" s="831">
        <v>0</v>
      </c>
      <c r="E44" s="833"/>
      <c r="F44" s="831"/>
      <c r="G44" s="833"/>
      <c r="H44" s="831">
        <v>26897029</v>
      </c>
      <c r="I44" s="833"/>
      <c r="J44" s="831">
        <v>92308915</v>
      </c>
      <c r="L44" s="835">
        <v>0</v>
      </c>
      <c r="M44" s="834"/>
      <c r="N44" s="835">
        <v>0</v>
      </c>
      <c r="O44" s="834"/>
      <c r="P44" s="835">
        <f t="shared" si="8"/>
        <v>0</v>
      </c>
      <c r="Q44" s="9"/>
      <c r="R44" s="835">
        <f t="shared" si="7"/>
        <v>-119205944</v>
      </c>
    </row>
    <row r="45" spans="1:18" ht="6" customHeight="1">
      <c r="A45" s="836"/>
      <c r="B45" s="840"/>
      <c r="C45" s="837"/>
      <c r="D45" s="840"/>
      <c r="E45" s="837"/>
      <c r="F45" s="840"/>
      <c r="G45" s="837"/>
      <c r="H45" s="840"/>
      <c r="I45" s="837"/>
      <c r="J45" s="840"/>
      <c r="L45" s="841"/>
      <c r="M45" s="838"/>
      <c r="N45" s="841"/>
      <c r="O45" s="838"/>
      <c r="P45" s="842"/>
      <c r="Q45" s="9"/>
      <c r="R45" s="842"/>
    </row>
    <row r="46" spans="1:18">
      <c r="A46" s="832" t="s">
        <v>566</v>
      </c>
      <c r="B46" s="833">
        <f>SUM(B37:B45)</f>
        <v>680367981</v>
      </c>
      <c r="C46" s="833"/>
      <c r="D46" s="833">
        <f>SUM(D37:D45)</f>
        <v>747598113</v>
      </c>
      <c r="E46" s="833"/>
      <c r="F46" s="833">
        <f>SUM(F37:F45)</f>
        <v>0</v>
      </c>
      <c r="G46" s="833"/>
      <c r="H46" s="833">
        <f>SUM(H37:H45)</f>
        <v>722813455</v>
      </c>
      <c r="I46" s="833"/>
      <c r="J46" s="833">
        <f>SUM(J37:J45)</f>
        <v>756553905</v>
      </c>
      <c r="L46" s="834">
        <f>SUM(L37:L45)</f>
        <v>571160388</v>
      </c>
      <c r="M46" s="834"/>
      <c r="N46" s="834">
        <f>SUM(N37:N45)</f>
        <v>572267236</v>
      </c>
      <c r="O46" s="834"/>
      <c r="P46" s="834">
        <f>SUM(P37:P45)</f>
        <v>1143427624</v>
      </c>
      <c r="Q46" s="9"/>
      <c r="R46" s="834">
        <f>SUM(R37:R45)</f>
        <v>-335939736</v>
      </c>
    </row>
    <row r="47" spans="1:18">
      <c r="B47" s="831"/>
      <c r="C47" s="831"/>
      <c r="D47" s="831"/>
      <c r="E47" s="831"/>
      <c r="F47" s="831"/>
      <c r="G47" s="831"/>
      <c r="H47" s="831"/>
      <c r="I47" s="831"/>
      <c r="J47" s="831"/>
      <c r="L47" s="835"/>
      <c r="M47" s="835"/>
      <c r="N47" s="835"/>
      <c r="O47" s="835"/>
      <c r="P47" s="839"/>
      <c r="Q47" s="9"/>
      <c r="R47" s="839"/>
    </row>
    <row r="48" spans="1:18" ht="13.5" thickBot="1">
      <c r="A48" s="830" t="s">
        <v>522</v>
      </c>
      <c r="B48" s="843">
        <f>B8+B10+B21+B34+B46</f>
        <v>3173749019</v>
      </c>
      <c r="C48" s="833"/>
      <c r="D48" s="843">
        <f>D8+D10+D21+D34+D46</f>
        <v>3420060275</v>
      </c>
      <c r="E48" s="833"/>
      <c r="F48" s="843">
        <f>F8+F10+F21+F34+F46</f>
        <v>1439985191.4100001</v>
      </c>
      <c r="G48" s="833"/>
      <c r="H48" s="843">
        <f>H8+H10+H21+H34+H46</f>
        <v>3236252440</v>
      </c>
      <c r="I48" s="833"/>
      <c r="J48" s="843">
        <f>J8+J10+J21+J34+J46</f>
        <v>3260648745</v>
      </c>
      <c r="L48" s="844">
        <f>L8+L10+L21+L34+L46</f>
        <v>2964890017.8191223</v>
      </c>
      <c r="M48" s="834"/>
      <c r="N48" s="844">
        <f>N8+N10+N21+N34+N46</f>
        <v>3021393570.0721803</v>
      </c>
      <c r="O48" s="834"/>
      <c r="P48" s="844">
        <f>P8+P10+P21+P34+P46</f>
        <v>5986283587.8913031</v>
      </c>
      <c r="Q48" s="9"/>
      <c r="R48" s="844">
        <f>R8+R10+R21+R34+R46</f>
        <v>-510617597.10869676</v>
      </c>
    </row>
    <row r="49" spans="1:18" ht="14.25" thickTop="1">
      <c r="A49" s="845" t="s">
        <v>567</v>
      </c>
      <c r="B49" s="846"/>
      <c r="C49" s="846"/>
      <c r="D49" s="847">
        <f>(D48-B48)/B48</f>
        <v>7.7608927021459606E-2</v>
      </c>
      <c r="E49" s="846"/>
      <c r="F49" s="847">
        <f>(F48-D48)/D48</f>
        <v>-0.57895911895587859</v>
      </c>
      <c r="G49" s="846"/>
      <c r="H49" s="847">
        <f>(H48-D48)/D48</f>
        <v>-5.3744033794842987E-2</v>
      </c>
      <c r="I49" s="846"/>
      <c r="J49" s="847">
        <f>(J48-H48)/H48</f>
        <v>7.5384431382614888E-3</v>
      </c>
      <c r="L49" s="848">
        <f>(L48-J48)/J48</f>
        <v>-9.0705485414338205E-2</v>
      </c>
      <c r="M49" s="849"/>
      <c r="N49" s="848">
        <f>(N48-L48)/L48</f>
        <v>1.9057554213973898E-2</v>
      </c>
      <c r="O49" s="849"/>
      <c r="P49" s="839"/>
      <c r="Q49" s="9"/>
      <c r="R49" s="839"/>
    </row>
    <row r="50" spans="1:18">
      <c r="A50" s="830" t="s">
        <v>176</v>
      </c>
      <c r="B50" s="831"/>
      <c r="C50" s="831"/>
      <c r="D50" s="831"/>
      <c r="E50" s="831"/>
      <c r="F50" s="831"/>
      <c r="G50" s="831"/>
      <c r="H50" s="831"/>
      <c r="I50" s="831"/>
      <c r="J50" s="831"/>
      <c r="L50" s="835"/>
      <c r="M50" s="835"/>
      <c r="N50" s="835"/>
      <c r="O50" s="835"/>
      <c r="P50" s="839"/>
      <c r="Q50" s="9"/>
      <c r="R50" s="839"/>
    </row>
    <row r="51" spans="1:18">
      <c r="A51" s="832" t="s">
        <v>568</v>
      </c>
      <c r="B51" s="831"/>
      <c r="C51" s="831"/>
      <c r="D51" s="831"/>
      <c r="E51" s="831"/>
      <c r="F51" s="831"/>
      <c r="G51" s="831"/>
      <c r="H51" s="831"/>
      <c r="I51" s="831"/>
      <c r="J51" s="831"/>
      <c r="L51" s="835"/>
      <c r="M51" s="835"/>
      <c r="N51" s="835"/>
      <c r="O51" s="835"/>
      <c r="P51" s="839"/>
      <c r="Q51" s="9"/>
      <c r="R51" s="839"/>
    </row>
    <row r="52" spans="1:18">
      <c r="A52" s="836" t="s">
        <v>569</v>
      </c>
      <c r="B52" s="833">
        <v>2406712387</v>
      </c>
      <c r="C52" s="833"/>
      <c r="D52" s="833">
        <v>2616698949</v>
      </c>
      <c r="E52" s="833"/>
      <c r="F52" s="833"/>
      <c r="G52" s="833"/>
      <c r="H52" s="833">
        <v>2620269079</v>
      </c>
      <c r="I52" s="833"/>
      <c r="J52" s="833">
        <v>2635962977</v>
      </c>
      <c r="L52" s="834">
        <f>DSASUMM!AI21</f>
        <v>2548381482.5963497</v>
      </c>
      <c r="M52" s="834"/>
      <c r="N52" s="834">
        <f>DSASUMM!AK21</f>
        <v>2600085372.6577253</v>
      </c>
      <c r="O52" s="834"/>
      <c r="P52" s="834">
        <f t="shared" ref="P52:P59" si="9">SUM(L52:N52)</f>
        <v>5148466855.2540751</v>
      </c>
      <c r="Q52" s="9"/>
      <c r="R52" s="834">
        <f t="shared" ref="R52:R59" si="10">P52-SUM(H52:J52)</f>
        <v>-107765200.74592495</v>
      </c>
    </row>
    <row r="53" spans="1:18">
      <c r="A53" s="836" t="s">
        <v>188</v>
      </c>
      <c r="B53" s="831">
        <v>353574041</v>
      </c>
      <c r="C53" s="833"/>
      <c r="D53" s="831">
        <v>365329939</v>
      </c>
      <c r="E53" s="833"/>
      <c r="F53" s="831"/>
      <c r="G53" s="833"/>
      <c r="H53" s="831">
        <f>368286245+27626901</f>
        <v>395913146</v>
      </c>
      <c r="I53" s="833"/>
      <c r="J53" s="831">
        <f>379567265+87426570</f>
        <v>466993835</v>
      </c>
      <c r="L53" s="835">
        <f>DSASUMM!AI47</f>
        <v>316648166</v>
      </c>
      <c r="M53" s="834"/>
      <c r="N53" s="835">
        <f>DSASUMM!AK47</f>
        <v>321365950</v>
      </c>
      <c r="O53" s="834"/>
      <c r="P53" s="835">
        <f t="shared" si="9"/>
        <v>638014116</v>
      </c>
      <c r="Q53" s="9"/>
      <c r="R53" s="835">
        <f t="shared" si="10"/>
        <v>-224892865</v>
      </c>
    </row>
    <row r="54" spans="1:18">
      <c r="A54" s="836" t="s">
        <v>570</v>
      </c>
      <c r="B54" s="831">
        <v>58080903</v>
      </c>
      <c r="C54" s="831"/>
      <c r="D54" s="831">
        <v>59602878</v>
      </c>
      <c r="E54" s="831"/>
      <c r="F54" s="831"/>
      <c r="G54" s="831"/>
      <c r="H54" s="831">
        <v>20675812</v>
      </c>
      <c r="I54" s="831"/>
      <c r="J54" s="831">
        <v>17884361</v>
      </c>
      <c r="L54" s="835">
        <f>DSASUMM!AI57</f>
        <v>20524848</v>
      </c>
      <c r="M54" s="835"/>
      <c r="N54" s="835">
        <f>DSASUMM!AK57</f>
        <v>20589344</v>
      </c>
      <c r="O54" s="835"/>
      <c r="P54" s="835">
        <f t="shared" si="9"/>
        <v>41114192</v>
      </c>
      <c r="Q54" s="9"/>
      <c r="R54" s="835">
        <f t="shared" si="10"/>
        <v>2554019</v>
      </c>
    </row>
    <row r="55" spans="1:18">
      <c r="A55" s="836" t="s">
        <v>571</v>
      </c>
      <c r="B55" s="831">
        <v>18775970</v>
      </c>
      <c r="C55" s="831"/>
      <c r="D55" s="831">
        <v>18775970</v>
      </c>
      <c r="E55" s="831"/>
      <c r="F55" s="831"/>
      <c r="G55" s="831"/>
      <c r="H55" s="831">
        <v>19328159</v>
      </c>
      <c r="I55" s="831"/>
      <c r="J55" s="831">
        <v>15518220</v>
      </c>
      <c r="L55" s="835">
        <f>DSASUMM!AI60</f>
        <v>19328159</v>
      </c>
      <c r="M55" s="835"/>
      <c r="N55" s="835">
        <f>DSASUMM!AK60</f>
        <v>19328159</v>
      </c>
      <c r="O55" s="835"/>
      <c r="P55" s="835">
        <f t="shared" si="9"/>
        <v>38656318</v>
      </c>
      <c r="Q55" s="9"/>
      <c r="R55" s="835">
        <f t="shared" si="10"/>
        <v>3809939</v>
      </c>
    </row>
    <row r="56" spans="1:18" hidden="1">
      <c r="A56" s="836" t="s">
        <v>572</v>
      </c>
      <c r="B56" s="831">
        <v>133642087</v>
      </c>
      <c r="C56" s="831"/>
      <c r="D56" s="831">
        <v>133642087</v>
      </c>
      <c r="E56" s="831"/>
      <c r="F56" s="831"/>
      <c r="G56" s="831"/>
      <c r="H56" s="831"/>
      <c r="I56" s="831"/>
      <c r="J56" s="831"/>
      <c r="L56" s="835">
        <v>0</v>
      </c>
      <c r="M56" s="835"/>
      <c r="N56" s="835">
        <v>0</v>
      </c>
      <c r="O56" s="835"/>
      <c r="P56" s="835">
        <f t="shared" si="9"/>
        <v>0</v>
      </c>
      <c r="Q56" s="9"/>
      <c r="R56" s="835">
        <f t="shared" si="10"/>
        <v>0</v>
      </c>
    </row>
    <row r="57" spans="1:18">
      <c r="A57" s="836" t="s">
        <v>573</v>
      </c>
      <c r="B57" s="831">
        <v>0</v>
      </c>
      <c r="C57" s="831"/>
      <c r="D57" s="831">
        <v>0</v>
      </c>
      <c r="E57" s="831"/>
      <c r="F57" s="831"/>
      <c r="G57" s="831"/>
      <c r="H57" s="831">
        <v>29896678</v>
      </c>
      <c r="I57" s="831"/>
      <c r="J57" s="831">
        <v>30662744</v>
      </c>
      <c r="L57" s="835">
        <f>DSASUMM!AI62+DSASUMM!AI63+DSASUMM!AI90</f>
        <v>9068729</v>
      </c>
      <c r="M57" s="835"/>
      <c r="N57" s="835">
        <f>DSASUMM!AK62+DSASUMM!AK63+DSASUMM!AK90</f>
        <v>8666856</v>
      </c>
      <c r="O57" s="835"/>
      <c r="P57" s="835">
        <f t="shared" si="9"/>
        <v>17735585</v>
      </c>
      <c r="Q57" s="9"/>
      <c r="R57" s="835">
        <f t="shared" si="10"/>
        <v>-42823837</v>
      </c>
    </row>
    <row r="58" spans="1:18">
      <c r="A58" s="836" t="s">
        <v>574</v>
      </c>
      <c r="B58" s="831"/>
      <c r="C58" s="831"/>
      <c r="D58" s="831"/>
      <c r="E58" s="831"/>
      <c r="F58" s="831"/>
      <c r="G58" s="831"/>
      <c r="H58" s="831">
        <v>0</v>
      </c>
      <c r="I58" s="831"/>
      <c r="J58" s="831">
        <v>0</v>
      </c>
      <c r="L58" s="835"/>
      <c r="M58" s="835"/>
      <c r="N58" s="835"/>
      <c r="O58" s="835"/>
      <c r="P58" s="835">
        <f t="shared" ref="P58" si="11">SUM(L58:N58)</f>
        <v>0</v>
      </c>
      <c r="Q58" s="9"/>
      <c r="R58" s="835">
        <f t="shared" ref="R58" si="12">P58-SUM(H58:J58)</f>
        <v>0</v>
      </c>
    </row>
    <row r="59" spans="1:18">
      <c r="A59" s="836" t="s">
        <v>575</v>
      </c>
      <c r="B59" s="831"/>
      <c r="C59" s="831"/>
      <c r="D59" s="831"/>
      <c r="E59" s="831"/>
      <c r="F59" s="831"/>
      <c r="G59" s="831"/>
      <c r="H59" s="831">
        <v>-27626901</v>
      </c>
      <c r="I59" s="831"/>
      <c r="J59" s="831">
        <v>-87426570</v>
      </c>
      <c r="L59" s="835"/>
      <c r="M59" s="835"/>
      <c r="N59" s="835"/>
      <c r="O59" s="835"/>
      <c r="P59" s="835">
        <f t="shared" si="9"/>
        <v>0</v>
      </c>
      <c r="Q59" s="9"/>
      <c r="R59" s="835">
        <f t="shared" si="10"/>
        <v>115053471</v>
      </c>
    </row>
    <row r="60" spans="1:18" ht="6" customHeight="1">
      <c r="A60" s="836"/>
      <c r="B60" s="840"/>
      <c r="C60" s="837"/>
      <c r="D60" s="840"/>
      <c r="E60" s="837"/>
      <c r="F60" s="840"/>
      <c r="G60" s="837"/>
      <c r="H60" s="840"/>
      <c r="I60" s="837"/>
      <c r="J60" s="840"/>
      <c r="L60" s="841"/>
      <c r="M60" s="838"/>
      <c r="N60" s="841"/>
      <c r="O60" s="838"/>
      <c r="P60" s="842"/>
      <c r="Q60" s="9"/>
      <c r="R60" s="842"/>
    </row>
    <row r="61" spans="1:18">
      <c r="A61" s="832" t="s">
        <v>576</v>
      </c>
      <c r="B61" s="833">
        <f>SUM(B52:B60)</f>
        <v>2970785388</v>
      </c>
      <c r="C61" s="833"/>
      <c r="D61" s="833">
        <f>SUM(D52:D60)</f>
        <v>3194049823</v>
      </c>
      <c r="E61" s="833"/>
      <c r="F61" s="833">
        <f>SUM(F52:F60)</f>
        <v>0</v>
      </c>
      <c r="G61" s="833"/>
      <c r="H61" s="833">
        <f>SUM(H52:H60)</f>
        <v>3058455973</v>
      </c>
      <c r="I61" s="833"/>
      <c r="J61" s="833">
        <f>SUM(J52:J60)</f>
        <v>3079595567</v>
      </c>
      <c r="L61" s="834">
        <f>SUM(L52:L60)</f>
        <v>2913951384.5963497</v>
      </c>
      <c r="M61" s="834"/>
      <c r="N61" s="834">
        <f>SUM(N52:N60)</f>
        <v>2970035681.6577253</v>
      </c>
      <c r="O61" s="834"/>
      <c r="P61" s="834">
        <f>SUM(P52:P60)</f>
        <v>5883987066.2540751</v>
      </c>
      <c r="Q61" s="9"/>
      <c r="R61" s="834">
        <f>SUM(R52:R60)</f>
        <v>-254064473.74592495</v>
      </c>
    </row>
    <row r="62" spans="1:18" ht="13.5">
      <c r="A62" s="850" t="s">
        <v>567</v>
      </c>
      <c r="B62" s="851"/>
      <c r="C62" s="851"/>
      <c r="D62" s="847">
        <f>(D61-B61)/B61</f>
        <v>7.5153336858946471E-2</v>
      </c>
      <c r="E62" s="851"/>
      <c r="F62" s="847">
        <f>(F61-D61)/D61</f>
        <v>-1</v>
      </c>
      <c r="G62" s="851"/>
      <c r="H62" s="847">
        <f>(H61-D61)/D61</f>
        <v>-4.2452014687937446E-2</v>
      </c>
      <c r="I62" s="851"/>
      <c r="J62" s="847">
        <f>(J61-H61)/H61</f>
        <v>6.9118516619562269E-3</v>
      </c>
      <c r="L62" s="848">
        <f>(L61-J61)/J61</f>
        <v>-5.3787641526258333E-2</v>
      </c>
      <c r="M62" s="852"/>
      <c r="N62" s="848">
        <f>(N61-L61)/L61</f>
        <v>1.9246819750613171E-2</v>
      </c>
      <c r="O62" s="852"/>
      <c r="P62" s="839"/>
      <c r="Q62" s="9"/>
      <c r="R62" s="839"/>
    </row>
    <row r="63" spans="1:18">
      <c r="A63" s="832"/>
      <c r="B63" s="831"/>
      <c r="C63" s="831"/>
      <c r="D63" s="831"/>
      <c r="E63" s="831"/>
      <c r="F63" s="831"/>
      <c r="G63" s="831"/>
      <c r="H63" s="831"/>
      <c r="I63" s="831"/>
      <c r="J63" s="831"/>
      <c r="L63" s="835"/>
      <c r="M63" s="835"/>
      <c r="N63" s="835"/>
      <c r="O63" s="835"/>
      <c r="P63" s="839"/>
      <c r="Q63" s="9"/>
      <c r="R63" s="839"/>
    </row>
    <row r="64" spans="1:18">
      <c r="A64" s="832" t="s">
        <v>524</v>
      </c>
      <c r="B64" s="831"/>
      <c r="C64" s="831"/>
      <c r="D64" s="831"/>
      <c r="E64" s="831"/>
      <c r="F64" s="831"/>
      <c r="G64" s="831"/>
      <c r="H64" s="831"/>
      <c r="I64" s="831"/>
      <c r="J64" s="831"/>
      <c r="L64" s="835"/>
      <c r="M64" s="835"/>
      <c r="N64" s="835"/>
      <c r="O64" s="835"/>
      <c r="P64" s="839"/>
      <c r="Q64" s="9"/>
      <c r="R64" s="839"/>
    </row>
    <row r="65" spans="1:18">
      <c r="A65" s="836" t="s">
        <v>525</v>
      </c>
      <c r="B65" s="833">
        <v>141209596</v>
      </c>
      <c r="C65" s="831"/>
      <c r="D65" s="833">
        <v>153710996</v>
      </c>
      <c r="E65" s="831"/>
      <c r="F65" s="833">
        <v>152111146</v>
      </c>
      <c r="G65" s="831"/>
      <c r="H65" s="833">
        <v>142682930</v>
      </c>
      <c r="I65" s="831"/>
      <c r="J65" s="833">
        <v>144348993</v>
      </c>
      <c r="L65" s="834">
        <v>0</v>
      </c>
      <c r="M65" s="835"/>
      <c r="N65" s="834">
        <v>0</v>
      </c>
      <c r="O65" s="835"/>
      <c r="P65" s="834">
        <f>SUM(L65:N65)</f>
        <v>0</v>
      </c>
      <c r="Q65" s="9"/>
      <c r="R65" s="834">
        <f t="shared" ref="R65:R74" si="13">P65-SUM(H65:J65)</f>
        <v>-287031923</v>
      </c>
    </row>
    <row r="66" spans="1:18">
      <c r="A66" s="836" t="s">
        <v>526</v>
      </c>
      <c r="B66" s="831">
        <f>21457122-9167</f>
        <v>21447955</v>
      </c>
      <c r="C66" s="831"/>
      <c r="D66" s="831">
        <f>23372144-9148</f>
        <v>23362996</v>
      </c>
      <c r="E66" s="831"/>
      <c r="F66" s="831">
        <v>22385170.41</v>
      </c>
      <c r="G66" s="831"/>
      <c r="H66" s="831">
        <v>21170456</v>
      </c>
      <c r="I66" s="831"/>
      <c r="J66" s="831">
        <v>22673833</v>
      </c>
      <c r="L66" s="835">
        <f>DSASUMM!AI104</f>
        <v>17011957.009247731</v>
      </c>
      <c r="M66" s="835"/>
      <c r="N66" s="835">
        <f>DSASUMM!AK104</f>
        <v>17758915.542630088</v>
      </c>
      <c r="O66" s="835"/>
      <c r="P66" s="835">
        <f t="shared" ref="P66:P74" si="14">SUM(L66:N66)</f>
        <v>34770872.551877819</v>
      </c>
      <c r="Q66" s="9"/>
      <c r="R66" s="835">
        <f t="shared" si="13"/>
        <v>-9073416.448122181</v>
      </c>
    </row>
    <row r="67" spans="1:18">
      <c r="A67" s="836" t="s">
        <v>530</v>
      </c>
      <c r="B67" s="831">
        <v>171898</v>
      </c>
      <c r="C67" s="831"/>
      <c r="D67" s="831">
        <v>163656</v>
      </c>
      <c r="E67" s="831"/>
      <c r="F67" s="831">
        <v>163645.21</v>
      </c>
      <c r="G67" s="831"/>
      <c r="H67" s="831">
        <v>162566</v>
      </c>
      <c r="I67" s="831"/>
      <c r="J67" s="831">
        <v>167459</v>
      </c>
      <c r="L67" s="835">
        <v>0</v>
      </c>
      <c r="M67" s="835"/>
      <c r="N67" s="835">
        <v>0</v>
      </c>
      <c r="O67" s="835"/>
      <c r="P67" s="835">
        <f t="shared" si="14"/>
        <v>0</v>
      </c>
      <c r="Q67" s="9"/>
      <c r="R67" s="835">
        <f t="shared" si="13"/>
        <v>-330025</v>
      </c>
    </row>
    <row r="68" spans="1:18">
      <c r="A68" s="836" t="s">
        <v>531</v>
      </c>
      <c r="B68" s="831">
        <v>13089934</v>
      </c>
      <c r="C68" s="831"/>
      <c r="D68" s="831">
        <v>13513162</v>
      </c>
      <c r="E68" s="831"/>
      <c r="F68" s="831">
        <v>11854118.59</v>
      </c>
      <c r="G68" s="831"/>
      <c r="H68" s="831">
        <v>7897804</v>
      </c>
      <c r="I68" s="831"/>
      <c r="J68" s="831">
        <v>7897804</v>
      </c>
      <c r="L68" s="835">
        <v>0</v>
      </c>
      <c r="M68" s="835"/>
      <c r="N68" s="835">
        <v>0</v>
      </c>
      <c r="O68" s="835"/>
      <c r="P68" s="835">
        <f t="shared" si="14"/>
        <v>0</v>
      </c>
      <c r="Q68" s="9"/>
      <c r="R68" s="835">
        <f t="shared" si="13"/>
        <v>-15795608</v>
      </c>
    </row>
    <row r="69" spans="1:18">
      <c r="A69" s="836" t="s">
        <v>319</v>
      </c>
      <c r="B69" s="831">
        <v>3251671</v>
      </c>
      <c r="C69" s="831"/>
      <c r="D69" s="831">
        <v>3338875</v>
      </c>
      <c r="E69" s="831"/>
      <c r="F69" s="831">
        <v>3313938.95</v>
      </c>
      <c r="G69" s="831"/>
      <c r="H69" s="831">
        <v>3304982</v>
      </c>
      <c r="I69" s="831"/>
      <c r="J69" s="831">
        <v>3338875</v>
      </c>
      <c r="L69" s="835">
        <v>0</v>
      </c>
      <c r="M69" s="835"/>
      <c r="N69" s="835">
        <v>0</v>
      </c>
      <c r="O69" s="835"/>
      <c r="P69" s="835">
        <f t="shared" si="14"/>
        <v>0</v>
      </c>
      <c r="Q69" s="9"/>
      <c r="R69" s="835">
        <f t="shared" si="13"/>
        <v>-6643857</v>
      </c>
    </row>
    <row r="70" spans="1:18">
      <c r="A70" s="836" t="s">
        <v>528</v>
      </c>
      <c r="B70" s="831">
        <v>12670517</v>
      </c>
      <c r="C70" s="831"/>
      <c r="D70" s="831">
        <v>20312278</v>
      </c>
      <c r="E70" s="831"/>
      <c r="F70" s="831">
        <v>0</v>
      </c>
      <c r="G70" s="831"/>
      <c r="H70" s="831">
        <v>128541</v>
      </c>
      <c r="I70" s="831"/>
      <c r="J70" s="831">
        <v>170908</v>
      </c>
      <c r="L70" s="835">
        <v>0</v>
      </c>
      <c r="M70" s="835"/>
      <c r="N70" s="835">
        <v>0</v>
      </c>
      <c r="O70" s="835"/>
      <c r="P70" s="835">
        <f t="shared" si="14"/>
        <v>0</v>
      </c>
      <c r="Q70" s="9"/>
      <c r="R70" s="835">
        <f t="shared" si="13"/>
        <v>-299449</v>
      </c>
    </row>
    <row r="71" spans="1:18" hidden="1">
      <c r="A71" s="836" t="s">
        <v>532</v>
      </c>
      <c r="B71" s="831">
        <v>10272060</v>
      </c>
      <c r="C71" s="831"/>
      <c r="D71" s="831">
        <v>10758489</v>
      </c>
      <c r="E71" s="831"/>
      <c r="F71" s="831">
        <v>0</v>
      </c>
      <c r="G71" s="831"/>
      <c r="H71" s="831">
        <v>0</v>
      </c>
      <c r="I71" s="831"/>
      <c r="J71" s="831">
        <v>0</v>
      </c>
      <c r="L71" s="835">
        <v>0</v>
      </c>
      <c r="M71" s="835"/>
      <c r="N71" s="835">
        <v>0</v>
      </c>
      <c r="O71" s="835"/>
      <c r="P71" s="835">
        <f t="shared" si="14"/>
        <v>0</v>
      </c>
      <c r="Q71" s="9"/>
      <c r="R71" s="835">
        <f t="shared" si="13"/>
        <v>0</v>
      </c>
    </row>
    <row r="72" spans="1:18">
      <c r="A72" s="836" t="s">
        <v>533</v>
      </c>
      <c r="B72" s="831">
        <v>850000</v>
      </c>
      <c r="C72" s="831"/>
      <c r="D72" s="831">
        <v>850000</v>
      </c>
      <c r="E72" s="831"/>
      <c r="F72" s="831">
        <v>838187</v>
      </c>
      <c r="G72" s="831"/>
      <c r="H72" s="831">
        <v>850000</v>
      </c>
      <c r="I72" s="831"/>
      <c r="J72" s="831">
        <v>850000</v>
      </c>
      <c r="L72" s="835">
        <v>0</v>
      </c>
      <c r="M72" s="835"/>
      <c r="N72" s="835">
        <v>0</v>
      </c>
      <c r="O72" s="835"/>
      <c r="P72" s="835">
        <f t="shared" si="14"/>
        <v>0</v>
      </c>
      <c r="Q72" s="9"/>
      <c r="R72" s="835">
        <f t="shared" si="13"/>
        <v>-1700000</v>
      </c>
    </row>
    <row r="73" spans="1:18">
      <c r="A73" s="836" t="s">
        <v>534</v>
      </c>
      <c r="B73" s="831">
        <v>0</v>
      </c>
      <c r="C73" s="831"/>
      <c r="D73" s="831">
        <v>0</v>
      </c>
      <c r="E73" s="831"/>
      <c r="F73" s="831">
        <v>1599850</v>
      </c>
      <c r="G73" s="831"/>
      <c r="H73" s="831">
        <v>1580390</v>
      </c>
      <c r="I73" s="831"/>
      <c r="J73" s="831">
        <v>1586508</v>
      </c>
      <c r="L73" s="835">
        <v>0</v>
      </c>
      <c r="M73" s="835"/>
      <c r="N73" s="835">
        <v>0</v>
      </c>
      <c r="O73" s="835"/>
      <c r="P73" s="835">
        <f t="shared" si="14"/>
        <v>0</v>
      </c>
      <c r="Q73" s="9"/>
      <c r="R73" s="835">
        <f t="shared" si="13"/>
        <v>-3166898</v>
      </c>
    </row>
    <row r="74" spans="1:18">
      <c r="A74" s="836" t="s">
        <v>452</v>
      </c>
      <c r="B74" s="831">
        <v>0</v>
      </c>
      <c r="C74" s="831"/>
      <c r="D74" s="831">
        <v>0</v>
      </c>
      <c r="E74" s="831"/>
      <c r="F74" s="831">
        <v>18798</v>
      </c>
      <c r="G74" s="831"/>
      <c r="H74" s="831">
        <v>18798</v>
      </c>
      <c r="I74" s="831"/>
      <c r="J74" s="831">
        <v>18798</v>
      </c>
      <c r="L74" s="835">
        <v>0</v>
      </c>
      <c r="M74" s="835"/>
      <c r="N74" s="835">
        <v>0</v>
      </c>
      <c r="O74" s="835"/>
      <c r="P74" s="835">
        <f t="shared" si="14"/>
        <v>0</v>
      </c>
      <c r="Q74" s="9"/>
      <c r="R74" s="835">
        <f t="shared" si="13"/>
        <v>-37596</v>
      </c>
    </row>
    <row r="75" spans="1:18" ht="6" customHeight="1">
      <c r="A75" s="836"/>
      <c r="B75" s="840"/>
      <c r="C75" s="837"/>
      <c r="D75" s="840"/>
      <c r="E75" s="837"/>
      <c r="F75" s="840"/>
      <c r="G75" s="837"/>
      <c r="H75" s="840"/>
      <c r="I75" s="837"/>
      <c r="J75" s="840"/>
      <c r="L75" s="841"/>
      <c r="M75" s="838"/>
      <c r="N75" s="841"/>
      <c r="O75" s="838"/>
      <c r="P75" s="842"/>
      <c r="Q75" s="9"/>
      <c r="R75" s="842"/>
    </row>
    <row r="76" spans="1:18">
      <c r="A76" s="832" t="s">
        <v>535</v>
      </c>
      <c r="B76" s="833">
        <f>SUM(B65:B75)</f>
        <v>202963631</v>
      </c>
      <c r="C76" s="833"/>
      <c r="D76" s="833">
        <f>SUM(D65:D75)</f>
        <v>226010452</v>
      </c>
      <c r="E76" s="833"/>
      <c r="F76" s="833">
        <f>SUM(F65:F75)</f>
        <v>192284854.16</v>
      </c>
      <c r="G76" s="833"/>
      <c r="H76" s="833">
        <f>SUM(H65:H75)</f>
        <v>177796467</v>
      </c>
      <c r="I76" s="833"/>
      <c r="J76" s="833">
        <f>SUM(J65:J75)</f>
        <v>181053178</v>
      </c>
      <c r="L76" s="834">
        <f>SUM(L65:L75)</f>
        <v>17011957.009247731</v>
      </c>
      <c r="M76" s="834"/>
      <c r="N76" s="834">
        <f>SUM(N65:N75)</f>
        <v>17758915.542630088</v>
      </c>
      <c r="O76" s="834"/>
      <c r="P76" s="834">
        <f>SUM(P65:P75)</f>
        <v>34770872.551877819</v>
      </c>
      <c r="Q76" s="9"/>
      <c r="R76" s="834">
        <f>SUM(R65:R75)</f>
        <v>-324078772.4481222</v>
      </c>
    </row>
    <row r="77" spans="1:18" ht="13.5">
      <c r="A77" s="850" t="s">
        <v>567</v>
      </c>
      <c r="B77" s="851"/>
      <c r="C77" s="851"/>
      <c r="D77" s="847">
        <f>(D76-B76)/B76</f>
        <v>0.11355148154597214</v>
      </c>
      <c r="E77" s="851"/>
      <c r="F77" s="847">
        <f>(F76-D76)/D76</f>
        <v>-0.1492214078665707</v>
      </c>
      <c r="G77" s="851"/>
      <c r="H77" s="847">
        <f>(H76-D76)/D76</f>
        <v>-0.21332635094238916</v>
      </c>
      <c r="I77" s="851"/>
      <c r="J77" s="847">
        <f>(J76-H76)/H76</f>
        <v>1.8317073758276649E-2</v>
      </c>
      <c r="L77" s="848">
        <f>(L76-J76)/J76</f>
        <v>-0.90603889311875141</v>
      </c>
      <c r="M77" s="852"/>
      <c r="N77" s="848">
        <f>(N76-L76)/L76</f>
        <v>4.39078545152864E-2</v>
      </c>
      <c r="O77" s="852"/>
      <c r="P77" s="839"/>
      <c r="Q77" s="9"/>
      <c r="R77" s="839"/>
    </row>
    <row r="78" spans="1:18" ht="6" customHeight="1">
      <c r="A78" s="836"/>
      <c r="B78" s="837"/>
      <c r="C78" s="837"/>
      <c r="D78" s="837"/>
      <c r="E78" s="837"/>
      <c r="F78" s="837"/>
      <c r="G78" s="837"/>
      <c r="H78" s="837"/>
      <c r="I78" s="837"/>
      <c r="J78" s="837"/>
      <c r="L78" s="838"/>
      <c r="M78" s="838"/>
      <c r="N78" s="838"/>
      <c r="O78" s="838"/>
      <c r="P78" s="839"/>
      <c r="Q78" s="9"/>
      <c r="R78" s="839"/>
    </row>
    <row r="79" spans="1:18" ht="13.5" thickBot="1">
      <c r="A79" s="830" t="s">
        <v>536</v>
      </c>
      <c r="B79" s="843">
        <f>B61+B76</f>
        <v>3173749019</v>
      </c>
      <c r="C79" s="833"/>
      <c r="D79" s="843">
        <f>D61+D76</f>
        <v>3420060275</v>
      </c>
      <c r="E79" s="833"/>
      <c r="F79" s="843">
        <f>F61+F76</f>
        <v>192284854.16</v>
      </c>
      <c r="G79" s="833"/>
      <c r="H79" s="843">
        <f>H61+H76</f>
        <v>3236252440</v>
      </c>
      <c r="I79" s="833"/>
      <c r="J79" s="843">
        <f>J61+J76</f>
        <v>3260648745</v>
      </c>
      <c r="L79" s="844">
        <f>L61+L76</f>
        <v>2930963341.6055975</v>
      </c>
      <c r="M79" s="834"/>
      <c r="N79" s="844">
        <f>N61+N76</f>
        <v>2987794597.2003555</v>
      </c>
      <c r="O79" s="834"/>
      <c r="P79" s="844">
        <f>P61+P76</f>
        <v>5918757938.805953</v>
      </c>
      <c r="Q79" s="9"/>
      <c r="R79" s="844">
        <f>R61+R76</f>
        <v>-578143246.19404721</v>
      </c>
    </row>
    <row r="80" spans="1:18" ht="14.25" thickTop="1">
      <c r="A80" s="845" t="s">
        <v>567</v>
      </c>
      <c r="B80" s="853"/>
      <c r="C80" s="833"/>
      <c r="D80" s="847">
        <f>(D79-B79)/B79</f>
        <v>7.7608927021459606E-2</v>
      </c>
      <c r="E80" s="833"/>
      <c r="F80" s="847">
        <f>(F79-D79)/D79</f>
        <v>-0.94377734931586843</v>
      </c>
      <c r="G80" s="833"/>
      <c r="H80" s="847">
        <f>(H79-D79)/D79</f>
        <v>-5.3744033794842987E-2</v>
      </c>
      <c r="I80" s="833"/>
      <c r="J80" s="847">
        <f>(J79-H79)/H79</f>
        <v>7.5384431382614888E-3</v>
      </c>
      <c r="L80" s="848">
        <f>(L79-J79)/J79</f>
        <v>-0.10111037071992325</v>
      </c>
      <c r="M80" s="834"/>
      <c r="N80" s="848">
        <f>(N79-L79)/L79</f>
        <v>1.938995782991457E-2</v>
      </c>
      <c r="O80" s="834"/>
      <c r="P80" s="839"/>
      <c r="Q80" s="9"/>
      <c r="R80" s="839"/>
    </row>
    <row r="81" spans="1:18" ht="6" customHeight="1">
      <c r="A81" s="836"/>
      <c r="B81" s="837"/>
      <c r="C81" s="837"/>
      <c r="D81" s="837"/>
      <c r="E81" s="837"/>
      <c r="F81" s="837"/>
      <c r="G81" s="837"/>
      <c r="H81" s="837"/>
      <c r="I81" s="837"/>
      <c r="J81" s="837"/>
      <c r="L81" s="838"/>
      <c r="M81" s="838"/>
      <c r="N81" s="838"/>
      <c r="O81" s="838"/>
      <c r="P81" s="839"/>
      <c r="Q81" s="9"/>
      <c r="R81" s="839"/>
    </row>
    <row r="82" spans="1:18" ht="13.5" thickBot="1">
      <c r="A82" s="830" t="s">
        <v>537</v>
      </c>
      <c r="B82" s="843">
        <f>B48-B79</f>
        <v>0</v>
      </c>
      <c r="C82" s="833"/>
      <c r="D82" s="843">
        <f>D48-D79</f>
        <v>0</v>
      </c>
      <c r="E82" s="833"/>
      <c r="F82" s="843">
        <f>F48-F79</f>
        <v>1247700337.25</v>
      </c>
      <c r="G82" s="833"/>
      <c r="H82" s="843">
        <f>H48-H79</f>
        <v>0</v>
      </c>
      <c r="I82" s="833"/>
      <c r="J82" s="843">
        <f>J48-J79</f>
        <v>0</v>
      </c>
      <c r="L82" s="844">
        <f>L48-L79</f>
        <v>33926676.213524818</v>
      </c>
      <c r="M82" s="834"/>
      <c r="N82" s="844">
        <f>N48-N79</f>
        <v>33598972.871824741</v>
      </c>
      <c r="O82" s="834"/>
      <c r="P82" s="844">
        <f>P48-P79</f>
        <v>67525649.085350037</v>
      </c>
      <c r="Q82" s="9"/>
      <c r="R82" s="844">
        <f>R48-R79</f>
        <v>67525649.085350454</v>
      </c>
    </row>
    <row r="83" spans="1:18" ht="6.95" customHeight="1" thickTop="1">
      <c r="B83" s="831"/>
      <c r="C83" s="831"/>
      <c r="D83" s="831"/>
      <c r="E83" s="831"/>
      <c r="F83" s="831"/>
      <c r="G83" s="831"/>
      <c r="H83" s="831"/>
      <c r="I83" s="831"/>
      <c r="J83" s="831"/>
      <c r="L83" s="831"/>
      <c r="M83" s="831"/>
      <c r="N83" s="831"/>
      <c r="O83" s="831"/>
    </row>
    <row r="84" spans="1:18">
      <c r="A84" s="830" t="s">
        <v>577</v>
      </c>
      <c r="B84" s="831"/>
      <c r="C84" s="831"/>
      <c r="D84" s="831"/>
      <c r="E84" s="831"/>
      <c r="F84" s="831"/>
      <c r="G84" s="831"/>
      <c r="H84" s="831"/>
      <c r="I84" s="831"/>
      <c r="J84" s="831"/>
      <c r="L84" s="835"/>
      <c r="M84" s="835"/>
      <c r="N84" s="835"/>
      <c r="O84" s="835"/>
      <c r="P84" s="839"/>
      <c r="Q84" s="9"/>
      <c r="R84" s="839"/>
    </row>
    <row r="85" spans="1:18">
      <c r="A85" s="836" t="s">
        <v>527</v>
      </c>
      <c r="B85" s="833">
        <v>111303886</v>
      </c>
      <c r="C85" s="831"/>
      <c r="D85" s="833">
        <v>121250664</v>
      </c>
      <c r="E85" s="831"/>
      <c r="F85" s="833"/>
      <c r="G85" s="831"/>
      <c r="H85" s="833">
        <v>121252632</v>
      </c>
      <c r="I85" s="831"/>
      <c r="J85" s="833">
        <v>121252632</v>
      </c>
      <c r="L85" s="834">
        <v>121252632</v>
      </c>
      <c r="M85" s="835"/>
      <c r="N85" s="834">
        <v>121252632</v>
      </c>
      <c r="O85" s="835"/>
      <c r="P85" s="839"/>
      <c r="Q85" s="9"/>
      <c r="R85" s="839"/>
    </row>
    <row r="86" spans="1:18">
      <c r="A86" s="836" t="s">
        <v>528</v>
      </c>
      <c r="B86" s="833">
        <v>112012</v>
      </c>
      <c r="C86" s="831"/>
      <c r="D86" s="833">
        <v>112012</v>
      </c>
      <c r="E86" s="831"/>
      <c r="F86" s="833">
        <v>121294.31</v>
      </c>
      <c r="G86" s="831"/>
      <c r="H86" s="833">
        <v>128541</v>
      </c>
      <c r="I86" s="831"/>
      <c r="J86" s="833">
        <v>170908</v>
      </c>
      <c r="L86" s="834">
        <v>0</v>
      </c>
      <c r="M86" s="835"/>
      <c r="N86" s="834">
        <v>0</v>
      </c>
      <c r="O86" s="835"/>
      <c r="P86" s="839"/>
      <c r="Q86" s="9"/>
      <c r="R86" s="839"/>
    </row>
    <row r="87" spans="1:18">
      <c r="A87" s="836" t="s">
        <v>529</v>
      </c>
      <c r="B87" s="833">
        <v>588732</v>
      </c>
      <c r="C87" s="831"/>
      <c r="D87" s="833">
        <v>588732</v>
      </c>
      <c r="E87" s="831"/>
      <c r="F87" s="833">
        <v>588732</v>
      </c>
      <c r="G87" s="831"/>
      <c r="H87" s="833">
        <v>588732</v>
      </c>
      <c r="I87" s="831"/>
      <c r="J87" s="833">
        <v>588732</v>
      </c>
      <c r="L87" s="833">
        <v>588732</v>
      </c>
      <c r="M87" s="831"/>
      <c r="N87" s="833">
        <v>588732</v>
      </c>
      <c r="O87" s="831"/>
    </row>
    <row r="88" spans="1:18" ht="6.95" customHeight="1">
      <c r="B88" s="831"/>
      <c r="C88" s="831"/>
      <c r="D88" s="831"/>
      <c r="E88" s="831"/>
      <c r="F88" s="831"/>
      <c r="G88" s="831"/>
      <c r="H88" s="831"/>
      <c r="I88" s="831"/>
      <c r="J88" s="831"/>
      <c r="L88" s="831"/>
      <c r="M88" s="831"/>
      <c r="N88" s="831"/>
      <c r="O88" s="831"/>
    </row>
    <row r="89" spans="1:18">
      <c r="A89" s="830" t="s">
        <v>578</v>
      </c>
      <c r="B89" s="831"/>
      <c r="C89" s="831"/>
      <c r="D89" s="831"/>
      <c r="E89" s="831"/>
      <c r="F89" s="831"/>
      <c r="G89" s="831"/>
      <c r="H89" s="831"/>
      <c r="I89" s="831"/>
      <c r="J89" s="831"/>
      <c r="L89" s="831"/>
      <c r="M89" s="831"/>
      <c r="N89" s="831"/>
      <c r="O89" s="831"/>
    </row>
    <row r="90" spans="1:18">
      <c r="A90" s="836" t="s">
        <v>579</v>
      </c>
      <c r="B90" s="833">
        <f>B61</f>
        <v>2970785388</v>
      </c>
      <c r="C90" s="831"/>
      <c r="D90" s="833">
        <f>D61</f>
        <v>3194049823</v>
      </c>
      <c r="E90" s="831"/>
      <c r="F90" s="833">
        <f>F61</f>
        <v>0</v>
      </c>
      <c r="G90" s="831"/>
      <c r="H90" s="833">
        <f>H61</f>
        <v>3058455973</v>
      </c>
      <c r="I90" s="831"/>
      <c r="J90" s="833">
        <f>J61</f>
        <v>3079595567</v>
      </c>
      <c r="L90" s="833">
        <f>L61</f>
        <v>2913951384.5963497</v>
      </c>
      <c r="M90" s="831"/>
      <c r="N90" s="833">
        <f>N61</f>
        <v>2970035681.6577253</v>
      </c>
      <c r="O90" s="831"/>
    </row>
    <row r="91" spans="1:18">
      <c r="A91" s="836" t="s">
        <v>580</v>
      </c>
      <c r="B91" s="831"/>
      <c r="C91" s="831"/>
      <c r="D91" s="831"/>
      <c r="E91" s="831"/>
      <c r="F91" s="831"/>
      <c r="G91" s="831"/>
      <c r="H91" s="831"/>
      <c r="I91" s="831"/>
      <c r="J91" s="831"/>
      <c r="L91" s="831"/>
      <c r="M91" s="831"/>
      <c r="N91" s="831"/>
      <c r="O91" s="831"/>
    </row>
    <row r="92" spans="1:18">
      <c r="A92" s="854" t="s">
        <v>557</v>
      </c>
      <c r="B92" s="831">
        <f>-B46</f>
        <v>-680367981</v>
      </c>
      <c r="C92" s="831"/>
      <c r="D92" s="831">
        <f>-D46</f>
        <v>-747598113</v>
      </c>
      <c r="E92" s="831"/>
      <c r="F92" s="831">
        <f>-F46</f>
        <v>0</v>
      </c>
      <c r="G92" s="831"/>
      <c r="H92" s="831">
        <f>-H46</f>
        <v>-722813455</v>
      </c>
      <c r="I92" s="831"/>
      <c r="J92" s="831">
        <f>-J46</f>
        <v>-756553905</v>
      </c>
      <c r="L92" s="831">
        <f>-L46</f>
        <v>-571160388</v>
      </c>
      <c r="M92" s="831"/>
      <c r="N92" s="831">
        <f>-N46</f>
        <v>-572267236</v>
      </c>
      <c r="O92" s="831"/>
    </row>
    <row r="93" spans="1:18">
      <c r="A93" s="854" t="s">
        <v>527</v>
      </c>
      <c r="B93" s="831">
        <f>-B85</f>
        <v>-111303886</v>
      </c>
      <c r="C93" s="831"/>
      <c r="D93" s="831">
        <f>-D85</f>
        <v>-121250664</v>
      </c>
      <c r="E93" s="831"/>
      <c r="F93" s="831">
        <f>-F85</f>
        <v>0</v>
      </c>
      <c r="G93" s="831"/>
      <c r="H93" s="831">
        <f>-H85</f>
        <v>-121252632</v>
      </c>
      <c r="I93" s="831"/>
      <c r="J93" s="831">
        <f>-J85</f>
        <v>-121252632</v>
      </c>
      <c r="L93" s="831">
        <f>-L85</f>
        <v>-121252632</v>
      </c>
      <c r="M93" s="831"/>
      <c r="N93" s="831">
        <f>-N85</f>
        <v>-121252632</v>
      </c>
      <c r="O93" s="831"/>
    </row>
    <row r="94" spans="1:18">
      <c r="A94" s="854" t="s">
        <v>528</v>
      </c>
      <c r="B94" s="831">
        <f>-B86</f>
        <v>-112012</v>
      </c>
      <c r="C94" s="831"/>
      <c r="D94" s="831">
        <f>-D86</f>
        <v>-112012</v>
      </c>
      <c r="E94" s="831"/>
      <c r="F94" s="831">
        <f>-F86</f>
        <v>-121294.31</v>
      </c>
      <c r="G94" s="831"/>
      <c r="H94" s="831">
        <f>-H86</f>
        <v>-128541</v>
      </c>
      <c r="I94" s="831"/>
      <c r="J94" s="831">
        <f>-J86</f>
        <v>-170908</v>
      </c>
      <c r="L94" s="831">
        <f>-L86</f>
        <v>0</v>
      </c>
      <c r="M94" s="831"/>
      <c r="N94" s="831">
        <f>-N86</f>
        <v>0</v>
      </c>
      <c r="O94" s="831"/>
    </row>
    <row r="95" spans="1:18">
      <c r="A95" s="854" t="s">
        <v>529</v>
      </c>
      <c r="B95" s="831">
        <f>-B87</f>
        <v>-588732</v>
      </c>
      <c r="C95" s="831"/>
      <c r="D95" s="831">
        <f>-D87</f>
        <v>-588732</v>
      </c>
      <c r="E95" s="831"/>
      <c r="F95" s="831">
        <f>-F87</f>
        <v>-588732</v>
      </c>
      <c r="G95" s="831"/>
      <c r="H95" s="831">
        <f>-H87</f>
        <v>-588732</v>
      </c>
      <c r="I95" s="831"/>
      <c r="J95" s="831">
        <f>-J87</f>
        <v>-588732</v>
      </c>
      <c r="L95" s="831">
        <f>-L87</f>
        <v>-588732</v>
      </c>
      <c r="M95" s="831"/>
      <c r="N95" s="831">
        <f>-N87</f>
        <v>-588732</v>
      </c>
      <c r="O95" s="831"/>
    </row>
    <row r="96" spans="1:18" ht="13.5" thickBot="1">
      <c r="A96" s="830" t="s">
        <v>523</v>
      </c>
      <c r="B96" s="843">
        <f>SUM(B90:B95)</f>
        <v>2178412777</v>
      </c>
      <c r="C96" s="831"/>
      <c r="D96" s="843">
        <f>SUM(D90:D95)</f>
        <v>2324500302</v>
      </c>
      <c r="E96" s="831"/>
      <c r="F96" s="843">
        <f>SUM(F90:F95)</f>
        <v>-710026.31</v>
      </c>
      <c r="G96" s="831"/>
      <c r="H96" s="843">
        <f>SUM(H90:H95)</f>
        <v>2213672613</v>
      </c>
      <c r="I96" s="831"/>
      <c r="J96" s="843">
        <f>SUM(J90:J95)</f>
        <v>2201029390</v>
      </c>
      <c r="L96" s="843">
        <f>SUM(L90:L95)</f>
        <v>2220949632.5963497</v>
      </c>
      <c r="M96" s="831"/>
      <c r="N96" s="843">
        <f>SUM(N90:N95)</f>
        <v>2275927081.6577253</v>
      </c>
      <c r="O96" s="831"/>
    </row>
    <row r="97" spans="1:15" ht="6" customHeight="1" thickTop="1">
      <c r="A97" s="836"/>
      <c r="B97" s="837"/>
      <c r="C97" s="837"/>
      <c r="D97" s="837"/>
      <c r="E97" s="837"/>
      <c r="F97" s="837"/>
      <c r="G97" s="837"/>
      <c r="H97" s="837"/>
      <c r="I97" s="837"/>
      <c r="J97" s="837"/>
      <c r="L97" s="837"/>
      <c r="M97" s="837"/>
      <c r="N97" s="837"/>
      <c r="O97" s="837"/>
    </row>
    <row r="98" spans="1:15">
      <c r="A98" s="830" t="s">
        <v>581</v>
      </c>
      <c r="B98" s="855">
        <v>425270.2</v>
      </c>
      <c r="C98" s="855"/>
      <c r="D98" s="855">
        <v>436675.2</v>
      </c>
      <c r="F98" s="855"/>
      <c r="H98" s="855">
        <v>425679.2</v>
      </c>
      <c r="J98" s="855">
        <f>DSABUDGET!F7</f>
        <v>423936.8</v>
      </c>
      <c r="L98" s="855">
        <f>DSABUDGET!H7</f>
        <v>421987.1</v>
      </c>
      <c r="N98" s="855">
        <f>DSABUDGET!J7</f>
        <v>423499.6</v>
      </c>
    </row>
    <row r="99" spans="1:15" ht="6" customHeight="1">
      <c r="A99" s="836"/>
      <c r="B99" s="837"/>
      <c r="C99" s="837"/>
      <c r="D99" s="837"/>
      <c r="E99" s="837"/>
      <c r="F99" s="837"/>
      <c r="G99" s="837"/>
      <c r="H99" s="837"/>
      <c r="I99" s="837"/>
      <c r="J99" s="837"/>
      <c r="L99" s="837"/>
      <c r="M99" s="837"/>
      <c r="N99" s="837"/>
      <c r="O99" s="837"/>
    </row>
    <row r="100" spans="1:15">
      <c r="A100" s="830" t="s">
        <v>538</v>
      </c>
      <c r="B100" s="856">
        <f>B96/B98</f>
        <v>5122.4204682105637</v>
      </c>
      <c r="D100" s="856">
        <f>D96/D98</f>
        <v>5323.1791088662694</v>
      </c>
      <c r="F100" s="856" t="e">
        <f>F96/F98</f>
        <v>#DIV/0!</v>
      </c>
      <c r="H100" s="857">
        <f>H96/H98</f>
        <v>5200.3307020873935</v>
      </c>
      <c r="J100" s="857">
        <f>J96/J98</f>
        <v>5191.8809360263131</v>
      </c>
      <c r="L100" s="857">
        <f>L96/L98</f>
        <v>5263.0747067774109</v>
      </c>
      <c r="N100" s="857">
        <f>N96/N98</f>
        <v>5374.0949971563741</v>
      </c>
    </row>
    <row r="101" spans="1:15" ht="6" customHeight="1">
      <c r="A101" s="836"/>
      <c r="B101" s="837"/>
      <c r="C101" s="837"/>
      <c r="D101" s="837"/>
      <c r="E101" s="837"/>
      <c r="F101" s="837"/>
      <c r="G101" s="837"/>
      <c r="H101" s="837"/>
      <c r="I101" s="837"/>
      <c r="J101" s="837"/>
      <c r="L101" s="837"/>
      <c r="M101" s="837"/>
      <c r="N101" s="837"/>
      <c r="O101" s="837"/>
    </row>
    <row r="102" spans="1:15">
      <c r="A102" s="830" t="s">
        <v>567</v>
      </c>
      <c r="D102" s="858">
        <f>(D100-B100)/B100</f>
        <v>3.9192144007232879E-2</v>
      </c>
      <c r="F102" s="858" t="e">
        <f>(F100-D100)/D100</f>
        <v>#DIV/0!</v>
      </c>
      <c r="H102" s="858">
        <f>(H100-D100)/D100</f>
        <v>-2.3078014897950732E-2</v>
      </c>
      <c r="J102" s="858">
        <f>(J100-H100)/H100</f>
        <v>-1.624851676776782E-3</v>
      </c>
      <c r="L102" s="858">
        <f>(L100-J100)/J100</f>
        <v>1.3712519918761299E-2</v>
      </c>
      <c r="N102" s="858">
        <f>(N100-L100)/L100</f>
        <v>2.1094188580678741E-2</v>
      </c>
    </row>
    <row r="103" spans="1:15" ht="6.95" customHeight="1">
      <c r="B103" s="831"/>
      <c r="C103" s="831"/>
      <c r="D103" s="831"/>
      <c r="E103" s="831"/>
      <c r="F103" s="831"/>
      <c r="G103" s="831"/>
      <c r="H103" s="831"/>
      <c r="I103" s="831"/>
      <c r="J103" s="831"/>
      <c r="L103" s="831"/>
      <c r="M103" s="831"/>
      <c r="N103" s="831"/>
      <c r="O103" s="831"/>
    </row>
    <row r="104" spans="1:15">
      <c r="A104" s="830" t="s">
        <v>599</v>
      </c>
    </row>
    <row r="105" spans="1:15" ht="25.5">
      <c r="A105" s="864" t="s">
        <v>600</v>
      </c>
    </row>
    <row r="106" spans="1:15">
      <c r="A106" s="836" t="s">
        <v>525</v>
      </c>
      <c r="L106" s="865">
        <f>-DSASUMM!AG101</f>
        <v>0</v>
      </c>
      <c r="N106" s="865">
        <f>-DSASUMM!AH101</f>
        <v>0</v>
      </c>
    </row>
    <row r="107" spans="1:15">
      <c r="A107" s="836" t="s">
        <v>530</v>
      </c>
      <c r="H107" s="833"/>
      <c r="L107" s="865">
        <f>-DSASUMM!AG103</f>
        <v>0</v>
      </c>
      <c r="N107" s="865">
        <f>-DSASUMM!AH103</f>
        <v>0</v>
      </c>
    </row>
    <row r="108" spans="1:15">
      <c r="A108" s="836" t="s">
        <v>319</v>
      </c>
      <c r="L108" s="865">
        <f>-DSASUMM!AG111</f>
        <v>0</v>
      </c>
      <c r="N108" s="865">
        <f>-DSASUMM!AH111</f>
        <v>0</v>
      </c>
    </row>
    <row r="109" spans="1:15">
      <c r="A109" s="836" t="s">
        <v>528</v>
      </c>
      <c r="L109" s="865">
        <f>-DSASUMM!AG117</f>
        <v>0</v>
      </c>
      <c r="N109" s="865">
        <f>-DSASUMM!AH117</f>
        <v>0</v>
      </c>
    </row>
    <row r="110" spans="1:15">
      <c r="A110" s="836" t="s">
        <v>533</v>
      </c>
      <c r="L110" s="865">
        <f>-DSASUMM!AG115</f>
        <v>0</v>
      </c>
      <c r="N110" s="865">
        <f>-DSASUMM!AH115</f>
        <v>0</v>
      </c>
    </row>
    <row r="111" spans="1:15">
      <c r="A111" s="836" t="s">
        <v>534</v>
      </c>
      <c r="L111" s="865">
        <f>-DSASUMM!AG116</f>
        <v>0</v>
      </c>
      <c r="N111" s="865">
        <f>-DSASUMM!AH116</f>
        <v>0</v>
      </c>
    </row>
    <row r="112" spans="1:15">
      <c r="A112" s="836" t="s">
        <v>452</v>
      </c>
      <c r="L112" s="865">
        <f>-DSASUMM!AG112</f>
        <v>0</v>
      </c>
      <c r="N112" s="865">
        <f>-DSASUMM!AH112</f>
        <v>0</v>
      </c>
    </row>
    <row r="114" spans="1:14">
      <c r="A114" s="830" t="s">
        <v>601</v>
      </c>
    </row>
    <row r="115" spans="1:14">
      <c r="A115" s="830" t="s">
        <v>602</v>
      </c>
      <c r="L115" s="865">
        <f>-DSASUMM!AC109</f>
        <v>7560948</v>
      </c>
      <c r="N115" s="865">
        <f>-DSASUMM!AD109</f>
        <v>7560948</v>
      </c>
    </row>
    <row r="117" spans="1:14">
      <c r="A117" s="821" t="s">
        <v>603</v>
      </c>
      <c r="L117" s="865">
        <f>SUM(L106:L116)</f>
        <v>7560948</v>
      </c>
      <c r="N117" s="865">
        <f>SUM(N106:N116)</f>
        <v>7560948</v>
      </c>
    </row>
  </sheetData>
  <mergeCells count="7">
    <mergeCell ref="L5:N5"/>
    <mergeCell ref="A1:R1"/>
    <mergeCell ref="A2:R2"/>
    <mergeCell ref="A3:R3"/>
    <mergeCell ref="H4:J4"/>
    <mergeCell ref="B5:D5"/>
    <mergeCell ref="H5:J5"/>
  </mergeCells>
  <printOptions horizontalCentered="1"/>
  <pageMargins left="0.45" right="0.45" top="0.5" bottom="0.75" header="0.3" footer="0.3"/>
  <pageSetup paperSize="5" orientation="landscape" r:id="rId1"/>
  <headerFooter>
    <oddFooter>&amp;L&amp;8&amp;D&amp;R&amp;8&amp;P of &amp;N</oddFooter>
  </headerFooter>
</worksheet>
</file>

<file path=xl/worksheets/sheet3.xml><?xml version="1.0" encoding="utf-8"?>
<worksheet xmlns="http://schemas.openxmlformats.org/spreadsheetml/2006/main" xmlns:r="http://schemas.openxmlformats.org/officeDocument/2006/relationships">
  <sheetPr codeName="Sheet2" enableFormatConditionsCalculation="0">
    <pageSetUpPr fitToPage="1"/>
  </sheetPr>
  <dimension ref="A1:N61"/>
  <sheetViews>
    <sheetView showGridLines="0" tabSelected="1" zoomScale="125" workbookViewId="0">
      <selection activeCell="L7" sqref="L7"/>
    </sheetView>
  </sheetViews>
  <sheetFormatPr defaultColWidth="8.85546875" defaultRowHeight="12.75"/>
  <cols>
    <col min="1" max="1" width="2.7109375" style="9" customWidth="1"/>
    <col min="2" max="2" width="37" style="9" customWidth="1"/>
    <col min="3" max="3" width="11.5703125" style="118" customWidth="1"/>
    <col min="4" max="4" width="11.28515625" style="9" customWidth="1"/>
    <col min="5" max="5" width="11.85546875" style="9" customWidth="1"/>
    <col min="6" max="6" width="11.28515625" style="9" customWidth="1"/>
    <col min="7" max="7" width="0.85546875" style="867" customWidth="1"/>
    <col min="8" max="8" width="11.28515625" style="9" customWidth="1"/>
    <col min="9" max="9" width="0.85546875" style="9" customWidth="1"/>
    <col min="10" max="10" width="11.28515625" style="9" customWidth="1"/>
    <col min="11" max="11" width="10.5703125" style="867" customWidth="1"/>
    <col min="12" max="12" width="12.7109375" style="9" customWidth="1"/>
    <col min="13" max="13" width="17.28515625" style="9" bestFit="1" customWidth="1"/>
    <col min="14" max="14" width="15" style="9" bestFit="1" customWidth="1"/>
    <col min="15" max="16384" width="8.85546875" style="9"/>
  </cols>
  <sheetData>
    <row r="1" spans="1:14" ht="20.100000000000001" customHeight="1" thickBot="1">
      <c r="A1" s="873"/>
      <c r="B1" s="1026" t="s">
        <v>375</v>
      </c>
      <c r="C1" s="1026"/>
      <c r="D1" s="1026"/>
      <c r="E1" s="1026"/>
      <c r="F1" s="1026"/>
      <c r="G1" s="1026"/>
      <c r="H1" s="1026"/>
      <c r="I1" s="1026"/>
      <c r="J1" s="1027"/>
      <c r="K1" s="938"/>
    </row>
    <row r="2" spans="1:14" ht="13.5">
      <c r="A2" s="1009"/>
      <c r="B2" s="482"/>
      <c r="C2" s="773">
        <v>2010</v>
      </c>
      <c r="D2" s="875"/>
      <c r="E2" s="773">
        <v>2011</v>
      </c>
      <c r="F2" s="875"/>
      <c r="G2" s="875"/>
      <c r="H2" s="773">
        <v>2012</v>
      </c>
      <c r="I2" s="875"/>
      <c r="J2" s="775">
        <v>2013</v>
      </c>
      <c r="K2" s="96"/>
    </row>
    <row r="3" spans="1:14" ht="15.75">
      <c r="A3" s="874"/>
      <c r="B3" s="483"/>
      <c r="C3" s="871" t="s">
        <v>622</v>
      </c>
      <c r="D3" s="871">
        <v>2010</v>
      </c>
      <c r="E3" s="871" t="s">
        <v>622</v>
      </c>
      <c r="F3" s="871">
        <v>2011</v>
      </c>
      <c r="G3" s="871"/>
      <c r="H3" s="871" t="s">
        <v>646</v>
      </c>
      <c r="I3" s="871"/>
      <c r="J3" s="900" t="s">
        <v>646</v>
      </c>
      <c r="K3" s="871"/>
      <c r="L3" s="867"/>
    </row>
    <row r="4" spans="1:14" ht="14.25" thickBot="1">
      <c r="A4" s="874"/>
      <c r="B4" s="483"/>
      <c r="C4" s="774" t="s">
        <v>372</v>
      </c>
      <c r="D4" s="876" t="s">
        <v>41</v>
      </c>
      <c r="E4" s="774" t="s">
        <v>372</v>
      </c>
      <c r="F4" s="876" t="s">
        <v>626</v>
      </c>
      <c r="G4" s="876"/>
      <c r="H4" s="927" t="s">
        <v>630</v>
      </c>
      <c r="I4" s="876"/>
      <c r="J4" s="928" t="s">
        <v>630</v>
      </c>
      <c r="K4" s="939"/>
      <c r="L4" s="867"/>
    </row>
    <row r="5" spans="1:14" ht="13.5">
      <c r="A5" s="889" t="s">
        <v>207</v>
      </c>
      <c r="B5" s="868"/>
      <c r="C5" s="1010">
        <v>425648.4</v>
      </c>
      <c r="D5" s="1011">
        <v>421386.6</v>
      </c>
      <c r="E5" s="1012">
        <v>429706.6</v>
      </c>
      <c r="F5" s="1012">
        <f>DSADATABASE!B4</f>
        <v>422569.6</v>
      </c>
      <c r="G5" s="1011"/>
      <c r="H5" s="1013">
        <f>+DSASUMM!AI97</f>
        <v>421987.1</v>
      </c>
      <c r="I5" s="1011"/>
      <c r="J5" s="1014">
        <f>+DSASUMM!AK97</f>
        <v>423499.6</v>
      </c>
      <c r="K5" s="890"/>
    </row>
    <row r="6" spans="1:14" ht="13.5">
      <c r="A6" s="889"/>
      <c r="B6" s="909" t="s">
        <v>616</v>
      </c>
      <c r="C6" s="904">
        <v>0</v>
      </c>
      <c r="D6" s="890">
        <v>4140.6000000000004</v>
      </c>
      <c r="E6" s="905">
        <v>0</v>
      </c>
      <c r="F6" s="604">
        <v>1367.2</v>
      </c>
      <c r="G6" s="890"/>
      <c r="H6" s="872">
        <v>0</v>
      </c>
      <c r="I6" s="890"/>
      <c r="J6" s="902">
        <v>0</v>
      </c>
      <c r="K6" s="872"/>
      <c r="L6" s="929"/>
      <c r="M6" s="929"/>
      <c r="N6" s="929"/>
    </row>
    <row r="7" spans="1:14" ht="13.5">
      <c r="A7" s="889" t="s">
        <v>170</v>
      </c>
      <c r="B7" s="868"/>
      <c r="C7" s="603">
        <f>SUM(C5:C6)</f>
        <v>425648.4</v>
      </c>
      <c r="D7" s="890">
        <f>SUM(D5:D6)</f>
        <v>425527.19999999995</v>
      </c>
      <c r="E7" s="890">
        <f>SUM(E5:E6)</f>
        <v>429706.6</v>
      </c>
      <c r="F7" s="604">
        <f>SUM(F5:F6)</f>
        <v>423936.8</v>
      </c>
      <c r="G7" s="890"/>
      <c r="H7" s="872">
        <f>SUM(H5:H6)</f>
        <v>421987.1</v>
      </c>
      <c r="I7" s="890"/>
      <c r="J7" s="902">
        <f>SUM(J5:J6)</f>
        <v>423499.6</v>
      </c>
      <c r="K7" s="890"/>
      <c r="L7" s="929"/>
      <c r="M7" s="929"/>
      <c r="N7" s="929"/>
    </row>
    <row r="8" spans="1:14" ht="13.5">
      <c r="A8" s="889" t="s">
        <v>164</v>
      </c>
      <c r="B8" s="868"/>
      <c r="C8" s="980">
        <f>C9/C7</f>
        <v>5186.3621007385436</v>
      </c>
      <c r="D8" s="982">
        <f>D9/D7</f>
        <v>5185.6039402416582</v>
      </c>
      <c r="E8" s="982">
        <v>5192</v>
      </c>
      <c r="F8" s="982">
        <f>F9/F7</f>
        <v>5192.2041327858306</v>
      </c>
      <c r="G8" s="981"/>
      <c r="H8" s="982">
        <f>ROUND(H9/H7,0)</f>
        <v>5263</v>
      </c>
      <c r="I8" s="981"/>
      <c r="J8" s="987">
        <f>ROUND(J9/J7,0)</f>
        <v>5374</v>
      </c>
      <c r="K8" s="106"/>
      <c r="L8" s="929"/>
      <c r="M8" s="929"/>
      <c r="N8" s="929"/>
    </row>
    <row r="9" spans="1:14" ht="13.5">
      <c r="A9" s="889" t="s">
        <v>169</v>
      </c>
      <c r="B9" s="868"/>
      <c r="C9" s="980">
        <f>DSASUMM!B95</f>
        <v>2207566730</v>
      </c>
      <c r="D9" s="982">
        <f>DSASUMM!C95</f>
        <v>2206615525</v>
      </c>
      <c r="E9" s="982">
        <v>2230973023</v>
      </c>
      <c r="F9" s="982">
        <v>2201166405</v>
      </c>
      <c r="G9" s="981"/>
      <c r="H9" s="981">
        <f>DSASUMM!AI95</f>
        <v>2220949632.5963497</v>
      </c>
      <c r="I9" s="981"/>
      <c r="J9" s="983">
        <f>DSASUMM!AK95</f>
        <v>2275927081.6577253</v>
      </c>
      <c r="K9" s="877"/>
      <c r="L9" s="929"/>
      <c r="M9" s="929"/>
      <c r="N9" s="929"/>
    </row>
    <row r="10" spans="1:14" s="867" customFormat="1" ht="9.9499999999999993" customHeight="1">
      <c r="A10" s="889"/>
      <c r="B10" s="868"/>
      <c r="C10" s="1006"/>
      <c r="D10" s="1003"/>
      <c r="E10" s="1003"/>
      <c r="F10" s="1003"/>
      <c r="G10" s="923"/>
      <c r="H10" s="923"/>
      <c r="I10" s="923"/>
      <c r="J10" s="1007"/>
      <c r="K10" s="877"/>
      <c r="L10" s="929"/>
      <c r="M10" s="929"/>
      <c r="N10" s="929"/>
    </row>
    <row r="11" spans="1:14" ht="13.5" customHeight="1">
      <c r="A11" s="889" t="s">
        <v>652</v>
      </c>
      <c r="B11" s="868"/>
      <c r="C11" s="105"/>
      <c r="D11" s="877"/>
      <c r="E11" s="106"/>
      <c r="F11" s="106"/>
      <c r="G11" s="877"/>
      <c r="H11" s="877"/>
      <c r="I11" s="877"/>
      <c r="J11" s="893"/>
      <c r="K11" s="877"/>
      <c r="L11" s="930"/>
      <c r="M11" s="929"/>
      <c r="N11" s="929"/>
    </row>
    <row r="12" spans="1:14" s="867" customFormat="1" ht="13.5">
      <c r="A12" s="874"/>
      <c r="B12" s="870" t="s">
        <v>171</v>
      </c>
      <c r="C12" s="105">
        <f>DSASUMM!B102</f>
        <v>121252632</v>
      </c>
      <c r="D12" s="106">
        <f>DSASUMM!C102</f>
        <v>121252632</v>
      </c>
      <c r="E12" s="106">
        <f>DSASUMM!E102</f>
        <v>121252632</v>
      </c>
      <c r="F12" s="106">
        <f>DSASUMM!E102</f>
        <v>121252632</v>
      </c>
      <c r="G12" s="877"/>
      <c r="H12" s="877">
        <f>DSASUMM!AI102</f>
        <v>121252632</v>
      </c>
      <c r="I12" s="877"/>
      <c r="J12" s="893">
        <f>DSASUMM!AK102</f>
        <v>121252632</v>
      </c>
      <c r="K12" s="877"/>
      <c r="L12" s="930"/>
      <c r="M12" s="929"/>
      <c r="N12" s="929"/>
    </row>
    <row r="13" spans="1:14" ht="13.5">
      <c r="A13" s="874"/>
      <c r="B13" s="870" t="s">
        <v>647</v>
      </c>
      <c r="C13" s="105">
        <f>DSASUMM!B101</f>
        <v>142682929</v>
      </c>
      <c r="D13" s="106">
        <f>DSASUMM!C101</f>
        <v>142682930</v>
      </c>
      <c r="E13" s="106">
        <f>DSASUMM!E101</f>
        <v>144348993</v>
      </c>
      <c r="F13" s="106">
        <f>DSASUMM!E101</f>
        <v>144348993</v>
      </c>
      <c r="G13" s="877"/>
      <c r="H13" s="877">
        <f>DSASUMM!AI101-1</f>
        <v>139213449.21717754</v>
      </c>
      <c r="I13" s="877"/>
      <c r="J13" s="893">
        <f>DSASUMM!AK101</f>
        <v>142639610.48110196</v>
      </c>
      <c r="K13" s="877"/>
      <c r="L13" s="931"/>
      <c r="M13" s="931"/>
      <c r="N13" s="929"/>
    </row>
    <row r="14" spans="1:14" ht="13.5">
      <c r="A14" s="874"/>
      <c r="B14" s="870" t="s">
        <v>648</v>
      </c>
      <c r="C14" s="713">
        <f>DSASUMM!B116</f>
        <v>1580391</v>
      </c>
      <c r="D14" s="714">
        <f>DSASUMM!C116</f>
        <v>1580390</v>
      </c>
      <c r="E14" s="714">
        <f>DSASUMM!E116</f>
        <v>1586508</v>
      </c>
      <c r="F14" s="714">
        <f>DSASUMM!E116</f>
        <v>1586508</v>
      </c>
      <c r="G14" s="891"/>
      <c r="H14" s="891">
        <f>DSASUMM!AI116+1</f>
        <v>1554598.9963474306</v>
      </c>
      <c r="I14" s="891"/>
      <c r="J14" s="894">
        <f>DSASUMM!AK116</f>
        <v>1582409.3907230706</v>
      </c>
      <c r="K14" s="877"/>
      <c r="L14" s="931"/>
      <c r="M14" s="931"/>
      <c r="N14" s="929"/>
    </row>
    <row r="15" spans="1:14" ht="13.5">
      <c r="A15" s="874"/>
      <c r="B15" s="870" t="s">
        <v>165</v>
      </c>
      <c r="C15" s="105">
        <f>DSASUMM!B103</f>
        <v>162571</v>
      </c>
      <c r="D15" s="106">
        <f>DSASUMM!C103</f>
        <v>162566</v>
      </c>
      <c r="E15" s="106">
        <f>DSASUMM!E103</f>
        <v>167459</v>
      </c>
      <c r="F15" s="106">
        <f>DSASUMM!E103</f>
        <v>167459</v>
      </c>
      <c r="G15" s="877"/>
      <c r="H15" s="877">
        <f>DSASUMM!AI103</f>
        <v>158414</v>
      </c>
      <c r="I15" s="877"/>
      <c r="J15" s="893">
        <f>DSASUMM!AK103</f>
        <v>162163</v>
      </c>
      <c r="K15" s="877"/>
      <c r="L15" s="931"/>
      <c r="M15" s="932"/>
      <c r="N15" s="929"/>
    </row>
    <row r="16" spans="1:14" ht="13.5">
      <c r="A16" s="874"/>
      <c r="B16" s="870" t="s">
        <v>166</v>
      </c>
      <c r="C16" s="105">
        <f>DSASUMM!B104</f>
        <v>21170456</v>
      </c>
      <c r="D16" s="106">
        <f>DSASUMM!C104</f>
        <v>21170456</v>
      </c>
      <c r="E16" s="106">
        <f>DSASUMM!E104</f>
        <v>22673833</v>
      </c>
      <c r="F16" s="106">
        <f>DSASUMM!E104</f>
        <v>22673833</v>
      </c>
      <c r="G16" s="877"/>
      <c r="H16" s="877">
        <f>DSASUMM!AI104</f>
        <v>17011957.009247731</v>
      </c>
      <c r="I16" s="877"/>
      <c r="J16" s="893">
        <f>DSASUMM!AK104</f>
        <v>17758915.542630088</v>
      </c>
      <c r="K16" s="877"/>
      <c r="L16" s="931"/>
      <c r="M16" s="931"/>
      <c r="N16" s="929"/>
    </row>
    <row r="17" spans="1:14" ht="13.5">
      <c r="A17" s="874"/>
      <c r="B17" s="870" t="s">
        <v>339</v>
      </c>
      <c r="C17" s="105">
        <f>DSASUMM!B105</f>
        <v>588732</v>
      </c>
      <c r="D17" s="106">
        <f>DSASUMM!C105</f>
        <v>588732</v>
      </c>
      <c r="E17" s="106">
        <f>DSASUMM!E105</f>
        <v>588732</v>
      </c>
      <c r="F17" s="106">
        <f>DSASUMM!E105</f>
        <v>588732</v>
      </c>
      <c r="G17" s="877"/>
      <c r="H17" s="877">
        <f>DSASUMM!AI105</f>
        <v>588732</v>
      </c>
      <c r="I17" s="877"/>
      <c r="J17" s="893">
        <f>DSASUMM!AK105</f>
        <v>588732</v>
      </c>
      <c r="K17" s="877"/>
      <c r="L17" s="931"/>
      <c r="M17" s="931"/>
      <c r="N17" s="929"/>
    </row>
    <row r="18" spans="1:14" ht="13.5">
      <c r="A18" s="874"/>
      <c r="B18" s="870" t="s">
        <v>638</v>
      </c>
      <c r="C18" s="105">
        <f>DSASUMM!B109</f>
        <v>7897804</v>
      </c>
      <c r="D18" s="106">
        <f>DSASUMM!C109</f>
        <v>7897804</v>
      </c>
      <c r="E18" s="106">
        <f>DSASUMM!E109</f>
        <v>7897804</v>
      </c>
      <c r="F18" s="106">
        <f>DSASUMM!E109</f>
        <v>7897804</v>
      </c>
      <c r="G18" s="877"/>
      <c r="H18" s="877">
        <f>DSASUMM!AI109</f>
        <v>0</v>
      </c>
      <c r="I18" s="877"/>
      <c r="J18" s="893">
        <f>DSASUMM!AK109</f>
        <v>0</v>
      </c>
      <c r="K18" s="877"/>
      <c r="L18" s="929"/>
      <c r="M18" s="929"/>
      <c r="N18" s="929"/>
    </row>
    <row r="19" spans="1:14" ht="13.5">
      <c r="A19" s="874"/>
      <c r="B19" s="870" t="s">
        <v>167</v>
      </c>
      <c r="C19" s="105">
        <f>DSASUMM!B111</f>
        <v>3338875</v>
      </c>
      <c r="D19" s="106">
        <f>DSASUMM!C111</f>
        <v>3304982</v>
      </c>
      <c r="E19" s="106">
        <v>3338875</v>
      </c>
      <c r="F19" s="106">
        <f>DSASUMM!E111</f>
        <v>3372768</v>
      </c>
      <c r="G19" s="877"/>
      <c r="H19" s="877">
        <f>DSASUMM!AI111</f>
        <v>3338875</v>
      </c>
      <c r="I19" s="877"/>
      <c r="J19" s="893">
        <f>DSASUMM!AK111</f>
        <v>3338875</v>
      </c>
      <c r="K19" s="877"/>
      <c r="L19" s="929"/>
      <c r="M19" s="929"/>
      <c r="N19" s="929"/>
    </row>
    <row r="20" spans="1:14" ht="13.5">
      <c r="A20" s="874"/>
      <c r="B20" s="870" t="s">
        <v>620</v>
      </c>
      <c r="C20" s="105">
        <f>DSASUMM!B112</f>
        <v>18798</v>
      </c>
      <c r="D20" s="106">
        <f>DSASUMM!C112</f>
        <v>18798</v>
      </c>
      <c r="E20" s="106">
        <f>DSASUMM!E112</f>
        <v>18798</v>
      </c>
      <c r="F20" s="106">
        <f>DSASUMM!E112</f>
        <v>18798</v>
      </c>
      <c r="G20" s="877"/>
      <c r="H20" s="877">
        <f>DSASUMM!AI112</f>
        <v>18798</v>
      </c>
      <c r="I20" s="877"/>
      <c r="J20" s="893">
        <f>DSASUMM!AK112</f>
        <v>18798</v>
      </c>
      <c r="K20" s="877"/>
      <c r="L20" s="929"/>
      <c r="M20" s="929"/>
      <c r="N20" s="929"/>
    </row>
    <row r="21" spans="1:14" ht="13.5">
      <c r="A21" s="874"/>
      <c r="B21" s="870" t="s">
        <v>168</v>
      </c>
      <c r="C21" s="105">
        <f>DSASUMM!B115</f>
        <v>850000</v>
      </c>
      <c r="D21" s="106">
        <f>DSASUMM!C115</f>
        <v>850000</v>
      </c>
      <c r="E21" s="106">
        <f>DSASUMM!E115</f>
        <v>850000</v>
      </c>
      <c r="F21" s="106">
        <f>DSASUMM!E115</f>
        <v>850000</v>
      </c>
      <c r="G21" s="877"/>
      <c r="H21" s="877">
        <f>DSASUMM!AI115</f>
        <v>850000</v>
      </c>
      <c r="I21" s="877"/>
      <c r="J21" s="893">
        <f>DSASUMM!AK115</f>
        <v>850000</v>
      </c>
      <c r="K21" s="877"/>
      <c r="L21" s="929"/>
      <c r="M21" s="929"/>
      <c r="N21" s="929"/>
    </row>
    <row r="22" spans="1:14" ht="13.5">
      <c r="A22" s="874"/>
      <c r="B22" s="870" t="s">
        <v>244</v>
      </c>
      <c r="C22" s="105">
        <f>DSASUMM!B117</f>
        <v>170908</v>
      </c>
      <c r="D22" s="106">
        <f>DSASUMM!C117</f>
        <v>128541</v>
      </c>
      <c r="E22" s="106">
        <f>DSASUMM!E117</f>
        <v>170908</v>
      </c>
      <c r="F22" s="106">
        <f>DSASUMM!E117</f>
        <v>170908</v>
      </c>
      <c r="G22" s="877"/>
      <c r="H22" s="877">
        <f>DSASUMM!AI117</f>
        <v>128541</v>
      </c>
      <c r="I22" s="877"/>
      <c r="J22" s="893">
        <f>DSASUMM!AK117</f>
        <v>128541</v>
      </c>
      <c r="K22" s="877"/>
      <c r="L22" s="929"/>
      <c r="M22" s="929"/>
      <c r="N22" s="929"/>
    </row>
    <row r="23" spans="1:14" s="867" customFormat="1" ht="9.9499999999999993" customHeight="1">
      <c r="A23" s="874"/>
      <c r="B23" s="870"/>
      <c r="C23" s="105"/>
      <c r="D23" s="106"/>
      <c r="E23" s="106"/>
      <c r="F23" s="106"/>
      <c r="G23" s="877"/>
      <c r="H23" s="877"/>
      <c r="I23" s="877"/>
      <c r="J23" s="893"/>
      <c r="K23" s="877"/>
      <c r="L23" s="929"/>
      <c r="M23" s="929"/>
      <c r="N23" s="929"/>
    </row>
    <row r="24" spans="1:14" s="867" customFormat="1" ht="13.5">
      <c r="A24" s="889" t="s">
        <v>429</v>
      </c>
      <c r="B24" s="868"/>
      <c r="C24" s="1017">
        <f>+DSASUMM!B106</f>
        <v>0</v>
      </c>
      <c r="D24" s="106">
        <v>7225368</v>
      </c>
      <c r="E24" s="106">
        <v>0</v>
      </c>
      <c r="F24" s="106">
        <f>DSASUMM!E106</f>
        <v>0</v>
      </c>
      <c r="G24" s="106">
        <v>0</v>
      </c>
      <c r="H24" s="877">
        <v>0</v>
      </c>
      <c r="I24" s="877"/>
      <c r="J24" s="893">
        <v>0</v>
      </c>
      <c r="K24" s="877"/>
      <c r="L24" s="869"/>
      <c r="M24" s="929"/>
      <c r="N24" s="929"/>
    </row>
    <row r="25" spans="1:14" ht="14.25" thickBot="1">
      <c r="A25" s="1018" t="s">
        <v>621</v>
      </c>
      <c r="B25" s="868"/>
      <c r="C25" s="110">
        <f>DSASUMM!B118</f>
        <v>0</v>
      </c>
      <c r="D25" s="766">
        <f>DSASUMM!C118</f>
        <v>-39739</v>
      </c>
      <c r="E25" s="766">
        <v>0</v>
      </c>
      <c r="F25" s="766">
        <v>0</v>
      </c>
      <c r="G25" s="1015"/>
      <c r="H25" s="1015">
        <f>DSASUMM!AI118</f>
        <v>0</v>
      </c>
      <c r="I25" s="1015"/>
      <c r="J25" s="1016">
        <f>DSASUMM!AK118</f>
        <v>0</v>
      </c>
      <c r="K25" s="877"/>
      <c r="L25" s="929"/>
      <c r="M25" s="929"/>
      <c r="N25" s="929"/>
    </row>
    <row r="26" spans="1:14" ht="13.5">
      <c r="A26" s="889" t="s">
        <v>163</v>
      </c>
      <c r="B26" s="888"/>
      <c r="C26" s="982">
        <f>SUM(C12:C25)+C9</f>
        <v>2507280826</v>
      </c>
      <c r="D26" s="982">
        <f>SUM(D12:D25)+D9</f>
        <v>2513438985</v>
      </c>
      <c r="E26" s="982">
        <f>SUM(E12:E25)+E9+1</f>
        <v>2533867566</v>
      </c>
      <c r="F26" s="982">
        <f>SUM(F12:F25)+F9</f>
        <v>2504094840</v>
      </c>
      <c r="G26" s="982"/>
      <c r="H26" s="982">
        <f>SUM(H12:H25)+H9</f>
        <v>2505065629.8191223</v>
      </c>
      <c r="I26" s="982"/>
      <c r="J26" s="987">
        <f>SUM(J12:J25)+J9</f>
        <v>2564247758.0721803</v>
      </c>
      <c r="K26" s="106"/>
      <c r="L26" s="929"/>
      <c r="M26" s="929"/>
      <c r="N26" s="929"/>
    </row>
    <row r="27" spans="1:14" ht="9.9499999999999993" customHeight="1">
      <c r="A27" s="889"/>
      <c r="B27" s="888"/>
      <c r="C27" s="106"/>
      <c r="D27" s="877"/>
      <c r="E27" s="106"/>
      <c r="F27" s="868"/>
      <c r="G27" s="877"/>
      <c r="H27" s="877"/>
      <c r="I27" s="877"/>
      <c r="J27" s="893"/>
      <c r="K27" s="877"/>
      <c r="L27" s="929"/>
      <c r="M27" s="929"/>
      <c r="N27" s="929"/>
    </row>
    <row r="28" spans="1:14" ht="13.5">
      <c r="A28" s="889" t="s">
        <v>43</v>
      </c>
      <c r="B28" s="888"/>
      <c r="C28" s="868"/>
      <c r="D28" s="877"/>
      <c r="E28" s="868"/>
      <c r="F28" s="868"/>
      <c r="G28" s="877"/>
      <c r="H28" s="877"/>
      <c r="I28" s="877"/>
      <c r="J28" s="893"/>
      <c r="K28" s="877"/>
      <c r="L28" s="929"/>
      <c r="M28" s="929"/>
      <c r="N28" s="929"/>
    </row>
    <row r="29" spans="1:14" ht="13.5">
      <c r="A29" s="874"/>
      <c r="B29" s="483" t="str">
        <f>DSASUMM!A121</f>
        <v>LOCAL SCHOOL SUPPORT TAX - 2.60%</v>
      </c>
      <c r="C29" s="106">
        <f>DSASUMM!B121</f>
        <v>-905809371</v>
      </c>
      <c r="D29" s="106">
        <f>DSASUMM!C121</f>
        <v>-872948748</v>
      </c>
      <c r="E29" s="106">
        <v>-944174996</v>
      </c>
      <c r="F29" s="106">
        <f>DSASUMM!E121</f>
        <v>-921462307.22000003</v>
      </c>
      <c r="G29" s="877"/>
      <c r="H29" s="877">
        <f>DSASUMM!AI121</f>
        <v>-941734793.09000003</v>
      </c>
      <c r="I29" s="877"/>
      <c r="J29" s="893">
        <f>DSASUMM!AK121</f>
        <v>-969986647.63000011</v>
      </c>
      <c r="K29" s="877"/>
      <c r="L29" s="929"/>
      <c r="M29" s="929"/>
      <c r="N29" s="929"/>
    </row>
    <row r="30" spans="1:14" ht="13.5">
      <c r="A30" s="874"/>
      <c r="B30" s="483" t="str">
        <f>DSASUMM!A122</f>
        <v xml:space="preserve">1/3 PUBLIC SCHOOLS OPERATING PROPERTY TAX </v>
      </c>
      <c r="C30" s="106">
        <f>DSASUMM!B122</f>
        <v>-253196604</v>
      </c>
      <c r="D30" s="106">
        <f>DSASUMM!C122</f>
        <v>-262851182</v>
      </c>
      <c r="E30" s="106">
        <v>-231116201</v>
      </c>
      <c r="F30" s="106">
        <f>DSASUMM!E122</f>
        <v>-220536619</v>
      </c>
      <c r="G30" s="877"/>
      <c r="H30" s="877">
        <f>DSASUMM!AI122</f>
        <v>-202433266</v>
      </c>
      <c r="I30" s="877"/>
      <c r="J30" s="893">
        <f>DSASUMM!AK122</f>
        <v>-202931773</v>
      </c>
      <c r="K30" s="877"/>
      <c r="L30" s="931"/>
      <c r="M30" s="931"/>
      <c r="N30" s="929"/>
    </row>
    <row r="31" spans="1:14" ht="13.5">
      <c r="A31" s="874"/>
      <c r="B31" s="483" t="str">
        <f>+DSASUMM!A124</f>
        <v>CAPITAL CONSTRUCTION FUNDS</v>
      </c>
      <c r="C31" s="106">
        <f>DSASUMM!B124</f>
        <v>-10000000</v>
      </c>
      <c r="D31" s="106">
        <f>C31</f>
        <v>-10000000</v>
      </c>
      <c r="E31" s="106">
        <f>DSASUMM!E124</f>
        <v>-35000000</v>
      </c>
      <c r="F31" s="106">
        <f>DSASUMM!E124</f>
        <v>-35000000</v>
      </c>
      <c r="G31" s="877"/>
      <c r="H31" s="877">
        <f>+DSASUMM!AI124</f>
        <v>-20000000</v>
      </c>
      <c r="I31" s="877"/>
      <c r="J31" s="893">
        <f>+DSASUMM!AK124</f>
        <v>-20000000</v>
      </c>
      <c r="K31" s="877"/>
      <c r="L31" s="931"/>
      <c r="M31" s="931"/>
      <c r="N31" s="931"/>
    </row>
    <row r="32" spans="1:14" ht="13.5">
      <c r="A32" s="889" t="s">
        <v>225</v>
      </c>
      <c r="B32" s="483" t="s">
        <v>322</v>
      </c>
      <c r="C32" s="1008">
        <f>DSASUMM!B125</f>
        <v>-6000000</v>
      </c>
      <c r="D32" s="108">
        <f>DSASUMM!C125</f>
        <v>-6000000</v>
      </c>
      <c r="E32" s="108">
        <f>DSASUMM!E125</f>
        <v>-5400000</v>
      </c>
      <c r="F32" s="108">
        <f>DSASUMM!E125</f>
        <v>-5400000</v>
      </c>
      <c r="G32" s="108"/>
      <c r="H32" s="108">
        <f>+DSADATABASE!C88</f>
        <v>0</v>
      </c>
      <c r="I32" s="108"/>
      <c r="J32" s="765">
        <f>+DSADATABASE!D88</f>
        <v>0</v>
      </c>
      <c r="K32" s="106"/>
      <c r="L32" s="929"/>
      <c r="M32" s="929"/>
      <c r="N32" s="929"/>
    </row>
    <row r="33" spans="1:14" ht="14.25" thickBot="1">
      <c r="A33" s="484" t="s">
        <v>162</v>
      </c>
      <c r="B33" s="408"/>
      <c r="C33" s="985">
        <f>SUM(C26:C32)</f>
        <v>1332274851</v>
      </c>
      <c r="D33" s="984">
        <f>SUM(D26:D32)</f>
        <v>1361639055</v>
      </c>
      <c r="E33" s="984">
        <f>SUM(E26:E32)</f>
        <v>1318176369</v>
      </c>
      <c r="F33" s="984">
        <f>SUM(F26:F32)</f>
        <v>1321695913.78</v>
      </c>
      <c r="G33" s="984"/>
      <c r="H33" s="984">
        <f>SUM(H26:H32)</f>
        <v>1340897570.7291222</v>
      </c>
      <c r="I33" s="985"/>
      <c r="J33" s="986">
        <f>SUM(J26:J32)</f>
        <v>1371329337.4421802</v>
      </c>
      <c r="K33" s="106"/>
      <c r="L33" s="929"/>
      <c r="M33" s="929"/>
      <c r="N33" s="929"/>
    </row>
    <row r="34" spans="1:14" ht="9.9499999999999993" customHeight="1">
      <c r="A34" s="889"/>
      <c r="B34" s="868"/>
      <c r="C34" s="106"/>
      <c r="D34" s="877"/>
      <c r="E34" s="106"/>
      <c r="F34" s="868"/>
      <c r="G34" s="877"/>
      <c r="H34" s="877"/>
      <c r="I34" s="877"/>
      <c r="J34" s="893"/>
      <c r="K34" s="877"/>
      <c r="L34" s="929"/>
      <c r="M34" s="929"/>
      <c r="N34" s="929"/>
    </row>
    <row r="35" spans="1:14" ht="13.5" customHeight="1" thickBot="1">
      <c r="A35" s="889" t="s">
        <v>361</v>
      </c>
      <c r="B35" s="868"/>
      <c r="C35" s="868"/>
      <c r="D35" s="877"/>
      <c r="E35" s="868"/>
      <c r="F35" s="880"/>
      <c r="G35" s="877"/>
      <c r="H35" s="877"/>
      <c r="I35" s="877"/>
      <c r="J35" s="893"/>
      <c r="K35" s="877"/>
      <c r="L35" s="929"/>
      <c r="M35" s="929"/>
      <c r="N35" s="929"/>
    </row>
    <row r="36" spans="1:14" ht="13.5">
      <c r="A36" s="874"/>
      <c r="B36" s="870" t="str">
        <f>+DSASUMM!A130</f>
        <v xml:space="preserve"> GENERAL FUND</v>
      </c>
      <c r="C36" s="1001">
        <f>DSASUMM!B130</f>
        <v>1173542690</v>
      </c>
      <c r="D36" s="1002">
        <f>DSASUMM!C130</f>
        <v>1173542690</v>
      </c>
      <c r="E36" s="1002">
        <f>1267051744-112426570</f>
        <v>1154625174</v>
      </c>
      <c r="F36" s="1003">
        <f>DSASUMM!E130</f>
        <v>1154625174</v>
      </c>
      <c r="G36" s="1004"/>
      <c r="H36" s="1004">
        <f>((1083061369-33139431)+273232418+47028999+1559)-19078532-57561639-42519999-197260069-1+57950189-3147958-286178-20000000</f>
        <v>1088280727</v>
      </c>
      <c r="I36" s="1004"/>
      <c r="J36" s="1005">
        <f>((920092905-21438031)+406170563+95121601+25)-19078532+1196-58769982-42732000-195882063+52392914-3147958-1113360-286178-20000000</f>
        <v>1111331100</v>
      </c>
      <c r="K36" s="940"/>
      <c r="L36" s="931"/>
      <c r="M36" s="933"/>
      <c r="N36" s="933"/>
    </row>
    <row r="37" spans="1:14" ht="13.5">
      <c r="A37" s="874"/>
      <c r="B37" s="870" t="str">
        <f>+DSASUMM!A131</f>
        <v xml:space="preserve"> GENERAL FUND TRANSFER FY 2010 TO FY 2009</v>
      </c>
      <c r="C37" s="105">
        <f>DSASUMM!B131</f>
        <v>0</v>
      </c>
      <c r="D37" s="106">
        <f>DSASUMM!C131</f>
        <v>-18917900</v>
      </c>
      <c r="E37" s="106">
        <f>DSASUMM!E131</f>
        <v>0</v>
      </c>
      <c r="F37" s="106">
        <v>0</v>
      </c>
      <c r="G37" s="877"/>
      <c r="H37" s="877">
        <f>DSASUMM!AI131</f>
        <v>0</v>
      </c>
      <c r="I37" s="877"/>
      <c r="J37" s="893">
        <f>DSASUMM!AK131</f>
        <v>0</v>
      </c>
      <c r="K37" s="877"/>
      <c r="L37" s="931"/>
      <c r="M37" s="934"/>
      <c r="N37" s="869"/>
    </row>
    <row r="38" spans="1:14" ht="13.5">
      <c r="A38" s="874"/>
      <c r="B38" s="870" t="str">
        <f>+DSASUMM!A132</f>
        <v xml:space="preserve"> GENERAL FUND TRANSFER FY 2011 TO FY 2010</v>
      </c>
      <c r="C38" s="105">
        <v>0</v>
      </c>
      <c r="D38" s="106">
        <f>DSASUMM!C132</f>
        <v>69080821</v>
      </c>
      <c r="E38" s="106">
        <v>0</v>
      </c>
      <c r="F38" s="106">
        <f>DSASUMM!E132</f>
        <v>-69080821</v>
      </c>
      <c r="G38" s="877"/>
      <c r="H38" s="877">
        <v>0</v>
      </c>
      <c r="I38" s="877"/>
      <c r="J38" s="893">
        <v>0</v>
      </c>
      <c r="K38" s="877"/>
      <c r="L38" s="931"/>
      <c r="M38" s="935"/>
      <c r="N38" s="877"/>
    </row>
    <row r="39" spans="1:14" ht="13.5">
      <c r="A39" s="874"/>
      <c r="B39" s="870" t="str">
        <f>+DSASUMM!A133</f>
        <v xml:space="preserve"> DSA SHARE OF SLOT TAX</v>
      </c>
      <c r="C39" s="105">
        <f>DSASUMM!B133</f>
        <v>35888197</v>
      </c>
      <c r="D39" s="106">
        <f>DSASUMM!C133</f>
        <v>33712074</v>
      </c>
      <c r="E39" s="106">
        <v>36554830</v>
      </c>
      <c r="F39" s="106">
        <f>DSASUMM!E133</f>
        <v>33300806</v>
      </c>
      <c r="G39" s="877"/>
      <c r="H39" s="877">
        <f>DSASUMM!AI133</f>
        <v>33542238</v>
      </c>
      <c r="I39" s="877"/>
      <c r="J39" s="893">
        <f>DSASUMM!AK133</f>
        <v>34144068</v>
      </c>
      <c r="K39" s="877"/>
      <c r="L39" s="929"/>
      <c r="M39" s="935"/>
      <c r="N39" s="935"/>
    </row>
    <row r="40" spans="1:14" ht="13.5">
      <c r="A40" s="874"/>
      <c r="B40" s="870" t="str">
        <f>+DSASUMM!A134</f>
        <v xml:space="preserve"> PERMANENT SCHOOL FUND</v>
      </c>
      <c r="C40" s="105">
        <f>DSASUMM!B134</f>
        <v>13100000</v>
      </c>
      <c r="D40" s="106">
        <f>DSASUMM!C134</f>
        <v>9173420</v>
      </c>
      <c r="E40" s="106">
        <v>13100000</v>
      </c>
      <c r="F40" s="106">
        <f>DSASUMM!E134</f>
        <v>6700000</v>
      </c>
      <c r="G40" s="877"/>
      <c r="H40" s="877">
        <f>DSASUMM!AI134</f>
        <v>6600000</v>
      </c>
      <c r="I40" s="877"/>
      <c r="J40" s="893">
        <f>DSASUMM!AK134</f>
        <v>6800000</v>
      </c>
      <c r="K40" s="877"/>
      <c r="L40" s="929"/>
      <c r="M40" s="929"/>
      <c r="N40" s="929"/>
    </row>
    <row r="41" spans="1:14" ht="13.5">
      <c r="A41" s="874"/>
      <c r="B41" s="870" t="str">
        <f>+DSASUMM!A135</f>
        <v xml:space="preserve"> FEDERAL MINERAL LEASE REVENUE</v>
      </c>
      <c r="C41" s="105">
        <f>DSASUMM!B135</f>
        <v>10706000</v>
      </c>
      <c r="D41" s="106">
        <f>DSASUMM!C135</f>
        <v>8116846</v>
      </c>
      <c r="E41" s="106">
        <v>10706000</v>
      </c>
      <c r="F41" s="106">
        <f>DSASUMM!E135</f>
        <v>8000000</v>
      </c>
      <c r="G41" s="877"/>
      <c r="H41" s="877">
        <f>DSASUMM!AI135</f>
        <v>8000000</v>
      </c>
      <c r="I41" s="877"/>
      <c r="J41" s="893">
        <f>DSASUMM!AK135</f>
        <v>8000000</v>
      </c>
      <c r="K41" s="877"/>
      <c r="L41" s="929"/>
      <c r="M41" s="929"/>
      <c r="N41" s="929"/>
    </row>
    <row r="42" spans="1:14" ht="13.5">
      <c r="A42" s="874"/>
      <c r="B42" s="870" t="str">
        <f>+DSASUMM!A136</f>
        <v xml:space="preserve"> OUT OF STATE LSST - 2.60%</v>
      </c>
      <c r="C42" s="105">
        <f>DSASUMM!B136</f>
        <v>98037864</v>
      </c>
      <c r="D42" s="106">
        <f>DSASUMM!C136</f>
        <v>86190829</v>
      </c>
      <c r="E42" s="106">
        <v>102190265</v>
      </c>
      <c r="F42" s="106">
        <f>DSASUMM!E136</f>
        <v>91133634.779999971</v>
      </c>
      <c r="G42" s="877"/>
      <c r="H42" s="877">
        <f>DSASUMM!AI136</f>
        <v>93138605.909999996</v>
      </c>
      <c r="I42" s="877"/>
      <c r="J42" s="893">
        <f>DSASUMM!AK136</f>
        <v>95932745.369999915</v>
      </c>
      <c r="K42" s="877"/>
      <c r="L42" s="936"/>
      <c r="M42" s="936"/>
      <c r="N42" s="929"/>
    </row>
    <row r="43" spans="1:14" s="867" customFormat="1" ht="13.5">
      <c r="A43" s="874"/>
      <c r="B43" s="870" t="str">
        <f>+DSASUMM!A137</f>
        <v xml:space="preserve"> IP1 (2009)  ROOM TAX REVENUE TRANSFER</v>
      </c>
      <c r="C43" s="105">
        <v>0</v>
      </c>
      <c r="D43" s="106">
        <v>0</v>
      </c>
      <c r="E43" s="106">
        <v>0</v>
      </c>
      <c r="F43" s="106">
        <v>0</v>
      </c>
      <c r="G43" s="877"/>
      <c r="H43" s="877">
        <f>+DSASUMM!AI137</f>
        <v>111336000</v>
      </c>
      <c r="I43" s="877"/>
      <c r="J43" s="893">
        <f>+DSASUMM!AK137</f>
        <v>115121424</v>
      </c>
      <c r="K43" s="877"/>
      <c r="L43" s="936"/>
      <c r="M43" s="936"/>
      <c r="N43" s="929"/>
    </row>
    <row r="44" spans="1:14" ht="13.5">
      <c r="A44" s="874"/>
      <c r="B44" s="920" t="str">
        <f>+DSASUMM!A138</f>
        <v xml:space="preserve"> REAL PROPERTY TAX </v>
      </c>
      <c r="C44" s="105">
        <f>DSASUMM!B138</f>
        <v>1000000</v>
      </c>
      <c r="D44" s="106">
        <f>DSASUMM!C138</f>
        <v>0</v>
      </c>
      <c r="E44" s="106">
        <v>1000000</v>
      </c>
      <c r="F44" s="106">
        <v>0</v>
      </c>
      <c r="G44" s="877"/>
      <c r="H44" s="877">
        <f>DSASUMM!AI138</f>
        <v>0</v>
      </c>
      <c r="I44" s="877"/>
      <c r="J44" s="893">
        <f>DSASUMM!AK138</f>
        <v>0</v>
      </c>
      <c r="K44" s="877"/>
      <c r="L44" s="936"/>
      <c r="M44" s="936"/>
      <c r="N44" s="929"/>
    </row>
    <row r="45" spans="1:14" ht="13.5">
      <c r="A45" s="874"/>
      <c r="B45" s="870" t="str">
        <f>+DSASUMM!A139</f>
        <v xml:space="preserve"> ESTATE TAX</v>
      </c>
      <c r="C45" s="105">
        <f>DSASUMM!B139</f>
        <v>100</v>
      </c>
      <c r="D45" s="106">
        <f>DSASUMM!C139</f>
        <v>0</v>
      </c>
      <c r="E45" s="106">
        <v>100</v>
      </c>
      <c r="F45" s="106">
        <v>0</v>
      </c>
      <c r="G45" s="877"/>
      <c r="H45" s="877">
        <f>DSASUMM!AI139</f>
        <v>0</v>
      </c>
      <c r="I45" s="877"/>
      <c r="J45" s="893">
        <f>DSASUMM!AK139</f>
        <v>0</v>
      </c>
      <c r="K45" s="877"/>
      <c r="L45" s="937"/>
      <c r="M45" s="937"/>
      <c r="N45" s="931"/>
    </row>
    <row r="46" spans="1:14" ht="13.5">
      <c r="A46" s="874"/>
      <c r="B46" s="870" t="str">
        <f>+DSASUMM!A140</f>
        <v xml:space="preserve"> PRIOR YEAR REFUNDS</v>
      </c>
      <c r="C46" s="105">
        <f>DSASUMM!B140</f>
        <v>0</v>
      </c>
      <c r="D46" s="106">
        <f>DSASUMM!C140</f>
        <v>816539</v>
      </c>
      <c r="E46" s="106">
        <f>DSASUMM!E140</f>
        <v>0</v>
      </c>
      <c r="F46" s="106">
        <v>0</v>
      </c>
      <c r="G46" s="877"/>
      <c r="H46" s="877">
        <f>DSASUMM!AI141</f>
        <v>0</v>
      </c>
      <c r="I46" s="877"/>
      <c r="J46" s="893">
        <f>DSASUMM!AK140</f>
        <v>0</v>
      </c>
      <c r="K46" s="877"/>
      <c r="L46" s="929"/>
      <c r="M46" s="929"/>
      <c r="N46" s="929"/>
    </row>
    <row r="47" spans="1:14" ht="13.5">
      <c r="A47" s="874"/>
      <c r="B47" s="870" t="str">
        <f>+DSASUMM!A141</f>
        <v>GENERAL FUND SUPPLEMENTAL APPROPRIATION</v>
      </c>
      <c r="C47" s="105">
        <f>DSASUMM!B141</f>
        <v>0</v>
      </c>
      <c r="D47" s="106">
        <f>DSASUMM!C141</f>
        <v>0</v>
      </c>
      <c r="E47" s="106">
        <v>0</v>
      </c>
      <c r="F47" s="106">
        <f>DSASUMM!E141-43850647</f>
        <v>96983227</v>
      </c>
      <c r="G47" s="877"/>
      <c r="H47" s="877">
        <f>DSASUMM!AI143</f>
        <v>0</v>
      </c>
      <c r="I47" s="877"/>
      <c r="J47" s="893">
        <f>DSASUMM!AK141</f>
        <v>0</v>
      </c>
      <c r="K47" s="877"/>
      <c r="L47" s="929"/>
      <c r="M47" s="929"/>
      <c r="N47" s="929"/>
    </row>
    <row r="48" spans="1:14" ht="13.5">
      <c r="A48" s="874"/>
      <c r="B48" s="870" t="str">
        <f>+DSASUMM!A142</f>
        <v>REVERSION TO STATE GENERAL FUND</v>
      </c>
      <c r="C48" s="105">
        <f>DSASUMM!B143</f>
        <v>0</v>
      </c>
      <c r="D48" s="106">
        <f>DSASUMM!C142</f>
        <v>-42371</v>
      </c>
      <c r="E48" s="106">
        <f>DSASUMM!E143</f>
        <v>0</v>
      </c>
      <c r="F48" s="878">
        <v>0</v>
      </c>
      <c r="G48" s="868"/>
      <c r="H48" s="877">
        <f>DSASUMM!AI144</f>
        <v>0</v>
      </c>
      <c r="I48" s="877"/>
      <c r="J48" s="893">
        <f>DSASUMM!AK143</f>
        <v>0</v>
      </c>
      <c r="K48" s="877"/>
      <c r="L48" s="929"/>
      <c r="M48" s="929"/>
      <c r="N48" s="929"/>
    </row>
    <row r="49" spans="1:14" ht="13.5">
      <c r="A49" s="874"/>
      <c r="B49" s="870" t="s">
        <v>617</v>
      </c>
      <c r="C49" s="107">
        <f>DSASUMM!B144</f>
        <v>0</v>
      </c>
      <c r="D49" s="879">
        <f>DSASUMM!C144</f>
        <v>-33893</v>
      </c>
      <c r="E49" s="108">
        <v>0</v>
      </c>
      <c r="F49" s="108">
        <f>E49</f>
        <v>0</v>
      </c>
      <c r="G49" s="879"/>
      <c r="H49" s="879">
        <f>DSASUMM!AI144</f>
        <v>0</v>
      </c>
      <c r="I49" s="879"/>
      <c r="J49" s="892">
        <f>DSASUMM!AK144</f>
        <v>0</v>
      </c>
      <c r="K49" s="877"/>
      <c r="L49" s="929"/>
      <c r="M49" s="929"/>
      <c r="N49" s="929"/>
    </row>
    <row r="50" spans="1:14" ht="13.5">
      <c r="A50" s="889" t="s">
        <v>161</v>
      </c>
      <c r="B50" s="868"/>
      <c r="C50" s="980">
        <f>SUM(C36:C49)</f>
        <v>1332274851</v>
      </c>
      <c r="D50" s="981">
        <f>SUM(D36:D49)</f>
        <v>1361639055</v>
      </c>
      <c r="E50" s="982">
        <f>SUM(E36:E49)</f>
        <v>1318176369</v>
      </c>
      <c r="F50" s="982">
        <f>SUM(F36:F49)</f>
        <v>1321662020.78</v>
      </c>
      <c r="G50" s="981"/>
      <c r="H50" s="981">
        <f>SUM(H36:H49)</f>
        <v>1340897570.9100001</v>
      </c>
      <c r="I50" s="981"/>
      <c r="J50" s="983">
        <f>SUM(J36:J49)</f>
        <v>1371329337.3699999</v>
      </c>
      <c r="K50" s="877"/>
      <c r="L50" s="929"/>
      <c r="M50" s="929"/>
      <c r="N50" s="929"/>
    </row>
    <row r="51" spans="1:14" ht="14.25" thickBot="1">
      <c r="A51" s="889"/>
      <c r="B51" s="868"/>
      <c r="C51" s="908"/>
      <c r="D51" s="906"/>
      <c r="E51" s="111"/>
      <c r="F51" s="906"/>
      <c r="G51" s="906"/>
      <c r="H51" s="906"/>
      <c r="I51" s="906"/>
      <c r="J51" s="907"/>
      <c r="K51" s="877"/>
      <c r="L51" s="929"/>
      <c r="M51" s="929"/>
      <c r="N51" s="929"/>
    </row>
    <row r="52" spans="1:14" ht="9.9499999999999993" customHeight="1" thickBot="1">
      <c r="A52" s="889"/>
      <c r="B52" s="871"/>
      <c r="C52" s="868"/>
      <c r="D52" s="877"/>
      <c r="E52" s="868"/>
      <c r="F52" s="868"/>
      <c r="G52" s="877"/>
      <c r="H52" s="923"/>
      <c r="I52" s="923"/>
      <c r="J52" s="1007"/>
      <c r="K52" s="923"/>
      <c r="L52" s="929"/>
      <c r="M52" s="929"/>
      <c r="N52" s="929"/>
    </row>
    <row r="53" spans="1:14" ht="13.5">
      <c r="A53" s="901"/>
      <c r="B53" s="868"/>
      <c r="C53" s="881"/>
      <c r="D53" s="114" t="s">
        <v>343</v>
      </c>
      <c r="E53" s="114" t="s">
        <v>344</v>
      </c>
      <c r="F53" s="764"/>
      <c r="G53" s="903"/>
      <c r="H53" s="114" t="s">
        <v>343</v>
      </c>
      <c r="I53" s="895"/>
      <c r="J53" s="767" t="s">
        <v>344</v>
      </c>
      <c r="K53" s="941"/>
      <c r="L53" s="929"/>
      <c r="M53" s="929"/>
      <c r="N53" s="929"/>
    </row>
    <row r="54" spans="1:14" ht="13.5">
      <c r="A54" s="874" t="s">
        <v>362</v>
      </c>
      <c r="B54" s="870" t="s">
        <v>370</v>
      </c>
      <c r="C54" s="882" t="s">
        <v>583</v>
      </c>
      <c r="D54" s="883">
        <v>3049</v>
      </c>
      <c r="E54" s="115">
        <v>39768</v>
      </c>
      <c r="F54" s="884" t="s">
        <v>585</v>
      </c>
      <c r="G54" s="910"/>
      <c r="H54" s="883">
        <v>3049</v>
      </c>
      <c r="I54" s="883"/>
      <c r="J54" s="768">
        <f>E54</f>
        <v>39768</v>
      </c>
      <c r="K54" s="43"/>
    </row>
    <row r="55" spans="1:14" ht="14.25" thickBot="1">
      <c r="A55" s="874"/>
      <c r="B55" s="869"/>
      <c r="C55" s="885" t="s">
        <v>584</v>
      </c>
      <c r="D55" s="886">
        <v>3049</v>
      </c>
      <c r="E55" s="116">
        <v>39768</v>
      </c>
      <c r="F55" s="887" t="s">
        <v>586</v>
      </c>
      <c r="G55" s="911"/>
      <c r="H55" s="886">
        <v>3049</v>
      </c>
      <c r="I55" s="886"/>
      <c r="J55" s="769">
        <f>E55</f>
        <v>39768</v>
      </c>
      <c r="K55" s="43"/>
    </row>
    <row r="56" spans="1:14" ht="13.5">
      <c r="A56" s="874"/>
      <c r="B56" s="868"/>
      <c r="C56" s="869"/>
      <c r="D56" s="868"/>
      <c r="E56" s="868"/>
      <c r="F56" s="868"/>
      <c r="G56" s="868"/>
      <c r="H56" s="868"/>
      <c r="I56" s="868"/>
      <c r="J56" s="888"/>
      <c r="K56" s="868"/>
    </row>
    <row r="57" spans="1:14" ht="13.5">
      <c r="A57" s="916" t="s">
        <v>42</v>
      </c>
      <c r="B57" s="913" t="s">
        <v>619</v>
      </c>
      <c r="C57" s="918"/>
      <c r="D57" s="912"/>
      <c r="E57" s="912"/>
      <c r="F57" s="898"/>
      <c r="G57" s="897"/>
      <c r="H57" s="772"/>
      <c r="I57" s="868"/>
      <c r="J57" s="770"/>
      <c r="K57" s="759"/>
    </row>
    <row r="58" spans="1:14" ht="13.5">
      <c r="A58" s="916" t="s">
        <v>360</v>
      </c>
      <c r="B58" s="913" t="s">
        <v>363</v>
      </c>
      <c r="C58" s="918"/>
      <c r="D58" s="912"/>
      <c r="E58" s="912"/>
      <c r="F58" s="897"/>
      <c r="G58" s="897"/>
      <c r="H58" s="897"/>
      <c r="I58" s="868"/>
      <c r="J58" s="770"/>
      <c r="K58" s="759"/>
    </row>
    <row r="59" spans="1:14" ht="14.25" thickBot="1">
      <c r="A59" s="917" t="s">
        <v>362</v>
      </c>
      <c r="B59" s="914" t="s">
        <v>69</v>
      </c>
      <c r="C59" s="919"/>
      <c r="D59" s="915"/>
      <c r="E59" s="915"/>
      <c r="F59" s="899"/>
      <c r="G59" s="899"/>
      <c r="H59" s="899"/>
      <c r="I59" s="880"/>
      <c r="J59" s="896"/>
      <c r="K59" s="669"/>
    </row>
    <row r="60" spans="1:14">
      <c r="F60" s="771"/>
    </row>
    <row r="61" spans="1:14">
      <c r="F61" s="10"/>
    </row>
  </sheetData>
  <mergeCells count="1">
    <mergeCell ref="B1:J1"/>
  </mergeCells>
  <phoneticPr fontId="0" type="noConversion"/>
  <printOptions horizontalCentered="1"/>
  <pageMargins left="0.5" right="0.5" top="0.5" bottom="0.5" header="0.25" footer="0.5"/>
  <pageSetup scale="88" orientation="portrait" r:id="rId1"/>
  <headerFooter alignWithMargins="0">
    <oddFooter>&amp;C&amp;F&amp;R&amp;D&amp;T</oddFooter>
  </headerFooter>
  <rowBreaks count="1" manualBreakCount="1">
    <brk id="33" max="16383" man="1"/>
  </rowBreaks>
  <legacyDrawing r:id="rId2"/>
</worksheet>
</file>

<file path=xl/worksheets/sheet4.xml><?xml version="1.0" encoding="utf-8"?>
<worksheet xmlns="http://schemas.openxmlformats.org/spreadsheetml/2006/main" xmlns:r="http://schemas.openxmlformats.org/officeDocument/2006/relationships">
  <sheetPr codeName="Sheet3" enableFormatConditionsCalculation="0">
    <pageSetUpPr fitToPage="1"/>
  </sheetPr>
  <dimension ref="A1:P96"/>
  <sheetViews>
    <sheetView topLeftCell="A70" zoomScale="125" workbookViewId="0">
      <selection activeCell="E58" sqref="E58"/>
    </sheetView>
  </sheetViews>
  <sheetFormatPr defaultColWidth="8.85546875" defaultRowHeight="13.5"/>
  <cols>
    <col min="1" max="1" width="11.42578125" style="39" customWidth="1"/>
    <col min="2" max="2" width="12.28515625" style="39" customWidth="1"/>
    <col min="3" max="4" width="11.42578125" style="39" customWidth="1"/>
    <col min="5" max="5" width="3.85546875" style="39" customWidth="1"/>
    <col min="6" max="6" width="8" style="39" customWidth="1"/>
    <col min="7" max="7" width="4.7109375" style="39" customWidth="1"/>
    <col min="8" max="8" width="12.28515625" style="39" customWidth="1"/>
    <col min="9" max="9" width="10.85546875" style="64" bestFit="1" customWidth="1"/>
    <col min="10" max="10" width="10.28515625" style="39" customWidth="1"/>
    <col min="11" max="11" width="15" style="39" bestFit="1" customWidth="1"/>
    <col min="12" max="12" width="11.28515625" style="39" customWidth="1"/>
    <col min="13" max="13" width="9.28515625" style="9" bestFit="1" customWidth="1"/>
    <col min="14" max="14" width="10.28515625" style="9" bestFit="1" customWidth="1"/>
    <col min="15" max="16" width="15" style="9" bestFit="1" customWidth="1"/>
    <col min="17" max="16384" width="8.85546875" style="9"/>
  </cols>
  <sheetData>
    <row r="1" spans="1:12">
      <c r="A1" s="1028" t="s">
        <v>356</v>
      </c>
      <c r="B1" s="1029"/>
      <c r="C1" s="1029"/>
      <c r="D1" s="1029"/>
      <c r="E1" s="1029"/>
      <c r="F1" s="1029"/>
      <c r="G1" s="1029"/>
      <c r="H1" s="1029"/>
      <c r="I1" s="1029"/>
      <c r="J1" s="1029"/>
      <c r="K1" s="1029"/>
      <c r="L1" s="1030"/>
    </row>
    <row r="2" spans="1:12">
      <c r="A2" s="1046" t="s">
        <v>34</v>
      </c>
      <c r="B2" s="1047"/>
      <c r="C2" s="1047"/>
      <c r="D2" s="1048"/>
      <c r="F2" s="1028" t="s">
        <v>388</v>
      </c>
      <c r="G2" s="1029"/>
      <c r="H2" s="1029"/>
      <c r="I2" s="1029"/>
      <c r="J2" s="1029"/>
      <c r="K2" s="1030"/>
    </row>
    <row r="3" spans="1:12">
      <c r="A3" s="99" t="s">
        <v>384</v>
      </c>
      <c r="B3" s="100" t="s">
        <v>385</v>
      </c>
      <c r="C3" s="100" t="s">
        <v>386</v>
      </c>
      <c r="D3" s="101" t="s">
        <v>387</v>
      </c>
      <c r="F3" s="47"/>
      <c r="G3" s="974"/>
      <c r="H3" s="48"/>
      <c r="I3" s="49" t="s">
        <v>44</v>
      </c>
      <c r="J3" s="48" t="s">
        <v>44</v>
      </c>
      <c r="K3" s="50" t="s">
        <v>177</v>
      </c>
    </row>
    <row r="4" spans="1:12">
      <c r="A4" s="715">
        <v>425527.2</v>
      </c>
      <c r="B4" s="711">
        <v>422569.6</v>
      </c>
      <c r="C4" s="960">
        <f>423191.8-1204.7</f>
        <v>421987.1</v>
      </c>
      <c r="D4" s="961">
        <f>424460.6-961</f>
        <v>423499.6</v>
      </c>
      <c r="F4" s="1046" t="s">
        <v>35</v>
      </c>
      <c r="G4" s="1047"/>
      <c r="H4" s="1047"/>
      <c r="I4" s="51" t="s">
        <v>176</v>
      </c>
      <c r="J4" s="32" t="s">
        <v>36</v>
      </c>
      <c r="K4" s="33" t="s">
        <v>178</v>
      </c>
    </row>
    <row r="5" spans="1:12">
      <c r="A5" s="36" t="s">
        <v>38</v>
      </c>
      <c r="B5" s="37">
        <f>B4/A4-1</f>
        <v>-6.950437010842192E-3</v>
      </c>
      <c r="C5" s="37">
        <f>C4/B4-1</f>
        <v>-1.3784711441617858E-3</v>
      </c>
      <c r="D5" s="38">
        <f>D4/C4-1</f>
        <v>3.584232788158781E-3</v>
      </c>
      <c r="F5" s="42" t="s">
        <v>40</v>
      </c>
      <c r="G5" s="59"/>
      <c r="H5" s="40"/>
      <c r="I5" s="52">
        <f>904927421+189927658</f>
        <v>1094855079</v>
      </c>
      <c r="J5" s="581">
        <f t="shared" ref="J5:J11" si="0">C25</f>
        <v>20489.149999999998</v>
      </c>
      <c r="K5" s="53">
        <f t="shared" ref="K5:K12" si="1">ROUND(I5/J5,0)</f>
        <v>53436</v>
      </c>
    </row>
    <row r="6" spans="1:12">
      <c r="B6" s="40"/>
      <c r="F6" s="42" t="s">
        <v>172</v>
      </c>
      <c r="G6" s="59"/>
      <c r="H6" s="40"/>
      <c r="I6" s="52">
        <f>63583541</f>
        <v>63583541</v>
      </c>
      <c r="J6" s="581">
        <f t="shared" si="0"/>
        <v>2051.3000000000002</v>
      </c>
      <c r="K6" s="53">
        <f t="shared" si="1"/>
        <v>30997</v>
      </c>
    </row>
    <row r="7" spans="1:12">
      <c r="A7" s="1028" t="s">
        <v>31</v>
      </c>
      <c r="B7" s="1029"/>
      <c r="C7" s="1029"/>
      <c r="D7" s="1030"/>
      <c r="F7" s="42" t="s">
        <v>39</v>
      </c>
      <c r="G7" s="59"/>
      <c r="H7" s="40"/>
      <c r="I7" s="52">
        <v>151777440</v>
      </c>
      <c r="J7" s="581">
        <f t="shared" si="0"/>
        <v>2328.71</v>
      </c>
      <c r="K7" s="53">
        <f t="shared" si="1"/>
        <v>65177</v>
      </c>
    </row>
    <row r="8" spans="1:12">
      <c r="A8" s="99" t="str">
        <f>A$3</f>
        <v>FY 10 Actual</v>
      </c>
      <c r="B8" s="100" t="str">
        <f>B$3</f>
        <v>FY 11 Actual</v>
      </c>
      <c r="C8" s="100" t="str">
        <f>C$3</f>
        <v>FY 12 Projected</v>
      </c>
      <c r="D8" s="101" t="str">
        <f>D$3</f>
        <v>FY 13 Projected</v>
      </c>
      <c r="F8" s="42" t="s">
        <v>173</v>
      </c>
      <c r="G8" s="59"/>
      <c r="H8" s="40"/>
      <c r="I8" s="52">
        <v>37561815</v>
      </c>
      <c r="J8" s="581">
        <f t="shared" si="0"/>
        <v>959.07</v>
      </c>
      <c r="K8" s="53">
        <f t="shared" si="1"/>
        <v>39165</v>
      </c>
    </row>
    <row r="9" spans="1:12">
      <c r="A9" s="715">
        <v>33849</v>
      </c>
      <c r="B9" s="711">
        <v>33865</v>
      </c>
      <c r="C9" s="711">
        <v>33933</v>
      </c>
      <c r="D9" s="712">
        <v>34379</v>
      </c>
      <c r="F9" s="42" t="s">
        <v>174</v>
      </c>
      <c r="G9" s="59"/>
      <c r="H9" s="40"/>
      <c r="I9" s="52">
        <v>123265166</v>
      </c>
      <c r="J9" s="581">
        <f t="shared" si="0"/>
        <v>1405.47</v>
      </c>
      <c r="K9" s="53">
        <f t="shared" si="1"/>
        <v>87704</v>
      </c>
    </row>
    <row r="10" spans="1:12">
      <c r="A10" s="36" t="s">
        <v>38</v>
      </c>
      <c r="B10" s="37">
        <f>B9/A9-1</f>
        <v>4.7268752400375647E-4</v>
      </c>
      <c r="C10" s="37">
        <f>C9/B9-1</f>
        <v>2.0079728333086688E-3</v>
      </c>
      <c r="D10" s="38">
        <f>D9/C9-1</f>
        <v>1.3143547579052894E-2</v>
      </c>
      <c r="F10" s="42" t="s">
        <v>263</v>
      </c>
      <c r="G10" s="59"/>
      <c r="H10" s="40"/>
      <c r="I10" s="52">
        <v>133143886</v>
      </c>
      <c r="J10" s="581">
        <f t="shared" si="0"/>
        <v>2881.37</v>
      </c>
      <c r="K10" s="53">
        <f t="shared" si="1"/>
        <v>46209</v>
      </c>
      <c r="L10" s="54"/>
    </row>
    <row r="11" spans="1:12">
      <c r="F11" s="42" t="s">
        <v>175</v>
      </c>
      <c r="G11" s="59"/>
      <c r="H11" s="40"/>
      <c r="I11" s="52">
        <f>245320910+7112424</f>
        <v>252433334</v>
      </c>
      <c r="J11" s="581">
        <f t="shared" si="0"/>
        <v>5844.97</v>
      </c>
      <c r="K11" s="53">
        <f t="shared" si="1"/>
        <v>43188</v>
      </c>
    </row>
    <row r="12" spans="1:12">
      <c r="A12" s="1028" t="s">
        <v>32</v>
      </c>
      <c r="B12" s="1029"/>
      <c r="C12" s="1029"/>
      <c r="D12" s="1030"/>
      <c r="F12" s="36" t="s">
        <v>364</v>
      </c>
      <c r="G12" s="990"/>
      <c r="H12" s="45"/>
      <c r="I12" s="55">
        <v>107048220</v>
      </c>
      <c r="J12" s="44">
        <v>2173</v>
      </c>
      <c r="K12" s="56">
        <f t="shared" si="1"/>
        <v>49263</v>
      </c>
      <c r="L12" s="57"/>
    </row>
    <row r="13" spans="1:12">
      <c r="A13" s="99" t="str">
        <f>A$3</f>
        <v>FY 10 Actual</v>
      </c>
      <c r="B13" s="100" t="str">
        <f>B$3</f>
        <v>FY 11 Actual</v>
      </c>
      <c r="C13" s="100" t="str">
        <f>C$3</f>
        <v>FY 12 Projected</v>
      </c>
      <c r="D13" s="101" t="str">
        <f>D$3</f>
        <v>FY 13 Projected</v>
      </c>
      <c r="F13" s="1043" t="s">
        <v>389</v>
      </c>
      <c r="G13" s="1044"/>
      <c r="H13" s="1044"/>
      <c r="I13" s="1044"/>
      <c r="J13" s="1044"/>
      <c r="K13" s="1045"/>
      <c r="L13" s="58"/>
    </row>
    <row r="14" spans="1:12">
      <c r="A14" s="715">
        <v>33824</v>
      </c>
      <c r="B14" s="711">
        <v>33447</v>
      </c>
      <c r="C14" s="711">
        <v>33688</v>
      </c>
      <c r="D14" s="712">
        <v>33848</v>
      </c>
      <c r="F14" s="595" t="s">
        <v>40</v>
      </c>
      <c r="G14" s="991"/>
      <c r="H14" s="596"/>
      <c r="I14" s="597"/>
      <c r="J14" s="596"/>
      <c r="K14" s="723">
        <v>39166</v>
      </c>
    </row>
    <row r="15" spans="1:12">
      <c r="A15" s="36" t="s">
        <v>38</v>
      </c>
      <c r="B15" s="37">
        <f>B14/A14-1</f>
        <v>-1.1145931882686866E-2</v>
      </c>
      <c r="C15" s="37">
        <f>C14/B14-1</f>
        <v>7.2054294854546619E-3</v>
      </c>
      <c r="D15" s="38">
        <f>D14/C14-1</f>
        <v>4.7494656851103656E-3</v>
      </c>
      <c r="F15" s="42" t="s">
        <v>172</v>
      </c>
      <c r="G15" s="59"/>
      <c r="H15" s="40"/>
      <c r="I15" s="52"/>
      <c r="J15" s="40"/>
      <c r="K15" s="53">
        <f t="shared" ref="K15:K20" si="2">ROUND(K6*1*0.75,0)</f>
        <v>23248</v>
      </c>
    </row>
    <row r="16" spans="1:12">
      <c r="F16" s="42" t="s">
        <v>39</v>
      </c>
      <c r="G16" s="59"/>
      <c r="H16" s="40"/>
      <c r="I16" s="52"/>
      <c r="J16" s="40"/>
      <c r="K16" s="53">
        <f t="shared" si="2"/>
        <v>48883</v>
      </c>
    </row>
    <row r="17" spans="1:12">
      <c r="A17" s="1028" t="s">
        <v>33</v>
      </c>
      <c r="B17" s="1029"/>
      <c r="C17" s="1029"/>
      <c r="D17" s="1030"/>
      <c r="F17" s="42" t="s">
        <v>173</v>
      </c>
      <c r="G17" s="59"/>
      <c r="H17" s="40"/>
      <c r="I17" s="52"/>
      <c r="J17" s="40"/>
      <c r="K17" s="53">
        <f t="shared" si="2"/>
        <v>29374</v>
      </c>
    </row>
    <row r="18" spans="1:12">
      <c r="A18" s="99" t="str">
        <f>A$3</f>
        <v>FY 10 Actual</v>
      </c>
      <c r="B18" s="100" t="str">
        <f>B$3</f>
        <v>FY 11 Actual</v>
      </c>
      <c r="C18" s="100" t="str">
        <f>C$3</f>
        <v>FY 12 Projected</v>
      </c>
      <c r="D18" s="101" t="str">
        <f>D$3</f>
        <v>FY 13 Projected</v>
      </c>
      <c r="F18" s="42" t="s">
        <v>174</v>
      </c>
      <c r="G18" s="59"/>
      <c r="H18" s="40"/>
      <c r="I18" s="52"/>
      <c r="J18" s="40"/>
      <c r="K18" s="53">
        <f t="shared" si="2"/>
        <v>65778</v>
      </c>
    </row>
    <row r="19" spans="1:12">
      <c r="A19" s="715">
        <v>34068</v>
      </c>
      <c r="B19" s="711">
        <v>33631</v>
      </c>
      <c r="C19" s="711">
        <v>33533</v>
      </c>
      <c r="D19" s="712">
        <v>33773</v>
      </c>
      <c r="F19" s="42" t="s">
        <v>263</v>
      </c>
      <c r="G19" s="59"/>
      <c r="H19" s="40"/>
      <c r="I19" s="52"/>
      <c r="J19" s="40"/>
      <c r="K19" s="53">
        <f t="shared" si="2"/>
        <v>34657</v>
      </c>
    </row>
    <row r="20" spans="1:12">
      <c r="A20" s="36" t="s">
        <v>38</v>
      </c>
      <c r="B20" s="37">
        <f>B19/A19-1</f>
        <v>-1.2827286603264043E-2</v>
      </c>
      <c r="C20" s="37">
        <f>C19/B19-1</f>
        <v>-2.9139781748981353E-3</v>
      </c>
      <c r="D20" s="38">
        <f>D19/C19-1</f>
        <v>7.1571287984970589E-3</v>
      </c>
      <c r="F20" s="36" t="s">
        <v>175</v>
      </c>
      <c r="G20" s="990"/>
      <c r="H20" s="45"/>
      <c r="I20" s="55"/>
      <c r="J20" s="45"/>
      <c r="K20" s="56">
        <f t="shared" si="2"/>
        <v>32391</v>
      </c>
    </row>
    <row r="21" spans="1:12">
      <c r="F21" s="59"/>
      <c r="G21" s="59"/>
      <c r="H21" s="40"/>
      <c r="I21" s="52"/>
      <c r="J21" s="40"/>
      <c r="K21" s="52"/>
    </row>
    <row r="22" spans="1:12">
      <c r="F22" s="12" t="s">
        <v>365</v>
      </c>
      <c r="G22" s="992"/>
      <c r="H22" s="60"/>
      <c r="I22" s="60"/>
      <c r="J22" s="573">
        <f>K5</f>
        <v>53436</v>
      </c>
      <c r="K22" s="59"/>
      <c r="L22" s="40"/>
    </row>
    <row r="23" spans="1:12">
      <c r="A23" s="1028" t="s">
        <v>393</v>
      </c>
      <c r="B23" s="1029"/>
      <c r="C23" s="1029"/>
      <c r="D23" s="1030"/>
      <c r="F23" s="61" t="s">
        <v>366</v>
      </c>
      <c r="G23" s="993"/>
      <c r="H23" s="5"/>
      <c r="I23" s="5"/>
      <c r="J23" s="574">
        <f>K12</f>
        <v>49263</v>
      </c>
      <c r="K23" s="59"/>
      <c r="L23" s="40"/>
    </row>
    <row r="24" spans="1:12">
      <c r="A24" s="99" t="s">
        <v>35</v>
      </c>
      <c r="B24" s="41"/>
      <c r="C24" s="100" t="s">
        <v>392</v>
      </c>
      <c r="D24" s="101" t="s">
        <v>37</v>
      </c>
      <c r="F24" s="62" t="s">
        <v>368</v>
      </c>
      <c r="G24" s="363"/>
      <c r="H24" s="63"/>
      <c r="I24" s="63"/>
      <c r="J24" s="575">
        <f>J23/J22</f>
        <v>0.92190657983381985</v>
      </c>
      <c r="K24" s="59"/>
      <c r="L24" s="40"/>
    </row>
    <row r="25" spans="1:12">
      <c r="A25" s="42" t="s">
        <v>40</v>
      </c>
      <c r="B25" s="40"/>
      <c r="C25" s="43">
        <f>16984.12+3505.03</f>
        <v>20489.149999999998</v>
      </c>
      <c r="D25" s="579">
        <f>A$4/C25</f>
        <v>20.768416454562541</v>
      </c>
      <c r="F25" s="59"/>
      <c r="G25" s="59"/>
      <c r="H25" s="40"/>
      <c r="I25" s="52"/>
      <c r="J25" s="40"/>
      <c r="K25" s="52"/>
    </row>
    <row r="26" spans="1:12">
      <c r="A26" s="42" t="s">
        <v>172</v>
      </c>
      <c r="B26" s="40"/>
      <c r="C26" s="43">
        <f>722.62+1328.68</f>
        <v>2051.3000000000002</v>
      </c>
      <c r="D26" s="579">
        <f t="shared" ref="D26:D32" si="3">A$4/C26</f>
        <v>207.44269487641981</v>
      </c>
      <c r="F26" s="59"/>
      <c r="G26" s="59"/>
      <c r="H26" s="40"/>
      <c r="I26" s="52"/>
      <c r="J26" s="40"/>
      <c r="K26" s="52"/>
    </row>
    <row r="27" spans="1:12">
      <c r="A27" s="42" t="s">
        <v>39</v>
      </c>
      <c r="B27" s="40"/>
      <c r="C27" s="43">
        <f>1907.5+421.21</f>
        <v>2328.71</v>
      </c>
      <c r="D27" s="579">
        <f t="shared" si="3"/>
        <v>182.73086816306025</v>
      </c>
      <c r="F27" s="1028" t="s">
        <v>181</v>
      </c>
      <c r="G27" s="1029"/>
      <c r="H27" s="1029"/>
      <c r="I27" s="1029"/>
      <c r="J27" s="100" t="s">
        <v>390</v>
      </c>
      <c r="K27" s="101" t="s">
        <v>391</v>
      </c>
    </row>
    <row r="28" spans="1:12">
      <c r="A28" s="42" t="s">
        <v>173</v>
      </c>
      <c r="B28" s="40"/>
      <c r="C28" s="43">
        <f>879.2+79.87</f>
        <v>959.07</v>
      </c>
      <c r="D28" s="579">
        <f t="shared" si="3"/>
        <v>443.68732209327783</v>
      </c>
      <c r="F28" s="576" t="s">
        <v>444</v>
      </c>
      <c r="G28" s="45"/>
      <c r="H28" s="45"/>
      <c r="I28" s="55"/>
      <c r="J28" s="577">
        <f>1-0.025</f>
        <v>0.97499999999999998</v>
      </c>
      <c r="K28" s="578">
        <v>1</v>
      </c>
    </row>
    <row r="29" spans="1:12">
      <c r="A29" s="42" t="s">
        <v>174</v>
      </c>
      <c r="B29" s="40"/>
      <c r="C29" s="43">
        <f>1395.67+9.8</f>
        <v>1405.47</v>
      </c>
      <c r="D29" s="579">
        <f t="shared" si="3"/>
        <v>302.76505368310956</v>
      </c>
      <c r="J29" s="65"/>
    </row>
    <row r="30" spans="1:12">
      <c r="A30" s="42" t="s">
        <v>263</v>
      </c>
      <c r="B30" s="40"/>
      <c r="C30" s="43">
        <f>2862.93+18.44</f>
        <v>2881.37</v>
      </c>
      <c r="D30" s="579">
        <f t="shared" si="3"/>
        <v>147.68224837490501</v>
      </c>
    </row>
    <row r="31" spans="1:12">
      <c r="A31" s="36" t="s">
        <v>175</v>
      </c>
      <c r="B31" s="45"/>
      <c r="C31" s="44">
        <f>4938.68+906.29</f>
        <v>5844.97</v>
      </c>
      <c r="D31" s="580">
        <f t="shared" si="3"/>
        <v>72.802289832112052</v>
      </c>
      <c r="F31" s="1028" t="s">
        <v>179</v>
      </c>
      <c r="G31" s="1029"/>
      <c r="H31" s="1029"/>
      <c r="I31" s="548" t="s">
        <v>434</v>
      </c>
      <c r="J31" s="100" t="s">
        <v>435</v>
      </c>
      <c r="K31" s="100" t="s">
        <v>390</v>
      </c>
      <c r="L31" s="101" t="s">
        <v>391</v>
      </c>
    </row>
    <row r="32" spans="1:12">
      <c r="A32" s="36" t="s">
        <v>264</v>
      </c>
      <c r="B32" s="45"/>
      <c r="C32" s="46">
        <f>SUM(C25:C31)</f>
        <v>35960.039999999994</v>
      </c>
      <c r="D32" s="580">
        <f t="shared" si="3"/>
        <v>11.833335001852058</v>
      </c>
      <c r="F32" s="42" t="s">
        <v>12</v>
      </c>
      <c r="G32" s="59"/>
      <c r="H32" s="40"/>
      <c r="I32" s="784">
        <v>18694453</v>
      </c>
      <c r="J32" s="784">
        <v>18993030</v>
      </c>
      <c r="K32" s="784">
        <f>J32</f>
        <v>18993030</v>
      </c>
      <c r="L32" s="785">
        <v>19073275</v>
      </c>
    </row>
    <row r="33" spans="1:16">
      <c r="F33" s="42" t="s">
        <v>160</v>
      </c>
      <c r="G33" s="59"/>
      <c r="H33" s="40"/>
      <c r="I33" s="784">
        <v>10814292</v>
      </c>
      <c r="J33" s="784">
        <v>10910924</v>
      </c>
      <c r="K33" s="784">
        <v>10921298</v>
      </c>
      <c r="L33" s="786">
        <v>10905431</v>
      </c>
      <c r="O33" s="763"/>
      <c r="P33" s="763"/>
    </row>
    <row r="34" spans="1:16">
      <c r="F34" s="42" t="s">
        <v>11</v>
      </c>
      <c r="G34" s="59"/>
      <c r="H34" s="40"/>
      <c r="I34" s="784">
        <v>16789936</v>
      </c>
      <c r="J34" s="784">
        <v>17193059</v>
      </c>
      <c r="K34" s="784">
        <v>17232900</v>
      </c>
      <c r="L34" s="786">
        <f>K34</f>
        <v>17232900</v>
      </c>
      <c r="O34" s="763"/>
      <c r="P34" s="763"/>
    </row>
    <row r="35" spans="1:16">
      <c r="A35" s="1028" t="s">
        <v>270</v>
      </c>
      <c r="B35" s="1029"/>
      <c r="C35" s="1029"/>
      <c r="D35" s="1030"/>
      <c r="F35" s="42" t="s">
        <v>13</v>
      </c>
      <c r="G35" s="59"/>
      <c r="H35" s="40"/>
      <c r="I35" s="784">
        <v>616424</v>
      </c>
      <c r="J35" s="784">
        <v>619924</v>
      </c>
      <c r="K35" s="784">
        <f>J35</f>
        <v>619924</v>
      </c>
      <c r="L35" s="786">
        <f>K35</f>
        <v>619924</v>
      </c>
      <c r="O35" s="763"/>
      <c r="P35" s="763"/>
    </row>
    <row r="36" spans="1:16">
      <c r="A36" s="99" t="str">
        <f>A$3</f>
        <v>FY 10 Actual</v>
      </c>
      <c r="B36" s="100" t="str">
        <f>B$3</f>
        <v>FY 11 Actual</v>
      </c>
      <c r="C36" s="100" t="str">
        <f>C$3</f>
        <v>FY 12 Projected</v>
      </c>
      <c r="D36" s="101" t="str">
        <f>D$3</f>
        <v>FY 13 Projected</v>
      </c>
      <c r="F36" s="36" t="s">
        <v>14</v>
      </c>
      <c r="G36" s="990"/>
      <c r="H36" s="45"/>
      <c r="I36" s="787">
        <v>3159801</v>
      </c>
      <c r="J36" s="784">
        <f>I36</f>
        <v>3159801</v>
      </c>
      <c r="K36" s="784">
        <v>3175121</v>
      </c>
      <c r="L36" s="788">
        <v>3207827</v>
      </c>
      <c r="O36" s="763"/>
      <c r="P36" s="763"/>
    </row>
    <row r="37" spans="1:16">
      <c r="A37" s="34">
        <f>-DSASUMM!C121</f>
        <v>872948748</v>
      </c>
      <c r="B37" s="35">
        <f>((976301000+36294942)*0.91)</f>
        <v>921462307.22000003</v>
      </c>
      <c r="C37" s="35">
        <f>((856899000+38664518)*0.91)</f>
        <v>814962801.38</v>
      </c>
      <c r="D37" s="602">
        <f>(884060000+38370244)*0.91</f>
        <v>839411522.04000008</v>
      </c>
      <c r="F37" s="36" t="s">
        <v>180</v>
      </c>
      <c r="G37" s="990"/>
      <c r="H37" s="45"/>
      <c r="I37" s="55">
        <f>SUM(I32:I36)</f>
        <v>50074906</v>
      </c>
      <c r="J37" s="68">
        <f>SUM(J32:J36)</f>
        <v>50876738</v>
      </c>
      <c r="K37" s="68">
        <f>SUM(K32:K36)</f>
        <v>50942273</v>
      </c>
      <c r="L37" s="56">
        <f>SUM(L32:L36)</f>
        <v>51039357</v>
      </c>
      <c r="N37" s="922">
        <f>872948748/N38</f>
        <v>0.91013734490074116</v>
      </c>
    </row>
    <row r="38" spans="1:16">
      <c r="A38" s="36" t="s">
        <v>38</v>
      </c>
      <c r="B38" s="619">
        <f>(B37-A37)/A37</f>
        <v>5.5574349961723099E-2</v>
      </c>
      <c r="C38" s="619">
        <f>(C37-B37)/B37</f>
        <v>-0.11557662750341145</v>
      </c>
      <c r="D38" s="620">
        <f>(D37-C37)/C37</f>
        <v>2.9999799522874373E-2</v>
      </c>
      <c r="F38" s="66" t="s">
        <v>367</v>
      </c>
      <c r="G38" s="994"/>
      <c r="H38" s="41"/>
      <c r="I38" s="67"/>
      <c r="J38" s="69">
        <f>J37/I37-1</f>
        <v>1.6012651127093491E-2</v>
      </c>
      <c r="K38" s="69">
        <f>K37/J37-1</f>
        <v>1.2881132434237053E-3</v>
      </c>
      <c r="L38" s="70">
        <f>L37/K37-1</f>
        <v>1.905764982257363E-3</v>
      </c>
      <c r="N38" s="9">
        <f>872948748+86190829</f>
        <v>959139577</v>
      </c>
    </row>
    <row r="39" spans="1:16">
      <c r="M39" s="97"/>
    </row>
    <row r="40" spans="1:16">
      <c r="A40" s="1028" t="s">
        <v>332</v>
      </c>
      <c r="B40" s="1029"/>
      <c r="C40" s="1029"/>
      <c r="D40" s="1030"/>
      <c r="H40" s="99" t="s">
        <v>431</v>
      </c>
      <c r="I40" s="100" t="str">
        <f>DSASUMM!Q3</f>
        <v>DSAE671</v>
      </c>
      <c r="J40" s="100"/>
      <c r="K40" s="100" t="str">
        <f>J$27</f>
        <v>FY 12</v>
      </c>
      <c r="L40" s="101" t="str">
        <f>K$27</f>
        <v>FY 13</v>
      </c>
    </row>
    <row r="41" spans="1:16">
      <c r="A41" s="99" t="str">
        <f>A$3</f>
        <v>FY 10 Actual</v>
      </c>
      <c r="B41" s="100" t="str">
        <f>B$3</f>
        <v>FY 11 Actual</v>
      </c>
      <c r="C41" s="100" t="str">
        <f>C$3</f>
        <v>FY 12 Projected</v>
      </c>
      <c r="D41" s="101" t="str">
        <f>D$3</f>
        <v>FY 13 Projected</v>
      </c>
      <c r="H41" s="817" t="s">
        <v>539</v>
      </c>
      <c r="I41" s="41"/>
      <c r="J41" s="68"/>
      <c r="K41" s="716">
        <f>DSASUMM!Q146</f>
        <v>0.4528999999165535</v>
      </c>
      <c r="L41" s="717">
        <f>DSASUMM!R146</f>
        <v>-9.1199999675154686E-2</v>
      </c>
    </row>
    <row r="42" spans="1:16">
      <c r="A42" s="34">
        <f>DSASUMM!C136</f>
        <v>86190829</v>
      </c>
      <c r="B42" s="35">
        <f>(976301000+36294942)-B37</f>
        <v>91133634.779999971</v>
      </c>
      <c r="C42" s="35">
        <f>((856899000+38664518)-C37)</f>
        <v>80600716.620000005</v>
      </c>
      <c r="D42" s="602">
        <f>(884060000+38370244)-D37</f>
        <v>83018721.959999919</v>
      </c>
    </row>
    <row r="43" spans="1:16">
      <c r="A43" s="36" t="s">
        <v>38</v>
      </c>
      <c r="B43" s="619">
        <f>(B42-A42)/A42</f>
        <v>5.7347235632226851E-2</v>
      </c>
      <c r="C43" s="619">
        <f>(C42-B42)/B42</f>
        <v>-0.11557662750341109</v>
      </c>
      <c r="D43" s="620">
        <f>(D42-C42)/C42</f>
        <v>2.99997995228732E-2</v>
      </c>
      <c r="H43" s="816" t="s">
        <v>431</v>
      </c>
      <c r="I43" s="859" t="s">
        <v>449</v>
      </c>
      <c r="J43" s="815"/>
      <c r="K43" s="815" t="str">
        <f>J$27</f>
        <v>FY 12</v>
      </c>
      <c r="L43" s="101" t="str">
        <f>K$27</f>
        <v>FY 13</v>
      </c>
    </row>
    <row r="44" spans="1:16">
      <c r="B44" s="54"/>
      <c r="C44" s="54"/>
      <c r="D44" s="54"/>
      <c r="H44" s="819" t="s">
        <v>636</v>
      </c>
      <c r="I44" s="45"/>
      <c r="J44" s="55"/>
      <c r="K44" s="55">
        <f>DSASUMM!O146</f>
        <v>-63267151.510394812</v>
      </c>
      <c r="L44" s="718">
        <f>DSASUMM!P150</f>
        <v>-64540599.677985199</v>
      </c>
    </row>
    <row r="45" spans="1:16">
      <c r="A45" s="1028" t="s">
        <v>473</v>
      </c>
      <c r="B45" s="1029"/>
      <c r="C45" s="1029"/>
      <c r="D45" s="1030"/>
      <c r="H45" s="113"/>
      <c r="I45" s="40"/>
      <c r="J45" s="52"/>
      <c r="K45" s="52"/>
      <c r="L45" s="722"/>
    </row>
    <row r="46" spans="1:16">
      <c r="A46" s="99" t="str">
        <f>A$3</f>
        <v>FY 10 Actual</v>
      </c>
      <c r="B46" s="100" t="str">
        <f>B41</f>
        <v>FY 11 Actual</v>
      </c>
      <c r="C46" s="100" t="str">
        <f>C$3</f>
        <v>FY 12 Projected</v>
      </c>
      <c r="D46" s="101" t="str">
        <f>D$3</f>
        <v>FY 13 Projected</v>
      </c>
      <c r="H46" s="861" t="s">
        <v>431</v>
      </c>
      <c r="I46" s="860" t="s">
        <v>151</v>
      </c>
      <c r="J46" s="862"/>
      <c r="K46" s="862" t="str">
        <f>J$27</f>
        <v>FY 12</v>
      </c>
      <c r="L46" s="863" t="str">
        <f>K$27</f>
        <v>FY 13</v>
      </c>
    </row>
    <row r="47" spans="1:16">
      <c r="A47" s="613">
        <f>-DSASUMM!C122</f>
        <v>262851182</v>
      </c>
      <c r="B47" s="35">
        <f>ROUND(B$57/3,0)+8473040</f>
        <v>220536619</v>
      </c>
      <c r="C47" s="35">
        <f>ROUND(C$59/3,0)</f>
        <v>202433266</v>
      </c>
      <c r="D47" s="602">
        <f>ROUND(D$59/3,0)</f>
        <v>202931773</v>
      </c>
      <c r="H47" s="819" t="s">
        <v>596</v>
      </c>
      <c r="I47" s="45"/>
      <c r="J47" s="55"/>
      <c r="K47" s="55">
        <f>DSASUMM!S127</f>
        <v>-104588096.41012502</v>
      </c>
      <c r="L47" s="718">
        <f>DSASUMM!T127</f>
        <v>-107020128.45044982</v>
      </c>
    </row>
    <row r="48" spans="1:16">
      <c r="A48" s="36" t="s">
        <v>38</v>
      </c>
      <c r="B48" s="619">
        <f>B60</f>
        <v>-0.19321823296477719</v>
      </c>
      <c r="C48" s="619">
        <f>C60</f>
        <v>-9.5793398827810974E-2</v>
      </c>
      <c r="D48" s="620">
        <f>D60</f>
        <v>2.5997836647334341E-3</v>
      </c>
    </row>
    <row r="49" spans="1:13">
      <c r="B49" s="719"/>
      <c r="C49" s="719"/>
      <c r="D49" s="719"/>
      <c r="H49" s="816" t="s">
        <v>431</v>
      </c>
      <c r="I49" s="818" t="s">
        <v>135</v>
      </c>
      <c r="J49" s="815"/>
      <c r="K49" s="815" t="str">
        <f>J$27</f>
        <v>FY 12</v>
      </c>
      <c r="L49" s="101" t="str">
        <f>K$27</f>
        <v>FY 13</v>
      </c>
    </row>
    <row r="50" spans="1:13">
      <c r="A50" s="1028" t="s">
        <v>474</v>
      </c>
      <c r="B50" s="1029"/>
      <c r="C50" s="1029"/>
      <c r="D50" s="1030"/>
      <c r="H50" s="819" t="s">
        <v>540</v>
      </c>
      <c r="I50" s="45"/>
      <c r="J50" s="55"/>
      <c r="K50" s="957">
        <f>DSASUMM!W150</f>
        <v>-52052912</v>
      </c>
      <c r="L50" s="958">
        <f>DSASUMM!X150</f>
        <v>-48382960</v>
      </c>
    </row>
    <row r="51" spans="1:13">
      <c r="A51" s="99" t="str">
        <f>A$3</f>
        <v>FY 10 Actual</v>
      </c>
      <c r="B51" s="921" t="s">
        <v>627</v>
      </c>
      <c r="C51" s="100" t="str">
        <f>C$3</f>
        <v>FY 12 Projected</v>
      </c>
      <c r="D51" s="101" t="str">
        <f>D$3</f>
        <v>FY 13 Projected</v>
      </c>
    </row>
    <row r="52" spans="1:13">
      <c r="A52" s="613">
        <f>-DSASUMM!C75</f>
        <v>525702505</v>
      </c>
      <c r="B52" s="35">
        <f>ROUND(B$57/3*2,0)</f>
        <v>424127158</v>
      </c>
      <c r="C52" s="35">
        <f>ROUND(C$59/3*2,0)</f>
        <v>404866532</v>
      </c>
      <c r="D52" s="602">
        <f>ROUND(D$59/3*2,0)</f>
        <v>405863545</v>
      </c>
      <c r="H52" s="47" t="s">
        <v>431</v>
      </c>
      <c r="I52" s="48" t="str">
        <f>DSASUMM!Y3</f>
        <v>DSAE710</v>
      </c>
      <c r="J52" s="48"/>
      <c r="K52" s="100" t="str">
        <f>J$27</f>
        <v>FY 12</v>
      </c>
      <c r="L52" s="101" t="str">
        <f>K$27</f>
        <v>FY 13</v>
      </c>
    </row>
    <row r="53" spans="1:13">
      <c r="A53" s="36" t="s">
        <v>38</v>
      </c>
      <c r="B53" s="619">
        <f>B60</f>
        <v>-0.19321823296477719</v>
      </c>
      <c r="C53" s="619">
        <f>C60</f>
        <v>-9.5793398827810974E-2</v>
      </c>
      <c r="D53" s="620">
        <f>D60</f>
        <v>2.5997836647334341E-3</v>
      </c>
      <c r="H53" s="571" t="s">
        <v>478</v>
      </c>
      <c r="I53" s="41"/>
      <c r="J53" s="68"/>
      <c r="K53" s="716">
        <f>DSASUMM!Y146</f>
        <v>20675812</v>
      </c>
      <c r="L53" s="717">
        <f>DSASUMM!Z146</f>
        <v>20675812</v>
      </c>
    </row>
    <row r="54" spans="1:13">
      <c r="B54" s="719"/>
      <c r="C54" s="719"/>
      <c r="D54" s="719"/>
    </row>
    <row r="55" spans="1:13">
      <c r="A55" s="1031" t="s">
        <v>625</v>
      </c>
      <c r="B55" s="1029"/>
      <c r="C55" s="1029"/>
      <c r="D55" s="1030"/>
      <c r="H55" s="808" t="s">
        <v>431</v>
      </c>
      <c r="I55" s="818" t="s">
        <v>496</v>
      </c>
      <c r="J55" s="807"/>
      <c r="K55" s="100" t="str">
        <f>J$27</f>
        <v>FY 12</v>
      </c>
      <c r="L55" s="101" t="str">
        <f>K$27</f>
        <v>FY 13</v>
      </c>
    </row>
    <row r="56" spans="1:13">
      <c r="A56" s="943" t="str">
        <f>A$3</f>
        <v>FY 10 Actual</v>
      </c>
      <c r="B56" s="944" t="str">
        <f>B51</f>
        <v>FY 11 Actual*</v>
      </c>
      <c r="C56" s="944" t="str">
        <f>C$3</f>
        <v>FY 12 Projected</v>
      </c>
      <c r="D56" s="945" t="str">
        <f>D$3</f>
        <v>FY 13 Projected</v>
      </c>
      <c r="H56" s="819" t="s">
        <v>598</v>
      </c>
      <c r="I56" s="45"/>
      <c r="J56" s="55"/>
      <c r="K56" s="957">
        <v>0</v>
      </c>
      <c r="L56" s="958">
        <f>K56</f>
        <v>0</v>
      </c>
    </row>
    <row r="57" spans="1:13">
      <c r="A57" s="613">
        <f>+A47+A52</f>
        <v>788553687</v>
      </c>
      <c r="B57" s="35">
        <f>638766343-2575606</f>
        <v>636190737</v>
      </c>
      <c r="C57" s="35">
        <f>(587507098-12259234)</f>
        <v>575247864</v>
      </c>
      <c r="D57" s="602">
        <f>(593554990-16811606)</f>
        <v>576743384</v>
      </c>
    </row>
    <row r="58" spans="1:13" s="867" customFormat="1">
      <c r="A58" s="965"/>
      <c r="B58" s="966"/>
      <c r="C58" s="967">
        <f>(28617798)+(28617798*0.12)</f>
        <v>32051933.759999998</v>
      </c>
      <c r="D58" s="968">
        <f>(28617798)+(28617798*0.12)</f>
        <v>32051933.759999998</v>
      </c>
      <c r="E58" s="39"/>
      <c r="F58" s="39"/>
      <c r="G58" s="39"/>
      <c r="H58" s="970" t="s">
        <v>431</v>
      </c>
      <c r="I58" s="975" t="s">
        <v>137</v>
      </c>
      <c r="J58" s="971"/>
      <c r="K58" s="971" t="str">
        <f>J$27</f>
        <v>FY 12</v>
      </c>
      <c r="L58" s="972" t="str">
        <f>K$27</f>
        <v>FY 13</v>
      </c>
    </row>
    <row r="59" spans="1:13" s="867" customFormat="1">
      <c r="A59" s="926">
        <f>SUM(A57:A58)</f>
        <v>788553687</v>
      </c>
      <c r="B59" s="759">
        <f t="shared" ref="B59:D59" si="4">SUM(B57:B58)</f>
        <v>636190737</v>
      </c>
      <c r="C59" s="759">
        <f t="shared" si="4"/>
        <v>607299797.75999999</v>
      </c>
      <c r="D59" s="969">
        <f t="shared" si="4"/>
        <v>608795317.75999999</v>
      </c>
      <c r="E59" s="39"/>
      <c r="F59" s="39"/>
      <c r="G59" s="40"/>
      <c r="H59" s="819" t="s">
        <v>318</v>
      </c>
      <c r="I59" s="45"/>
      <c r="J59" s="55"/>
      <c r="K59" s="720">
        <f>DSASUMM!U150</f>
        <v>8798548</v>
      </c>
      <c r="L59" s="721">
        <f>DSASUMM!V150</f>
        <v>8396675</v>
      </c>
    </row>
    <row r="60" spans="1:13">
      <c r="A60" s="36" t="s">
        <v>38</v>
      </c>
      <c r="B60" s="619">
        <f>(B57-A57)/A57</f>
        <v>-0.19321823296477719</v>
      </c>
      <c r="C60" s="619">
        <f>(C57-B57)/B57</f>
        <v>-9.5793398827810974E-2</v>
      </c>
      <c r="D60" s="620">
        <f>(D57-C57)/C57</f>
        <v>2.5997836647334341E-3</v>
      </c>
      <c r="G60" s="40"/>
    </row>
    <row r="61" spans="1:13">
      <c r="B61" s="35"/>
      <c r="C61" s="35"/>
      <c r="D61" s="35"/>
      <c r="G61" s="40"/>
      <c r="H61" s="970" t="s">
        <v>431</v>
      </c>
      <c r="I61" s="975" t="s">
        <v>153</v>
      </c>
      <c r="J61" s="971"/>
      <c r="K61" s="971" t="str">
        <f>J$27</f>
        <v>FY 12</v>
      </c>
      <c r="L61" s="972" t="str">
        <f>K$27</f>
        <v>FY 13</v>
      </c>
    </row>
    <row r="62" spans="1:13">
      <c r="A62" s="40"/>
      <c r="F62" s="40"/>
      <c r="G62" s="40"/>
      <c r="H62" s="819" t="s">
        <v>541</v>
      </c>
      <c r="I62" s="45"/>
      <c r="J62" s="55"/>
      <c r="K62" s="720">
        <v>0</v>
      </c>
      <c r="L62" s="721">
        <v>0</v>
      </c>
    </row>
    <row r="63" spans="1:13">
      <c r="A63" s="1031" t="s">
        <v>358</v>
      </c>
      <c r="B63" s="1032"/>
      <c r="C63" s="1032"/>
      <c r="D63" s="1032"/>
      <c r="E63" s="1032"/>
      <c r="F63" s="1033"/>
      <c r="G63" s="871"/>
      <c r="M63" s="10"/>
    </row>
    <row r="64" spans="1:13">
      <c r="A64" s="817"/>
      <c r="B64" s="946"/>
      <c r="C64" s="947" t="s">
        <v>357</v>
      </c>
      <c r="D64" s="978" t="s">
        <v>590</v>
      </c>
      <c r="E64" s="1036" t="s">
        <v>591</v>
      </c>
      <c r="F64" s="1037"/>
      <c r="G64" s="996"/>
      <c r="H64" s="970" t="s">
        <v>431</v>
      </c>
      <c r="I64" s="975" t="s">
        <v>631</v>
      </c>
      <c r="J64" s="971"/>
      <c r="K64" s="971" t="s">
        <v>386</v>
      </c>
      <c r="L64" s="972" t="s">
        <v>387</v>
      </c>
      <c r="M64" s="10"/>
    </row>
    <row r="65" spans="1:13">
      <c r="A65" s="949" t="s">
        <v>55</v>
      </c>
      <c r="B65" s="869"/>
      <c r="C65" s="977">
        <v>0.215</v>
      </c>
      <c r="D65" s="977">
        <v>0.23749999999999999</v>
      </c>
      <c r="E65" s="1038">
        <f>ROUND((D65/1)*1,6)</f>
        <v>0.23749999999999999</v>
      </c>
      <c r="F65" s="1039"/>
      <c r="G65" s="995"/>
      <c r="H65" s="819" t="s">
        <v>635</v>
      </c>
      <c r="I65" s="45"/>
      <c r="J65" s="55"/>
      <c r="K65" s="720">
        <v>111336000</v>
      </c>
      <c r="L65" s="721">
        <f>114008064+1113360</f>
        <v>115121424</v>
      </c>
      <c r="M65" s="10"/>
    </row>
    <row r="66" spans="1:13">
      <c r="A66" s="949" t="s">
        <v>420</v>
      </c>
      <c r="B66" s="869"/>
      <c r="C66" s="977">
        <f>ROUND(DSASUMM!C10/(DSASUMM!C5+DSASUMM!C6+DSASUMM!C7),6)</f>
        <v>4.0759999999999998E-3</v>
      </c>
      <c r="D66" s="977">
        <f>C66</f>
        <v>4.0759999999999998E-3</v>
      </c>
      <c r="E66" s="1034">
        <f>D66</f>
        <v>4.0759999999999998E-3</v>
      </c>
      <c r="F66" s="1035"/>
      <c r="G66" s="995"/>
      <c r="M66" s="10"/>
    </row>
    <row r="67" spans="1:13">
      <c r="A67" s="949" t="s">
        <v>454</v>
      </c>
      <c r="B67" s="869"/>
      <c r="C67" s="977">
        <f>ROUND(DSASUMM!C11/(DSASUMM!C5+DSASUMM!C6+DSASUMM!C7),6)</f>
        <v>3.5920000000000001E-3</v>
      </c>
      <c r="D67" s="959">
        <f>C67</f>
        <v>3.5920000000000001E-3</v>
      </c>
      <c r="E67" s="1034">
        <f>ROUND((D67/1)*1,6)</f>
        <v>3.5920000000000001E-3</v>
      </c>
      <c r="F67" s="1035"/>
      <c r="G67" s="995"/>
      <c r="H67" s="973" t="s">
        <v>431</v>
      </c>
      <c r="I67" s="975" t="s">
        <v>634</v>
      </c>
      <c r="J67" s="975"/>
      <c r="K67" s="975" t="str">
        <f>J$27</f>
        <v>FY 12</v>
      </c>
      <c r="L67" s="976" t="str">
        <f>K$27</f>
        <v>FY 13</v>
      </c>
      <c r="M67" s="10"/>
    </row>
    <row r="68" spans="1:13">
      <c r="A68" s="949" t="s">
        <v>57</v>
      </c>
      <c r="B68" s="869"/>
      <c r="C68" s="977">
        <f>ROUND(DSASUMM!C12/(DSASUMM!C5+DSASUMM!C6+DSASUMM!C7),6)</f>
        <v>1.3034E-2</v>
      </c>
      <c r="D68" s="977">
        <f>C68</f>
        <v>1.3034E-2</v>
      </c>
      <c r="E68" s="1034">
        <f>D68</f>
        <v>1.3034E-2</v>
      </c>
      <c r="F68" s="1035"/>
      <c r="G68" s="995"/>
      <c r="H68" s="952" t="s">
        <v>632</v>
      </c>
      <c r="I68" s="869"/>
      <c r="J68" s="933"/>
      <c r="K68" s="877">
        <f>139309881*0.91</f>
        <v>126771991.71000001</v>
      </c>
      <c r="L68" s="953">
        <f>143489149*0.91</f>
        <v>130575125.59</v>
      </c>
    </row>
    <row r="69" spans="1:13">
      <c r="A69" s="949" t="s">
        <v>430</v>
      </c>
      <c r="B69" s="869"/>
      <c r="C69" s="977">
        <f>ROUND(DSASUMM!C14/(DSASUMM!C5+DSASUMM!C6+DSASUMM!C7),6)</f>
        <v>4.3059999999999999E-3</v>
      </c>
      <c r="D69" s="572">
        <f>C69</f>
        <v>4.3059999999999999E-3</v>
      </c>
      <c r="E69" s="1034">
        <f>D69</f>
        <v>4.3059999999999999E-3</v>
      </c>
      <c r="F69" s="1051"/>
      <c r="G69" s="996"/>
      <c r="H69" s="819" t="s">
        <v>633</v>
      </c>
      <c r="I69" s="951"/>
      <c r="J69" s="954"/>
      <c r="K69" s="955">
        <f>139309881*0.09</f>
        <v>12537889.289999999</v>
      </c>
      <c r="L69" s="956">
        <f>143489149*0.09</f>
        <v>12914023.41</v>
      </c>
    </row>
    <row r="70" spans="1:13">
      <c r="A70" s="950" t="s">
        <v>243</v>
      </c>
      <c r="B70" s="951"/>
      <c r="C70" s="979">
        <f>ROUND(DSASUMM!C13/DSADATABASE!C32,2)</f>
        <v>6980.69</v>
      </c>
      <c r="D70" s="692">
        <f>ROUND(C70*1,2)</f>
        <v>6980.69</v>
      </c>
      <c r="E70" s="1041">
        <f>ROUND(D70*1,2)</f>
        <v>6980.69</v>
      </c>
      <c r="F70" s="1050"/>
      <c r="G70" s="1000"/>
      <c r="H70" s="819" t="s">
        <v>637</v>
      </c>
      <c r="I70" s="951"/>
      <c r="J70" s="954"/>
      <c r="K70" s="955">
        <f>SUM(K68:K69)</f>
        <v>139309881</v>
      </c>
      <c r="L70" s="956">
        <f>SUM(L68:L69)</f>
        <v>143489149</v>
      </c>
    </row>
    <row r="71" spans="1:13">
      <c r="A71" s="9"/>
      <c r="B71" s="9"/>
      <c r="C71" s="9"/>
      <c r="D71" s="9"/>
      <c r="G71" s="40"/>
    </row>
    <row r="72" spans="1:13">
      <c r="A72" s="1028" t="s">
        <v>359</v>
      </c>
      <c r="B72" s="1029"/>
      <c r="C72" s="1029"/>
      <c r="D72" s="1029"/>
      <c r="E72" s="1029"/>
      <c r="F72" s="1030"/>
      <c r="G72" s="96"/>
    </row>
    <row r="73" spans="1:13">
      <c r="A73" s="571"/>
      <c r="B73" s="41"/>
      <c r="C73" s="548" t="s">
        <v>357</v>
      </c>
      <c r="D73" s="971" t="str">
        <f>D64</f>
        <v>M300 FY12</v>
      </c>
      <c r="E73" s="1029" t="str">
        <f>E64</f>
        <v>M300 FY13</v>
      </c>
      <c r="F73" s="1040"/>
      <c r="G73" s="997"/>
    </row>
    <row r="74" spans="1:13">
      <c r="A74" s="61" t="str">
        <f>A65</f>
        <v>RETIREMENT</v>
      </c>
      <c r="B74" s="40"/>
      <c r="C74" s="98">
        <f>C65</f>
        <v>0.215</v>
      </c>
      <c r="D74" s="977">
        <f>D65</f>
        <v>0.23749999999999999</v>
      </c>
      <c r="E74" s="1038">
        <f>ROUND(($D74/1)*1,6)</f>
        <v>0.23749999999999999</v>
      </c>
      <c r="F74" s="1052"/>
      <c r="G74" s="998"/>
    </row>
    <row r="75" spans="1:13">
      <c r="A75" s="61" t="str">
        <f>A66</f>
        <v>WORKERS' COMPENSATION</v>
      </c>
      <c r="B75" s="40"/>
      <c r="C75" s="98">
        <f>ROUND(330421/107048220,6)</f>
        <v>3.0869999999999999E-3</v>
      </c>
      <c r="D75" s="977">
        <f>C75</f>
        <v>3.0869999999999999E-3</v>
      </c>
      <c r="E75" s="1034">
        <f>D75</f>
        <v>3.0869999999999999E-3</v>
      </c>
      <c r="F75" s="1049"/>
      <c r="G75" s="997"/>
    </row>
    <row r="76" spans="1:13">
      <c r="A76" s="61" t="str">
        <f t="shared" ref="A76:A79" si="5">A67</f>
        <v>UNEMPLOYMENT INSURANCE</v>
      </c>
      <c r="B76" s="40"/>
      <c r="C76" s="98">
        <f>ROUND(322081/107048220,6)</f>
        <v>3.009E-3</v>
      </c>
      <c r="D76" s="977">
        <f>C76</f>
        <v>3.009E-3</v>
      </c>
      <c r="E76" s="1034">
        <f>ROUND((D76/1)*1,6)</f>
        <v>3.009E-3</v>
      </c>
      <c r="F76" s="1049"/>
      <c r="G76" s="997"/>
    </row>
    <row r="77" spans="1:13">
      <c r="A77" s="61" t="str">
        <f t="shared" si="5"/>
        <v>MEDICARE</v>
      </c>
      <c r="B77" s="40"/>
      <c r="C77" s="98">
        <f>ROUND(1488206/107048220,6)</f>
        <v>1.3901999999999999E-2</v>
      </c>
      <c r="D77" s="977">
        <f>C77</f>
        <v>1.3901999999999999E-2</v>
      </c>
      <c r="E77" s="1034">
        <f>D77</f>
        <v>1.3901999999999999E-2</v>
      </c>
      <c r="F77" s="1049"/>
      <c r="G77" s="997"/>
    </row>
    <row r="78" spans="1:13">
      <c r="A78" s="61" t="str">
        <f t="shared" si="5"/>
        <v>OTHER (INCLUDES FICA)</v>
      </c>
      <c r="B78" s="40"/>
      <c r="C78" s="98">
        <f>ROUND(573507/107048220,6)</f>
        <v>5.3569999999999998E-3</v>
      </c>
      <c r="D78" s="497">
        <f>C78</f>
        <v>5.3569999999999998E-3</v>
      </c>
      <c r="E78" s="1034">
        <f>D78</f>
        <v>5.3569999999999998E-3</v>
      </c>
      <c r="F78" s="1049"/>
      <c r="G78" s="997"/>
    </row>
    <row r="79" spans="1:13">
      <c r="A79" s="14" t="str">
        <f t="shared" si="5"/>
        <v>MEDICAL INSURANCE (PER FTE)</v>
      </c>
      <c r="B79" s="45"/>
      <c r="C79" s="691">
        <f>C70</f>
        <v>6980.69</v>
      </c>
      <c r="D79" s="692">
        <f>ROUND(C79*1,2)</f>
        <v>6980.69</v>
      </c>
      <c r="E79" s="1041">
        <f>ROUND(D79*1,2)</f>
        <v>6980.69</v>
      </c>
      <c r="F79" s="1042"/>
      <c r="G79" s="999"/>
    </row>
    <row r="81" spans="1:12">
      <c r="A81" s="1031" t="s">
        <v>649</v>
      </c>
      <c r="B81" s="1029"/>
      <c r="C81" s="1029"/>
      <c r="D81" s="1030"/>
    </row>
    <row r="82" spans="1:12">
      <c r="A82" s="99" t="str">
        <f>A$3</f>
        <v>FY 10 Actual</v>
      </c>
      <c r="B82" s="100" t="s">
        <v>385</v>
      </c>
      <c r="C82" s="942" t="s">
        <v>494</v>
      </c>
      <c r="D82" s="948" t="s">
        <v>495</v>
      </c>
    </row>
    <row r="83" spans="1:12">
      <c r="A83" s="613">
        <v>10000000</v>
      </c>
      <c r="B83" s="35">
        <f>10000000+25000000</f>
        <v>35000000</v>
      </c>
      <c r="C83" s="35">
        <v>20000000</v>
      </c>
      <c r="D83" s="602">
        <v>20000000</v>
      </c>
    </row>
    <row r="84" spans="1:12">
      <c r="A84" s="36" t="s">
        <v>38</v>
      </c>
      <c r="B84" s="619"/>
      <c r="C84" s="619">
        <v>0</v>
      </c>
      <c r="D84" s="620">
        <v>0</v>
      </c>
    </row>
    <row r="85" spans="1:12" s="867" customFormat="1">
      <c r="A85" s="59"/>
      <c r="B85" s="760"/>
      <c r="C85" s="760"/>
      <c r="D85" s="760"/>
      <c r="E85" s="39"/>
      <c r="F85" s="39"/>
      <c r="G85" s="39"/>
      <c r="H85" s="39"/>
      <c r="I85" s="64"/>
      <c r="J85" s="39"/>
      <c r="K85" s="39"/>
      <c r="L85" s="39"/>
    </row>
    <row r="86" spans="1:12">
      <c r="A86" s="1028" t="s">
        <v>322</v>
      </c>
      <c r="B86" s="1029"/>
      <c r="C86" s="1029"/>
      <c r="D86" s="1030"/>
    </row>
    <row r="87" spans="1:12">
      <c r="A87" s="99" t="str">
        <f>A$3</f>
        <v>FY 10 Actual</v>
      </c>
      <c r="B87" s="100" t="str">
        <f>B82</f>
        <v>FY 11 Actual</v>
      </c>
      <c r="C87" s="100" t="str">
        <f>C$3</f>
        <v>FY 12 Projected</v>
      </c>
      <c r="D87" s="101" t="str">
        <f>D$3</f>
        <v>FY 13 Projected</v>
      </c>
    </row>
    <row r="88" spans="1:12">
      <c r="A88" s="613">
        <f>6000000</f>
        <v>6000000</v>
      </c>
      <c r="B88" s="35">
        <v>5400000</v>
      </c>
      <c r="C88" s="35">
        <f>+DSASUMM!AI125</f>
        <v>0</v>
      </c>
      <c r="D88" s="602">
        <f>+DSASUMM!AK125</f>
        <v>0</v>
      </c>
    </row>
    <row r="89" spans="1:12">
      <c r="A89" s="36" t="s">
        <v>38</v>
      </c>
      <c r="B89" s="619"/>
      <c r="C89" s="619">
        <v>0</v>
      </c>
      <c r="D89" s="620">
        <v>0</v>
      </c>
    </row>
    <row r="91" spans="1:12">
      <c r="A91" s="9"/>
      <c r="B91" s="9"/>
      <c r="C91" s="9"/>
      <c r="D91" s="9"/>
      <c r="E91" s="9"/>
    </row>
    <row r="92" spans="1:12" s="867" customFormat="1">
      <c r="F92" s="39"/>
      <c r="G92" s="39"/>
      <c r="H92" s="39"/>
      <c r="I92" s="64"/>
      <c r="J92" s="39"/>
      <c r="K92" s="39"/>
      <c r="L92" s="39"/>
    </row>
    <row r="93" spans="1:12">
      <c r="A93" s="9"/>
      <c r="B93" s="9"/>
      <c r="C93" s="9"/>
      <c r="D93" s="9"/>
      <c r="E93" s="9"/>
    </row>
    <row r="94" spans="1:12">
      <c r="A94" s="9"/>
      <c r="B94" s="9"/>
      <c r="C94" s="9"/>
      <c r="D94" s="9"/>
      <c r="E94" s="9"/>
    </row>
    <row r="95" spans="1:12">
      <c r="A95" s="9"/>
      <c r="B95" s="9"/>
      <c r="C95" s="9"/>
      <c r="D95" s="9"/>
      <c r="E95" s="9"/>
    </row>
    <row r="96" spans="1:12" s="867" customFormat="1">
      <c r="F96" s="39"/>
      <c r="G96" s="39"/>
      <c r="H96" s="39"/>
      <c r="I96" s="64"/>
      <c r="J96" s="39"/>
      <c r="K96" s="39"/>
      <c r="L96" s="39"/>
    </row>
  </sheetData>
  <mergeCells count="34">
    <mergeCell ref="E78:F78"/>
    <mergeCell ref="E70:F70"/>
    <mergeCell ref="E69:F69"/>
    <mergeCell ref="E75:F75"/>
    <mergeCell ref="E76:F76"/>
    <mergeCell ref="E77:F77"/>
    <mergeCell ref="E74:F74"/>
    <mergeCell ref="A1:L1"/>
    <mergeCell ref="A23:D23"/>
    <mergeCell ref="F27:I27"/>
    <mergeCell ref="F31:H31"/>
    <mergeCell ref="A12:D12"/>
    <mergeCell ref="A17:D17"/>
    <mergeCell ref="F2:K2"/>
    <mergeCell ref="F13:K13"/>
    <mergeCell ref="A2:D2"/>
    <mergeCell ref="F4:H4"/>
    <mergeCell ref="A7:D7"/>
    <mergeCell ref="A86:D86"/>
    <mergeCell ref="A50:D50"/>
    <mergeCell ref="A55:D55"/>
    <mergeCell ref="A35:D35"/>
    <mergeCell ref="A81:D81"/>
    <mergeCell ref="A40:D40"/>
    <mergeCell ref="A45:D45"/>
    <mergeCell ref="A63:F63"/>
    <mergeCell ref="A72:F72"/>
    <mergeCell ref="E66:F66"/>
    <mergeCell ref="E64:F64"/>
    <mergeCell ref="E65:F65"/>
    <mergeCell ref="E73:F73"/>
    <mergeCell ref="E67:F67"/>
    <mergeCell ref="E68:F68"/>
    <mergeCell ref="E79:F79"/>
  </mergeCells>
  <phoneticPr fontId="0" type="noConversion"/>
  <pageMargins left="0.5" right="0.5" top="0.5" bottom="0.5" header="0.25" footer="0.25"/>
  <pageSetup scale="61" orientation="portrait" r:id="rId1"/>
  <headerFooter alignWithMargins="0">
    <oddFooter>&amp;L&amp;D&amp;C&amp;P of &amp;N&amp;R&amp;A</oddFooter>
  </headerFooter>
  <legacyDrawing r:id="rId2"/>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sheetPr codeName="Sheet4" enableFormatConditionsCalculation="0"/>
  <dimension ref="A1:BZ151"/>
  <sheetViews>
    <sheetView showGridLines="0" zoomScale="115" zoomScaleNormal="115" workbookViewId="0">
      <pane xSplit="1" ySplit="4" topLeftCell="G26" activePane="bottomRight" state="frozen"/>
      <selection pane="topRight" activeCell="B1" sqref="B1"/>
      <selection pane="bottomLeft" activeCell="A4" sqref="A4"/>
      <selection pane="bottomRight" activeCell="M2" sqref="M2"/>
    </sheetView>
  </sheetViews>
  <sheetFormatPr defaultColWidth="8.85546875" defaultRowHeight="12.75"/>
  <cols>
    <col min="1" max="1" width="33" style="6" customWidth="1"/>
    <col min="2" max="2" width="11.42578125" style="661" bestFit="1" customWidth="1"/>
    <col min="3" max="3" width="11.42578125" style="662" bestFit="1" customWidth="1"/>
    <col min="4" max="4" width="9" style="679" bestFit="1" customWidth="1"/>
    <col min="5" max="5" width="11.42578125" style="662" bestFit="1" customWidth="1"/>
    <col min="6" max="6" width="8.7109375" style="679" customWidth="1"/>
    <col min="7" max="8" width="11.42578125" style="662" customWidth="1"/>
    <col min="9" max="10" width="9.85546875" style="662" customWidth="1"/>
    <col min="11" max="11" width="8" style="662" customWidth="1"/>
    <col min="12" max="14" width="9.28515625" style="662" customWidth="1"/>
    <col min="15" max="17" width="10.7109375" style="662" customWidth="1"/>
    <col min="18" max="18" width="9.85546875" style="662" customWidth="1"/>
    <col min="19" max="20" width="10.7109375" style="662" customWidth="1"/>
    <col min="21" max="22" width="9" style="662" customWidth="1"/>
    <col min="23" max="24" width="10.7109375" style="662" bestFit="1" customWidth="1"/>
    <col min="25" max="26" width="9.28515625" style="662" customWidth="1"/>
    <col min="27" max="27" width="10.7109375" style="662" customWidth="1"/>
    <col min="28" max="28" width="8.85546875" style="662" customWidth="1"/>
    <col min="29" max="29" width="9.28515625" style="662" bestFit="1" customWidth="1"/>
    <col min="30" max="30" width="12.140625" style="662" customWidth="1"/>
    <col min="31" max="32" width="9.28515625" style="662" customWidth="1"/>
    <col min="33" max="34" width="9.28515625" style="662" bestFit="1" customWidth="1"/>
    <col min="35" max="35" width="11.42578125" style="662" customWidth="1"/>
    <col min="36" max="36" width="6.42578125" style="679" customWidth="1"/>
    <col min="37" max="37" width="11.42578125" style="662" customWidth="1"/>
    <col min="38" max="38" width="5.85546875" style="679" customWidth="1"/>
    <col min="39" max="39" width="13.85546875" style="9" bestFit="1" customWidth="1"/>
    <col min="40" max="40" width="13.7109375" style="9" bestFit="1" customWidth="1"/>
    <col min="41" max="41" width="10.7109375" style="9" bestFit="1" customWidth="1"/>
    <col min="42" max="16384" width="8.85546875" style="9"/>
  </cols>
  <sheetData>
    <row r="1" spans="1:38" s="867" customFormat="1" ht="13.5" thickBot="1">
      <c r="A1" s="6"/>
      <c r="B1" s="661"/>
      <c r="C1" s="662"/>
      <c r="D1" s="679"/>
      <c r="E1" s="662"/>
      <c r="F1" s="679"/>
      <c r="G1" s="662"/>
      <c r="H1" s="662"/>
      <c r="I1" s="662" t="s">
        <v>665</v>
      </c>
      <c r="J1" s="662"/>
      <c r="K1" s="662"/>
      <c r="L1" s="662"/>
      <c r="M1" s="662" t="s">
        <v>666</v>
      </c>
      <c r="N1" s="662"/>
      <c r="O1" s="1053" t="s">
        <v>660</v>
      </c>
      <c r="P1" s="1053"/>
      <c r="Q1" s="1054" t="s">
        <v>661</v>
      </c>
      <c r="R1" s="1054"/>
      <c r="S1" s="1054" t="s">
        <v>596</v>
      </c>
      <c r="T1" s="1054"/>
      <c r="U1" s="662"/>
      <c r="V1" s="662"/>
      <c r="W1" s="662" t="s">
        <v>663</v>
      </c>
      <c r="X1" s="662"/>
      <c r="Y1" s="1054" t="s">
        <v>664</v>
      </c>
      <c r="Z1" s="1054"/>
      <c r="AA1" s="662"/>
      <c r="AB1" s="662"/>
      <c r="AC1" s="662" t="s">
        <v>662</v>
      </c>
      <c r="AD1" s="662"/>
      <c r="AE1" s="662" t="s">
        <v>659</v>
      </c>
      <c r="AF1" s="662"/>
      <c r="AG1" s="662" t="s">
        <v>658</v>
      </c>
      <c r="AH1" s="662"/>
      <c r="AI1" s="662"/>
      <c r="AJ1" s="679"/>
      <c r="AK1" s="662"/>
      <c r="AL1" s="679"/>
    </row>
    <row r="2" spans="1:38" ht="14.25" thickBot="1">
      <c r="A2" s="594" t="s">
        <v>376</v>
      </c>
      <c r="B2" s="623"/>
      <c r="C2" s="623"/>
      <c r="D2" s="686"/>
      <c r="E2" s="663"/>
      <c r="F2" s="680"/>
      <c r="G2" s="663"/>
      <c r="H2" s="663"/>
      <c r="I2" s="663"/>
      <c r="J2" s="663"/>
      <c r="K2" s="663"/>
      <c r="L2" s="663"/>
      <c r="M2" s="663"/>
      <c r="N2" s="663"/>
      <c r="O2" s="663"/>
      <c r="P2" s="663"/>
      <c r="Q2" s="663"/>
      <c r="R2" s="663"/>
      <c r="S2" s="663"/>
      <c r="T2" s="663"/>
      <c r="U2" s="663"/>
      <c r="V2" s="663"/>
      <c r="W2" s="663"/>
      <c r="X2" s="663"/>
      <c r="Y2" s="663"/>
      <c r="Z2" s="663"/>
      <c r="AA2" s="663"/>
      <c r="AB2" s="663"/>
      <c r="AC2" s="663"/>
      <c r="AD2" s="663"/>
      <c r="AE2" s="663"/>
      <c r="AF2" s="663"/>
      <c r="AG2" s="663"/>
      <c r="AH2" s="663"/>
      <c r="AI2" s="663"/>
      <c r="AJ2" s="680"/>
      <c r="AK2" s="663"/>
      <c r="AL2" s="671"/>
    </row>
    <row r="3" spans="1:38" ht="13.5">
      <c r="A3" s="15"/>
      <c r="B3" s="624" t="s">
        <v>395</v>
      </c>
      <c r="C3" s="625"/>
      <c r="D3" s="687"/>
      <c r="E3" s="664" t="s">
        <v>396</v>
      </c>
      <c r="F3" s="681" t="s">
        <v>45</v>
      </c>
      <c r="G3" s="664" t="s">
        <v>46</v>
      </c>
      <c r="H3" s="664" t="s">
        <v>46</v>
      </c>
      <c r="I3" s="664" t="s">
        <v>398</v>
      </c>
      <c r="J3" s="664" t="s">
        <v>398</v>
      </c>
      <c r="K3" s="664" t="s">
        <v>476</v>
      </c>
      <c r="L3" s="664" t="str">
        <f>K3</f>
        <v>DSAM101</v>
      </c>
      <c r="M3" s="664" t="s">
        <v>399</v>
      </c>
      <c r="N3" s="664" t="s">
        <v>399</v>
      </c>
      <c r="O3" s="664" t="s">
        <v>449</v>
      </c>
      <c r="P3" s="664" t="str">
        <f>O3</f>
        <v>DSAE670</v>
      </c>
      <c r="Q3" s="664" t="s">
        <v>450</v>
      </c>
      <c r="R3" s="664" t="str">
        <f>Q3</f>
        <v>DSAE671</v>
      </c>
      <c r="S3" s="664" t="s">
        <v>151</v>
      </c>
      <c r="T3" s="664" t="str">
        <f>S3</f>
        <v>DSAE601</v>
      </c>
      <c r="U3" s="664" t="s">
        <v>137</v>
      </c>
      <c r="V3" s="664" t="str">
        <f>U3</f>
        <v>DSAE300</v>
      </c>
      <c r="W3" s="664" t="s">
        <v>135</v>
      </c>
      <c r="X3" s="664" t="str">
        <f>W3</f>
        <v>DSAE600</v>
      </c>
      <c r="Y3" s="664" t="s">
        <v>47</v>
      </c>
      <c r="Z3" s="664" t="str">
        <f>Y3</f>
        <v>DSAE710</v>
      </c>
      <c r="AA3" s="664" t="s">
        <v>496</v>
      </c>
      <c r="AB3" s="664" t="str">
        <f>AA3</f>
        <v>DSAE602</v>
      </c>
      <c r="AC3" s="664" t="s">
        <v>597</v>
      </c>
      <c r="AD3" s="664" t="str">
        <f>AC3</f>
        <v>DSAE904</v>
      </c>
      <c r="AE3" s="664" t="s">
        <v>631</v>
      </c>
      <c r="AF3" s="664" t="str">
        <f>AE3</f>
        <v>DSAE130</v>
      </c>
      <c r="AG3" s="664" t="s">
        <v>634</v>
      </c>
      <c r="AH3" s="664" t="str">
        <f>AG3</f>
        <v>DSAE140</v>
      </c>
      <c r="AI3" s="664" t="s">
        <v>48</v>
      </c>
      <c r="AJ3" s="681" t="s">
        <v>49</v>
      </c>
      <c r="AK3" s="664" t="s">
        <v>48</v>
      </c>
      <c r="AL3" s="672" t="s">
        <v>49</v>
      </c>
    </row>
    <row r="4" spans="1:38" ht="14.25" thickBot="1">
      <c r="A4" s="16"/>
      <c r="B4" s="626" t="s">
        <v>51</v>
      </c>
      <c r="C4" s="627" t="s">
        <v>50</v>
      </c>
      <c r="D4" s="688" t="s">
        <v>49</v>
      </c>
      <c r="E4" s="665" t="s">
        <v>51</v>
      </c>
      <c r="F4" s="682" t="s">
        <v>52</v>
      </c>
      <c r="G4" s="665" t="s">
        <v>373</v>
      </c>
      <c r="H4" s="665" t="s">
        <v>374</v>
      </c>
      <c r="I4" s="665" t="str">
        <f>$G4</f>
        <v>2011-12</v>
      </c>
      <c r="J4" s="665" t="str">
        <f>$H4</f>
        <v>2012-13</v>
      </c>
      <c r="K4" s="665" t="str">
        <f>$G4</f>
        <v>2011-12</v>
      </c>
      <c r="L4" s="665" t="str">
        <f>$H4</f>
        <v>2012-13</v>
      </c>
      <c r="M4" s="665" t="str">
        <f>$G4</f>
        <v>2011-12</v>
      </c>
      <c r="N4" s="665" t="str">
        <f>$H4</f>
        <v>2012-13</v>
      </c>
      <c r="O4" s="665" t="str">
        <f>$G4</f>
        <v>2011-12</v>
      </c>
      <c r="P4" s="665" t="str">
        <f>$H4</f>
        <v>2012-13</v>
      </c>
      <c r="Q4" s="665" t="str">
        <f>$G$4</f>
        <v>2011-12</v>
      </c>
      <c r="R4" s="665" t="str">
        <f>$H$4</f>
        <v>2012-13</v>
      </c>
      <c r="S4" s="665" t="str">
        <f>$G$4</f>
        <v>2011-12</v>
      </c>
      <c r="T4" s="665" t="str">
        <f>$H$4</f>
        <v>2012-13</v>
      </c>
      <c r="U4" s="665" t="str">
        <f>$G$4</f>
        <v>2011-12</v>
      </c>
      <c r="V4" s="665" t="str">
        <f>$H$4</f>
        <v>2012-13</v>
      </c>
      <c r="W4" s="665" t="str">
        <f>$G$4</f>
        <v>2011-12</v>
      </c>
      <c r="X4" s="665" t="str">
        <f>$H$4</f>
        <v>2012-13</v>
      </c>
      <c r="Y4" s="665" t="str">
        <f>$G$4</f>
        <v>2011-12</v>
      </c>
      <c r="Z4" s="665" t="str">
        <f>$H$4</f>
        <v>2012-13</v>
      </c>
      <c r="AA4" s="665" t="str">
        <f>$G$4</f>
        <v>2011-12</v>
      </c>
      <c r="AB4" s="665" t="str">
        <f>$H$4</f>
        <v>2012-13</v>
      </c>
      <c r="AC4" s="665" t="str">
        <f>Y4</f>
        <v>2011-12</v>
      </c>
      <c r="AD4" s="665" t="str">
        <f>Z4</f>
        <v>2012-13</v>
      </c>
      <c r="AE4" s="665" t="str">
        <f>Y4</f>
        <v>2011-12</v>
      </c>
      <c r="AF4" s="665" t="str">
        <f>Z4</f>
        <v>2012-13</v>
      </c>
      <c r="AG4" s="665" t="str">
        <f>AA4</f>
        <v>2011-12</v>
      </c>
      <c r="AH4" s="665" t="str">
        <f>AB4</f>
        <v>2012-13</v>
      </c>
      <c r="AI4" s="665" t="str">
        <f>$G$4</f>
        <v>2011-12</v>
      </c>
      <c r="AJ4" s="682" t="str">
        <f>$G$4</f>
        <v>2011-12</v>
      </c>
      <c r="AK4" s="665" t="str">
        <f>$H$4</f>
        <v>2012-13</v>
      </c>
      <c r="AL4" s="673" t="str">
        <f>$H$4</f>
        <v>2012-13</v>
      </c>
    </row>
    <row r="5" spans="1:38" ht="13.5">
      <c r="A5" s="8" t="s">
        <v>53</v>
      </c>
      <c r="B5" s="628">
        <v>1813834741</v>
      </c>
      <c r="C5" s="629">
        <f>1912223758-C6-C7</f>
        <v>1856620261</v>
      </c>
      <c r="D5" s="553">
        <f>ROUND(C5/B5-1,4)</f>
        <v>2.3599999999999999E-2</v>
      </c>
      <c r="E5" s="629">
        <f>1911029454-E6-E7</f>
        <v>1849660599</v>
      </c>
      <c r="F5" s="553">
        <f>ROUND(E5/C5-1,4)</f>
        <v>-3.7000000000000002E-3</v>
      </c>
      <c r="G5" s="566">
        <f>BASESAL!F53</f>
        <v>1901538049</v>
      </c>
      <c r="H5" s="566">
        <f>BASESAL!H53</f>
        <v>1939568810</v>
      </c>
      <c r="I5" s="566">
        <f>M200SAL!D69</f>
        <v>-1881325</v>
      </c>
      <c r="J5" s="566">
        <f>M200SAL!G69</f>
        <v>2963658</v>
      </c>
      <c r="K5" s="566"/>
      <c r="L5" s="566"/>
      <c r="M5" s="566">
        <f>M300SAL!D72</f>
        <v>-21371138.144999981</v>
      </c>
      <c r="N5" s="566">
        <f>M300SAL!G72</f>
        <v>-21853490.265000105</v>
      </c>
      <c r="O5" s="566">
        <f>+E670SAL!D71</f>
        <v>-46957143.502500057</v>
      </c>
      <c r="P5" s="566">
        <f>+E670SAL!G71</f>
        <v>-47896286.926249981</v>
      </c>
      <c r="Q5" s="566">
        <f>E671SAL!D72+E671SAL!D81</f>
        <v>0</v>
      </c>
      <c r="R5" s="566">
        <f>E671SAL!G72+E671SAL!G81</f>
        <v>0</v>
      </c>
      <c r="S5" s="566">
        <f>'E601 SAL'!D72+'E601 SAL'!D81</f>
        <v>-77466813.756150007</v>
      </c>
      <c r="T5" s="566">
        <f>'E601 SAL'!G72+'E601 SAL'!F81</f>
        <v>-79220365.151024818</v>
      </c>
      <c r="U5" s="566"/>
      <c r="V5" s="566"/>
      <c r="W5" s="566"/>
      <c r="X5" s="566"/>
      <c r="Y5" s="566"/>
      <c r="Z5" s="566"/>
      <c r="AA5" s="566"/>
      <c r="AB5" s="566"/>
      <c r="AC5" s="566">
        <v>0</v>
      </c>
      <c r="AD5" s="566">
        <v>0</v>
      </c>
      <c r="AE5" s="566">
        <v>0</v>
      </c>
      <c r="AF5" s="566">
        <v>0</v>
      </c>
      <c r="AG5" s="566">
        <v>0</v>
      </c>
      <c r="AH5" s="566">
        <v>0</v>
      </c>
      <c r="AI5" s="566">
        <f>G5+I5+K5+M5+O5+Q5+S5+U5+W5+Y5+AA5+AG5+AC5+AE5</f>
        <v>1753861628.59635</v>
      </c>
      <c r="AJ5" s="553">
        <f>ROUND(AI5/C5-1,4)</f>
        <v>-5.5300000000000002E-2</v>
      </c>
      <c r="AK5" s="749">
        <f>H5+J5+L5+N5+P5+R5+T5+V5+X5+Z5+AB5+AH5+AD5+AF5</f>
        <v>1793562325.6577251</v>
      </c>
      <c r="AL5" s="554">
        <f>ROUND(AK5/AI5-1,4)</f>
        <v>2.2599999999999999E-2</v>
      </c>
    </row>
    <row r="6" spans="1:38" ht="13.5">
      <c r="A6" s="17" t="s">
        <v>54</v>
      </c>
      <c r="B6" s="630">
        <v>39306246</v>
      </c>
      <c r="C6" s="631">
        <f>35121511+1216611</f>
        <v>36338122</v>
      </c>
      <c r="D6" s="1">
        <f>ROUND(C6/B6-1,4)</f>
        <v>-7.5499999999999998E-2</v>
      </c>
      <c r="E6" s="631">
        <f>36975586+1044466</f>
        <v>38020052</v>
      </c>
      <c r="F6" s="1">
        <f>ROUND(E6/C6-1,4)</f>
        <v>4.6300000000000001E-2</v>
      </c>
      <c r="G6" s="631">
        <f>BASESAL!F54</f>
        <v>36338122</v>
      </c>
      <c r="H6" s="562">
        <f>BASESAL!H54</f>
        <v>36338122</v>
      </c>
      <c r="I6" s="562">
        <f>M200SAL!D70</f>
        <v>-302309</v>
      </c>
      <c r="J6" s="562">
        <f>M200SAL!G70</f>
        <v>-173148</v>
      </c>
      <c r="K6" s="562"/>
      <c r="L6" s="562"/>
      <c r="M6" s="562">
        <f>M300SAL!D73</f>
        <v>0</v>
      </c>
      <c r="N6" s="562">
        <f>M300SAL!G73</f>
        <v>0</v>
      </c>
      <c r="O6" s="562">
        <f>+E670SAL!D72</f>
        <v>0</v>
      </c>
      <c r="P6" s="562">
        <f>+E670SAL!G72</f>
        <v>0</v>
      </c>
      <c r="Q6" s="562">
        <f>E671SAL!D73</f>
        <v>0</v>
      </c>
      <c r="R6" s="562">
        <f>E671SAL!G73</f>
        <v>0</v>
      </c>
      <c r="S6" s="562"/>
      <c r="T6" s="562"/>
      <c r="U6" s="562"/>
      <c r="V6" s="562"/>
      <c r="W6" s="562"/>
      <c r="X6" s="562"/>
      <c r="Y6" s="562"/>
      <c r="Z6" s="562"/>
      <c r="AA6" s="562"/>
      <c r="AB6" s="562"/>
      <c r="AC6" s="562">
        <v>0</v>
      </c>
      <c r="AD6" s="562">
        <v>0</v>
      </c>
      <c r="AE6" s="562">
        <v>0</v>
      </c>
      <c r="AF6" s="562">
        <v>0</v>
      </c>
      <c r="AG6" s="562">
        <v>0</v>
      </c>
      <c r="AH6" s="562">
        <v>0</v>
      </c>
      <c r="AI6" s="562">
        <f>G6+I6+K6+M6+O6+Q6+S6+U6+W6+Y6+AA6+AG6+AC6+AE6</f>
        <v>36035813</v>
      </c>
      <c r="AJ6" s="1">
        <f>ROUND(AI6/C6,4)-1</f>
        <v>-8.2999999999999741E-3</v>
      </c>
      <c r="AK6" s="562">
        <f>H6+J6+L6+N6+P6+R6+T6+V6+X6+Z6+AB6+AH6+AD6+AF6</f>
        <v>36164974</v>
      </c>
      <c r="AL6" s="555">
        <f>ROUND(AK6/AI6-1,4)</f>
        <v>3.5999999999999999E-3</v>
      </c>
    </row>
    <row r="7" spans="1:38" ht="13.5">
      <c r="A7" s="17" t="s">
        <v>421</v>
      </c>
      <c r="B7" s="630">
        <v>25416599</v>
      </c>
      <c r="C7" s="631">
        <v>19265375</v>
      </c>
      <c r="D7" s="1">
        <f t="shared" ref="D7:D14" si="0">ROUND(C7/B7-1,4)</f>
        <v>-0.24199999999999999</v>
      </c>
      <c r="E7" s="631">
        <v>23348803</v>
      </c>
      <c r="F7" s="1">
        <f t="shared" ref="F7:F14" si="1">ROUND(E7/C7-1,4)</f>
        <v>0.21199999999999999</v>
      </c>
      <c r="G7" s="631">
        <f>BASESAL!F55</f>
        <v>20845444</v>
      </c>
      <c r="H7" s="562">
        <f>BASESAL!H55</f>
        <v>21262353</v>
      </c>
      <c r="I7" s="562">
        <f>M200SAL!D71</f>
        <v>-173420</v>
      </c>
      <c r="J7" s="562">
        <f>M200SAL!G71</f>
        <v>-101313</v>
      </c>
      <c r="K7" s="562"/>
      <c r="L7" s="562"/>
      <c r="M7" s="562">
        <f>M300SAL!D74</f>
        <v>0</v>
      </c>
      <c r="N7" s="562">
        <f>M300SAL!G74</f>
        <v>0</v>
      </c>
      <c r="O7" s="562">
        <f>+E670SAL!D73</f>
        <v>0</v>
      </c>
      <c r="P7" s="562">
        <f>+E670SAL!G73</f>
        <v>0</v>
      </c>
      <c r="Q7" s="562">
        <f>E671SAL!D74</f>
        <v>0</v>
      </c>
      <c r="R7" s="562">
        <f>E671SAL!G74</f>
        <v>0</v>
      </c>
      <c r="S7" s="562"/>
      <c r="T7" s="562"/>
      <c r="U7" s="562"/>
      <c r="V7" s="562"/>
      <c r="W7" s="562"/>
      <c r="X7" s="562"/>
      <c r="Y7" s="562"/>
      <c r="Z7" s="562"/>
      <c r="AA7" s="562"/>
      <c r="AB7" s="562"/>
      <c r="AC7" s="562">
        <v>0</v>
      </c>
      <c r="AD7" s="562">
        <v>0</v>
      </c>
      <c r="AE7" s="562">
        <v>0</v>
      </c>
      <c r="AF7" s="562">
        <v>0</v>
      </c>
      <c r="AG7" s="562">
        <v>0</v>
      </c>
      <c r="AH7" s="562">
        <v>0</v>
      </c>
      <c r="AI7" s="562">
        <f t="shared" ref="AI7:AI14" si="2">G7+I7+K7+M7+O7+Q7+S7+U7+W7+Y7+AA7+AG7+AC7+AE7</f>
        <v>20672024</v>
      </c>
      <c r="AJ7" s="1">
        <f>ROUND(AI7/C7,4)-1</f>
        <v>7.2999999999999954E-2</v>
      </c>
      <c r="AK7" s="562">
        <f t="shared" ref="AK7:AK14" si="3">H7+J7+L7+N7+P7+R7+T7+V7+X7+Z7+AB7+AH7+AD7+AF7</f>
        <v>21161040</v>
      </c>
      <c r="AL7" s="555">
        <f>ROUND(AK7/AI7-1,4)</f>
        <v>2.3699999999999999E-2</v>
      </c>
    </row>
    <row r="8" spans="1:38" ht="13.5">
      <c r="A8" s="17" t="s">
        <v>331</v>
      </c>
      <c r="B8" s="630"/>
      <c r="C8" s="631"/>
      <c r="D8" s="1"/>
      <c r="E8" s="631"/>
      <c r="F8" s="1"/>
      <c r="G8" s="631"/>
      <c r="H8" s="562"/>
      <c r="I8" s="562"/>
      <c r="J8" s="562"/>
      <c r="K8" s="562"/>
      <c r="L8" s="562"/>
      <c r="M8" s="562"/>
      <c r="N8" s="562"/>
      <c r="O8" s="562"/>
      <c r="P8" s="562"/>
      <c r="Q8" s="562"/>
      <c r="R8" s="562"/>
      <c r="S8" s="562"/>
      <c r="T8" s="562"/>
      <c r="U8" s="562"/>
      <c r="V8" s="562"/>
      <c r="W8" s="562"/>
      <c r="X8" s="562"/>
      <c r="Y8" s="562"/>
      <c r="Z8" s="562"/>
      <c r="AA8" s="562"/>
      <c r="AB8" s="562"/>
      <c r="AC8" s="562">
        <v>0</v>
      </c>
      <c r="AD8" s="562">
        <v>0</v>
      </c>
      <c r="AE8" s="562">
        <v>0</v>
      </c>
      <c r="AF8" s="562">
        <v>0</v>
      </c>
      <c r="AG8" s="562">
        <v>0</v>
      </c>
      <c r="AH8" s="562">
        <v>0</v>
      </c>
      <c r="AI8" s="562">
        <f t="shared" si="2"/>
        <v>0</v>
      </c>
      <c r="AJ8" s="1"/>
      <c r="AK8" s="562">
        <f t="shared" si="3"/>
        <v>0</v>
      </c>
      <c r="AL8" s="555"/>
    </row>
    <row r="9" spans="1:38" ht="13.5">
      <c r="A9" s="8" t="s">
        <v>326</v>
      </c>
      <c r="B9" s="630">
        <v>387981279</v>
      </c>
      <c r="C9" s="631">
        <v>381217472</v>
      </c>
      <c r="D9" s="1">
        <f t="shared" si="0"/>
        <v>-1.7399999999999999E-2</v>
      </c>
      <c r="E9" s="631">
        <v>384499471</v>
      </c>
      <c r="F9" s="1">
        <f t="shared" si="1"/>
        <v>8.6E-3</v>
      </c>
      <c r="G9" s="631">
        <f>BASESAL!F57</f>
        <v>408830681</v>
      </c>
      <c r="H9" s="562">
        <f>BASESAL!H57</f>
        <v>417007294</v>
      </c>
      <c r="I9" s="562">
        <f>M200SAL!D72</f>
        <v>-404485.34000003338</v>
      </c>
      <c r="J9" s="562">
        <f>M200SAL!G72</f>
        <v>637186.62000000477</v>
      </c>
      <c r="K9" s="562"/>
      <c r="L9" s="562"/>
      <c r="M9" s="562">
        <f>M300SAL!D75</f>
        <v>37666631.340000033</v>
      </c>
      <c r="N9" s="562">
        <f>M300SAL!G75</f>
        <v>38516776.379999995</v>
      </c>
      <c r="O9" s="562">
        <f>E670SAL!D74</f>
        <v>-11152322</v>
      </c>
      <c r="P9" s="562">
        <f>E670SAL!G74</f>
        <v>-11375368</v>
      </c>
      <c r="Q9" s="562">
        <f>E671SAL!D75</f>
        <v>0</v>
      </c>
      <c r="R9" s="562">
        <f>E671SAL!G75</f>
        <v>0</v>
      </c>
      <c r="S9" s="562">
        <f>'E601 SAL'!D75</f>
        <v>-18398368</v>
      </c>
      <c r="T9" s="562">
        <f>'E601 SAL'!G75</f>
        <v>-18814837</v>
      </c>
      <c r="U9" s="562"/>
      <c r="V9" s="562"/>
      <c r="W9" s="562"/>
      <c r="X9" s="562"/>
      <c r="Y9" s="562"/>
      <c r="Z9" s="562"/>
      <c r="AA9" s="562"/>
      <c r="AB9" s="562"/>
      <c r="AC9" s="562">
        <v>0</v>
      </c>
      <c r="AD9" s="562">
        <v>0</v>
      </c>
      <c r="AE9" s="562">
        <v>0</v>
      </c>
      <c r="AF9" s="562">
        <v>0</v>
      </c>
      <c r="AG9" s="562">
        <v>0</v>
      </c>
      <c r="AH9" s="562">
        <v>0</v>
      </c>
      <c r="AI9" s="562">
        <f t="shared" si="2"/>
        <v>416542137</v>
      </c>
      <c r="AJ9" s="1">
        <f t="shared" ref="AJ9:AJ14" si="4">ROUND(AI9/C9,4)-1</f>
        <v>9.2700000000000005E-2</v>
      </c>
      <c r="AK9" s="562">
        <f t="shared" si="3"/>
        <v>425971052</v>
      </c>
      <c r="AL9" s="555">
        <f t="shared" ref="AL9:AL15" si="5">ROUND(AK9/AI9-1,4)</f>
        <v>2.2599999999999999E-2</v>
      </c>
    </row>
    <row r="10" spans="1:38" ht="13.5">
      <c r="A10" s="8" t="s">
        <v>484</v>
      </c>
      <c r="B10" s="630">
        <v>14085077</v>
      </c>
      <c r="C10" s="631">
        <v>7794417</v>
      </c>
      <c r="D10" s="1">
        <f t="shared" si="0"/>
        <v>-0.4466</v>
      </c>
      <c r="E10" s="631">
        <v>9375209</v>
      </c>
      <c r="F10" s="1">
        <f t="shared" si="1"/>
        <v>0.20280000000000001</v>
      </c>
      <c r="G10" s="631">
        <f>BASESAL!F58</f>
        <v>7983749</v>
      </c>
      <c r="H10" s="562">
        <f>BASESAL!H58</f>
        <v>8140462</v>
      </c>
      <c r="I10" s="562">
        <f>M200SAL!D73</f>
        <v>-9607</v>
      </c>
      <c r="J10" s="562">
        <f>M200SAL!G73</f>
        <v>10961</v>
      </c>
      <c r="K10" s="562"/>
      <c r="L10" s="562"/>
      <c r="M10" s="562">
        <f>M300SAL!D76</f>
        <v>-87109</v>
      </c>
      <c r="N10" s="562">
        <f>M300SAL!G76</f>
        <v>-89075</v>
      </c>
      <c r="O10" s="562">
        <f>+E670SAL!D75</f>
        <v>-191397</v>
      </c>
      <c r="P10" s="562">
        <f>+E670SAL!G75</f>
        <v>-195225</v>
      </c>
      <c r="Q10" s="562">
        <f>E671SAL!D76</f>
        <v>0</v>
      </c>
      <c r="R10" s="562">
        <f>E671SAL!G76</f>
        <v>0</v>
      </c>
      <c r="S10" s="562">
        <f>'E601 SAL'!D76</f>
        <v>-315755</v>
      </c>
      <c r="T10" s="562">
        <f>'E601 SAL'!G76</f>
        <v>-322902</v>
      </c>
      <c r="U10" s="562"/>
      <c r="V10" s="562"/>
      <c r="W10" s="562"/>
      <c r="X10" s="562"/>
      <c r="Y10" s="562"/>
      <c r="Z10" s="562"/>
      <c r="AA10" s="562"/>
      <c r="AB10" s="562"/>
      <c r="AC10" s="562">
        <v>0</v>
      </c>
      <c r="AD10" s="562">
        <v>0</v>
      </c>
      <c r="AE10" s="562">
        <v>0</v>
      </c>
      <c r="AF10" s="562">
        <v>0</v>
      </c>
      <c r="AG10" s="562">
        <v>0</v>
      </c>
      <c r="AH10" s="562">
        <v>0</v>
      </c>
      <c r="AI10" s="562">
        <f t="shared" si="2"/>
        <v>7379881</v>
      </c>
      <c r="AJ10" s="1">
        <f t="shared" si="4"/>
        <v>-5.3200000000000025E-2</v>
      </c>
      <c r="AK10" s="562">
        <f t="shared" si="3"/>
        <v>7544221</v>
      </c>
      <c r="AL10" s="555">
        <f t="shared" si="5"/>
        <v>2.23E-2</v>
      </c>
    </row>
    <row r="11" spans="1:38" ht="13.5">
      <c r="A11" s="8" t="s">
        <v>327</v>
      </c>
      <c r="B11" s="630">
        <v>1499168</v>
      </c>
      <c r="C11" s="631">
        <v>6869299</v>
      </c>
      <c r="D11" s="1">
        <f t="shared" si="0"/>
        <v>3.5821000000000001</v>
      </c>
      <c r="E11" s="631">
        <v>6488035</v>
      </c>
      <c r="F11" s="1">
        <f t="shared" si="1"/>
        <v>-5.5500000000000001E-2</v>
      </c>
      <c r="G11" s="631">
        <f>BASESAL!F59</f>
        <v>7035728</v>
      </c>
      <c r="H11" s="562">
        <f>BASESAL!H59</f>
        <v>7173832</v>
      </c>
      <c r="I11" s="562">
        <f>M200SAL!D74</f>
        <v>-8466</v>
      </c>
      <c r="J11" s="562">
        <f>M200SAL!G74</f>
        <v>9660</v>
      </c>
      <c r="K11" s="562"/>
      <c r="L11" s="562"/>
      <c r="M11" s="562">
        <f>M300SAL!D77</f>
        <v>-76766</v>
      </c>
      <c r="N11" s="562">
        <f>M300SAL!G77</f>
        <v>-78498</v>
      </c>
      <c r="O11" s="562">
        <f>+E670SAL!D76</f>
        <v>-168670</v>
      </c>
      <c r="P11" s="562">
        <f>+E670SAL!G76</f>
        <v>-172044</v>
      </c>
      <c r="Q11" s="562">
        <f>E671SAL!D77</f>
        <v>0</v>
      </c>
      <c r="R11" s="562">
        <f>E671SAL!G77</f>
        <v>0</v>
      </c>
      <c r="S11" s="562">
        <f>'E601 SAL'!D77</f>
        <v>-278260</v>
      </c>
      <c r="T11" s="562">
        <f>'E601 SAL'!G77</f>
        <v>-284559</v>
      </c>
      <c r="U11" s="562"/>
      <c r="V11" s="562"/>
      <c r="W11" s="562"/>
      <c r="X11" s="562"/>
      <c r="Y11" s="562"/>
      <c r="Z11" s="562"/>
      <c r="AA11" s="562"/>
      <c r="AB11" s="562"/>
      <c r="AC11" s="562">
        <v>0</v>
      </c>
      <c r="AD11" s="562">
        <v>0</v>
      </c>
      <c r="AE11" s="562">
        <v>0</v>
      </c>
      <c r="AF11" s="562">
        <v>0</v>
      </c>
      <c r="AG11" s="562">
        <v>0</v>
      </c>
      <c r="AH11" s="562">
        <v>0</v>
      </c>
      <c r="AI11" s="562">
        <f t="shared" si="2"/>
        <v>6503566</v>
      </c>
      <c r="AJ11" s="1">
        <f t="shared" si="4"/>
        <v>-5.3200000000000025E-2</v>
      </c>
      <c r="AK11" s="562">
        <f t="shared" si="3"/>
        <v>6648391</v>
      </c>
      <c r="AL11" s="555">
        <f t="shared" si="5"/>
        <v>2.23E-2</v>
      </c>
    </row>
    <row r="12" spans="1:38" ht="13.5">
      <c r="A12" s="8" t="s">
        <v>328</v>
      </c>
      <c r="B12" s="630">
        <v>24848431</v>
      </c>
      <c r="C12" s="631">
        <v>24924833</v>
      </c>
      <c r="D12" s="1">
        <f t="shared" si="0"/>
        <v>3.0999999999999999E-3</v>
      </c>
      <c r="E12" s="631">
        <v>26283600</v>
      </c>
      <c r="F12" s="1">
        <f t="shared" si="1"/>
        <v>5.45E-2</v>
      </c>
      <c r="G12" s="631">
        <f>BASESAL!F60</f>
        <v>25529978</v>
      </c>
      <c r="H12" s="562">
        <f>BASESAL!H60</f>
        <v>26031104</v>
      </c>
      <c r="I12" s="562">
        <f>M200SAL!D75</f>
        <v>-30722</v>
      </c>
      <c r="J12" s="562">
        <f>M200SAL!G75</f>
        <v>35051</v>
      </c>
      <c r="K12" s="562"/>
      <c r="L12" s="562"/>
      <c r="M12" s="562">
        <f>M300SAL!D78</f>
        <v>-278552</v>
      </c>
      <c r="N12" s="562">
        <f>M300SAL!G78</f>
        <v>-284838</v>
      </c>
      <c r="O12" s="562">
        <f>+E670SAL!D77</f>
        <v>-612039</v>
      </c>
      <c r="P12" s="562">
        <f>+E670SAL!G77</f>
        <v>-624280</v>
      </c>
      <c r="Q12" s="562">
        <f>E671SAL!D78</f>
        <v>0</v>
      </c>
      <c r="R12" s="562">
        <f>E671SAL!G78</f>
        <v>0</v>
      </c>
      <c r="S12" s="562">
        <f>'E601 SAL'!D78</f>
        <v>-1009703</v>
      </c>
      <c r="T12" s="562">
        <f>'E601 SAL'!G78</f>
        <v>-1032558</v>
      </c>
      <c r="U12" s="562"/>
      <c r="V12" s="562"/>
      <c r="W12" s="562"/>
      <c r="X12" s="562"/>
      <c r="Y12" s="562"/>
      <c r="Z12" s="562"/>
      <c r="AA12" s="562"/>
      <c r="AB12" s="562"/>
      <c r="AC12" s="562">
        <v>0</v>
      </c>
      <c r="AD12" s="562">
        <v>0</v>
      </c>
      <c r="AE12" s="562">
        <v>0</v>
      </c>
      <c r="AF12" s="562">
        <v>0</v>
      </c>
      <c r="AG12" s="562">
        <v>0</v>
      </c>
      <c r="AH12" s="562">
        <v>0</v>
      </c>
      <c r="AI12" s="562">
        <f t="shared" si="2"/>
        <v>23598962</v>
      </c>
      <c r="AJ12" s="1">
        <f t="shared" si="4"/>
        <v>-5.3200000000000025E-2</v>
      </c>
      <c r="AK12" s="562">
        <f t="shared" si="3"/>
        <v>24124479</v>
      </c>
      <c r="AL12" s="555">
        <f t="shared" si="5"/>
        <v>2.23E-2</v>
      </c>
    </row>
    <row r="13" spans="1:38" ht="13.5">
      <c r="A13" s="8" t="s">
        <v>462</v>
      </c>
      <c r="B13" s="630">
        <v>255724363</v>
      </c>
      <c r="C13" s="631">
        <v>251025893</v>
      </c>
      <c r="D13" s="1">
        <f t="shared" si="0"/>
        <v>-1.84E-2</v>
      </c>
      <c r="E13" s="631">
        <v>260273017</v>
      </c>
      <c r="F13" s="1">
        <f t="shared" si="1"/>
        <v>3.6799999999999999E-2</v>
      </c>
      <c r="G13" s="631">
        <f>BASESAL!F61</f>
        <v>249272063</v>
      </c>
      <c r="H13" s="562">
        <f>BASESAL!H61</f>
        <v>249272063</v>
      </c>
      <c r="I13" s="562">
        <f>M200SAL!D76</f>
        <v>-343729</v>
      </c>
      <c r="J13" s="562">
        <f>M200SAL!G76</f>
        <v>548403</v>
      </c>
      <c r="K13" s="562"/>
      <c r="L13" s="562"/>
      <c r="M13" s="562">
        <f>M300SAL!D79</f>
        <v>0</v>
      </c>
      <c r="N13" s="562">
        <f>M300SAL!G79</f>
        <v>0</v>
      </c>
      <c r="O13" s="562">
        <f>+E670SAL!D78</f>
        <v>0</v>
      </c>
      <c r="P13" s="562">
        <f>+E670SAL!G78</f>
        <v>0</v>
      </c>
      <c r="Q13" s="562">
        <f>E671SAL!D79</f>
        <v>0</v>
      </c>
      <c r="R13" s="562">
        <f>E671SAL!G79</f>
        <v>0</v>
      </c>
      <c r="S13" s="562"/>
      <c r="T13" s="562"/>
      <c r="U13" s="562"/>
      <c r="V13" s="562"/>
      <c r="W13" s="562"/>
      <c r="X13" s="562"/>
      <c r="Y13" s="562"/>
      <c r="Z13" s="562"/>
      <c r="AA13" s="562">
        <v>0</v>
      </c>
      <c r="AB13" s="562">
        <v>0</v>
      </c>
      <c r="AC13" s="562">
        <v>0</v>
      </c>
      <c r="AD13" s="562">
        <v>0</v>
      </c>
      <c r="AE13" s="562">
        <v>0</v>
      </c>
      <c r="AF13" s="562">
        <v>0</v>
      </c>
      <c r="AG13" s="562">
        <v>0</v>
      </c>
      <c r="AH13" s="562">
        <v>0</v>
      </c>
      <c r="AI13" s="562">
        <f t="shared" si="2"/>
        <v>248928334</v>
      </c>
      <c r="AJ13" s="1">
        <f t="shared" si="4"/>
        <v>-8.3999999999999631E-3</v>
      </c>
      <c r="AK13" s="562">
        <f t="shared" si="3"/>
        <v>249820466</v>
      </c>
      <c r="AL13" s="555">
        <f t="shared" si="5"/>
        <v>3.5999999999999999E-3</v>
      </c>
    </row>
    <row r="14" spans="1:38" ht="13.5">
      <c r="A14" s="8" t="s">
        <v>330</v>
      </c>
      <c r="B14" s="632">
        <v>9998816</v>
      </c>
      <c r="C14" s="633">
        <v>8233092</v>
      </c>
      <c r="D14" s="556">
        <f t="shared" si="0"/>
        <v>-0.17660000000000001</v>
      </c>
      <c r="E14" s="633">
        <v>8594046</v>
      </c>
      <c r="F14" s="556">
        <f t="shared" si="1"/>
        <v>4.3799999999999999E-2</v>
      </c>
      <c r="G14" s="633">
        <f>BASESAL!F62</f>
        <v>8434255</v>
      </c>
      <c r="H14" s="666">
        <f>BASESAL!H62</f>
        <v>8599811</v>
      </c>
      <c r="I14" s="666">
        <f>M200SAL!D77</f>
        <v>-10149</v>
      </c>
      <c r="J14" s="666">
        <f>M200SAL!G77</f>
        <v>11580</v>
      </c>
      <c r="K14" s="666"/>
      <c r="L14" s="666"/>
      <c r="M14" s="666">
        <f>M300SAL!D80</f>
        <v>-92024</v>
      </c>
      <c r="N14" s="666">
        <f>M300SAL!G80</f>
        <v>-94102</v>
      </c>
      <c r="O14" s="666">
        <f>+E670SAL!D79</f>
        <v>-202198</v>
      </c>
      <c r="P14" s="666">
        <f>+E670SAL!G79</f>
        <v>-206241</v>
      </c>
      <c r="Q14" s="666">
        <f>E671SAL!D80</f>
        <v>0</v>
      </c>
      <c r="R14" s="666">
        <f>E671SAL!G80</f>
        <v>0</v>
      </c>
      <c r="S14" s="666">
        <f>'E601 SAL'!D80</f>
        <v>-333572</v>
      </c>
      <c r="T14" s="666">
        <f>'E601 SAL'!G80</f>
        <v>-341123</v>
      </c>
      <c r="U14" s="666"/>
      <c r="V14" s="666"/>
      <c r="W14" s="666"/>
      <c r="X14" s="666"/>
      <c r="Y14" s="666"/>
      <c r="Z14" s="666"/>
      <c r="AA14" s="666"/>
      <c r="AB14" s="666"/>
      <c r="AC14" s="666">
        <v>0</v>
      </c>
      <c r="AD14" s="666">
        <v>0</v>
      </c>
      <c r="AE14" s="666">
        <v>0</v>
      </c>
      <c r="AF14" s="666">
        <v>0</v>
      </c>
      <c r="AG14" s="666">
        <v>0</v>
      </c>
      <c r="AH14" s="666">
        <v>0</v>
      </c>
      <c r="AI14" s="562">
        <f t="shared" si="2"/>
        <v>7796312</v>
      </c>
      <c r="AJ14" s="556">
        <f t="shared" si="4"/>
        <v>-5.3100000000000036E-2</v>
      </c>
      <c r="AK14" s="562">
        <f t="shared" si="3"/>
        <v>7969925</v>
      </c>
      <c r="AL14" s="561">
        <f t="shared" si="5"/>
        <v>2.23E-2</v>
      </c>
    </row>
    <row r="15" spans="1:38" ht="13.5">
      <c r="A15" s="8" t="s">
        <v>59</v>
      </c>
      <c r="B15" s="632">
        <f>SUM(B9:B14)</f>
        <v>694137134</v>
      </c>
      <c r="C15" s="633">
        <f>SUM(C9:C14)</f>
        <v>680065006</v>
      </c>
      <c r="D15" s="556">
        <f>ROUND(C15/B15-1,4)</f>
        <v>-2.0299999999999999E-2</v>
      </c>
      <c r="E15" s="633">
        <f>SUM(E9:E14)</f>
        <v>695513378</v>
      </c>
      <c r="F15" s="556">
        <f>ROUND(E15/C15-1,4)</f>
        <v>2.2700000000000001E-2</v>
      </c>
      <c r="G15" s="633">
        <f t="shared" ref="G15:P15" si="6">SUM(G9:G14)</f>
        <v>707086454</v>
      </c>
      <c r="H15" s="633">
        <f t="shared" si="6"/>
        <v>716224566</v>
      </c>
      <c r="I15" s="633">
        <f t="shared" si="6"/>
        <v>-807158.34000003338</v>
      </c>
      <c r="J15" s="633">
        <f t="shared" si="6"/>
        <v>1252841.6200000048</v>
      </c>
      <c r="K15" s="633">
        <f t="shared" si="6"/>
        <v>0</v>
      </c>
      <c r="L15" s="633">
        <f t="shared" si="6"/>
        <v>0</v>
      </c>
      <c r="M15" s="633">
        <f t="shared" si="6"/>
        <v>37132180.340000033</v>
      </c>
      <c r="N15" s="633">
        <f t="shared" si="6"/>
        <v>37970263.379999995</v>
      </c>
      <c r="O15" s="633">
        <f t="shared" si="6"/>
        <v>-12326626</v>
      </c>
      <c r="P15" s="633">
        <f t="shared" si="6"/>
        <v>-12573158</v>
      </c>
      <c r="Q15" s="633">
        <f t="shared" ref="Q15:V15" si="7">SUM(Q9:Q14)</f>
        <v>0</v>
      </c>
      <c r="R15" s="633">
        <f t="shared" si="7"/>
        <v>0</v>
      </c>
      <c r="S15" s="633">
        <f t="shared" si="7"/>
        <v>-20335658</v>
      </c>
      <c r="T15" s="633">
        <f t="shared" si="7"/>
        <v>-20795979</v>
      </c>
      <c r="U15" s="633">
        <f t="shared" si="7"/>
        <v>0</v>
      </c>
      <c r="V15" s="633">
        <f t="shared" si="7"/>
        <v>0</v>
      </c>
      <c r="W15" s="633">
        <f t="shared" ref="W15:AB15" si="8">SUM(W9:W14)</f>
        <v>0</v>
      </c>
      <c r="X15" s="633">
        <f t="shared" si="8"/>
        <v>0</v>
      </c>
      <c r="Y15" s="633">
        <f t="shared" si="8"/>
        <v>0</v>
      </c>
      <c r="Z15" s="633">
        <f t="shared" si="8"/>
        <v>0</v>
      </c>
      <c r="AA15" s="633">
        <f t="shared" si="8"/>
        <v>0</v>
      </c>
      <c r="AB15" s="633">
        <f t="shared" si="8"/>
        <v>0</v>
      </c>
      <c r="AC15" s="633">
        <f t="shared" ref="AC15:AH15" si="9">SUM(AC9:AC14)</f>
        <v>0</v>
      </c>
      <c r="AD15" s="633">
        <f t="shared" si="9"/>
        <v>0</v>
      </c>
      <c r="AE15" s="633">
        <f t="shared" si="9"/>
        <v>0</v>
      </c>
      <c r="AF15" s="633">
        <f t="shared" si="9"/>
        <v>0</v>
      </c>
      <c r="AG15" s="633">
        <f t="shared" si="9"/>
        <v>0</v>
      </c>
      <c r="AH15" s="633">
        <f t="shared" si="9"/>
        <v>0</v>
      </c>
      <c r="AI15" s="750">
        <f>G15+I15+K15+M15+O15+Q15+S15+U15+W15+Y15+AA15+AG15+AC15+AE15</f>
        <v>710749192</v>
      </c>
      <c r="AJ15" s="556">
        <f>ROUND(AI15/C15-1,4)</f>
        <v>4.5100000000000001E-2</v>
      </c>
      <c r="AK15" s="750">
        <f>(H15+L15+J15+N15+P15+R15+T15+V15+X15+Z15+AB15+AH15+AF15)</f>
        <v>722078534</v>
      </c>
      <c r="AL15" s="561">
        <f t="shared" si="5"/>
        <v>1.5900000000000001E-2</v>
      </c>
    </row>
    <row r="16" spans="1:38" ht="13.5">
      <c r="A16" s="8" t="s">
        <v>242</v>
      </c>
      <c r="B16" s="634">
        <f>+B5+B6+B7+B15</f>
        <v>2572694720</v>
      </c>
      <c r="C16" s="635">
        <f>+C5+C6+C7+C15</f>
        <v>2592288764</v>
      </c>
      <c r="D16" s="557"/>
      <c r="E16" s="635">
        <f>+E5+E6+E7+E15</f>
        <v>2606542832</v>
      </c>
      <c r="F16" s="557"/>
      <c r="G16" s="635">
        <f t="shared" ref="G16:AI16" si="10">+G5+G6+G7+G15</f>
        <v>2665808069</v>
      </c>
      <c r="H16" s="635">
        <f t="shared" si="10"/>
        <v>2713393851</v>
      </c>
      <c r="I16" s="635">
        <f t="shared" si="10"/>
        <v>-3164212.3400000334</v>
      </c>
      <c r="J16" s="635">
        <f t="shared" si="10"/>
        <v>3942038.6200000048</v>
      </c>
      <c r="K16" s="635">
        <f t="shared" si="10"/>
        <v>0</v>
      </c>
      <c r="L16" s="635">
        <f t="shared" si="10"/>
        <v>0</v>
      </c>
      <c r="M16" s="635">
        <f t="shared" si="10"/>
        <v>15761042.195000052</v>
      </c>
      <c r="N16" s="635">
        <f t="shared" si="10"/>
        <v>16116773.11499989</v>
      </c>
      <c r="O16" s="635">
        <f t="shared" si="10"/>
        <v>-59283769.502500057</v>
      </c>
      <c r="P16" s="635">
        <f t="shared" si="10"/>
        <v>-60469444.926249981</v>
      </c>
      <c r="Q16" s="635">
        <f>+Q5+Q6+Q7+Q15</f>
        <v>0</v>
      </c>
      <c r="R16" s="635">
        <f>+R5+R6+R7+R15</f>
        <v>0</v>
      </c>
      <c r="S16" s="635">
        <f t="shared" si="10"/>
        <v>-97802471.756150007</v>
      </c>
      <c r="T16" s="635">
        <f t="shared" si="10"/>
        <v>-100016344.15102482</v>
      </c>
      <c r="U16" s="635">
        <f t="shared" si="10"/>
        <v>0</v>
      </c>
      <c r="V16" s="635">
        <f t="shared" si="10"/>
        <v>0</v>
      </c>
      <c r="W16" s="635">
        <f>+W5+W6+W7+W15</f>
        <v>0</v>
      </c>
      <c r="X16" s="635">
        <f>+X5+X6+X7+X15</f>
        <v>0</v>
      </c>
      <c r="Y16" s="635">
        <f t="shared" si="10"/>
        <v>0</v>
      </c>
      <c r="Z16" s="635">
        <f t="shared" si="10"/>
        <v>0</v>
      </c>
      <c r="AA16" s="635">
        <f t="shared" si="10"/>
        <v>0</v>
      </c>
      <c r="AB16" s="635">
        <f t="shared" si="10"/>
        <v>0</v>
      </c>
      <c r="AC16" s="635">
        <f t="shared" ref="AC16:AH16" si="11">+AC5+AC6+AC7+AC15</f>
        <v>0</v>
      </c>
      <c r="AD16" s="635">
        <f t="shared" si="11"/>
        <v>0</v>
      </c>
      <c r="AE16" s="635">
        <f t="shared" si="11"/>
        <v>0</v>
      </c>
      <c r="AF16" s="635">
        <f t="shared" si="11"/>
        <v>0</v>
      </c>
      <c r="AG16" s="635">
        <f t="shared" si="11"/>
        <v>0</v>
      </c>
      <c r="AH16" s="635">
        <f t="shared" si="11"/>
        <v>0</v>
      </c>
      <c r="AI16" s="635">
        <f t="shared" si="10"/>
        <v>2521318657.5963497</v>
      </c>
      <c r="AJ16" s="557"/>
      <c r="AK16" s="635">
        <f>+AK5+AK6+AK7+AK15</f>
        <v>2572966873.6577253</v>
      </c>
      <c r="AL16" s="558"/>
    </row>
    <row r="17" spans="1:40" ht="13.5">
      <c r="A17" s="8"/>
      <c r="B17" s="636"/>
      <c r="C17" s="637"/>
      <c r="D17" s="559"/>
      <c r="E17" s="637"/>
      <c r="F17" s="559"/>
      <c r="G17" s="637"/>
      <c r="H17" s="637"/>
      <c r="I17" s="637"/>
      <c r="J17" s="637"/>
      <c r="K17" s="637"/>
      <c r="L17" s="637"/>
      <c r="M17" s="637"/>
      <c r="N17" s="637"/>
      <c r="O17" s="637"/>
      <c r="P17" s="637"/>
      <c r="Q17" s="637"/>
      <c r="R17" s="637"/>
      <c r="S17" s="637"/>
      <c r="T17" s="637"/>
      <c r="U17" s="637"/>
      <c r="V17" s="637"/>
      <c r="W17" s="637"/>
      <c r="X17" s="637"/>
      <c r="Y17" s="637"/>
      <c r="Z17" s="637"/>
      <c r="AA17" s="637"/>
      <c r="AB17" s="637"/>
      <c r="AC17" s="637"/>
      <c r="AD17" s="637"/>
      <c r="AE17" s="637"/>
      <c r="AF17" s="637"/>
      <c r="AG17" s="637"/>
      <c r="AH17" s="637"/>
      <c r="AI17" s="637"/>
      <c r="AJ17" s="559"/>
      <c r="AK17" s="812"/>
      <c r="AL17" s="560"/>
    </row>
    <row r="18" spans="1:40" ht="13.5" hidden="1">
      <c r="A18" s="8" t="s">
        <v>371</v>
      </c>
      <c r="B18" s="638">
        <v>0</v>
      </c>
      <c r="C18" s="639">
        <v>0</v>
      </c>
      <c r="D18" s="1" t="e">
        <f>ROUND(C18/B18-1,4)</f>
        <v>#DIV/0!</v>
      </c>
      <c r="E18" s="639">
        <v>0</v>
      </c>
      <c r="F18" s="1" t="e">
        <f>ROUND(E18/C18-1,4)</f>
        <v>#DIV/0!</v>
      </c>
      <c r="G18" s="639">
        <f>C18</f>
        <v>0</v>
      </c>
      <c r="H18" s="639">
        <f>G18</f>
        <v>0</v>
      </c>
      <c r="I18" s="639"/>
      <c r="J18" s="639"/>
      <c r="K18" s="639"/>
      <c r="L18" s="639"/>
      <c r="M18" s="639"/>
      <c r="N18" s="639"/>
      <c r="O18" s="639"/>
      <c r="P18" s="639"/>
      <c r="Q18" s="639"/>
      <c r="R18" s="639"/>
      <c r="S18" s="639"/>
      <c r="T18" s="639"/>
      <c r="U18" s="639"/>
      <c r="V18" s="639"/>
      <c r="W18" s="639"/>
      <c r="X18" s="639"/>
      <c r="Y18" s="639"/>
      <c r="Z18" s="639"/>
      <c r="AA18" s="639"/>
      <c r="AB18" s="639"/>
      <c r="AC18" s="639"/>
      <c r="AD18" s="639"/>
      <c r="AE18" s="639"/>
      <c r="AF18" s="639"/>
      <c r="AG18" s="639"/>
      <c r="AH18" s="639"/>
      <c r="AI18" s="562">
        <f>(G18+K18+I18+M18+O18+Q18+S18+U18+W18+Y18+AA18)</f>
        <v>0</v>
      </c>
      <c r="AJ18" s="1" t="e">
        <f>ROUND(AI18/C18,4)-1</f>
        <v>#DIV/0!</v>
      </c>
      <c r="AK18" s="562">
        <f>(H18+L18+J18+N18+P18+R18+T18+V18+X18+Z18+AB18)</f>
        <v>0</v>
      </c>
      <c r="AL18" s="555" t="e">
        <f>ROUND(AK18/AI18-1,4)</f>
        <v>#DIV/0!</v>
      </c>
    </row>
    <row r="19" spans="1:40" ht="13.5">
      <c r="A19" s="8" t="s">
        <v>329</v>
      </c>
      <c r="B19" s="630">
        <v>36645582</v>
      </c>
      <c r="C19" s="631">
        <v>27980315</v>
      </c>
      <c r="D19" s="1">
        <f>ROUND(C19/B19-1,4)</f>
        <v>-0.23649999999999999</v>
      </c>
      <c r="E19" s="631">
        <f>25660901+3759244</f>
        <v>29420145</v>
      </c>
      <c r="F19" s="1">
        <f>ROUND(E19/C19-1,4)</f>
        <v>5.1499999999999997E-2</v>
      </c>
      <c r="G19" s="631">
        <v>27062825</v>
      </c>
      <c r="H19" s="631">
        <v>27118499</v>
      </c>
      <c r="I19" s="562"/>
      <c r="J19" s="562"/>
      <c r="K19" s="562"/>
      <c r="L19" s="562"/>
      <c r="M19" s="562"/>
      <c r="N19" s="562"/>
      <c r="O19" s="562"/>
      <c r="P19" s="562"/>
      <c r="Q19" s="562"/>
      <c r="R19" s="562"/>
      <c r="S19" s="562"/>
      <c r="T19" s="562"/>
      <c r="U19" s="562"/>
      <c r="V19" s="562"/>
      <c r="W19" s="562"/>
      <c r="X19" s="562"/>
      <c r="Y19" s="562"/>
      <c r="Z19" s="562"/>
      <c r="AA19" s="562">
        <v>0</v>
      </c>
      <c r="AB19" s="562">
        <v>0</v>
      </c>
      <c r="AC19" s="562"/>
      <c r="AD19" s="562"/>
      <c r="AE19" s="562"/>
      <c r="AF19" s="562"/>
      <c r="AG19" s="562"/>
      <c r="AH19" s="562"/>
      <c r="AI19" s="562">
        <f>G19+I19+K19+M19+O19+Q19+S19+U19+W19+Y19+AA19+AG19+AC19+AE19</f>
        <v>27062825</v>
      </c>
      <c r="AJ19" s="1">
        <f>ROUND(AI19/C19,4)-1</f>
        <v>-3.2800000000000051E-2</v>
      </c>
      <c r="AK19" s="562">
        <f>H19+J19+L19+N19+P19+R19+T19+V19+X19+Z19+AB19+AH19+AD19+AF19</f>
        <v>27118499</v>
      </c>
      <c r="AL19" s="555">
        <f>ROUND(AK19/AI19-1,4)</f>
        <v>2.0999999999999999E-3</v>
      </c>
    </row>
    <row r="20" spans="1:40" ht="13.5">
      <c r="A20" s="8"/>
      <c r="B20" s="632"/>
      <c r="C20" s="633"/>
      <c r="D20" s="556"/>
      <c r="E20" s="633"/>
      <c r="F20" s="556"/>
      <c r="G20" s="633"/>
      <c r="H20" s="666"/>
      <c r="I20" s="666"/>
      <c r="J20" s="666"/>
      <c r="K20" s="666"/>
      <c r="L20" s="666"/>
      <c r="M20" s="666"/>
      <c r="N20" s="666"/>
      <c r="O20" s="666"/>
      <c r="P20" s="666"/>
      <c r="Q20" s="666"/>
      <c r="R20" s="666"/>
      <c r="S20" s="666"/>
      <c r="T20" s="666"/>
      <c r="U20" s="666"/>
      <c r="V20" s="666"/>
      <c r="W20" s="666"/>
      <c r="X20" s="666"/>
      <c r="Y20" s="666"/>
      <c r="Z20" s="666"/>
      <c r="AA20" s="666"/>
      <c r="AB20" s="666"/>
      <c r="AC20" s="666"/>
      <c r="AD20" s="666"/>
      <c r="AE20" s="666"/>
      <c r="AF20" s="666"/>
      <c r="AG20" s="666"/>
      <c r="AH20" s="666"/>
      <c r="AI20" s="666"/>
      <c r="AJ20" s="556"/>
      <c r="AK20" s="666"/>
      <c r="AL20" s="561"/>
    </row>
    <row r="21" spans="1:40" ht="13.5">
      <c r="A21" s="18" t="s">
        <v>419</v>
      </c>
      <c r="B21" s="634">
        <f>SUM(B16:B20)</f>
        <v>2609340302</v>
      </c>
      <c r="C21" s="635">
        <f>SUM(C16:C20)</f>
        <v>2620269079</v>
      </c>
      <c r="D21" s="553">
        <f>ROUND(C21/B21-1,4)</f>
        <v>4.1999999999999997E-3</v>
      </c>
      <c r="E21" s="635">
        <f>SUM(E16:E20)</f>
        <v>2635962977</v>
      </c>
      <c r="F21" s="553">
        <f>ROUND(E21/C21-1,4)</f>
        <v>6.0000000000000001E-3</v>
      </c>
      <c r="G21" s="635">
        <f t="shared" ref="G21:AI21" si="12">SUM(G16:G20)</f>
        <v>2692870894</v>
      </c>
      <c r="H21" s="635">
        <f t="shared" si="12"/>
        <v>2740512350</v>
      </c>
      <c r="I21" s="635">
        <f t="shared" si="12"/>
        <v>-3164212.3400000334</v>
      </c>
      <c r="J21" s="635">
        <f t="shared" si="12"/>
        <v>3942038.6200000048</v>
      </c>
      <c r="K21" s="635">
        <f t="shared" si="12"/>
        <v>0</v>
      </c>
      <c r="L21" s="635">
        <f t="shared" si="12"/>
        <v>0</v>
      </c>
      <c r="M21" s="635">
        <f t="shared" si="12"/>
        <v>15761042.195000052</v>
      </c>
      <c r="N21" s="635">
        <f t="shared" si="12"/>
        <v>16116773.11499989</v>
      </c>
      <c r="O21" s="635">
        <f t="shared" si="12"/>
        <v>-59283769.502500057</v>
      </c>
      <c r="P21" s="635">
        <f t="shared" si="12"/>
        <v>-60469444.926249981</v>
      </c>
      <c r="Q21" s="635">
        <f t="shared" si="12"/>
        <v>0</v>
      </c>
      <c r="R21" s="635">
        <f t="shared" si="12"/>
        <v>0</v>
      </c>
      <c r="S21" s="635">
        <f t="shared" si="12"/>
        <v>-97802471.756150007</v>
      </c>
      <c r="T21" s="635">
        <f t="shared" si="12"/>
        <v>-100016344.15102482</v>
      </c>
      <c r="U21" s="635">
        <f t="shared" si="12"/>
        <v>0</v>
      </c>
      <c r="V21" s="635">
        <f t="shared" si="12"/>
        <v>0</v>
      </c>
      <c r="W21" s="635">
        <f>SUM(W16:W20)</f>
        <v>0</v>
      </c>
      <c r="X21" s="635">
        <f>SUM(X16:X20)</f>
        <v>0</v>
      </c>
      <c r="Y21" s="635">
        <f t="shared" si="12"/>
        <v>0</v>
      </c>
      <c r="Z21" s="635">
        <f t="shared" si="12"/>
        <v>0</v>
      </c>
      <c r="AA21" s="635">
        <f t="shared" si="12"/>
        <v>0</v>
      </c>
      <c r="AB21" s="635">
        <f t="shared" si="12"/>
        <v>0</v>
      </c>
      <c r="AC21" s="635">
        <f t="shared" ref="AC21:AH21" si="13">SUM(AC16:AC20)</f>
        <v>0</v>
      </c>
      <c r="AD21" s="635">
        <f t="shared" si="13"/>
        <v>0</v>
      </c>
      <c r="AE21" s="635">
        <f t="shared" si="13"/>
        <v>0</v>
      </c>
      <c r="AF21" s="635">
        <f t="shared" si="13"/>
        <v>0</v>
      </c>
      <c r="AG21" s="635">
        <f t="shared" si="13"/>
        <v>0</v>
      </c>
      <c r="AH21" s="635">
        <f t="shared" si="13"/>
        <v>0</v>
      </c>
      <c r="AI21" s="635">
        <f t="shared" si="12"/>
        <v>2548381482.5963497</v>
      </c>
      <c r="AJ21" s="557">
        <f>ROUND(AI21/C21-1,4)</f>
        <v>-2.7400000000000001E-2</v>
      </c>
      <c r="AK21" s="635">
        <f>SUM(AK16:AK20)</f>
        <v>2600085372.6577253</v>
      </c>
      <c r="AL21" s="558">
        <f>ROUND(AK21/AI21-1,4)</f>
        <v>2.0299999999999999E-2</v>
      </c>
    </row>
    <row r="22" spans="1:40" ht="14.25" customHeight="1">
      <c r="A22" s="8" t="s">
        <v>342</v>
      </c>
      <c r="B22" s="726">
        <f>B15/B5</f>
        <v>0.38269039527675469</v>
      </c>
      <c r="C22" s="724">
        <f>C15/C5</f>
        <v>0.36629192317103554</v>
      </c>
      <c r="D22" s="1">
        <f>ROUND(C22/B22-1,4)</f>
        <v>-4.2900000000000001E-2</v>
      </c>
      <c r="E22" s="725">
        <f>E15/E5</f>
        <v>0.37602216232319713</v>
      </c>
      <c r="F22" s="1">
        <f>ROUND(E22/C22-1,4)</f>
        <v>2.6599999999999999E-2</v>
      </c>
      <c r="G22" s="725">
        <f t="shared" ref="G22:P22" si="14">G15/G5</f>
        <v>0.37184975308374701</v>
      </c>
      <c r="H22" s="725">
        <f t="shared" si="14"/>
        <v>0.36926999563372026</v>
      </c>
      <c r="I22" s="562">
        <f t="shared" si="14"/>
        <v>0.42903716263805208</v>
      </c>
      <c r="J22" s="562">
        <f t="shared" si="14"/>
        <v>0.42273488371465423</v>
      </c>
      <c r="K22" s="562"/>
      <c r="L22" s="562"/>
      <c r="M22" s="562"/>
      <c r="N22" s="562"/>
      <c r="O22" s="562">
        <f t="shared" si="14"/>
        <v>0.26250800369370242</v>
      </c>
      <c r="P22" s="562">
        <f t="shared" si="14"/>
        <v>0.26250798980221512</v>
      </c>
      <c r="Q22" s="562"/>
      <c r="R22" s="562"/>
      <c r="S22" s="562"/>
      <c r="T22" s="562"/>
      <c r="U22" s="562"/>
      <c r="V22" s="562"/>
      <c r="W22" s="562"/>
      <c r="X22" s="562"/>
      <c r="Y22" s="562"/>
      <c r="Z22" s="562"/>
      <c r="AA22" s="562"/>
      <c r="AB22" s="562"/>
      <c r="AC22" s="562"/>
      <c r="AD22" s="562"/>
      <c r="AE22" s="562"/>
      <c r="AF22" s="562"/>
      <c r="AG22" s="562"/>
      <c r="AH22" s="562"/>
      <c r="AI22" s="562">
        <f>AI15/AI5</f>
        <v>0.40524815664553115</v>
      </c>
      <c r="AJ22" s="1"/>
      <c r="AK22" s="562">
        <f>AK15/AK5</f>
        <v>0.40259461501300403</v>
      </c>
      <c r="AL22" s="555"/>
    </row>
    <row r="23" spans="1:40" ht="13.5">
      <c r="A23" s="8" t="s">
        <v>61</v>
      </c>
      <c r="B23" s="630"/>
      <c r="C23" s="631"/>
      <c r="D23" s="1"/>
      <c r="E23" s="631"/>
      <c r="F23" s="1"/>
      <c r="G23" s="562"/>
      <c r="H23" s="562"/>
      <c r="I23" s="562"/>
      <c r="J23" s="562"/>
      <c r="K23" s="562"/>
      <c r="L23" s="562"/>
      <c r="M23" s="562"/>
      <c r="N23" s="562"/>
      <c r="O23" s="562"/>
      <c r="P23" s="562"/>
      <c r="Q23" s="562"/>
      <c r="R23" s="562"/>
      <c r="S23" s="562"/>
      <c r="T23" s="562"/>
      <c r="U23" s="562"/>
      <c r="V23" s="562"/>
      <c r="W23" s="562"/>
      <c r="X23" s="562"/>
      <c r="Y23" s="562"/>
      <c r="Z23" s="562"/>
      <c r="AA23" s="562"/>
      <c r="AB23" s="562"/>
      <c r="AC23" s="562"/>
      <c r="AD23" s="562"/>
      <c r="AE23" s="562"/>
      <c r="AF23" s="562"/>
      <c r="AG23" s="562"/>
      <c r="AH23" s="562"/>
      <c r="AI23" s="562"/>
      <c r="AJ23" s="1"/>
      <c r="AK23" s="562"/>
      <c r="AL23" s="555"/>
    </row>
    <row r="24" spans="1:40" ht="13.5">
      <c r="A24" s="8" t="s">
        <v>62</v>
      </c>
      <c r="B24" s="630">
        <v>15147689</v>
      </c>
      <c r="C24" s="631">
        <v>12057552</v>
      </c>
      <c r="D24" s="1">
        <f t="shared" ref="D24:D40" si="15">ROUND(C24/B24-1,4)</f>
        <v>-0.20399999999999999</v>
      </c>
      <c r="E24" s="562">
        <v>12626587</v>
      </c>
      <c r="F24" s="1">
        <f t="shared" ref="F24:F40" si="16">ROUND(E24/C24-1,4)</f>
        <v>4.7199999999999999E-2</v>
      </c>
      <c r="G24" s="562">
        <f>C24</f>
        <v>12057552</v>
      </c>
      <c r="H24" s="562">
        <f>G24</f>
        <v>12057552</v>
      </c>
      <c r="I24" s="562">
        <f>M200OPR!R55</f>
        <v>209347</v>
      </c>
      <c r="J24" s="562">
        <f>M200OPR!T55</f>
        <v>232725</v>
      </c>
      <c r="K24" s="562">
        <f>M101INF!S55</f>
        <v>0</v>
      </c>
      <c r="L24" s="562">
        <f>M101INF!V55</f>
        <v>0</v>
      </c>
      <c r="M24" s="562"/>
      <c r="N24" s="562"/>
      <c r="O24" s="562"/>
      <c r="P24" s="562"/>
      <c r="Q24" s="562"/>
      <c r="R24" s="562"/>
      <c r="S24" s="562"/>
      <c r="T24" s="562"/>
      <c r="U24" s="562"/>
      <c r="V24" s="562"/>
      <c r="W24" s="562"/>
      <c r="X24" s="562"/>
      <c r="Y24" s="562"/>
      <c r="Z24" s="562"/>
      <c r="AA24" s="562"/>
      <c r="AB24" s="562"/>
      <c r="AC24" s="562">
        <v>0</v>
      </c>
      <c r="AD24" s="562">
        <v>0</v>
      </c>
      <c r="AE24" s="562">
        <v>0</v>
      </c>
      <c r="AF24" s="562">
        <v>0</v>
      </c>
      <c r="AG24" s="562">
        <v>0</v>
      </c>
      <c r="AH24" s="562">
        <v>0</v>
      </c>
      <c r="AI24" s="562">
        <f>G24+I24+K24+M24+O24+Q24+S24+U24+W24+Y24+AA24+AG24+AC24+AE24</f>
        <v>12266899</v>
      </c>
      <c r="AJ24" s="1">
        <f t="shared" ref="AJ24:AJ46" si="17">ROUND(AI24/C24,4)-1</f>
        <v>1.7400000000000082E-2</v>
      </c>
      <c r="AK24" s="562">
        <f>H24+J24+L24+N24+P24+R24+T24+V24+X24+Z24+AB24+AH24+AD24+AF24</f>
        <v>12290277</v>
      </c>
      <c r="AL24" s="555">
        <f t="shared" ref="AL24:AL46" si="18">ROUND(AK24/AI24-1,4)</f>
        <v>1.9E-3</v>
      </c>
    </row>
    <row r="25" spans="1:40" ht="13.5">
      <c r="A25" s="8" t="s">
        <v>63</v>
      </c>
      <c r="B25" s="630">
        <v>72409307</v>
      </c>
      <c r="C25" s="631">
        <v>65089232</v>
      </c>
      <c r="D25" s="1">
        <f t="shared" si="15"/>
        <v>-0.1011</v>
      </c>
      <c r="E25" s="562">
        <v>70760567</v>
      </c>
      <c r="F25" s="1">
        <f t="shared" si="16"/>
        <v>8.7099999999999997E-2</v>
      </c>
      <c r="G25" s="562">
        <f>C25</f>
        <v>65089232</v>
      </c>
      <c r="H25" s="562">
        <f>G25</f>
        <v>65089232</v>
      </c>
      <c r="I25" s="562">
        <f>M200OPR!R56</f>
        <v>1125534</v>
      </c>
      <c r="J25" s="562">
        <f>M200OPR!T56</f>
        <v>1251724</v>
      </c>
      <c r="K25" s="562">
        <f>M101INF!S56</f>
        <v>0</v>
      </c>
      <c r="L25" s="562">
        <f>M101INF!V56</f>
        <v>0</v>
      </c>
      <c r="M25" s="562"/>
      <c r="N25" s="562"/>
      <c r="O25" s="562"/>
      <c r="P25" s="562"/>
      <c r="Q25" s="562"/>
      <c r="R25" s="562"/>
      <c r="S25" s="562"/>
      <c r="T25" s="562"/>
      <c r="U25" s="562"/>
      <c r="V25" s="562"/>
      <c r="W25" s="562"/>
      <c r="X25" s="562"/>
      <c r="Y25" s="562"/>
      <c r="Z25" s="562"/>
      <c r="AA25" s="562"/>
      <c r="AB25" s="562"/>
      <c r="AC25" s="562">
        <v>0</v>
      </c>
      <c r="AD25" s="562">
        <v>0</v>
      </c>
      <c r="AE25" s="562">
        <v>0</v>
      </c>
      <c r="AF25" s="562">
        <v>0</v>
      </c>
      <c r="AG25" s="562">
        <v>0</v>
      </c>
      <c r="AH25" s="562">
        <v>0</v>
      </c>
      <c r="AI25" s="562">
        <f t="shared" ref="AI25:AI26" si="19">G25+I25+K25+M25+O25+Q25+S25+U25+W25+Y25+AA25+AG25+AC25+AE25</f>
        <v>66214766</v>
      </c>
      <c r="AJ25" s="1">
        <f t="shared" si="17"/>
        <v>1.7300000000000093E-2</v>
      </c>
      <c r="AK25" s="562">
        <f t="shared" ref="AK25:AK26" si="20">H25+J25+L25+N25+P25+R25+T25+V25+X25+Z25+AB25+AH25+AD25+AF25</f>
        <v>66340956</v>
      </c>
      <c r="AL25" s="555">
        <f t="shared" si="18"/>
        <v>1.9E-3</v>
      </c>
    </row>
    <row r="26" spans="1:40" ht="13.5">
      <c r="A26" s="8" t="s">
        <v>418</v>
      </c>
      <c r="B26" s="630">
        <v>25014207</v>
      </c>
      <c r="C26" s="631">
        <v>16707325</v>
      </c>
      <c r="D26" s="1">
        <f t="shared" si="15"/>
        <v>-0.33210000000000001</v>
      </c>
      <c r="E26" s="562">
        <v>16907458</v>
      </c>
      <c r="F26" s="1">
        <f t="shared" si="16"/>
        <v>1.2E-2</v>
      </c>
      <c r="G26" s="562">
        <f t="shared" ref="G26:G40" si="21">C26</f>
        <v>16707325</v>
      </c>
      <c r="H26" s="562">
        <f t="shared" ref="H26:H46" si="22">G26</f>
        <v>16707325</v>
      </c>
      <c r="I26" s="562">
        <f>M200OPR!R60</f>
        <v>-139014</v>
      </c>
      <c r="J26" s="562">
        <f>M200OPR!T60</f>
        <v>-79630</v>
      </c>
      <c r="K26" s="562">
        <f>M101INF!S60</f>
        <v>0</v>
      </c>
      <c r="L26" s="562">
        <f>M101INF!V60</f>
        <v>0</v>
      </c>
      <c r="M26" s="562"/>
      <c r="N26" s="562"/>
      <c r="O26" s="562"/>
      <c r="P26" s="562"/>
      <c r="Q26" s="562"/>
      <c r="R26" s="562"/>
      <c r="S26" s="562"/>
      <c r="T26" s="562"/>
      <c r="U26" s="562"/>
      <c r="V26" s="562"/>
      <c r="W26" s="562"/>
      <c r="X26" s="562"/>
      <c r="Y26" s="562"/>
      <c r="Z26" s="562"/>
      <c r="AA26" s="562"/>
      <c r="AB26" s="562"/>
      <c r="AC26" s="562">
        <v>0</v>
      </c>
      <c r="AD26" s="562">
        <v>0</v>
      </c>
      <c r="AE26" s="562">
        <v>0</v>
      </c>
      <c r="AF26" s="562">
        <v>0</v>
      </c>
      <c r="AG26" s="562">
        <v>0</v>
      </c>
      <c r="AH26" s="562">
        <v>0</v>
      </c>
      <c r="AI26" s="562">
        <f t="shared" si="19"/>
        <v>16568311</v>
      </c>
      <c r="AJ26" s="1">
        <f t="shared" si="17"/>
        <v>-8.2999999999999741E-3</v>
      </c>
      <c r="AK26" s="562">
        <f t="shared" si="20"/>
        <v>16627695</v>
      </c>
      <c r="AL26" s="555">
        <f t="shared" si="18"/>
        <v>3.5999999999999999E-3</v>
      </c>
      <c r="AM26" s="988" t="s">
        <v>645</v>
      </c>
      <c r="AN26" s="988"/>
    </row>
    <row r="27" spans="1:40" ht="13.5">
      <c r="A27" s="8" t="s">
        <v>64</v>
      </c>
      <c r="B27" s="630">
        <v>28420804</v>
      </c>
      <c r="C27" s="631">
        <v>23810368</v>
      </c>
      <c r="D27" s="1">
        <f t="shared" si="15"/>
        <v>-0.16220000000000001</v>
      </c>
      <c r="E27" s="562">
        <v>36559619</v>
      </c>
      <c r="F27" s="1">
        <f t="shared" si="16"/>
        <v>0.53539999999999999</v>
      </c>
      <c r="G27" s="562">
        <f t="shared" si="21"/>
        <v>23810368</v>
      </c>
      <c r="H27" s="562">
        <f t="shared" si="22"/>
        <v>23810368</v>
      </c>
      <c r="I27" s="562">
        <f>M200OPR!R61</f>
        <v>-198080</v>
      </c>
      <c r="J27" s="562">
        <f>M200OPR!T61</f>
        <v>-113448</v>
      </c>
      <c r="K27" s="562">
        <f>M101INF!S61</f>
        <v>0</v>
      </c>
      <c r="L27" s="562">
        <f>M101INF!V61</f>
        <v>0</v>
      </c>
      <c r="M27" s="562"/>
      <c r="N27" s="562"/>
      <c r="O27" s="562"/>
      <c r="P27" s="562"/>
      <c r="Q27" s="562"/>
      <c r="R27" s="562"/>
      <c r="S27" s="562"/>
      <c r="T27" s="562"/>
      <c r="U27" s="562"/>
      <c r="V27" s="562"/>
      <c r="W27" s="562"/>
      <c r="X27" s="562"/>
      <c r="Y27" s="562"/>
      <c r="Z27" s="562"/>
      <c r="AA27" s="562"/>
      <c r="AB27" s="562"/>
      <c r="AC27" s="562">
        <v>0</v>
      </c>
      <c r="AD27" s="562">
        <v>0</v>
      </c>
      <c r="AE27" s="562">
        <v>0</v>
      </c>
      <c r="AF27" s="562">
        <v>0</v>
      </c>
      <c r="AG27" s="562">
        <v>0</v>
      </c>
      <c r="AH27" s="562">
        <v>0</v>
      </c>
      <c r="AI27" s="751">
        <f>G27+I27+K27+M27+O27+Q27+S27+U27+W27+Y27+AA27+AG27+AC27+AE27</f>
        <v>23612288</v>
      </c>
      <c r="AJ27" s="752">
        <f t="shared" si="17"/>
        <v>-8.2999999999999741E-3</v>
      </c>
      <c r="AK27" s="753">
        <f>H27+J27+L27+N27+P27+R27+T27+V27+X27+Z27+AB27+AH27+AD27+AF27</f>
        <v>23696920</v>
      </c>
      <c r="AL27" s="555">
        <f t="shared" si="18"/>
        <v>3.5999999999999999E-3</v>
      </c>
      <c r="AM27" s="989">
        <f>AI27+AI36+AI37+AI52</f>
        <v>101336415</v>
      </c>
      <c r="AN27" s="989">
        <f>AK27+AK36+AK37+AK52</f>
        <v>101699617</v>
      </c>
    </row>
    <row r="28" spans="1:40" ht="13.5">
      <c r="A28" s="8" t="s">
        <v>65</v>
      </c>
      <c r="B28" s="630">
        <v>2389288</v>
      </c>
      <c r="C28" s="631">
        <v>2397912</v>
      </c>
      <c r="D28" s="1">
        <f t="shared" si="15"/>
        <v>3.5999999999999999E-3</v>
      </c>
      <c r="E28" s="562">
        <v>2674356</v>
      </c>
      <c r="F28" s="1">
        <f t="shared" si="16"/>
        <v>0.1153</v>
      </c>
      <c r="G28" s="562">
        <f t="shared" si="21"/>
        <v>2397912</v>
      </c>
      <c r="H28" s="562">
        <f t="shared" si="22"/>
        <v>2397912</v>
      </c>
      <c r="I28" s="562">
        <f>M200OPR!R62</f>
        <v>-19930</v>
      </c>
      <c r="J28" s="562">
        <f>M200OPR!T62</f>
        <v>-11407</v>
      </c>
      <c r="K28" s="562">
        <f>M101INF!S62</f>
        <v>0</v>
      </c>
      <c r="L28" s="562">
        <f>M101INF!V62</f>
        <v>0</v>
      </c>
      <c r="M28" s="562"/>
      <c r="N28" s="562"/>
      <c r="O28" s="562"/>
      <c r="P28" s="562"/>
      <c r="Q28" s="562"/>
      <c r="R28" s="562"/>
      <c r="S28" s="562"/>
      <c r="T28" s="562"/>
      <c r="U28" s="562"/>
      <c r="V28" s="562"/>
      <c r="W28" s="562"/>
      <c r="X28" s="562"/>
      <c r="Y28" s="562"/>
      <c r="Z28" s="562"/>
      <c r="AA28" s="562"/>
      <c r="AB28" s="562"/>
      <c r="AC28" s="562">
        <v>0</v>
      </c>
      <c r="AD28" s="562">
        <v>0</v>
      </c>
      <c r="AE28" s="562">
        <v>0</v>
      </c>
      <c r="AF28" s="562">
        <v>0</v>
      </c>
      <c r="AG28" s="562">
        <v>0</v>
      </c>
      <c r="AH28" s="562">
        <v>0</v>
      </c>
      <c r="AI28" s="562">
        <f>G28+I28+K28+M28+O28+Q28+S28+U28+W28+Y28+AA28+AG28+AC28+AE28</f>
        <v>2377982</v>
      </c>
      <c r="AJ28" s="1">
        <f t="shared" si="17"/>
        <v>-8.2999999999999741E-3</v>
      </c>
      <c r="AK28" s="562">
        <f>H28+J28+L28+N28+P28+R28+T28+V28+X28+Z28+AB28+AH28+AD28+AF28</f>
        <v>2386505</v>
      </c>
      <c r="AL28" s="555">
        <f t="shared" si="18"/>
        <v>3.5999999999999999E-3</v>
      </c>
    </row>
    <row r="29" spans="1:40" ht="13.5">
      <c r="A29" s="8" t="s">
        <v>417</v>
      </c>
      <c r="B29" s="630">
        <v>37797695</v>
      </c>
      <c r="C29" s="631">
        <v>25553696</v>
      </c>
      <c r="D29" s="1">
        <f t="shared" si="15"/>
        <v>-0.32390000000000002</v>
      </c>
      <c r="E29" s="562">
        <v>29366243</v>
      </c>
      <c r="F29" s="1">
        <f t="shared" si="16"/>
        <v>0.1492</v>
      </c>
      <c r="G29" s="562">
        <f t="shared" si="21"/>
        <v>25553696</v>
      </c>
      <c r="H29" s="562">
        <f t="shared" si="22"/>
        <v>25553696</v>
      </c>
      <c r="I29" s="562">
        <f>M200OPR!R59</f>
        <v>442146</v>
      </c>
      <c r="J29" s="562">
        <f>M200OPR!T59</f>
        <v>491688</v>
      </c>
      <c r="K29" s="562">
        <f>M101INF!S59</f>
        <v>0</v>
      </c>
      <c r="L29" s="562">
        <f>M101INF!V59</f>
        <v>0</v>
      </c>
      <c r="M29" s="562"/>
      <c r="N29" s="562"/>
      <c r="O29" s="562"/>
      <c r="P29" s="562"/>
      <c r="Q29" s="562"/>
      <c r="R29" s="562"/>
      <c r="S29" s="562"/>
      <c r="T29" s="562"/>
      <c r="U29" s="562"/>
      <c r="V29" s="562"/>
      <c r="W29" s="562"/>
      <c r="X29" s="562"/>
      <c r="Y29" s="562"/>
      <c r="Z29" s="562"/>
      <c r="AA29" s="562"/>
      <c r="AB29" s="562"/>
      <c r="AC29" s="562">
        <v>0</v>
      </c>
      <c r="AD29" s="562">
        <v>0</v>
      </c>
      <c r="AE29" s="562">
        <v>0</v>
      </c>
      <c r="AF29" s="562">
        <v>0</v>
      </c>
      <c r="AG29" s="562">
        <v>0</v>
      </c>
      <c r="AH29" s="562">
        <v>0</v>
      </c>
      <c r="AI29" s="562">
        <f t="shared" ref="AI29:AI35" si="23">G29+I29+K29+M29+O29+Q29+S29+U29+W29+Y29+AA29+AG29+AC29+AE29</f>
        <v>25995842</v>
      </c>
      <c r="AJ29" s="1">
        <f t="shared" si="17"/>
        <v>1.7300000000000093E-2</v>
      </c>
      <c r="AK29" s="562">
        <f t="shared" ref="AK29:AK35" si="24">H29+J29+L29+N29+P29+R29+T29+V29+X29+Z29+AB29+AH29+AD29+AF29</f>
        <v>26045384</v>
      </c>
      <c r="AL29" s="555">
        <f t="shared" si="18"/>
        <v>1.9E-3</v>
      </c>
    </row>
    <row r="30" spans="1:40" ht="13.5">
      <c r="A30" s="8" t="s">
        <v>416</v>
      </c>
      <c r="B30" s="630">
        <v>60276021</v>
      </c>
      <c r="C30" s="631">
        <v>47269193</v>
      </c>
      <c r="D30" s="1">
        <f t="shared" si="15"/>
        <v>-0.21579999999999999</v>
      </c>
      <c r="E30" s="562">
        <v>44995473</v>
      </c>
      <c r="F30" s="1">
        <f t="shared" si="16"/>
        <v>-4.8099999999999997E-2</v>
      </c>
      <c r="G30" s="562">
        <f t="shared" si="21"/>
        <v>47269193</v>
      </c>
      <c r="H30" s="562">
        <f t="shared" si="22"/>
        <v>47269193</v>
      </c>
      <c r="I30" s="562">
        <f>M200OPR!R66</f>
        <v>-394980</v>
      </c>
      <c r="J30" s="562">
        <f>M200OPR!T66</f>
        <v>-226987</v>
      </c>
      <c r="K30" s="562">
        <f>M101INF!S66</f>
        <v>0</v>
      </c>
      <c r="L30" s="562">
        <f>M101INF!V66</f>
        <v>0</v>
      </c>
      <c r="M30" s="562"/>
      <c r="N30" s="562"/>
      <c r="O30" s="562"/>
      <c r="P30" s="562"/>
      <c r="Q30" s="562"/>
      <c r="R30" s="562"/>
      <c r="S30" s="562"/>
      <c r="T30" s="562"/>
      <c r="U30" s="562"/>
      <c r="V30" s="562"/>
      <c r="W30" s="562"/>
      <c r="X30" s="562"/>
      <c r="Y30" s="562"/>
      <c r="Z30" s="562"/>
      <c r="AA30" s="562"/>
      <c r="AB30" s="562"/>
      <c r="AC30" s="562">
        <v>0</v>
      </c>
      <c r="AD30" s="562">
        <v>0</v>
      </c>
      <c r="AE30" s="562">
        <v>0</v>
      </c>
      <c r="AF30" s="562">
        <v>0</v>
      </c>
      <c r="AG30" s="562">
        <v>0</v>
      </c>
      <c r="AH30" s="562">
        <v>0</v>
      </c>
      <c r="AI30" s="562">
        <f t="shared" si="23"/>
        <v>46874213</v>
      </c>
      <c r="AJ30" s="1">
        <f t="shared" si="17"/>
        <v>-8.3999999999999631E-3</v>
      </c>
      <c r="AK30" s="562">
        <f t="shared" si="24"/>
        <v>47042206</v>
      </c>
      <c r="AL30" s="555">
        <f t="shared" si="18"/>
        <v>3.5999999999999999E-3</v>
      </c>
    </row>
    <row r="31" spans="1:40" ht="13.5">
      <c r="A31" s="8" t="s">
        <v>415</v>
      </c>
      <c r="B31" s="630">
        <v>26434884</v>
      </c>
      <c r="C31" s="631">
        <v>26757018</v>
      </c>
      <c r="D31" s="1">
        <f t="shared" si="15"/>
        <v>1.2200000000000001E-2</v>
      </c>
      <c r="E31" s="562">
        <v>28806985</v>
      </c>
      <c r="F31" s="1">
        <f t="shared" si="16"/>
        <v>7.6600000000000001E-2</v>
      </c>
      <c r="G31" s="562">
        <f t="shared" si="21"/>
        <v>26757018</v>
      </c>
      <c r="H31" s="562">
        <f t="shared" si="22"/>
        <v>26757018</v>
      </c>
      <c r="I31" s="562">
        <f>M200OPR!R57</f>
        <v>461438</v>
      </c>
      <c r="J31" s="562">
        <f>M200OPR!T57</f>
        <v>513310</v>
      </c>
      <c r="K31" s="562">
        <f>M101INF!S57</f>
        <v>0</v>
      </c>
      <c r="L31" s="562">
        <f>M101INF!V57</f>
        <v>0</v>
      </c>
      <c r="M31" s="562"/>
      <c r="N31" s="562"/>
      <c r="O31" s="562"/>
      <c r="P31" s="562"/>
      <c r="Q31" s="562"/>
      <c r="R31" s="562"/>
      <c r="S31" s="562"/>
      <c r="T31" s="562"/>
      <c r="U31" s="562"/>
      <c r="V31" s="562"/>
      <c r="W31" s="562"/>
      <c r="X31" s="562"/>
      <c r="Y31" s="562"/>
      <c r="Z31" s="562"/>
      <c r="AA31" s="562"/>
      <c r="AB31" s="562"/>
      <c r="AC31" s="562">
        <v>0</v>
      </c>
      <c r="AD31" s="562">
        <v>0</v>
      </c>
      <c r="AE31" s="562">
        <v>0</v>
      </c>
      <c r="AF31" s="562">
        <v>0</v>
      </c>
      <c r="AG31" s="562">
        <v>0</v>
      </c>
      <c r="AH31" s="562">
        <v>0</v>
      </c>
      <c r="AI31" s="562">
        <f t="shared" si="23"/>
        <v>27218456</v>
      </c>
      <c r="AJ31" s="1">
        <f t="shared" si="17"/>
        <v>1.7200000000000104E-2</v>
      </c>
      <c r="AK31" s="562">
        <f t="shared" si="24"/>
        <v>27270328</v>
      </c>
      <c r="AL31" s="555">
        <f t="shared" si="18"/>
        <v>1.9E-3</v>
      </c>
    </row>
    <row r="32" spans="1:40" ht="13.5">
      <c r="A32" s="8" t="s">
        <v>414</v>
      </c>
      <c r="B32" s="630">
        <v>14869666</v>
      </c>
      <c r="C32" s="631">
        <v>5925229</v>
      </c>
      <c r="D32" s="1">
        <f t="shared" si="15"/>
        <v>-0.60150000000000003</v>
      </c>
      <c r="E32" s="562">
        <v>11103735</v>
      </c>
      <c r="F32" s="1">
        <f t="shared" si="16"/>
        <v>0.874</v>
      </c>
      <c r="G32" s="562">
        <f t="shared" si="21"/>
        <v>5925229</v>
      </c>
      <c r="H32" s="562">
        <f t="shared" si="22"/>
        <v>5925229</v>
      </c>
      <c r="I32" s="562">
        <f>M200OPR!R67</f>
        <v>-49511</v>
      </c>
      <c r="J32" s="562">
        <f>M200OPR!T67</f>
        <v>-28453</v>
      </c>
      <c r="K32" s="562">
        <f>M101INF!S67</f>
        <v>0</v>
      </c>
      <c r="L32" s="562">
        <f>M101INF!V67</f>
        <v>0</v>
      </c>
      <c r="M32" s="562"/>
      <c r="N32" s="562"/>
      <c r="O32" s="562"/>
      <c r="P32" s="562"/>
      <c r="Q32" s="562"/>
      <c r="R32" s="562"/>
      <c r="S32" s="562"/>
      <c r="T32" s="562"/>
      <c r="U32" s="562"/>
      <c r="V32" s="562"/>
      <c r="W32" s="562"/>
      <c r="X32" s="562"/>
      <c r="Y32" s="562"/>
      <c r="Z32" s="562"/>
      <c r="AA32" s="562"/>
      <c r="AB32" s="562"/>
      <c r="AC32" s="562">
        <v>0</v>
      </c>
      <c r="AD32" s="562">
        <v>0</v>
      </c>
      <c r="AE32" s="562">
        <v>0</v>
      </c>
      <c r="AF32" s="562">
        <v>0</v>
      </c>
      <c r="AG32" s="562">
        <v>0</v>
      </c>
      <c r="AH32" s="562">
        <v>0</v>
      </c>
      <c r="AI32" s="562">
        <f t="shared" si="23"/>
        <v>5875718</v>
      </c>
      <c r="AJ32" s="1">
        <f t="shared" si="17"/>
        <v>-8.3999999999999631E-3</v>
      </c>
      <c r="AK32" s="562">
        <f t="shared" si="24"/>
        <v>5896776</v>
      </c>
      <c r="AL32" s="555">
        <f t="shared" si="18"/>
        <v>3.5999999999999999E-3</v>
      </c>
    </row>
    <row r="33" spans="1:38" ht="13.5">
      <c r="A33" s="8" t="s">
        <v>413</v>
      </c>
      <c r="B33" s="630">
        <v>2110090</v>
      </c>
      <c r="C33" s="631">
        <v>1981658</v>
      </c>
      <c r="D33" s="1">
        <f t="shared" si="15"/>
        <v>-6.0900000000000003E-2</v>
      </c>
      <c r="E33" s="562">
        <v>2096411</v>
      </c>
      <c r="F33" s="1">
        <f t="shared" si="16"/>
        <v>5.79E-2</v>
      </c>
      <c r="G33" s="562">
        <f t="shared" si="21"/>
        <v>1981658</v>
      </c>
      <c r="H33" s="562">
        <f t="shared" si="22"/>
        <v>1981658</v>
      </c>
      <c r="I33" s="562">
        <f>M200OPR!R58</f>
        <v>35656</v>
      </c>
      <c r="J33" s="562">
        <f>M200OPR!T58</f>
        <v>39501</v>
      </c>
      <c r="K33" s="562">
        <f>M101INF!S58</f>
        <v>0</v>
      </c>
      <c r="L33" s="562">
        <f>M101INF!V58</f>
        <v>0</v>
      </c>
      <c r="M33" s="562"/>
      <c r="N33" s="562"/>
      <c r="O33" s="562"/>
      <c r="P33" s="562"/>
      <c r="Q33" s="562"/>
      <c r="R33" s="562"/>
      <c r="S33" s="562"/>
      <c r="T33" s="562"/>
      <c r="U33" s="562"/>
      <c r="V33" s="562"/>
      <c r="W33" s="562"/>
      <c r="X33" s="562"/>
      <c r="Y33" s="562"/>
      <c r="Z33" s="562"/>
      <c r="AA33" s="562"/>
      <c r="AB33" s="562"/>
      <c r="AC33" s="562">
        <v>0</v>
      </c>
      <c r="AD33" s="562">
        <v>0</v>
      </c>
      <c r="AE33" s="562">
        <v>0</v>
      </c>
      <c r="AF33" s="562">
        <v>0</v>
      </c>
      <c r="AG33" s="562">
        <v>0</v>
      </c>
      <c r="AH33" s="562">
        <v>0</v>
      </c>
      <c r="AI33" s="562">
        <f t="shared" si="23"/>
        <v>2017314</v>
      </c>
      <c r="AJ33" s="1">
        <f t="shared" si="17"/>
        <v>1.8000000000000016E-2</v>
      </c>
      <c r="AK33" s="562">
        <f t="shared" si="24"/>
        <v>2021159</v>
      </c>
      <c r="AL33" s="555">
        <f t="shared" si="18"/>
        <v>1.9E-3</v>
      </c>
    </row>
    <row r="34" spans="1:38" ht="13.5">
      <c r="A34" s="8" t="s">
        <v>333</v>
      </c>
      <c r="B34" s="630">
        <v>9132685</v>
      </c>
      <c r="C34" s="631">
        <v>13152322</v>
      </c>
      <c r="D34" s="1">
        <f t="shared" si="15"/>
        <v>0.44009999999999999</v>
      </c>
      <c r="E34" s="562">
        <v>15645874</v>
      </c>
      <c r="F34" s="1">
        <f t="shared" si="16"/>
        <v>0.18959999999999999</v>
      </c>
      <c r="G34" s="562">
        <f>C34</f>
        <v>13152322</v>
      </c>
      <c r="H34" s="562">
        <f t="shared" si="22"/>
        <v>13152322</v>
      </c>
      <c r="I34" s="562">
        <f>M200OPR!R68</f>
        <v>-109899</v>
      </c>
      <c r="J34" s="562">
        <f>M200OPR!T68</f>
        <v>-63156</v>
      </c>
      <c r="K34" s="562">
        <f>M101INF!S68</f>
        <v>0</v>
      </c>
      <c r="L34" s="562">
        <f>M101INF!V68</f>
        <v>0</v>
      </c>
      <c r="M34" s="562"/>
      <c r="N34" s="562"/>
      <c r="O34" s="562"/>
      <c r="P34" s="562"/>
      <c r="Q34" s="562"/>
      <c r="R34" s="562"/>
      <c r="S34" s="562"/>
      <c r="T34" s="562"/>
      <c r="U34" s="562"/>
      <c r="V34" s="562"/>
      <c r="W34" s="562"/>
      <c r="X34" s="562"/>
      <c r="Y34" s="562"/>
      <c r="Z34" s="562"/>
      <c r="AA34" s="562"/>
      <c r="AB34" s="562"/>
      <c r="AC34" s="562">
        <v>0</v>
      </c>
      <c r="AD34" s="562">
        <v>0</v>
      </c>
      <c r="AE34" s="562">
        <v>0</v>
      </c>
      <c r="AF34" s="562">
        <v>0</v>
      </c>
      <c r="AG34" s="562">
        <v>0</v>
      </c>
      <c r="AH34" s="562">
        <v>0</v>
      </c>
      <c r="AI34" s="562">
        <f t="shared" si="23"/>
        <v>13042423</v>
      </c>
      <c r="AJ34" s="1">
        <f t="shared" si="17"/>
        <v>-8.3999999999999631E-3</v>
      </c>
      <c r="AK34" s="562">
        <f t="shared" si="24"/>
        <v>13089166</v>
      </c>
      <c r="AL34" s="555">
        <f t="shared" si="18"/>
        <v>3.5999999999999999E-3</v>
      </c>
    </row>
    <row r="35" spans="1:38" ht="13.5">
      <c r="A35" s="8" t="s">
        <v>334</v>
      </c>
      <c r="B35" s="630">
        <v>4744863</v>
      </c>
      <c r="C35" s="631">
        <v>3217410</v>
      </c>
      <c r="D35" s="1">
        <f t="shared" si="15"/>
        <v>-0.32190000000000002</v>
      </c>
      <c r="E35" s="562">
        <v>3570599</v>
      </c>
      <c r="F35" s="1">
        <f t="shared" si="16"/>
        <v>0.10979999999999999</v>
      </c>
      <c r="G35" s="562">
        <f t="shared" si="21"/>
        <v>3217410</v>
      </c>
      <c r="H35" s="562">
        <f t="shared" si="22"/>
        <v>3217410</v>
      </c>
      <c r="I35" s="562">
        <f>M200OPR!R69</f>
        <v>-26885</v>
      </c>
      <c r="J35" s="562">
        <f>M200OPR!T69</f>
        <v>-15450</v>
      </c>
      <c r="K35" s="562">
        <f>M101INF!S69</f>
        <v>0</v>
      </c>
      <c r="L35" s="562">
        <f>M101INF!V69</f>
        <v>0</v>
      </c>
      <c r="M35" s="562"/>
      <c r="N35" s="562"/>
      <c r="O35" s="562"/>
      <c r="P35" s="562"/>
      <c r="Q35" s="562"/>
      <c r="R35" s="562"/>
      <c r="S35" s="562"/>
      <c r="T35" s="562"/>
      <c r="U35" s="562"/>
      <c r="V35" s="562"/>
      <c r="W35" s="562"/>
      <c r="X35" s="562"/>
      <c r="Y35" s="562"/>
      <c r="Z35" s="562"/>
      <c r="AA35" s="562"/>
      <c r="AB35" s="562"/>
      <c r="AC35" s="562">
        <v>0</v>
      </c>
      <c r="AD35" s="562">
        <v>0</v>
      </c>
      <c r="AE35" s="562">
        <v>0</v>
      </c>
      <c r="AF35" s="562">
        <v>0</v>
      </c>
      <c r="AG35" s="562">
        <v>0</v>
      </c>
      <c r="AH35" s="562">
        <v>0</v>
      </c>
      <c r="AI35" s="562">
        <f t="shared" si="23"/>
        <v>3190525</v>
      </c>
      <c r="AJ35" s="1">
        <f t="shared" si="17"/>
        <v>-8.3999999999999631E-3</v>
      </c>
      <c r="AK35" s="562">
        <f t="shared" si="24"/>
        <v>3201960</v>
      </c>
      <c r="AL35" s="555">
        <f t="shared" si="18"/>
        <v>3.5999999999999999E-3</v>
      </c>
    </row>
    <row r="36" spans="1:38" ht="13.5">
      <c r="A36" s="8" t="s">
        <v>412</v>
      </c>
      <c r="B36" s="630">
        <v>50790482</v>
      </c>
      <c r="C36" s="631">
        <v>70944435</v>
      </c>
      <c r="D36" s="1">
        <f t="shared" si="15"/>
        <v>0.39679999999999999</v>
      </c>
      <c r="E36" s="562">
        <v>43758545</v>
      </c>
      <c r="F36" s="1">
        <f t="shared" si="16"/>
        <v>-0.38319999999999999</v>
      </c>
      <c r="G36" s="562">
        <f t="shared" si="21"/>
        <v>70944435</v>
      </c>
      <c r="H36" s="562">
        <f t="shared" si="22"/>
        <v>70944435</v>
      </c>
      <c r="I36" s="562">
        <f>M200OPR!R63</f>
        <v>-590197</v>
      </c>
      <c r="J36" s="562">
        <f>M200OPR!T63</f>
        <v>-338031</v>
      </c>
      <c r="K36" s="562">
        <f>M101INF!S63</f>
        <v>0</v>
      </c>
      <c r="L36" s="562">
        <f>M101INF!V63</f>
        <v>0</v>
      </c>
      <c r="M36" s="562"/>
      <c r="N36" s="562"/>
      <c r="O36" s="562"/>
      <c r="P36" s="562"/>
      <c r="Q36" s="562"/>
      <c r="R36" s="562"/>
      <c r="S36" s="562"/>
      <c r="T36" s="562"/>
      <c r="U36" s="562"/>
      <c r="V36" s="562"/>
      <c r="W36" s="562"/>
      <c r="X36" s="562"/>
      <c r="Y36" s="562"/>
      <c r="Z36" s="562"/>
      <c r="AA36" s="562"/>
      <c r="AB36" s="562"/>
      <c r="AC36" s="562">
        <v>0</v>
      </c>
      <c r="AD36" s="562">
        <v>0</v>
      </c>
      <c r="AE36" s="562">
        <v>0</v>
      </c>
      <c r="AF36" s="562">
        <v>0</v>
      </c>
      <c r="AG36" s="562">
        <v>0</v>
      </c>
      <c r="AH36" s="562">
        <v>0</v>
      </c>
      <c r="AI36" s="754">
        <f>G36+I36+K36+M36+O36+Q36+S36+U36+W36+Y36+AA36+AG36+AC36+AE36</f>
        <v>70354238</v>
      </c>
      <c r="AJ36" s="755">
        <f t="shared" si="17"/>
        <v>-8.2999999999999741E-3</v>
      </c>
      <c r="AK36" s="756">
        <f>H36+J36+L36+N36+P36+R36+T36+V36+X36+Z36+AB36+AH36+AD36+AF36</f>
        <v>70606404</v>
      </c>
      <c r="AL36" s="555">
        <f t="shared" si="18"/>
        <v>3.5999999999999999E-3</v>
      </c>
    </row>
    <row r="37" spans="1:38" ht="13.5">
      <c r="A37" s="8" t="s">
        <v>335</v>
      </c>
      <c r="B37" s="630">
        <v>4542022</v>
      </c>
      <c r="C37" s="631">
        <v>7384984</v>
      </c>
      <c r="D37" s="1">
        <f t="shared" si="15"/>
        <v>0.62590000000000001</v>
      </c>
      <c r="E37" s="562">
        <v>12090009</v>
      </c>
      <c r="F37" s="1">
        <f t="shared" si="16"/>
        <v>0.6371</v>
      </c>
      <c r="G37" s="562">
        <f t="shared" si="21"/>
        <v>7384984</v>
      </c>
      <c r="H37" s="562">
        <f t="shared" si="22"/>
        <v>7384984</v>
      </c>
      <c r="I37" s="562">
        <f>M200OPR!R64</f>
        <v>-61440</v>
      </c>
      <c r="J37" s="562">
        <f>M200OPR!T64</f>
        <v>-35191</v>
      </c>
      <c r="K37" s="562">
        <f>M101INF!S64</f>
        <v>0</v>
      </c>
      <c r="L37" s="562">
        <f>M101INF!V64</f>
        <v>0</v>
      </c>
      <c r="M37" s="562"/>
      <c r="N37" s="562"/>
      <c r="O37" s="562"/>
      <c r="P37" s="562"/>
      <c r="Q37" s="562"/>
      <c r="R37" s="562"/>
      <c r="S37" s="562"/>
      <c r="T37" s="562"/>
      <c r="U37" s="562"/>
      <c r="V37" s="562"/>
      <c r="W37" s="562"/>
      <c r="X37" s="562"/>
      <c r="Y37" s="562"/>
      <c r="Z37" s="562"/>
      <c r="AA37" s="562"/>
      <c r="AB37" s="562"/>
      <c r="AC37" s="562">
        <v>0</v>
      </c>
      <c r="AD37" s="562">
        <v>0</v>
      </c>
      <c r="AE37" s="562">
        <v>0</v>
      </c>
      <c r="AF37" s="562">
        <v>0</v>
      </c>
      <c r="AG37" s="562">
        <v>0</v>
      </c>
      <c r="AH37" s="562">
        <v>0</v>
      </c>
      <c r="AI37" s="757">
        <f>G37+I37+K37+M37+O37+Q37+S37+U37+W37+Y37+AA37+AG37+AC37+AE37</f>
        <v>7323544</v>
      </c>
      <c r="AJ37" s="556">
        <f t="shared" si="17"/>
        <v>-8.2999999999999741E-3</v>
      </c>
      <c r="AK37" s="758">
        <f>H37+J37+L37+N37+P37+R37+T37+V37+X37+Z37+AB37+AH37+AD37+AF37</f>
        <v>7349793</v>
      </c>
      <c r="AL37" s="555">
        <f t="shared" si="18"/>
        <v>3.5999999999999999E-3</v>
      </c>
    </row>
    <row r="38" spans="1:38" ht="13.5">
      <c r="A38" s="8" t="s">
        <v>66</v>
      </c>
      <c r="B38" s="630">
        <v>17719581</v>
      </c>
      <c r="C38" s="631">
        <v>16515016</v>
      </c>
      <c r="D38" s="1">
        <f t="shared" si="15"/>
        <v>-6.8000000000000005E-2</v>
      </c>
      <c r="E38" s="562">
        <v>12943249</v>
      </c>
      <c r="F38" s="1">
        <f t="shared" si="16"/>
        <v>-0.21629999999999999</v>
      </c>
      <c r="G38" s="562">
        <f t="shared" si="21"/>
        <v>16515016</v>
      </c>
      <c r="H38" s="562">
        <f t="shared" si="22"/>
        <v>16515016</v>
      </c>
      <c r="I38" s="562">
        <f>M200OPR!R65</f>
        <v>-137401</v>
      </c>
      <c r="J38" s="562">
        <f>M200OPR!T65</f>
        <v>-78700</v>
      </c>
      <c r="K38" s="562">
        <f>M101INF!S65</f>
        <v>0</v>
      </c>
      <c r="L38" s="562">
        <f>M101INF!V65</f>
        <v>0</v>
      </c>
      <c r="M38" s="562"/>
      <c r="N38" s="562"/>
      <c r="O38" s="562"/>
      <c r="P38" s="562"/>
      <c r="Q38" s="562"/>
      <c r="R38" s="562"/>
      <c r="S38" s="562"/>
      <c r="T38" s="562"/>
      <c r="U38" s="562"/>
      <c r="V38" s="562"/>
      <c r="W38" s="562"/>
      <c r="X38" s="562"/>
      <c r="Y38" s="562"/>
      <c r="Z38" s="562"/>
      <c r="AA38" s="562"/>
      <c r="AB38" s="562"/>
      <c r="AC38" s="562">
        <v>0</v>
      </c>
      <c r="AD38" s="562">
        <v>0</v>
      </c>
      <c r="AE38" s="562">
        <v>0</v>
      </c>
      <c r="AF38" s="562">
        <v>0</v>
      </c>
      <c r="AG38" s="562">
        <v>0</v>
      </c>
      <c r="AH38" s="562">
        <v>0</v>
      </c>
      <c r="AI38" s="562">
        <f>G38+I38+K38+M38+O38+Q38+S38+U38+W38+Y38+AA38+AG38+AC38+AE38</f>
        <v>16377615</v>
      </c>
      <c r="AJ38" s="1">
        <f t="shared" si="17"/>
        <v>-8.2999999999999741E-3</v>
      </c>
      <c r="AK38" s="562">
        <f>H38+J38+L38+N38+P38+R38+T38+V38+X38+Z38+AB38+AH38+AD38+AF38</f>
        <v>16436316</v>
      </c>
      <c r="AL38" s="555">
        <f t="shared" si="18"/>
        <v>3.5999999999999999E-3</v>
      </c>
    </row>
    <row r="39" spans="1:38" ht="13.5">
      <c r="A39" s="8" t="s">
        <v>67</v>
      </c>
      <c r="B39" s="630">
        <v>3147423</v>
      </c>
      <c r="C39" s="631">
        <v>2531857</v>
      </c>
      <c r="D39" s="1">
        <f t="shared" si="15"/>
        <v>-0.1956</v>
      </c>
      <c r="E39" s="562">
        <v>2598274</v>
      </c>
      <c r="F39" s="1">
        <f t="shared" si="16"/>
        <v>2.6200000000000001E-2</v>
      </c>
      <c r="G39" s="562">
        <f t="shared" si="21"/>
        <v>2531857</v>
      </c>
      <c r="H39" s="562">
        <f t="shared" si="22"/>
        <v>2531857</v>
      </c>
      <c r="I39" s="562">
        <f>M200OPR!R70</f>
        <v>-21157</v>
      </c>
      <c r="J39" s="562">
        <f>M200OPR!T70</f>
        <v>-12158</v>
      </c>
      <c r="K39" s="562">
        <f>M101INF!S70</f>
        <v>0</v>
      </c>
      <c r="L39" s="562">
        <f>M101INF!V70</f>
        <v>0</v>
      </c>
      <c r="M39" s="562"/>
      <c r="N39" s="562"/>
      <c r="O39" s="562"/>
      <c r="P39" s="562"/>
      <c r="Q39" s="562"/>
      <c r="R39" s="562"/>
      <c r="S39" s="562"/>
      <c r="T39" s="562"/>
      <c r="U39" s="562"/>
      <c r="V39" s="562"/>
      <c r="W39" s="562"/>
      <c r="X39" s="562"/>
      <c r="Y39" s="562"/>
      <c r="Z39" s="562"/>
      <c r="AA39" s="562"/>
      <c r="AB39" s="562"/>
      <c r="AC39" s="562">
        <v>0</v>
      </c>
      <c r="AD39" s="562">
        <v>0</v>
      </c>
      <c r="AE39" s="562">
        <v>0</v>
      </c>
      <c r="AF39" s="562">
        <v>0</v>
      </c>
      <c r="AG39" s="562">
        <v>0</v>
      </c>
      <c r="AH39" s="562">
        <v>0</v>
      </c>
      <c r="AI39" s="562">
        <f t="shared" ref="AI39:AI46" si="25">G39+I39+K39+M39+O39+Q39+S39+U39+W39+Y39+AA39+AG39+AC39+AE39</f>
        <v>2510700</v>
      </c>
      <c r="AJ39" s="1">
        <f t="shared" si="17"/>
        <v>-8.3999999999999631E-3</v>
      </c>
      <c r="AK39" s="562">
        <f t="shared" ref="AK39:AK46" si="26">H39+J39+L39+N39+P39+R39+T39+V39+X39+Z39+AB39+AH39+AD39+AF39</f>
        <v>2519699</v>
      </c>
      <c r="AL39" s="555">
        <f t="shared" si="18"/>
        <v>3.5999999999999999E-3</v>
      </c>
    </row>
    <row r="40" spans="1:38" ht="13.5">
      <c r="A40" s="8" t="s">
        <v>291</v>
      </c>
      <c r="B40" s="630">
        <v>5086485</v>
      </c>
      <c r="C40" s="631">
        <v>3539980</v>
      </c>
      <c r="D40" s="1">
        <f t="shared" si="15"/>
        <v>-0.30399999999999999</v>
      </c>
      <c r="E40" s="562">
        <v>3252815</v>
      </c>
      <c r="F40" s="1">
        <f t="shared" si="16"/>
        <v>-8.1100000000000005E-2</v>
      </c>
      <c r="G40" s="562">
        <f t="shared" si="21"/>
        <v>3539980</v>
      </c>
      <c r="H40" s="562">
        <f t="shared" si="22"/>
        <v>3539980</v>
      </c>
      <c r="I40" s="562">
        <f>M200OPR!R71</f>
        <v>-29582</v>
      </c>
      <c r="J40" s="562">
        <f>M200OPR!T71</f>
        <v>-17001</v>
      </c>
      <c r="K40" s="562">
        <f>M101INF!S71</f>
        <v>0</v>
      </c>
      <c r="L40" s="562">
        <f>M101INF!V71</f>
        <v>0</v>
      </c>
      <c r="M40" s="562"/>
      <c r="N40" s="562"/>
      <c r="O40" s="562"/>
      <c r="P40" s="562"/>
      <c r="Q40" s="562"/>
      <c r="R40" s="562"/>
      <c r="S40" s="562"/>
      <c r="T40" s="562"/>
      <c r="U40" s="562"/>
      <c r="V40" s="562"/>
      <c r="W40" s="562"/>
      <c r="X40" s="562"/>
      <c r="Y40" s="562"/>
      <c r="Z40" s="562"/>
      <c r="AA40" s="562"/>
      <c r="AB40" s="562"/>
      <c r="AC40" s="562">
        <v>0</v>
      </c>
      <c r="AD40" s="562">
        <v>0</v>
      </c>
      <c r="AE40" s="562">
        <v>0</v>
      </c>
      <c r="AF40" s="562">
        <v>0</v>
      </c>
      <c r="AG40" s="562">
        <v>0</v>
      </c>
      <c r="AH40" s="562">
        <v>0</v>
      </c>
      <c r="AI40" s="562">
        <f t="shared" si="25"/>
        <v>3510398</v>
      </c>
      <c r="AJ40" s="1">
        <f t="shared" si="17"/>
        <v>-8.3999999999999631E-3</v>
      </c>
      <c r="AK40" s="562">
        <f t="shared" si="26"/>
        <v>3522979</v>
      </c>
      <c r="AL40" s="555">
        <f t="shared" si="18"/>
        <v>3.5999999999999999E-3</v>
      </c>
    </row>
    <row r="41" spans="1:38" ht="13.5">
      <c r="A41" s="8" t="s">
        <v>154</v>
      </c>
      <c r="B41" s="630">
        <v>12417407</v>
      </c>
      <c r="C41" s="631">
        <f>9226066+492955</f>
        <v>9719021</v>
      </c>
      <c r="D41" s="1">
        <f t="shared" ref="D41:D47" si="27">ROUND(C41/B41-1,4)</f>
        <v>-0.21729999999999999</v>
      </c>
      <c r="E41" s="631">
        <f>14087021+505890</f>
        <v>14592911</v>
      </c>
      <c r="F41" s="1">
        <f t="shared" ref="F41:F47" si="28">ROUND(E41/C41-1,4)</f>
        <v>0.50149999999999995</v>
      </c>
      <c r="G41" s="562">
        <f>C41</f>
        <v>9719021</v>
      </c>
      <c r="H41" s="562">
        <f>G41</f>
        <v>9719021</v>
      </c>
      <c r="I41" s="562">
        <f>M200OPR!R72</f>
        <v>-81212</v>
      </c>
      <c r="J41" s="562">
        <f>M200OPR!T72</f>
        <v>-46671</v>
      </c>
      <c r="K41" s="562">
        <f>M101INF!S72</f>
        <v>0</v>
      </c>
      <c r="L41" s="562">
        <f>M101INF!V72</f>
        <v>0</v>
      </c>
      <c r="M41" s="562"/>
      <c r="N41" s="562"/>
      <c r="O41" s="562"/>
      <c r="P41" s="562"/>
      <c r="Q41" s="562"/>
      <c r="R41" s="562"/>
      <c r="S41" s="562"/>
      <c r="T41" s="562"/>
      <c r="U41" s="562"/>
      <c r="V41" s="562"/>
      <c r="W41" s="562"/>
      <c r="X41" s="562"/>
      <c r="Y41" s="562"/>
      <c r="Z41" s="562"/>
      <c r="AA41" s="562"/>
      <c r="AB41" s="562"/>
      <c r="AC41" s="562">
        <v>0</v>
      </c>
      <c r="AD41" s="562">
        <v>0</v>
      </c>
      <c r="AE41" s="562">
        <v>0</v>
      </c>
      <c r="AF41" s="562">
        <v>0</v>
      </c>
      <c r="AG41" s="562">
        <v>0</v>
      </c>
      <c r="AH41" s="562">
        <v>0</v>
      </c>
      <c r="AI41" s="562">
        <f t="shared" si="25"/>
        <v>9637809</v>
      </c>
      <c r="AJ41" s="1">
        <f t="shared" si="17"/>
        <v>-8.3999999999999631E-3</v>
      </c>
      <c r="AK41" s="562">
        <f t="shared" si="26"/>
        <v>9672350</v>
      </c>
      <c r="AL41" s="555">
        <f t="shared" si="18"/>
        <v>3.5999999999999999E-3</v>
      </c>
    </row>
    <row r="42" spans="1:38" ht="13.5">
      <c r="A42" s="8" t="s">
        <v>463</v>
      </c>
      <c r="B42" s="630">
        <v>7564852</v>
      </c>
      <c r="C42" s="631">
        <v>8531546</v>
      </c>
      <c r="D42" s="1">
        <f t="shared" si="27"/>
        <v>0.1278</v>
      </c>
      <c r="E42" s="562">
        <v>8889492</v>
      </c>
      <c r="F42" s="1">
        <f t="shared" si="28"/>
        <v>4.2000000000000003E-2</v>
      </c>
      <c r="G42" s="562">
        <f>C42</f>
        <v>8531546</v>
      </c>
      <c r="H42" s="562">
        <f>G42</f>
        <v>8531546</v>
      </c>
      <c r="I42" s="562"/>
      <c r="J42" s="562"/>
      <c r="K42" s="562"/>
      <c r="L42" s="562"/>
      <c r="M42" s="562"/>
      <c r="N42" s="562"/>
      <c r="O42" s="562"/>
      <c r="P42" s="562"/>
      <c r="Q42" s="562"/>
      <c r="R42" s="562"/>
      <c r="S42" s="562"/>
      <c r="T42" s="562"/>
      <c r="U42" s="562"/>
      <c r="V42" s="562"/>
      <c r="W42" s="562"/>
      <c r="X42" s="562"/>
      <c r="Y42" s="562"/>
      <c r="Z42" s="562"/>
      <c r="AA42" s="562"/>
      <c r="AB42" s="562"/>
      <c r="AC42" s="562">
        <v>0</v>
      </c>
      <c r="AD42" s="562">
        <v>0</v>
      </c>
      <c r="AE42" s="562">
        <v>0</v>
      </c>
      <c r="AF42" s="562">
        <v>0</v>
      </c>
      <c r="AG42" s="562">
        <v>0</v>
      </c>
      <c r="AH42" s="562">
        <v>0</v>
      </c>
      <c r="AI42" s="562">
        <f t="shared" si="25"/>
        <v>8531546</v>
      </c>
      <c r="AJ42" s="1">
        <f t="shared" si="17"/>
        <v>0</v>
      </c>
      <c r="AK42" s="562">
        <f t="shared" si="26"/>
        <v>8531546</v>
      </c>
      <c r="AL42" s="555">
        <f t="shared" si="18"/>
        <v>0</v>
      </c>
    </row>
    <row r="43" spans="1:38" ht="13.5">
      <c r="A43" s="8" t="s">
        <v>644</v>
      </c>
      <c r="B43" s="630">
        <v>-27626901</v>
      </c>
      <c r="C43" s="631">
        <v>0</v>
      </c>
      <c r="D43" s="1">
        <f t="shared" si="27"/>
        <v>-1</v>
      </c>
      <c r="E43" s="562"/>
      <c r="F43" s="1" t="e">
        <f t="shared" si="28"/>
        <v>#DIV/0!</v>
      </c>
      <c r="G43" s="562">
        <v>0</v>
      </c>
      <c r="H43" s="562">
        <f>G43</f>
        <v>0</v>
      </c>
      <c r="I43" s="562"/>
      <c r="J43" s="562"/>
      <c r="K43" s="562"/>
      <c r="L43" s="562"/>
      <c r="M43" s="562"/>
      <c r="N43" s="562"/>
      <c r="O43" s="562"/>
      <c r="P43" s="562"/>
      <c r="Q43" s="562"/>
      <c r="R43" s="562"/>
      <c r="S43" s="562"/>
      <c r="T43" s="562"/>
      <c r="U43" s="562"/>
      <c r="V43" s="562"/>
      <c r="W43" s="562">
        <f>(-121032912+111500000)-42520000</f>
        <v>-52052912</v>
      </c>
      <c r="X43" s="562">
        <f>(-117150960+111500000)-42732000</f>
        <v>-48382960</v>
      </c>
      <c r="Y43" s="562"/>
      <c r="Z43" s="562"/>
      <c r="AA43" s="562"/>
      <c r="AB43" s="562"/>
      <c r="AC43" s="562">
        <v>0</v>
      </c>
      <c r="AD43" s="562">
        <v>0</v>
      </c>
      <c r="AE43" s="562">
        <v>0</v>
      </c>
      <c r="AF43" s="562">
        <v>0</v>
      </c>
      <c r="AG43" s="562">
        <v>0</v>
      </c>
      <c r="AH43" s="562">
        <v>0</v>
      </c>
      <c r="AI43" s="562">
        <f t="shared" si="25"/>
        <v>-52052912</v>
      </c>
      <c r="AJ43" s="1" t="e">
        <f t="shared" si="17"/>
        <v>#DIV/0!</v>
      </c>
      <c r="AK43" s="562">
        <f t="shared" si="26"/>
        <v>-48382960</v>
      </c>
      <c r="AL43" s="555">
        <f t="shared" ref="AL43" si="29">ROUND(AK43/AI43-1,4)</f>
        <v>-7.0499999999999993E-2</v>
      </c>
    </row>
    <row r="44" spans="1:38" ht="13.5">
      <c r="A44" s="8" t="s">
        <v>136</v>
      </c>
      <c r="B44" s="630">
        <v>0</v>
      </c>
      <c r="C44" s="631">
        <v>0</v>
      </c>
      <c r="D44" s="1" t="e">
        <f t="shared" si="27"/>
        <v>#DIV/0!</v>
      </c>
      <c r="E44" s="562">
        <v>11513368</v>
      </c>
      <c r="F44" s="1" t="e">
        <f t="shared" si="28"/>
        <v>#DIV/0!</v>
      </c>
      <c r="G44" s="562">
        <v>0</v>
      </c>
      <c r="H44" s="562">
        <f>G44</f>
        <v>0</v>
      </c>
      <c r="I44" s="562"/>
      <c r="J44" s="562"/>
      <c r="K44" s="562"/>
      <c r="L44" s="562"/>
      <c r="M44" s="562"/>
      <c r="N44" s="562"/>
      <c r="O44" s="562"/>
      <c r="P44" s="562"/>
      <c r="Q44" s="562"/>
      <c r="R44" s="562"/>
      <c r="S44" s="562"/>
      <c r="T44" s="562"/>
      <c r="U44" s="562"/>
      <c r="V44" s="562"/>
      <c r="W44" s="562"/>
      <c r="X44" s="562"/>
      <c r="Y44" s="562"/>
      <c r="Z44" s="562"/>
      <c r="AA44" s="562"/>
      <c r="AB44" s="562"/>
      <c r="AC44" s="562">
        <v>0</v>
      </c>
      <c r="AD44" s="562">
        <v>0</v>
      </c>
      <c r="AE44" s="562">
        <v>0</v>
      </c>
      <c r="AF44" s="562">
        <v>0</v>
      </c>
      <c r="AG44" s="562">
        <v>0</v>
      </c>
      <c r="AH44" s="562">
        <v>0</v>
      </c>
      <c r="AI44" s="562">
        <f t="shared" si="25"/>
        <v>0</v>
      </c>
      <c r="AJ44" s="1" t="e">
        <f t="shared" si="17"/>
        <v>#DIV/0!</v>
      </c>
      <c r="AK44" s="562">
        <f t="shared" si="26"/>
        <v>0</v>
      </c>
      <c r="AL44" s="555" t="e">
        <f t="shared" ref="AL44" si="30">ROUND(AK44/AI44-1,4)</f>
        <v>#DIV/0!</v>
      </c>
    </row>
    <row r="45" spans="1:38" ht="13.5">
      <c r="A45" s="8" t="s">
        <v>155</v>
      </c>
      <c r="B45" s="630">
        <v>0</v>
      </c>
      <c r="C45" s="631">
        <f>3984106+627653</f>
        <v>4611759</v>
      </c>
      <c r="D45" s="1" t="e">
        <f t="shared" ref="D45" si="31">ROUND(C45/B45-1,4)</f>
        <v>#DIV/0!</v>
      </c>
      <c r="E45" s="562">
        <f>5646485+681578</f>
        <v>6328063</v>
      </c>
      <c r="F45" s="1">
        <f t="shared" ref="F45" si="32">ROUND(E45/C45-1,4)</f>
        <v>0.37219999999999998</v>
      </c>
      <c r="G45" s="562">
        <f>C45</f>
        <v>4611759</v>
      </c>
      <c r="H45" s="562">
        <f>G45</f>
        <v>4611759</v>
      </c>
      <c r="I45" s="562"/>
      <c r="J45" s="562"/>
      <c r="K45" s="562"/>
      <c r="L45" s="562"/>
      <c r="M45" s="562"/>
      <c r="N45" s="562"/>
      <c r="O45" s="562"/>
      <c r="P45" s="562"/>
      <c r="Q45" s="562"/>
      <c r="R45" s="562"/>
      <c r="S45" s="562"/>
      <c r="T45" s="562"/>
      <c r="U45" s="562"/>
      <c r="V45" s="562"/>
      <c r="W45" s="562"/>
      <c r="X45" s="562"/>
      <c r="Y45" s="562"/>
      <c r="Z45" s="562"/>
      <c r="AA45" s="562"/>
      <c r="AB45" s="562"/>
      <c r="AC45" s="562">
        <v>0</v>
      </c>
      <c r="AD45" s="562">
        <v>0</v>
      </c>
      <c r="AE45" s="562">
        <v>0</v>
      </c>
      <c r="AF45" s="562">
        <v>0</v>
      </c>
      <c r="AG45" s="562">
        <v>0</v>
      </c>
      <c r="AH45" s="562">
        <v>0</v>
      </c>
      <c r="AI45" s="562">
        <f t="shared" si="25"/>
        <v>4611759</v>
      </c>
      <c r="AJ45" s="1">
        <f t="shared" si="17"/>
        <v>0</v>
      </c>
      <c r="AK45" s="562">
        <f t="shared" si="26"/>
        <v>4611759</v>
      </c>
      <c r="AL45" s="555">
        <f t="shared" ref="AL45" si="33">ROUND(AK45/AI45-1,4)</f>
        <v>0</v>
      </c>
    </row>
    <row r="46" spans="1:38" ht="13.5">
      <c r="A46" s="8" t="s">
        <v>464</v>
      </c>
      <c r="B46" s="630">
        <v>588732</v>
      </c>
      <c r="C46" s="631">
        <v>588732</v>
      </c>
      <c r="D46" s="1">
        <f t="shared" si="27"/>
        <v>0</v>
      </c>
      <c r="E46" s="562">
        <v>588732</v>
      </c>
      <c r="F46" s="1">
        <f t="shared" si="28"/>
        <v>0</v>
      </c>
      <c r="G46" s="562">
        <f>E46</f>
        <v>588732</v>
      </c>
      <c r="H46" s="562">
        <f t="shared" si="22"/>
        <v>588732</v>
      </c>
      <c r="I46" s="562"/>
      <c r="J46" s="562"/>
      <c r="K46" s="562"/>
      <c r="L46" s="562"/>
      <c r="M46" s="562"/>
      <c r="N46" s="562"/>
      <c r="O46" s="562"/>
      <c r="P46" s="562"/>
      <c r="Q46" s="562"/>
      <c r="R46" s="562"/>
      <c r="S46" s="562"/>
      <c r="T46" s="562"/>
      <c r="U46" s="562"/>
      <c r="V46" s="562"/>
      <c r="W46" s="562"/>
      <c r="X46" s="562"/>
      <c r="Y46" s="562"/>
      <c r="Z46" s="562"/>
      <c r="AA46" s="562"/>
      <c r="AB46" s="562"/>
      <c r="AC46" s="562">
        <v>0</v>
      </c>
      <c r="AD46" s="562">
        <v>0</v>
      </c>
      <c r="AE46" s="562">
        <v>0</v>
      </c>
      <c r="AF46" s="562">
        <v>0</v>
      </c>
      <c r="AG46" s="562">
        <v>0</v>
      </c>
      <c r="AH46" s="562">
        <v>0</v>
      </c>
      <c r="AI46" s="562">
        <f t="shared" si="25"/>
        <v>588732</v>
      </c>
      <c r="AJ46" s="1">
        <f t="shared" si="17"/>
        <v>0</v>
      </c>
      <c r="AK46" s="562">
        <f t="shared" si="26"/>
        <v>588732</v>
      </c>
      <c r="AL46" s="555">
        <f t="shared" si="18"/>
        <v>0</v>
      </c>
    </row>
    <row r="47" spans="1:38" ht="13.5">
      <c r="A47" s="18" t="s">
        <v>191</v>
      </c>
      <c r="B47" s="634">
        <f>SUM(B24:B46)</f>
        <v>372977282</v>
      </c>
      <c r="C47" s="635">
        <f>SUM(C24:C46)</f>
        <v>368286245</v>
      </c>
      <c r="D47" s="557">
        <f t="shared" si="27"/>
        <v>-1.26E-2</v>
      </c>
      <c r="E47" s="635">
        <f>SUM(E24:E46)</f>
        <v>391669365</v>
      </c>
      <c r="F47" s="557">
        <f t="shared" si="28"/>
        <v>6.3500000000000001E-2</v>
      </c>
      <c r="G47" s="645">
        <f t="shared" ref="G47:AI47" si="34">SUM(G24:G46)</f>
        <v>368286245</v>
      </c>
      <c r="H47" s="645">
        <f t="shared" si="34"/>
        <v>368286245</v>
      </c>
      <c r="I47" s="645">
        <f t="shared" si="34"/>
        <v>414833</v>
      </c>
      <c r="J47" s="645">
        <f t="shared" si="34"/>
        <v>1462665</v>
      </c>
      <c r="K47" s="645">
        <f t="shared" si="34"/>
        <v>0</v>
      </c>
      <c r="L47" s="645">
        <f t="shared" si="34"/>
        <v>0</v>
      </c>
      <c r="M47" s="645">
        <f t="shared" si="34"/>
        <v>0</v>
      </c>
      <c r="N47" s="645">
        <f t="shared" si="34"/>
        <v>0</v>
      </c>
      <c r="O47" s="645">
        <f t="shared" si="34"/>
        <v>0</v>
      </c>
      <c r="P47" s="645">
        <f t="shared" si="34"/>
        <v>0</v>
      </c>
      <c r="Q47" s="645">
        <f t="shared" si="34"/>
        <v>0</v>
      </c>
      <c r="R47" s="645">
        <f t="shared" si="34"/>
        <v>0</v>
      </c>
      <c r="S47" s="645">
        <f t="shared" si="34"/>
        <v>0</v>
      </c>
      <c r="T47" s="645">
        <f t="shared" si="34"/>
        <v>0</v>
      </c>
      <c r="U47" s="645">
        <f t="shared" si="34"/>
        <v>0</v>
      </c>
      <c r="V47" s="645">
        <f t="shared" si="34"/>
        <v>0</v>
      </c>
      <c r="W47" s="645">
        <f>SUM(W24:W46)</f>
        <v>-52052912</v>
      </c>
      <c r="X47" s="645">
        <f>SUM(X24:X46)</f>
        <v>-48382960</v>
      </c>
      <c r="Y47" s="645">
        <f>SUM(Y24:Y46)</f>
        <v>0</v>
      </c>
      <c r="Z47" s="645">
        <f>SUM(Z24:Z46)</f>
        <v>0</v>
      </c>
      <c r="AA47" s="645">
        <f t="shared" si="34"/>
        <v>0</v>
      </c>
      <c r="AB47" s="645">
        <f t="shared" si="34"/>
        <v>0</v>
      </c>
      <c r="AC47" s="645">
        <f t="shared" ref="AC47:AH47" si="35">SUM(AC24:AC46)</f>
        <v>0</v>
      </c>
      <c r="AD47" s="645">
        <f t="shared" si="35"/>
        <v>0</v>
      </c>
      <c r="AE47" s="645">
        <f t="shared" si="35"/>
        <v>0</v>
      </c>
      <c r="AF47" s="645">
        <f t="shared" si="35"/>
        <v>0</v>
      </c>
      <c r="AG47" s="645">
        <f t="shared" si="35"/>
        <v>0</v>
      </c>
      <c r="AH47" s="645">
        <f t="shared" si="35"/>
        <v>0</v>
      </c>
      <c r="AI47" s="645">
        <f t="shared" si="34"/>
        <v>316648166</v>
      </c>
      <c r="AJ47" s="557">
        <f>ROUND(AI47/C47-1,4)</f>
        <v>-0.14019999999999999</v>
      </c>
      <c r="AK47" s="645">
        <f>SUM(AK24:AK46)</f>
        <v>321365950</v>
      </c>
      <c r="AL47" s="558">
        <f>ROUND(AK47/AI47-1,4)</f>
        <v>1.49E-2</v>
      </c>
    </row>
    <row r="48" spans="1:38" ht="13.5">
      <c r="A48" s="8" t="s">
        <v>192</v>
      </c>
      <c r="B48" s="630"/>
      <c r="C48" s="631"/>
      <c r="D48" s="1"/>
      <c r="E48" s="631"/>
      <c r="F48" s="1"/>
      <c r="G48" s="562"/>
      <c r="H48" s="562"/>
      <c r="I48" s="562"/>
      <c r="J48" s="562"/>
      <c r="K48" s="562"/>
      <c r="L48" s="562"/>
      <c r="M48" s="562"/>
      <c r="N48" s="562"/>
      <c r="O48" s="562"/>
      <c r="P48" s="562"/>
      <c r="Q48" s="562"/>
      <c r="R48" s="562"/>
      <c r="S48" s="562"/>
      <c r="T48" s="562"/>
      <c r="U48" s="562"/>
      <c r="V48" s="562"/>
      <c r="W48" s="562"/>
      <c r="X48" s="562"/>
      <c r="Y48" s="562"/>
      <c r="Z48" s="562"/>
      <c r="AA48" s="562"/>
      <c r="AB48" s="562"/>
      <c r="AC48" s="562"/>
      <c r="AD48" s="562"/>
      <c r="AE48" s="562"/>
      <c r="AF48" s="562"/>
      <c r="AG48" s="562"/>
      <c r="AH48" s="562"/>
      <c r="AI48" s="562"/>
      <c r="AJ48" s="1"/>
      <c r="AK48" s="562"/>
      <c r="AL48" s="555"/>
    </row>
    <row r="49" spans="1:38" ht="13.5">
      <c r="A49" s="8" t="s">
        <v>418</v>
      </c>
      <c r="B49" s="630">
        <v>5255992</v>
      </c>
      <c r="C49" s="631">
        <v>12421609</v>
      </c>
      <c r="D49" s="1">
        <f t="shared" ref="D49:D58" si="36">ROUND(C49/B49-1,4)</f>
        <v>1.3633</v>
      </c>
      <c r="E49" s="631">
        <v>2773528</v>
      </c>
      <c r="F49" s="1">
        <f t="shared" ref="F49:F58" si="37">ROUND(E49/C49-1,4)</f>
        <v>-0.77669999999999995</v>
      </c>
      <c r="G49" s="562">
        <v>0</v>
      </c>
      <c r="H49" s="562">
        <v>0</v>
      </c>
      <c r="I49" s="562">
        <f>M200EQP!S16</f>
        <v>-103341</v>
      </c>
      <c r="J49" s="562">
        <f>M200EQP!U16</f>
        <v>-59190</v>
      </c>
      <c r="K49" s="562"/>
      <c r="L49" s="562"/>
      <c r="M49" s="562"/>
      <c r="N49" s="562"/>
      <c r="O49" s="562"/>
      <c r="P49" s="562"/>
      <c r="Q49" s="562"/>
      <c r="R49" s="562"/>
      <c r="S49" s="562"/>
      <c r="T49" s="562"/>
      <c r="U49" s="562"/>
      <c r="V49" s="562"/>
      <c r="W49" s="562"/>
      <c r="X49" s="562"/>
      <c r="Y49" s="562">
        <f t="shared" ref="Y49:Z56" si="38">$C49</f>
        <v>12421609</v>
      </c>
      <c r="Z49" s="562">
        <f t="shared" si="38"/>
        <v>12421609</v>
      </c>
      <c r="AA49" s="562"/>
      <c r="AB49" s="562"/>
      <c r="AC49" s="562">
        <v>0</v>
      </c>
      <c r="AD49" s="562">
        <v>0</v>
      </c>
      <c r="AE49" s="562">
        <v>0</v>
      </c>
      <c r="AF49" s="562">
        <v>0</v>
      </c>
      <c r="AG49" s="562">
        <v>0</v>
      </c>
      <c r="AH49" s="562">
        <v>0</v>
      </c>
      <c r="AI49" s="562">
        <f>G49+I49+K49+M49+O49+Q49+S49+U49+W49+Y49+AA49+AG49+AC49+AE49</f>
        <v>12318268</v>
      </c>
      <c r="AJ49" s="1">
        <f t="shared" ref="AJ49:AJ56" si="39">ROUND(AI49/C49,4)-1</f>
        <v>-8.2999999999999741E-3</v>
      </c>
      <c r="AK49" s="562">
        <f>H49+J49+L49+N49+P49+R49+T49+V49+X49+Z49+AB49+AH49+AD49+AF49</f>
        <v>12362419</v>
      </c>
      <c r="AL49" s="555">
        <f t="shared" ref="AL49:AL56" si="40">ROUND(AK49/AI49-1,4)</f>
        <v>3.5999999999999999E-3</v>
      </c>
    </row>
    <row r="50" spans="1:38" ht="13.5">
      <c r="A50" s="8" t="s">
        <v>465</v>
      </c>
      <c r="B50" s="630">
        <v>1995000</v>
      </c>
      <c r="C50" s="631">
        <v>870000</v>
      </c>
      <c r="D50" s="1">
        <f t="shared" si="36"/>
        <v>-0.56389999999999996</v>
      </c>
      <c r="E50" s="562">
        <v>0</v>
      </c>
      <c r="F50" s="1">
        <f t="shared" si="37"/>
        <v>-1</v>
      </c>
      <c r="G50" s="562">
        <v>0</v>
      </c>
      <c r="H50" s="562">
        <f>G50</f>
        <v>0</v>
      </c>
      <c r="I50" s="562"/>
      <c r="J50" s="562"/>
      <c r="K50" s="562"/>
      <c r="L50" s="562"/>
      <c r="M50" s="562"/>
      <c r="N50" s="562"/>
      <c r="O50" s="562"/>
      <c r="P50" s="562"/>
      <c r="Q50" s="562"/>
      <c r="R50" s="562"/>
      <c r="S50" s="562"/>
      <c r="T50" s="562"/>
      <c r="U50" s="562"/>
      <c r="V50" s="562"/>
      <c r="W50" s="562"/>
      <c r="X50" s="562"/>
      <c r="Y50" s="562">
        <f>C50</f>
        <v>870000</v>
      </c>
      <c r="Z50" s="562">
        <f>Y50</f>
        <v>870000</v>
      </c>
      <c r="AA50" s="562"/>
      <c r="AB50" s="562"/>
      <c r="AC50" s="562">
        <v>0</v>
      </c>
      <c r="AD50" s="562">
        <v>0</v>
      </c>
      <c r="AE50" s="562">
        <v>0</v>
      </c>
      <c r="AF50" s="562">
        <v>0</v>
      </c>
      <c r="AG50" s="562">
        <v>0</v>
      </c>
      <c r="AH50" s="562">
        <v>0</v>
      </c>
      <c r="AI50" s="562">
        <f t="shared" ref="AI50:AI51" si="41">G50+I50+K50+M50+O50+Q50+S50+U50+W50+Y50+AA50+AG50+AC50+AE50</f>
        <v>870000</v>
      </c>
      <c r="AJ50" s="1">
        <f t="shared" si="39"/>
        <v>0</v>
      </c>
      <c r="AK50" s="562">
        <f t="shared" ref="AK50:AK51" si="42">H50+J50+L50+N50+P50+R50+T50+V50+X50+Z50+AB50+AH50+AD50+AF50</f>
        <v>870000</v>
      </c>
      <c r="AL50" s="555">
        <f t="shared" si="40"/>
        <v>0</v>
      </c>
    </row>
    <row r="51" spans="1:38" ht="13.5">
      <c r="A51" s="8" t="s">
        <v>455</v>
      </c>
      <c r="B51" s="630">
        <v>3053548</v>
      </c>
      <c r="C51" s="631">
        <v>2095024</v>
      </c>
      <c r="D51" s="1">
        <f t="shared" si="36"/>
        <v>-0.31390000000000001</v>
      </c>
      <c r="E51" s="631">
        <v>5176561</v>
      </c>
      <c r="F51" s="1">
        <f t="shared" si="37"/>
        <v>1.4709000000000001</v>
      </c>
      <c r="G51" s="562">
        <v>0</v>
      </c>
      <c r="H51" s="562">
        <v>0</v>
      </c>
      <c r="I51" s="562">
        <f>M200EQP!S17</f>
        <v>-17429</v>
      </c>
      <c r="J51" s="562">
        <f>M200EQP!U17</f>
        <v>-9966</v>
      </c>
      <c r="K51" s="562"/>
      <c r="L51" s="562"/>
      <c r="M51" s="562"/>
      <c r="N51" s="562"/>
      <c r="O51" s="562"/>
      <c r="P51" s="562"/>
      <c r="Q51" s="562"/>
      <c r="R51" s="562"/>
      <c r="S51" s="562"/>
      <c r="T51" s="562"/>
      <c r="U51" s="562"/>
      <c r="V51" s="562"/>
      <c r="W51" s="562"/>
      <c r="X51" s="562"/>
      <c r="Y51" s="562">
        <f t="shared" si="38"/>
        <v>2095024</v>
      </c>
      <c r="Z51" s="562">
        <f t="shared" si="38"/>
        <v>2095024</v>
      </c>
      <c r="AA51" s="562"/>
      <c r="AB51" s="562"/>
      <c r="AC51" s="562">
        <v>0</v>
      </c>
      <c r="AD51" s="562">
        <v>0</v>
      </c>
      <c r="AE51" s="562">
        <v>0</v>
      </c>
      <c r="AF51" s="562">
        <v>0</v>
      </c>
      <c r="AG51" s="562">
        <v>0</v>
      </c>
      <c r="AH51" s="562">
        <v>0</v>
      </c>
      <c r="AI51" s="562">
        <f t="shared" si="41"/>
        <v>2077595</v>
      </c>
      <c r="AJ51" s="1">
        <f t="shared" si="39"/>
        <v>-8.2999999999999741E-3</v>
      </c>
      <c r="AK51" s="562">
        <f t="shared" si="42"/>
        <v>2085058</v>
      </c>
      <c r="AL51" s="555">
        <f t="shared" si="40"/>
        <v>3.5999999999999999E-3</v>
      </c>
    </row>
    <row r="52" spans="1:38" ht="13.5">
      <c r="A52" s="8" t="s">
        <v>411</v>
      </c>
      <c r="B52" s="630">
        <v>1020155</v>
      </c>
      <c r="C52" s="631">
        <v>46734</v>
      </c>
      <c r="D52" s="1">
        <f t="shared" si="36"/>
        <v>-0.95420000000000005</v>
      </c>
      <c r="E52" s="631">
        <v>212200</v>
      </c>
      <c r="F52" s="1">
        <f t="shared" si="37"/>
        <v>3.5406</v>
      </c>
      <c r="G52" s="562">
        <v>0</v>
      </c>
      <c r="H52" s="562">
        <v>0</v>
      </c>
      <c r="I52" s="562">
        <f>M200EQP!S18</f>
        <v>-389</v>
      </c>
      <c r="J52" s="562">
        <f>M200EQP!U18</f>
        <v>-234</v>
      </c>
      <c r="K52" s="562"/>
      <c r="L52" s="562"/>
      <c r="M52" s="562"/>
      <c r="N52" s="562"/>
      <c r="O52" s="562"/>
      <c r="P52" s="562"/>
      <c r="Q52" s="562"/>
      <c r="R52" s="562"/>
      <c r="S52" s="562"/>
      <c r="T52" s="562"/>
      <c r="U52" s="562"/>
      <c r="V52" s="562"/>
      <c r="W52" s="562"/>
      <c r="X52" s="562"/>
      <c r="Y52" s="562">
        <f t="shared" si="38"/>
        <v>46734</v>
      </c>
      <c r="Z52" s="562">
        <f t="shared" si="38"/>
        <v>46734</v>
      </c>
      <c r="AA52" s="562"/>
      <c r="AB52" s="562"/>
      <c r="AC52" s="562">
        <v>0</v>
      </c>
      <c r="AD52" s="562">
        <v>0</v>
      </c>
      <c r="AE52" s="562">
        <v>0</v>
      </c>
      <c r="AF52" s="562">
        <v>0</v>
      </c>
      <c r="AG52" s="562">
        <v>0</v>
      </c>
      <c r="AH52" s="562">
        <v>0</v>
      </c>
      <c r="AI52" s="751">
        <f>G52+I52+K52+M52+O52+Q52+S52+U52+W52+Y52+AA52+AG52+AC52+AE52</f>
        <v>46345</v>
      </c>
      <c r="AJ52" s="752">
        <f t="shared" si="39"/>
        <v>-8.2999999999999741E-3</v>
      </c>
      <c r="AK52" s="753">
        <f t="shared" ref="AK52" si="43">H52+J52+L52+N52+P52+R52+T52+V52+X52+Z52+AB52+AH52+AD52</f>
        <v>46500</v>
      </c>
      <c r="AL52" s="555">
        <f t="shared" si="40"/>
        <v>3.3E-3</v>
      </c>
    </row>
    <row r="53" spans="1:38" ht="13.5">
      <c r="A53" s="8" t="s">
        <v>156</v>
      </c>
      <c r="B53" s="630"/>
      <c r="C53" s="631">
        <v>1411876</v>
      </c>
      <c r="D53" s="1" t="e">
        <f t="shared" si="36"/>
        <v>#DIV/0!</v>
      </c>
      <c r="E53" s="631">
        <v>6247090</v>
      </c>
      <c r="F53" s="1">
        <f t="shared" si="37"/>
        <v>3.4247000000000001</v>
      </c>
      <c r="G53" s="562">
        <v>0</v>
      </c>
      <c r="H53" s="562">
        <v>0</v>
      </c>
      <c r="I53" s="562"/>
      <c r="J53" s="562"/>
      <c r="K53" s="562"/>
      <c r="L53" s="562"/>
      <c r="M53" s="562"/>
      <c r="N53" s="562"/>
      <c r="O53" s="562"/>
      <c r="P53" s="562"/>
      <c r="Q53" s="562"/>
      <c r="R53" s="562"/>
      <c r="S53" s="562"/>
      <c r="T53" s="562"/>
      <c r="U53" s="562"/>
      <c r="V53" s="562"/>
      <c r="W53" s="562"/>
      <c r="X53" s="562"/>
      <c r="Y53" s="562">
        <f t="shared" si="38"/>
        <v>1411876</v>
      </c>
      <c r="Z53" s="562">
        <f t="shared" si="38"/>
        <v>1411876</v>
      </c>
      <c r="AA53" s="562"/>
      <c r="AB53" s="562"/>
      <c r="AC53" s="562">
        <v>0</v>
      </c>
      <c r="AD53" s="562">
        <v>0</v>
      </c>
      <c r="AE53" s="562">
        <v>0</v>
      </c>
      <c r="AF53" s="562">
        <v>0</v>
      </c>
      <c r="AG53" s="562">
        <v>0</v>
      </c>
      <c r="AH53" s="562">
        <v>0</v>
      </c>
      <c r="AI53" s="562">
        <f t="shared" ref="AI53:AI56" si="44">G53+I53+K53+M53+O53+Q53+S53+U53+W53+Y53+AA53+AG53+AC53</f>
        <v>1411876</v>
      </c>
      <c r="AJ53" s="1">
        <f t="shared" si="39"/>
        <v>0</v>
      </c>
      <c r="AK53" s="562">
        <f>H53+J53+L53+N53+P53+R53+T53+V53+X53+Z53+AB53+AH53+AD53+AF53</f>
        <v>1411876</v>
      </c>
      <c r="AL53" s="555">
        <f t="shared" si="40"/>
        <v>0</v>
      </c>
    </row>
    <row r="54" spans="1:38" ht="13.5">
      <c r="A54" s="8" t="s">
        <v>157</v>
      </c>
      <c r="B54" s="630"/>
      <c r="C54" s="631">
        <v>117889</v>
      </c>
      <c r="D54" s="1" t="e">
        <f t="shared" ref="D54" si="45">ROUND(C54/B54-1,4)</f>
        <v>#DIV/0!</v>
      </c>
      <c r="E54" s="631">
        <v>121612</v>
      </c>
      <c r="F54" s="1">
        <f t="shared" ref="F54" si="46">ROUND(E54/C54-1,4)</f>
        <v>3.1600000000000003E-2</v>
      </c>
      <c r="G54" s="562">
        <v>0</v>
      </c>
      <c r="H54" s="562">
        <v>0</v>
      </c>
      <c r="I54" s="562"/>
      <c r="J54" s="562"/>
      <c r="K54" s="562"/>
      <c r="L54" s="562"/>
      <c r="M54" s="562"/>
      <c r="N54" s="562"/>
      <c r="O54" s="562"/>
      <c r="P54" s="562"/>
      <c r="Q54" s="562"/>
      <c r="R54" s="562"/>
      <c r="S54" s="562"/>
      <c r="T54" s="562"/>
      <c r="U54" s="562"/>
      <c r="V54" s="562"/>
      <c r="W54" s="562"/>
      <c r="X54" s="562"/>
      <c r="Y54" s="562">
        <f t="shared" si="38"/>
        <v>117889</v>
      </c>
      <c r="Z54" s="562">
        <f t="shared" si="38"/>
        <v>117889</v>
      </c>
      <c r="AA54" s="562"/>
      <c r="AB54" s="562"/>
      <c r="AC54" s="562">
        <v>0</v>
      </c>
      <c r="AD54" s="562">
        <v>0</v>
      </c>
      <c r="AE54" s="562">
        <v>0</v>
      </c>
      <c r="AF54" s="562">
        <v>0</v>
      </c>
      <c r="AG54" s="562">
        <v>0</v>
      </c>
      <c r="AH54" s="562">
        <v>0</v>
      </c>
      <c r="AI54" s="562">
        <f t="shared" si="44"/>
        <v>117889</v>
      </c>
      <c r="AJ54" s="1">
        <f t="shared" si="39"/>
        <v>0</v>
      </c>
      <c r="AK54" s="562">
        <f t="shared" ref="AK54:AK56" si="47">H54+J54+L54+N54+P54+R54+T54+V54+X54+Z54+AB54+AH54+AD54+AF54</f>
        <v>117889</v>
      </c>
      <c r="AL54" s="555">
        <f t="shared" ref="AL54" si="48">ROUND(AK54/AI54-1,4)</f>
        <v>0</v>
      </c>
    </row>
    <row r="55" spans="1:38" ht="13.5">
      <c r="A55" s="8" t="s">
        <v>456</v>
      </c>
      <c r="B55" s="630">
        <v>5809066</v>
      </c>
      <c r="C55" s="631">
        <v>3582606</v>
      </c>
      <c r="D55" s="1">
        <f t="shared" si="36"/>
        <v>-0.38329999999999997</v>
      </c>
      <c r="E55" s="631">
        <v>3311490</v>
      </c>
      <c r="F55" s="1">
        <f t="shared" si="37"/>
        <v>-7.5700000000000003E-2</v>
      </c>
      <c r="G55" s="562">
        <v>0</v>
      </c>
      <c r="H55" s="562">
        <v>0</v>
      </c>
      <c r="I55" s="562">
        <f>M200EQP!S19</f>
        <v>-29805</v>
      </c>
      <c r="J55" s="562">
        <f>M200EQP!U19</f>
        <v>-17078</v>
      </c>
      <c r="K55" s="562"/>
      <c r="L55" s="562"/>
      <c r="M55" s="562"/>
      <c r="N55" s="562"/>
      <c r="O55" s="562"/>
      <c r="P55" s="562"/>
      <c r="Q55" s="562"/>
      <c r="R55" s="562"/>
      <c r="S55" s="562"/>
      <c r="T55" s="562"/>
      <c r="U55" s="562"/>
      <c r="V55" s="562"/>
      <c r="W55" s="562"/>
      <c r="X55" s="562"/>
      <c r="Y55" s="562">
        <f t="shared" si="38"/>
        <v>3582606</v>
      </c>
      <c r="Z55" s="562">
        <f t="shared" si="38"/>
        <v>3582606</v>
      </c>
      <c r="AA55" s="562"/>
      <c r="AB55" s="562"/>
      <c r="AC55" s="562">
        <v>0</v>
      </c>
      <c r="AD55" s="562">
        <v>0</v>
      </c>
      <c r="AE55" s="562">
        <v>0</v>
      </c>
      <c r="AF55" s="562">
        <v>0</v>
      </c>
      <c r="AG55" s="562">
        <v>0</v>
      </c>
      <c r="AH55" s="562">
        <v>0</v>
      </c>
      <c r="AI55" s="562">
        <f t="shared" si="44"/>
        <v>3552801</v>
      </c>
      <c r="AJ55" s="1">
        <f t="shared" si="39"/>
        <v>-8.2999999999999741E-3</v>
      </c>
      <c r="AK55" s="562">
        <f t="shared" si="47"/>
        <v>3565528</v>
      </c>
      <c r="AL55" s="555">
        <f t="shared" si="40"/>
        <v>3.5999999999999999E-3</v>
      </c>
    </row>
    <row r="56" spans="1:38" ht="13.5">
      <c r="A56" s="8" t="s">
        <v>466</v>
      </c>
      <c r="B56" s="630">
        <v>298516</v>
      </c>
      <c r="C56" s="631">
        <v>130074</v>
      </c>
      <c r="D56" s="1">
        <f>ROUND(C56/B56-1,4)</f>
        <v>-0.56430000000000002</v>
      </c>
      <c r="E56" s="562">
        <v>41880</v>
      </c>
      <c r="F56" s="1">
        <f>ROUND(E56/C56-1,4)</f>
        <v>-0.67800000000000005</v>
      </c>
      <c r="G56" s="562">
        <v>0</v>
      </c>
      <c r="H56" s="562">
        <f>G56</f>
        <v>0</v>
      </c>
      <c r="I56" s="562"/>
      <c r="J56" s="562"/>
      <c r="K56" s="562"/>
      <c r="L56" s="562"/>
      <c r="M56" s="562"/>
      <c r="N56" s="562"/>
      <c r="O56" s="562"/>
      <c r="P56" s="562"/>
      <c r="Q56" s="562"/>
      <c r="R56" s="562"/>
      <c r="S56" s="562"/>
      <c r="T56" s="562"/>
      <c r="U56" s="562"/>
      <c r="V56" s="562"/>
      <c r="W56" s="562"/>
      <c r="X56" s="562"/>
      <c r="Y56" s="562">
        <f t="shared" si="38"/>
        <v>130074</v>
      </c>
      <c r="Z56" s="562">
        <f t="shared" si="38"/>
        <v>130074</v>
      </c>
      <c r="AA56" s="562"/>
      <c r="AB56" s="562"/>
      <c r="AC56" s="562">
        <v>0</v>
      </c>
      <c r="AD56" s="562">
        <v>0</v>
      </c>
      <c r="AE56" s="562">
        <v>0</v>
      </c>
      <c r="AF56" s="562">
        <v>0</v>
      </c>
      <c r="AG56" s="562">
        <v>0</v>
      </c>
      <c r="AH56" s="562">
        <v>0</v>
      </c>
      <c r="AI56" s="562">
        <f t="shared" si="44"/>
        <v>130074</v>
      </c>
      <c r="AJ56" s="1">
        <f t="shared" si="39"/>
        <v>0</v>
      </c>
      <c r="AK56" s="562">
        <f t="shared" si="47"/>
        <v>130074</v>
      </c>
      <c r="AL56" s="555">
        <f t="shared" si="40"/>
        <v>0</v>
      </c>
    </row>
    <row r="57" spans="1:38" ht="13.5">
      <c r="A57" s="18" t="s">
        <v>193</v>
      </c>
      <c r="B57" s="634">
        <f>SUM(B49:B56)</f>
        <v>17432277</v>
      </c>
      <c r="C57" s="635">
        <f>SUM(C49:C56)</f>
        <v>20675812</v>
      </c>
      <c r="D57" s="557">
        <f t="shared" si="36"/>
        <v>0.18609999999999999</v>
      </c>
      <c r="E57" s="635">
        <f>SUM(E49:E56)</f>
        <v>17884361</v>
      </c>
      <c r="F57" s="557">
        <f t="shared" si="37"/>
        <v>-0.13500000000000001</v>
      </c>
      <c r="G57" s="645">
        <f t="shared" ref="G57:AI57" si="49">SUM(G49:G56)</f>
        <v>0</v>
      </c>
      <c r="H57" s="645">
        <f t="shared" si="49"/>
        <v>0</v>
      </c>
      <c r="I57" s="645">
        <f t="shared" si="49"/>
        <v>-150964</v>
      </c>
      <c r="J57" s="645">
        <f t="shared" si="49"/>
        <v>-86468</v>
      </c>
      <c r="K57" s="635">
        <f>SUM(K49:K56)</f>
        <v>0</v>
      </c>
      <c r="L57" s="635">
        <f>SUM(L49:L56)</f>
        <v>0</v>
      </c>
      <c r="M57" s="635">
        <f t="shared" si="49"/>
        <v>0</v>
      </c>
      <c r="N57" s="635">
        <f t="shared" si="49"/>
        <v>0</v>
      </c>
      <c r="O57" s="635">
        <f t="shared" si="49"/>
        <v>0</v>
      </c>
      <c r="P57" s="635">
        <f t="shared" si="49"/>
        <v>0</v>
      </c>
      <c r="Q57" s="635">
        <f>SUM(Q49:Q56)</f>
        <v>0</v>
      </c>
      <c r="R57" s="635">
        <f>SUM(R49:R56)</f>
        <v>0</v>
      </c>
      <c r="S57" s="635">
        <f>SUM(S49:S56)</f>
        <v>0</v>
      </c>
      <c r="T57" s="635">
        <f>SUM(T49:T56)</f>
        <v>0</v>
      </c>
      <c r="U57" s="635">
        <f t="shared" si="49"/>
        <v>0</v>
      </c>
      <c r="V57" s="635">
        <f t="shared" si="49"/>
        <v>0</v>
      </c>
      <c r="W57" s="635">
        <f>SUM(W49:W56)</f>
        <v>0</v>
      </c>
      <c r="X57" s="635">
        <f>SUM(X49:X56)</f>
        <v>0</v>
      </c>
      <c r="Y57" s="645">
        <f>SUM(Y49:Y56)</f>
        <v>20675812</v>
      </c>
      <c r="Z57" s="645">
        <f>SUM(Z49:Z56)</f>
        <v>20675812</v>
      </c>
      <c r="AA57" s="645">
        <f t="shared" si="49"/>
        <v>0</v>
      </c>
      <c r="AB57" s="645">
        <f t="shared" si="49"/>
        <v>0</v>
      </c>
      <c r="AC57" s="645">
        <f t="shared" ref="AC57:AH57" si="50">SUM(AC49:AC56)</f>
        <v>0</v>
      </c>
      <c r="AD57" s="645">
        <f t="shared" si="50"/>
        <v>0</v>
      </c>
      <c r="AE57" s="645">
        <f t="shared" si="50"/>
        <v>0</v>
      </c>
      <c r="AF57" s="645">
        <f t="shared" si="50"/>
        <v>0</v>
      </c>
      <c r="AG57" s="645">
        <f t="shared" si="50"/>
        <v>0</v>
      </c>
      <c r="AH57" s="645">
        <f t="shared" si="50"/>
        <v>0</v>
      </c>
      <c r="AI57" s="645">
        <f t="shared" si="49"/>
        <v>20524848</v>
      </c>
      <c r="AJ57" s="557">
        <f>ROUND(AI57/C57-1,4)</f>
        <v>-7.3000000000000001E-3</v>
      </c>
      <c r="AK57" s="645">
        <f>SUM(AK49:AK56)</f>
        <v>20589344</v>
      </c>
      <c r="AL57" s="558">
        <f>ROUND(AK57/AI57-1,4)</f>
        <v>3.0999999999999999E-3</v>
      </c>
    </row>
    <row r="58" spans="1:38" ht="13.5">
      <c r="A58" s="18" t="s">
        <v>194</v>
      </c>
      <c r="B58" s="628">
        <f>B21+B47+B57</f>
        <v>2999749861</v>
      </c>
      <c r="C58" s="629">
        <f>C21+C47+C57</f>
        <v>3009231136</v>
      </c>
      <c r="D58" s="553">
        <f t="shared" si="36"/>
        <v>3.2000000000000002E-3</v>
      </c>
      <c r="E58" s="629">
        <f>E21+E47+E57</f>
        <v>3045516703</v>
      </c>
      <c r="F58" s="553">
        <f t="shared" si="37"/>
        <v>1.21E-2</v>
      </c>
      <c r="G58" s="645">
        <f t="shared" ref="G58:AI58" si="51">G21+G47+G57</f>
        <v>3061157139</v>
      </c>
      <c r="H58" s="645">
        <f t="shared" si="51"/>
        <v>3108798595</v>
      </c>
      <c r="I58" s="645">
        <f t="shared" si="51"/>
        <v>-2900343.3400000334</v>
      </c>
      <c r="J58" s="645">
        <f t="shared" si="51"/>
        <v>5318235.6200000048</v>
      </c>
      <c r="K58" s="645">
        <f t="shared" si="51"/>
        <v>0</v>
      </c>
      <c r="L58" s="645">
        <f t="shared" si="51"/>
        <v>0</v>
      </c>
      <c r="M58" s="645">
        <f t="shared" si="51"/>
        <v>15761042.195000052</v>
      </c>
      <c r="N58" s="645">
        <f t="shared" si="51"/>
        <v>16116773.11499989</v>
      </c>
      <c r="O58" s="645">
        <f t="shared" si="51"/>
        <v>-59283769.502500057</v>
      </c>
      <c r="P58" s="645">
        <f t="shared" si="51"/>
        <v>-60469444.926249981</v>
      </c>
      <c r="Q58" s="645">
        <f t="shared" si="51"/>
        <v>0</v>
      </c>
      <c r="R58" s="645">
        <f t="shared" si="51"/>
        <v>0</v>
      </c>
      <c r="S58" s="645">
        <f t="shared" si="51"/>
        <v>-97802471.756150007</v>
      </c>
      <c r="T58" s="645">
        <f t="shared" si="51"/>
        <v>-100016344.15102482</v>
      </c>
      <c r="U58" s="645">
        <f t="shared" si="51"/>
        <v>0</v>
      </c>
      <c r="V58" s="645">
        <f t="shared" si="51"/>
        <v>0</v>
      </c>
      <c r="W58" s="645">
        <f>W21+W47+W57</f>
        <v>-52052912</v>
      </c>
      <c r="X58" s="645">
        <f>X21+X47+X57</f>
        <v>-48382960</v>
      </c>
      <c r="Y58" s="645">
        <f>Y21+Y47+Y57</f>
        <v>20675812</v>
      </c>
      <c r="Z58" s="645">
        <f>Z21+Z47+Z57</f>
        <v>20675812</v>
      </c>
      <c r="AA58" s="645">
        <f t="shared" si="51"/>
        <v>0</v>
      </c>
      <c r="AB58" s="645">
        <f t="shared" si="51"/>
        <v>0</v>
      </c>
      <c r="AC58" s="645">
        <f t="shared" ref="AC58:AH58" si="52">AC21+AC47+AC57</f>
        <v>0</v>
      </c>
      <c r="AD58" s="645">
        <f t="shared" si="52"/>
        <v>0</v>
      </c>
      <c r="AE58" s="645">
        <f t="shared" si="52"/>
        <v>0</v>
      </c>
      <c r="AF58" s="645">
        <f t="shared" si="52"/>
        <v>0</v>
      </c>
      <c r="AG58" s="645">
        <f t="shared" si="52"/>
        <v>0</v>
      </c>
      <c r="AH58" s="645">
        <f t="shared" si="52"/>
        <v>0</v>
      </c>
      <c r="AI58" s="645">
        <f t="shared" si="51"/>
        <v>2885554496.5963497</v>
      </c>
      <c r="AJ58" s="557">
        <f>ROUND(AI58/C58-1,4)</f>
        <v>-4.1099999999999998E-2</v>
      </c>
      <c r="AK58" s="645">
        <f>AK21+AK47+AK57</f>
        <v>2942040666.6577253</v>
      </c>
      <c r="AL58" s="558">
        <f>ROUND(AK58/AI58-1,4)</f>
        <v>1.9599999999999999E-2</v>
      </c>
    </row>
    <row r="59" spans="1:38" ht="13.5">
      <c r="A59" s="8" t="s">
        <v>467</v>
      </c>
      <c r="B59" s="636"/>
      <c r="C59" s="637"/>
      <c r="D59" s="559"/>
      <c r="E59" s="637"/>
      <c r="F59" s="559"/>
      <c r="G59" s="647"/>
      <c r="H59" s="647"/>
      <c r="I59" s="647"/>
      <c r="J59" s="647"/>
      <c r="K59" s="647"/>
      <c r="L59" s="647"/>
      <c r="M59" s="647"/>
      <c r="N59" s="647"/>
      <c r="O59" s="647"/>
      <c r="P59" s="647"/>
      <c r="Q59" s="647"/>
      <c r="R59" s="647"/>
      <c r="S59" s="647"/>
      <c r="T59" s="647"/>
      <c r="U59" s="647"/>
      <c r="V59" s="647"/>
      <c r="W59" s="647"/>
      <c r="X59" s="647"/>
      <c r="Y59" s="647"/>
      <c r="Z59" s="647"/>
      <c r="AA59" s="647"/>
      <c r="AB59" s="647"/>
      <c r="AC59" s="647"/>
      <c r="AD59" s="647"/>
      <c r="AE59" s="647"/>
      <c r="AF59" s="647"/>
      <c r="AG59" s="647"/>
      <c r="AH59" s="647"/>
      <c r="AI59" s="647"/>
      <c r="AJ59" s="559"/>
      <c r="AK59" s="647"/>
      <c r="AL59" s="560"/>
    </row>
    <row r="60" spans="1:38" ht="13.5">
      <c r="A60" s="8" t="s">
        <v>468</v>
      </c>
      <c r="B60" s="630">
        <v>23415652</v>
      </c>
      <c r="C60" s="631">
        <f>19397308-69149</f>
        <v>19328159</v>
      </c>
      <c r="D60" s="1">
        <f t="shared" ref="D60:D69" si="53">ROUND(C60/B60-1,4)</f>
        <v>-0.17460000000000001</v>
      </c>
      <c r="E60" s="562">
        <f>15518220</f>
        <v>15518220</v>
      </c>
      <c r="F60" s="1">
        <f t="shared" ref="F60:F69" si="54">ROUND(E60/C60-1,4)</f>
        <v>-0.1971</v>
      </c>
      <c r="G60" s="631">
        <f>C60</f>
        <v>19328159</v>
      </c>
      <c r="H60" s="631">
        <f>G60</f>
        <v>19328159</v>
      </c>
      <c r="I60" s="562"/>
      <c r="J60" s="562"/>
      <c r="K60" s="562"/>
      <c r="L60" s="562"/>
      <c r="M60" s="562"/>
      <c r="N60" s="562"/>
      <c r="O60" s="562"/>
      <c r="P60" s="562"/>
      <c r="Q60" s="562"/>
      <c r="R60" s="562"/>
      <c r="S60" s="562"/>
      <c r="T60" s="562"/>
      <c r="U60" s="562"/>
      <c r="V60" s="562"/>
      <c r="W60" s="562"/>
      <c r="X60" s="562"/>
      <c r="Y60" s="562"/>
      <c r="Z60" s="562"/>
      <c r="AA60" s="562"/>
      <c r="AB60" s="562"/>
      <c r="AC60" s="562"/>
      <c r="AD60" s="562"/>
      <c r="AE60" s="562"/>
      <c r="AF60" s="562"/>
      <c r="AG60" s="562"/>
      <c r="AH60" s="562"/>
      <c r="AI60" s="562">
        <f>G60+I60+K60+M60+O60+Q60+S60+U60+W60+Y60+AA60+AG60+AC60+AE60</f>
        <v>19328159</v>
      </c>
      <c r="AJ60" s="1">
        <f t="shared" ref="AJ60:AJ66" si="55">ROUND(AI60/C60,4)-1</f>
        <v>0</v>
      </c>
      <c r="AK60" s="562">
        <f>H60+J60+L60+N60+P60+R60+T60+V60+X60+Z60+AB60+AH60+AD60+AF60</f>
        <v>19328159</v>
      </c>
      <c r="AL60" s="555">
        <f t="shared" ref="AL60:AL70" si="56">ROUND(AK60/AI60-1,4)</f>
        <v>0</v>
      </c>
    </row>
    <row r="61" spans="1:38" ht="13.5">
      <c r="A61" s="8" t="s">
        <v>409</v>
      </c>
      <c r="B61" s="630">
        <v>21170456</v>
      </c>
      <c r="C61" s="631">
        <v>21170456</v>
      </c>
      <c r="D61" s="1">
        <f t="shared" si="53"/>
        <v>0</v>
      </c>
      <c r="E61" s="562">
        <v>22673833</v>
      </c>
      <c r="F61" s="1">
        <f t="shared" si="54"/>
        <v>7.0999999999999994E-2</v>
      </c>
      <c r="G61" s="631">
        <f>'Adult Ed'!G5</f>
        <v>22918550</v>
      </c>
      <c r="H61" s="631">
        <f>'Adult Ed'!H5</f>
        <v>23376921</v>
      </c>
      <c r="I61" s="562">
        <f>'Adult Ed'!I5</f>
        <v>-4600849.9907522686</v>
      </c>
      <c r="J61" s="562">
        <f>'Adult Ed'!J5</f>
        <v>-4255153.4573699124</v>
      </c>
      <c r="K61" s="562"/>
      <c r="L61" s="562"/>
      <c r="M61" s="562">
        <f>'Adult Ed'!K5</f>
        <v>108428</v>
      </c>
      <c r="N61" s="562">
        <f>'Adult Ed'!L5</f>
        <v>113413</v>
      </c>
      <c r="O61" s="562">
        <f>'Adult Ed'!M5</f>
        <v>-460653</v>
      </c>
      <c r="P61" s="562">
        <f>'Adult Ed'!N5</f>
        <v>-480880</v>
      </c>
      <c r="Q61" s="562">
        <f>'Adult Ed'!O5</f>
        <v>0</v>
      </c>
      <c r="R61" s="562">
        <f>'Adult Ed'!P5</f>
        <v>0</v>
      </c>
      <c r="S61" s="562">
        <f>'Adult Ed'!Q5</f>
        <v>-953518</v>
      </c>
      <c r="T61" s="562">
        <f>'Adult Ed'!R5</f>
        <v>-995385</v>
      </c>
      <c r="U61" s="562"/>
      <c r="V61" s="562"/>
      <c r="W61" s="562"/>
      <c r="X61" s="562"/>
      <c r="Y61" s="562"/>
      <c r="Z61" s="562"/>
      <c r="AA61" s="562"/>
      <c r="AB61" s="562"/>
      <c r="AC61" s="562"/>
      <c r="AD61" s="562"/>
      <c r="AE61" s="562"/>
      <c r="AF61" s="562"/>
      <c r="AG61" s="562"/>
      <c r="AH61" s="562"/>
      <c r="AI61" s="562">
        <f t="shared" ref="AI61:AI66" si="57">G61+I61+K61+M61+O61+Q61+S61+U61+W61+Y61+AA61+AG61+AC61+AE61</f>
        <v>17011957.009247731</v>
      </c>
      <c r="AJ61" s="1">
        <f t="shared" si="55"/>
        <v>-0.19640000000000002</v>
      </c>
      <c r="AK61" s="562">
        <f t="shared" ref="AK61:AK66" si="58">H61+J61+L61+N61+P61+R61+T61+V61+X61+Z61+AB61+AH61+AD61+AF61</f>
        <v>17758915.542630088</v>
      </c>
      <c r="AL61" s="555">
        <f t="shared" si="56"/>
        <v>4.3900000000000002E-2</v>
      </c>
    </row>
    <row r="62" spans="1:38" ht="13.5">
      <c r="A62" s="8" t="s">
        <v>410</v>
      </c>
      <c r="B62" s="630">
        <v>0</v>
      </c>
      <c r="C62" s="631"/>
      <c r="D62" s="1" t="e">
        <f t="shared" si="53"/>
        <v>#DIV/0!</v>
      </c>
      <c r="E62" s="562"/>
      <c r="F62" s="1" t="e">
        <f t="shared" si="54"/>
        <v>#DIV/0!</v>
      </c>
      <c r="G62" s="631">
        <f>C62</f>
        <v>0</v>
      </c>
      <c r="H62" s="631">
        <f>G62</f>
        <v>0</v>
      </c>
      <c r="I62" s="562"/>
      <c r="J62" s="562"/>
      <c r="K62" s="562"/>
      <c r="L62" s="562"/>
      <c r="M62" s="562"/>
      <c r="N62" s="562"/>
      <c r="O62" s="562"/>
      <c r="P62" s="562"/>
      <c r="Q62" s="562"/>
      <c r="R62" s="562"/>
      <c r="S62" s="562"/>
      <c r="T62" s="562"/>
      <c r="U62" s="562">
        <f t="shared" ref="U62:V64" si="59">-U89</f>
        <v>8798548</v>
      </c>
      <c r="V62" s="562">
        <f t="shared" si="59"/>
        <v>8396675</v>
      </c>
      <c r="W62" s="562"/>
      <c r="X62" s="562"/>
      <c r="Y62" s="562"/>
      <c r="Z62" s="562"/>
      <c r="AA62" s="562"/>
      <c r="AB62" s="562"/>
      <c r="AC62" s="562"/>
      <c r="AD62" s="562"/>
      <c r="AE62" s="562"/>
      <c r="AF62" s="562"/>
      <c r="AG62" s="562"/>
      <c r="AH62" s="562"/>
      <c r="AI62" s="562">
        <f t="shared" si="57"/>
        <v>8798548</v>
      </c>
      <c r="AJ62" s="1" t="e">
        <f t="shared" si="55"/>
        <v>#DIV/0!</v>
      </c>
      <c r="AK62" s="562">
        <f t="shared" si="58"/>
        <v>8396675</v>
      </c>
      <c r="AL62" s="555">
        <f t="shared" si="56"/>
        <v>-4.5699999999999998E-2</v>
      </c>
    </row>
    <row r="63" spans="1:38" ht="13.5">
      <c r="A63" s="8" t="s">
        <v>159</v>
      </c>
      <c r="B63" s="630">
        <v>0</v>
      </c>
      <c r="C63" s="631">
        <v>398722</v>
      </c>
      <c r="D63" s="1" t="e">
        <f t="shared" ref="D63" si="60">ROUND(C63/B63-1,4)</f>
        <v>#DIV/0!</v>
      </c>
      <c r="E63" s="562"/>
      <c r="F63" s="1">
        <f t="shared" ref="F63" si="61">ROUND(E63/C63-1,4)</f>
        <v>-1</v>
      </c>
      <c r="G63" s="631">
        <f>C63</f>
        <v>398722</v>
      </c>
      <c r="H63" s="631">
        <f>G63</f>
        <v>398722</v>
      </c>
      <c r="I63" s="562"/>
      <c r="J63" s="562"/>
      <c r="K63" s="562"/>
      <c r="L63" s="562"/>
      <c r="M63" s="562"/>
      <c r="N63" s="562"/>
      <c r="O63" s="562"/>
      <c r="P63" s="562"/>
      <c r="Q63" s="562"/>
      <c r="R63" s="562"/>
      <c r="S63" s="562"/>
      <c r="T63" s="562"/>
      <c r="U63" s="562">
        <f t="shared" si="59"/>
        <v>0</v>
      </c>
      <c r="V63" s="562">
        <f t="shared" si="59"/>
        <v>0</v>
      </c>
      <c r="W63" s="562"/>
      <c r="X63" s="562"/>
      <c r="Y63" s="562"/>
      <c r="Z63" s="562"/>
      <c r="AA63" s="562"/>
      <c r="AB63" s="562"/>
      <c r="AC63" s="562"/>
      <c r="AD63" s="562"/>
      <c r="AE63" s="562"/>
      <c r="AF63" s="562"/>
      <c r="AG63" s="562"/>
      <c r="AH63" s="562"/>
      <c r="AI63" s="562">
        <f t="shared" si="57"/>
        <v>398722</v>
      </c>
      <c r="AJ63" s="1">
        <f t="shared" si="55"/>
        <v>0</v>
      </c>
      <c r="AK63" s="562">
        <f t="shared" si="58"/>
        <v>398722</v>
      </c>
      <c r="AL63" s="555">
        <f t="shared" ref="AL63" si="62">ROUND(AK63/AI63-1,4)</f>
        <v>0</v>
      </c>
    </row>
    <row r="64" spans="1:38" ht="13.5">
      <c r="A64" s="8" t="s">
        <v>158</v>
      </c>
      <c r="B64" s="630">
        <v>0</v>
      </c>
      <c r="C64" s="631">
        <f>1915583</f>
        <v>1915583</v>
      </c>
      <c r="D64" s="1" t="e">
        <f t="shared" ref="D64" si="63">ROUND(C64/B64-1,4)</f>
        <v>#DIV/0!</v>
      </c>
      <c r="E64" s="562"/>
      <c r="F64" s="1">
        <f t="shared" ref="F64" si="64">ROUND(E64/C64-1,4)</f>
        <v>-1</v>
      </c>
      <c r="G64" s="631">
        <v>0</v>
      </c>
      <c r="H64" s="631">
        <f>G64</f>
        <v>0</v>
      </c>
      <c r="I64" s="562"/>
      <c r="J64" s="562"/>
      <c r="K64" s="562"/>
      <c r="L64" s="562"/>
      <c r="M64" s="562"/>
      <c r="N64" s="562"/>
      <c r="O64" s="562"/>
      <c r="P64" s="562"/>
      <c r="Q64" s="562"/>
      <c r="R64" s="562"/>
      <c r="S64" s="562"/>
      <c r="T64" s="562"/>
      <c r="U64" s="562">
        <f t="shared" si="59"/>
        <v>0</v>
      </c>
      <c r="V64" s="562">
        <f t="shared" si="59"/>
        <v>0</v>
      </c>
      <c r="W64" s="562"/>
      <c r="X64" s="562"/>
      <c r="Y64" s="562"/>
      <c r="Z64" s="562"/>
      <c r="AA64" s="562"/>
      <c r="AB64" s="562"/>
      <c r="AC64" s="562"/>
      <c r="AD64" s="562"/>
      <c r="AE64" s="562"/>
      <c r="AF64" s="562"/>
      <c r="AG64" s="562"/>
      <c r="AH64" s="562"/>
      <c r="AI64" s="562">
        <f t="shared" si="57"/>
        <v>0</v>
      </c>
      <c r="AJ64" s="1">
        <f t="shared" si="55"/>
        <v>-1</v>
      </c>
      <c r="AK64" s="562">
        <f t="shared" si="58"/>
        <v>0</v>
      </c>
      <c r="AL64" s="555" t="e">
        <f t="shared" ref="AL64" si="65">ROUND(AK64/AI64-1,4)</f>
        <v>#DIV/0!</v>
      </c>
    </row>
    <row r="65" spans="1:38" ht="13.5">
      <c r="A65" s="8" t="s">
        <v>195</v>
      </c>
      <c r="B65" s="630">
        <v>3615476</v>
      </c>
      <c r="C65" s="631">
        <f>6411917</f>
        <v>6411917</v>
      </c>
      <c r="D65" s="1">
        <f t="shared" si="53"/>
        <v>0.77349999999999997</v>
      </c>
      <c r="E65" s="562">
        <v>7988911</v>
      </c>
      <c r="F65" s="1">
        <f t="shared" si="54"/>
        <v>0.24590000000000001</v>
      </c>
      <c r="G65" s="631">
        <v>0</v>
      </c>
      <c r="H65" s="631">
        <f>G65</f>
        <v>0</v>
      </c>
      <c r="I65" s="562"/>
      <c r="J65" s="562"/>
      <c r="K65" s="562"/>
      <c r="L65" s="562"/>
      <c r="M65" s="562"/>
      <c r="N65" s="562"/>
      <c r="O65" s="562"/>
      <c r="P65" s="562"/>
      <c r="Q65" s="562"/>
      <c r="R65" s="562"/>
      <c r="S65" s="562"/>
      <c r="T65" s="562"/>
      <c r="U65" s="562"/>
      <c r="V65" s="562"/>
      <c r="W65" s="562"/>
      <c r="X65" s="562"/>
      <c r="Y65" s="562"/>
      <c r="Z65" s="562"/>
      <c r="AA65" s="562"/>
      <c r="AB65" s="562"/>
      <c r="AC65" s="562"/>
      <c r="AD65" s="562"/>
      <c r="AE65" s="562"/>
      <c r="AF65" s="562"/>
      <c r="AG65" s="562"/>
      <c r="AH65" s="562"/>
      <c r="AI65" s="562">
        <f t="shared" si="57"/>
        <v>0</v>
      </c>
      <c r="AJ65" s="1">
        <f t="shared" si="55"/>
        <v>-1</v>
      </c>
      <c r="AK65" s="562">
        <f t="shared" si="58"/>
        <v>0</v>
      </c>
      <c r="AL65" s="555" t="e">
        <f t="shared" si="56"/>
        <v>#DIV/0!</v>
      </c>
    </row>
    <row r="66" spans="1:38" ht="13.5">
      <c r="A66" s="582" t="s">
        <v>196</v>
      </c>
      <c r="B66" s="631">
        <v>0</v>
      </c>
      <c r="C66" s="631">
        <f>5421341+3527237+2341589+122930141</f>
        <v>134220308</v>
      </c>
      <c r="D66" s="1" t="e">
        <f t="shared" si="53"/>
        <v>#DIV/0!</v>
      </c>
      <c r="E66" s="562">
        <f>45610113+3143328-5120204</f>
        <v>43633237</v>
      </c>
      <c r="F66" s="1">
        <f t="shared" si="54"/>
        <v>-0.67490000000000006</v>
      </c>
      <c r="G66" s="631">
        <v>0</v>
      </c>
      <c r="H66" s="631">
        <f>G66</f>
        <v>0</v>
      </c>
      <c r="I66" s="562"/>
      <c r="J66" s="562"/>
      <c r="K66" s="562"/>
      <c r="L66" s="562"/>
      <c r="M66" s="562"/>
      <c r="N66" s="562"/>
      <c r="O66" s="562"/>
      <c r="P66" s="562"/>
      <c r="Q66" s="562"/>
      <c r="R66" s="562"/>
      <c r="S66" s="562"/>
      <c r="T66" s="562"/>
      <c r="U66" s="562"/>
      <c r="V66" s="562"/>
      <c r="W66" s="562"/>
      <c r="X66" s="562"/>
      <c r="Y66" s="562"/>
      <c r="Z66" s="562"/>
      <c r="AA66" s="562"/>
      <c r="AB66" s="562"/>
      <c r="AC66" s="562"/>
      <c r="AD66" s="562"/>
      <c r="AE66" s="562"/>
      <c r="AF66" s="562"/>
      <c r="AG66" s="562"/>
      <c r="AH66" s="562"/>
      <c r="AI66" s="562">
        <f t="shared" si="57"/>
        <v>0</v>
      </c>
      <c r="AJ66" s="1">
        <f t="shared" si="55"/>
        <v>-1</v>
      </c>
      <c r="AK66" s="562">
        <f t="shared" si="58"/>
        <v>0</v>
      </c>
      <c r="AL66" s="555" t="e">
        <f t="shared" si="56"/>
        <v>#DIV/0!</v>
      </c>
    </row>
    <row r="67" spans="1:38" ht="13.5">
      <c r="A67" s="94" t="s">
        <v>469</v>
      </c>
      <c r="B67" s="635">
        <f>SUM(B60:B66)</f>
        <v>48201584</v>
      </c>
      <c r="C67" s="635">
        <f>SUM(C60:C66)</f>
        <v>183445145</v>
      </c>
      <c r="D67" s="557">
        <f t="shared" si="53"/>
        <v>2.8058000000000001</v>
      </c>
      <c r="E67" s="635">
        <f>SUM(E60:E66)</f>
        <v>89814201</v>
      </c>
      <c r="F67" s="557">
        <f t="shared" si="54"/>
        <v>-0.51039999999999996</v>
      </c>
      <c r="G67" s="635">
        <f t="shared" ref="G67:AI67" si="66">SUM(G60:G66)</f>
        <v>42645431</v>
      </c>
      <c r="H67" s="635">
        <f t="shared" si="66"/>
        <v>43103802</v>
      </c>
      <c r="I67" s="635">
        <f t="shared" si="66"/>
        <v>-4600849.9907522686</v>
      </c>
      <c r="J67" s="635">
        <f t="shared" si="66"/>
        <v>-4255153.4573699124</v>
      </c>
      <c r="K67" s="635">
        <f t="shared" si="66"/>
        <v>0</v>
      </c>
      <c r="L67" s="635">
        <f t="shared" si="66"/>
        <v>0</v>
      </c>
      <c r="M67" s="635">
        <f t="shared" si="66"/>
        <v>108428</v>
      </c>
      <c r="N67" s="635">
        <f t="shared" si="66"/>
        <v>113413</v>
      </c>
      <c r="O67" s="635">
        <f t="shared" si="66"/>
        <v>-460653</v>
      </c>
      <c r="P67" s="635">
        <f t="shared" si="66"/>
        <v>-480880</v>
      </c>
      <c r="Q67" s="635">
        <f>SUM(Q60:Q66)</f>
        <v>0</v>
      </c>
      <c r="R67" s="635">
        <f>SUM(R60:R66)</f>
        <v>0</v>
      </c>
      <c r="S67" s="635">
        <f>SUM(S60:S66)</f>
        <v>-953518</v>
      </c>
      <c r="T67" s="635">
        <f>SUM(T60:T66)</f>
        <v>-995385</v>
      </c>
      <c r="U67" s="635">
        <f t="shared" si="66"/>
        <v>8798548</v>
      </c>
      <c r="V67" s="635">
        <f t="shared" si="66"/>
        <v>8396675</v>
      </c>
      <c r="W67" s="635">
        <f>SUM(W60:W66)</f>
        <v>0</v>
      </c>
      <c r="X67" s="635">
        <f>SUM(X60:X66)</f>
        <v>0</v>
      </c>
      <c r="Y67" s="635">
        <f>SUM(Y60:Y66)</f>
        <v>0</v>
      </c>
      <c r="Z67" s="635">
        <f>SUM(Z60:Z66)</f>
        <v>0</v>
      </c>
      <c r="AA67" s="635">
        <f t="shared" si="66"/>
        <v>0</v>
      </c>
      <c r="AB67" s="635">
        <f t="shared" si="66"/>
        <v>0</v>
      </c>
      <c r="AC67" s="635">
        <f t="shared" ref="AC67:AH67" si="67">SUM(AC60:AC66)</f>
        <v>0</v>
      </c>
      <c r="AD67" s="635">
        <f t="shared" si="67"/>
        <v>0</v>
      </c>
      <c r="AE67" s="635">
        <f t="shared" si="67"/>
        <v>0</v>
      </c>
      <c r="AF67" s="635">
        <f t="shared" si="67"/>
        <v>0</v>
      </c>
      <c r="AG67" s="635">
        <f t="shared" si="67"/>
        <v>0</v>
      </c>
      <c r="AH67" s="635">
        <f t="shared" si="67"/>
        <v>0</v>
      </c>
      <c r="AI67" s="635">
        <f t="shared" si="66"/>
        <v>45537386.009247735</v>
      </c>
      <c r="AJ67" s="557">
        <f>ROUND(AI67/C67-1,4)</f>
        <v>-0.75180000000000002</v>
      </c>
      <c r="AK67" s="635">
        <f>SUM(AK60:AK66)</f>
        <v>45882471.542630091</v>
      </c>
      <c r="AL67" s="558">
        <f t="shared" si="56"/>
        <v>7.6E-3</v>
      </c>
    </row>
    <row r="68" spans="1:38" ht="13.5">
      <c r="A68" s="94" t="s">
        <v>194</v>
      </c>
      <c r="B68" s="629">
        <f>B58+B67</f>
        <v>3047951445</v>
      </c>
      <c r="C68" s="629">
        <f>C58+C67</f>
        <v>3192676281</v>
      </c>
      <c r="D68" s="553">
        <f t="shared" si="53"/>
        <v>4.7500000000000001E-2</v>
      </c>
      <c r="E68" s="629">
        <f>E58+E67</f>
        <v>3135330904</v>
      </c>
      <c r="F68" s="553">
        <f t="shared" si="54"/>
        <v>-1.7999999999999999E-2</v>
      </c>
      <c r="G68" s="629">
        <f t="shared" ref="G68:AI68" si="68">G58+G67</f>
        <v>3103802570</v>
      </c>
      <c r="H68" s="629">
        <f t="shared" si="68"/>
        <v>3151902397</v>
      </c>
      <c r="I68" s="629">
        <f t="shared" si="68"/>
        <v>-7501193.330752302</v>
      </c>
      <c r="J68" s="629">
        <f t="shared" si="68"/>
        <v>1063082.1626300924</v>
      </c>
      <c r="K68" s="629">
        <f t="shared" si="68"/>
        <v>0</v>
      </c>
      <c r="L68" s="629">
        <f t="shared" si="68"/>
        <v>0</v>
      </c>
      <c r="M68" s="629">
        <f t="shared" si="68"/>
        <v>15869470.195000052</v>
      </c>
      <c r="N68" s="629">
        <f t="shared" si="68"/>
        <v>16230186.11499989</v>
      </c>
      <c r="O68" s="629">
        <f t="shared" si="68"/>
        <v>-59744422.502500057</v>
      </c>
      <c r="P68" s="629">
        <f t="shared" si="68"/>
        <v>-60950324.926249981</v>
      </c>
      <c r="Q68" s="629">
        <f>Q58+Q67</f>
        <v>0</v>
      </c>
      <c r="R68" s="629">
        <f>R58+R67</f>
        <v>0</v>
      </c>
      <c r="S68" s="629">
        <f>S58+S67</f>
        <v>-98755989.756150007</v>
      </c>
      <c r="T68" s="629">
        <f>T58+T67</f>
        <v>-101011729.15102482</v>
      </c>
      <c r="U68" s="629">
        <f t="shared" si="68"/>
        <v>8798548</v>
      </c>
      <c r="V68" s="629">
        <f t="shared" si="68"/>
        <v>8396675</v>
      </c>
      <c r="W68" s="629">
        <f>W58+W67</f>
        <v>-52052912</v>
      </c>
      <c r="X68" s="629">
        <f>X58+X67</f>
        <v>-48382960</v>
      </c>
      <c r="Y68" s="629">
        <f>Y58+Y67</f>
        <v>20675812</v>
      </c>
      <c r="Z68" s="629">
        <f>Z58+Z67</f>
        <v>20675812</v>
      </c>
      <c r="AA68" s="629">
        <f t="shared" si="68"/>
        <v>0</v>
      </c>
      <c r="AB68" s="629">
        <f t="shared" si="68"/>
        <v>0</v>
      </c>
      <c r="AC68" s="629">
        <f t="shared" ref="AC68:AH68" si="69">AC58+AC67</f>
        <v>0</v>
      </c>
      <c r="AD68" s="629">
        <f t="shared" si="69"/>
        <v>0</v>
      </c>
      <c r="AE68" s="629">
        <f t="shared" si="69"/>
        <v>0</v>
      </c>
      <c r="AF68" s="629">
        <f t="shared" si="69"/>
        <v>0</v>
      </c>
      <c r="AG68" s="629">
        <f t="shared" si="69"/>
        <v>0</v>
      </c>
      <c r="AH68" s="629">
        <f t="shared" si="69"/>
        <v>0</v>
      </c>
      <c r="AI68" s="629">
        <f t="shared" si="68"/>
        <v>2931091882.6055975</v>
      </c>
      <c r="AJ68" s="557">
        <f>ROUND(AI68/C68-1,4)</f>
        <v>-8.1900000000000001E-2</v>
      </c>
      <c r="AK68" s="629">
        <f>AK58+AK67</f>
        <v>2987923138.2003555</v>
      </c>
      <c r="AL68" s="558">
        <f t="shared" si="56"/>
        <v>1.9400000000000001E-2</v>
      </c>
    </row>
    <row r="69" spans="1:38" ht="13.5">
      <c r="A69" s="582" t="s">
        <v>197</v>
      </c>
      <c r="B69" s="633">
        <v>249763067</v>
      </c>
      <c r="C69" s="633">
        <v>162650614</v>
      </c>
      <c r="D69" s="1">
        <f t="shared" si="53"/>
        <v>-0.3488</v>
      </c>
      <c r="E69" s="633">
        <v>81986721</v>
      </c>
      <c r="F69" s="556">
        <f t="shared" si="54"/>
        <v>-0.49590000000000001</v>
      </c>
      <c r="G69" s="633">
        <f>E69</f>
        <v>81986721</v>
      </c>
      <c r="H69" s="633">
        <f>G69</f>
        <v>81986721</v>
      </c>
      <c r="I69" s="666"/>
      <c r="J69" s="666"/>
      <c r="K69" s="666"/>
      <c r="L69" s="666"/>
      <c r="M69" s="666"/>
      <c r="N69" s="666"/>
      <c r="O69" s="666"/>
      <c r="P69" s="666"/>
      <c r="Q69" s="666"/>
      <c r="R69" s="666"/>
      <c r="S69" s="666"/>
      <c r="T69" s="666"/>
      <c r="U69" s="666"/>
      <c r="V69" s="666"/>
      <c r="W69" s="666"/>
      <c r="X69" s="666"/>
      <c r="Y69" s="666"/>
      <c r="Z69" s="666"/>
      <c r="AA69" s="666"/>
      <c r="AB69" s="666"/>
      <c r="AC69" s="562"/>
      <c r="AD69" s="562"/>
      <c r="AE69" s="562"/>
      <c r="AF69" s="562"/>
      <c r="AG69" s="562"/>
      <c r="AH69" s="562"/>
      <c r="AI69" s="562">
        <f>G69+I69+K69+M69+O69+Q69+S69+U69+W69+Y69+AA69+AG69+AE69+AC69</f>
        <v>81986721</v>
      </c>
      <c r="AJ69" s="1">
        <f>ROUND(AI69/C69,4)-1</f>
        <v>-0.49590000000000001</v>
      </c>
      <c r="AK69" s="562">
        <f>(H69+L69+J69+N69+P69+R69+T69+V69+X69+Z69+AB69+AF69+AD69+AH69)</f>
        <v>81986721</v>
      </c>
      <c r="AL69" s="555">
        <f t="shared" si="56"/>
        <v>0</v>
      </c>
    </row>
    <row r="70" spans="1:38" ht="14.25" thickBot="1">
      <c r="A70" s="617" t="s">
        <v>290</v>
      </c>
      <c r="B70" s="641">
        <f>SUM(B68:B69)</f>
        <v>3297714512</v>
      </c>
      <c r="C70" s="641">
        <f>SUM(C68:C69)</f>
        <v>3355326895</v>
      </c>
      <c r="D70" s="563">
        <f>ROUND(C70/B70-1,4)</f>
        <v>1.7500000000000002E-2</v>
      </c>
      <c r="E70" s="641">
        <f>SUM(E68:E69)</f>
        <v>3217317625</v>
      </c>
      <c r="F70" s="563">
        <f>ROUND(E70/C70-1,4)</f>
        <v>-4.1099999999999998E-2</v>
      </c>
      <c r="G70" s="641">
        <f t="shared" ref="G70:AI70" si="70">SUM(G68:G69)</f>
        <v>3185789291</v>
      </c>
      <c r="H70" s="641">
        <f t="shared" si="70"/>
        <v>3233889118</v>
      </c>
      <c r="I70" s="641">
        <f t="shared" si="70"/>
        <v>-7501193.330752302</v>
      </c>
      <c r="J70" s="641">
        <f t="shared" si="70"/>
        <v>1063082.1626300924</v>
      </c>
      <c r="K70" s="641">
        <f t="shared" si="70"/>
        <v>0</v>
      </c>
      <c r="L70" s="641">
        <f t="shared" si="70"/>
        <v>0</v>
      </c>
      <c r="M70" s="641">
        <f t="shared" si="70"/>
        <v>15869470.195000052</v>
      </c>
      <c r="N70" s="641">
        <f t="shared" si="70"/>
        <v>16230186.11499989</v>
      </c>
      <c r="O70" s="641">
        <f t="shared" si="70"/>
        <v>-59744422.502500057</v>
      </c>
      <c r="P70" s="641">
        <f t="shared" si="70"/>
        <v>-60950324.926249981</v>
      </c>
      <c r="Q70" s="641">
        <f t="shared" si="70"/>
        <v>0</v>
      </c>
      <c r="R70" s="641">
        <f t="shared" si="70"/>
        <v>0</v>
      </c>
      <c r="S70" s="641">
        <f t="shared" si="70"/>
        <v>-98755989.756150007</v>
      </c>
      <c r="T70" s="641">
        <f t="shared" si="70"/>
        <v>-101011729.15102482</v>
      </c>
      <c r="U70" s="641">
        <f t="shared" si="70"/>
        <v>8798548</v>
      </c>
      <c r="V70" s="641">
        <f t="shared" si="70"/>
        <v>8396675</v>
      </c>
      <c r="W70" s="641">
        <f>SUM(W68:W69)</f>
        <v>-52052912</v>
      </c>
      <c r="X70" s="641">
        <f>SUM(X68:X69)</f>
        <v>-48382960</v>
      </c>
      <c r="Y70" s="641">
        <f>SUM(Y68:Y69)</f>
        <v>20675812</v>
      </c>
      <c r="Z70" s="641">
        <f>SUM(Z68:Z69)</f>
        <v>20675812</v>
      </c>
      <c r="AA70" s="641">
        <f t="shared" si="70"/>
        <v>0</v>
      </c>
      <c r="AB70" s="641">
        <f t="shared" si="70"/>
        <v>0</v>
      </c>
      <c r="AC70" s="641">
        <f t="shared" ref="AC70:AH70" si="71">SUM(AC68:AC69)</f>
        <v>0</v>
      </c>
      <c r="AD70" s="641">
        <f t="shared" si="71"/>
        <v>0</v>
      </c>
      <c r="AE70" s="641">
        <f t="shared" si="71"/>
        <v>0</v>
      </c>
      <c r="AF70" s="641">
        <f t="shared" si="71"/>
        <v>0</v>
      </c>
      <c r="AG70" s="641">
        <f t="shared" si="71"/>
        <v>0</v>
      </c>
      <c r="AH70" s="641">
        <f t="shared" si="71"/>
        <v>0</v>
      </c>
      <c r="AI70" s="641">
        <f t="shared" si="70"/>
        <v>3013078603.6055975</v>
      </c>
      <c r="AJ70" s="563">
        <f>ROUND(AI70/C70-1,4)</f>
        <v>-0.10199999999999999</v>
      </c>
      <c r="AK70" s="641">
        <f>SUM(AK68:AK69)</f>
        <v>3069909859.2003555</v>
      </c>
      <c r="AL70" s="558">
        <f t="shared" si="56"/>
        <v>1.89E-2</v>
      </c>
    </row>
    <row r="71" spans="1:38" ht="13.5">
      <c r="A71" s="8" t="s">
        <v>43</v>
      </c>
      <c r="B71" s="642"/>
      <c r="C71" s="643"/>
      <c r="D71" s="564"/>
      <c r="E71" s="643"/>
      <c r="F71" s="564"/>
      <c r="G71" s="565"/>
      <c r="H71" s="811"/>
      <c r="I71" s="565"/>
      <c r="J71" s="565"/>
      <c r="K71" s="565"/>
      <c r="L71" s="565"/>
      <c r="M71" s="565"/>
      <c r="N71" s="565"/>
      <c r="O71" s="565"/>
      <c r="P71" s="565"/>
      <c r="Q71" s="565"/>
      <c r="R71" s="565"/>
      <c r="S71" s="565"/>
      <c r="T71" s="565"/>
      <c r="U71" s="565"/>
      <c r="V71" s="565"/>
      <c r="W71" s="565"/>
      <c r="X71" s="565"/>
      <c r="Y71" s="565"/>
      <c r="Z71" s="565"/>
      <c r="AA71" s="565"/>
      <c r="AB71" s="565"/>
      <c r="AC71" s="565"/>
      <c r="AD71" s="565"/>
      <c r="AE71" s="565"/>
      <c r="AF71" s="565"/>
      <c r="AG71" s="565"/>
      <c r="AH71" s="565"/>
      <c r="AI71" s="565"/>
      <c r="AJ71" s="564"/>
      <c r="AK71" s="565"/>
      <c r="AL71" s="674"/>
    </row>
    <row r="72" spans="1:38" ht="13.5">
      <c r="A72" s="8" t="s">
        <v>406</v>
      </c>
      <c r="B72" s="630">
        <v>-251791688</v>
      </c>
      <c r="C72" s="631">
        <f>-174620824</f>
        <v>-174620824</v>
      </c>
      <c r="D72" s="1">
        <f t="shared" ref="D72:D85" si="72">ROUND(C72/B72-1,4)</f>
        <v>-0.30649999999999999</v>
      </c>
      <c r="E72" s="631">
        <f>-C69</f>
        <v>-162650614</v>
      </c>
      <c r="F72" s="1">
        <f t="shared" ref="F72:F85" si="73">ROUND(E72/C72-1,4)</f>
        <v>-6.8500000000000005E-2</v>
      </c>
      <c r="G72" s="631">
        <f>-E69</f>
        <v>-81986721</v>
      </c>
      <c r="H72" s="631">
        <f>-G69</f>
        <v>-81986721</v>
      </c>
      <c r="I72" s="631"/>
      <c r="J72" s="562"/>
      <c r="K72" s="631"/>
      <c r="L72" s="631"/>
      <c r="M72" s="562"/>
      <c r="N72" s="562"/>
      <c r="O72" s="562"/>
      <c r="P72" s="562"/>
      <c r="Q72" s="562"/>
      <c r="R72" s="562"/>
      <c r="S72" s="562"/>
      <c r="T72" s="562"/>
      <c r="U72" s="562"/>
      <c r="V72" s="562"/>
      <c r="W72" s="562"/>
      <c r="X72" s="562"/>
      <c r="Y72" s="562"/>
      <c r="Z72" s="562"/>
      <c r="AA72" s="562"/>
      <c r="AB72" s="562"/>
      <c r="AC72" s="562"/>
      <c r="AD72" s="562"/>
      <c r="AE72" s="562"/>
      <c r="AF72" s="562"/>
      <c r="AG72" s="562"/>
      <c r="AH72" s="562"/>
      <c r="AI72" s="562">
        <f>G72+I72+K72+M72+O72+Q72+S72+U72+W72+Y72+AA72+AG72+AC72+AE72</f>
        <v>-81986721</v>
      </c>
      <c r="AJ72" s="1">
        <f t="shared" ref="AJ72:AJ85" si="74">ROUND(AI72/C72,4)-1</f>
        <v>-0.53049999999999997</v>
      </c>
      <c r="AK72" s="562">
        <f>H72+J72+L72+N72+P72+R72+T72+V72+X72+Z72+AB72+AH72+AD72+AF72</f>
        <v>-81986721</v>
      </c>
      <c r="AL72" s="555">
        <f t="shared" ref="AL72:AL85" si="75">ROUND(AK72/AI72-1,4)</f>
        <v>0</v>
      </c>
    </row>
    <row r="73" spans="1:38" ht="13.5">
      <c r="A73" s="8" t="s">
        <v>407</v>
      </c>
      <c r="B73" s="630">
        <v>-7863361</v>
      </c>
      <c r="C73" s="631">
        <v>-8499450</v>
      </c>
      <c r="D73" s="1">
        <f t="shared" si="72"/>
        <v>8.09E-2</v>
      </c>
      <c r="E73" s="631">
        <v>-7863361</v>
      </c>
      <c r="F73" s="1">
        <f t="shared" si="73"/>
        <v>-7.4800000000000005E-2</v>
      </c>
      <c r="G73" s="631">
        <f>C73</f>
        <v>-8499450</v>
      </c>
      <c r="H73" s="631">
        <f>G73</f>
        <v>-8499450</v>
      </c>
      <c r="I73" s="562"/>
      <c r="J73" s="562"/>
      <c r="K73" s="562"/>
      <c r="L73" s="562"/>
      <c r="M73" s="562"/>
      <c r="N73" s="562"/>
      <c r="O73" s="562"/>
      <c r="P73" s="562"/>
      <c r="Q73" s="562"/>
      <c r="R73" s="562"/>
      <c r="S73" s="562"/>
      <c r="T73" s="562"/>
      <c r="U73" s="562"/>
      <c r="V73" s="562"/>
      <c r="W73" s="562"/>
      <c r="X73" s="562"/>
      <c r="Y73" s="562"/>
      <c r="Z73" s="562"/>
      <c r="AA73" s="562"/>
      <c r="AB73" s="562"/>
      <c r="AC73" s="562"/>
      <c r="AD73" s="562"/>
      <c r="AE73" s="562"/>
      <c r="AF73" s="562"/>
      <c r="AG73" s="562"/>
      <c r="AH73" s="562"/>
      <c r="AI73" s="562">
        <f t="shared" ref="AI73:AI85" si="76">G73+I73+K73+M73+O73+Q73+S73+U73+W73+Y73+AA73+AG73+AC73+AE73</f>
        <v>-8499450</v>
      </c>
      <c r="AJ73" s="1">
        <f t="shared" si="74"/>
        <v>0</v>
      </c>
      <c r="AK73" s="562">
        <f t="shared" ref="AK73:AK85" si="77">H73+J73+L73+N73+P73+R73+T73+V73+X73+Z73+AB73+AH73+AD73+AF73</f>
        <v>-8499450</v>
      </c>
      <c r="AL73" s="555">
        <f t="shared" si="75"/>
        <v>0</v>
      </c>
    </row>
    <row r="74" spans="1:38" ht="13.5">
      <c r="A74" s="8" t="s">
        <v>408</v>
      </c>
      <c r="B74" s="630">
        <v>-94520861</v>
      </c>
      <c r="C74" s="631">
        <f>-13971748-46793755-19011812-172830-870000</f>
        <v>-80820145</v>
      </c>
      <c r="D74" s="1">
        <f t="shared" si="72"/>
        <v>-0.1449</v>
      </c>
      <c r="E74" s="631">
        <v>-94520861</v>
      </c>
      <c r="F74" s="1">
        <f t="shared" si="73"/>
        <v>0.16950000000000001</v>
      </c>
      <c r="G74" s="631">
        <f>C74</f>
        <v>-80820145</v>
      </c>
      <c r="H74" s="631">
        <f>G74</f>
        <v>-80820145</v>
      </c>
      <c r="I74" s="562"/>
      <c r="J74" s="562"/>
      <c r="K74" s="562"/>
      <c r="L74" s="562"/>
      <c r="M74" s="562"/>
      <c r="N74" s="562"/>
      <c r="O74" s="562"/>
      <c r="P74" s="562"/>
      <c r="Q74" s="562"/>
      <c r="R74" s="562"/>
      <c r="S74" s="562"/>
      <c r="T74" s="562"/>
      <c r="U74" s="562"/>
      <c r="V74" s="562"/>
      <c r="W74" s="562"/>
      <c r="X74" s="562"/>
      <c r="Y74" s="562"/>
      <c r="Z74" s="562"/>
      <c r="AA74" s="562"/>
      <c r="AB74" s="562"/>
      <c r="AC74" s="562"/>
      <c r="AD74" s="562"/>
      <c r="AE74" s="562"/>
      <c r="AF74" s="562"/>
      <c r="AG74" s="562"/>
      <c r="AH74" s="562"/>
      <c r="AI74" s="562">
        <f t="shared" si="76"/>
        <v>-80820145</v>
      </c>
      <c r="AJ74" s="1">
        <f t="shared" si="74"/>
        <v>0</v>
      </c>
      <c r="AK74" s="562">
        <f t="shared" si="77"/>
        <v>-80820145</v>
      </c>
      <c r="AL74" s="555">
        <f t="shared" si="75"/>
        <v>0</v>
      </c>
    </row>
    <row r="75" spans="1:38" ht="13.5">
      <c r="A75" s="8" t="s">
        <v>470</v>
      </c>
      <c r="B75" s="630">
        <v>-506393209</v>
      </c>
      <c r="C75" s="631">
        <f>-528819032+3116527</f>
        <v>-525702505</v>
      </c>
      <c r="D75" s="1">
        <f t="shared" si="72"/>
        <v>3.8100000000000002E-2</v>
      </c>
      <c r="E75" s="631">
        <f>-DSADATABASE!B52</f>
        <v>-424127158</v>
      </c>
      <c r="F75" s="1">
        <f t="shared" si="73"/>
        <v>-0.19320000000000001</v>
      </c>
      <c r="G75" s="631">
        <f>-DSADATABASE!C52</f>
        <v>-404866532</v>
      </c>
      <c r="H75" s="631">
        <f>-DSADATABASE!D52</f>
        <v>-405863545</v>
      </c>
      <c r="I75" s="631"/>
      <c r="J75" s="631"/>
      <c r="K75" s="562"/>
      <c r="L75" s="562"/>
      <c r="M75" s="562"/>
      <c r="N75" s="562"/>
      <c r="O75" s="562"/>
      <c r="P75" s="562"/>
      <c r="Q75" s="562"/>
      <c r="R75" s="562"/>
      <c r="S75" s="562"/>
      <c r="T75" s="562"/>
      <c r="U75" s="562"/>
      <c r="V75" s="562"/>
      <c r="W75" s="562"/>
      <c r="X75" s="562"/>
      <c r="Y75" s="562"/>
      <c r="Z75" s="562"/>
      <c r="AA75" s="562"/>
      <c r="AB75" s="562"/>
      <c r="AC75" s="562"/>
      <c r="AD75" s="562"/>
      <c r="AE75" s="562"/>
      <c r="AF75" s="562"/>
      <c r="AG75" s="562"/>
      <c r="AH75" s="562"/>
      <c r="AI75" s="562">
        <f t="shared" si="76"/>
        <v>-404866532</v>
      </c>
      <c r="AJ75" s="1">
        <f t="shared" si="74"/>
        <v>-0.22989999999999999</v>
      </c>
      <c r="AK75" s="562">
        <f t="shared" si="77"/>
        <v>-405863545</v>
      </c>
      <c r="AL75" s="555">
        <f t="shared" si="75"/>
        <v>2.5000000000000001E-3</v>
      </c>
    </row>
    <row r="76" spans="1:38" ht="13.5">
      <c r="A76" s="8" t="s">
        <v>345</v>
      </c>
      <c r="B76" s="630">
        <v>-81402633</v>
      </c>
      <c r="C76" s="631">
        <f>-75725120</f>
        <v>-75725120</v>
      </c>
      <c r="D76" s="1">
        <f t="shared" si="72"/>
        <v>-6.9699999999999998E-2</v>
      </c>
      <c r="E76" s="631">
        <v>-81402633</v>
      </c>
      <c r="F76" s="1">
        <f t="shared" si="73"/>
        <v>7.4999999999999997E-2</v>
      </c>
      <c r="G76" s="631">
        <f>-68947722-3434059</f>
        <v>-72381781</v>
      </c>
      <c r="H76" s="631">
        <f>G76</f>
        <v>-72381781</v>
      </c>
      <c r="I76" s="631"/>
      <c r="J76" s="631"/>
      <c r="K76" s="562"/>
      <c r="L76" s="562"/>
      <c r="M76" s="562"/>
      <c r="N76" s="562"/>
      <c r="O76" s="562"/>
      <c r="P76" s="562"/>
      <c r="Q76" s="562"/>
      <c r="R76" s="562"/>
      <c r="S76" s="562"/>
      <c r="T76" s="562"/>
      <c r="U76" s="562"/>
      <c r="V76" s="562"/>
      <c r="W76" s="562"/>
      <c r="X76" s="562"/>
      <c r="Y76" s="562"/>
      <c r="Z76" s="562"/>
      <c r="AA76" s="562"/>
      <c r="AB76" s="562"/>
      <c r="AC76" s="562"/>
      <c r="AD76" s="562"/>
      <c r="AE76" s="562"/>
      <c r="AF76" s="562"/>
      <c r="AG76" s="562"/>
      <c r="AH76" s="562"/>
      <c r="AI76" s="562">
        <f t="shared" si="76"/>
        <v>-72381781</v>
      </c>
      <c r="AJ76" s="1">
        <f t="shared" si="74"/>
        <v>-4.4200000000000017E-2</v>
      </c>
      <c r="AK76" s="562">
        <f t="shared" si="77"/>
        <v>-72381781</v>
      </c>
      <c r="AL76" s="555">
        <f t="shared" si="75"/>
        <v>0</v>
      </c>
    </row>
    <row r="77" spans="1:38" ht="13.5">
      <c r="A77" s="8" t="s">
        <v>199</v>
      </c>
      <c r="B77" s="630">
        <v>-4113359</v>
      </c>
      <c r="C77" s="631">
        <v>-3451000</v>
      </c>
      <c r="D77" s="1">
        <f t="shared" si="72"/>
        <v>-0.161</v>
      </c>
      <c r="E77" s="631">
        <v>-4236760</v>
      </c>
      <c r="F77" s="1">
        <f t="shared" si="73"/>
        <v>0.22770000000000001</v>
      </c>
      <c r="G77" s="631">
        <f>ROUND((C77*1.03)*1.03,0)</f>
        <v>-3661166</v>
      </c>
      <c r="H77" s="631">
        <f>ROUND(G77*1.03,0)</f>
        <v>-3771001</v>
      </c>
      <c r="I77" s="669"/>
      <c r="J77" s="669"/>
      <c r="K77" s="562"/>
      <c r="L77" s="562"/>
      <c r="M77" s="562"/>
      <c r="N77" s="562"/>
      <c r="O77" s="562"/>
      <c r="P77" s="562"/>
      <c r="Q77" s="562"/>
      <c r="R77" s="562"/>
      <c r="S77" s="562"/>
      <c r="T77" s="562"/>
      <c r="U77" s="562"/>
      <c r="V77" s="562"/>
      <c r="W77" s="562"/>
      <c r="X77" s="562"/>
      <c r="Y77" s="562"/>
      <c r="Z77" s="562"/>
      <c r="AA77" s="562"/>
      <c r="AB77" s="562"/>
      <c r="AC77" s="562"/>
      <c r="AD77" s="562"/>
      <c r="AE77" s="562"/>
      <c r="AF77" s="562"/>
      <c r="AG77" s="562"/>
      <c r="AH77" s="562"/>
      <c r="AI77" s="562">
        <f t="shared" si="76"/>
        <v>-3661166</v>
      </c>
      <c r="AJ77" s="1">
        <f t="shared" si="74"/>
        <v>6.0899999999999954E-2</v>
      </c>
      <c r="AK77" s="562">
        <f t="shared" si="77"/>
        <v>-3771001</v>
      </c>
      <c r="AL77" s="555">
        <f t="shared" si="75"/>
        <v>0.03</v>
      </c>
    </row>
    <row r="78" spans="1:38" ht="13.5">
      <c r="A78" s="8" t="s">
        <v>271</v>
      </c>
      <c r="B78" s="630"/>
      <c r="C78" s="631">
        <f>-111378250-14824313-5002705-3725350</f>
        <v>-134930618</v>
      </c>
      <c r="D78" s="1" t="e">
        <f t="shared" si="72"/>
        <v>#DIV/0!</v>
      </c>
      <c r="E78" s="631">
        <f>-95107316-4932204-3339497</f>
        <v>-103379017</v>
      </c>
      <c r="F78" s="1">
        <f t="shared" si="73"/>
        <v>-0.23380000000000001</v>
      </c>
      <c r="G78" s="631">
        <v>0</v>
      </c>
      <c r="H78" s="631">
        <f>G78</f>
        <v>0</v>
      </c>
      <c r="I78" s="669"/>
      <c r="J78" s="669"/>
      <c r="K78" s="562"/>
      <c r="L78" s="562"/>
      <c r="M78" s="562"/>
      <c r="N78" s="562"/>
      <c r="O78" s="562"/>
      <c r="P78" s="562"/>
      <c r="Q78" s="562"/>
      <c r="R78" s="562"/>
      <c r="S78" s="562"/>
      <c r="T78" s="562"/>
      <c r="U78" s="562"/>
      <c r="V78" s="562"/>
      <c r="W78" s="562"/>
      <c r="X78" s="562"/>
      <c r="Y78" s="562"/>
      <c r="Z78" s="562"/>
      <c r="AA78" s="562"/>
      <c r="AB78" s="562"/>
      <c r="AC78" s="562"/>
      <c r="AD78" s="562"/>
      <c r="AE78" s="562"/>
      <c r="AF78" s="562"/>
      <c r="AG78" s="562"/>
      <c r="AH78" s="562"/>
      <c r="AI78" s="562">
        <f t="shared" si="76"/>
        <v>0</v>
      </c>
      <c r="AJ78" s="1">
        <f t="shared" si="74"/>
        <v>-1</v>
      </c>
      <c r="AK78" s="562">
        <f t="shared" si="77"/>
        <v>0</v>
      </c>
      <c r="AL78" s="555" t="e">
        <f t="shared" si="75"/>
        <v>#DIV/0!</v>
      </c>
    </row>
    <row r="79" spans="1:38" ht="13.5">
      <c r="A79" s="8" t="s">
        <v>266</v>
      </c>
      <c r="B79" s="630"/>
      <c r="C79" s="631"/>
      <c r="D79" s="1" t="e">
        <f t="shared" si="72"/>
        <v>#DIV/0!</v>
      </c>
      <c r="E79" s="631"/>
      <c r="F79" s="1" t="e">
        <f t="shared" si="73"/>
        <v>#DIV/0!</v>
      </c>
      <c r="G79" s="631">
        <f>C79</f>
        <v>0</v>
      </c>
      <c r="H79" s="631">
        <f>G79</f>
        <v>0</v>
      </c>
      <c r="I79" s="669"/>
      <c r="J79" s="669"/>
      <c r="K79" s="562"/>
      <c r="L79" s="562"/>
      <c r="M79" s="562"/>
      <c r="N79" s="562"/>
      <c r="O79" s="562"/>
      <c r="P79" s="562"/>
      <c r="Q79" s="562"/>
      <c r="R79" s="562"/>
      <c r="S79" s="562"/>
      <c r="T79" s="562"/>
      <c r="U79" s="562"/>
      <c r="V79" s="562"/>
      <c r="W79" s="562"/>
      <c r="X79" s="562"/>
      <c r="Y79" s="562"/>
      <c r="Z79" s="562"/>
      <c r="AA79" s="562"/>
      <c r="AB79" s="562"/>
      <c r="AC79" s="562"/>
      <c r="AD79" s="562"/>
      <c r="AE79" s="562"/>
      <c r="AF79" s="562"/>
      <c r="AG79" s="562"/>
      <c r="AH79" s="562"/>
      <c r="AI79" s="562">
        <f t="shared" si="76"/>
        <v>0</v>
      </c>
      <c r="AJ79" s="1" t="e">
        <f t="shared" si="74"/>
        <v>#DIV/0!</v>
      </c>
      <c r="AK79" s="562">
        <f t="shared" si="77"/>
        <v>0</v>
      </c>
      <c r="AL79" s="555" t="e">
        <f t="shared" si="75"/>
        <v>#DIV/0!</v>
      </c>
    </row>
    <row r="80" spans="1:38" ht="13.5">
      <c r="A80" s="8" t="s">
        <v>400</v>
      </c>
      <c r="B80" s="630"/>
      <c r="C80" s="631"/>
      <c r="D80" s="1" t="e">
        <f t="shared" si="72"/>
        <v>#DIV/0!</v>
      </c>
      <c r="E80" s="631"/>
      <c r="F80" s="1" t="e">
        <f t="shared" si="73"/>
        <v>#DIV/0!</v>
      </c>
      <c r="G80" s="631">
        <v>0</v>
      </c>
      <c r="H80" s="631">
        <f>G80</f>
        <v>0</v>
      </c>
      <c r="I80" s="669"/>
      <c r="J80" s="669"/>
      <c r="K80" s="562"/>
      <c r="L80" s="562"/>
      <c r="M80" s="562"/>
      <c r="N80" s="562"/>
      <c r="O80" s="562"/>
      <c r="P80" s="562"/>
      <c r="Q80" s="562"/>
      <c r="R80" s="562"/>
      <c r="S80" s="562"/>
      <c r="T80" s="562"/>
      <c r="U80" s="562"/>
      <c r="V80" s="562"/>
      <c r="W80" s="562"/>
      <c r="X80" s="562"/>
      <c r="Y80" s="562"/>
      <c r="Z80" s="562"/>
      <c r="AA80" s="562"/>
      <c r="AB80" s="562"/>
      <c r="AC80" s="562"/>
      <c r="AD80" s="562"/>
      <c r="AE80" s="562"/>
      <c r="AF80" s="562"/>
      <c r="AG80" s="562"/>
      <c r="AH80" s="562"/>
      <c r="AI80" s="562">
        <f t="shared" si="76"/>
        <v>0</v>
      </c>
      <c r="AJ80" s="1" t="e">
        <f t="shared" si="74"/>
        <v>#DIV/0!</v>
      </c>
      <c r="AK80" s="562">
        <f t="shared" si="77"/>
        <v>0</v>
      </c>
      <c r="AL80" s="555" t="e">
        <f t="shared" si="75"/>
        <v>#DIV/0!</v>
      </c>
    </row>
    <row r="81" spans="1:38" ht="13.5">
      <c r="A81" s="8" t="s">
        <v>471</v>
      </c>
      <c r="B81" s="630"/>
      <c r="C81" s="631"/>
      <c r="D81" s="1" t="e">
        <f>ROUND(C81/B81-1,4)</f>
        <v>#DIV/0!</v>
      </c>
      <c r="E81" s="631"/>
      <c r="F81" s="1" t="e">
        <f>ROUND(E81/C81-1,4)</f>
        <v>#DIV/0!</v>
      </c>
      <c r="G81" s="631">
        <v>0</v>
      </c>
      <c r="H81" s="631">
        <f>G81</f>
        <v>0</v>
      </c>
      <c r="I81" s="669"/>
      <c r="J81" s="669"/>
      <c r="K81" s="562"/>
      <c r="L81" s="562"/>
      <c r="M81" s="562"/>
      <c r="N81" s="562"/>
      <c r="O81" s="562"/>
      <c r="P81" s="562"/>
      <c r="Q81" s="562"/>
      <c r="R81" s="562"/>
      <c r="S81" s="562"/>
      <c r="T81" s="562"/>
      <c r="U81" s="562"/>
      <c r="V81" s="562"/>
      <c r="W81" s="562"/>
      <c r="X81" s="562"/>
      <c r="Y81" s="562"/>
      <c r="Z81" s="562"/>
      <c r="AA81" s="562"/>
      <c r="AB81" s="562"/>
      <c r="AC81" s="562"/>
      <c r="AD81" s="562"/>
      <c r="AE81" s="562"/>
      <c r="AF81" s="562"/>
      <c r="AG81" s="562"/>
      <c r="AH81" s="562"/>
      <c r="AI81" s="562">
        <f t="shared" si="76"/>
        <v>0</v>
      </c>
      <c r="AJ81" s="1" t="e">
        <f t="shared" si="74"/>
        <v>#DIV/0!</v>
      </c>
      <c r="AK81" s="562">
        <f t="shared" si="77"/>
        <v>0</v>
      </c>
      <c r="AL81" s="555" t="e">
        <f t="shared" si="75"/>
        <v>#DIV/0!</v>
      </c>
    </row>
    <row r="82" spans="1:38" ht="13.5">
      <c r="A82" s="8" t="s">
        <v>401</v>
      </c>
      <c r="B82" s="630"/>
      <c r="C82" s="631"/>
      <c r="D82" s="1" t="e">
        <f t="shared" si="72"/>
        <v>#DIV/0!</v>
      </c>
      <c r="E82" s="631"/>
      <c r="F82" s="1" t="e">
        <f t="shared" si="73"/>
        <v>#DIV/0!</v>
      </c>
      <c r="G82" s="631">
        <f>C82</f>
        <v>0</v>
      </c>
      <c r="H82" s="631">
        <f>G82</f>
        <v>0</v>
      </c>
      <c r="I82" s="631"/>
      <c r="J82" s="631"/>
      <c r="K82" s="562"/>
      <c r="L82" s="562"/>
      <c r="M82" s="631"/>
      <c r="N82" s="631"/>
      <c r="O82" s="631"/>
      <c r="P82" s="562"/>
      <c r="Q82" s="562"/>
      <c r="R82" s="562"/>
      <c r="S82" s="562"/>
      <c r="T82" s="562"/>
      <c r="U82" s="562"/>
      <c r="V82" s="562"/>
      <c r="W82" s="562"/>
      <c r="X82" s="562"/>
      <c r="Y82" s="562"/>
      <c r="Z82" s="562"/>
      <c r="AA82" s="562"/>
      <c r="AB82" s="562"/>
      <c r="AC82" s="562"/>
      <c r="AD82" s="562"/>
      <c r="AE82" s="562"/>
      <c r="AF82" s="562"/>
      <c r="AG82" s="562"/>
      <c r="AH82" s="562"/>
      <c r="AI82" s="562">
        <f t="shared" si="76"/>
        <v>0</v>
      </c>
      <c r="AJ82" s="1" t="e">
        <f t="shared" si="74"/>
        <v>#DIV/0!</v>
      </c>
      <c r="AK82" s="562">
        <f t="shared" si="77"/>
        <v>0</v>
      </c>
      <c r="AL82" s="555" t="e">
        <f t="shared" si="75"/>
        <v>#DIV/0!</v>
      </c>
    </row>
    <row r="83" spans="1:38" ht="13.5">
      <c r="A83" s="8" t="s">
        <v>402</v>
      </c>
      <c r="B83" s="630"/>
      <c r="C83" s="631"/>
      <c r="D83" s="1" t="e">
        <f t="shared" si="72"/>
        <v>#DIV/0!</v>
      </c>
      <c r="E83" s="631"/>
      <c r="F83" s="1" t="e">
        <f t="shared" si="73"/>
        <v>#DIV/0!</v>
      </c>
      <c r="G83" s="631">
        <v>0</v>
      </c>
      <c r="H83" s="631">
        <v>0</v>
      </c>
      <c r="I83" s="631">
        <f>-I19</f>
        <v>0</v>
      </c>
      <c r="J83" s="631">
        <f>-J19</f>
        <v>0</v>
      </c>
      <c r="K83" s="562"/>
      <c r="L83" s="562"/>
      <c r="M83" s="562"/>
      <c r="N83" s="562"/>
      <c r="O83" s="562"/>
      <c r="P83" s="562"/>
      <c r="Q83" s="631"/>
      <c r="R83" s="631"/>
      <c r="S83" s="631"/>
      <c r="T83" s="631"/>
      <c r="U83" s="631"/>
      <c r="V83" s="631"/>
      <c r="W83" s="631"/>
      <c r="X83" s="631"/>
      <c r="Y83" s="562"/>
      <c r="Z83" s="562"/>
      <c r="AA83" s="562"/>
      <c r="AB83" s="562"/>
      <c r="AC83" s="562"/>
      <c r="AD83" s="562"/>
      <c r="AE83" s="562"/>
      <c r="AF83" s="562"/>
      <c r="AG83" s="562"/>
      <c r="AH83" s="562"/>
      <c r="AI83" s="562">
        <f t="shared" si="76"/>
        <v>0</v>
      </c>
      <c r="AJ83" s="1" t="e">
        <f t="shared" si="74"/>
        <v>#DIV/0!</v>
      </c>
      <c r="AK83" s="562">
        <f t="shared" si="77"/>
        <v>0</v>
      </c>
      <c r="AL83" s="555" t="e">
        <f t="shared" si="75"/>
        <v>#DIV/0!</v>
      </c>
    </row>
    <row r="84" spans="1:38" ht="13.5">
      <c r="A84" s="8" t="s">
        <v>475</v>
      </c>
      <c r="B84" s="630"/>
      <c r="C84" s="631">
        <v>-76582</v>
      </c>
      <c r="D84" s="1" t="e">
        <f>ROUND(C84/B84-1,4)</f>
        <v>#DIV/0!</v>
      </c>
      <c r="E84" s="631"/>
      <c r="F84" s="1">
        <f>ROUND(E84/C84-1,4)</f>
        <v>-1</v>
      </c>
      <c r="G84" s="631">
        <f>-G20</f>
        <v>0</v>
      </c>
      <c r="H84" s="631">
        <f>G84</f>
        <v>0</v>
      </c>
      <c r="I84" s="631"/>
      <c r="J84" s="631"/>
      <c r="K84" s="562"/>
      <c r="L84" s="562"/>
      <c r="M84" s="562"/>
      <c r="N84" s="562"/>
      <c r="O84" s="562"/>
      <c r="P84" s="562"/>
      <c r="Q84" s="562"/>
      <c r="R84" s="562"/>
      <c r="S84" s="562"/>
      <c r="T84" s="562"/>
      <c r="U84" s="562"/>
      <c r="V84" s="562"/>
      <c r="W84" s="562"/>
      <c r="X84" s="562"/>
      <c r="Y84" s="562"/>
      <c r="Z84" s="562"/>
      <c r="AA84" s="562"/>
      <c r="AB84" s="562"/>
      <c r="AC84" s="562"/>
      <c r="AD84" s="562"/>
      <c r="AE84" s="562"/>
      <c r="AF84" s="562"/>
      <c r="AG84" s="562"/>
      <c r="AH84" s="562"/>
      <c r="AI84" s="562">
        <f t="shared" si="76"/>
        <v>0</v>
      </c>
      <c r="AJ84" s="1">
        <f t="shared" si="74"/>
        <v>-1</v>
      </c>
      <c r="AK84" s="562">
        <f t="shared" si="77"/>
        <v>0</v>
      </c>
      <c r="AL84" s="555" t="e">
        <f t="shared" si="75"/>
        <v>#DIV/0!</v>
      </c>
    </row>
    <row r="85" spans="1:38" ht="13.5">
      <c r="A85" s="94" t="s">
        <v>397</v>
      </c>
      <c r="B85" s="630">
        <v>-879943</v>
      </c>
      <c r="C85" s="631">
        <f>375034-1177807-128541</f>
        <v>-931314</v>
      </c>
      <c r="D85" s="1">
        <f t="shared" si="72"/>
        <v>5.8400000000000001E-2</v>
      </c>
      <c r="E85" s="631">
        <v>-879943</v>
      </c>
      <c r="F85" s="1">
        <f t="shared" si="73"/>
        <v>-5.5199999999999999E-2</v>
      </c>
      <c r="G85" s="562">
        <f>C85</f>
        <v>-931314</v>
      </c>
      <c r="H85" s="562">
        <f>G85</f>
        <v>-931314</v>
      </c>
      <c r="I85" s="562"/>
      <c r="J85" s="562"/>
      <c r="K85" s="562"/>
      <c r="L85" s="562"/>
      <c r="M85" s="562"/>
      <c r="N85" s="562"/>
      <c r="O85" s="562"/>
      <c r="P85" s="562"/>
      <c r="Q85" s="562"/>
      <c r="R85" s="562"/>
      <c r="S85" s="562"/>
      <c r="T85" s="562"/>
      <c r="U85" s="562"/>
      <c r="V85" s="562"/>
      <c r="W85" s="562"/>
      <c r="X85" s="562"/>
      <c r="Y85" s="562"/>
      <c r="Z85" s="562"/>
      <c r="AA85" s="562"/>
      <c r="AB85" s="562"/>
      <c r="AC85" s="562"/>
      <c r="AD85" s="562"/>
      <c r="AE85" s="562"/>
      <c r="AF85" s="562"/>
      <c r="AG85" s="562"/>
      <c r="AH85" s="562"/>
      <c r="AI85" s="562">
        <f t="shared" si="76"/>
        <v>-931314</v>
      </c>
      <c r="AJ85" s="1">
        <f t="shared" si="74"/>
        <v>0</v>
      </c>
      <c r="AK85" s="562">
        <f t="shared" si="77"/>
        <v>-931314</v>
      </c>
      <c r="AL85" s="555">
        <f t="shared" si="75"/>
        <v>0</v>
      </c>
    </row>
    <row r="86" spans="1:38" ht="13.5">
      <c r="A86" s="18" t="s">
        <v>629</v>
      </c>
      <c r="B86" s="634">
        <f>SUM(B70:B85)</f>
        <v>2350749458</v>
      </c>
      <c r="C86" s="635">
        <f>SUM(C70:C85)</f>
        <v>2350569337</v>
      </c>
      <c r="D86" s="557">
        <f>ROUND(C86/B86-1,4)</f>
        <v>-1E-4</v>
      </c>
      <c r="E86" s="635">
        <f>SUM(E70:E85)</f>
        <v>2338257278</v>
      </c>
      <c r="F86" s="557">
        <f>ROUND(E86/C86-1,4)</f>
        <v>-5.1999999999999998E-3</v>
      </c>
      <c r="G86" s="645">
        <f t="shared" ref="G86:AI86" si="78">SUM(G70:G85)</f>
        <v>2532642182</v>
      </c>
      <c r="H86" s="645">
        <f t="shared" si="78"/>
        <v>2579635161</v>
      </c>
      <c r="I86" s="645">
        <f t="shared" si="78"/>
        <v>-7501193.330752302</v>
      </c>
      <c r="J86" s="645">
        <f t="shared" si="78"/>
        <v>1063082.1626300924</v>
      </c>
      <c r="K86" s="645">
        <f t="shared" si="78"/>
        <v>0</v>
      </c>
      <c r="L86" s="645">
        <f t="shared" si="78"/>
        <v>0</v>
      </c>
      <c r="M86" s="645">
        <f t="shared" si="78"/>
        <v>15869470.195000052</v>
      </c>
      <c r="N86" s="645">
        <f t="shared" si="78"/>
        <v>16230186.11499989</v>
      </c>
      <c r="O86" s="645">
        <f t="shared" si="78"/>
        <v>-59744422.502500057</v>
      </c>
      <c r="P86" s="645">
        <f t="shared" si="78"/>
        <v>-60950324.926249981</v>
      </c>
      <c r="Q86" s="645">
        <f t="shared" si="78"/>
        <v>0</v>
      </c>
      <c r="R86" s="645">
        <f t="shared" si="78"/>
        <v>0</v>
      </c>
      <c r="S86" s="645">
        <f t="shared" si="78"/>
        <v>-98755989.756150007</v>
      </c>
      <c r="T86" s="645">
        <f t="shared" si="78"/>
        <v>-101011729.15102482</v>
      </c>
      <c r="U86" s="645">
        <f t="shared" si="78"/>
        <v>8798548</v>
      </c>
      <c r="V86" s="645">
        <f t="shared" si="78"/>
        <v>8396675</v>
      </c>
      <c r="W86" s="645">
        <f>SUM(W70:W85)</f>
        <v>-52052912</v>
      </c>
      <c r="X86" s="645">
        <f>SUM(X70:X85)</f>
        <v>-48382960</v>
      </c>
      <c r="Y86" s="645">
        <f>SUM(Y70:Y85)</f>
        <v>20675812</v>
      </c>
      <c r="Z86" s="645">
        <f>SUM(Z70:Z85)</f>
        <v>20675812</v>
      </c>
      <c r="AA86" s="645">
        <f t="shared" si="78"/>
        <v>0</v>
      </c>
      <c r="AB86" s="645">
        <f t="shared" si="78"/>
        <v>0</v>
      </c>
      <c r="AC86" s="645">
        <f t="shared" ref="AC86:AH86" si="79">SUM(AC70:AC85)</f>
        <v>0</v>
      </c>
      <c r="AD86" s="645">
        <f t="shared" si="79"/>
        <v>0</v>
      </c>
      <c r="AE86" s="645">
        <f t="shared" si="79"/>
        <v>0</v>
      </c>
      <c r="AF86" s="645">
        <f t="shared" si="79"/>
        <v>0</v>
      </c>
      <c r="AG86" s="645">
        <f t="shared" si="79"/>
        <v>0</v>
      </c>
      <c r="AH86" s="645">
        <f t="shared" si="79"/>
        <v>0</v>
      </c>
      <c r="AI86" s="645">
        <f t="shared" si="78"/>
        <v>2359931494.6055975</v>
      </c>
      <c r="AJ86" s="557">
        <f>ROUND(AI86/C86-1,4)</f>
        <v>4.0000000000000001E-3</v>
      </c>
      <c r="AK86" s="645">
        <f>SUM(AK70:AK85)</f>
        <v>2415655902.2003555</v>
      </c>
      <c r="AL86" s="558">
        <f>ROUND(AK86/AI86-1,4)</f>
        <v>2.3599999999999999E-2</v>
      </c>
    </row>
    <row r="87" spans="1:38" ht="13.5">
      <c r="A87" s="8" t="s">
        <v>200</v>
      </c>
      <c r="B87" s="640"/>
      <c r="C87" s="562"/>
      <c r="D87" s="1"/>
      <c r="E87" s="562"/>
      <c r="F87" s="1"/>
      <c r="G87" s="562"/>
      <c r="H87" s="562"/>
      <c r="I87" s="562"/>
      <c r="J87" s="562"/>
      <c r="K87" s="562"/>
      <c r="L87" s="562"/>
      <c r="M87" s="562"/>
      <c r="N87" s="562"/>
      <c r="O87" s="562"/>
      <c r="P87" s="562"/>
      <c r="Q87" s="562"/>
      <c r="R87" s="562"/>
      <c r="S87" s="562"/>
      <c r="T87" s="562"/>
      <c r="U87" s="562"/>
      <c r="V87" s="562"/>
      <c r="W87" s="562"/>
      <c r="X87" s="562"/>
      <c r="Y87" s="562"/>
      <c r="Z87" s="562"/>
      <c r="AA87" s="562"/>
      <c r="AB87" s="562"/>
      <c r="AC87" s="562"/>
      <c r="AD87" s="562"/>
      <c r="AE87" s="562"/>
      <c r="AF87" s="562"/>
      <c r="AG87" s="562"/>
      <c r="AH87" s="562"/>
      <c r="AI87" s="562"/>
      <c r="AJ87" s="1"/>
      <c r="AK87" s="562"/>
      <c r="AL87" s="555"/>
    </row>
    <row r="88" spans="1:38" ht="13.5">
      <c r="A88" s="8" t="s">
        <v>405</v>
      </c>
      <c r="B88" s="640">
        <v>-21170456</v>
      </c>
      <c r="C88" s="562">
        <v>-21170456</v>
      </c>
      <c r="D88" s="1">
        <f t="shared" ref="D88:D93" si="80">ROUND(C88/B88-1,4)</f>
        <v>0</v>
      </c>
      <c r="E88" s="562">
        <v>-22673833</v>
      </c>
      <c r="F88" s="1">
        <f t="shared" ref="F88:F93" si="81">ROUND(E88/C88-1,4)</f>
        <v>7.0999999999999994E-2</v>
      </c>
      <c r="G88" s="562">
        <f>-G61</f>
        <v>-22918550</v>
      </c>
      <c r="H88" s="562">
        <f t="shared" ref="H88:AH88" si="82">-H61</f>
        <v>-23376921</v>
      </c>
      <c r="I88" s="562">
        <f t="shared" si="82"/>
        <v>4600849.9907522686</v>
      </c>
      <c r="J88" s="562">
        <f t="shared" si="82"/>
        <v>4255153.4573699124</v>
      </c>
      <c r="K88" s="562">
        <f t="shared" si="82"/>
        <v>0</v>
      </c>
      <c r="L88" s="562">
        <f t="shared" si="82"/>
        <v>0</v>
      </c>
      <c r="M88" s="562">
        <f t="shared" si="82"/>
        <v>-108428</v>
      </c>
      <c r="N88" s="562">
        <f t="shared" si="82"/>
        <v>-113413</v>
      </c>
      <c r="O88" s="562">
        <f t="shared" si="82"/>
        <v>460653</v>
      </c>
      <c r="P88" s="562">
        <f t="shared" si="82"/>
        <v>480880</v>
      </c>
      <c r="Q88" s="562">
        <f t="shared" si="82"/>
        <v>0</v>
      </c>
      <c r="R88" s="562">
        <f t="shared" si="82"/>
        <v>0</v>
      </c>
      <c r="S88" s="562">
        <f t="shared" si="82"/>
        <v>953518</v>
      </c>
      <c r="T88" s="562">
        <f t="shared" si="82"/>
        <v>995385</v>
      </c>
      <c r="U88" s="562">
        <f t="shared" si="82"/>
        <v>0</v>
      </c>
      <c r="V88" s="562">
        <f t="shared" si="82"/>
        <v>0</v>
      </c>
      <c r="W88" s="562">
        <f t="shared" si="82"/>
        <v>0</v>
      </c>
      <c r="X88" s="562">
        <f t="shared" si="82"/>
        <v>0</v>
      </c>
      <c r="Y88" s="562">
        <f t="shared" si="82"/>
        <v>0</v>
      </c>
      <c r="Z88" s="562">
        <f t="shared" si="82"/>
        <v>0</v>
      </c>
      <c r="AA88" s="562">
        <f t="shared" si="82"/>
        <v>0</v>
      </c>
      <c r="AB88" s="562">
        <f t="shared" si="82"/>
        <v>0</v>
      </c>
      <c r="AC88" s="562">
        <f t="shared" ref="AC88:AD88" si="83">-AC61</f>
        <v>0</v>
      </c>
      <c r="AD88" s="562">
        <f t="shared" si="83"/>
        <v>0</v>
      </c>
      <c r="AE88" s="562">
        <v>0</v>
      </c>
      <c r="AF88" s="562">
        <v>0</v>
      </c>
      <c r="AG88" s="562">
        <f t="shared" si="82"/>
        <v>0</v>
      </c>
      <c r="AH88" s="562">
        <f t="shared" si="82"/>
        <v>0</v>
      </c>
      <c r="AI88" s="562">
        <f>G88+I88+K88+M88+O88+Q88+S88+U88+W88+Y88+AA88+AG88+AC88+AE88</f>
        <v>-17011957.009247731</v>
      </c>
      <c r="AJ88" s="1">
        <f t="shared" ref="AJ88:AJ94" si="84">ROUND(AI88/C88,4)-1</f>
        <v>-0.19640000000000002</v>
      </c>
      <c r="AK88" s="562">
        <f>H88+J88+L88+N88+P88+R88+T88+V88+X88+Z88+AB88+AH88+AD88+AF88</f>
        <v>-17758915.542630088</v>
      </c>
      <c r="AL88" s="555">
        <f t="shared" ref="AL88:AL94" si="85">ROUND(AK88/AI88-1,4)</f>
        <v>4.3900000000000002E-2</v>
      </c>
    </row>
    <row r="89" spans="1:38" ht="13.5">
      <c r="A89" s="8" t="s">
        <v>404</v>
      </c>
      <c r="B89" s="640">
        <v>-121252632</v>
      </c>
      <c r="C89" s="562">
        <v>-121252632</v>
      </c>
      <c r="D89" s="1">
        <f t="shared" si="80"/>
        <v>0</v>
      </c>
      <c r="E89" s="562">
        <v>-121252632</v>
      </c>
      <c r="F89" s="1">
        <f t="shared" si="81"/>
        <v>0</v>
      </c>
      <c r="G89" s="562">
        <f>ROUND((E89/E97*G97)*1.02,0)</f>
        <v>-123677685</v>
      </c>
      <c r="H89" s="562">
        <f>ROUND(G89*1.02,0)</f>
        <v>-126151239</v>
      </c>
      <c r="I89" s="562">
        <f>ROUND(G89/$G$97*$I$97+62,0)</f>
        <v>170548</v>
      </c>
      <c r="J89" s="562">
        <f>ROUND(H89/$H$97*$J$97+2874,0)</f>
        <v>-274762</v>
      </c>
      <c r="K89" s="562"/>
      <c r="L89" s="562"/>
      <c r="M89" s="562">
        <f>(G89+I89)*M300SAL!D83</f>
        <v>-731078.32005834556</v>
      </c>
      <c r="N89" s="562">
        <f>(H89+J89)*M300SAL!G83</f>
        <v>-749844.42730731948</v>
      </c>
      <c r="O89" s="562">
        <f>ROUND((G89+I89+M89)*DSADATABASE!$J$28,0)-G89-I89-M89</f>
        <v>3105955.3200583458</v>
      </c>
      <c r="P89" s="562">
        <f>ROUND((H89+J89+N89)*DSADATABASE!$J$28,0)-H89-J89-N89</f>
        <v>3179396.4273073194</v>
      </c>
      <c r="Q89" s="562">
        <f>-ROUND((-G89-I89-O89-M89)/1.02,0)-G89-I89-O89-M89</f>
        <v>2375142</v>
      </c>
      <c r="R89" s="562">
        <f>-ROUND((-H89-J89-P89-N89)/1.02/1.02,0)-H89-J89-P89-N89</f>
        <v>4814933</v>
      </c>
      <c r="S89" s="562">
        <f>ROUND((G89+I89+M89+O89+Q89)*0.946925-(G89+I89+M89+O89+Q89),0)</f>
        <v>6303034</v>
      </c>
      <c r="T89" s="562">
        <f>ROUND((H89+J89+N89+P89+R89)*0.946925-(H89+J89+N89+P89+R89),0)</f>
        <v>6325559</v>
      </c>
      <c r="U89" s="562">
        <f>E89-G89-I89-O89-Q89-S89-M89</f>
        <v>-8798548</v>
      </c>
      <c r="V89" s="562">
        <f>E89-H89-J89-P89-R89-T89-N89</f>
        <v>-8396675</v>
      </c>
      <c r="W89" s="562">
        <v>0</v>
      </c>
      <c r="X89" s="562">
        <v>0</v>
      </c>
      <c r="Y89" s="562">
        <v>0</v>
      </c>
      <c r="Z89" s="562">
        <v>0</v>
      </c>
      <c r="AA89" s="562">
        <v>0</v>
      </c>
      <c r="AB89" s="562">
        <v>0</v>
      </c>
      <c r="AC89" s="562">
        <v>0</v>
      </c>
      <c r="AD89" s="562">
        <v>0</v>
      </c>
      <c r="AE89" s="562">
        <v>0</v>
      </c>
      <c r="AF89" s="562">
        <v>0</v>
      </c>
      <c r="AG89" s="562">
        <v>0</v>
      </c>
      <c r="AH89" s="562">
        <v>0</v>
      </c>
      <c r="AI89" s="562">
        <f t="shared" ref="AI89:AI94" si="86">G89+I89+K89+M89+O89+Q89+S89+U89+W89+Y89+AA89+AG89+AC89+AE89</f>
        <v>-121252632</v>
      </c>
      <c r="AJ89" s="1">
        <f t="shared" si="84"/>
        <v>0</v>
      </c>
      <c r="AK89" s="562">
        <f t="shared" ref="AK89:AK94" si="87">H89+J89+L89+N89+P89+R89+T89+V89+X89+Z89+AB89+AH89+AD89+AF89</f>
        <v>-121252632</v>
      </c>
      <c r="AL89" s="555">
        <f t="shared" si="85"/>
        <v>0</v>
      </c>
    </row>
    <row r="90" spans="1:38" ht="13.5">
      <c r="A90" s="8" t="s">
        <v>403</v>
      </c>
      <c r="B90" s="640">
        <v>-170908</v>
      </c>
      <c r="C90" s="562">
        <v>-128541</v>
      </c>
      <c r="D90" s="1">
        <f t="shared" si="80"/>
        <v>-0.24790000000000001</v>
      </c>
      <c r="E90" s="562">
        <v>-170908</v>
      </c>
      <c r="F90" s="1">
        <f t="shared" si="81"/>
        <v>0.3296</v>
      </c>
      <c r="G90" s="562">
        <f>C90</f>
        <v>-128541</v>
      </c>
      <c r="H90" s="562">
        <f>G90</f>
        <v>-128541</v>
      </c>
      <c r="I90" s="562"/>
      <c r="J90" s="562"/>
      <c r="K90" s="562"/>
      <c r="L90" s="562"/>
      <c r="M90" s="562"/>
      <c r="N90" s="562"/>
      <c r="O90" s="562"/>
      <c r="P90" s="562"/>
      <c r="Q90" s="562"/>
      <c r="R90" s="562"/>
      <c r="S90" s="562"/>
      <c r="T90" s="562"/>
      <c r="U90" s="562"/>
      <c r="V90" s="562"/>
      <c r="W90" s="562"/>
      <c r="X90" s="562"/>
      <c r="Y90" s="562"/>
      <c r="Z90" s="562"/>
      <c r="AA90" s="562"/>
      <c r="AB90" s="562"/>
      <c r="AC90" s="562"/>
      <c r="AD90" s="562"/>
      <c r="AE90" s="562"/>
      <c r="AF90" s="562"/>
      <c r="AG90" s="562"/>
      <c r="AH90" s="562"/>
      <c r="AI90" s="562">
        <f t="shared" si="86"/>
        <v>-128541</v>
      </c>
      <c r="AJ90" s="1">
        <f t="shared" si="84"/>
        <v>0</v>
      </c>
      <c r="AK90" s="562">
        <f t="shared" si="87"/>
        <v>-128541</v>
      </c>
      <c r="AL90" s="555">
        <f t="shared" si="85"/>
        <v>0</v>
      </c>
    </row>
    <row r="91" spans="1:38" ht="13.5">
      <c r="A91" s="8" t="s">
        <v>341</v>
      </c>
      <c r="B91" s="640">
        <v>-588732</v>
      </c>
      <c r="C91" s="562">
        <v>-588732</v>
      </c>
      <c r="D91" s="1">
        <f>ROUND(C91/B91-1,4)</f>
        <v>0</v>
      </c>
      <c r="E91" s="562">
        <v>-588732</v>
      </c>
      <c r="F91" s="1">
        <f>ROUND(E91/C91-1,4)</f>
        <v>0</v>
      </c>
      <c r="G91" s="562">
        <f>E91</f>
        <v>-588732</v>
      </c>
      <c r="H91" s="562">
        <f>G91</f>
        <v>-588732</v>
      </c>
      <c r="I91" s="562"/>
      <c r="J91" s="562"/>
      <c r="K91" s="562"/>
      <c r="L91" s="562"/>
      <c r="M91" s="562"/>
      <c r="N91" s="562"/>
      <c r="O91" s="562"/>
      <c r="P91" s="562"/>
      <c r="Q91" s="562"/>
      <c r="R91" s="562"/>
      <c r="S91" s="562"/>
      <c r="T91" s="562"/>
      <c r="U91" s="562"/>
      <c r="V91" s="562"/>
      <c r="W91" s="562"/>
      <c r="X91" s="562"/>
      <c r="Y91" s="562"/>
      <c r="Z91" s="562"/>
      <c r="AA91" s="562"/>
      <c r="AB91" s="562"/>
      <c r="AC91" s="562"/>
      <c r="AD91" s="562"/>
      <c r="AE91" s="562"/>
      <c r="AF91" s="562"/>
      <c r="AG91" s="562"/>
      <c r="AH91" s="562"/>
      <c r="AI91" s="562">
        <f t="shared" si="86"/>
        <v>-588732</v>
      </c>
      <c r="AJ91" s="1">
        <f t="shared" si="84"/>
        <v>0</v>
      </c>
      <c r="AK91" s="562">
        <f t="shared" si="87"/>
        <v>-588732</v>
      </c>
      <c r="AL91" s="555">
        <f t="shared" si="85"/>
        <v>0</v>
      </c>
    </row>
    <row r="92" spans="1:38" ht="13.5">
      <c r="A92" s="8" t="s">
        <v>426</v>
      </c>
      <c r="B92" s="640">
        <v>0</v>
      </c>
      <c r="C92" s="562">
        <v>-631134</v>
      </c>
      <c r="D92" s="1" t="e">
        <f t="shared" si="80"/>
        <v>#DIV/0!</v>
      </c>
      <c r="E92" s="562"/>
      <c r="F92" s="1">
        <f t="shared" si="81"/>
        <v>-1</v>
      </c>
      <c r="G92" s="562">
        <f>E92</f>
        <v>0</v>
      </c>
      <c r="H92" s="562">
        <f>G92</f>
        <v>0</v>
      </c>
      <c r="I92" s="562"/>
      <c r="J92" s="562"/>
      <c r="K92" s="562"/>
      <c r="L92" s="562"/>
      <c r="M92" s="562"/>
      <c r="N92" s="562"/>
      <c r="O92" s="562"/>
      <c r="P92" s="562"/>
      <c r="Q92" s="562"/>
      <c r="R92" s="562"/>
      <c r="S92" s="562"/>
      <c r="T92" s="562"/>
      <c r="U92" s="562"/>
      <c r="V92" s="562"/>
      <c r="W92" s="562"/>
      <c r="X92" s="562"/>
      <c r="Y92" s="562"/>
      <c r="Z92" s="562"/>
      <c r="AA92" s="562"/>
      <c r="AB92" s="562"/>
      <c r="AC92" s="562"/>
      <c r="AD92" s="562"/>
      <c r="AE92" s="562"/>
      <c r="AF92" s="562"/>
      <c r="AG92" s="562"/>
      <c r="AH92" s="562"/>
      <c r="AI92" s="562">
        <f t="shared" si="86"/>
        <v>0</v>
      </c>
      <c r="AJ92" s="1">
        <f t="shared" si="84"/>
        <v>-1</v>
      </c>
      <c r="AK92" s="562">
        <f t="shared" si="87"/>
        <v>0</v>
      </c>
      <c r="AL92" s="555" t="e">
        <f t="shared" si="85"/>
        <v>#DIV/0!</v>
      </c>
    </row>
    <row r="93" spans="1:38" ht="13.5">
      <c r="A93" s="8" t="s">
        <v>427</v>
      </c>
      <c r="B93" s="640">
        <v>0</v>
      </c>
      <c r="C93" s="562">
        <v>-182317</v>
      </c>
      <c r="D93" s="1" t="e">
        <f t="shared" si="80"/>
        <v>#DIV/0!</v>
      </c>
      <c r="E93" s="562"/>
      <c r="F93" s="1">
        <f t="shared" si="81"/>
        <v>-1</v>
      </c>
      <c r="G93" s="562">
        <f>E93</f>
        <v>0</v>
      </c>
      <c r="H93" s="562">
        <f>G93</f>
        <v>0</v>
      </c>
      <c r="I93" s="562"/>
      <c r="J93" s="562"/>
      <c r="K93" s="562"/>
      <c r="L93" s="562"/>
      <c r="M93" s="562"/>
      <c r="N93" s="562"/>
      <c r="O93" s="562"/>
      <c r="P93" s="562"/>
      <c r="Q93" s="562"/>
      <c r="R93" s="562"/>
      <c r="S93" s="562"/>
      <c r="T93" s="562"/>
      <c r="U93" s="562"/>
      <c r="V93" s="562"/>
      <c r="W93" s="562"/>
      <c r="X93" s="562"/>
      <c r="Y93" s="562"/>
      <c r="Z93" s="562"/>
      <c r="AA93" s="562"/>
      <c r="AB93" s="562"/>
      <c r="AC93" s="562"/>
      <c r="AD93" s="562"/>
      <c r="AE93" s="562"/>
      <c r="AF93" s="562"/>
      <c r="AG93" s="562"/>
      <c r="AH93" s="562"/>
      <c r="AI93" s="562">
        <f t="shared" si="86"/>
        <v>0</v>
      </c>
      <c r="AJ93" s="1">
        <f t="shared" si="84"/>
        <v>-1</v>
      </c>
      <c r="AK93" s="562">
        <f t="shared" si="87"/>
        <v>0</v>
      </c>
      <c r="AL93" s="555" t="e">
        <f t="shared" si="85"/>
        <v>#DIV/0!</v>
      </c>
    </row>
    <row r="94" spans="1:38" ht="13.5">
      <c r="A94" s="582" t="s">
        <v>428</v>
      </c>
      <c r="B94" s="640">
        <v>0</v>
      </c>
      <c r="C94" s="562"/>
      <c r="D94" s="1" t="e">
        <f>ROUND(C94/B94-1,4)</f>
        <v>#DIV/0!</v>
      </c>
      <c r="E94" s="562"/>
      <c r="F94" s="1" t="e">
        <f>ROUND(E94/C94-1,4)</f>
        <v>#DIV/0!</v>
      </c>
      <c r="G94" s="562">
        <f>E94</f>
        <v>0</v>
      </c>
      <c r="H94" s="562">
        <f>G94</f>
        <v>0</v>
      </c>
      <c r="I94" s="562"/>
      <c r="J94" s="562"/>
      <c r="K94" s="562"/>
      <c r="L94" s="562"/>
      <c r="M94" s="562"/>
      <c r="N94" s="562"/>
      <c r="O94" s="562"/>
      <c r="P94" s="562"/>
      <c r="Q94" s="562"/>
      <c r="R94" s="562"/>
      <c r="S94" s="562"/>
      <c r="T94" s="562"/>
      <c r="U94" s="562"/>
      <c r="V94" s="562"/>
      <c r="W94" s="562"/>
      <c r="X94" s="562"/>
      <c r="Y94" s="562"/>
      <c r="Z94" s="562"/>
      <c r="AA94" s="562"/>
      <c r="AB94" s="562"/>
      <c r="AC94" s="562"/>
      <c r="AD94" s="562"/>
      <c r="AE94" s="562"/>
      <c r="AF94" s="562"/>
      <c r="AG94" s="562"/>
      <c r="AH94" s="562"/>
      <c r="AI94" s="562">
        <f t="shared" si="86"/>
        <v>0</v>
      </c>
      <c r="AJ94" s="1" t="e">
        <f t="shared" si="84"/>
        <v>#DIV/0!</v>
      </c>
      <c r="AK94" s="562">
        <f t="shared" si="87"/>
        <v>0</v>
      </c>
      <c r="AL94" s="555" t="e">
        <f t="shared" si="85"/>
        <v>#DIV/0!</v>
      </c>
    </row>
    <row r="95" spans="1:38" ht="13.5">
      <c r="A95" s="94" t="s">
        <v>201</v>
      </c>
      <c r="B95" s="644">
        <f>SUM(B88:B94)+B86</f>
        <v>2207566730</v>
      </c>
      <c r="C95" s="645">
        <f>SUM(C88:C94)+C86</f>
        <v>2206615525</v>
      </c>
      <c r="D95" s="557">
        <f>ROUND(C95/B95-1,4)</f>
        <v>-4.0000000000000002E-4</v>
      </c>
      <c r="E95" s="645">
        <f>SUM(E86:E94)</f>
        <v>2193571173</v>
      </c>
      <c r="F95" s="557">
        <f>ROUND(E95/C95-1,4)</f>
        <v>-5.8999999999999999E-3</v>
      </c>
      <c r="G95" s="645">
        <f t="shared" ref="G95:AI95" si="88">SUM(G88:G94)+G86</f>
        <v>2385328674</v>
      </c>
      <c r="H95" s="645">
        <f t="shared" si="88"/>
        <v>2429389728</v>
      </c>
      <c r="I95" s="645">
        <f t="shared" si="88"/>
        <v>-2729795.3400000334</v>
      </c>
      <c r="J95" s="645">
        <f t="shared" si="88"/>
        <v>5043473.6200000048</v>
      </c>
      <c r="K95" s="645">
        <f t="shared" si="88"/>
        <v>0</v>
      </c>
      <c r="L95" s="645">
        <f t="shared" si="88"/>
        <v>0</v>
      </c>
      <c r="M95" s="645">
        <f t="shared" si="88"/>
        <v>15029963.874941707</v>
      </c>
      <c r="N95" s="645">
        <f t="shared" si="88"/>
        <v>15366928.687692571</v>
      </c>
      <c r="O95" s="645">
        <f t="shared" si="88"/>
        <v>-56177814.182441711</v>
      </c>
      <c r="P95" s="645">
        <f t="shared" si="88"/>
        <v>-57290048.498942658</v>
      </c>
      <c r="Q95" s="645">
        <f t="shared" si="88"/>
        <v>2375142</v>
      </c>
      <c r="R95" s="645">
        <f t="shared" si="88"/>
        <v>4814933</v>
      </c>
      <c r="S95" s="645">
        <f t="shared" si="88"/>
        <v>-91499437.756150007</v>
      </c>
      <c r="T95" s="645">
        <f t="shared" si="88"/>
        <v>-93690785.151024818</v>
      </c>
      <c r="U95" s="645">
        <f t="shared" si="88"/>
        <v>0</v>
      </c>
      <c r="V95" s="645">
        <f t="shared" si="88"/>
        <v>0</v>
      </c>
      <c r="W95" s="645">
        <f>SUM(W88:W94)+W86</f>
        <v>-52052912</v>
      </c>
      <c r="X95" s="645">
        <f>SUM(X88:X94)+X86</f>
        <v>-48382960</v>
      </c>
      <c r="Y95" s="645">
        <f>SUM(Y88:Y94)+Y86</f>
        <v>20675812</v>
      </c>
      <c r="Z95" s="645">
        <f>SUM(Z88:Z94)+Z86</f>
        <v>20675812</v>
      </c>
      <c r="AA95" s="645">
        <f t="shared" si="88"/>
        <v>0</v>
      </c>
      <c r="AB95" s="645">
        <f t="shared" si="88"/>
        <v>0</v>
      </c>
      <c r="AC95" s="645">
        <f t="shared" ref="AC95:AH95" si="89">SUM(AC88:AC94)+AC86</f>
        <v>0</v>
      </c>
      <c r="AD95" s="645">
        <f t="shared" si="89"/>
        <v>0</v>
      </c>
      <c r="AE95" s="645">
        <f t="shared" si="89"/>
        <v>0</v>
      </c>
      <c r="AF95" s="645">
        <f t="shared" si="89"/>
        <v>0</v>
      </c>
      <c r="AG95" s="645">
        <f t="shared" si="89"/>
        <v>0</v>
      </c>
      <c r="AH95" s="645">
        <f t="shared" si="89"/>
        <v>0</v>
      </c>
      <c r="AI95" s="645">
        <f t="shared" si="88"/>
        <v>2220949632.5963497</v>
      </c>
      <c r="AJ95" s="557">
        <f>ROUND(AI95/C95-1,4)</f>
        <v>6.4999999999999997E-3</v>
      </c>
      <c r="AK95" s="645">
        <f>SUM(AK88:AK94)+AK86</f>
        <v>2275927081.6577253</v>
      </c>
      <c r="AL95" s="558">
        <f>ROUND(AK95/AI95-1,4)</f>
        <v>2.4799999999999999E-2</v>
      </c>
    </row>
    <row r="96" spans="1:38" ht="12" customHeight="1">
      <c r="A96" s="8"/>
      <c r="B96" s="646"/>
      <c r="C96" s="647"/>
      <c r="D96" s="559"/>
      <c r="E96" s="647"/>
      <c r="F96" s="559"/>
      <c r="G96" s="647"/>
      <c r="H96" s="647"/>
      <c r="I96" s="647"/>
      <c r="J96" s="647"/>
      <c r="K96" s="647"/>
      <c r="L96" s="647"/>
      <c r="M96" s="647"/>
      <c r="N96" s="647"/>
      <c r="O96" s="647"/>
      <c r="P96" s="647"/>
      <c r="Q96" s="647"/>
      <c r="R96" s="647"/>
      <c r="S96" s="647"/>
      <c r="T96" s="647"/>
      <c r="U96" s="647"/>
      <c r="V96" s="647"/>
      <c r="W96" s="647"/>
      <c r="X96" s="647"/>
      <c r="Y96" s="647"/>
      <c r="Z96" s="647"/>
      <c r="AA96" s="647"/>
      <c r="AB96" s="647"/>
      <c r="AC96" s="647"/>
      <c r="AD96" s="647"/>
      <c r="AE96" s="647"/>
      <c r="AF96" s="647"/>
      <c r="AG96" s="647"/>
      <c r="AH96" s="647"/>
      <c r="AI96" s="647"/>
      <c r="AJ96" s="559"/>
      <c r="AK96" s="647"/>
      <c r="AL96" s="560"/>
    </row>
    <row r="97" spans="1:38" ht="13.5">
      <c r="A97" s="8" t="s">
        <v>207</v>
      </c>
      <c r="B97" s="622">
        <v>425270.2</v>
      </c>
      <c r="C97" s="621">
        <f>DSADATABASE!A4</f>
        <v>425527.2</v>
      </c>
      <c r="D97" s="559">
        <f>C97/B97-1</f>
        <v>6.0432167596036201E-4</v>
      </c>
      <c r="E97" s="621">
        <f>DSADATABASE!B4</f>
        <v>422569.6</v>
      </c>
      <c r="F97" s="559">
        <f>ROUND(E97/C97-1,4)</f>
        <v>-7.0000000000000001E-3</v>
      </c>
      <c r="G97" s="621">
        <f>DSADATABASE!B4</f>
        <v>422569.6</v>
      </c>
      <c r="H97" s="621">
        <f>DSADATABASE!B4</f>
        <v>422569.6</v>
      </c>
      <c r="I97" s="621">
        <f>DSADATABASE!$C$4-DSADATABASE!$B$4</f>
        <v>-582.5</v>
      </c>
      <c r="J97" s="621">
        <f>DSADATABASE!$D$4-DSADATABASE!$B$4</f>
        <v>930</v>
      </c>
      <c r="K97" s="621">
        <f>DSADATABASE!$C$4</f>
        <v>421987.1</v>
      </c>
      <c r="L97" s="621">
        <f>DSADATABASE!$D$4</f>
        <v>423499.6</v>
      </c>
      <c r="M97" s="621">
        <f>DSADATABASE!$C$4</f>
        <v>421987.1</v>
      </c>
      <c r="N97" s="621">
        <f>DSADATABASE!$D$4</f>
        <v>423499.6</v>
      </c>
      <c r="O97" s="621">
        <f>DSADATABASE!$C$4</f>
        <v>421987.1</v>
      </c>
      <c r="P97" s="621">
        <f>DSADATABASE!$D$4</f>
        <v>423499.6</v>
      </c>
      <c r="Q97" s="621">
        <f>DSADATABASE!$C$4</f>
        <v>421987.1</v>
      </c>
      <c r="R97" s="621">
        <f>DSADATABASE!$D$4</f>
        <v>423499.6</v>
      </c>
      <c r="S97" s="621">
        <v>0</v>
      </c>
      <c r="T97" s="621">
        <v>0</v>
      </c>
      <c r="U97" s="621">
        <f>DSADATABASE!$C$4</f>
        <v>421987.1</v>
      </c>
      <c r="V97" s="621">
        <f>DSADATABASE!$D$4</f>
        <v>423499.6</v>
      </c>
      <c r="W97" s="621">
        <f>DSADATABASE!$C$4</f>
        <v>421987.1</v>
      </c>
      <c r="X97" s="621">
        <f>DSADATABASE!$D$4</f>
        <v>423499.6</v>
      </c>
      <c r="Y97" s="621">
        <f>DSADATABASE!$C$4</f>
        <v>421987.1</v>
      </c>
      <c r="Z97" s="621">
        <f>DSADATABASE!$D$4</f>
        <v>423499.6</v>
      </c>
      <c r="AA97" s="621">
        <v>0</v>
      </c>
      <c r="AB97" s="621">
        <v>0</v>
      </c>
      <c r="AC97" s="621">
        <v>0</v>
      </c>
      <c r="AD97" s="621">
        <v>0</v>
      </c>
      <c r="AE97" s="621">
        <v>0</v>
      </c>
      <c r="AF97" s="621">
        <v>0</v>
      </c>
      <c r="AG97" s="621">
        <v>0</v>
      </c>
      <c r="AH97" s="621">
        <v>0</v>
      </c>
      <c r="AI97" s="621">
        <f>+G97+I97+S97+AA97+AG97+AC97+AE97</f>
        <v>421987.1</v>
      </c>
      <c r="AJ97" s="559">
        <f>ROUND(AI97/C97-1,4)</f>
        <v>-8.3000000000000001E-3</v>
      </c>
      <c r="AK97" s="621">
        <f>+H97+J97+T97+AB97+AH97+AD97+AF97</f>
        <v>423499.6</v>
      </c>
      <c r="AL97" s="560">
        <f>ROUND(AK97/AI97-1,4)</f>
        <v>3.5999999999999999E-3</v>
      </c>
    </row>
    <row r="98" spans="1:38" ht="9.9499999999999993" customHeight="1">
      <c r="A98" s="8"/>
      <c r="B98" s="646"/>
      <c r="C98" s="647"/>
      <c r="D98" s="559"/>
      <c r="E98" s="647"/>
      <c r="F98" s="553"/>
      <c r="G98" s="647"/>
      <c r="H98" s="647"/>
      <c r="I98" s="647"/>
      <c r="J98" s="647"/>
      <c r="K98" s="647"/>
      <c r="L98" s="647"/>
      <c r="M98" s="647"/>
      <c r="N98" s="647"/>
      <c r="O98" s="647"/>
      <c r="P98" s="647"/>
      <c r="Q98" s="647"/>
      <c r="R98" s="647"/>
      <c r="S98" s="647"/>
      <c r="T98" s="647"/>
      <c r="U98" s="647"/>
      <c r="V98" s="647"/>
      <c r="W98" s="647"/>
      <c r="X98" s="647"/>
      <c r="Y98" s="647"/>
      <c r="Z98" s="647"/>
      <c r="AA98" s="647"/>
      <c r="AB98" s="647"/>
      <c r="AC98" s="647"/>
      <c r="AD98" s="647"/>
      <c r="AE98" s="647"/>
      <c r="AF98" s="647"/>
      <c r="AG98" s="647"/>
      <c r="AH98" s="647"/>
      <c r="AI98" s="647"/>
      <c r="AJ98" s="553"/>
      <c r="AK98" s="647"/>
      <c r="AL98" s="554"/>
    </row>
    <row r="99" spans="1:38" s="20" customFormat="1" ht="13.5">
      <c r="A99" s="19" t="s">
        <v>30</v>
      </c>
      <c r="B99" s="644">
        <f>ROUND(B95/B97,2)</f>
        <v>5190.97</v>
      </c>
      <c r="C99" s="645">
        <f>ROUND(C95/C97,2)</f>
        <v>5185.6000000000004</v>
      </c>
      <c r="D99" s="557">
        <f>ROUND(C99/B99-1,4)</f>
        <v>-1E-3</v>
      </c>
      <c r="E99" s="645">
        <f>E95/E97</f>
        <v>5191.0292955290679</v>
      </c>
      <c r="F99" s="553">
        <f>ROUND(E99/C99-1,4)</f>
        <v>1E-3</v>
      </c>
      <c r="G99" s="645">
        <f t="shared" ref="G99:P99" si="90">ROUND(G95/G97,2)</f>
        <v>5644.82</v>
      </c>
      <c r="H99" s="645">
        <f t="shared" si="90"/>
        <v>5749.09</v>
      </c>
      <c r="I99" s="645">
        <f t="shared" si="90"/>
        <v>4686.34</v>
      </c>
      <c r="J99" s="645">
        <f t="shared" si="90"/>
        <v>5423.09</v>
      </c>
      <c r="K99" s="645">
        <f t="shared" si="90"/>
        <v>0</v>
      </c>
      <c r="L99" s="645">
        <f t="shared" si="90"/>
        <v>0</v>
      </c>
      <c r="M99" s="645">
        <f t="shared" si="90"/>
        <v>35.619999999999997</v>
      </c>
      <c r="N99" s="645">
        <f t="shared" si="90"/>
        <v>36.29</v>
      </c>
      <c r="O99" s="645">
        <f t="shared" si="90"/>
        <v>-133.13</v>
      </c>
      <c r="P99" s="645">
        <f t="shared" si="90"/>
        <v>-135.28</v>
      </c>
      <c r="Q99" s="645">
        <f t="shared" ref="Q99:Z99" si="91">ROUND(Q95/Q97,2)</f>
        <v>5.63</v>
      </c>
      <c r="R99" s="645">
        <f t="shared" si="91"/>
        <v>11.37</v>
      </c>
      <c r="S99" s="645" t="e">
        <f t="shared" si="91"/>
        <v>#DIV/0!</v>
      </c>
      <c r="T99" s="645" t="e">
        <f t="shared" si="91"/>
        <v>#DIV/0!</v>
      </c>
      <c r="U99" s="645">
        <f t="shared" si="91"/>
        <v>0</v>
      </c>
      <c r="V99" s="645">
        <f t="shared" si="91"/>
        <v>0</v>
      </c>
      <c r="W99" s="645">
        <f>ROUND(W95/W97,2)</f>
        <v>-123.35</v>
      </c>
      <c r="X99" s="645">
        <f>ROUND(X95/X97,2)</f>
        <v>-114.25</v>
      </c>
      <c r="Y99" s="645">
        <f t="shared" si="91"/>
        <v>49</v>
      </c>
      <c r="Z99" s="645">
        <f t="shared" si="91"/>
        <v>48.82</v>
      </c>
      <c r="AA99" s="645" t="e">
        <f t="shared" ref="AA99:AH99" si="92">ROUND(AA95/AA97,2)</f>
        <v>#DIV/0!</v>
      </c>
      <c r="AB99" s="645" t="e">
        <f t="shared" si="92"/>
        <v>#DIV/0!</v>
      </c>
      <c r="AC99" s="645" t="e">
        <f t="shared" si="92"/>
        <v>#DIV/0!</v>
      </c>
      <c r="AD99" s="645" t="e">
        <f t="shared" si="92"/>
        <v>#DIV/0!</v>
      </c>
      <c r="AE99" s="645"/>
      <c r="AF99" s="645"/>
      <c r="AG99" s="645" t="e">
        <f t="shared" si="92"/>
        <v>#DIV/0!</v>
      </c>
      <c r="AH99" s="645" t="e">
        <f t="shared" si="92"/>
        <v>#DIV/0!</v>
      </c>
      <c r="AI99" s="651">
        <f>ROUND(AI95/AI97,0)</f>
        <v>5263</v>
      </c>
      <c r="AJ99" s="557">
        <f>ROUND(AI99/C99-1,4)</f>
        <v>1.49E-2</v>
      </c>
      <c r="AK99" s="651">
        <f>ROUND(AK95/AK97,0)</f>
        <v>5374</v>
      </c>
      <c r="AL99" s="558">
        <f>ROUND(AK99/AI99-1,4)</f>
        <v>2.1100000000000001E-2</v>
      </c>
    </row>
    <row r="100" spans="1:38" ht="13.5">
      <c r="A100" s="21"/>
      <c r="B100" s="640"/>
      <c r="C100" s="562"/>
      <c r="D100" s="1"/>
      <c r="E100" s="562"/>
      <c r="F100" s="1"/>
      <c r="G100" s="562"/>
      <c r="H100" s="562"/>
      <c r="I100" s="562"/>
      <c r="J100" s="562"/>
      <c r="K100" s="562"/>
      <c r="L100" s="562"/>
      <c r="M100" s="562"/>
      <c r="N100" s="562"/>
      <c r="O100" s="562"/>
      <c r="P100" s="562"/>
      <c r="Q100" s="562"/>
      <c r="R100" s="562"/>
      <c r="S100" s="562"/>
      <c r="T100" s="562"/>
      <c r="U100" s="562"/>
      <c r="V100" s="562"/>
      <c r="W100" s="562"/>
      <c r="X100" s="562"/>
      <c r="Y100" s="562"/>
      <c r="Z100" s="562"/>
      <c r="AA100" s="562"/>
      <c r="AB100" s="562"/>
      <c r="AC100" s="562"/>
      <c r="AD100" s="562"/>
      <c r="AE100" s="562"/>
      <c r="AF100" s="562"/>
      <c r="AG100" s="562"/>
      <c r="AH100" s="562"/>
      <c r="AI100" s="377"/>
      <c r="AJ100" s="1"/>
      <c r="AK100" s="377"/>
      <c r="AL100" s="555"/>
    </row>
    <row r="101" spans="1:38" ht="13.5">
      <c r="A101" s="17" t="s">
        <v>422</v>
      </c>
      <c r="B101" s="640">
        <v>142682929</v>
      </c>
      <c r="C101" s="562">
        <f>142682930</f>
        <v>142682930</v>
      </c>
      <c r="D101" s="1">
        <f t="shared" ref="D101:D106" si="93">ROUND(C101/B101-1,4)</f>
        <v>0</v>
      </c>
      <c r="E101" s="562">
        <v>144348993</v>
      </c>
      <c r="F101" s="1">
        <f t="shared" ref="F101:F106" si="94">ROUND(E101/C101-1,4)</f>
        <v>1.17E-2</v>
      </c>
      <c r="G101" s="562">
        <f>CSRBASESAL!F53-G116</f>
        <v>146872473.15389499</v>
      </c>
      <c r="H101" s="562">
        <f>CSRBASESAL!H53-H116</f>
        <v>149517104.96608001</v>
      </c>
      <c r="I101" s="562">
        <f>CSRM200SAL!D64</f>
        <v>318915</v>
      </c>
      <c r="J101" s="562">
        <f>CSRM200SAL!G64</f>
        <v>1318467</v>
      </c>
      <c r="K101" s="562">
        <v>0</v>
      </c>
      <c r="L101" s="562">
        <v>0</v>
      </c>
      <c r="M101" s="562">
        <f>CSRM300SAL!D66-M116</f>
        <v>869006.09875000361</v>
      </c>
      <c r="N101" s="562">
        <f>CSRM300SAL!G66-N116</f>
        <v>892199.0637500023</v>
      </c>
      <c r="O101" s="562">
        <f>CSRE670SAL!D71-O116</f>
        <v>-3334486.0469699963</v>
      </c>
      <c r="P101" s="562">
        <f>CSRE670SAL!G71-P116</f>
        <v>-3401178.195040002</v>
      </c>
      <c r="Q101" s="562">
        <f>CSRE671SAL!D69-Q116</f>
        <v>0.4528999999165535</v>
      </c>
      <c r="R101" s="562">
        <f>CSRE671SAL!G69-R116</f>
        <v>-9.1199999675154686E-2</v>
      </c>
      <c r="S101" s="562">
        <f>'CSRE601 SAL'!D69-DSASUMM!S116</f>
        <v>-5512458.4413974406</v>
      </c>
      <c r="T101" s="562">
        <f>'CSRE601 SAL'!G69-DSASUMM!T116</f>
        <v>-5686982.2624880765</v>
      </c>
      <c r="U101" s="562">
        <v>0</v>
      </c>
      <c r="V101" s="562">
        <v>0</v>
      </c>
      <c r="W101" s="562">
        <v>0</v>
      </c>
      <c r="X101" s="562">
        <v>0</v>
      </c>
      <c r="Y101" s="562">
        <v>0</v>
      </c>
      <c r="Z101" s="562">
        <v>0</v>
      </c>
      <c r="AA101" s="562">
        <v>0</v>
      </c>
      <c r="AB101" s="562">
        <v>0</v>
      </c>
      <c r="AC101" s="562">
        <v>0</v>
      </c>
      <c r="AD101" s="562">
        <v>0</v>
      </c>
      <c r="AE101" s="562">
        <v>0</v>
      </c>
      <c r="AF101" s="562">
        <v>0</v>
      </c>
      <c r="AG101" s="562">
        <v>0</v>
      </c>
      <c r="AH101" s="562">
        <v>0</v>
      </c>
      <c r="AI101" s="562">
        <f>G101+I101+K101+M101+O101+Q101+S101+U101+W101+Y101+AA101+AG101+AC101+AE101</f>
        <v>139213450.21717754</v>
      </c>
      <c r="AJ101" s="1">
        <f t="shared" ref="AJ101:AJ106" si="95">ROUND(AI101/C101,4)-1</f>
        <v>-2.4299999999999988E-2</v>
      </c>
      <c r="AK101" s="562">
        <f>H101+J101+L101+N101+P101+R101+T101+V101+X101+Z101+AB101+AH101+AD101+AF101</f>
        <v>142639610.48110196</v>
      </c>
      <c r="AL101" s="555">
        <f t="shared" ref="AL101:AL118" si="96">ROUND(AK101/AI101-1,4)</f>
        <v>2.46E-2</v>
      </c>
    </row>
    <row r="102" spans="1:38" ht="13.5">
      <c r="A102" s="8" t="s">
        <v>29</v>
      </c>
      <c r="B102" s="638">
        <v>121252632</v>
      </c>
      <c r="C102" s="639">
        <v>121252632</v>
      </c>
      <c r="D102" s="1">
        <f t="shared" si="93"/>
        <v>0</v>
      </c>
      <c r="E102" s="639">
        <v>121252632</v>
      </c>
      <c r="F102" s="1">
        <f t="shared" si="94"/>
        <v>0</v>
      </c>
      <c r="G102" s="562">
        <f>G89*-1</f>
        <v>123677685</v>
      </c>
      <c r="H102" s="562">
        <f>H89*-1</f>
        <v>126151239</v>
      </c>
      <c r="I102" s="562">
        <f>-I89</f>
        <v>-170548</v>
      </c>
      <c r="J102" s="562">
        <f t="shared" ref="J102:AH102" si="97">-J89</f>
        <v>274762</v>
      </c>
      <c r="K102" s="562">
        <f t="shared" si="97"/>
        <v>0</v>
      </c>
      <c r="L102" s="562">
        <f t="shared" si="97"/>
        <v>0</v>
      </c>
      <c r="M102" s="562">
        <f t="shared" si="97"/>
        <v>731078.32005834556</v>
      </c>
      <c r="N102" s="562">
        <f t="shared" si="97"/>
        <v>749844.42730731948</v>
      </c>
      <c r="O102" s="562">
        <f t="shared" si="97"/>
        <v>-3105955.3200583458</v>
      </c>
      <c r="P102" s="562">
        <f t="shared" si="97"/>
        <v>-3179396.4273073194</v>
      </c>
      <c r="Q102" s="562">
        <f t="shared" si="97"/>
        <v>-2375142</v>
      </c>
      <c r="R102" s="562">
        <f t="shared" si="97"/>
        <v>-4814933</v>
      </c>
      <c r="S102" s="562">
        <f t="shared" si="97"/>
        <v>-6303034</v>
      </c>
      <c r="T102" s="562">
        <f t="shared" si="97"/>
        <v>-6325559</v>
      </c>
      <c r="U102" s="562">
        <f t="shared" si="97"/>
        <v>8798548</v>
      </c>
      <c r="V102" s="562">
        <f t="shared" si="97"/>
        <v>8396675</v>
      </c>
      <c r="W102" s="562">
        <f t="shared" si="97"/>
        <v>0</v>
      </c>
      <c r="X102" s="562">
        <f t="shared" si="97"/>
        <v>0</v>
      </c>
      <c r="Y102" s="562">
        <f t="shared" si="97"/>
        <v>0</v>
      </c>
      <c r="Z102" s="562">
        <f t="shared" si="97"/>
        <v>0</v>
      </c>
      <c r="AA102" s="562">
        <f t="shared" si="97"/>
        <v>0</v>
      </c>
      <c r="AB102" s="562">
        <f t="shared" si="97"/>
        <v>0</v>
      </c>
      <c r="AC102" s="562">
        <f t="shared" ref="AC102" si="98">-AC89</f>
        <v>0</v>
      </c>
      <c r="AD102" s="562">
        <v>0</v>
      </c>
      <c r="AE102" s="562">
        <v>0</v>
      </c>
      <c r="AF102" s="562">
        <v>0</v>
      </c>
      <c r="AG102" s="562">
        <f t="shared" si="97"/>
        <v>0</v>
      </c>
      <c r="AH102" s="562">
        <f t="shared" si="97"/>
        <v>0</v>
      </c>
      <c r="AI102" s="562">
        <f t="shared" ref="AI102:AI118" si="99">G102+I102+K102+M102+O102+Q102+S102+U102+W102+Y102+AA102+AG102+AC102+AE102</f>
        <v>121252632</v>
      </c>
      <c r="AJ102" s="1">
        <f t="shared" si="95"/>
        <v>0</v>
      </c>
      <c r="AK102" s="562">
        <f t="shared" ref="AK102:AK118" si="100">H102+J102+L102+N102+P102+R102+T102+V102+X102+Z102+AB102+AH102+AD102+AF102</f>
        <v>121252632</v>
      </c>
      <c r="AL102" s="555">
        <f t="shared" si="96"/>
        <v>0</v>
      </c>
    </row>
    <row r="103" spans="1:38" ht="13.5">
      <c r="A103" s="8" t="s">
        <v>423</v>
      </c>
      <c r="B103" s="638">
        <v>162571</v>
      </c>
      <c r="C103" s="639">
        <v>162566</v>
      </c>
      <c r="D103" s="1">
        <f t="shared" si="93"/>
        <v>0</v>
      </c>
      <c r="E103" s="639">
        <v>167459</v>
      </c>
      <c r="F103" s="1">
        <f t="shared" si="94"/>
        <v>3.0099999999999998E-2</v>
      </c>
      <c r="G103" s="562">
        <f>ROUND(E103*1.02,0)</f>
        <v>170808</v>
      </c>
      <c r="H103" s="562">
        <f>ROUND(G103*1.02,)</f>
        <v>174224</v>
      </c>
      <c r="I103" s="562">
        <f>ROUND(G103/$G$97*($I$97+G97-E97),0)</f>
        <v>-235</v>
      </c>
      <c r="J103" s="562">
        <f>ROUND(H103/$H$97*($J$97+H97-E97),0)</f>
        <v>383</v>
      </c>
      <c r="K103" s="639">
        <v>0</v>
      </c>
      <c r="L103" s="639">
        <v>0</v>
      </c>
      <c r="M103" s="639">
        <f>(G103+I103)*M300SAL!D83</f>
        <v>1009.6762447607557</v>
      </c>
      <c r="N103" s="639">
        <f>(H103+J103)*M300SAL!G83</f>
        <v>1035.6104352209095</v>
      </c>
      <c r="O103" s="562">
        <f>ROUND((G103+I103+M103)*DSADATABASE!$J$28,0)-G103-I103-M103</f>
        <v>-4289.6762447607562</v>
      </c>
      <c r="P103" s="562">
        <f>ROUND((H103+J103+N103)*DSADATABASE!$J$28,0)-H103-J103-N103</f>
        <v>-4390.6104352209095</v>
      </c>
      <c r="Q103" s="962">
        <f>-ROUND((-G103-I103-O103-M103)/1,0)-G103-I103-O103-M103</f>
        <v>0</v>
      </c>
      <c r="R103" s="963">
        <f>-ROUND((-H103-J103-P103-N103)/1/1,0)-H103-J103-P103-N103</f>
        <v>0</v>
      </c>
      <c r="S103" s="562">
        <f>ROUND((G103+I103+M103+O103+Q103)*0.946925-(G103+I103+M103+O103+Q103),0)</f>
        <v>-8879</v>
      </c>
      <c r="T103" s="562">
        <f>ROUND((H103+J103+N103+P103+R103)*0.946925-(H103+J103+N103+P103+R103),0)</f>
        <v>-9089</v>
      </c>
      <c r="U103" s="639"/>
      <c r="V103" s="639"/>
      <c r="W103" s="639"/>
      <c r="X103" s="639"/>
      <c r="Y103" s="639"/>
      <c r="Z103" s="639"/>
      <c r="AA103" s="639"/>
      <c r="AB103" s="639"/>
      <c r="AC103" s="562"/>
      <c r="AD103" s="562"/>
      <c r="AE103" s="562"/>
      <c r="AF103" s="562"/>
      <c r="AG103" s="562"/>
      <c r="AH103" s="562"/>
      <c r="AI103" s="562">
        <f t="shared" si="99"/>
        <v>158414</v>
      </c>
      <c r="AJ103" s="1">
        <f t="shared" si="95"/>
        <v>-2.5499999999999967E-2</v>
      </c>
      <c r="AK103" s="562">
        <f t="shared" si="100"/>
        <v>162163</v>
      </c>
      <c r="AL103" s="555">
        <f t="shared" si="96"/>
        <v>2.3699999999999999E-2</v>
      </c>
    </row>
    <row r="104" spans="1:38" ht="13.5">
      <c r="A104" s="8" t="s">
        <v>424</v>
      </c>
      <c r="B104" s="638">
        <v>21170456</v>
      </c>
      <c r="C104" s="639">
        <v>21170456</v>
      </c>
      <c r="D104" s="1">
        <f t="shared" si="93"/>
        <v>0</v>
      </c>
      <c r="E104" s="639">
        <v>22673833</v>
      </c>
      <c r="F104" s="1">
        <f t="shared" si="94"/>
        <v>7.0999999999999994E-2</v>
      </c>
      <c r="G104" s="562">
        <f>-G88</f>
        <v>22918550</v>
      </c>
      <c r="H104" s="562">
        <f>-H88</f>
        <v>23376921</v>
      </c>
      <c r="I104" s="639">
        <f>-I88</f>
        <v>-4600849.9907522686</v>
      </c>
      <c r="J104" s="639">
        <f>-J88</f>
        <v>-4255153.4573699124</v>
      </c>
      <c r="K104" s="639">
        <v>0</v>
      </c>
      <c r="L104" s="639">
        <v>0</v>
      </c>
      <c r="M104" s="639">
        <f>-M88</f>
        <v>108428</v>
      </c>
      <c r="N104" s="639">
        <f>-N88</f>
        <v>113413</v>
      </c>
      <c r="O104" s="639">
        <f>-O88</f>
        <v>-460653</v>
      </c>
      <c r="P104" s="639">
        <f>-P88</f>
        <v>-480880</v>
      </c>
      <c r="Q104" s="964">
        <f t="shared" ref="Q104:AH104" si="101">-Q88</f>
        <v>0</v>
      </c>
      <c r="R104" s="964">
        <f t="shared" si="101"/>
        <v>0</v>
      </c>
      <c r="S104" s="639">
        <f t="shared" si="101"/>
        <v>-953518</v>
      </c>
      <c r="T104" s="639">
        <f t="shared" si="101"/>
        <v>-995385</v>
      </c>
      <c r="U104" s="639">
        <f t="shared" si="101"/>
        <v>0</v>
      </c>
      <c r="V104" s="639">
        <f t="shared" si="101"/>
        <v>0</v>
      </c>
      <c r="W104" s="639">
        <f t="shared" si="101"/>
        <v>0</v>
      </c>
      <c r="X104" s="639">
        <f t="shared" si="101"/>
        <v>0</v>
      </c>
      <c r="Y104" s="639">
        <f t="shared" si="101"/>
        <v>0</v>
      </c>
      <c r="Z104" s="639">
        <f t="shared" si="101"/>
        <v>0</v>
      </c>
      <c r="AA104" s="639">
        <f t="shared" si="101"/>
        <v>0</v>
      </c>
      <c r="AB104" s="639">
        <f t="shared" si="101"/>
        <v>0</v>
      </c>
      <c r="AC104" s="639">
        <f t="shared" ref="AC104" si="102">-AC88</f>
        <v>0</v>
      </c>
      <c r="AD104" s="639">
        <v>0</v>
      </c>
      <c r="AE104" s="639">
        <v>0</v>
      </c>
      <c r="AF104" s="639">
        <v>0</v>
      </c>
      <c r="AG104" s="639">
        <f t="shared" si="101"/>
        <v>0</v>
      </c>
      <c r="AH104" s="639">
        <f t="shared" si="101"/>
        <v>0</v>
      </c>
      <c r="AI104" s="562">
        <f t="shared" si="99"/>
        <v>17011957.009247731</v>
      </c>
      <c r="AJ104" s="1">
        <f t="shared" si="95"/>
        <v>-0.19640000000000002</v>
      </c>
      <c r="AK104" s="562">
        <f t="shared" si="100"/>
        <v>17758915.542630088</v>
      </c>
      <c r="AL104" s="555">
        <f t="shared" si="96"/>
        <v>4.3900000000000002E-2</v>
      </c>
    </row>
    <row r="105" spans="1:38" ht="13.5">
      <c r="A105" s="8" t="s">
        <v>340</v>
      </c>
      <c r="B105" s="638">
        <v>588732</v>
      </c>
      <c r="C105" s="639">
        <v>588732</v>
      </c>
      <c r="D105" s="1">
        <f t="shared" si="93"/>
        <v>0</v>
      </c>
      <c r="E105" s="639">
        <v>588732</v>
      </c>
      <c r="F105" s="1">
        <f t="shared" si="94"/>
        <v>0</v>
      </c>
      <c r="G105" s="562">
        <f>E105</f>
        <v>588732</v>
      </c>
      <c r="H105" s="562">
        <f>E105</f>
        <v>588732</v>
      </c>
      <c r="I105" s="639">
        <v>0</v>
      </c>
      <c r="J105" s="639">
        <v>0</v>
      </c>
      <c r="K105" s="639">
        <v>0</v>
      </c>
      <c r="L105" s="639">
        <v>0</v>
      </c>
      <c r="M105" s="639">
        <v>0</v>
      </c>
      <c r="N105" s="639">
        <v>0</v>
      </c>
      <c r="O105" s="639">
        <v>0</v>
      </c>
      <c r="P105" s="639">
        <v>0</v>
      </c>
      <c r="Q105" s="639">
        <v>0</v>
      </c>
      <c r="R105" s="639">
        <v>0</v>
      </c>
      <c r="S105" s="639">
        <v>0</v>
      </c>
      <c r="T105" s="639">
        <v>0</v>
      </c>
      <c r="U105" s="639">
        <v>0</v>
      </c>
      <c r="V105" s="639">
        <v>0</v>
      </c>
      <c r="W105" s="639">
        <v>0</v>
      </c>
      <c r="X105" s="639">
        <v>0</v>
      </c>
      <c r="Y105" s="639">
        <v>0</v>
      </c>
      <c r="Z105" s="639">
        <v>0</v>
      </c>
      <c r="AA105" s="639">
        <v>0</v>
      </c>
      <c r="AB105" s="639">
        <v>0</v>
      </c>
      <c r="AC105" s="639">
        <v>0</v>
      </c>
      <c r="AD105" s="639">
        <v>0</v>
      </c>
      <c r="AE105" s="639">
        <v>0</v>
      </c>
      <c r="AF105" s="639">
        <v>0</v>
      </c>
      <c r="AG105" s="639">
        <v>0</v>
      </c>
      <c r="AH105" s="639">
        <v>0</v>
      </c>
      <c r="AI105" s="562">
        <f t="shared" si="99"/>
        <v>588732</v>
      </c>
      <c r="AJ105" s="1">
        <f t="shared" si="95"/>
        <v>0</v>
      </c>
      <c r="AK105" s="562">
        <f t="shared" si="100"/>
        <v>588732</v>
      </c>
      <c r="AL105" s="555">
        <f t="shared" si="96"/>
        <v>0</v>
      </c>
    </row>
    <row r="106" spans="1:38" ht="12.75" customHeight="1">
      <c r="A106" s="8" t="s">
        <v>429</v>
      </c>
      <c r="B106" s="638">
        <v>0</v>
      </c>
      <c r="C106" s="639">
        <f>631134+182317+6411917</f>
        <v>7225368</v>
      </c>
      <c r="D106" s="1" t="e">
        <f t="shared" si="93"/>
        <v>#DIV/0!</v>
      </c>
      <c r="E106" s="639"/>
      <c r="F106" s="1">
        <f t="shared" si="94"/>
        <v>-1</v>
      </c>
      <c r="G106" s="639">
        <v>0</v>
      </c>
      <c r="H106" s="639">
        <f>G106</f>
        <v>0</v>
      </c>
      <c r="I106" s="639">
        <v>0</v>
      </c>
      <c r="J106" s="639">
        <v>0</v>
      </c>
      <c r="K106" s="639">
        <v>0</v>
      </c>
      <c r="L106" s="639">
        <v>0</v>
      </c>
      <c r="M106" s="639">
        <v>0</v>
      </c>
      <c r="N106" s="639">
        <v>0</v>
      </c>
      <c r="O106" s="639">
        <v>0</v>
      </c>
      <c r="P106" s="639">
        <v>0</v>
      </c>
      <c r="Q106" s="639">
        <v>0</v>
      </c>
      <c r="R106" s="639">
        <v>0</v>
      </c>
      <c r="S106" s="639">
        <v>0</v>
      </c>
      <c r="T106" s="639">
        <v>0</v>
      </c>
      <c r="U106" s="639">
        <v>0</v>
      </c>
      <c r="V106" s="639">
        <v>0</v>
      </c>
      <c r="W106" s="639">
        <v>0</v>
      </c>
      <c r="X106" s="639">
        <v>0</v>
      </c>
      <c r="Y106" s="639">
        <v>0</v>
      </c>
      <c r="Z106" s="639">
        <v>0</v>
      </c>
      <c r="AA106" s="639">
        <v>0</v>
      </c>
      <c r="AB106" s="639">
        <v>0</v>
      </c>
      <c r="AC106" s="639">
        <v>0</v>
      </c>
      <c r="AD106" s="639">
        <v>0</v>
      </c>
      <c r="AE106" s="639">
        <v>0</v>
      </c>
      <c r="AF106" s="639">
        <v>0</v>
      </c>
      <c r="AG106" s="639">
        <v>0</v>
      </c>
      <c r="AH106" s="639">
        <v>0</v>
      </c>
      <c r="AI106" s="562">
        <f t="shared" si="99"/>
        <v>0</v>
      </c>
      <c r="AJ106" s="1">
        <f t="shared" si="95"/>
        <v>-1</v>
      </c>
      <c r="AK106" s="562">
        <f t="shared" si="100"/>
        <v>0</v>
      </c>
      <c r="AL106" s="555" t="e">
        <f t="shared" si="96"/>
        <v>#DIV/0!</v>
      </c>
    </row>
    <row r="107" spans="1:38" ht="13.5">
      <c r="A107" s="8" t="s">
        <v>292</v>
      </c>
      <c r="B107" s="638"/>
      <c r="C107" s="639"/>
      <c r="D107" s="683"/>
      <c r="E107" s="639"/>
      <c r="F107" s="683"/>
      <c r="G107" s="639"/>
      <c r="H107" s="639"/>
      <c r="I107" s="639"/>
      <c r="J107" s="639"/>
      <c r="K107" s="639"/>
      <c r="L107" s="639"/>
      <c r="M107" s="639"/>
      <c r="N107" s="639"/>
      <c r="O107" s="639"/>
      <c r="P107" s="639"/>
      <c r="Q107" s="639"/>
      <c r="R107" s="639"/>
      <c r="S107" s="639"/>
      <c r="T107" s="639"/>
      <c r="U107" s="639"/>
      <c r="V107" s="639"/>
      <c r="W107" s="639"/>
      <c r="X107" s="639"/>
      <c r="Y107" s="639"/>
      <c r="Z107" s="639"/>
      <c r="AA107" s="639"/>
      <c r="AB107" s="639"/>
      <c r="AC107" s="639"/>
      <c r="AD107" s="639"/>
      <c r="AE107" s="639"/>
      <c r="AF107" s="639"/>
      <c r="AG107" s="639"/>
      <c r="AH107" s="639"/>
      <c r="AI107" s="562">
        <f t="shared" si="99"/>
        <v>0</v>
      </c>
      <c r="AJ107" s="1"/>
      <c r="AK107" s="562">
        <f t="shared" si="100"/>
        <v>0</v>
      </c>
      <c r="AL107" s="555"/>
    </row>
    <row r="108" spans="1:38" ht="13.5" hidden="1">
      <c r="A108" s="709" t="s">
        <v>245</v>
      </c>
      <c r="B108" s="638">
        <v>0</v>
      </c>
      <c r="C108" s="639"/>
      <c r="D108" s="1" t="e">
        <f>ROUND(C108/B108-1,4)</f>
        <v>#DIV/0!</v>
      </c>
      <c r="E108" s="639"/>
      <c r="F108" s="1" t="e">
        <f>ROUND(E108/C108-1,4)</f>
        <v>#DIV/0!</v>
      </c>
      <c r="G108" s="639">
        <f>C108</f>
        <v>0</v>
      </c>
      <c r="H108" s="639">
        <f>G108</f>
        <v>0</v>
      </c>
      <c r="I108" s="562"/>
      <c r="J108" s="562"/>
      <c r="K108" s="639"/>
      <c r="L108" s="639"/>
      <c r="M108" s="639"/>
      <c r="N108" s="639"/>
      <c r="O108" s="639"/>
      <c r="P108" s="639"/>
      <c r="Q108" s="639"/>
      <c r="R108" s="639"/>
      <c r="S108" s="639"/>
      <c r="T108" s="639"/>
      <c r="U108" s="639"/>
      <c r="V108" s="639"/>
      <c r="W108" s="639"/>
      <c r="X108" s="639"/>
      <c r="Y108" s="639"/>
      <c r="Z108" s="639"/>
      <c r="AA108" s="639"/>
      <c r="AB108" s="639"/>
      <c r="AC108" s="639"/>
      <c r="AD108" s="639"/>
      <c r="AE108" s="639"/>
      <c r="AF108" s="639"/>
      <c r="AG108" s="639"/>
      <c r="AH108" s="639"/>
      <c r="AI108" s="562">
        <f t="shared" si="99"/>
        <v>0</v>
      </c>
      <c r="AJ108" s="1" t="e">
        <f>ROUND(AI108/C108,4)-1</f>
        <v>#DIV/0!</v>
      </c>
      <c r="AK108" s="562">
        <f t="shared" si="100"/>
        <v>0</v>
      </c>
      <c r="AL108" s="555" t="e">
        <f t="shared" si="96"/>
        <v>#DIV/0!</v>
      </c>
    </row>
    <row r="109" spans="1:38" ht="13.5">
      <c r="A109" s="709" t="s">
        <v>246</v>
      </c>
      <c r="B109" s="638">
        <v>7897804</v>
      </c>
      <c r="C109" s="639">
        <v>7897804</v>
      </c>
      <c r="D109" s="1">
        <f>ROUND(C109/B109-1,4)</f>
        <v>0</v>
      </c>
      <c r="E109" s="639">
        <v>7897804</v>
      </c>
      <c r="F109" s="1">
        <f>ROUND(E109/C109-1,4)</f>
        <v>0</v>
      </c>
      <c r="G109" s="562">
        <f>E109</f>
        <v>7897804</v>
      </c>
      <c r="H109" s="562">
        <f>G109</f>
        <v>7897804</v>
      </c>
      <c r="I109" s="562">
        <v>0</v>
      </c>
      <c r="J109" s="562">
        <v>0</v>
      </c>
      <c r="K109" s="639">
        <v>0</v>
      </c>
      <c r="L109" s="639">
        <v>0</v>
      </c>
      <c r="M109" s="639">
        <v>42273</v>
      </c>
      <c r="N109" s="639">
        <v>42273</v>
      </c>
      <c r="O109" s="964">
        <f>-292600+292600-146300</f>
        <v>-146300</v>
      </c>
      <c r="P109" s="964">
        <f>-292600+292600-146300</f>
        <v>-146300</v>
      </c>
      <c r="Q109" s="964">
        <v>0</v>
      </c>
      <c r="R109" s="964">
        <v>0</v>
      </c>
      <c r="S109" s="964">
        <f>-226859-11940+5970</f>
        <v>-232829</v>
      </c>
      <c r="T109" s="964">
        <f>-226859-11940+5970</f>
        <v>-232829</v>
      </c>
      <c r="U109" s="964">
        <v>0</v>
      </c>
      <c r="V109" s="639">
        <v>0</v>
      </c>
      <c r="W109" s="639">
        <v>0</v>
      </c>
      <c r="X109" s="639">
        <v>0</v>
      </c>
      <c r="Y109" s="639">
        <v>0</v>
      </c>
      <c r="Z109" s="639">
        <v>0</v>
      </c>
      <c r="AA109" s="639">
        <v>0</v>
      </c>
      <c r="AB109" s="639">
        <v>0</v>
      </c>
      <c r="AC109" s="562">
        <f>-G109-I109-K109-M109-O109-Q109-S109-U109-W109-Y109-AA109</f>
        <v>-7560948</v>
      </c>
      <c r="AD109" s="562">
        <f>-H109-J109-L109-N109-P109-R109-T109-V109-X109-Z109-AB109</f>
        <v>-7560948</v>
      </c>
      <c r="AE109" s="562">
        <v>0</v>
      </c>
      <c r="AF109" s="562">
        <v>0</v>
      </c>
      <c r="AG109" s="562">
        <v>0</v>
      </c>
      <c r="AH109" s="562">
        <v>0</v>
      </c>
      <c r="AI109" s="562">
        <f t="shared" si="99"/>
        <v>0</v>
      </c>
      <c r="AJ109" s="1">
        <f>ROUND(AI109/C109,4)-1</f>
        <v>-1</v>
      </c>
      <c r="AK109" s="562">
        <f t="shared" si="100"/>
        <v>0</v>
      </c>
      <c r="AL109" s="555" t="e">
        <f t="shared" si="96"/>
        <v>#DIV/0!</v>
      </c>
    </row>
    <row r="110" spans="1:38" ht="13.5">
      <c r="A110" s="8" t="s">
        <v>293</v>
      </c>
      <c r="B110" s="638"/>
      <c r="C110" s="639"/>
      <c r="D110" s="683"/>
      <c r="E110" s="639"/>
      <c r="F110" s="683"/>
      <c r="G110" s="639"/>
      <c r="H110" s="639"/>
      <c r="I110" s="639"/>
      <c r="J110" s="639"/>
      <c r="K110" s="639"/>
      <c r="L110" s="639"/>
      <c r="M110" s="639"/>
      <c r="N110" s="639"/>
      <c r="O110" s="639"/>
      <c r="P110" s="639"/>
      <c r="Q110" s="639"/>
      <c r="R110" s="639"/>
      <c r="S110" s="639"/>
      <c r="T110" s="639"/>
      <c r="U110" s="639"/>
      <c r="V110" s="639"/>
      <c r="W110" s="639"/>
      <c r="X110" s="639"/>
      <c r="Y110" s="639"/>
      <c r="Z110" s="639"/>
      <c r="AA110" s="639"/>
      <c r="AB110" s="639"/>
      <c r="AC110" s="639"/>
      <c r="AD110" s="639"/>
      <c r="AE110" s="639"/>
      <c r="AF110" s="639"/>
      <c r="AG110" s="639"/>
      <c r="AH110" s="639"/>
      <c r="AI110" s="562">
        <f t="shared" si="99"/>
        <v>0</v>
      </c>
      <c r="AJ110" s="1"/>
      <c r="AK110" s="562">
        <f t="shared" si="100"/>
        <v>0</v>
      </c>
      <c r="AL110" s="555"/>
    </row>
    <row r="111" spans="1:38" ht="13.5">
      <c r="A111" s="709" t="s">
        <v>247</v>
      </c>
      <c r="B111" s="638">
        <v>3338875</v>
      </c>
      <c r="C111" s="639">
        <v>3304982</v>
      </c>
      <c r="D111" s="1">
        <f t="shared" ref="D111:D118" si="103">ROUND(C111/B111-1,4)</f>
        <v>-1.0200000000000001E-2</v>
      </c>
      <c r="E111" s="639">
        <f>3338875+33893</f>
        <v>3372768</v>
      </c>
      <c r="F111" s="1">
        <f t="shared" ref="F111:F118" si="104">ROUND(E111/C111-1,4)</f>
        <v>2.0500000000000001E-2</v>
      </c>
      <c r="G111" s="639">
        <f>E111-33893</f>
        <v>3338875</v>
      </c>
      <c r="H111" s="639">
        <f>G111</f>
        <v>3338875</v>
      </c>
      <c r="I111" s="962">
        <v>0</v>
      </c>
      <c r="J111" s="962">
        <v>0</v>
      </c>
      <c r="K111" s="964"/>
      <c r="L111" s="639"/>
      <c r="M111" s="639"/>
      <c r="N111" s="639"/>
      <c r="O111" s="639"/>
      <c r="P111" s="639"/>
      <c r="Q111" s="639"/>
      <c r="R111" s="639"/>
      <c r="S111" s="639"/>
      <c r="T111" s="639"/>
      <c r="U111" s="639"/>
      <c r="V111" s="639"/>
      <c r="W111" s="639"/>
      <c r="X111" s="639"/>
      <c r="Y111" s="639"/>
      <c r="Z111" s="639"/>
      <c r="AA111" s="639"/>
      <c r="AB111" s="639"/>
      <c r="AC111" s="562"/>
      <c r="AD111" s="562"/>
      <c r="AE111" s="562"/>
      <c r="AF111" s="562"/>
      <c r="AG111" s="562"/>
      <c r="AH111" s="562"/>
      <c r="AI111" s="562">
        <f t="shared" si="99"/>
        <v>3338875</v>
      </c>
      <c r="AJ111" s="1">
        <f t="shared" ref="AJ111:AJ118" si="105">ROUND(AI111/C111,4)-1</f>
        <v>1.0299999999999976E-2</v>
      </c>
      <c r="AK111" s="562">
        <f t="shared" si="100"/>
        <v>3338875</v>
      </c>
      <c r="AL111" s="555">
        <f t="shared" si="96"/>
        <v>0</v>
      </c>
    </row>
    <row r="112" spans="1:38" ht="13.5">
      <c r="A112" s="709" t="s">
        <v>451</v>
      </c>
      <c r="B112" s="638">
        <v>18798</v>
      </c>
      <c r="C112" s="639">
        <v>18798</v>
      </c>
      <c r="D112" s="1">
        <f t="shared" si="103"/>
        <v>0</v>
      </c>
      <c r="E112" s="639">
        <v>18798</v>
      </c>
      <c r="F112" s="1">
        <f t="shared" si="104"/>
        <v>0</v>
      </c>
      <c r="G112" s="639">
        <f>ROUND(E112*1,0)</f>
        <v>18798</v>
      </c>
      <c r="H112" s="639">
        <f>ROUND(G112*1,0)</f>
        <v>18798</v>
      </c>
      <c r="I112" s="562">
        <v>0</v>
      </c>
      <c r="J112" s="562">
        <v>0</v>
      </c>
      <c r="K112" s="639"/>
      <c r="L112" s="639"/>
      <c r="M112" s="639"/>
      <c r="N112" s="639"/>
      <c r="O112" s="639"/>
      <c r="P112" s="639"/>
      <c r="Q112" s="639"/>
      <c r="R112" s="639"/>
      <c r="S112" s="639"/>
      <c r="T112" s="639"/>
      <c r="U112" s="639"/>
      <c r="V112" s="639"/>
      <c r="W112" s="639">
        <v>0</v>
      </c>
      <c r="X112" s="639">
        <v>0</v>
      </c>
      <c r="Y112" s="639"/>
      <c r="Z112" s="639"/>
      <c r="AA112" s="639"/>
      <c r="AB112" s="639"/>
      <c r="AC112" s="562"/>
      <c r="AD112" s="562"/>
      <c r="AE112" s="562"/>
      <c r="AF112" s="562"/>
      <c r="AG112" s="562"/>
      <c r="AH112" s="562"/>
      <c r="AI112" s="562">
        <f t="shared" si="99"/>
        <v>18798</v>
      </c>
      <c r="AJ112" s="1">
        <f t="shared" si="105"/>
        <v>0</v>
      </c>
      <c r="AK112" s="562">
        <f t="shared" si="100"/>
        <v>18798</v>
      </c>
      <c r="AL112" s="555">
        <f t="shared" si="96"/>
        <v>0</v>
      </c>
    </row>
    <row r="113" spans="1:39" ht="13.5" hidden="1">
      <c r="A113" s="709" t="s">
        <v>248</v>
      </c>
      <c r="B113" s="638"/>
      <c r="C113" s="639"/>
      <c r="D113" s="1" t="e">
        <f t="shared" si="103"/>
        <v>#DIV/0!</v>
      </c>
      <c r="E113" s="639"/>
      <c r="F113" s="1" t="e">
        <f t="shared" si="104"/>
        <v>#DIV/0!</v>
      </c>
      <c r="G113" s="639">
        <v>0</v>
      </c>
      <c r="H113" s="639">
        <v>0</v>
      </c>
      <c r="I113" s="562">
        <v>0</v>
      </c>
      <c r="J113" s="562">
        <v>0</v>
      </c>
      <c r="K113" s="639"/>
      <c r="L113" s="639"/>
      <c r="M113" s="639"/>
      <c r="N113" s="639"/>
      <c r="O113" s="639"/>
      <c r="P113" s="639"/>
      <c r="Q113" s="639"/>
      <c r="R113" s="639"/>
      <c r="S113" s="639"/>
      <c r="T113" s="639"/>
      <c r="U113" s="639"/>
      <c r="V113" s="639"/>
      <c r="W113" s="639">
        <v>0</v>
      </c>
      <c r="X113" s="639">
        <v>0</v>
      </c>
      <c r="Y113" s="639"/>
      <c r="Z113" s="639"/>
      <c r="AA113" s="639"/>
      <c r="AB113" s="639"/>
      <c r="AC113" s="562"/>
      <c r="AD113" s="562"/>
      <c r="AE113" s="562"/>
      <c r="AF113" s="562"/>
      <c r="AG113" s="562">
        <f t="shared" ref="AG113:AG114" si="106">-(G113+I113+K113+O113+Q113+S113+U113+W113+Y113+AA113+M113)</f>
        <v>0</v>
      </c>
      <c r="AH113" s="562">
        <f t="shared" ref="AH113:AH114" si="107">-(H113+J113+L113+P113+R113+T113+V113+X113+Z113+AB113+N113)</f>
        <v>0</v>
      </c>
      <c r="AI113" s="562">
        <f t="shared" si="99"/>
        <v>0</v>
      </c>
      <c r="AJ113" s="1" t="e">
        <f t="shared" si="105"/>
        <v>#DIV/0!</v>
      </c>
      <c r="AK113" s="562">
        <f t="shared" si="100"/>
        <v>0</v>
      </c>
      <c r="AL113" s="555" t="e">
        <f t="shared" si="96"/>
        <v>#DIV/0!</v>
      </c>
    </row>
    <row r="114" spans="1:39" ht="13.5" hidden="1">
      <c r="A114" s="709" t="s">
        <v>249</v>
      </c>
      <c r="B114" s="638"/>
      <c r="C114" s="639"/>
      <c r="D114" s="1" t="e">
        <f t="shared" si="103"/>
        <v>#DIV/0!</v>
      </c>
      <c r="E114" s="639"/>
      <c r="F114" s="1" t="e">
        <f t="shared" si="104"/>
        <v>#DIV/0!</v>
      </c>
      <c r="G114" s="639">
        <v>0</v>
      </c>
      <c r="H114" s="639">
        <v>0</v>
      </c>
      <c r="I114" s="639">
        <f>I19</f>
        <v>0</v>
      </c>
      <c r="J114" s="639">
        <f>J19</f>
        <v>0</v>
      </c>
      <c r="K114" s="639"/>
      <c r="L114" s="639"/>
      <c r="M114" s="639"/>
      <c r="N114" s="639"/>
      <c r="O114" s="639"/>
      <c r="P114" s="639"/>
      <c r="Q114" s="639"/>
      <c r="R114" s="639"/>
      <c r="S114" s="639"/>
      <c r="T114" s="639"/>
      <c r="U114" s="639"/>
      <c r="V114" s="639"/>
      <c r="W114" s="639"/>
      <c r="X114" s="639"/>
      <c r="Y114" s="639"/>
      <c r="Z114" s="639"/>
      <c r="AA114" s="639"/>
      <c r="AB114" s="639"/>
      <c r="AC114" s="562"/>
      <c r="AD114" s="562"/>
      <c r="AE114" s="562"/>
      <c r="AF114" s="562"/>
      <c r="AG114" s="562">
        <f t="shared" si="106"/>
        <v>0</v>
      </c>
      <c r="AH114" s="562">
        <f t="shared" si="107"/>
        <v>0</v>
      </c>
      <c r="AI114" s="562">
        <f t="shared" si="99"/>
        <v>0</v>
      </c>
      <c r="AJ114" s="1" t="e">
        <f t="shared" si="105"/>
        <v>#DIV/0!</v>
      </c>
      <c r="AK114" s="562">
        <f t="shared" si="100"/>
        <v>0</v>
      </c>
      <c r="AL114" s="555" t="e">
        <f t="shared" si="96"/>
        <v>#DIV/0!</v>
      </c>
    </row>
    <row r="115" spans="1:39" ht="13.5">
      <c r="A115" s="709" t="s">
        <v>250</v>
      </c>
      <c r="B115" s="638">
        <v>850000</v>
      </c>
      <c r="C115" s="639">
        <v>850000</v>
      </c>
      <c r="D115" s="1">
        <f t="shared" si="103"/>
        <v>0</v>
      </c>
      <c r="E115" s="639">
        <v>850000</v>
      </c>
      <c r="F115" s="1">
        <f t="shared" si="104"/>
        <v>0</v>
      </c>
      <c r="G115" s="639">
        <f>E115</f>
        <v>850000</v>
      </c>
      <c r="H115" s="639">
        <f>G115</f>
        <v>850000</v>
      </c>
      <c r="I115" s="562"/>
      <c r="J115" s="562"/>
      <c r="K115" s="639"/>
      <c r="L115" s="639"/>
      <c r="M115" s="639"/>
      <c r="N115" s="639"/>
      <c r="O115" s="639"/>
      <c r="P115" s="639"/>
      <c r="Q115" s="639"/>
      <c r="R115" s="639"/>
      <c r="S115" s="639"/>
      <c r="T115" s="639"/>
      <c r="U115" s="639"/>
      <c r="V115" s="639"/>
      <c r="W115" s="639"/>
      <c r="X115" s="639"/>
      <c r="Y115" s="639"/>
      <c r="Z115" s="639"/>
      <c r="AA115" s="639"/>
      <c r="AB115" s="639"/>
      <c r="AC115" s="562"/>
      <c r="AD115" s="562"/>
      <c r="AE115" s="562"/>
      <c r="AF115" s="562"/>
      <c r="AG115" s="562"/>
      <c r="AH115" s="562"/>
      <c r="AI115" s="562">
        <f t="shared" si="99"/>
        <v>850000</v>
      </c>
      <c r="AJ115" s="1">
        <f t="shared" si="105"/>
        <v>0</v>
      </c>
      <c r="AK115" s="562">
        <f t="shared" si="100"/>
        <v>850000</v>
      </c>
      <c r="AL115" s="555">
        <f t="shared" si="96"/>
        <v>0</v>
      </c>
    </row>
    <row r="116" spans="1:39" ht="13.5">
      <c r="A116" s="710" t="s">
        <v>150</v>
      </c>
      <c r="B116" s="638">
        <v>1580391</v>
      </c>
      <c r="C116" s="639">
        <v>1580390</v>
      </c>
      <c r="D116" s="1">
        <f t="shared" si="103"/>
        <v>0</v>
      </c>
      <c r="E116" s="639">
        <v>1586508</v>
      </c>
      <c r="F116" s="1">
        <f>ROUND(E116/C116-1,4)</f>
        <v>3.8999999999999998E-3</v>
      </c>
      <c r="G116" s="639">
        <f>'CSR At risk K'!D10</f>
        <v>1643356.8461050002</v>
      </c>
      <c r="H116" s="639">
        <f>'CSR At risk K'!E10</f>
        <v>1672943.0339200001</v>
      </c>
      <c r="I116" s="562"/>
      <c r="J116" s="562"/>
      <c r="K116" s="639"/>
      <c r="L116" s="639"/>
      <c r="M116" s="639">
        <f>'CSR At risk K'!D33</f>
        <v>26834.647499999963</v>
      </c>
      <c r="N116" s="639">
        <f>'CSR At risk K'!E33</f>
        <v>27371.340000000084</v>
      </c>
      <c r="O116" s="639">
        <f>'CSR At risk K'!D45</f>
        <v>-37653.284679999997</v>
      </c>
      <c r="P116" s="639">
        <f>'CSR At risk K'!E45</f>
        <v>-38405.946259999997</v>
      </c>
      <c r="Q116" s="639">
        <f>'CSR At risk K'!D57</f>
        <v>0</v>
      </c>
      <c r="R116" s="639">
        <f>'CSR At risk K'!E57</f>
        <v>0</v>
      </c>
      <c r="S116" s="639">
        <f>'CSR At risk K'!D69</f>
        <v>-77940.212577569444</v>
      </c>
      <c r="T116" s="639">
        <f>'CSR At risk K'!E69</f>
        <v>-79499.036936929522</v>
      </c>
      <c r="U116" s="639"/>
      <c r="V116" s="639"/>
      <c r="W116" s="639">
        <v>0</v>
      </c>
      <c r="X116" s="639">
        <v>0</v>
      </c>
      <c r="Y116" s="639"/>
      <c r="Z116" s="639"/>
      <c r="AA116" s="639">
        <v>0</v>
      </c>
      <c r="AB116" s="639">
        <v>0</v>
      </c>
      <c r="AC116" s="562"/>
      <c r="AD116" s="562"/>
      <c r="AE116" s="562"/>
      <c r="AF116" s="562"/>
      <c r="AG116" s="562"/>
      <c r="AH116" s="562"/>
      <c r="AI116" s="562">
        <f t="shared" si="99"/>
        <v>1554597.9963474306</v>
      </c>
      <c r="AJ116" s="1">
        <f t="shared" si="105"/>
        <v>-1.6299999999999981E-2</v>
      </c>
      <c r="AK116" s="562">
        <f t="shared" si="100"/>
        <v>1582409.3907230706</v>
      </c>
      <c r="AL116" s="555">
        <f t="shared" si="96"/>
        <v>1.7899999999999999E-2</v>
      </c>
    </row>
    <row r="117" spans="1:39" ht="13.5">
      <c r="A117" s="709" t="s">
        <v>251</v>
      </c>
      <c r="B117" s="638">
        <v>170908</v>
      </c>
      <c r="C117" s="639">
        <v>128541</v>
      </c>
      <c r="D117" s="1">
        <f t="shared" si="103"/>
        <v>-0.24790000000000001</v>
      </c>
      <c r="E117" s="639">
        <v>170908</v>
      </c>
      <c r="F117" s="1">
        <f t="shared" si="104"/>
        <v>0.3296</v>
      </c>
      <c r="G117" s="639">
        <f>-G90</f>
        <v>128541</v>
      </c>
      <c r="H117" s="639">
        <f>-H90</f>
        <v>128541</v>
      </c>
      <c r="I117" s="639"/>
      <c r="J117" s="639"/>
      <c r="K117" s="639"/>
      <c r="L117" s="639"/>
      <c r="M117" s="639"/>
      <c r="N117" s="639"/>
      <c r="O117" s="639"/>
      <c r="P117" s="639"/>
      <c r="Q117" s="639"/>
      <c r="R117" s="639"/>
      <c r="S117" s="639"/>
      <c r="T117" s="639"/>
      <c r="U117" s="639"/>
      <c r="V117" s="639"/>
      <c r="W117" s="639"/>
      <c r="X117" s="639"/>
      <c r="Y117" s="639"/>
      <c r="Z117" s="639"/>
      <c r="AA117" s="639">
        <v>0</v>
      </c>
      <c r="AB117" s="639"/>
      <c r="AC117" s="562"/>
      <c r="AD117" s="562"/>
      <c r="AE117" s="562"/>
      <c r="AF117" s="562"/>
      <c r="AG117" s="562"/>
      <c r="AH117" s="562"/>
      <c r="AI117" s="562">
        <f t="shared" si="99"/>
        <v>128541</v>
      </c>
      <c r="AJ117" s="1">
        <f t="shared" si="105"/>
        <v>0</v>
      </c>
      <c r="AK117" s="562">
        <f t="shared" si="100"/>
        <v>128541</v>
      </c>
      <c r="AL117" s="555">
        <f t="shared" si="96"/>
        <v>0</v>
      </c>
    </row>
    <row r="118" spans="1:39" ht="12.75" customHeight="1">
      <c r="A118" s="709" t="s">
        <v>394</v>
      </c>
      <c r="B118" s="648">
        <v>0</v>
      </c>
      <c r="C118" s="649">
        <v>-39739</v>
      </c>
      <c r="D118" s="1" t="e">
        <f t="shared" si="103"/>
        <v>#DIV/0!</v>
      </c>
      <c r="E118" s="649">
        <f>9346196-33893</f>
        <v>9312303</v>
      </c>
      <c r="F118" s="556">
        <f t="shared" si="104"/>
        <v>-235.3366</v>
      </c>
      <c r="G118" s="649">
        <v>0</v>
      </c>
      <c r="H118" s="649">
        <v>0</v>
      </c>
      <c r="I118" s="649"/>
      <c r="J118" s="649"/>
      <c r="K118" s="649"/>
      <c r="L118" s="649"/>
      <c r="M118" s="649"/>
      <c r="N118" s="649"/>
      <c r="O118" s="649"/>
      <c r="P118" s="649"/>
      <c r="Q118" s="649"/>
      <c r="R118" s="649"/>
      <c r="S118" s="649"/>
      <c r="T118" s="649"/>
      <c r="U118" s="649"/>
      <c r="V118" s="649"/>
      <c r="W118" s="649"/>
      <c r="X118" s="649"/>
      <c r="Y118" s="649"/>
      <c r="Z118" s="649"/>
      <c r="AA118" s="649">
        <v>0</v>
      </c>
      <c r="AB118" s="649"/>
      <c r="AC118" s="639"/>
      <c r="AD118" s="639"/>
      <c r="AE118" s="639"/>
      <c r="AF118" s="639"/>
      <c r="AG118" s="639"/>
      <c r="AH118" s="639"/>
      <c r="AI118" s="562">
        <f t="shared" si="99"/>
        <v>0</v>
      </c>
      <c r="AJ118" s="1">
        <f t="shared" si="105"/>
        <v>-1</v>
      </c>
      <c r="AK118" s="562">
        <f t="shared" si="100"/>
        <v>0</v>
      </c>
      <c r="AL118" s="555" t="e">
        <f t="shared" si="96"/>
        <v>#DIV/0!</v>
      </c>
    </row>
    <row r="119" spans="1:39" ht="13.5">
      <c r="A119" s="17" t="s">
        <v>202</v>
      </c>
      <c r="B119" s="650">
        <f>SUM(B101:B118)+B95</f>
        <v>2507280826</v>
      </c>
      <c r="C119" s="651">
        <f>SUM(C101:C118)+C95</f>
        <v>2513438985</v>
      </c>
      <c r="D119" s="557">
        <f>ROUND(C119/B119-1,4)</f>
        <v>2.5000000000000001E-3</v>
      </c>
      <c r="E119" s="651">
        <f>SUM(E101:E118)+E95</f>
        <v>2505811911</v>
      </c>
      <c r="F119" s="553">
        <f>ROUND(E119/C119-1,4)</f>
        <v>-3.0000000000000001E-3</v>
      </c>
      <c r="G119" s="651">
        <f t="shared" ref="G119:AI119" si="108">SUM(G101:G118)+G95</f>
        <v>2693434297</v>
      </c>
      <c r="H119" s="651">
        <f t="shared" si="108"/>
        <v>2743104910</v>
      </c>
      <c r="I119" s="651">
        <f t="shared" si="108"/>
        <v>-7182513.330752302</v>
      </c>
      <c r="J119" s="651">
        <f t="shared" si="108"/>
        <v>2381932.1626300924</v>
      </c>
      <c r="K119" s="651">
        <f t="shared" si="108"/>
        <v>0</v>
      </c>
      <c r="L119" s="651">
        <f t="shared" si="108"/>
        <v>0</v>
      </c>
      <c r="M119" s="651">
        <f t="shared" si="108"/>
        <v>16808593.617494818</v>
      </c>
      <c r="N119" s="651">
        <f t="shared" si="108"/>
        <v>17193065.129185114</v>
      </c>
      <c r="O119" s="651">
        <f t="shared" si="108"/>
        <v>-63267151.510394812</v>
      </c>
      <c r="P119" s="651">
        <f t="shared" si="108"/>
        <v>-64540599.677985199</v>
      </c>
      <c r="Q119" s="651">
        <f t="shared" si="108"/>
        <v>0.4528999999165535</v>
      </c>
      <c r="R119" s="651">
        <f t="shared" si="108"/>
        <v>-9.1199999675154686E-2</v>
      </c>
      <c r="S119" s="651">
        <f t="shared" si="108"/>
        <v>-104588096.41012502</v>
      </c>
      <c r="T119" s="651">
        <f t="shared" si="108"/>
        <v>-107020128.45044982</v>
      </c>
      <c r="U119" s="651">
        <f t="shared" si="108"/>
        <v>8798548</v>
      </c>
      <c r="V119" s="651">
        <f t="shared" si="108"/>
        <v>8396675</v>
      </c>
      <c r="W119" s="651">
        <f t="shared" si="108"/>
        <v>-52052912</v>
      </c>
      <c r="X119" s="651">
        <f t="shared" si="108"/>
        <v>-48382960</v>
      </c>
      <c r="Y119" s="651">
        <f t="shared" si="108"/>
        <v>20675812</v>
      </c>
      <c r="Z119" s="651">
        <f t="shared" si="108"/>
        <v>20675812</v>
      </c>
      <c r="AA119" s="651">
        <f t="shared" si="108"/>
        <v>0</v>
      </c>
      <c r="AB119" s="651">
        <f t="shared" si="108"/>
        <v>0</v>
      </c>
      <c r="AC119" s="651">
        <f t="shared" ref="AC119:AF119" si="109">SUM(AC101:AC118)+AC95</f>
        <v>-7560948</v>
      </c>
      <c r="AD119" s="651">
        <f t="shared" si="109"/>
        <v>-7560948</v>
      </c>
      <c r="AE119" s="651">
        <f t="shared" si="109"/>
        <v>0</v>
      </c>
      <c r="AF119" s="651">
        <f t="shared" si="109"/>
        <v>0</v>
      </c>
      <c r="AG119" s="651">
        <f t="shared" si="108"/>
        <v>0</v>
      </c>
      <c r="AH119" s="651">
        <f t="shared" si="108"/>
        <v>0</v>
      </c>
      <c r="AI119" s="651">
        <f t="shared" si="108"/>
        <v>2505065629.8191223</v>
      </c>
      <c r="AJ119" s="557">
        <f>ROUND(AI119/C119-1,4)</f>
        <v>-3.3E-3</v>
      </c>
      <c r="AK119" s="651">
        <f>SUM(AK101:AK118)+AK95</f>
        <v>2564247758.0721803</v>
      </c>
      <c r="AL119" s="558">
        <f>ROUND(AK119/AI119-1,4)</f>
        <v>2.3599999999999999E-2</v>
      </c>
    </row>
    <row r="120" spans="1:39" ht="13.5">
      <c r="A120" s="17" t="s">
        <v>200</v>
      </c>
      <c r="B120" s="638"/>
      <c r="C120" s="639"/>
      <c r="D120" s="683"/>
      <c r="E120" s="639"/>
      <c r="F120" s="683"/>
      <c r="G120" s="639"/>
      <c r="H120" s="639"/>
      <c r="I120" s="639"/>
      <c r="J120" s="639"/>
      <c r="K120" s="639"/>
      <c r="L120" s="639"/>
      <c r="M120" s="639"/>
      <c r="N120" s="639"/>
      <c r="O120" s="639"/>
      <c r="P120" s="639"/>
      <c r="Q120" s="639"/>
      <c r="R120" s="639"/>
      <c r="S120" s="639"/>
      <c r="T120" s="639"/>
      <c r="U120" s="639"/>
      <c r="V120" s="639"/>
      <c r="W120" s="639"/>
      <c r="X120" s="639"/>
      <c r="Y120" s="639"/>
      <c r="Z120" s="639"/>
      <c r="AA120" s="639"/>
      <c r="AB120" s="639"/>
      <c r="AC120" s="639"/>
      <c r="AD120" s="639"/>
      <c r="AE120" s="639"/>
      <c r="AF120" s="639"/>
      <c r="AG120" s="639"/>
      <c r="AH120" s="639"/>
      <c r="AI120" s="639"/>
      <c r="AJ120" s="683"/>
      <c r="AK120" s="639"/>
      <c r="AL120" s="675"/>
    </row>
    <row r="121" spans="1:39" ht="13.5">
      <c r="A121" s="17" t="s">
        <v>642</v>
      </c>
      <c r="B121" s="638">
        <v>-905809371</v>
      </c>
      <c r="C121" s="639">
        <f>-872948748</f>
        <v>-872948748</v>
      </c>
      <c r="D121" s="1">
        <f>ROUND(C121/B121-1,4)</f>
        <v>-3.6299999999999999E-2</v>
      </c>
      <c r="E121" s="639">
        <f>-DSADATABASE!B37</f>
        <v>-921462307.22000003</v>
      </c>
      <c r="F121" s="1">
        <f>ROUND(E121/C121-1,4)</f>
        <v>5.5599999999999997E-2</v>
      </c>
      <c r="G121" s="631">
        <f>-DSADATABASE!C37</f>
        <v>-814962801.38</v>
      </c>
      <c r="H121" s="631">
        <f>-DSADATABASE!D37</f>
        <v>-839411522.04000008</v>
      </c>
      <c r="I121" s="631"/>
      <c r="J121" s="631"/>
      <c r="K121" s="639"/>
      <c r="L121" s="639"/>
      <c r="M121" s="639"/>
      <c r="N121" s="639"/>
      <c r="O121" s="639"/>
      <c r="P121" s="639"/>
      <c r="Q121" s="639"/>
      <c r="R121" s="639"/>
      <c r="S121" s="639"/>
      <c r="T121" s="639"/>
      <c r="U121" s="639"/>
      <c r="V121" s="639"/>
      <c r="W121" s="639"/>
      <c r="X121" s="639"/>
      <c r="Y121" s="639"/>
      <c r="Z121" s="639"/>
      <c r="AA121" s="639"/>
      <c r="AB121" s="639"/>
      <c r="AC121" s="639"/>
      <c r="AD121" s="639"/>
      <c r="AE121" s="639"/>
      <c r="AF121" s="639"/>
      <c r="AG121" s="639">
        <f>-DSADATABASE!K68</f>
        <v>-126771991.71000001</v>
      </c>
      <c r="AH121" s="639">
        <f>-DSADATABASE!L68</f>
        <v>-130575125.59</v>
      </c>
      <c r="AI121" s="562">
        <f>G121+I121+K121+M121+O121+Q121+S121+U121+W121+Y121+AA121+AG121+AC121+AE121</f>
        <v>-941734793.09000003</v>
      </c>
      <c r="AJ121" s="1">
        <f t="shared" ref="AJ121:AJ125" si="110">ROUND(AI121/C121,4)-1</f>
        <v>7.8799999999999981E-2</v>
      </c>
      <c r="AK121" s="562">
        <f>H121+J121+L121+N121+P121+R121+T121+V121+X121+Z121+AB121+AH121+AD121+AF121</f>
        <v>-969986647.63000011</v>
      </c>
      <c r="AL121" s="555">
        <f t="shared" ref="AL121:AL125" si="111">ROUND(AK121/AI121-1,4)</f>
        <v>0.03</v>
      </c>
      <c r="AM121" s="22"/>
    </row>
    <row r="122" spans="1:39" ht="13.5">
      <c r="A122" s="17" t="s">
        <v>641</v>
      </c>
      <c r="B122" s="638">
        <v>-253196604</v>
      </c>
      <c r="C122" s="639">
        <f>-264409516+1558334</f>
        <v>-262851182</v>
      </c>
      <c r="D122" s="1">
        <f>ROUND(C122/B122-1,4)</f>
        <v>3.8100000000000002E-2</v>
      </c>
      <c r="E122" s="639">
        <f>-DSADATABASE!B47</f>
        <v>-220536619</v>
      </c>
      <c r="F122" s="1">
        <f>ROUND(E122/C122-1,4)</f>
        <v>-0.161</v>
      </c>
      <c r="G122" s="631">
        <f>-DSADATABASE!C47</f>
        <v>-202433266</v>
      </c>
      <c r="H122" s="631">
        <f>-DSADATABASE!D47</f>
        <v>-202931773</v>
      </c>
      <c r="I122" s="631"/>
      <c r="J122" s="631"/>
      <c r="K122" s="639"/>
      <c r="L122" s="639"/>
      <c r="M122" s="639"/>
      <c r="N122" s="639"/>
      <c r="O122" s="639"/>
      <c r="P122" s="639"/>
      <c r="Q122" s="639"/>
      <c r="R122" s="639"/>
      <c r="S122" s="639"/>
      <c r="T122" s="639"/>
      <c r="U122" s="639"/>
      <c r="V122" s="639"/>
      <c r="W122" s="639"/>
      <c r="X122" s="639"/>
      <c r="Y122" s="639"/>
      <c r="Z122" s="639"/>
      <c r="AA122" s="639"/>
      <c r="AB122" s="639"/>
      <c r="AC122" s="639"/>
      <c r="AD122" s="639"/>
      <c r="AE122" s="639"/>
      <c r="AF122" s="639"/>
      <c r="AG122" s="639"/>
      <c r="AH122" s="639"/>
      <c r="AI122" s="562">
        <f t="shared" ref="AI122:AI125" si="112">G122+I122+K122+M122+O122+Q122+S122+U122+W122+Y122+AA122+AG122+AC122+AE122</f>
        <v>-202433266</v>
      </c>
      <c r="AJ122" s="1">
        <f t="shared" si="110"/>
        <v>-0.22989999999999999</v>
      </c>
      <c r="AK122" s="562">
        <f t="shared" ref="AK122:AK125" si="113">H122+J122+L122+N122+P122+R122+T122+V122+X122+Z122+AB122+AH122+AD122+AF122</f>
        <v>-202931773</v>
      </c>
      <c r="AL122" s="555">
        <f t="shared" si="111"/>
        <v>2.5000000000000001E-3</v>
      </c>
      <c r="AM122" s="22"/>
    </row>
    <row r="123" spans="1:39" ht="13.5">
      <c r="A123" s="17" t="s">
        <v>624</v>
      </c>
      <c r="B123" s="638">
        <v>0</v>
      </c>
      <c r="C123" s="639">
        <v>0</v>
      </c>
      <c r="D123" s="1" t="e">
        <f>ROUND(C123/B123-1,4)</f>
        <v>#DIV/0!</v>
      </c>
      <c r="E123" s="639">
        <v>0</v>
      </c>
      <c r="F123" s="1" t="e">
        <f>ROUND(E123/C123-1,4)</f>
        <v>#DIV/0!</v>
      </c>
      <c r="G123" s="631">
        <f>+DSADATABASE!K56</f>
        <v>0</v>
      </c>
      <c r="H123" s="631">
        <f>+DSADATABASE!L56</f>
        <v>0</v>
      </c>
      <c r="I123" s="631"/>
      <c r="J123" s="631"/>
      <c r="K123" s="639"/>
      <c r="L123" s="639"/>
      <c r="M123" s="639"/>
      <c r="N123" s="639"/>
      <c r="O123" s="639"/>
      <c r="P123" s="639"/>
      <c r="Q123" s="639"/>
      <c r="R123" s="639"/>
      <c r="S123" s="639"/>
      <c r="T123" s="639"/>
      <c r="U123" s="639"/>
      <c r="V123" s="639"/>
      <c r="W123" s="639"/>
      <c r="X123" s="639"/>
      <c r="Y123" s="639"/>
      <c r="Z123" s="639"/>
      <c r="AA123" s="639">
        <f>DSADATABASE!K56</f>
        <v>0</v>
      </c>
      <c r="AB123" s="639">
        <f>DSADATABASE!L56</f>
        <v>0</v>
      </c>
      <c r="AC123" s="639"/>
      <c r="AD123" s="639"/>
      <c r="AE123" s="639"/>
      <c r="AF123" s="639"/>
      <c r="AG123" s="639"/>
      <c r="AH123" s="639"/>
      <c r="AI123" s="562">
        <f t="shared" si="112"/>
        <v>0</v>
      </c>
      <c r="AJ123" s="1" t="e">
        <f t="shared" ref="AJ123" si="114">ROUND(AI123/C123,4)-1</f>
        <v>#DIV/0!</v>
      </c>
      <c r="AK123" s="562">
        <f t="shared" si="113"/>
        <v>0</v>
      </c>
      <c r="AL123" s="555" t="e">
        <f t="shared" si="111"/>
        <v>#DIV/0!</v>
      </c>
      <c r="AM123" s="22"/>
    </row>
    <row r="124" spans="1:39" ht="13.5">
      <c r="A124" s="17" t="s">
        <v>649</v>
      </c>
      <c r="B124" s="638">
        <v>-10000000</v>
      </c>
      <c r="C124" s="639">
        <v>-10000000</v>
      </c>
      <c r="D124" s="1">
        <f>ROUND(C124/B124-1,4)</f>
        <v>0</v>
      </c>
      <c r="E124" s="639">
        <v>-35000000</v>
      </c>
      <c r="F124" s="1">
        <f>ROUND(E124/C124-1,4)</f>
        <v>2.5</v>
      </c>
      <c r="G124" s="631">
        <v>0</v>
      </c>
      <c r="H124" s="631">
        <v>0</v>
      </c>
      <c r="I124" s="631"/>
      <c r="J124" s="631"/>
      <c r="K124" s="639"/>
      <c r="L124" s="639"/>
      <c r="M124" s="639"/>
      <c r="N124" s="639"/>
      <c r="O124" s="639"/>
      <c r="P124" s="639"/>
      <c r="Q124" s="639"/>
      <c r="R124" s="639"/>
      <c r="S124" s="639"/>
      <c r="T124" s="639"/>
      <c r="U124" s="639"/>
      <c r="V124" s="639"/>
      <c r="W124" s="639"/>
      <c r="X124" s="639"/>
      <c r="Y124" s="639"/>
      <c r="Z124" s="639"/>
      <c r="AA124" s="639"/>
      <c r="AB124" s="639"/>
      <c r="AC124" s="639"/>
      <c r="AD124" s="639"/>
      <c r="AE124" s="639"/>
      <c r="AF124" s="639"/>
      <c r="AG124" s="639">
        <f>-DSADATABASE!C83</f>
        <v>-20000000</v>
      </c>
      <c r="AH124" s="639">
        <f>-DSADATABASE!D83</f>
        <v>-20000000</v>
      </c>
      <c r="AI124" s="562">
        <f t="shared" si="112"/>
        <v>-20000000</v>
      </c>
      <c r="AJ124" s="1">
        <f t="shared" si="110"/>
        <v>1</v>
      </c>
      <c r="AK124" s="562">
        <f t="shared" si="113"/>
        <v>-20000000</v>
      </c>
      <c r="AL124" s="555">
        <f t="shared" si="111"/>
        <v>0</v>
      </c>
      <c r="AM124" s="22"/>
    </row>
    <row r="125" spans="1:39" ht="13.5">
      <c r="A125" s="17" t="s">
        <v>322</v>
      </c>
      <c r="B125" s="648">
        <v>-6000000</v>
      </c>
      <c r="C125" s="649">
        <v>-6000000</v>
      </c>
      <c r="D125" s="556">
        <f>ROUND(C125/B125-1,4)</f>
        <v>0</v>
      </c>
      <c r="E125" s="649">
        <v>-5400000</v>
      </c>
      <c r="F125" s="556">
        <f>ROUND(E125/C125-1,4)</f>
        <v>-0.1</v>
      </c>
      <c r="G125" s="649">
        <v>0</v>
      </c>
      <c r="H125" s="649">
        <v>0</v>
      </c>
      <c r="I125" s="649"/>
      <c r="J125" s="649"/>
      <c r="K125" s="649"/>
      <c r="L125" s="649"/>
      <c r="M125" s="649"/>
      <c r="N125" s="649"/>
      <c r="O125" s="649"/>
      <c r="P125" s="649"/>
      <c r="Q125" s="649"/>
      <c r="R125" s="649"/>
      <c r="S125" s="649"/>
      <c r="T125" s="649"/>
      <c r="U125" s="649"/>
      <c r="V125" s="649"/>
      <c r="W125" s="649"/>
      <c r="X125" s="649"/>
      <c r="Y125" s="649"/>
      <c r="Z125" s="649"/>
      <c r="AA125" s="649"/>
      <c r="AB125" s="649"/>
      <c r="AC125" s="649"/>
      <c r="AD125" s="649"/>
      <c r="AE125" s="649"/>
      <c r="AF125" s="649"/>
      <c r="AG125" s="649"/>
      <c r="AH125" s="649"/>
      <c r="AI125" s="666">
        <f t="shared" si="112"/>
        <v>0</v>
      </c>
      <c r="AJ125" s="556">
        <f t="shared" si="110"/>
        <v>-1</v>
      </c>
      <c r="AK125" s="666">
        <f t="shared" si="113"/>
        <v>0</v>
      </c>
      <c r="AL125" s="561" t="e">
        <f t="shared" si="111"/>
        <v>#DIV/0!</v>
      </c>
    </row>
    <row r="126" spans="1:39" ht="9.9499999999999993" customHeight="1">
      <c r="A126" s="23"/>
      <c r="B126" s="638"/>
      <c r="C126" s="639"/>
      <c r="D126" s="683"/>
      <c r="E126" s="639"/>
      <c r="F126" s="683"/>
      <c r="G126" s="639"/>
      <c r="H126" s="639"/>
      <c r="I126" s="639"/>
      <c r="J126" s="639"/>
      <c r="K126" s="639"/>
      <c r="L126" s="639"/>
      <c r="M126" s="639"/>
      <c r="N126" s="639"/>
      <c r="O126" s="639"/>
      <c r="P126" s="639"/>
      <c r="Q126" s="639"/>
      <c r="R126" s="639"/>
      <c r="S126" s="639"/>
      <c r="T126" s="639"/>
      <c r="U126" s="639"/>
      <c r="V126" s="639"/>
      <c r="W126" s="639"/>
      <c r="X126" s="639"/>
      <c r="Y126" s="639"/>
      <c r="Z126" s="639"/>
      <c r="AA126" s="639"/>
      <c r="AB126" s="639"/>
      <c r="AC126" s="639"/>
      <c r="AD126" s="639"/>
      <c r="AE126" s="639"/>
      <c r="AF126" s="639"/>
      <c r="AG126" s="639"/>
      <c r="AH126" s="639"/>
      <c r="AI126" s="639"/>
      <c r="AJ126" s="683"/>
      <c r="AK126" s="639"/>
      <c r="AL126" s="675"/>
    </row>
    <row r="127" spans="1:39" ht="14.25" thickBot="1">
      <c r="A127" s="24" t="s">
        <v>203</v>
      </c>
      <c r="B127" s="652">
        <f>SUM(B119:B125)</f>
        <v>1332274851</v>
      </c>
      <c r="C127" s="653">
        <f>SUM(C119:C125)</f>
        <v>1361639055</v>
      </c>
      <c r="D127" s="567">
        <f>ROUND(C127/B127-1,4)</f>
        <v>2.1999999999999999E-2</v>
      </c>
      <c r="E127" s="653">
        <f>SUM(E119:E126)</f>
        <v>1323412984.78</v>
      </c>
      <c r="F127" s="553">
        <f>ROUND(E127/C127-1,4)</f>
        <v>-2.81E-2</v>
      </c>
      <c r="G127" s="653">
        <f t="shared" ref="G127:AI127" si="115">SUM(G119:G125)</f>
        <v>1676038229.6199999</v>
      </c>
      <c r="H127" s="653">
        <f t="shared" si="115"/>
        <v>1700761614.96</v>
      </c>
      <c r="I127" s="653">
        <f t="shared" si="115"/>
        <v>-7182513.330752302</v>
      </c>
      <c r="J127" s="653">
        <f t="shared" si="115"/>
        <v>2381932.1626300924</v>
      </c>
      <c r="K127" s="653">
        <f t="shared" si="115"/>
        <v>0</v>
      </c>
      <c r="L127" s="653">
        <f t="shared" si="115"/>
        <v>0</v>
      </c>
      <c r="M127" s="653">
        <f t="shared" si="115"/>
        <v>16808593.617494818</v>
      </c>
      <c r="N127" s="653">
        <f t="shared" si="115"/>
        <v>17193065.129185114</v>
      </c>
      <c r="O127" s="653">
        <f t="shared" si="115"/>
        <v>-63267151.510394812</v>
      </c>
      <c r="P127" s="653">
        <f t="shared" si="115"/>
        <v>-64540599.677985199</v>
      </c>
      <c r="Q127" s="653">
        <f t="shared" si="115"/>
        <v>0.4528999999165535</v>
      </c>
      <c r="R127" s="653">
        <f t="shared" si="115"/>
        <v>-9.1199999675154686E-2</v>
      </c>
      <c r="S127" s="653">
        <f t="shared" si="115"/>
        <v>-104588096.41012502</v>
      </c>
      <c r="T127" s="653">
        <f t="shared" si="115"/>
        <v>-107020128.45044982</v>
      </c>
      <c r="U127" s="653">
        <f t="shared" si="115"/>
        <v>8798548</v>
      </c>
      <c r="V127" s="653">
        <f t="shared" si="115"/>
        <v>8396675</v>
      </c>
      <c r="W127" s="653">
        <f t="shared" si="115"/>
        <v>-52052912</v>
      </c>
      <c r="X127" s="653">
        <f t="shared" si="115"/>
        <v>-48382960</v>
      </c>
      <c r="Y127" s="653">
        <f t="shared" si="115"/>
        <v>20675812</v>
      </c>
      <c r="Z127" s="653">
        <f t="shared" si="115"/>
        <v>20675812</v>
      </c>
      <c r="AA127" s="653">
        <f t="shared" si="115"/>
        <v>0</v>
      </c>
      <c r="AB127" s="653">
        <f t="shared" si="115"/>
        <v>0</v>
      </c>
      <c r="AC127" s="653">
        <f t="shared" si="115"/>
        <v>-7560948</v>
      </c>
      <c r="AD127" s="653">
        <f t="shared" si="115"/>
        <v>-7560948</v>
      </c>
      <c r="AE127" s="653">
        <f t="shared" si="115"/>
        <v>0</v>
      </c>
      <c r="AF127" s="653">
        <f t="shared" si="115"/>
        <v>0</v>
      </c>
      <c r="AG127" s="653">
        <f t="shared" si="115"/>
        <v>-146771991.71000001</v>
      </c>
      <c r="AH127" s="653">
        <f t="shared" si="115"/>
        <v>-150575125.59</v>
      </c>
      <c r="AI127" s="653">
        <f t="shared" si="115"/>
        <v>1340897570.7291222</v>
      </c>
      <c r="AJ127" s="567">
        <f>ROUND(AI127/C127-1,4)</f>
        <v>-1.52E-2</v>
      </c>
      <c r="AK127" s="653">
        <f>SUM(AK119:AK125)</f>
        <v>1371329337.4421802</v>
      </c>
      <c r="AL127" s="568">
        <f>ROUND(AK127/AI127-1,4)</f>
        <v>2.2700000000000001E-2</v>
      </c>
    </row>
    <row r="128" spans="1:39" ht="14.25" customHeight="1">
      <c r="A128" s="25"/>
      <c r="B128" s="654"/>
      <c r="C128" s="655"/>
      <c r="D128" s="684"/>
      <c r="E128" s="655"/>
      <c r="F128" s="684"/>
      <c r="G128" s="655"/>
      <c r="H128" s="655"/>
      <c r="I128" s="655"/>
      <c r="J128" s="655"/>
      <c r="K128" s="655"/>
      <c r="L128" s="655"/>
      <c r="M128" s="655"/>
      <c r="N128" s="655"/>
      <c r="O128" s="655"/>
      <c r="P128" s="655"/>
      <c r="Q128" s="655"/>
      <c r="R128" s="655"/>
      <c r="S128" s="655"/>
      <c r="T128" s="655"/>
      <c r="U128" s="655"/>
      <c r="V128" s="655"/>
      <c r="W128" s="655"/>
      <c r="X128" s="655"/>
      <c r="Y128" s="655"/>
      <c r="Z128" s="655"/>
      <c r="AA128" s="655"/>
      <c r="AB128" s="655"/>
      <c r="AC128" s="655"/>
      <c r="AD128" s="655"/>
      <c r="AE128" s="655"/>
      <c r="AF128" s="655"/>
      <c r="AG128" s="655"/>
      <c r="AH128" s="655"/>
      <c r="AI128" s="655"/>
      <c r="AJ128" s="684"/>
      <c r="AK128" s="655"/>
      <c r="AL128" s="676"/>
    </row>
    <row r="129" spans="1:39" ht="13.5">
      <c r="A129" s="17" t="s">
        <v>361</v>
      </c>
      <c r="B129" s="638"/>
      <c r="C129" s="639"/>
      <c r="D129" s="683"/>
      <c r="E129" s="639"/>
      <c r="F129" s="683"/>
      <c r="G129" s="639"/>
      <c r="H129" s="639"/>
      <c r="I129" s="639"/>
      <c r="J129" s="639"/>
      <c r="K129" s="639"/>
      <c r="L129" s="639"/>
      <c r="M129" s="639"/>
      <c r="N129" s="639"/>
      <c r="O129" s="639"/>
      <c r="P129" s="639"/>
      <c r="Q129" s="639"/>
      <c r="R129" s="639"/>
      <c r="S129" s="639"/>
      <c r="T129" s="639"/>
      <c r="U129" s="639"/>
      <c r="V129" s="639"/>
      <c r="W129" s="639"/>
      <c r="X129" s="639"/>
      <c r="Y129" s="639"/>
      <c r="Z129" s="639"/>
      <c r="AA129" s="639"/>
      <c r="AB129" s="639"/>
      <c r="AC129" s="639"/>
      <c r="AD129" s="639"/>
      <c r="AE129" s="639"/>
      <c r="AF129" s="639"/>
      <c r="AG129" s="639"/>
      <c r="AH129" s="639"/>
      <c r="AI129" s="639"/>
      <c r="AJ129" s="683"/>
      <c r="AK129" s="639"/>
      <c r="AL129" s="675"/>
    </row>
    <row r="130" spans="1:39" ht="13.5">
      <c r="A130" s="17" t="s">
        <v>204</v>
      </c>
      <c r="B130" s="638">
        <v>1173542690</v>
      </c>
      <c r="C130" s="639">
        <v>1173542690</v>
      </c>
      <c r="D130" s="1">
        <f t="shared" ref="D130:D144" si="116">ROUND(C130/B130-1,4)</f>
        <v>0</v>
      </c>
      <c r="E130" s="639">
        <f>1267051744-112426570</f>
        <v>1154625174</v>
      </c>
      <c r="F130" s="1">
        <f t="shared" ref="F130:F144" si="117">ROUND(E130/C130-1,4)</f>
        <v>-1.61E-2</v>
      </c>
      <c r="G130" s="639">
        <f t="shared" ref="G130:AH130" si="118">-SUM(G131:G144)+G127</f>
        <v>1547295275</v>
      </c>
      <c r="H130" s="639">
        <f t="shared" si="118"/>
        <v>1568798825</v>
      </c>
      <c r="I130" s="639">
        <f t="shared" si="118"/>
        <v>-7182513.330752302</v>
      </c>
      <c r="J130" s="639">
        <f t="shared" si="118"/>
        <v>2381932.1626300924</v>
      </c>
      <c r="K130" s="639">
        <f t="shared" si="118"/>
        <v>0</v>
      </c>
      <c r="L130" s="639">
        <f t="shared" si="118"/>
        <v>0</v>
      </c>
      <c r="M130" s="639">
        <f t="shared" si="118"/>
        <v>16808593.617494818</v>
      </c>
      <c r="N130" s="639">
        <f t="shared" si="118"/>
        <v>17193065.129185114</v>
      </c>
      <c r="O130" s="639">
        <f t="shared" si="118"/>
        <v>-63267151.510394812</v>
      </c>
      <c r="P130" s="639">
        <f t="shared" si="118"/>
        <v>-64540599.677985199</v>
      </c>
      <c r="Q130" s="639">
        <f t="shared" si="118"/>
        <v>0.4528999999165535</v>
      </c>
      <c r="R130" s="639">
        <f t="shared" si="118"/>
        <v>-9.1199999675154686E-2</v>
      </c>
      <c r="S130" s="639">
        <f t="shared" si="118"/>
        <v>-104588096.41012502</v>
      </c>
      <c r="T130" s="639">
        <f t="shared" si="118"/>
        <v>-107020128.45044982</v>
      </c>
      <c r="U130" s="639">
        <f t="shared" si="118"/>
        <v>8798548</v>
      </c>
      <c r="V130" s="639">
        <f t="shared" si="118"/>
        <v>8396675</v>
      </c>
      <c r="W130" s="639">
        <f t="shared" si="118"/>
        <v>-52052912</v>
      </c>
      <c r="X130" s="639">
        <f t="shared" si="118"/>
        <v>-48382960</v>
      </c>
      <c r="Y130" s="639">
        <f t="shared" si="118"/>
        <v>20675812</v>
      </c>
      <c r="Z130" s="639">
        <f t="shared" si="118"/>
        <v>20675812</v>
      </c>
      <c r="AA130" s="639">
        <f t="shared" si="118"/>
        <v>0</v>
      </c>
      <c r="AB130" s="639">
        <f t="shared" si="118"/>
        <v>0</v>
      </c>
      <c r="AC130" s="639">
        <f t="shared" ref="AC130:AF130" si="119">-SUM(AC131:AC144)+AC127</f>
        <v>-7560948</v>
      </c>
      <c r="AD130" s="639">
        <f t="shared" si="119"/>
        <v>-7560948</v>
      </c>
      <c r="AE130" s="639">
        <f t="shared" si="119"/>
        <v>-111336000</v>
      </c>
      <c r="AF130" s="639">
        <f t="shared" si="119"/>
        <v>-115121424</v>
      </c>
      <c r="AG130" s="639">
        <f t="shared" si="118"/>
        <v>-159309881</v>
      </c>
      <c r="AH130" s="639">
        <f t="shared" si="118"/>
        <v>-163489149</v>
      </c>
      <c r="AI130" s="562">
        <f>G130+I130+K130+M130+O130+Q130+S130+U130+W130+Y130+AA130+AG130+AC130+AE130</f>
        <v>1088280726.8191226</v>
      </c>
      <c r="AJ130" s="1">
        <f t="shared" ref="AJ130:AJ144" si="120">ROUND(AI130/C130,4)-1</f>
        <v>-7.2699999999999987E-2</v>
      </c>
      <c r="AK130" s="562">
        <f>H130+J130+L130+N130+P130+R130+T130+V130+X130+Z130+AB130+AH130+AD130+AF130</f>
        <v>1111331100.0721803</v>
      </c>
      <c r="AL130" s="555">
        <f t="shared" ref="AL130:AL144" si="121">ROUND(AK130/AI130-1,4)</f>
        <v>2.12E-2</v>
      </c>
      <c r="AM130" s="22"/>
    </row>
    <row r="131" spans="1:39" ht="13.5">
      <c r="A131" s="17" t="s">
        <v>653</v>
      </c>
      <c r="B131" s="638"/>
      <c r="C131" s="639">
        <v>-18917900</v>
      </c>
      <c r="D131" s="1" t="e">
        <f t="shared" si="116"/>
        <v>#DIV/0!</v>
      </c>
      <c r="E131" s="639"/>
      <c r="F131" s="1">
        <f t="shared" si="117"/>
        <v>-1</v>
      </c>
      <c r="G131" s="639">
        <f>E131</f>
        <v>0</v>
      </c>
      <c r="H131" s="639">
        <f>G131</f>
        <v>0</v>
      </c>
      <c r="I131" s="639"/>
      <c r="J131" s="639"/>
      <c r="K131" s="639"/>
      <c r="L131" s="639"/>
      <c r="M131" s="639"/>
      <c r="N131" s="639"/>
      <c r="O131" s="639"/>
      <c r="P131" s="639"/>
      <c r="Q131" s="639"/>
      <c r="R131" s="639"/>
      <c r="S131" s="639"/>
      <c r="T131" s="639"/>
      <c r="U131" s="639"/>
      <c r="V131" s="639"/>
      <c r="W131" s="639"/>
      <c r="X131" s="639"/>
      <c r="Y131" s="639"/>
      <c r="Z131" s="639"/>
      <c r="AA131" s="639"/>
      <c r="AB131" s="639"/>
      <c r="AC131" s="639"/>
      <c r="AD131" s="639"/>
      <c r="AE131" s="639"/>
      <c r="AF131" s="639"/>
      <c r="AG131" s="639"/>
      <c r="AH131" s="639"/>
      <c r="AI131" s="562">
        <f t="shared" ref="AI131:AI143" si="122">G131+I131+K131+M131+O131+Q131+S131+U131+W131+Y131+AA131+AG131+AC131+AE131</f>
        <v>0</v>
      </c>
      <c r="AJ131" s="1">
        <f t="shared" si="120"/>
        <v>-1</v>
      </c>
      <c r="AK131" s="562">
        <f t="shared" ref="AK131:AK144" si="123">H131+J131+L131+N131+P131+R131+T131+V131+X131+Z131+AB131+AH131+AD131+AF131</f>
        <v>0</v>
      </c>
      <c r="AL131" s="555" t="e">
        <f t="shared" si="121"/>
        <v>#DIV/0!</v>
      </c>
    </row>
    <row r="132" spans="1:39" ht="13.5">
      <c r="A132" s="17" t="s">
        <v>654</v>
      </c>
      <c r="B132" s="638">
        <v>0</v>
      </c>
      <c r="C132" s="639">
        <v>69080821</v>
      </c>
      <c r="D132" s="1" t="e">
        <f t="shared" ref="D132" si="124">ROUND(C132/B132-1,4)</f>
        <v>#DIV/0!</v>
      </c>
      <c r="E132" s="639">
        <f>-C132</f>
        <v>-69080821</v>
      </c>
      <c r="F132" s="1">
        <f t="shared" ref="F132" si="125">ROUND(E132/C132-1,4)</f>
        <v>-2</v>
      </c>
      <c r="G132" s="639">
        <v>0</v>
      </c>
      <c r="H132" s="639">
        <f>G132</f>
        <v>0</v>
      </c>
      <c r="I132" s="639"/>
      <c r="J132" s="639"/>
      <c r="K132" s="639"/>
      <c r="L132" s="639"/>
      <c r="M132" s="639"/>
      <c r="N132" s="639"/>
      <c r="O132" s="639"/>
      <c r="P132" s="639"/>
      <c r="Q132" s="639"/>
      <c r="R132" s="639"/>
      <c r="S132" s="639"/>
      <c r="T132" s="639"/>
      <c r="U132" s="639"/>
      <c r="V132" s="639"/>
      <c r="W132" s="639"/>
      <c r="X132" s="639"/>
      <c r="Y132" s="639"/>
      <c r="Z132" s="639"/>
      <c r="AA132" s="639"/>
      <c r="AB132" s="639"/>
      <c r="AC132" s="639"/>
      <c r="AD132" s="639"/>
      <c r="AE132" s="639"/>
      <c r="AF132" s="639"/>
      <c r="AG132" s="639"/>
      <c r="AH132" s="639"/>
      <c r="AI132" s="562">
        <f t="shared" si="122"/>
        <v>0</v>
      </c>
      <c r="AJ132" s="1">
        <f t="shared" si="120"/>
        <v>-1</v>
      </c>
      <c r="AK132" s="562">
        <f t="shared" si="123"/>
        <v>0</v>
      </c>
      <c r="AL132" s="555" t="e">
        <f t="shared" ref="AL132" si="126">ROUND(AK132/AI132-1,4)</f>
        <v>#DIV/0!</v>
      </c>
    </row>
    <row r="133" spans="1:39" ht="13.5">
      <c r="A133" s="17" t="s">
        <v>369</v>
      </c>
      <c r="B133" s="638">
        <v>35888197</v>
      </c>
      <c r="C133" s="639">
        <v>33712074</v>
      </c>
      <c r="D133" s="1">
        <f t="shared" si="116"/>
        <v>-6.0600000000000001E-2</v>
      </c>
      <c r="E133" s="639">
        <f>33359606-58800</f>
        <v>33300806</v>
      </c>
      <c r="F133" s="1">
        <f t="shared" si="117"/>
        <v>-1.2200000000000001E-2</v>
      </c>
      <c r="G133" s="747">
        <f>33502329+39909</f>
        <v>33542238</v>
      </c>
      <c r="H133" s="747">
        <f>34264675-120607</f>
        <v>34144068</v>
      </c>
      <c r="I133" s="660"/>
      <c r="J133" s="660"/>
      <c r="K133" s="639"/>
      <c r="L133" s="639"/>
      <c r="M133" s="639"/>
      <c r="N133" s="639"/>
      <c r="O133" s="639"/>
      <c r="P133" s="639"/>
      <c r="Q133" s="639"/>
      <c r="R133" s="639"/>
      <c r="S133" s="639"/>
      <c r="T133" s="639"/>
      <c r="U133" s="639"/>
      <c r="V133" s="639"/>
      <c r="W133" s="639"/>
      <c r="X133" s="639"/>
      <c r="Y133" s="639"/>
      <c r="Z133" s="639"/>
      <c r="AA133" s="639"/>
      <c r="AB133" s="639"/>
      <c r="AC133" s="639"/>
      <c r="AD133" s="639"/>
      <c r="AE133" s="639"/>
      <c r="AF133" s="639"/>
      <c r="AG133" s="639"/>
      <c r="AH133" s="639"/>
      <c r="AI133" s="562">
        <f t="shared" si="122"/>
        <v>33542238</v>
      </c>
      <c r="AJ133" s="1">
        <f t="shared" si="120"/>
        <v>-5.0000000000000044E-3</v>
      </c>
      <c r="AK133" s="562">
        <f t="shared" si="123"/>
        <v>34144068</v>
      </c>
      <c r="AL133" s="555">
        <f t="shared" si="121"/>
        <v>1.7899999999999999E-2</v>
      </c>
      <c r="AM133" s="22"/>
    </row>
    <row r="134" spans="1:39" ht="13.5">
      <c r="A134" s="17" t="s">
        <v>651</v>
      </c>
      <c r="B134" s="638">
        <v>13100000</v>
      </c>
      <c r="C134" s="639">
        <v>9173420</v>
      </c>
      <c r="D134" s="1">
        <f t="shared" si="116"/>
        <v>-0.29970000000000002</v>
      </c>
      <c r="E134" s="639">
        <v>6700000</v>
      </c>
      <c r="F134" s="1">
        <f t="shared" si="117"/>
        <v>-0.26960000000000001</v>
      </c>
      <c r="G134" s="747">
        <v>6600000</v>
      </c>
      <c r="H134" s="747">
        <v>6800000</v>
      </c>
      <c r="I134" s="660"/>
      <c r="J134" s="660"/>
      <c r="K134" s="639"/>
      <c r="L134" s="639"/>
      <c r="M134" s="639"/>
      <c r="N134" s="639"/>
      <c r="O134" s="639"/>
      <c r="P134" s="639"/>
      <c r="Q134" s="639"/>
      <c r="R134" s="639"/>
      <c r="S134" s="639"/>
      <c r="T134" s="639"/>
      <c r="U134" s="639"/>
      <c r="V134" s="639"/>
      <c r="W134" s="639"/>
      <c r="X134" s="639"/>
      <c r="Y134" s="639"/>
      <c r="Z134" s="639"/>
      <c r="AA134" s="639"/>
      <c r="AB134" s="639"/>
      <c r="AC134" s="639"/>
      <c r="AD134" s="639"/>
      <c r="AE134" s="639"/>
      <c r="AF134" s="639"/>
      <c r="AG134" s="639"/>
      <c r="AH134" s="639"/>
      <c r="AI134" s="562">
        <f t="shared" si="122"/>
        <v>6600000</v>
      </c>
      <c r="AJ134" s="1">
        <f t="shared" si="120"/>
        <v>-0.28049999999999997</v>
      </c>
      <c r="AK134" s="562">
        <f t="shared" si="123"/>
        <v>6800000</v>
      </c>
      <c r="AL134" s="555">
        <f t="shared" si="121"/>
        <v>3.0300000000000001E-2</v>
      </c>
      <c r="AM134" s="22"/>
    </row>
    <row r="135" spans="1:39" ht="13.5">
      <c r="A135" s="17" t="s">
        <v>650</v>
      </c>
      <c r="B135" s="638">
        <v>10706000</v>
      </c>
      <c r="C135" s="639">
        <v>8116846</v>
      </c>
      <c r="D135" s="1">
        <f t="shared" si="116"/>
        <v>-0.24179999999999999</v>
      </c>
      <c r="E135" s="639">
        <v>8000000</v>
      </c>
      <c r="F135" s="1">
        <f t="shared" si="117"/>
        <v>-1.44E-2</v>
      </c>
      <c r="G135" s="747">
        <v>8000000</v>
      </c>
      <c r="H135" s="747">
        <f>G135</f>
        <v>8000000</v>
      </c>
      <c r="I135" s="660"/>
      <c r="J135" s="660"/>
      <c r="K135" s="639"/>
      <c r="L135" s="639"/>
      <c r="M135" s="639"/>
      <c r="N135" s="639"/>
      <c r="O135" s="639"/>
      <c r="P135" s="639"/>
      <c r="Q135" s="639"/>
      <c r="R135" s="639"/>
      <c r="S135" s="639"/>
      <c r="T135" s="639"/>
      <c r="U135" s="639"/>
      <c r="V135" s="639"/>
      <c r="W135" s="639"/>
      <c r="X135" s="639"/>
      <c r="Y135" s="639"/>
      <c r="Z135" s="639"/>
      <c r="AA135" s="639"/>
      <c r="AB135" s="639"/>
      <c r="AC135" s="639"/>
      <c r="AD135" s="639"/>
      <c r="AE135" s="639"/>
      <c r="AF135" s="639"/>
      <c r="AG135" s="639"/>
      <c r="AH135" s="639"/>
      <c r="AI135" s="562">
        <f t="shared" si="122"/>
        <v>8000000</v>
      </c>
      <c r="AJ135" s="1">
        <f t="shared" si="120"/>
        <v>-1.4399999999999968E-2</v>
      </c>
      <c r="AK135" s="562">
        <f t="shared" si="123"/>
        <v>8000000</v>
      </c>
      <c r="AL135" s="555">
        <f t="shared" si="121"/>
        <v>0</v>
      </c>
      <c r="AM135" s="22"/>
    </row>
    <row r="136" spans="1:39" ht="13.5">
      <c r="A136" s="17" t="s">
        <v>643</v>
      </c>
      <c r="B136" s="638">
        <v>98037864</v>
      </c>
      <c r="C136" s="639">
        <v>86190829</v>
      </c>
      <c r="D136" s="1">
        <f t="shared" si="116"/>
        <v>-0.1208</v>
      </c>
      <c r="E136" s="639">
        <f>DSADATABASE!B42</f>
        <v>91133634.779999971</v>
      </c>
      <c r="F136" s="1">
        <f t="shared" si="117"/>
        <v>5.7299999999999997E-2</v>
      </c>
      <c r="G136" s="748">
        <f>DSADATABASE!C42</f>
        <v>80600716.620000005</v>
      </c>
      <c r="H136" s="748">
        <f>DSADATABASE!D42</f>
        <v>83018721.959999919</v>
      </c>
      <c r="I136" s="631"/>
      <c r="J136" s="631"/>
      <c r="K136" s="639"/>
      <c r="L136" s="639"/>
      <c r="M136" s="639"/>
      <c r="N136" s="639"/>
      <c r="O136" s="639"/>
      <c r="P136" s="639"/>
      <c r="Q136" s="639"/>
      <c r="R136" s="639"/>
      <c r="S136" s="639"/>
      <c r="T136" s="639"/>
      <c r="U136" s="639"/>
      <c r="V136" s="639"/>
      <c r="W136" s="639"/>
      <c r="X136" s="639"/>
      <c r="Y136" s="639"/>
      <c r="Z136" s="639"/>
      <c r="AA136" s="639"/>
      <c r="AB136" s="639"/>
      <c r="AC136" s="639"/>
      <c r="AD136" s="639"/>
      <c r="AE136" s="639"/>
      <c r="AF136" s="639"/>
      <c r="AG136" s="639">
        <f>+DSADATABASE!K69</f>
        <v>12537889.289999999</v>
      </c>
      <c r="AH136" s="639">
        <f>+DSADATABASE!L69</f>
        <v>12914023.41</v>
      </c>
      <c r="AI136" s="562">
        <f t="shared" si="122"/>
        <v>93138605.909999996</v>
      </c>
      <c r="AJ136" s="1">
        <f t="shared" si="120"/>
        <v>8.0600000000000005E-2</v>
      </c>
      <c r="AK136" s="562">
        <f t="shared" si="123"/>
        <v>95932745.369999915</v>
      </c>
      <c r="AL136" s="555">
        <f t="shared" si="121"/>
        <v>0.03</v>
      </c>
      <c r="AM136" s="22"/>
    </row>
    <row r="137" spans="1:39" s="867" customFormat="1" ht="13.5">
      <c r="A137" s="17" t="s">
        <v>639</v>
      </c>
      <c r="B137" s="638"/>
      <c r="C137" s="639"/>
      <c r="D137" s="1"/>
      <c r="E137" s="639"/>
      <c r="F137" s="1"/>
      <c r="G137" s="748"/>
      <c r="H137" s="748"/>
      <c r="I137" s="631"/>
      <c r="J137" s="631"/>
      <c r="K137" s="639"/>
      <c r="L137" s="639"/>
      <c r="M137" s="639"/>
      <c r="N137" s="639"/>
      <c r="O137" s="639"/>
      <c r="P137" s="639"/>
      <c r="Q137" s="639"/>
      <c r="R137" s="639"/>
      <c r="S137" s="639"/>
      <c r="T137" s="639"/>
      <c r="U137" s="639"/>
      <c r="V137" s="639"/>
      <c r="W137" s="639"/>
      <c r="X137" s="639"/>
      <c r="Y137" s="639"/>
      <c r="Z137" s="639"/>
      <c r="AA137" s="639"/>
      <c r="AB137" s="639"/>
      <c r="AC137" s="639"/>
      <c r="AD137" s="639"/>
      <c r="AE137" s="639">
        <f>+DSADATABASE!K65</f>
        <v>111336000</v>
      </c>
      <c r="AF137" s="639">
        <f>+DSADATABASE!L65</f>
        <v>115121424</v>
      </c>
      <c r="AG137" s="639"/>
      <c r="AH137" s="639"/>
      <c r="AI137" s="562">
        <f t="shared" si="122"/>
        <v>111336000</v>
      </c>
      <c r="AJ137" s="1" t="e">
        <f t="shared" si="120"/>
        <v>#DIV/0!</v>
      </c>
      <c r="AK137" s="562">
        <f t="shared" si="123"/>
        <v>115121424</v>
      </c>
      <c r="AL137" s="555">
        <f t="shared" si="121"/>
        <v>3.4000000000000002E-2</v>
      </c>
      <c r="AM137" s="22"/>
    </row>
    <row r="138" spans="1:39" ht="13.5">
      <c r="A138" s="17" t="s">
        <v>640</v>
      </c>
      <c r="B138" s="638">
        <v>1000000</v>
      </c>
      <c r="C138" s="639"/>
      <c r="D138" s="1">
        <f t="shared" si="116"/>
        <v>-1</v>
      </c>
      <c r="E138" s="639"/>
      <c r="F138" s="1" t="e">
        <f t="shared" si="117"/>
        <v>#DIV/0!</v>
      </c>
      <c r="G138" s="748">
        <v>0</v>
      </c>
      <c r="H138" s="748">
        <v>0</v>
      </c>
      <c r="I138" s="631"/>
      <c r="J138" s="631"/>
      <c r="K138" s="639"/>
      <c r="L138" s="639"/>
      <c r="M138" s="639"/>
      <c r="N138" s="639"/>
      <c r="O138" s="639"/>
      <c r="P138" s="639"/>
      <c r="Q138" s="639"/>
      <c r="R138" s="639"/>
      <c r="S138" s="639"/>
      <c r="T138" s="639"/>
      <c r="U138" s="639"/>
      <c r="V138" s="639"/>
      <c r="W138" s="639"/>
      <c r="X138" s="639"/>
      <c r="Y138" s="639"/>
      <c r="Z138" s="639"/>
      <c r="AA138" s="639"/>
      <c r="AB138" s="639"/>
      <c r="AC138" s="639"/>
      <c r="AD138" s="639"/>
      <c r="AE138" s="639"/>
      <c r="AF138" s="639"/>
      <c r="AG138" s="639"/>
      <c r="AH138" s="639"/>
      <c r="AI138" s="562">
        <f t="shared" si="122"/>
        <v>0</v>
      </c>
      <c r="AJ138" s="1" t="e">
        <f t="shared" si="120"/>
        <v>#DIV/0!</v>
      </c>
      <c r="AK138" s="562">
        <f t="shared" si="123"/>
        <v>0</v>
      </c>
      <c r="AL138" s="555" t="e">
        <f t="shared" si="121"/>
        <v>#DIV/0!</v>
      </c>
      <c r="AM138" s="22"/>
    </row>
    <row r="139" spans="1:39" ht="13.5">
      <c r="A139" s="17" t="s">
        <v>267</v>
      </c>
      <c r="B139" s="638">
        <v>100</v>
      </c>
      <c r="C139" s="639"/>
      <c r="D139" s="1">
        <f t="shared" si="116"/>
        <v>-1</v>
      </c>
      <c r="E139" s="639"/>
      <c r="F139" s="1" t="e">
        <f t="shared" si="117"/>
        <v>#DIV/0!</v>
      </c>
      <c r="G139" s="639">
        <v>0</v>
      </c>
      <c r="H139" s="639">
        <v>0</v>
      </c>
      <c r="I139" s="639"/>
      <c r="J139" s="639"/>
      <c r="K139" s="639"/>
      <c r="L139" s="639"/>
      <c r="M139" s="639"/>
      <c r="N139" s="639"/>
      <c r="O139" s="639"/>
      <c r="P139" s="639"/>
      <c r="Q139" s="639"/>
      <c r="R139" s="639"/>
      <c r="S139" s="639"/>
      <c r="T139" s="639"/>
      <c r="U139" s="639"/>
      <c r="V139" s="639"/>
      <c r="W139" s="639"/>
      <c r="X139" s="639"/>
      <c r="Y139" s="639"/>
      <c r="Z139" s="639"/>
      <c r="AA139" s="639"/>
      <c r="AB139" s="639"/>
      <c r="AC139" s="639"/>
      <c r="AD139" s="639"/>
      <c r="AE139" s="639"/>
      <c r="AF139" s="639"/>
      <c r="AG139" s="639"/>
      <c r="AH139" s="639"/>
      <c r="AI139" s="562">
        <f t="shared" si="122"/>
        <v>0</v>
      </c>
      <c r="AJ139" s="1" t="e">
        <f t="shared" si="120"/>
        <v>#DIV/0!</v>
      </c>
      <c r="AK139" s="562">
        <f t="shared" si="123"/>
        <v>0</v>
      </c>
      <c r="AL139" s="555" t="e">
        <f t="shared" si="121"/>
        <v>#DIV/0!</v>
      </c>
    </row>
    <row r="140" spans="1:39" ht="13.5">
      <c r="A140" s="17" t="s">
        <v>657</v>
      </c>
      <c r="B140" s="638"/>
      <c r="C140" s="639">
        <v>816539</v>
      </c>
      <c r="D140" s="1" t="e">
        <f t="shared" si="116"/>
        <v>#DIV/0!</v>
      </c>
      <c r="E140" s="639"/>
      <c r="F140" s="1">
        <f t="shared" si="117"/>
        <v>-1</v>
      </c>
      <c r="G140" s="639">
        <f>E140</f>
        <v>0</v>
      </c>
      <c r="H140" s="639">
        <f>G140</f>
        <v>0</v>
      </c>
      <c r="I140" s="639"/>
      <c r="J140" s="639"/>
      <c r="K140" s="639"/>
      <c r="L140" s="639"/>
      <c r="M140" s="639"/>
      <c r="N140" s="639"/>
      <c r="O140" s="639"/>
      <c r="P140" s="639"/>
      <c r="Q140" s="639"/>
      <c r="R140" s="639"/>
      <c r="S140" s="639"/>
      <c r="T140" s="639"/>
      <c r="U140" s="639"/>
      <c r="V140" s="639"/>
      <c r="W140" s="639"/>
      <c r="X140" s="639"/>
      <c r="Y140" s="639"/>
      <c r="Z140" s="639"/>
      <c r="AA140" s="639"/>
      <c r="AB140" s="639"/>
      <c r="AC140" s="639"/>
      <c r="AD140" s="639"/>
      <c r="AE140" s="639"/>
      <c r="AF140" s="639"/>
      <c r="AG140" s="639"/>
      <c r="AH140" s="639"/>
      <c r="AI140" s="562">
        <f t="shared" si="122"/>
        <v>0</v>
      </c>
      <c r="AJ140" s="1">
        <f t="shared" si="120"/>
        <v>-1</v>
      </c>
      <c r="AK140" s="562">
        <f t="shared" si="123"/>
        <v>0</v>
      </c>
      <c r="AL140" s="555" t="e">
        <f t="shared" si="121"/>
        <v>#DIV/0!</v>
      </c>
    </row>
    <row r="141" spans="1:39" ht="13.5">
      <c r="A141" s="17" t="s">
        <v>618</v>
      </c>
      <c r="B141" s="638"/>
      <c r="C141" s="639"/>
      <c r="D141" s="1" t="e">
        <f t="shared" si="116"/>
        <v>#DIV/0!</v>
      </c>
      <c r="E141" s="639">
        <v>140833874</v>
      </c>
      <c r="F141" s="1" t="e">
        <f t="shared" si="117"/>
        <v>#DIV/0!</v>
      </c>
      <c r="G141" s="639">
        <v>0</v>
      </c>
      <c r="H141" s="639">
        <v>0</v>
      </c>
      <c r="I141" s="639"/>
      <c r="J141" s="639"/>
      <c r="K141" s="639"/>
      <c r="L141" s="639"/>
      <c r="M141" s="639"/>
      <c r="N141" s="639"/>
      <c r="O141" s="639"/>
      <c r="P141" s="639"/>
      <c r="Q141" s="639"/>
      <c r="R141" s="639"/>
      <c r="S141" s="639"/>
      <c r="T141" s="639"/>
      <c r="U141" s="639"/>
      <c r="V141" s="639"/>
      <c r="W141" s="639"/>
      <c r="X141" s="639"/>
      <c r="Y141" s="639"/>
      <c r="Z141" s="639"/>
      <c r="AA141" s="639"/>
      <c r="AB141" s="639"/>
      <c r="AC141" s="639"/>
      <c r="AD141" s="639"/>
      <c r="AE141" s="639"/>
      <c r="AF141" s="639"/>
      <c r="AG141" s="639"/>
      <c r="AH141" s="639"/>
      <c r="AI141" s="562">
        <f t="shared" si="122"/>
        <v>0</v>
      </c>
      <c r="AJ141" s="1" t="e">
        <f t="shared" si="120"/>
        <v>#DIV/0!</v>
      </c>
      <c r="AK141" s="562">
        <f t="shared" si="123"/>
        <v>0</v>
      </c>
      <c r="AL141" s="555" t="e">
        <f t="shared" si="121"/>
        <v>#DIV/0!</v>
      </c>
    </row>
    <row r="142" spans="1:39" ht="13.5">
      <c r="A142" s="17" t="s">
        <v>655</v>
      </c>
      <c r="B142" s="638"/>
      <c r="C142" s="639">
        <v>-42371</v>
      </c>
      <c r="D142" s="1" t="e">
        <f>ROUND(C142/B142-1,4)</f>
        <v>#DIV/0!</v>
      </c>
      <c r="E142" s="639"/>
      <c r="F142" s="1">
        <f>ROUND(E142/C142-1,4)</f>
        <v>-1</v>
      </c>
      <c r="G142" s="639">
        <f>E142</f>
        <v>0</v>
      </c>
      <c r="H142" s="639">
        <f>G142</f>
        <v>0</v>
      </c>
      <c r="I142" s="639"/>
      <c r="J142" s="639"/>
      <c r="K142" s="639"/>
      <c r="L142" s="639"/>
      <c r="M142" s="639"/>
      <c r="N142" s="639"/>
      <c r="O142" s="639"/>
      <c r="P142" s="639"/>
      <c r="Q142" s="639"/>
      <c r="R142" s="639"/>
      <c r="S142" s="639"/>
      <c r="T142" s="639"/>
      <c r="U142" s="639"/>
      <c r="V142" s="639"/>
      <c r="W142" s="639"/>
      <c r="X142" s="639"/>
      <c r="Y142" s="639"/>
      <c r="Z142" s="639"/>
      <c r="AA142" s="639"/>
      <c r="AB142" s="639"/>
      <c r="AC142" s="639"/>
      <c r="AD142" s="639"/>
      <c r="AE142" s="639"/>
      <c r="AF142" s="639"/>
      <c r="AG142" s="639"/>
      <c r="AH142" s="639"/>
      <c r="AI142" s="562">
        <f t="shared" si="122"/>
        <v>0</v>
      </c>
      <c r="AJ142" s="1">
        <f t="shared" si="120"/>
        <v>-1</v>
      </c>
      <c r="AK142" s="562">
        <f t="shared" si="123"/>
        <v>0</v>
      </c>
      <c r="AL142" s="555" t="e">
        <f t="shared" si="121"/>
        <v>#DIV/0!</v>
      </c>
    </row>
    <row r="143" spans="1:39" ht="13.5">
      <c r="A143" s="17" t="s">
        <v>425</v>
      </c>
      <c r="B143" s="638"/>
      <c r="C143" s="639"/>
      <c r="D143" s="1" t="e">
        <f t="shared" si="116"/>
        <v>#DIV/0!</v>
      </c>
      <c r="E143" s="639"/>
      <c r="F143" s="1" t="e">
        <f t="shared" si="117"/>
        <v>#DIV/0!</v>
      </c>
      <c r="G143" s="639">
        <f>E143</f>
        <v>0</v>
      </c>
      <c r="H143" s="639">
        <f>G143</f>
        <v>0</v>
      </c>
      <c r="I143" s="639"/>
      <c r="J143" s="639"/>
      <c r="K143" s="639"/>
      <c r="L143" s="639"/>
      <c r="M143" s="639"/>
      <c r="N143" s="639"/>
      <c r="O143" s="639"/>
      <c r="P143" s="639"/>
      <c r="Q143" s="639"/>
      <c r="R143" s="639"/>
      <c r="S143" s="639"/>
      <c r="T143" s="639"/>
      <c r="U143" s="639"/>
      <c r="V143" s="639"/>
      <c r="W143" s="639"/>
      <c r="X143" s="639"/>
      <c r="Y143" s="639"/>
      <c r="Z143" s="639"/>
      <c r="AA143" s="639"/>
      <c r="AB143" s="639"/>
      <c r="AC143" s="639"/>
      <c r="AD143" s="639"/>
      <c r="AE143" s="639"/>
      <c r="AF143" s="639"/>
      <c r="AG143" s="639"/>
      <c r="AH143" s="639"/>
      <c r="AI143" s="562">
        <f t="shared" si="122"/>
        <v>0</v>
      </c>
      <c r="AJ143" s="1" t="e">
        <f t="shared" si="120"/>
        <v>#DIV/0!</v>
      </c>
      <c r="AK143" s="562">
        <f t="shared" si="123"/>
        <v>0</v>
      </c>
      <c r="AL143" s="555" t="e">
        <f t="shared" si="121"/>
        <v>#DIV/0!</v>
      </c>
    </row>
    <row r="144" spans="1:39" ht="13.5">
      <c r="A144" s="26" t="s">
        <v>656</v>
      </c>
      <c r="B144" s="648"/>
      <c r="C144" s="649">
        <v>-33893</v>
      </c>
      <c r="D144" s="556" t="e">
        <f t="shared" si="116"/>
        <v>#DIV/0!</v>
      </c>
      <c r="E144" s="667">
        <f>-C144</f>
        <v>33893</v>
      </c>
      <c r="F144" s="556">
        <f t="shared" si="117"/>
        <v>-2</v>
      </c>
      <c r="G144" s="649">
        <v>0</v>
      </c>
      <c r="H144" s="649">
        <v>0</v>
      </c>
      <c r="I144" s="649"/>
      <c r="J144" s="649"/>
      <c r="K144" s="649"/>
      <c r="L144" s="649"/>
      <c r="M144" s="649"/>
      <c r="N144" s="649"/>
      <c r="O144" s="649"/>
      <c r="P144" s="649"/>
      <c r="Q144" s="649"/>
      <c r="R144" s="649"/>
      <c r="S144" s="649"/>
      <c r="T144" s="649"/>
      <c r="U144" s="649"/>
      <c r="V144" s="649"/>
      <c r="W144" s="649"/>
      <c r="X144" s="649"/>
      <c r="Y144" s="649"/>
      <c r="Z144" s="649"/>
      <c r="AA144" s="649"/>
      <c r="AB144" s="649"/>
      <c r="AC144" s="649"/>
      <c r="AD144" s="649"/>
      <c r="AE144" s="649"/>
      <c r="AF144" s="649"/>
      <c r="AG144" s="649"/>
      <c r="AH144" s="649"/>
      <c r="AI144" s="666">
        <f t="shared" ref="AI144" si="127">G144+I144+K144+M144+O144+Q144+S144+U144+W144+Y144+AA144+AG144+AC144+AE144</f>
        <v>0</v>
      </c>
      <c r="AJ144" s="556">
        <f t="shared" si="120"/>
        <v>-1</v>
      </c>
      <c r="AK144" s="666">
        <f t="shared" si="123"/>
        <v>0</v>
      </c>
      <c r="AL144" s="561" t="e">
        <f t="shared" si="121"/>
        <v>#DIV/0!</v>
      </c>
    </row>
    <row r="145" spans="1:78" ht="13.5">
      <c r="A145" s="28"/>
      <c r="B145" s="638"/>
      <c r="C145" s="639"/>
      <c r="D145" s="683"/>
      <c r="E145" s="639"/>
      <c r="F145" s="683"/>
      <c r="G145" s="639"/>
      <c r="H145" s="639"/>
      <c r="I145" s="639"/>
      <c r="J145" s="639"/>
      <c r="K145" s="639"/>
      <c r="L145" s="639"/>
      <c r="M145" s="639"/>
      <c r="N145" s="639"/>
      <c r="O145" s="639"/>
      <c r="P145" s="639"/>
      <c r="Q145" s="639"/>
      <c r="R145" s="639"/>
      <c r="S145" s="639"/>
      <c r="T145" s="639"/>
      <c r="U145" s="639"/>
      <c r="V145" s="639"/>
      <c r="W145" s="639"/>
      <c r="X145" s="639"/>
      <c r="Y145" s="639"/>
      <c r="Z145" s="639"/>
      <c r="AA145" s="639"/>
      <c r="AB145" s="639"/>
      <c r="AC145" s="639"/>
      <c r="AD145" s="639"/>
      <c r="AE145" s="639"/>
      <c r="AF145" s="639"/>
      <c r="AG145" s="639"/>
      <c r="AH145" s="639"/>
      <c r="AI145" s="639"/>
      <c r="AJ145" s="683"/>
      <c r="AK145" s="639"/>
      <c r="AL145" s="675"/>
    </row>
    <row r="146" spans="1:78" ht="14.25" thickBot="1">
      <c r="A146" s="17" t="s">
        <v>198</v>
      </c>
      <c r="B146" s="656">
        <f>SUM(B130:B144)</f>
        <v>1332274851</v>
      </c>
      <c r="C146" s="657">
        <f>SUM(C130:C144)</f>
        <v>1361639055</v>
      </c>
      <c r="D146" s="567">
        <f>ROUND(C146/B146-1,4)</f>
        <v>2.1999999999999999E-2</v>
      </c>
      <c r="E146" s="657">
        <f>SUM(E130:E144)</f>
        <v>1365546560.78</v>
      </c>
      <c r="F146" s="553">
        <f>ROUND(E146/C146-1,4)</f>
        <v>2.8999999999999998E-3</v>
      </c>
      <c r="G146" s="657">
        <f>SUM(G130:G144)</f>
        <v>1676038229.6199999</v>
      </c>
      <c r="H146" s="657">
        <f>SUM(H130:H144)</f>
        <v>1700761614.96</v>
      </c>
      <c r="I146" s="657">
        <f>I130+I133+I134+I135+I136+I139</f>
        <v>-7182513.330752302</v>
      </c>
      <c r="J146" s="657">
        <f>J130+J133+J134+J135+J136+J139</f>
        <v>2381932.1626300924</v>
      </c>
      <c r="K146" s="657">
        <f>SUM(K130:K144)</f>
        <v>0</v>
      </c>
      <c r="L146" s="657">
        <f>SUM(L130:L144)</f>
        <v>0</v>
      </c>
      <c r="M146" s="657">
        <f>M130+M133+M134+M135+M136</f>
        <v>16808593.617494818</v>
      </c>
      <c r="N146" s="657">
        <f>N130+N133+N134+N135+N136</f>
        <v>17193065.129185114</v>
      </c>
      <c r="O146" s="657">
        <f>O130+O133+O134+O135+O136</f>
        <v>-63267151.510394812</v>
      </c>
      <c r="P146" s="657">
        <f>P130+P133+P134+P135+P136</f>
        <v>-64540599.677985199</v>
      </c>
      <c r="Q146" s="657">
        <f t="shared" ref="Q146:AI146" si="128">SUM(Q130:Q144)</f>
        <v>0.4528999999165535</v>
      </c>
      <c r="R146" s="657">
        <f t="shared" si="128"/>
        <v>-9.1199999675154686E-2</v>
      </c>
      <c r="S146" s="657">
        <f t="shared" si="128"/>
        <v>-104588096.41012502</v>
      </c>
      <c r="T146" s="657">
        <f t="shared" si="128"/>
        <v>-107020128.45044982</v>
      </c>
      <c r="U146" s="657">
        <f t="shared" si="128"/>
        <v>8798548</v>
      </c>
      <c r="V146" s="657">
        <f t="shared" si="128"/>
        <v>8396675</v>
      </c>
      <c r="W146" s="657">
        <f>SUM(W130:W144)</f>
        <v>-52052912</v>
      </c>
      <c r="X146" s="657">
        <f>SUM(X130:X144)</f>
        <v>-48382960</v>
      </c>
      <c r="Y146" s="657">
        <f>SUM(Y130:Y144)</f>
        <v>20675812</v>
      </c>
      <c r="Z146" s="657">
        <f>SUM(Z130:Z144)</f>
        <v>20675812</v>
      </c>
      <c r="AA146" s="657">
        <f t="shared" si="128"/>
        <v>0</v>
      </c>
      <c r="AB146" s="657">
        <f t="shared" si="128"/>
        <v>0</v>
      </c>
      <c r="AC146" s="657">
        <f t="shared" ref="AC146:AF146" si="129">SUM(AC130:AC144)</f>
        <v>-7560948</v>
      </c>
      <c r="AD146" s="657">
        <f t="shared" si="129"/>
        <v>-7560948</v>
      </c>
      <c r="AE146" s="657">
        <f t="shared" si="129"/>
        <v>0</v>
      </c>
      <c r="AF146" s="657">
        <f t="shared" si="129"/>
        <v>0</v>
      </c>
      <c r="AG146" s="657">
        <f t="shared" si="128"/>
        <v>-146771991.71000001</v>
      </c>
      <c r="AH146" s="657">
        <f t="shared" si="128"/>
        <v>-150575125.59</v>
      </c>
      <c r="AI146" s="657">
        <f t="shared" si="128"/>
        <v>1340897570.7291226</v>
      </c>
      <c r="AJ146" s="567">
        <f>ROUND(AI146/C146-1,4)</f>
        <v>-1.52E-2</v>
      </c>
      <c r="AK146" s="657">
        <f>SUM(AK130:AK144)</f>
        <v>1371329337.4421802</v>
      </c>
      <c r="AL146" s="568">
        <f>ROUND(AK146/AI146-1,4)</f>
        <v>2.2700000000000001E-2</v>
      </c>
    </row>
    <row r="147" spans="1:78" ht="13.5">
      <c r="A147" s="25"/>
      <c r="B147" s="658"/>
      <c r="C147" s="659"/>
      <c r="D147" s="685"/>
      <c r="E147" s="659"/>
      <c r="F147" s="685"/>
      <c r="G147" s="659"/>
      <c r="H147" s="659"/>
      <c r="I147" s="659"/>
      <c r="J147" s="659"/>
      <c r="K147" s="659"/>
      <c r="L147" s="659"/>
      <c r="M147" s="659"/>
      <c r="N147" s="659"/>
      <c r="O147" s="659"/>
      <c r="P147" s="659"/>
      <c r="Q147" s="659"/>
      <c r="R147" s="659"/>
      <c r="S147" s="659"/>
      <c r="T147" s="659"/>
      <c r="U147" s="659"/>
      <c r="V147" s="659"/>
      <c r="W147" s="659"/>
      <c r="X147" s="659"/>
      <c r="Y147" s="659"/>
      <c r="Z147" s="659"/>
      <c r="AA147" s="659"/>
      <c r="AB147" s="659"/>
      <c r="AC147" s="659"/>
      <c r="AD147" s="659"/>
      <c r="AE147" s="659"/>
      <c r="AF147" s="659"/>
      <c r="AG147" s="659"/>
      <c r="AH147" s="659"/>
      <c r="AI147" s="670"/>
      <c r="AJ147" s="569"/>
      <c r="AK147" s="670"/>
      <c r="AL147" s="570"/>
    </row>
    <row r="148" spans="1:78" ht="14.25" thickBot="1">
      <c r="A148" s="24" t="s">
        <v>262</v>
      </c>
      <c r="B148" s="652">
        <f>B127-B146</f>
        <v>0</v>
      </c>
      <c r="C148" s="653">
        <f>C127-C146</f>
        <v>0</v>
      </c>
      <c r="D148" s="567" t="e">
        <f>ROUND(C148/B148-1,4)</f>
        <v>#DIV/0!</v>
      </c>
      <c r="E148" s="668">
        <f>E127-E146</f>
        <v>-42133576</v>
      </c>
      <c r="F148" s="567" t="e">
        <f>ROUND(E148/C148-1,4)</f>
        <v>#DIV/0!</v>
      </c>
      <c r="G148" s="653">
        <f t="shared" ref="G148:AB148" si="130">G127-G146</f>
        <v>0</v>
      </c>
      <c r="H148" s="653">
        <f t="shared" si="130"/>
        <v>0</v>
      </c>
      <c r="I148" s="653">
        <f t="shared" si="130"/>
        <v>0</v>
      </c>
      <c r="J148" s="653">
        <f t="shared" si="130"/>
        <v>0</v>
      </c>
      <c r="K148" s="653">
        <f t="shared" si="130"/>
        <v>0</v>
      </c>
      <c r="L148" s="653">
        <f t="shared" si="130"/>
        <v>0</v>
      </c>
      <c r="M148" s="653">
        <f t="shared" si="130"/>
        <v>0</v>
      </c>
      <c r="N148" s="653">
        <f t="shared" si="130"/>
        <v>0</v>
      </c>
      <c r="O148" s="653">
        <f t="shared" si="130"/>
        <v>0</v>
      </c>
      <c r="P148" s="653">
        <f t="shared" si="130"/>
        <v>0</v>
      </c>
      <c r="Q148" s="653">
        <f t="shared" si="130"/>
        <v>0</v>
      </c>
      <c r="R148" s="653">
        <f t="shared" si="130"/>
        <v>0</v>
      </c>
      <c r="S148" s="653">
        <f t="shared" si="130"/>
        <v>0</v>
      </c>
      <c r="T148" s="653">
        <f t="shared" si="130"/>
        <v>0</v>
      </c>
      <c r="U148" s="653">
        <f t="shared" si="130"/>
        <v>0</v>
      </c>
      <c r="V148" s="653">
        <f t="shared" si="130"/>
        <v>0</v>
      </c>
      <c r="W148" s="653">
        <f t="shared" si="130"/>
        <v>0</v>
      </c>
      <c r="X148" s="653">
        <f t="shared" si="130"/>
        <v>0</v>
      </c>
      <c r="Y148" s="653">
        <f t="shared" si="130"/>
        <v>0</v>
      </c>
      <c r="Z148" s="653">
        <f t="shared" si="130"/>
        <v>0</v>
      </c>
      <c r="AA148" s="653">
        <f t="shared" si="130"/>
        <v>0</v>
      </c>
      <c r="AB148" s="653">
        <f t="shared" si="130"/>
        <v>0</v>
      </c>
      <c r="AC148" s="653">
        <f>AC127-AC146</f>
        <v>0</v>
      </c>
      <c r="AD148" s="653">
        <f>AD127-AD146</f>
        <v>0</v>
      </c>
      <c r="AE148" s="653"/>
      <c r="AF148" s="653"/>
      <c r="AG148" s="653">
        <f>AG127-AG146</f>
        <v>0</v>
      </c>
      <c r="AH148" s="653">
        <f>AH127-AH146</f>
        <v>0</v>
      </c>
      <c r="AI148" s="668">
        <v>0</v>
      </c>
      <c r="AJ148" s="567"/>
      <c r="AK148" s="668">
        <v>0</v>
      </c>
      <c r="AL148" s="568"/>
    </row>
    <row r="149" spans="1:78" ht="13.5">
      <c r="A149" s="29"/>
      <c r="B149" s="660"/>
      <c r="C149" s="660"/>
      <c r="D149" s="381"/>
      <c r="E149" s="660"/>
      <c r="F149" s="381"/>
      <c r="G149" s="377"/>
      <c r="H149" s="377"/>
      <c r="I149" s="377"/>
      <c r="J149" s="377"/>
      <c r="K149" s="377"/>
      <c r="L149" s="377"/>
      <c r="M149" s="377"/>
      <c r="N149" s="377"/>
      <c r="O149" s="377"/>
      <c r="P149" s="377"/>
      <c r="Q149" s="377"/>
      <c r="R149" s="377"/>
      <c r="S149" s="377"/>
      <c r="T149" s="377"/>
      <c r="U149" s="377"/>
      <c r="V149" s="377"/>
      <c r="W149" s="377"/>
      <c r="X149" s="377"/>
      <c r="Y149" s="377"/>
      <c r="Z149" s="377"/>
      <c r="AA149" s="377"/>
      <c r="AB149" s="377"/>
      <c r="AC149" s="377"/>
      <c r="AD149" s="377"/>
      <c r="AE149" s="377"/>
      <c r="AF149" s="377"/>
      <c r="AG149" s="377"/>
      <c r="AH149" s="377"/>
      <c r="AI149" s="377"/>
      <c r="AJ149" s="381"/>
      <c r="AK149" s="377"/>
      <c r="AL149" s="677"/>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row>
    <row r="150" spans="1:78" s="13" customFormat="1" ht="14.25" thickBot="1">
      <c r="A150" s="95" t="s">
        <v>338</v>
      </c>
      <c r="B150" s="743">
        <f>+B146+B148</f>
        <v>1332274851</v>
      </c>
      <c r="C150" s="743">
        <f>+C146+C148</f>
        <v>1361639055</v>
      </c>
      <c r="D150" s="743"/>
      <c r="E150" s="743">
        <f>+E146+E148</f>
        <v>1323412984.78</v>
      </c>
      <c r="F150" s="743"/>
      <c r="G150" s="743">
        <f t="shared" ref="G150:M150" si="131">+G146+G148</f>
        <v>1676038229.6199999</v>
      </c>
      <c r="H150" s="743">
        <f t="shared" si="131"/>
        <v>1700761614.96</v>
      </c>
      <c r="I150" s="743">
        <f t="shared" si="131"/>
        <v>-7182513.330752302</v>
      </c>
      <c r="J150" s="743">
        <f t="shared" si="131"/>
        <v>2381932.1626300924</v>
      </c>
      <c r="K150" s="743">
        <f>+K146+K148</f>
        <v>0</v>
      </c>
      <c r="L150" s="743">
        <f>+L146+L148</f>
        <v>0</v>
      </c>
      <c r="M150" s="743">
        <f t="shared" si="131"/>
        <v>16808593.617494818</v>
      </c>
      <c r="N150" s="743">
        <f>+N146+N148</f>
        <v>17193065.129185114</v>
      </c>
      <c r="O150" s="743">
        <f>+O146+O148</f>
        <v>-63267151.510394812</v>
      </c>
      <c r="P150" s="743">
        <f>+P146+P148</f>
        <v>-64540599.677985199</v>
      </c>
      <c r="Q150" s="743">
        <f t="shared" ref="Q150:Z150" si="132">+Q146+Q148</f>
        <v>0.4528999999165535</v>
      </c>
      <c r="R150" s="743">
        <f t="shared" si="132"/>
        <v>-9.1199999675154686E-2</v>
      </c>
      <c r="S150" s="743">
        <f t="shared" si="132"/>
        <v>-104588096.41012502</v>
      </c>
      <c r="T150" s="743">
        <f t="shared" si="132"/>
        <v>-107020128.45044982</v>
      </c>
      <c r="U150" s="743">
        <f t="shared" si="132"/>
        <v>8798548</v>
      </c>
      <c r="V150" s="743">
        <f t="shared" si="132"/>
        <v>8396675</v>
      </c>
      <c r="W150" s="743">
        <f>+W146+W148</f>
        <v>-52052912</v>
      </c>
      <c r="X150" s="743">
        <f>+X146+X148</f>
        <v>-48382960</v>
      </c>
      <c r="Y150" s="743">
        <f t="shared" si="132"/>
        <v>20675812</v>
      </c>
      <c r="Z150" s="743">
        <f t="shared" si="132"/>
        <v>20675812</v>
      </c>
      <c r="AA150" s="743">
        <f t="shared" ref="AA150:AI150" si="133">+AA146+AA148</f>
        <v>0</v>
      </c>
      <c r="AB150" s="743">
        <f t="shared" si="133"/>
        <v>0</v>
      </c>
      <c r="AC150" s="743">
        <f t="shared" si="133"/>
        <v>-7560948</v>
      </c>
      <c r="AD150" s="743">
        <f t="shared" si="133"/>
        <v>-7560948</v>
      </c>
      <c r="AE150" s="743">
        <f t="shared" si="133"/>
        <v>0</v>
      </c>
      <c r="AF150" s="743">
        <f t="shared" si="133"/>
        <v>0</v>
      </c>
      <c r="AG150" s="743">
        <f t="shared" si="133"/>
        <v>-146771991.71000001</v>
      </c>
      <c r="AH150" s="743">
        <f t="shared" si="133"/>
        <v>-150575125.59</v>
      </c>
      <c r="AI150" s="743">
        <f t="shared" si="133"/>
        <v>1340897570.7291226</v>
      </c>
      <c r="AJ150" s="743"/>
      <c r="AK150" s="743">
        <f>+AK146+AK148</f>
        <v>1371329337.4421802</v>
      </c>
      <c r="AL150" s="678"/>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row>
    <row r="151" spans="1:78">
      <c r="I151" s="744" t="s">
        <v>321</v>
      </c>
      <c r="J151" s="744" t="s">
        <v>321</v>
      </c>
      <c r="K151" s="744" t="s">
        <v>321</v>
      </c>
      <c r="L151" s="744" t="s">
        <v>321</v>
      </c>
      <c r="M151" s="744" t="s">
        <v>321</v>
      </c>
      <c r="N151" s="744" t="s">
        <v>321</v>
      </c>
      <c r="O151" s="744" t="s">
        <v>321</v>
      </c>
      <c r="P151" s="744" t="s">
        <v>321</v>
      </c>
      <c r="Q151" s="744" t="s">
        <v>321</v>
      </c>
      <c r="R151" s="744" t="s">
        <v>321</v>
      </c>
      <c r="S151" s="744" t="s">
        <v>321</v>
      </c>
      <c r="T151" s="744" t="s">
        <v>321</v>
      </c>
      <c r="U151" s="744" t="s">
        <v>321</v>
      </c>
      <c r="V151" s="744" t="s">
        <v>321</v>
      </c>
      <c r="W151" s="744" t="s">
        <v>321</v>
      </c>
      <c r="X151" s="744" t="s">
        <v>321</v>
      </c>
      <c r="Y151" s="744" t="s">
        <v>321</v>
      </c>
      <c r="Z151" s="744" t="s">
        <v>321</v>
      </c>
      <c r="AA151" s="744" t="s">
        <v>321</v>
      </c>
      <c r="AB151" s="744" t="s">
        <v>321</v>
      </c>
      <c r="AC151" s="744"/>
      <c r="AD151" s="744"/>
      <c r="AE151" s="744"/>
      <c r="AF151" s="744"/>
      <c r="AG151" s="744"/>
      <c r="AH151" s="744"/>
      <c r="AI151" s="744"/>
      <c r="AJ151" s="745"/>
      <c r="AK151" s="744"/>
      <c r="AL151" s="745"/>
      <c r="AM151" s="746"/>
      <c r="AN151" s="746"/>
      <c r="AO151" s="746"/>
      <c r="AP151" s="746"/>
      <c r="AQ151" s="746"/>
      <c r="AR151" s="746"/>
      <c r="AS151" s="746"/>
      <c r="AT151" s="746"/>
      <c r="AU151" s="746"/>
      <c r="AV151" s="746"/>
      <c r="AW151" s="746"/>
      <c r="AX151" s="746"/>
    </row>
  </sheetData>
  <mergeCells count="4">
    <mergeCell ref="O1:P1"/>
    <mergeCell ref="Q1:R1"/>
    <mergeCell ref="S1:T1"/>
    <mergeCell ref="Y1:Z1"/>
  </mergeCells>
  <phoneticPr fontId="0" type="noConversion"/>
  <printOptions horizontalCentered="1" headings="1"/>
  <pageMargins left="0.25" right="0.25" top="0.25" bottom="0.5" header="0.25" footer="0.25"/>
  <pageSetup paperSize="5" scale="80" fitToHeight="0" orientation="landscape" r:id="rId1"/>
  <headerFooter alignWithMargins="0">
    <oddFooter>&amp;L&amp;D &amp;T&amp;C&amp;P of &amp;N&amp;R&amp;F &amp;A</oddFooter>
  </headerFooter>
  <rowBreaks count="1" manualBreakCount="1">
    <brk id="99" max="16383" man="1"/>
  </rowBreaks>
  <ignoredErrors>
    <ignoredError sqref="AD47" unlockedFormula="1"/>
  </ignoredErrors>
  <legacyDrawing r:id="rId2"/>
  <extLst>
    <ext xmlns:mx="http://schemas.microsoft.com/office/mac/excel/2008/main" uri="http://schemas.microsoft.com/office/mac/excel/2008/main">
      <mx:PLV Mode="0" OnePage="0" WScale="100"/>
    </ext>
  </extLst>
</worksheet>
</file>

<file path=xl/worksheets/sheet6.xml><?xml version="1.0" encoding="utf-8"?>
<worksheet xmlns="http://schemas.openxmlformats.org/spreadsheetml/2006/main" xmlns:r="http://schemas.openxmlformats.org/officeDocument/2006/relationships">
  <sheetPr codeName="Sheet5" enableFormatConditionsCalculation="0"/>
  <dimension ref="A1:H26"/>
  <sheetViews>
    <sheetView zoomScale="125" workbookViewId="0">
      <selection activeCell="F13" sqref="F13"/>
    </sheetView>
  </sheetViews>
  <sheetFormatPr defaultColWidth="8.85546875" defaultRowHeight="13.5"/>
  <cols>
    <col min="1" max="1" width="24.42578125" style="487" customWidth="1"/>
    <col min="2" max="8" width="8.85546875" style="487"/>
    <col min="9" max="16384" width="8.85546875" style="9"/>
  </cols>
  <sheetData>
    <row r="1" spans="1:8" ht="14.25" thickBot="1">
      <c r="A1" s="1055" t="s">
        <v>285</v>
      </c>
      <c r="B1" s="1056"/>
      <c r="C1" s="1056"/>
      <c r="D1" s="1056"/>
      <c r="E1" s="1056"/>
      <c r="F1" s="1056"/>
      <c r="G1" s="1056"/>
      <c r="H1" s="1057"/>
    </row>
    <row r="2" spans="1:8">
      <c r="A2" s="453"/>
      <c r="B2" s="103"/>
      <c r="C2" s="103"/>
      <c r="D2" s="103"/>
      <c r="E2" s="777" t="s">
        <v>436</v>
      </c>
      <c r="F2" s="96" t="s">
        <v>437</v>
      </c>
      <c r="G2" s="96" t="s">
        <v>380</v>
      </c>
      <c r="H2" s="776" t="s">
        <v>379</v>
      </c>
    </row>
    <row r="3" spans="1:8">
      <c r="A3" s="453"/>
      <c r="B3" s="103"/>
      <c r="C3" s="103"/>
      <c r="D3" s="103"/>
      <c r="E3" s="454" t="s">
        <v>209</v>
      </c>
      <c r="F3" s="455" t="s">
        <v>209</v>
      </c>
      <c r="G3" s="455" t="s">
        <v>209</v>
      </c>
      <c r="H3" s="456" t="s">
        <v>209</v>
      </c>
    </row>
    <row r="4" spans="1:8">
      <c r="A4" s="457" t="s">
        <v>210</v>
      </c>
      <c r="B4" s="103"/>
      <c r="C4" s="103"/>
      <c r="D4" s="103"/>
      <c r="E4" s="458"/>
      <c r="F4" s="458"/>
      <c r="G4" s="458"/>
      <c r="H4" s="459"/>
    </row>
    <row r="5" spans="1:8">
      <c r="A5" s="779" t="s">
        <v>381</v>
      </c>
      <c r="B5" s="103"/>
      <c r="C5" s="103"/>
      <c r="D5" s="103"/>
      <c r="E5" s="460">
        <f>DSADATABASE!K5</f>
        <v>53436</v>
      </c>
      <c r="F5" s="460"/>
      <c r="G5" s="461"/>
      <c r="H5" s="462"/>
    </row>
    <row r="6" spans="1:8">
      <c r="A6" s="457" t="s">
        <v>148</v>
      </c>
      <c r="B6" s="103"/>
      <c r="C6" s="103"/>
      <c r="D6" s="103"/>
      <c r="E6" s="103"/>
      <c r="F6" s="463">
        <f>ROUND((E5*1.01)*1,0)</f>
        <v>53970</v>
      </c>
      <c r="G6" s="461"/>
      <c r="H6" s="462"/>
    </row>
    <row r="7" spans="1:8">
      <c r="A7" s="779" t="s">
        <v>382</v>
      </c>
      <c r="B7" s="461"/>
      <c r="C7" s="461"/>
      <c r="D7" s="461"/>
      <c r="E7" s="458"/>
      <c r="F7" s="458"/>
      <c r="G7" s="463">
        <f>ROUND(F6*1.02,0)</f>
        <v>55049</v>
      </c>
      <c r="H7" s="459"/>
    </row>
    <row r="8" spans="1:8">
      <c r="A8" s="779" t="s">
        <v>383</v>
      </c>
      <c r="B8" s="458"/>
      <c r="C8" s="458"/>
      <c r="D8" s="458"/>
      <c r="E8" s="458"/>
      <c r="F8" s="458"/>
      <c r="G8" s="458"/>
      <c r="H8" s="464">
        <f>ROUND(G7*1.02,0)</f>
        <v>56150</v>
      </c>
    </row>
    <row r="9" spans="1:8">
      <c r="A9" s="457"/>
      <c r="B9" s="104"/>
      <c r="C9" s="778" t="s">
        <v>437</v>
      </c>
      <c r="D9" s="458"/>
      <c r="E9" s="458"/>
      <c r="F9" s="458"/>
      <c r="G9" s="458"/>
      <c r="H9" s="464"/>
    </row>
    <row r="10" spans="1:8">
      <c r="A10" s="465" t="s">
        <v>219</v>
      </c>
      <c r="B10" s="104"/>
      <c r="C10" s="466" t="s">
        <v>286</v>
      </c>
      <c r="D10" s="458"/>
      <c r="E10" s="458"/>
      <c r="F10" s="458"/>
      <c r="G10" s="458"/>
      <c r="H10" s="459"/>
    </row>
    <row r="11" spans="1:8">
      <c r="A11" s="457" t="s">
        <v>55</v>
      </c>
      <c r="B11" s="467"/>
      <c r="C11" s="468">
        <f>BASESAL!C57</f>
        <v>0.215</v>
      </c>
      <c r="D11" s="103"/>
      <c r="E11" s="469">
        <f t="shared" ref="E11:E16" si="0">ROUND(E$5*C11,0)</f>
        <v>11489</v>
      </c>
      <c r="F11" s="469">
        <f t="shared" ref="F11:F16" si="1">ROUND(F$6*C11,0)</f>
        <v>11604</v>
      </c>
      <c r="G11" s="469">
        <f t="shared" ref="G11:G16" si="2">ROUND(G$7*C11,0)</f>
        <v>11836</v>
      </c>
      <c r="H11" s="470">
        <f>ROUND(H$8*C11,0)</f>
        <v>12072</v>
      </c>
    </row>
    <row r="12" spans="1:8">
      <c r="A12" s="457" t="s">
        <v>346</v>
      </c>
      <c r="B12" s="467"/>
      <c r="C12" s="468">
        <f>BASESAL!C58</f>
        <v>4.0759999999999998E-3</v>
      </c>
      <c r="D12" s="103"/>
      <c r="E12" s="469">
        <f t="shared" si="0"/>
        <v>218</v>
      </c>
      <c r="F12" s="469">
        <f t="shared" si="1"/>
        <v>220</v>
      </c>
      <c r="G12" s="469">
        <f t="shared" si="2"/>
        <v>224</v>
      </c>
      <c r="H12" s="470">
        <f>ROUND(H$8*C12,0)</f>
        <v>229</v>
      </c>
    </row>
    <row r="13" spans="1:8">
      <c r="A13" s="457" t="s">
        <v>220</v>
      </c>
      <c r="B13" s="467"/>
      <c r="C13" s="468">
        <f>BASESAL!C59</f>
        <v>3.5920000000000001E-3</v>
      </c>
      <c r="D13" s="103"/>
      <c r="E13" s="469">
        <f t="shared" si="0"/>
        <v>192</v>
      </c>
      <c r="F13" s="469">
        <f t="shared" si="1"/>
        <v>194</v>
      </c>
      <c r="G13" s="469">
        <f t="shared" si="2"/>
        <v>198</v>
      </c>
      <c r="H13" s="470">
        <f>ROUND(H$8*C13,0)</f>
        <v>202</v>
      </c>
    </row>
    <row r="14" spans="1:8">
      <c r="A14" s="457" t="s">
        <v>57</v>
      </c>
      <c r="B14" s="467"/>
      <c r="C14" s="468">
        <f>BASESAL!C60</f>
        <v>1.3034E-2</v>
      </c>
      <c r="D14" s="103"/>
      <c r="E14" s="469">
        <f t="shared" si="0"/>
        <v>696</v>
      </c>
      <c r="F14" s="469">
        <f t="shared" si="1"/>
        <v>703</v>
      </c>
      <c r="G14" s="469">
        <f t="shared" si="2"/>
        <v>718</v>
      </c>
      <c r="H14" s="470">
        <f>ROUND(H$8*C14,0)</f>
        <v>732</v>
      </c>
    </row>
    <row r="15" spans="1:8">
      <c r="A15" s="457" t="s">
        <v>221</v>
      </c>
      <c r="B15" s="467"/>
      <c r="C15" s="708">
        <f>DSADATABASE!C70</f>
        <v>6980.69</v>
      </c>
      <c r="D15" s="103"/>
      <c r="E15" s="469">
        <f>DSADATABASE!C70</f>
        <v>6980.69</v>
      </c>
      <c r="F15" s="469">
        <f>DSADATABASE!C70</f>
        <v>6980.69</v>
      </c>
      <c r="G15" s="469">
        <f>DSADATABASE!D70</f>
        <v>6980.69</v>
      </c>
      <c r="H15" s="470">
        <f>DSADATABASE!E70</f>
        <v>6980.69</v>
      </c>
    </row>
    <row r="16" spans="1:8">
      <c r="A16" s="457" t="s">
        <v>58</v>
      </c>
      <c r="B16" s="471"/>
      <c r="C16" s="468">
        <f>BASESAL!C62</f>
        <v>4.3059999999999999E-3</v>
      </c>
      <c r="D16" s="103"/>
      <c r="E16" s="469">
        <f t="shared" si="0"/>
        <v>230</v>
      </c>
      <c r="F16" s="472">
        <f t="shared" si="1"/>
        <v>232</v>
      </c>
      <c r="G16" s="472">
        <f t="shared" si="2"/>
        <v>237</v>
      </c>
      <c r="H16" s="473">
        <f>H$8*C16</f>
        <v>241.78190000000001</v>
      </c>
    </row>
    <row r="17" spans="1:8">
      <c r="A17" s="689"/>
      <c r="B17" s="690"/>
      <c r="C17" s="690"/>
      <c r="D17" s="458"/>
      <c r="E17" s="474">
        <f>SUM(E11:E16)</f>
        <v>19805.689999999999</v>
      </c>
      <c r="F17" s="472">
        <f>SUM(F11:F16)</f>
        <v>19933.689999999999</v>
      </c>
      <c r="G17" s="472">
        <f>SUM(G11:G16)</f>
        <v>20193.689999999999</v>
      </c>
      <c r="H17" s="473">
        <f>SUM(H11:H16)</f>
        <v>20457.4719</v>
      </c>
    </row>
    <row r="18" spans="1:8" ht="14.25" thickBot="1">
      <c r="A18" s="453"/>
      <c r="B18" s="103"/>
      <c r="C18" s="103"/>
      <c r="D18" s="103"/>
      <c r="E18" s="475"/>
      <c r="F18" s="475"/>
      <c r="G18" s="475"/>
      <c r="H18" s="476"/>
    </row>
    <row r="19" spans="1:8" ht="14.25" thickBot="1">
      <c r="A19" s="453" t="s">
        <v>287</v>
      </c>
      <c r="B19" s="103"/>
      <c r="C19" s="103"/>
      <c r="D19" s="103"/>
      <c r="E19" s="477">
        <f>E5+E17</f>
        <v>73241.69</v>
      </c>
      <c r="F19" s="478">
        <f>F6+F17</f>
        <v>73903.69</v>
      </c>
      <c r="G19" s="478">
        <f>G7+G17</f>
        <v>75242.69</v>
      </c>
      <c r="H19" s="479">
        <f>H8+H17</f>
        <v>76607.471900000004</v>
      </c>
    </row>
    <row r="20" spans="1:8" ht="14.25" thickBot="1">
      <c r="A20" s="453"/>
      <c r="B20" s="103"/>
      <c r="C20" s="103"/>
      <c r="D20" s="103"/>
      <c r="E20" s="475"/>
      <c r="F20" s="475"/>
      <c r="G20" s="475"/>
      <c r="H20" s="476"/>
    </row>
    <row r="21" spans="1:8">
      <c r="A21" s="480" t="s">
        <v>288</v>
      </c>
      <c r="B21" s="481"/>
      <c r="C21" s="481"/>
      <c r="D21" s="481"/>
      <c r="E21" s="481"/>
      <c r="F21" s="481"/>
      <c r="G21" s="481"/>
      <c r="H21" s="482"/>
    </row>
    <row r="22" spans="1:8">
      <c r="A22" s="453" t="s">
        <v>146</v>
      </c>
      <c r="B22" s="103"/>
      <c r="C22" s="103"/>
      <c r="D22" s="103"/>
      <c r="E22" s="103"/>
      <c r="F22" s="103"/>
      <c r="G22" s="103"/>
      <c r="H22" s="483"/>
    </row>
    <row r="23" spans="1:8">
      <c r="A23" s="453" t="s">
        <v>587</v>
      </c>
      <c r="B23" s="103"/>
      <c r="C23" s="103"/>
      <c r="D23" s="103"/>
      <c r="E23" s="103"/>
      <c r="F23" s="103"/>
      <c r="G23" s="103"/>
      <c r="H23" s="483"/>
    </row>
    <row r="24" spans="1:8">
      <c r="A24" s="453" t="s">
        <v>588</v>
      </c>
      <c r="B24" s="103"/>
      <c r="C24" s="103"/>
      <c r="D24" s="103"/>
      <c r="E24" s="103"/>
      <c r="F24" s="103"/>
      <c r="G24" s="103"/>
      <c r="H24" s="483"/>
    </row>
    <row r="25" spans="1:8">
      <c r="A25" s="453" t="s">
        <v>589</v>
      </c>
      <c r="B25" s="103"/>
      <c r="C25" s="103"/>
      <c r="D25" s="103"/>
      <c r="E25" s="103"/>
      <c r="F25" s="103"/>
      <c r="G25" s="103"/>
      <c r="H25" s="483"/>
    </row>
    <row r="26" spans="1:8" ht="14.25" thickBot="1">
      <c r="A26" s="484" t="s">
        <v>289</v>
      </c>
      <c r="B26" s="485"/>
      <c r="C26" s="485"/>
      <c r="D26" s="485"/>
      <c r="E26" s="485"/>
      <c r="F26" s="485"/>
      <c r="G26" s="485"/>
      <c r="H26" s="486"/>
    </row>
  </sheetData>
  <mergeCells count="1">
    <mergeCell ref="A1:H1"/>
  </mergeCells>
  <phoneticPr fontId="0" type="noConversion"/>
  <printOptions horizontalCentered="1" headings="1"/>
  <pageMargins left="0.5" right="0.5" top="1" bottom="0.5" header="0.25" footer="0.5"/>
  <pageSetup orientation="portrait" r:id="rId1"/>
  <headerFooter alignWithMargins="0">
    <oddFooter>&amp;L&amp;D &amp;T&amp;C&amp;P of &amp;N&amp;R&amp;F &amp;A</oddFooter>
  </headerFooter>
  <legacyDrawing r:id="rId2"/>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sheetPr codeName="Sheet6" enableFormatConditionsCalculation="0">
    <pageSetUpPr fitToPage="1"/>
  </sheetPr>
  <dimension ref="A1:H66"/>
  <sheetViews>
    <sheetView topLeftCell="A37" zoomScale="125" workbookViewId="0">
      <selection activeCell="H55" sqref="H55"/>
    </sheetView>
  </sheetViews>
  <sheetFormatPr defaultColWidth="8.85546875" defaultRowHeight="13.5"/>
  <cols>
    <col min="1" max="1" width="27.42578125" style="172" customWidth="1"/>
    <col min="2" max="3" width="8.85546875" style="31"/>
    <col min="4" max="4" width="10.28515625" style="31" bestFit="1" customWidth="1"/>
    <col min="5" max="5" width="8.85546875" style="31"/>
    <col min="6" max="6" width="10.7109375" style="31" customWidth="1"/>
    <col min="7" max="7" width="8.42578125" style="31" customWidth="1"/>
    <col min="8" max="8" width="10.7109375" style="31" customWidth="1"/>
    <col min="9" max="16384" width="8.85546875" style="9"/>
  </cols>
  <sheetData>
    <row r="1" spans="1:8" ht="14.25" thickBot="1">
      <c r="A1" s="1058" t="s">
        <v>355</v>
      </c>
      <c r="B1" s="1059"/>
      <c r="C1" s="1059"/>
      <c r="D1" s="1059"/>
      <c r="E1" s="1059"/>
      <c r="F1" s="1059"/>
      <c r="G1" s="1059"/>
      <c r="H1" s="1060"/>
    </row>
    <row r="2" spans="1:8">
      <c r="A2" s="71"/>
      <c r="B2" s="119" t="s">
        <v>438</v>
      </c>
      <c r="C2" s="120" t="s">
        <v>439</v>
      </c>
      <c r="D2" s="120" t="str">
        <f>C2</f>
        <v>FY11</v>
      </c>
      <c r="E2" s="120" t="s">
        <v>378</v>
      </c>
      <c r="F2" s="120" t="str">
        <f>E2</f>
        <v>FY12</v>
      </c>
      <c r="G2" s="120" t="s">
        <v>377</v>
      </c>
      <c r="H2" s="121" t="str">
        <f>G2</f>
        <v>FY13</v>
      </c>
    </row>
    <row r="3" spans="1:8" ht="14.25" thickBot="1">
      <c r="A3" s="122"/>
      <c r="B3" s="123" t="s">
        <v>205</v>
      </c>
      <c r="C3" s="109" t="s">
        <v>205</v>
      </c>
      <c r="D3" s="109" t="s">
        <v>206</v>
      </c>
      <c r="E3" s="109" t="s">
        <v>205</v>
      </c>
      <c r="F3" s="109" t="s">
        <v>206</v>
      </c>
      <c r="G3" s="109" t="s">
        <v>205</v>
      </c>
      <c r="H3" s="124" t="s">
        <v>206</v>
      </c>
    </row>
    <row r="4" spans="1:8">
      <c r="A4" s="29" t="s">
        <v>207</v>
      </c>
      <c r="B4" s="605">
        <f>DSADATABASE!A4</f>
        <v>425527.2</v>
      </c>
      <c r="C4" s="606">
        <f>DSADATABASE!B4</f>
        <v>422569.6</v>
      </c>
      <c r="D4" s="606"/>
      <c r="E4" s="606">
        <f>DSADATABASE!C4</f>
        <v>421987.1</v>
      </c>
      <c r="F4" s="606"/>
      <c r="G4" s="606">
        <f>DSADATABASE!D4</f>
        <v>423499.6</v>
      </c>
      <c r="H4" s="607"/>
    </row>
    <row r="5" spans="1:8">
      <c r="A5" s="29" t="s">
        <v>208</v>
      </c>
      <c r="B5" s="125"/>
      <c r="C5" s="126"/>
      <c r="D5" s="127">
        <f>DSADATABASE!K14</f>
        <v>39166</v>
      </c>
      <c r="E5" s="127"/>
      <c r="F5" s="127">
        <f>D5</f>
        <v>39166</v>
      </c>
      <c r="G5" s="127"/>
      <c r="H5" s="128">
        <f>F5</f>
        <v>39166</v>
      </c>
    </row>
    <row r="6" spans="1:8">
      <c r="A6" s="72"/>
      <c r="B6" s="129"/>
      <c r="C6" s="126"/>
      <c r="D6" s="126"/>
      <c r="E6" s="126"/>
      <c r="F6" s="126"/>
      <c r="G6" s="126"/>
      <c r="H6" s="130"/>
    </row>
    <row r="7" spans="1:8">
      <c r="A7" s="131" t="s">
        <v>210</v>
      </c>
      <c r="B7" s="129"/>
      <c r="C7" s="126"/>
      <c r="D7" s="126"/>
      <c r="E7" s="126"/>
      <c r="F7" s="126"/>
      <c r="G7" s="126"/>
      <c r="H7" s="130"/>
    </row>
    <row r="8" spans="1:8">
      <c r="A8" s="72" t="s">
        <v>211</v>
      </c>
      <c r="B8" s="132">
        <f>DSADATABASE!C25</f>
        <v>20489.149999999998</v>
      </c>
      <c r="C8" s="133">
        <f>ROUND(C$4/B9,2)-B8</f>
        <v>-143.95999999999913</v>
      </c>
      <c r="D8" s="134"/>
      <c r="E8" s="135">
        <f>(B8)</f>
        <v>20489.149999999998</v>
      </c>
      <c r="F8" s="134"/>
      <c r="G8" s="135">
        <f>(E12)</f>
        <v>20345.189999999999</v>
      </c>
      <c r="H8" s="136"/>
    </row>
    <row r="9" spans="1:8">
      <c r="A9" s="72" t="s">
        <v>212</v>
      </c>
      <c r="B9" s="132">
        <f>ROUND(B$4/B8,2)</f>
        <v>20.77</v>
      </c>
      <c r="C9" s="137"/>
      <c r="D9" s="134">
        <f>ROUND(C8*D5,0)</f>
        <v>-5638337</v>
      </c>
      <c r="E9" s="135">
        <f>(C8)</f>
        <v>-143.95999999999913</v>
      </c>
      <c r="F9" s="134">
        <f>ROUND(D9*1.02,0)</f>
        <v>-5751104</v>
      </c>
      <c r="G9" s="135"/>
      <c r="H9" s="136">
        <f>ROUND(F9*1.02,0)</f>
        <v>-5866126</v>
      </c>
    </row>
    <row r="10" spans="1:8">
      <c r="A10" s="72" t="s">
        <v>213</v>
      </c>
      <c r="B10" s="138"/>
      <c r="C10" s="139"/>
      <c r="D10" s="134">
        <f>ROUND(B8*B12,0)</f>
        <v>1105799426</v>
      </c>
      <c r="E10" s="135"/>
      <c r="F10" s="134">
        <f>ROUND(D10*1.02,0)</f>
        <v>1127915415</v>
      </c>
      <c r="G10" s="135"/>
      <c r="H10" s="136">
        <f>ROUND((F10+F11)*1.02,0)</f>
        <v>1150473723</v>
      </c>
    </row>
    <row r="11" spans="1:8">
      <c r="A11" s="72" t="s">
        <v>381</v>
      </c>
      <c r="B11" s="140">
        <f>DSADATABASE!K5</f>
        <v>53436</v>
      </c>
      <c r="C11" s="141"/>
      <c r="D11" s="134"/>
      <c r="E11" s="142"/>
      <c r="F11" s="143">
        <f>E11*F5</f>
        <v>0</v>
      </c>
      <c r="G11" s="142"/>
      <c r="H11" s="144">
        <f>G11*H5</f>
        <v>0</v>
      </c>
    </row>
    <row r="12" spans="1:8">
      <c r="A12" s="72" t="s">
        <v>147</v>
      </c>
      <c r="B12" s="138">
        <f>ROUND((B11*1.01)*1,0)</f>
        <v>53970</v>
      </c>
      <c r="C12" s="139"/>
      <c r="D12" s="134"/>
      <c r="E12" s="145">
        <f>SUM(E8:E11)</f>
        <v>20345.189999999999</v>
      </c>
      <c r="F12" s="146">
        <f>SUM(F8:F11)</f>
        <v>1122164311</v>
      </c>
      <c r="G12" s="145">
        <f>SUM(G8:G11)</f>
        <v>20345.189999999999</v>
      </c>
      <c r="H12" s="147">
        <f>SUM(H8:H11)</f>
        <v>1144607597</v>
      </c>
    </row>
    <row r="13" spans="1:8">
      <c r="A13" s="29"/>
      <c r="B13" s="148"/>
      <c r="C13" s="134"/>
      <c r="D13" s="134"/>
      <c r="E13" s="126"/>
      <c r="F13" s="126"/>
      <c r="G13" s="149"/>
      <c r="H13" s="130"/>
    </row>
    <row r="14" spans="1:8">
      <c r="A14" s="131" t="s">
        <v>210</v>
      </c>
      <c r="B14" s="129"/>
      <c r="C14" s="126"/>
      <c r="D14" s="126"/>
      <c r="E14" s="126"/>
      <c r="F14" s="126"/>
      <c r="G14" s="149"/>
      <c r="H14" s="130"/>
    </row>
    <row r="15" spans="1:8">
      <c r="A15" s="72" t="s">
        <v>214</v>
      </c>
      <c r="B15" s="150">
        <f>DSADATABASE!C26</f>
        <v>2051.3000000000002</v>
      </c>
      <c r="C15" s="133">
        <f>ROUND(C$4/B16,2)-B15</f>
        <v>-14.230000000000246</v>
      </c>
      <c r="D15" s="134"/>
      <c r="E15" s="135">
        <f>(B15)</f>
        <v>2051.3000000000002</v>
      </c>
      <c r="F15" s="134"/>
      <c r="G15" s="135">
        <f>(E19)</f>
        <v>2037.07</v>
      </c>
      <c r="H15" s="136"/>
    </row>
    <row r="16" spans="1:8">
      <c r="A16" s="72" t="s">
        <v>212</v>
      </c>
      <c r="B16" s="132">
        <f>ROUND(B$4/B15,2)</f>
        <v>207.44</v>
      </c>
      <c r="C16" s="137"/>
      <c r="D16" s="134">
        <f>ROUND(C15*DSADATABASE!K15,0)</f>
        <v>-330819</v>
      </c>
      <c r="E16" s="135">
        <f>(C15)</f>
        <v>-14.230000000000246</v>
      </c>
      <c r="F16" s="134">
        <f>ROUND(D16*1.02,0)</f>
        <v>-337435</v>
      </c>
      <c r="G16" s="135"/>
      <c r="H16" s="136">
        <f>ROUND(F16*1.02,0)</f>
        <v>-344184</v>
      </c>
    </row>
    <row r="17" spans="1:8">
      <c r="A17" s="72" t="s">
        <v>213</v>
      </c>
      <c r="B17" s="138"/>
      <c r="C17" s="139"/>
      <c r="D17" s="134">
        <f>ROUND(B15*B19,0)</f>
        <v>64220049</v>
      </c>
      <c r="E17" s="135"/>
      <c r="F17" s="134">
        <f>ROUND(D17*1.02,0)</f>
        <v>65504450</v>
      </c>
      <c r="G17" s="135"/>
      <c r="H17" s="136">
        <f>ROUND((F17+F18)*1.02,0)</f>
        <v>66814539</v>
      </c>
    </row>
    <row r="18" spans="1:8">
      <c r="A18" s="72" t="str">
        <f>$A$11</f>
        <v>FY 10 AVG SALARY</v>
      </c>
      <c r="B18" s="140">
        <f>DSADATABASE!K6</f>
        <v>30997</v>
      </c>
      <c r="C18" s="141"/>
      <c r="D18" s="134"/>
      <c r="E18" s="142"/>
      <c r="F18" s="143"/>
      <c r="G18" s="142"/>
      <c r="H18" s="144">
        <f>(G18*B19)*0.75</f>
        <v>0</v>
      </c>
    </row>
    <row r="19" spans="1:8">
      <c r="A19" s="72" t="str">
        <f>$A$12</f>
        <v>FY11 = FY10  @ 1% Roll-Up Plus 0% Cola</v>
      </c>
      <c r="B19" s="138">
        <f>ROUND((B18*1.01)*1,0)</f>
        <v>31307</v>
      </c>
      <c r="C19" s="139"/>
      <c r="D19" s="134"/>
      <c r="E19" s="145">
        <f>SUM(E15:E18)</f>
        <v>2037.07</v>
      </c>
      <c r="F19" s="146">
        <f>SUM(F15:F18)</f>
        <v>65167015</v>
      </c>
      <c r="G19" s="145">
        <f>SUM(G15:G18)</f>
        <v>2037.07</v>
      </c>
      <c r="H19" s="147">
        <f>SUM(H15:H18)</f>
        <v>66470355</v>
      </c>
    </row>
    <row r="20" spans="1:8">
      <c r="A20" s="29"/>
      <c r="B20" s="129"/>
      <c r="C20" s="126"/>
      <c r="D20" s="126"/>
      <c r="E20" s="149"/>
      <c r="F20" s="126"/>
      <c r="G20" s="149"/>
      <c r="H20" s="130"/>
    </row>
    <row r="21" spans="1:8">
      <c r="A21" s="131" t="s">
        <v>215</v>
      </c>
      <c r="B21" s="148"/>
      <c r="C21" s="134"/>
      <c r="D21" s="134"/>
      <c r="E21" s="151"/>
      <c r="F21" s="134"/>
      <c r="G21" s="151"/>
      <c r="H21" s="136"/>
    </row>
    <row r="22" spans="1:8">
      <c r="A22" s="72" t="s">
        <v>211</v>
      </c>
      <c r="B22" s="132">
        <f>DSADATABASE!C27</f>
        <v>2328.71</v>
      </c>
      <c r="C22" s="133">
        <f>ROUND(C$4/B23,2)-B22</f>
        <v>-16.170000000000073</v>
      </c>
      <c r="D22" s="134"/>
      <c r="E22" s="135">
        <f>(B22)</f>
        <v>2328.71</v>
      </c>
      <c r="F22" s="134"/>
      <c r="G22" s="135">
        <f>(E26)</f>
        <v>2312.54</v>
      </c>
      <c r="H22" s="136"/>
    </row>
    <row r="23" spans="1:8">
      <c r="A23" s="72" t="s">
        <v>212</v>
      </c>
      <c r="B23" s="132">
        <f>ROUND(B$4/B22,2)</f>
        <v>182.73</v>
      </c>
      <c r="C23" s="137"/>
      <c r="D23" s="134">
        <f>ROUND(C22*DSADATABASE!K16,0)</f>
        <v>-790438</v>
      </c>
      <c r="E23" s="135">
        <f>(C22)</f>
        <v>-16.170000000000073</v>
      </c>
      <c r="F23" s="134">
        <f>ROUND(D23*1.02,0)</f>
        <v>-806247</v>
      </c>
      <c r="G23" s="135"/>
      <c r="H23" s="136">
        <f>ROUND(F23*1.02,0)</f>
        <v>-822372</v>
      </c>
    </row>
    <row r="24" spans="1:8">
      <c r="A24" s="72" t="s">
        <v>213</v>
      </c>
      <c r="B24" s="138"/>
      <c r="C24" s="139"/>
      <c r="D24" s="134">
        <f>ROUND(B22*B26,0)</f>
        <v>153296651</v>
      </c>
      <c r="E24" s="135"/>
      <c r="F24" s="134">
        <f>ROUND(D24*1.02,0)</f>
        <v>156362584</v>
      </c>
      <c r="G24" s="135"/>
      <c r="H24" s="136">
        <f>ROUND((F24+F25)*1.02,0)</f>
        <v>159489836</v>
      </c>
    </row>
    <row r="25" spans="1:8">
      <c r="A25" s="72" t="str">
        <f>$A$11</f>
        <v>FY 10 AVG SALARY</v>
      </c>
      <c r="B25" s="140">
        <f>DSADATABASE!K7</f>
        <v>65177</v>
      </c>
      <c r="C25" s="141"/>
      <c r="D25" s="134"/>
      <c r="E25" s="142"/>
      <c r="F25" s="143"/>
      <c r="G25" s="142"/>
      <c r="H25" s="144">
        <f>(G25*B26)*0.75</f>
        <v>0</v>
      </c>
    </row>
    <row r="26" spans="1:8">
      <c r="A26" s="72" t="str">
        <f>$A$12</f>
        <v>FY11 = FY10  @ 1% Roll-Up Plus 0% Cola</v>
      </c>
      <c r="B26" s="138">
        <f>ROUND((B25*1.01)*1,0)</f>
        <v>65829</v>
      </c>
      <c r="C26" s="139"/>
      <c r="D26" s="134"/>
      <c r="E26" s="145">
        <f>SUM(E22:E25)</f>
        <v>2312.54</v>
      </c>
      <c r="F26" s="146">
        <f>SUM(F22:F25)</f>
        <v>155556337</v>
      </c>
      <c r="G26" s="145">
        <f>SUM(G22:G25)</f>
        <v>2312.54</v>
      </c>
      <c r="H26" s="147">
        <f>SUM(H22:H25)</f>
        <v>158667464</v>
      </c>
    </row>
    <row r="27" spans="1:8">
      <c r="A27" s="29"/>
      <c r="B27" s="148"/>
      <c r="C27" s="134"/>
      <c r="D27" s="134"/>
      <c r="E27" s="151"/>
      <c r="F27" s="134"/>
      <c r="G27" s="151"/>
      <c r="H27" s="136"/>
    </row>
    <row r="28" spans="1:8">
      <c r="A28" s="131" t="s">
        <v>184</v>
      </c>
      <c r="B28" s="150">
        <f>DSADATABASE!C28</f>
        <v>959.07</v>
      </c>
      <c r="C28" s="133">
        <f>ROUND(C$4/B29,2)-B28</f>
        <v>-6.6700000000000728</v>
      </c>
      <c r="D28" s="134"/>
      <c r="E28" s="135">
        <f>(B28)</f>
        <v>959.07</v>
      </c>
      <c r="F28" s="134"/>
      <c r="G28" s="135">
        <f>(E32)</f>
        <v>952.4</v>
      </c>
      <c r="H28" s="136"/>
    </row>
    <row r="29" spans="1:8">
      <c r="A29" s="72" t="s">
        <v>212</v>
      </c>
      <c r="B29" s="132">
        <f>ROUND(B$4/B28,2)</f>
        <v>443.69</v>
      </c>
      <c r="C29" s="137"/>
      <c r="D29" s="134">
        <f>ROUND(C28*DSADATABASE!K17,0)</f>
        <v>-195925</v>
      </c>
      <c r="E29" s="135">
        <f>(C28)</f>
        <v>-6.6700000000000728</v>
      </c>
      <c r="F29" s="134">
        <f>ROUND(D29*1.02,0)</f>
        <v>-199844</v>
      </c>
      <c r="G29" s="135"/>
      <c r="H29" s="136">
        <f>ROUND(F29*1.02,0)</f>
        <v>-203841</v>
      </c>
    </row>
    <row r="30" spans="1:8">
      <c r="A30" s="72" t="s">
        <v>213</v>
      </c>
      <c r="B30" s="138"/>
      <c r="C30" s="139"/>
      <c r="D30" s="134">
        <f>ROUND(B28*B32,0)</f>
        <v>37937932</v>
      </c>
      <c r="E30" s="135"/>
      <c r="F30" s="134">
        <f>ROUND(D30*1.02,0)</f>
        <v>38696691</v>
      </c>
      <c r="G30" s="135"/>
      <c r="H30" s="136">
        <f>ROUND((F30+F31)*1.02,0)</f>
        <v>39470625</v>
      </c>
    </row>
    <row r="31" spans="1:8">
      <c r="A31" s="72" t="str">
        <f>$A$11</f>
        <v>FY 10 AVG SALARY</v>
      </c>
      <c r="B31" s="140">
        <f>DSADATABASE!K8</f>
        <v>39165</v>
      </c>
      <c r="C31" s="141"/>
      <c r="D31" s="134"/>
      <c r="E31" s="142"/>
      <c r="F31" s="143"/>
      <c r="G31" s="142"/>
      <c r="H31" s="144">
        <f>(G31*B32)*0.75</f>
        <v>0</v>
      </c>
    </row>
    <row r="32" spans="1:8">
      <c r="A32" s="72" t="str">
        <f>$A$12</f>
        <v>FY11 = FY10  @ 1% Roll-Up Plus 0% Cola</v>
      </c>
      <c r="B32" s="138">
        <f>ROUND((B31*1.01)*1,0)</f>
        <v>39557</v>
      </c>
      <c r="C32" s="139"/>
      <c r="D32" s="134"/>
      <c r="E32" s="145">
        <f>SUM(E28:E31)</f>
        <v>952.4</v>
      </c>
      <c r="F32" s="146">
        <f>SUM(F28:F31)</f>
        <v>38496847</v>
      </c>
      <c r="G32" s="145">
        <f>SUM(G28:G31)</f>
        <v>952.4</v>
      </c>
      <c r="H32" s="147">
        <f>SUM(H28:H31)</f>
        <v>39266784</v>
      </c>
    </row>
    <row r="33" spans="1:8">
      <c r="A33" s="29"/>
      <c r="B33" s="129"/>
      <c r="C33" s="126"/>
      <c r="D33" s="126"/>
      <c r="E33" s="149"/>
      <c r="F33" s="126"/>
      <c r="G33" s="149"/>
      <c r="H33" s="130"/>
    </row>
    <row r="34" spans="1:8">
      <c r="A34" s="131" t="s">
        <v>216</v>
      </c>
      <c r="B34" s="148"/>
      <c r="C34" s="134"/>
      <c r="D34" s="134"/>
      <c r="E34" s="151"/>
      <c r="F34" s="134"/>
      <c r="G34" s="151"/>
      <c r="H34" s="136"/>
    </row>
    <row r="35" spans="1:8">
      <c r="A35" s="72" t="s">
        <v>211</v>
      </c>
      <c r="B35" s="150">
        <f>DSADATABASE!C29</f>
        <v>1405.47</v>
      </c>
      <c r="C35" s="133">
        <f>ROUND(C$4/B36,2)-B35</f>
        <v>-9.7899999999999636</v>
      </c>
      <c r="D35" s="134"/>
      <c r="E35" s="135">
        <f>(B35)</f>
        <v>1405.47</v>
      </c>
      <c r="F35" s="134"/>
      <c r="G35" s="135">
        <f>(E39)</f>
        <v>1395.68</v>
      </c>
      <c r="H35" s="136"/>
    </row>
    <row r="36" spans="1:8">
      <c r="A36" s="72" t="s">
        <v>212</v>
      </c>
      <c r="B36" s="132">
        <f>ROUND(B$4/B35,2)</f>
        <v>302.77</v>
      </c>
      <c r="C36" s="137"/>
      <c r="D36" s="134">
        <f>ROUND(C35*DSADATABASE!K18,0)</f>
        <v>-643967</v>
      </c>
      <c r="E36" s="135">
        <f>(C35)</f>
        <v>-9.7899999999999636</v>
      </c>
      <c r="F36" s="134">
        <f>ROUND(D36*1.02,0)</f>
        <v>-656846</v>
      </c>
      <c r="G36" s="135"/>
      <c r="H36" s="136">
        <f>ROUND(F36*1.02,0)</f>
        <v>-669983</v>
      </c>
    </row>
    <row r="37" spans="1:8">
      <c r="A37" s="72" t="s">
        <v>213</v>
      </c>
      <c r="B37" s="138"/>
      <c r="C37" s="139"/>
      <c r="D37" s="134">
        <f>ROUND(B35*B39,0)</f>
        <v>124497938</v>
      </c>
      <c r="E37" s="135"/>
      <c r="F37" s="134">
        <f>ROUND(D37*1.02,0)</f>
        <v>126987897</v>
      </c>
      <c r="G37" s="135"/>
      <c r="H37" s="136">
        <f>ROUND((F37+F38)*1.02,0)</f>
        <v>129527655</v>
      </c>
    </row>
    <row r="38" spans="1:8">
      <c r="A38" s="72" t="str">
        <f>$A$11</f>
        <v>FY 10 AVG SALARY</v>
      </c>
      <c r="B38" s="140">
        <f>DSADATABASE!K9</f>
        <v>87704</v>
      </c>
      <c r="C38" s="141"/>
      <c r="D38" s="134"/>
      <c r="E38" s="142"/>
      <c r="F38" s="143"/>
      <c r="G38" s="142"/>
      <c r="H38" s="144">
        <f>(G38*B39)*0.75</f>
        <v>0</v>
      </c>
    </row>
    <row r="39" spans="1:8">
      <c r="A39" s="72" t="str">
        <f>$A$12</f>
        <v>FY11 = FY10  @ 1% Roll-Up Plus 0% Cola</v>
      </c>
      <c r="B39" s="138">
        <f>ROUND((B38*1.01)*1,0)</f>
        <v>88581</v>
      </c>
      <c r="C39" s="139"/>
      <c r="D39" s="134"/>
      <c r="E39" s="145">
        <f>SUM(E35:E38)</f>
        <v>1395.68</v>
      </c>
      <c r="F39" s="146">
        <f>SUM(F35:F38)</f>
        <v>126331051</v>
      </c>
      <c r="G39" s="145">
        <f>SUM(G35:G38)</f>
        <v>1395.68</v>
      </c>
      <c r="H39" s="147">
        <f>SUM(H35:H38)</f>
        <v>128857672</v>
      </c>
    </row>
    <row r="40" spans="1:8">
      <c r="A40" s="29"/>
      <c r="B40" s="148"/>
      <c r="C40" s="134"/>
      <c r="D40" s="134"/>
      <c r="E40" s="151"/>
      <c r="F40" s="134"/>
      <c r="G40" s="151"/>
      <c r="H40" s="136"/>
    </row>
    <row r="41" spans="1:8">
      <c r="A41" s="131" t="s">
        <v>214</v>
      </c>
      <c r="B41" s="150">
        <f>DSADATABASE!C30</f>
        <v>2881.37</v>
      </c>
      <c r="C41" s="133">
        <f>ROUND(C$4/B42,2)-B41</f>
        <v>-19.980000000000018</v>
      </c>
      <c r="D41" s="134"/>
      <c r="E41" s="135">
        <f>(B41)</f>
        <v>2881.37</v>
      </c>
      <c r="F41" s="134"/>
      <c r="G41" s="135">
        <f>(E45)</f>
        <v>2861.39</v>
      </c>
      <c r="H41" s="136"/>
    </row>
    <row r="42" spans="1:8">
      <c r="A42" s="72" t="s">
        <v>212</v>
      </c>
      <c r="B42" s="132">
        <f>ROUND(B$4/B41,2)</f>
        <v>147.68</v>
      </c>
      <c r="C42" s="137"/>
      <c r="D42" s="134">
        <f>ROUND(C41*DSADATABASE!K19,0)</f>
        <v>-692447</v>
      </c>
      <c r="E42" s="135">
        <f>(C41)</f>
        <v>-19.980000000000018</v>
      </c>
      <c r="F42" s="134">
        <f>ROUND(D42*1.02,0)</f>
        <v>-706296</v>
      </c>
      <c r="G42" s="135"/>
      <c r="H42" s="136">
        <f>ROUND(F42*1.02,0)</f>
        <v>-720422</v>
      </c>
    </row>
    <row r="43" spans="1:8">
      <c r="A43" s="72" t="s">
        <v>213</v>
      </c>
      <c r="B43" s="138"/>
      <c r="C43" s="139"/>
      <c r="D43" s="134">
        <f>ROUND(B41*B45,0)</f>
        <v>133145226</v>
      </c>
      <c r="E43" s="135"/>
      <c r="F43" s="134">
        <f>ROUND(D43*1.02,0)</f>
        <v>135808131</v>
      </c>
      <c r="G43" s="135"/>
      <c r="H43" s="136">
        <f>ROUND((F43+F44)*1.02,0)</f>
        <v>138524294</v>
      </c>
    </row>
    <row r="44" spans="1:8">
      <c r="A44" s="72" t="str">
        <f>$A$11</f>
        <v>FY 10 AVG SALARY</v>
      </c>
      <c r="B44" s="140">
        <f>DSADATABASE!K10</f>
        <v>46209</v>
      </c>
      <c r="C44" s="141"/>
      <c r="D44" s="134"/>
      <c r="E44" s="142"/>
      <c r="F44" s="143"/>
      <c r="G44" s="142"/>
      <c r="H44" s="144">
        <f>(G44*B45)*0.75</f>
        <v>0</v>
      </c>
    </row>
    <row r="45" spans="1:8">
      <c r="A45" s="72" t="str">
        <f>$A$12</f>
        <v>FY11 = FY10  @ 1% Roll-Up Plus 0% Cola</v>
      </c>
      <c r="B45" s="138">
        <f>ROUND((B44*1)*1,0)</f>
        <v>46209</v>
      </c>
      <c r="C45" s="139"/>
      <c r="D45" s="134"/>
      <c r="E45" s="145">
        <f>SUM(E41:E44)</f>
        <v>2861.39</v>
      </c>
      <c r="F45" s="146">
        <f>SUM(F41:F44)</f>
        <v>135101835</v>
      </c>
      <c r="G45" s="145">
        <f>SUM(G41:G44)</f>
        <v>2861.39</v>
      </c>
      <c r="H45" s="147">
        <f>SUM(H41:H44)</f>
        <v>137803872</v>
      </c>
    </row>
    <row r="46" spans="1:8">
      <c r="A46" s="29"/>
      <c r="B46" s="129"/>
      <c r="C46" s="126"/>
      <c r="D46" s="126"/>
      <c r="E46" s="149"/>
      <c r="F46" s="126"/>
      <c r="G46" s="149"/>
      <c r="H46" s="130"/>
    </row>
    <row r="47" spans="1:8">
      <c r="A47" s="131" t="s">
        <v>432</v>
      </c>
      <c r="B47" s="132">
        <f>DSADATABASE!C31</f>
        <v>5844.97</v>
      </c>
      <c r="C47" s="133">
        <f>ROUND(C$4/B48,2)-B47</f>
        <v>-40.440000000000509</v>
      </c>
      <c r="D47" s="134"/>
      <c r="E47" s="135">
        <f>(B47)</f>
        <v>5844.97</v>
      </c>
      <c r="F47" s="134"/>
      <c r="G47" s="135">
        <f>(E51)</f>
        <v>5804.53</v>
      </c>
      <c r="H47" s="136"/>
    </row>
    <row r="48" spans="1:8">
      <c r="A48" s="72" t="s">
        <v>212</v>
      </c>
      <c r="B48" s="132">
        <f>ROUND(B$4/B47,2)</f>
        <v>72.8</v>
      </c>
      <c r="C48" s="137"/>
      <c r="D48" s="134">
        <f>ROUND(C47*DSADATABASE!K20,0)</f>
        <v>-1309892</v>
      </c>
      <c r="E48" s="135">
        <f>(C47)</f>
        <v>-40.440000000000509</v>
      </c>
      <c r="F48" s="134">
        <f>ROUND(D48*1.02,0)</f>
        <v>-1336090</v>
      </c>
      <c r="G48" s="135"/>
      <c r="H48" s="136">
        <f>ROUND(F48*1.02,0)</f>
        <v>-1362812</v>
      </c>
    </row>
    <row r="49" spans="1:8">
      <c r="A49" s="72" t="s">
        <v>213</v>
      </c>
      <c r="B49" s="138"/>
      <c r="C49" s="139"/>
      <c r="D49" s="134">
        <f>ROUND(B47*B51,0)</f>
        <v>254957591</v>
      </c>
      <c r="E49" s="135"/>
      <c r="F49" s="134">
        <f>ROUND(D49*1.02,0)</f>
        <v>260056743</v>
      </c>
      <c r="G49" s="135"/>
      <c r="H49" s="136">
        <f>ROUND((F49+F50)*1.02,0)</f>
        <v>265257878</v>
      </c>
    </row>
    <row r="50" spans="1:8">
      <c r="A50" s="72" t="str">
        <f>$A$11</f>
        <v>FY 10 AVG SALARY</v>
      </c>
      <c r="B50" s="140">
        <f>DSADATABASE!K11</f>
        <v>43188</v>
      </c>
      <c r="C50" s="141"/>
      <c r="D50" s="134"/>
      <c r="E50" s="142"/>
      <c r="F50" s="143"/>
      <c r="G50" s="142"/>
      <c r="H50" s="144">
        <f>(G50*B51)*0.75</f>
        <v>0</v>
      </c>
    </row>
    <row r="51" spans="1:8">
      <c r="A51" s="72" t="str">
        <f>$A$12</f>
        <v>FY11 = FY10  @ 1% Roll-Up Plus 0% Cola</v>
      </c>
      <c r="B51" s="138">
        <f>ROUND((B50*1.01)*1,0)</f>
        <v>43620</v>
      </c>
      <c r="C51" s="139"/>
      <c r="D51" s="134">
        <f>SUM(D9:D49)</f>
        <v>1864252988</v>
      </c>
      <c r="E51" s="145">
        <f>SUM(E47:E50)</f>
        <v>5804.53</v>
      </c>
      <c r="F51" s="146">
        <f>SUM(F47:F50)</f>
        <v>258720653</v>
      </c>
      <c r="G51" s="145">
        <f>SUM(G47:G50)</f>
        <v>5804.53</v>
      </c>
      <c r="H51" s="147">
        <f>SUM(H47:H50)</f>
        <v>263895066</v>
      </c>
    </row>
    <row r="52" spans="1:8">
      <c r="A52" s="29"/>
      <c r="B52" s="129"/>
      <c r="C52" s="126"/>
      <c r="D52" s="126"/>
      <c r="E52" s="149"/>
      <c r="F52" s="126"/>
      <c r="G52" s="149"/>
      <c r="H52" s="130"/>
    </row>
    <row r="53" spans="1:8">
      <c r="A53" s="72" t="s">
        <v>60</v>
      </c>
      <c r="B53" s="150">
        <f>+B8+B15+B22+B28+B35+B41+B47</f>
        <v>35960.039999999994</v>
      </c>
      <c r="C53" s="135">
        <f>+C8+C15+C22+C28+C35+C41+C47</f>
        <v>-251.24</v>
      </c>
      <c r="D53" s="126"/>
      <c r="E53" s="145">
        <f>SUM(E12+E19+E26+E32+E39+E45+E51)</f>
        <v>35708.800000000003</v>
      </c>
      <c r="F53" s="146">
        <f>SUM(F12+F19+F26+F32+F39+F45+F51)</f>
        <v>1901538049</v>
      </c>
      <c r="G53" s="145">
        <f>SUM(G12+G19+G26+G32+G39+G45+G51)</f>
        <v>35708.800000000003</v>
      </c>
      <c r="H53" s="147">
        <f>SUM(H12+H19+H26+H32+H39+H45+H51)</f>
        <v>1939568810</v>
      </c>
    </row>
    <row r="54" spans="1:8">
      <c r="A54" s="72" t="s">
        <v>217</v>
      </c>
      <c r="B54" s="152">
        <f>+DSASUMM!C6</f>
        <v>36338122</v>
      </c>
      <c r="C54" s="126"/>
      <c r="D54" s="153">
        <f>+DSASUMM!C6</f>
        <v>36338122</v>
      </c>
      <c r="E54" s="151"/>
      <c r="F54" s="154">
        <f>DSASUMM!C6</f>
        <v>36338122</v>
      </c>
      <c r="G54" s="151"/>
      <c r="H54" s="155">
        <f>F54</f>
        <v>36338122</v>
      </c>
    </row>
    <row r="55" spans="1:8">
      <c r="A55" s="72" t="s">
        <v>218</v>
      </c>
      <c r="B55" s="152">
        <f>+DSASUMM!C7</f>
        <v>19265375</v>
      </c>
      <c r="C55" s="126"/>
      <c r="D55" s="153">
        <f>ROUND(B55*1.02*1.04,0)</f>
        <v>20436710</v>
      </c>
      <c r="E55" s="151"/>
      <c r="F55" s="154">
        <f>ROUND(D55*1.02,0)</f>
        <v>20845444</v>
      </c>
      <c r="G55" s="151"/>
      <c r="H55" s="155">
        <f>ROUND(F55*1.02,0)</f>
        <v>21262353</v>
      </c>
    </row>
    <row r="56" spans="1:8">
      <c r="A56" s="156" t="s">
        <v>219</v>
      </c>
      <c r="B56" s="129"/>
      <c r="C56" s="126"/>
      <c r="D56" s="126"/>
      <c r="E56" s="126"/>
      <c r="F56" s="126"/>
      <c r="G56" s="126"/>
      <c r="H56" s="130"/>
    </row>
    <row r="57" spans="1:8">
      <c r="A57" s="72" t="s">
        <v>55</v>
      </c>
      <c r="B57" s="157">
        <f>DSADATABASE!C65</f>
        <v>0.215</v>
      </c>
      <c r="C57" s="98">
        <f t="shared" ref="C57:C62" si="0">B57</f>
        <v>0.215</v>
      </c>
      <c r="D57" s="5"/>
      <c r="E57" s="126"/>
      <c r="F57" s="134">
        <f>ROUND(F$53*$B57,0)</f>
        <v>408830681</v>
      </c>
      <c r="G57" s="134"/>
      <c r="H57" s="136">
        <f>ROUND(H$53*$C57,0)</f>
        <v>417007294</v>
      </c>
    </row>
    <row r="58" spans="1:8">
      <c r="A58" s="72" t="s">
        <v>346</v>
      </c>
      <c r="B58" s="157">
        <f>DSADATABASE!C66</f>
        <v>4.0759999999999998E-3</v>
      </c>
      <c r="C58" s="98">
        <f t="shared" si="0"/>
        <v>4.0759999999999998E-3</v>
      </c>
      <c r="D58" s="5"/>
      <c r="E58" s="126"/>
      <c r="F58" s="134">
        <f>ROUND(SUM(F$53:F$55)*$B58,0)</f>
        <v>7983749</v>
      </c>
      <c r="G58" s="134"/>
      <c r="H58" s="136">
        <f>ROUND(SUM(H$53:H$55)*$C58,0)</f>
        <v>8140462</v>
      </c>
    </row>
    <row r="59" spans="1:8">
      <c r="A59" s="72" t="s">
        <v>220</v>
      </c>
      <c r="B59" s="157">
        <f>DSADATABASE!C67</f>
        <v>3.5920000000000001E-3</v>
      </c>
      <c r="C59" s="98">
        <f t="shared" si="0"/>
        <v>3.5920000000000001E-3</v>
      </c>
      <c r="D59" s="5"/>
      <c r="E59" s="126"/>
      <c r="F59" s="134">
        <f>ROUND(SUM(F$53:F$55)*$B59,0)</f>
        <v>7035728</v>
      </c>
      <c r="G59" s="134"/>
      <c r="H59" s="136">
        <f>ROUND(SUM(H$53:H$55)*$C59,0)</f>
        <v>7173832</v>
      </c>
    </row>
    <row r="60" spans="1:8">
      <c r="A60" s="72" t="s">
        <v>57</v>
      </c>
      <c r="B60" s="157">
        <f>DSADATABASE!C68</f>
        <v>1.3034E-2</v>
      </c>
      <c r="C60" s="98">
        <f t="shared" si="0"/>
        <v>1.3034E-2</v>
      </c>
      <c r="D60" s="5"/>
      <c r="E60" s="126"/>
      <c r="F60" s="134">
        <f>ROUND(SUM(F$53:F$55)*$B60,0)</f>
        <v>25529978</v>
      </c>
      <c r="G60" s="134"/>
      <c r="H60" s="136">
        <f>ROUND(SUM(H$53:H$55)*$C60,0)</f>
        <v>26031104</v>
      </c>
    </row>
    <row r="61" spans="1:8">
      <c r="A61" s="72" t="s">
        <v>221</v>
      </c>
      <c r="B61" s="693">
        <f>DSADATABASE!C70</f>
        <v>6980.69</v>
      </c>
      <c r="C61" s="694">
        <f t="shared" si="0"/>
        <v>6980.69</v>
      </c>
      <c r="D61" s="5"/>
      <c r="E61" s="126"/>
      <c r="F61" s="134">
        <f>ROUND(E$53*$B61,0)</f>
        <v>249272063</v>
      </c>
      <c r="G61" s="134"/>
      <c r="H61" s="136">
        <f>ROUND(G$53*$C61,0)</f>
        <v>249272063</v>
      </c>
    </row>
    <row r="62" spans="1:8">
      <c r="A62" s="72" t="s">
        <v>58</v>
      </c>
      <c r="B62" s="695">
        <f>DSADATABASE!C69</f>
        <v>4.3059999999999999E-3</v>
      </c>
      <c r="C62" s="98">
        <f t="shared" si="0"/>
        <v>4.3059999999999999E-3</v>
      </c>
      <c r="D62" s="5"/>
      <c r="E62" s="126"/>
      <c r="F62" s="143">
        <f>ROUND(SUM(F$53:$F55)*$B62,0)</f>
        <v>8434255</v>
      </c>
      <c r="G62" s="134"/>
      <c r="H62" s="144">
        <f>ROUND(SUM(H$53:H55)*$C62,0)</f>
        <v>8599811</v>
      </c>
    </row>
    <row r="63" spans="1:8" ht="14.25" thickBot="1">
      <c r="A63" s="72"/>
      <c r="B63" s="158"/>
      <c r="C63" s="159"/>
      <c r="D63" s="126"/>
      <c r="E63" s="126"/>
      <c r="F63" s="134">
        <f>SUM(F57:F62)</f>
        <v>707086454</v>
      </c>
      <c r="G63" s="134"/>
      <c r="H63" s="136">
        <f>SUM(H57:H62)</f>
        <v>716224566</v>
      </c>
    </row>
    <row r="64" spans="1:8">
      <c r="A64" s="160" t="s">
        <v>222</v>
      </c>
      <c r="B64" s="161"/>
      <c r="C64" s="162"/>
      <c r="D64" s="162"/>
      <c r="E64" s="162"/>
      <c r="F64" s="162"/>
      <c r="G64" s="162"/>
      <c r="H64" s="163"/>
    </row>
    <row r="65" spans="1:8" ht="14.25" thickBot="1">
      <c r="A65" s="2" t="s">
        <v>223</v>
      </c>
      <c r="B65" s="164"/>
      <c r="C65" s="165"/>
      <c r="D65" s="165"/>
      <c r="E65" s="166">
        <f>E53+E63</f>
        <v>35708.800000000003</v>
      </c>
      <c r="F65" s="167">
        <f>F53+F54+F55+F63</f>
        <v>2665808069</v>
      </c>
      <c r="G65" s="166">
        <f>G53+G63</f>
        <v>35708.800000000003</v>
      </c>
      <c r="H65" s="168">
        <f>H53+H54+H55+H63</f>
        <v>2713393851</v>
      </c>
    </row>
    <row r="66" spans="1:8" ht="14.25" thickBot="1">
      <c r="A66" s="2" t="s">
        <v>224</v>
      </c>
      <c r="B66" s="164"/>
      <c r="C66" s="165"/>
      <c r="D66" s="165"/>
      <c r="E66" s="169"/>
      <c r="F66" s="170">
        <f>F63/F53</f>
        <v>0.37184975308374701</v>
      </c>
      <c r="G66" s="169"/>
      <c r="H66" s="171">
        <f>H63/H53</f>
        <v>0.36926999563372026</v>
      </c>
    </row>
  </sheetData>
  <mergeCells count="1">
    <mergeCell ref="A1:H1"/>
  </mergeCells>
  <phoneticPr fontId="0" type="noConversion"/>
  <printOptions horizontalCentered="1" headings="1"/>
  <pageMargins left="0.5" right="0.5" top="0.5" bottom="0.5" header="0.25" footer="0.5"/>
  <pageSetup scale="80" orientation="portrait" r:id="rId1"/>
  <headerFooter alignWithMargins="0">
    <oddFooter>&amp;L&amp;D &amp;T&amp;C&amp;P of &amp;N&amp;R&amp;F &amp;A</oddFooter>
  </headerFooter>
  <legacyDrawing r:id="rId2"/>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sheetPr codeName="Sheet7" enableFormatConditionsCalculation="0">
    <pageSetUpPr fitToPage="1"/>
  </sheetPr>
  <dimension ref="A1:H81"/>
  <sheetViews>
    <sheetView topLeftCell="A52" zoomScale="125" workbookViewId="0">
      <selection activeCell="D77" sqref="D77"/>
    </sheetView>
  </sheetViews>
  <sheetFormatPr defaultColWidth="8.85546875" defaultRowHeight="12.75"/>
  <cols>
    <col min="1" max="1" width="27.42578125" style="74" customWidth="1"/>
    <col min="2" max="2" width="9.7109375" style="6" customWidth="1"/>
    <col min="3" max="4" width="13.28515625" style="6" bestFit="1" customWidth="1"/>
    <col min="5" max="5" width="9.7109375" style="6" customWidth="1"/>
    <col min="6" max="6" width="11" style="6" bestFit="1" customWidth="1"/>
    <col min="7" max="7" width="9.7109375" style="6" customWidth="1"/>
    <col min="8" max="8" width="11" style="6" bestFit="1" customWidth="1"/>
    <col min="9" max="16384" width="8.85546875" style="9"/>
  </cols>
  <sheetData>
    <row r="1" spans="1:8" ht="14.25" thickBot="1">
      <c r="A1" s="1058" t="s">
        <v>354</v>
      </c>
      <c r="B1" s="1059"/>
      <c r="C1" s="1059"/>
      <c r="D1" s="1059"/>
      <c r="E1" s="1059"/>
      <c r="F1" s="1059"/>
      <c r="G1" s="1059"/>
      <c r="H1" s="1060"/>
    </row>
    <row r="2" spans="1:8" ht="13.5">
      <c r="A2" s="71"/>
      <c r="B2" s="119" t="str">
        <f>BASESAL!B2</f>
        <v>FY10</v>
      </c>
      <c r="C2" s="120" t="str">
        <f>BASESAL!C2</f>
        <v>FY11</v>
      </c>
      <c r="D2" s="120" t="str">
        <f>BASESAL!D2</f>
        <v>FY11</v>
      </c>
      <c r="E2" s="120" t="str">
        <f>BASESAL!E2</f>
        <v>FY12</v>
      </c>
      <c r="F2" s="120" t="str">
        <f>BASESAL!F2</f>
        <v>FY12</v>
      </c>
      <c r="G2" s="120" t="str">
        <f>BASESAL!G2</f>
        <v>FY13</v>
      </c>
      <c r="H2" s="121" t="str">
        <f>BASESAL!H2</f>
        <v>FY13</v>
      </c>
    </row>
    <row r="3" spans="1:8" ht="14.25" thickBot="1">
      <c r="A3" s="122"/>
      <c r="B3" s="123" t="s">
        <v>205</v>
      </c>
      <c r="C3" s="109" t="s">
        <v>205</v>
      </c>
      <c r="D3" s="109" t="s">
        <v>206</v>
      </c>
      <c r="E3" s="109" t="s">
        <v>205</v>
      </c>
      <c r="F3" s="109" t="s">
        <v>206</v>
      </c>
      <c r="G3" s="109" t="s">
        <v>205</v>
      </c>
      <c r="H3" s="124" t="s">
        <v>206</v>
      </c>
    </row>
    <row r="4" spans="1:8" ht="13.5">
      <c r="A4" s="173" t="s">
        <v>207</v>
      </c>
      <c r="B4" s="608">
        <f>BASESAL!B4</f>
        <v>425527.2</v>
      </c>
      <c r="C4" s="608">
        <f>BASESAL!C4</f>
        <v>422569.6</v>
      </c>
      <c r="D4" s="608"/>
      <c r="E4" s="608">
        <f>BASESAL!E4</f>
        <v>421987.1</v>
      </c>
      <c r="F4" s="608"/>
      <c r="G4" s="608">
        <f>BASESAL!G4</f>
        <v>423499.6</v>
      </c>
      <c r="H4" s="609"/>
    </row>
    <row r="5" spans="1:8" ht="13.5">
      <c r="A5" s="173" t="s">
        <v>208</v>
      </c>
      <c r="B5" s="126"/>
      <c r="C5" s="126"/>
      <c r="D5" s="127">
        <f>BASESAL!D5</f>
        <v>39166</v>
      </c>
      <c r="E5" s="127"/>
      <c r="F5" s="127">
        <f>D5</f>
        <v>39166</v>
      </c>
      <c r="G5" s="127"/>
      <c r="H5" s="128">
        <f>F5</f>
        <v>39166</v>
      </c>
    </row>
    <row r="6" spans="1:8" ht="13.5">
      <c r="A6" s="131"/>
      <c r="B6" s="126"/>
      <c r="C6" s="126"/>
      <c r="D6" s="126"/>
      <c r="E6" s="126"/>
      <c r="F6" s="126"/>
      <c r="G6" s="126"/>
      <c r="H6" s="130" t="s">
        <v>225</v>
      </c>
    </row>
    <row r="7" spans="1:8" ht="13.5">
      <c r="A7" s="174" t="s">
        <v>210</v>
      </c>
      <c r="B7" s="126"/>
      <c r="C7" s="126"/>
      <c r="D7" s="126"/>
      <c r="E7" s="126"/>
      <c r="F7" s="126"/>
      <c r="G7" s="126"/>
      <c r="H7" s="130"/>
    </row>
    <row r="8" spans="1:8" ht="13.5">
      <c r="A8" s="73" t="s">
        <v>211</v>
      </c>
      <c r="B8" s="175">
        <f>BASESAL!B8</f>
        <v>20489.149999999998</v>
      </c>
      <c r="C8" s="175">
        <f>BASESAL!C8</f>
        <v>-143.95999999999913</v>
      </c>
      <c r="D8" s="134"/>
      <c r="E8" s="176">
        <f>(B8)</f>
        <v>20489.149999999998</v>
      </c>
      <c r="F8" s="134"/>
      <c r="G8" s="176">
        <f>(E12)</f>
        <v>20317.14</v>
      </c>
      <c r="H8" s="136"/>
    </row>
    <row r="9" spans="1:8" ht="13.5">
      <c r="A9" s="73" t="s">
        <v>212</v>
      </c>
      <c r="B9" s="175">
        <f>BASESAL!B9</f>
        <v>20.77</v>
      </c>
      <c r="C9" s="137"/>
      <c r="D9" s="134">
        <f>ROUND(C8*D5,0)</f>
        <v>-5638337</v>
      </c>
      <c r="E9" s="176">
        <f>(C8)</f>
        <v>-143.95999999999913</v>
      </c>
      <c r="F9" s="134">
        <f>ROUND(D9*1.02,0)</f>
        <v>-5751104</v>
      </c>
      <c r="G9" s="175"/>
      <c r="H9" s="136">
        <f>ROUND(F9*1.02,0)</f>
        <v>-5866126</v>
      </c>
    </row>
    <row r="10" spans="1:8" ht="13.5">
      <c r="A10" s="73" t="s">
        <v>213</v>
      </c>
      <c r="B10" s="139"/>
      <c r="C10" s="139"/>
      <c r="D10" s="134">
        <f>ROUND(B8*B12,0)</f>
        <v>1105799426</v>
      </c>
      <c r="E10" s="175"/>
      <c r="F10" s="134">
        <f>ROUND(D10*1.02,0)</f>
        <v>1127915415</v>
      </c>
      <c r="G10" s="175"/>
      <c r="H10" s="136">
        <f>ROUND((F10+F11)*1.02,0)</f>
        <v>1149353145</v>
      </c>
    </row>
    <row r="11" spans="1:8" ht="13.5">
      <c r="A11" s="73" t="str">
        <f>BASESAL!A11</f>
        <v>FY 10 AVG SALARY</v>
      </c>
      <c r="B11" s="141">
        <f>BASESAL!B11</f>
        <v>53436</v>
      </c>
      <c r="C11" s="141"/>
      <c r="D11" s="134"/>
      <c r="E11" s="177">
        <f>ROUND((E$4/B9)-E8-E9,2)</f>
        <v>-28.05</v>
      </c>
      <c r="F11" s="143">
        <f>ROUND(E11*F5,0)</f>
        <v>-1098606</v>
      </c>
      <c r="G11" s="177">
        <f>ROUND((G$4/B9)-G8-G9,2)</f>
        <v>72.83</v>
      </c>
      <c r="H11" s="144">
        <f>ROUND(G11*H5,0)</f>
        <v>2852460</v>
      </c>
    </row>
    <row r="12" spans="1:8" ht="13.5">
      <c r="A12" s="73" t="str">
        <f>BASESAL!A12</f>
        <v>FY11 = FY10  @ 1% Roll-Up Plus 0% Cola</v>
      </c>
      <c r="B12" s="139">
        <f>BASESAL!B12</f>
        <v>53970</v>
      </c>
      <c r="C12" s="139"/>
      <c r="D12" s="134"/>
      <c r="E12" s="178">
        <f>SUM(E8:E11)</f>
        <v>20317.14</v>
      </c>
      <c r="F12" s="146">
        <f>SUM(F8:F11)</f>
        <v>1121065705</v>
      </c>
      <c r="G12" s="178">
        <f>SUM(G8:G11)</f>
        <v>20389.97</v>
      </c>
      <c r="H12" s="147">
        <f>SUM(H8:H11)</f>
        <v>1146339479</v>
      </c>
    </row>
    <row r="13" spans="1:8" ht="13.5">
      <c r="A13" s="173"/>
      <c r="B13" s="134"/>
      <c r="C13" s="134"/>
      <c r="D13" s="134"/>
      <c r="E13" s="126"/>
      <c r="F13" s="126"/>
      <c r="G13" s="126"/>
      <c r="H13" s="130"/>
    </row>
    <row r="14" spans="1:8" ht="13.5">
      <c r="A14" s="131" t="s">
        <v>210</v>
      </c>
      <c r="B14" s="126"/>
      <c r="C14" s="126"/>
      <c r="D14" s="126"/>
      <c r="E14" s="126"/>
      <c r="F14" s="126"/>
      <c r="G14" s="126"/>
      <c r="H14" s="130"/>
    </row>
    <row r="15" spans="1:8" ht="13.5">
      <c r="A15" s="73" t="s">
        <v>214</v>
      </c>
      <c r="B15" s="175">
        <f>BASESAL!B15</f>
        <v>2051.3000000000002</v>
      </c>
      <c r="C15" s="175">
        <f>BASESAL!C15</f>
        <v>-14.230000000000246</v>
      </c>
      <c r="D15" s="134"/>
      <c r="E15" s="176">
        <f>(B15)</f>
        <v>2051.3000000000002</v>
      </c>
      <c r="F15" s="134"/>
      <c r="G15" s="176">
        <f>(E19)</f>
        <v>2034.26</v>
      </c>
      <c r="H15" s="136"/>
    </row>
    <row r="16" spans="1:8" ht="13.5">
      <c r="A16" s="73" t="s">
        <v>212</v>
      </c>
      <c r="B16" s="175">
        <f>BASESAL!B16</f>
        <v>207.44</v>
      </c>
      <c r="C16" s="137"/>
      <c r="D16" s="134">
        <f>ROUND(C15*DSADATABASE!K15,0)</f>
        <v>-330819</v>
      </c>
      <c r="E16" s="176">
        <f>(C15)</f>
        <v>-14.230000000000246</v>
      </c>
      <c r="F16" s="134">
        <f>ROUND(D16*1.02,0)</f>
        <v>-337435</v>
      </c>
      <c r="G16" s="175"/>
      <c r="H16" s="136">
        <f>ROUND(F16*1.02,0)</f>
        <v>-344184</v>
      </c>
    </row>
    <row r="17" spans="1:8" ht="13.5">
      <c r="A17" s="73" t="s">
        <v>213</v>
      </c>
      <c r="B17" s="139"/>
      <c r="C17" s="139"/>
      <c r="D17" s="134">
        <f>ROUND(B15*B19,0)</f>
        <v>64220049</v>
      </c>
      <c r="E17" s="175"/>
      <c r="F17" s="134">
        <f>ROUND(D17*1.02,0)</f>
        <v>65504450</v>
      </c>
      <c r="G17" s="175"/>
      <c r="H17" s="136">
        <f>ROUND((F17+F18)*1.02,0)</f>
        <v>66747905</v>
      </c>
    </row>
    <row r="18" spans="1:8" ht="13.5">
      <c r="A18" s="73" t="str">
        <f>$A$11</f>
        <v>FY 10 AVG SALARY</v>
      </c>
      <c r="B18" s="141">
        <f>BASESAL!B18</f>
        <v>30997</v>
      </c>
      <c r="C18" s="141"/>
      <c r="D18" s="134"/>
      <c r="E18" s="177">
        <f>ROUND((E$4/B16)-E15-E16,2)</f>
        <v>-2.81</v>
      </c>
      <c r="F18" s="143">
        <f>ROUND(E18*DSADATABASE!$K$15,0)</f>
        <v>-65327</v>
      </c>
      <c r="G18" s="177">
        <f>ROUND((G$4/B16)-G15-G16,2)</f>
        <v>7.29</v>
      </c>
      <c r="H18" s="144">
        <f>ROUND(G18*DSADATABASE!$K$15,0)</f>
        <v>169478</v>
      </c>
    </row>
    <row r="19" spans="1:8" ht="13.5">
      <c r="A19" s="73" t="str">
        <f>$A$12</f>
        <v>FY11 = FY10  @ 1% Roll-Up Plus 0% Cola</v>
      </c>
      <c r="B19" s="141">
        <f>BASESAL!B19</f>
        <v>31307</v>
      </c>
      <c r="C19" s="139"/>
      <c r="D19" s="134"/>
      <c r="E19" s="178">
        <f>SUM(E15:E18)</f>
        <v>2034.26</v>
      </c>
      <c r="F19" s="146">
        <f>SUM(F15:F18)</f>
        <v>65101688</v>
      </c>
      <c r="G19" s="178">
        <f>SUM(G15:G18)</f>
        <v>2041.55</v>
      </c>
      <c r="H19" s="147">
        <f>SUM(H15:H18)</f>
        <v>66573199</v>
      </c>
    </row>
    <row r="20" spans="1:8" ht="13.5">
      <c r="A20" s="173"/>
      <c r="B20" s="126"/>
      <c r="C20" s="126"/>
      <c r="D20" s="126"/>
      <c r="E20" s="126"/>
      <c r="F20" s="126"/>
      <c r="G20" s="126"/>
      <c r="H20" s="130"/>
    </row>
    <row r="21" spans="1:8" ht="13.5">
      <c r="A21" s="131" t="s">
        <v>215</v>
      </c>
      <c r="B21" s="134"/>
      <c r="C21" s="134"/>
      <c r="D21" s="134"/>
      <c r="E21" s="134"/>
      <c r="F21" s="134"/>
      <c r="G21" s="134"/>
      <c r="H21" s="136"/>
    </row>
    <row r="22" spans="1:8" ht="13.5">
      <c r="A22" s="73" t="s">
        <v>211</v>
      </c>
      <c r="B22" s="175">
        <f>BASESAL!B22</f>
        <v>2328.71</v>
      </c>
      <c r="C22" s="175">
        <f>BASESAL!C22</f>
        <v>-16.170000000000073</v>
      </c>
      <c r="D22" s="134"/>
      <c r="E22" s="176">
        <f>(B22)</f>
        <v>2328.71</v>
      </c>
      <c r="F22" s="134"/>
      <c r="G22" s="176">
        <f>(E26)</f>
        <v>2309.35</v>
      </c>
      <c r="H22" s="136"/>
    </row>
    <row r="23" spans="1:8" ht="13.5">
      <c r="A23" s="73" t="s">
        <v>212</v>
      </c>
      <c r="B23" s="175">
        <f>BASESAL!B23</f>
        <v>182.73</v>
      </c>
      <c r="C23" s="137"/>
      <c r="D23" s="134">
        <f>ROUND(C22*DSADATABASE!K16,0)</f>
        <v>-790438</v>
      </c>
      <c r="E23" s="176">
        <f>(C22)</f>
        <v>-16.170000000000073</v>
      </c>
      <c r="F23" s="134">
        <f>ROUND(D23*1.02,0)</f>
        <v>-806247</v>
      </c>
      <c r="G23" s="175"/>
      <c r="H23" s="136">
        <f>ROUND(F23*1.02,0)</f>
        <v>-822372</v>
      </c>
    </row>
    <row r="24" spans="1:8" ht="13.5">
      <c r="A24" s="73" t="s">
        <v>213</v>
      </c>
      <c r="B24" s="139"/>
      <c r="C24" s="139"/>
      <c r="D24" s="134">
        <f>ROUND(B22*B26,0)</f>
        <v>153296651</v>
      </c>
      <c r="E24" s="175"/>
      <c r="F24" s="134">
        <f>ROUND(D24*1.02,0)</f>
        <v>156362584</v>
      </c>
      <c r="G24" s="175"/>
      <c r="H24" s="136">
        <f>ROUND((F24+F25)*1.02,0)</f>
        <v>159330780</v>
      </c>
    </row>
    <row r="25" spans="1:8" ht="13.5">
      <c r="A25" s="73" t="str">
        <f>$A$11</f>
        <v>FY 10 AVG SALARY</v>
      </c>
      <c r="B25" s="141">
        <f>BASESAL!B25</f>
        <v>65177</v>
      </c>
      <c r="C25" s="141"/>
      <c r="D25" s="134"/>
      <c r="E25" s="177">
        <f>ROUND((E$4/B23)-E22-E23,2)</f>
        <v>-3.19</v>
      </c>
      <c r="F25" s="143">
        <f>ROUND(E25*DSADATABASE!$K$16,0)</f>
        <v>-155937</v>
      </c>
      <c r="G25" s="177">
        <f>ROUND((G$4/B23)-G22-G23,2)</f>
        <v>8.27</v>
      </c>
      <c r="H25" s="144">
        <f>ROUND(G25*DSADATABASE!$K$16,0)</f>
        <v>404262</v>
      </c>
    </row>
    <row r="26" spans="1:8" ht="13.5">
      <c r="A26" s="73" t="str">
        <f>$A$12</f>
        <v>FY11 = FY10  @ 1% Roll-Up Plus 0% Cola</v>
      </c>
      <c r="B26" s="141">
        <f>BASESAL!B26</f>
        <v>65829</v>
      </c>
      <c r="C26" s="139"/>
      <c r="D26" s="134"/>
      <c r="E26" s="178">
        <f>SUM(E22:E25)</f>
        <v>2309.35</v>
      </c>
      <c r="F26" s="146">
        <f>SUM(F22:F25)</f>
        <v>155400400</v>
      </c>
      <c r="G26" s="178">
        <f>SUM(G22:G25)</f>
        <v>2317.62</v>
      </c>
      <c r="H26" s="147">
        <f>SUM(H22:H25)</f>
        <v>158912670</v>
      </c>
    </row>
    <row r="27" spans="1:8" ht="13.5">
      <c r="A27" s="173"/>
      <c r="B27" s="134"/>
      <c r="C27" s="134"/>
      <c r="D27" s="134"/>
      <c r="E27" s="134"/>
      <c r="F27" s="134"/>
      <c r="G27" s="134"/>
      <c r="H27" s="136"/>
    </row>
    <row r="28" spans="1:8" ht="13.5">
      <c r="A28" s="131" t="s">
        <v>214</v>
      </c>
      <c r="B28" s="175">
        <f>BASESAL!B28</f>
        <v>959.07</v>
      </c>
      <c r="C28" s="175">
        <f>BASESAL!C28</f>
        <v>-6.6700000000000728</v>
      </c>
      <c r="D28" s="134"/>
      <c r="E28" s="176">
        <f>(B28)</f>
        <v>959.07</v>
      </c>
      <c r="F28" s="134"/>
      <c r="G28" s="176">
        <f>(E32)</f>
        <v>951.09</v>
      </c>
      <c r="H28" s="136"/>
    </row>
    <row r="29" spans="1:8" ht="13.5">
      <c r="A29" s="73" t="s">
        <v>212</v>
      </c>
      <c r="B29" s="175">
        <f>BASESAL!B29</f>
        <v>443.69</v>
      </c>
      <c r="C29" s="137"/>
      <c r="D29" s="134">
        <f>ROUND(C28*DSADATABASE!K17,0)</f>
        <v>-195925</v>
      </c>
      <c r="E29" s="176">
        <f>(C28)</f>
        <v>-6.6700000000000728</v>
      </c>
      <c r="F29" s="134">
        <f>ROUND(D29*1.02,0)</f>
        <v>-199844</v>
      </c>
      <c r="G29" s="175"/>
      <c r="H29" s="136">
        <f>ROUND(F29*1.02,0)</f>
        <v>-203841</v>
      </c>
    </row>
    <row r="30" spans="1:8" ht="13.5">
      <c r="A30" s="73" t="s">
        <v>213</v>
      </c>
      <c r="B30" s="139"/>
      <c r="C30" s="139"/>
      <c r="D30" s="134">
        <f>ROUND(B28*B32,0)</f>
        <v>37937932</v>
      </c>
      <c r="E30" s="175"/>
      <c r="F30" s="134">
        <f>ROUND(D30*1.02,0)</f>
        <v>38696691</v>
      </c>
      <c r="G30" s="175"/>
      <c r="H30" s="136">
        <f>ROUND((F30+F31)*1.02,0)</f>
        <v>39431375</v>
      </c>
    </row>
    <row r="31" spans="1:8" ht="13.5">
      <c r="A31" s="73" t="str">
        <f>$A$11</f>
        <v>FY 10 AVG SALARY</v>
      </c>
      <c r="B31" s="141">
        <f>BASESAL!B31</f>
        <v>39165</v>
      </c>
      <c r="C31" s="141"/>
      <c r="D31" s="134"/>
      <c r="E31" s="177">
        <f>ROUND((E$4/B29)-E28-E29,2)</f>
        <v>-1.31</v>
      </c>
      <c r="F31" s="143">
        <f>ROUND(E31*DSADATABASE!$K$17,0)</f>
        <v>-38480</v>
      </c>
      <c r="G31" s="177">
        <f>ROUND((G$4/B29)-G28-G29,2)</f>
        <v>3.4</v>
      </c>
      <c r="H31" s="144">
        <f>ROUND(G31*DSADATABASE!$K$17,0)</f>
        <v>99872</v>
      </c>
    </row>
    <row r="32" spans="1:8" ht="13.5">
      <c r="A32" s="73" t="str">
        <f>$A$12</f>
        <v>FY11 = FY10  @ 1% Roll-Up Plus 0% Cola</v>
      </c>
      <c r="B32" s="141">
        <f>BASESAL!B32</f>
        <v>39557</v>
      </c>
      <c r="C32" s="139"/>
      <c r="D32" s="134"/>
      <c r="E32" s="178">
        <f>SUM(E28:E31)</f>
        <v>951.09</v>
      </c>
      <c r="F32" s="146">
        <f>SUM(F28:F31)</f>
        <v>38458367</v>
      </c>
      <c r="G32" s="178">
        <f>SUM(G28:G31)</f>
        <v>954.49</v>
      </c>
      <c r="H32" s="147">
        <f>SUM(H28:H31)</f>
        <v>39327406</v>
      </c>
    </row>
    <row r="33" spans="1:8" ht="13.5">
      <c r="A33" s="173"/>
      <c r="B33" s="126"/>
      <c r="C33" s="126"/>
      <c r="D33" s="126"/>
      <c r="E33" s="126"/>
      <c r="F33" s="126"/>
      <c r="G33" s="126"/>
      <c r="H33" s="130"/>
    </row>
    <row r="34" spans="1:8" ht="13.5">
      <c r="A34" s="131" t="s">
        <v>216</v>
      </c>
      <c r="B34" s="134"/>
      <c r="C34" s="134"/>
      <c r="D34" s="134"/>
      <c r="E34" s="134"/>
      <c r="F34" s="134"/>
      <c r="G34" s="134"/>
      <c r="H34" s="136"/>
    </row>
    <row r="35" spans="1:8" ht="13.5">
      <c r="A35" s="73" t="s">
        <v>211</v>
      </c>
      <c r="B35" s="175">
        <f>BASESAL!B35</f>
        <v>1405.47</v>
      </c>
      <c r="C35" s="175">
        <f>BASESAL!C35</f>
        <v>-9.7899999999999636</v>
      </c>
      <c r="D35" s="134"/>
      <c r="E35" s="176">
        <f>(B35)</f>
        <v>1405.47</v>
      </c>
      <c r="F35" s="134"/>
      <c r="G35" s="176">
        <f>(E39)</f>
        <v>1393.75</v>
      </c>
      <c r="H35" s="136"/>
    </row>
    <row r="36" spans="1:8" ht="13.5">
      <c r="A36" s="73" t="s">
        <v>212</v>
      </c>
      <c r="B36" s="175">
        <f>BASESAL!B36</f>
        <v>302.77</v>
      </c>
      <c r="C36" s="137"/>
      <c r="D36" s="134">
        <f>ROUND(C35*DSADATABASE!K18,0)</f>
        <v>-643967</v>
      </c>
      <c r="E36" s="176">
        <f>(C35)</f>
        <v>-9.7899999999999636</v>
      </c>
      <c r="F36" s="134">
        <f>ROUND(D36*1.02,0)</f>
        <v>-656846</v>
      </c>
      <c r="G36" s="175"/>
      <c r="H36" s="136">
        <f>ROUND(F36*1.02,0)</f>
        <v>-669983</v>
      </c>
    </row>
    <row r="37" spans="1:8" ht="13.5">
      <c r="A37" s="73" t="s">
        <v>213</v>
      </c>
      <c r="B37" s="139"/>
      <c r="C37" s="139"/>
      <c r="D37" s="134">
        <f>ROUND(B35*B39,0)</f>
        <v>124497938</v>
      </c>
      <c r="E37" s="175"/>
      <c r="F37" s="134">
        <f>ROUND(D37*1.02,0)</f>
        <v>126987897</v>
      </c>
      <c r="G37" s="175"/>
      <c r="H37" s="136">
        <f>ROUND((F37+F38)*1.02,0)</f>
        <v>129398164</v>
      </c>
    </row>
    <row r="38" spans="1:8" ht="13.5">
      <c r="A38" s="73" t="str">
        <f>$A$11</f>
        <v>FY 10 AVG SALARY</v>
      </c>
      <c r="B38" s="141">
        <f>BASESAL!B38</f>
        <v>87704</v>
      </c>
      <c r="C38" s="141"/>
      <c r="D38" s="134"/>
      <c r="E38" s="177">
        <f>ROUND((E$4/B36)-E35-E36,2)</f>
        <v>-1.93</v>
      </c>
      <c r="F38" s="143">
        <f>ROUND(E38*DSADATABASE!$K$18,0)</f>
        <v>-126952</v>
      </c>
      <c r="G38" s="177">
        <f>ROUND((G$4/B36)-G35-G36,2)</f>
        <v>5</v>
      </c>
      <c r="H38" s="144">
        <f>ROUND(G38*DSADATABASE!$K$18,0)</f>
        <v>328890</v>
      </c>
    </row>
    <row r="39" spans="1:8" ht="13.5">
      <c r="A39" s="73" t="str">
        <f>$A$12</f>
        <v>FY11 = FY10  @ 1% Roll-Up Plus 0% Cola</v>
      </c>
      <c r="B39" s="141">
        <f>BASESAL!B39</f>
        <v>88581</v>
      </c>
      <c r="C39" s="139"/>
      <c r="D39" s="134"/>
      <c r="E39" s="178">
        <f>SUM(E35:E38)</f>
        <v>1393.75</v>
      </c>
      <c r="F39" s="146">
        <f>SUM(F35:F38)</f>
        <v>126204099</v>
      </c>
      <c r="G39" s="178">
        <f>SUM(G35:G38)</f>
        <v>1398.75</v>
      </c>
      <c r="H39" s="147">
        <f>SUM(H35:H38)</f>
        <v>129057071</v>
      </c>
    </row>
    <row r="40" spans="1:8" ht="13.5">
      <c r="A40" s="173"/>
      <c r="B40" s="134"/>
      <c r="C40" s="134"/>
      <c r="D40" s="134"/>
      <c r="E40" s="134"/>
      <c r="F40" s="134"/>
      <c r="G40" s="134"/>
      <c r="H40" s="136"/>
    </row>
    <row r="41" spans="1:8" ht="13.5">
      <c r="A41" s="131" t="s">
        <v>214</v>
      </c>
      <c r="B41" s="175">
        <f>BASESAL!B41</f>
        <v>2881.37</v>
      </c>
      <c r="C41" s="175">
        <f>BASESAL!C41</f>
        <v>-19.980000000000018</v>
      </c>
      <c r="D41" s="134"/>
      <c r="E41" s="176">
        <f>(B41)</f>
        <v>2881.37</v>
      </c>
      <c r="F41" s="134"/>
      <c r="G41" s="176">
        <f>(E45)</f>
        <v>2857.44</v>
      </c>
      <c r="H41" s="136"/>
    </row>
    <row r="42" spans="1:8" ht="13.5">
      <c r="A42" s="73" t="s">
        <v>212</v>
      </c>
      <c r="B42" s="175">
        <f>BASESAL!B42</f>
        <v>147.68</v>
      </c>
      <c r="C42" s="137"/>
      <c r="D42" s="134">
        <f>ROUND(C41*DSADATABASE!K19,0)</f>
        <v>-692447</v>
      </c>
      <c r="E42" s="176">
        <f>(C41)</f>
        <v>-19.980000000000018</v>
      </c>
      <c r="F42" s="134">
        <f>ROUND(D42*1.02,0)</f>
        <v>-706296</v>
      </c>
      <c r="G42" s="175"/>
      <c r="H42" s="136">
        <f>ROUND(F42*1.02,0)</f>
        <v>-720422</v>
      </c>
    </row>
    <row r="43" spans="1:8" ht="13.5">
      <c r="A43" s="73" t="s">
        <v>213</v>
      </c>
      <c r="B43" s="139"/>
      <c r="C43" s="139"/>
      <c r="D43" s="134">
        <f>ROUND(B41*B45,0)</f>
        <v>133145226</v>
      </c>
      <c r="E43" s="175"/>
      <c r="F43" s="134">
        <f>ROUND(D43*1.02,0)</f>
        <v>135808131</v>
      </c>
      <c r="G43" s="175"/>
      <c r="H43" s="136">
        <f>ROUND((F43+F44)*1.02,0)</f>
        <v>138384661</v>
      </c>
    </row>
    <row r="44" spans="1:8" ht="13.5">
      <c r="A44" s="73" t="str">
        <f>$A$11</f>
        <v>FY 10 AVG SALARY</v>
      </c>
      <c r="B44" s="141">
        <f>BASESAL!B44</f>
        <v>46209</v>
      </c>
      <c r="C44" s="141"/>
      <c r="D44" s="134"/>
      <c r="E44" s="177">
        <f>ROUND((E$4/B42)-E41-E42,2)</f>
        <v>-3.95</v>
      </c>
      <c r="F44" s="143">
        <f>ROUND(E44*DSADATABASE!$K$19,0)</f>
        <v>-136895</v>
      </c>
      <c r="G44" s="177">
        <f>ROUND((G$4/B42)-G41-G42,2)</f>
        <v>10.24</v>
      </c>
      <c r="H44" s="144">
        <f>ROUND(G44*DSADATABASE!$K$19,0)</f>
        <v>354888</v>
      </c>
    </row>
    <row r="45" spans="1:8" ht="13.5">
      <c r="A45" s="73" t="str">
        <f>$A$12</f>
        <v>FY11 = FY10  @ 1% Roll-Up Plus 0% Cola</v>
      </c>
      <c r="B45" s="141">
        <f>BASESAL!B45</f>
        <v>46209</v>
      </c>
      <c r="C45" s="139"/>
      <c r="D45" s="134"/>
      <c r="E45" s="178">
        <f>SUM(E41:E44)</f>
        <v>2857.44</v>
      </c>
      <c r="F45" s="146">
        <f>SUM(F41:F44)</f>
        <v>134964940</v>
      </c>
      <c r="G45" s="178">
        <f>SUM(G41:G44)</f>
        <v>2867.68</v>
      </c>
      <c r="H45" s="147">
        <f>SUM(H41:H44)</f>
        <v>138019127</v>
      </c>
    </row>
    <row r="46" spans="1:8" ht="13.5">
      <c r="A46" s="173"/>
      <c r="B46" s="126"/>
      <c r="C46" s="126"/>
      <c r="D46" s="126"/>
      <c r="E46" s="126"/>
      <c r="F46" s="126"/>
      <c r="G46" s="126"/>
      <c r="H46" s="130"/>
    </row>
    <row r="47" spans="1:8" ht="13.5">
      <c r="A47" s="131" t="s">
        <v>432</v>
      </c>
      <c r="B47" s="175">
        <f>BASESAL!B47</f>
        <v>5844.97</v>
      </c>
      <c r="C47" s="175">
        <f>BASESAL!C47</f>
        <v>-40.440000000000509</v>
      </c>
      <c r="D47" s="134"/>
      <c r="E47" s="176">
        <f>(B47)</f>
        <v>5844.97</v>
      </c>
      <c r="F47" s="134"/>
      <c r="G47" s="176">
        <f>(E51)</f>
        <v>5796.53</v>
      </c>
      <c r="H47" s="136"/>
    </row>
    <row r="48" spans="1:8" ht="13.5">
      <c r="A48" s="73" t="s">
        <v>212</v>
      </c>
      <c r="B48" s="175">
        <f>BASESAL!B48</f>
        <v>72.8</v>
      </c>
      <c r="C48" s="137"/>
      <c r="D48" s="134">
        <f>ROUND(C47*DSADATABASE!K20,0)</f>
        <v>-1309892</v>
      </c>
      <c r="E48" s="176">
        <f>(C47)</f>
        <v>-40.440000000000509</v>
      </c>
      <c r="F48" s="134">
        <f>ROUND(D48*1.02,0)</f>
        <v>-1336090</v>
      </c>
      <c r="G48" s="175"/>
      <c r="H48" s="136">
        <f>ROUND(F48*1.02,0)</f>
        <v>-1362812</v>
      </c>
    </row>
    <row r="49" spans="1:8" ht="13.5">
      <c r="A49" s="73" t="s">
        <v>213</v>
      </c>
      <c r="B49" s="139"/>
      <c r="C49" s="139"/>
      <c r="D49" s="134">
        <f>ROUND(B47*B51,0)</f>
        <v>254957591</v>
      </c>
      <c r="E49" s="175"/>
      <c r="F49" s="134">
        <f>ROUND(D49*1.02,0)</f>
        <v>260056743</v>
      </c>
      <c r="G49" s="175"/>
      <c r="H49" s="136">
        <f>ROUND((F49+F50)*1.02,0)</f>
        <v>264993567</v>
      </c>
    </row>
    <row r="50" spans="1:8" ht="13.5">
      <c r="A50" s="73" t="str">
        <f>$A$11</f>
        <v>FY 10 AVG SALARY</v>
      </c>
      <c r="B50" s="141">
        <f>BASESAL!B50</f>
        <v>43188</v>
      </c>
      <c r="C50" s="141"/>
      <c r="D50" s="134"/>
      <c r="E50" s="177">
        <f>ROUND((E$4/B48)-E47-E48,2)</f>
        <v>-8</v>
      </c>
      <c r="F50" s="143">
        <f>ROUND(E50*DSADATABASE!$K$20,0)</f>
        <v>-259128</v>
      </c>
      <c r="G50" s="177">
        <f>ROUND((G$4/B48)-G47-G48,2)</f>
        <v>20.77</v>
      </c>
      <c r="H50" s="144">
        <f>ROUND(G50*DSADATABASE!$K$20,0)</f>
        <v>672761</v>
      </c>
    </row>
    <row r="51" spans="1:8" ht="13.5">
      <c r="A51" s="73" t="str">
        <f>$A$12</f>
        <v>FY11 = FY10  @ 1% Roll-Up Plus 0% Cola</v>
      </c>
      <c r="B51" s="141">
        <f>BASESAL!B51</f>
        <v>43620</v>
      </c>
      <c r="C51" s="139"/>
      <c r="D51" s="134"/>
      <c r="E51" s="178">
        <f>SUM(E47:E50)</f>
        <v>5796.53</v>
      </c>
      <c r="F51" s="146">
        <f>SUM(F47:F50)</f>
        <v>258461525</v>
      </c>
      <c r="G51" s="178">
        <f>SUM(G47:G50)</f>
        <v>5817.3</v>
      </c>
      <c r="H51" s="147">
        <f>SUM(H47:H50)</f>
        <v>264303516</v>
      </c>
    </row>
    <row r="52" spans="1:8" ht="13.5">
      <c r="A52" s="179"/>
      <c r="B52" s="126"/>
      <c r="C52" s="126"/>
      <c r="D52" s="126"/>
      <c r="E52" s="149"/>
      <c r="F52" s="180"/>
      <c r="G52" s="149"/>
      <c r="H52" s="130"/>
    </row>
    <row r="53" spans="1:8" ht="13.5">
      <c r="A53" s="73" t="s">
        <v>60</v>
      </c>
      <c r="B53" s="181">
        <f>B8+B15+B22+B28+B35+B41+B47</f>
        <v>35960.039999999994</v>
      </c>
      <c r="C53" s="181">
        <f>C8+C15+C22+C28+C35+C41+C47</f>
        <v>-251.24</v>
      </c>
      <c r="D53" s="146">
        <f>SUM(D9:D49)</f>
        <v>1864252988</v>
      </c>
      <c r="E53" s="178">
        <f>SUM(E12+E19+E26+E32+E39+E45+E51)</f>
        <v>35659.56</v>
      </c>
      <c r="F53" s="182">
        <f>SUM(F12+F19+F26+F32+F39+F45+F51)</f>
        <v>1899656724</v>
      </c>
      <c r="G53" s="178">
        <f>SUM(G12+G19+G26+G32+G39+G45+G51)</f>
        <v>35787.360000000001</v>
      </c>
      <c r="H53" s="183">
        <f>SUM(H12+H19+H26+H32+H39+H45+H51)</f>
        <v>1942532468</v>
      </c>
    </row>
    <row r="54" spans="1:8" ht="13.5">
      <c r="A54" s="73" t="s">
        <v>217</v>
      </c>
      <c r="B54" s="184">
        <f>+BASESAL!B54</f>
        <v>36338122</v>
      </c>
      <c r="C54" s="184">
        <f>ROUND(B54/B4*C4,0)</f>
        <v>36085556</v>
      </c>
      <c r="D54" s="185"/>
      <c r="E54" s="186"/>
      <c r="F54" s="187">
        <f>ROUND(C54/C4*E4,0)</f>
        <v>36035813</v>
      </c>
      <c r="G54" s="186"/>
      <c r="H54" s="188">
        <f>ROUND(F54/E4*G4,0)</f>
        <v>36164974</v>
      </c>
    </row>
    <row r="55" spans="1:8" ht="13.5">
      <c r="A55" s="73" t="str">
        <f>BASESAL!A55</f>
        <v>EXTRA PAY, MISC SALARIES</v>
      </c>
      <c r="B55" s="184">
        <f>+BASESAL!B55</f>
        <v>19265375</v>
      </c>
      <c r="C55" s="184">
        <f>ROUND(BASESAL!D55/M200SAL!B4*M200SAL!C4,0)</f>
        <v>20294666</v>
      </c>
      <c r="D55" s="185"/>
      <c r="E55" s="186"/>
      <c r="F55" s="184">
        <f>ROUND((C55/C4*E4)*1.02,0)</f>
        <v>20672024</v>
      </c>
      <c r="G55" s="186"/>
      <c r="H55" s="189">
        <f>ROUND((F55/E4*G4)*1.02,0)</f>
        <v>21161040</v>
      </c>
    </row>
    <row r="56" spans="1:8" ht="13.5">
      <c r="A56" s="131" t="s">
        <v>219</v>
      </c>
      <c r="B56" s="126"/>
      <c r="C56" s="126"/>
      <c r="D56" s="126"/>
      <c r="E56" s="126"/>
      <c r="F56" s="126"/>
      <c r="G56" s="126"/>
      <c r="H56" s="130"/>
    </row>
    <row r="57" spans="1:8" ht="13.5">
      <c r="A57" s="73" t="s">
        <v>55</v>
      </c>
      <c r="B57" s="190">
        <f>BASESAL!B57</f>
        <v>0.215</v>
      </c>
      <c r="C57" s="190">
        <f>BASESAL!C57</f>
        <v>0.215</v>
      </c>
      <c r="D57" s="191"/>
      <c r="E57" s="126"/>
      <c r="F57" s="134">
        <f>SUM(F$53*B57,0)</f>
        <v>408426195.65999997</v>
      </c>
      <c r="G57" s="134"/>
      <c r="H57" s="136">
        <f>H$53*C57</f>
        <v>417644480.62</v>
      </c>
    </row>
    <row r="58" spans="1:8" ht="13.5">
      <c r="A58" s="73" t="s">
        <v>346</v>
      </c>
      <c r="B58" s="190">
        <f>BASESAL!B58</f>
        <v>4.0759999999999998E-3</v>
      </c>
      <c r="C58" s="190">
        <f>BASESAL!C58</f>
        <v>4.0759999999999998E-3</v>
      </c>
      <c r="D58" s="191"/>
      <c r="E58" s="126"/>
      <c r="F58" s="134">
        <f>ROUND(SUM(F$53:F$55)*B58,0)</f>
        <v>7974142</v>
      </c>
      <c r="G58" s="134"/>
      <c r="H58" s="136">
        <f>ROUND(SUM(H$53:H$55)*C58,0)</f>
        <v>8151423</v>
      </c>
    </row>
    <row r="59" spans="1:8" ht="13.5">
      <c r="A59" s="73" t="s">
        <v>220</v>
      </c>
      <c r="B59" s="190">
        <f>BASESAL!B59</f>
        <v>3.5920000000000001E-3</v>
      </c>
      <c r="C59" s="190">
        <f>BASESAL!C59</f>
        <v>3.5920000000000001E-3</v>
      </c>
      <c r="D59" s="191"/>
      <c r="E59" s="126"/>
      <c r="F59" s="134">
        <f>ROUND(SUM(F$53:F$55)*B59,0)</f>
        <v>7027262</v>
      </c>
      <c r="G59" s="134"/>
      <c r="H59" s="136">
        <f>ROUND(SUM(H$53:H$55)*C59,0)</f>
        <v>7183492</v>
      </c>
    </row>
    <row r="60" spans="1:8" ht="13.5">
      <c r="A60" s="73" t="s">
        <v>57</v>
      </c>
      <c r="B60" s="190">
        <f>BASESAL!B60</f>
        <v>1.3034E-2</v>
      </c>
      <c r="C60" s="190">
        <f>BASESAL!C60</f>
        <v>1.3034E-2</v>
      </c>
      <c r="D60" s="191"/>
      <c r="E60" s="126"/>
      <c r="F60" s="134">
        <f>ROUND(SUM(F$53:F$55)*B60,0)</f>
        <v>25499256</v>
      </c>
      <c r="G60" s="134"/>
      <c r="H60" s="136">
        <f>ROUND(SUM(H$53:H$55)*C60,0)</f>
        <v>26066155</v>
      </c>
    </row>
    <row r="61" spans="1:8" ht="13.5">
      <c r="A61" s="73" t="s">
        <v>221</v>
      </c>
      <c r="B61" s="696">
        <f>BASESAL!B61</f>
        <v>6980.69</v>
      </c>
      <c r="C61" s="696">
        <f>BASESAL!C61</f>
        <v>6980.69</v>
      </c>
      <c r="D61" s="191"/>
      <c r="E61" s="126"/>
      <c r="F61" s="134">
        <f>ROUND(E$53*B61,0)</f>
        <v>248928334</v>
      </c>
      <c r="G61" s="134"/>
      <c r="H61" s="136">
        <f>ROUND(G$53*C61,0)</f>
        <v>249820466</v>
      </c>
    </row>
    <row r="62" spans="1:8" ht="13.5">
      <c r="A62" s="73" t="s">
        <v>58</v>
      </c>
      <c r="B62" s="572">
        <f>BASESAL!B62</f>
        <v>4.3059999999999999E-3</v>
      </c>
      <c r="C62" s="572">
        <f>BASESAL!C62</f>
        <v>4.3059999999999999E-3</v>
      </c>
      <c r="D62" s="191"/>
      <c r="E62" s="126"/>
      <c r="F62" s="143">
        <f>ROUND(SUM(F$53:$F55)*$B62,0)</f>
        <v>8424106</v>
      </c>
      <c r="G62" s="134"/>
      <c r="H62" s="144">
        <f>ROUND(SUM(H$53:H55)*$C62,0)</f>
        <v>8611391</v>
      </c>
    </row>
    <row r="63" spans="1:8" ht="14.25" thickBot="1">
      <c r="A63" s="193"/>
      <c r="B63" s="700"/>
      <c r="C63" s="700"/>
      <c r="D63" s="126"/>
      <c r="E63" s="126"/>
      <c r="F63" s="134">
        <f>SUM(F57:F62)</f>
        <v>706279295.65999997</v>
      </c>
      <c r="G63" s="134"/>
      <c r="H63" s="136">
        <f>SUM(H57:H62)</f>
        <v>717477407.62</v>
      </c>
    </row>
    <row r="64" spans="1:8" ht="13.5">
      <c r="A64" s="192" t="s">
        <v>222</v>
      </c>
      <c r="B64" s="162"/>
      <c r="C64" s="162"/>
      <c r="D64" s="162"/>
      <c r="E64" s="162"/>
      <c r="F64" s="162"/>
      <c r="G64" s="162"/>
      <c r="H64" s="163"/>
    </row>
    <row r="65" spans="1:8" ht="14.25" thickBot="1">
      <c r="A65" s="193" t="s">
        <v>223</v>
      </c>
      <c r="B65" s="165"/>
      <c r="C65" s="165"/>
      <c r="D65" s="165"/>
      <c r="E65" s="166">
        <f>E53+E63</f>
        <v>35659.56</v>
      </c>
      <c r="F65" s="167">
        <f>F53+F54+F55+F63</f>
        <v>2662643856.6599998</v>
      </c>
      <c r="G65" s="166">
        <f>G53+G63</f>
        <v>35787.360000000001</v>
      </c>
      <c r="H65" s="168">
        <f>H53+H54+H55+H63</f>
        <v>2717335889.6199999</v>
      </c>
    </row>
    <row r="66" spans="1:8" ht="13.5">
      <c r="A66" s="73" t="s">
        <v>224</v>
      </c>
      <c r="B66" s="126"/>
      <c r="C66" s="126"/>
      <c r="D66" s="126"/>
      <c r="E66" s="194"/>
      <c r="F66" s="195">
        <f>F63/F53</f>
        <v>0.37179311753379712</v>
      </c>
      <c r="G66" s="194"/>
      <c r="H66" s="196">
        <f>H63/H53</f>
        <v>0.3693515652578529</v>
      </c>
    </row>
    <row r="67" spans="1:8" ht="13.5">
      <c r="A67" s="197" t="s">
        <v>225</v>
      </c>
      <c r="B67" s="198" t="s">
        <v>378</v>
      </c>
      <c r="C67" s="198" t="str">
        <f>B67</f>
        <v>FY12</v>
      </c>
      <c r="D67" s="198" t="s">
        <v>226</v>
      </c>
      <c r="E67" s="198" t="s">
        <v>377</v>
      </c>
      <c r="F67" s="198" t="str">
        <f>E67</f>
        <v>FY13</v>
      </c>
      <c r="G67" s="199" t="s">
        <v>226</v>
      </c>
      <c r="H67" s="200"/>
    </row>
    <row r="68" spans="1:8" ht="13.5">
      <c r="A68" s="201" t="s">
        <v>227</v>
      </c>
      <c r="B68" s="202" t="s">
        <v>228</v>
      </c>
      <c r="C68" s="202" t="s">
        <v>229</v>
      </c>
      <c r="D68" s="202" t="s">
        <v>230</v>
      </c>
      <c r="E68" s="202" t="s">
        <v>228</v>
      </c>
      <c r="F68" s="202" t="s">
        <v>229</v>
      </c>
      <c r="G68" s="203" t="s">
        <v>230</v>
      </c>
      <c r="H68" s="200"/>
    </row>
    <row r="69" spans="1:8" ht="13.5">
      <c r="A69" s="173" t="s">
        <v>231</v>
      </c>
      <c r="B69" s="204">
        <f>BASESAL!F53</f>
        <v>1901538049</v>
      </c>
      <c r="C69" s="204">
        <f>F53</f>
        <v>1899656724</v>
      </c>
      <c r="D69" s="204">
        <f>C69-B69</f>
        <v>-1881325</v>
      </c>
      <c r="E69" s="204">
        <f>BASESAL!H53</f>
        <v>1939568810</v>
      </c>
      <c r="F69" s="204">
        <f>H53</f>
        <v>1942532468</v>
      </c>
      <c r="G69" s="153">
        <f>F69-E69</f>
        <v>2963658</v>
      </c>
      <c r="H69" s="200"/>
    </row>
    <row r="70" spans="1:8" ht="13.5">
      <c r="A70" s="173" t="s">
        <v>232</v>
      </c>
      <c r="B70" s="204">
        <f>BASESAL!F54</f>
        <v>36338122</v>
      </c>
      <c r="C70" s="204">
        <f>+F54</f>
        <v>36035813</v>
      </c>
      <c r="D70" s="204">
        <f>C70-B70</f>
        <v>-302309</v>
      </c>
      <c r="E70" s="204">
        <f>BASESAL!H54</f>
        <v>36338122</v>
      </c>
      <c r="F70" s="204">
        <f>+H54</f>
        <v>36164974</v>
      </c>
      <c r="G70" s="153">
        <f>F70-E70</f>
        <v>-173148</v>
      </c>
      <c r="H70" s="200"/>
    </row>
    <row r="71" spans="1:8" ht="13.5">
      <c r="A71" s="173" t="s">
        <v>190</v>
      </c>
      <c r="B71" s="204">
        <f>BASESAL!F55</f>
        <v>20845444</v>
      </c>
      <c r="C71" s="204">
        <f>+F55</f>
        <v>20672024</v>
      </c>
      <c r="D71" s="204">
        <f>C71-B71</f>
        <v>-173420</v>
      </c>
      <c r="E71" s="204">
        <f>BASESAL!H55</f>
        <v>21262353</v>
      </c>
      <c r="F71" s="204">
        <f>+H55</f>
        <v>21161040</v>
      </c>
      <c r="G71" s="153">
        <f>F71-E71</f>
        <v>-101313</v>
      </c>
      <c r="H71" s="200"/>
    </row>
    <row r="72" spans="1:8" ht="13.5">
      <c r="A72" s="173" t="s">
        <v>233</v>
      </c>
      <c r="B72" s="204">
        <f>BASESAL!F57</f>
        <v>408830681</v>
      </c>
      <c r="C72" s="204">
        <f t="shared" ref="C72:C77" si="0">F57</f>
        <v>408426195.65999997</v>
      </c>
      <c r="D72" s="204">
        <f t="shared" ref="D72:D79" si="1">C72-B72</f>
        <v>-404485.34000003338</v>
      </c>
      <c r="E72" s="204">
        <f>BASESAL!H57</f>
        <v>417007294</v>
      </c>
      <c r="F72" s="204">
        <f t="shared" ref="F72:F77" si="2">H57</f>
        <v>417644480.62</v>
      </c>
      <c r="G72" s="153">
        <f t="shared" ref="G72:G79" si="3">F72-E72</f>
        <v>637186.62000000477</v>
      </c>
      <c r="H72" s="200"/>
    </row>
    <row r="73" spans="1:8" ht="13.5">
      <c r="A73" s="173" t="s">
        <v>265</v>
      </c>
      <c r="B73" s="204">
        <f>BASESAL!F58</f>
        <v>7983749</v>
      </c>
      <c r="C73" s="204">
        <f t="shared" si="0"/>
        <v>7974142</v>
      </c>
      <c r="D73" s="204">
        <f t="shared" si="1"/>
        <v>-9607</v>
      </c>
      <c r="E73" s="204">
        <f>BASESAL!H58</f>
        <v>8140462</v>
      </c>
      <c r="F73" s="204">
        <f t="shared" si="2"/>
        <v>8151423</v>
      </c>
      <c r="G73" s="153">
        <f t="shared" si="3"/>
        <v>10961</v>
      </c>
      <c r="H73" s="200"/>
    </row>
    <row r="74" spans="1:8" ht="13.5">
      <c r="A74" s="173" t="s">
        <v>234</v>
      </c>
      <c r="B74" s="204">
        <f>BASESAL!F59</f>
        <v>7035728</v>
      </c>
      <c r="C74" s="204">
        <f t="shared" si="0"/>
        <v>7027262</v>
      </c>
      <c r="D74" s="204">
        <f t="shared" si="1"/>
        <v>-8466</v>
      </c>
      <c r="E74" s="204">
        <f>BASESAL!H59</f>
        <v>7173832</v>
      </c>
      <c r="F74" s="204">
        <f t="shared" si="2"/>
        <v>7183492</v>
      </c>
      <c r="G74" s="153">
        <f t="shared" si="3"/>
        <v>9660</v>
      </c>
      <c r="H74" s="200"/>
    </row>
    <row r="75" spans="1:8" ht="13.5">
      <c r="A75" s="173" t="s">
        <v>235</v>
      </c>
      <c r="B75" s="204">
        <f>BASESAL!F60</f>
        <v>25529978</v>
      </c>
      <c r="C75" s="204">
        <f t="shared" si="0"/>
        <v>25499256</v>
      </c>
      <c r="D75" s="204">
        <f t="shared" si="1"/>
        <v>-30722</v>
      </c>
      <c r="E75" s="204">
        <f>BASESAL!H60</f>
        <v>26031104</v>
      </c>
      <c r="F75" s="204">
        <f t="shared" si="2"/>
        <v>26066155</v>
      </c>
      <c r="G75" s="153">
        <f t="shared" si="3"/>
        <v>35051</v>
      </c>
      <c r="H75" s="200"/>
    </row>
    <row r="76" spans="1:8" ht="13.5">
      <c r="A76" s="173" t="s">
        <v>236</v>
      </c>
      <c r="B76" s="204">
        <f>BASESAL!F61</f>
        <v>249272063</v>
      </c>
      <c r="C76" s="204">
        <f t="shared" si="0"/>
        <v>248928334</v>
      </c>
      <c r="D76" s="204">
        <f t="shared" si="1"/>
        <v>-343729</v>
      </c>
      <c r="E76" s="204">
        <f>BASESAL!H61</f>
        <v>249272063</v>
      </c>
      <c r="F76" s="204">
        <f t="shared" si="2"/>
        <v>249820466</v>
      </c>
      <c r="G76" s="153">
        <f t="shared" si="3"/>
        <v>548403</v>
      </c>
      <c r="H76" s="200"/>
    </row>
    <row r="77" spans="1:8" ht="14.25" thickBot="1">
      <c r="A77" s="173" t="s">
        <v>237</v>
      </c>
      <c r="B77" s="204">
        <f>BASESAL!F62</f>
        <v>8434255</v>
      </c>
      <c r="C77" s="204">
        <f t="shared" si="0"/>
        <v>8424106</v>
      </c>
      <c r="D77" s="204">
        <f t="shared" si="1"/>
        <v>-10149</v>
      </c>
      <c r="E77" s="204">
        <f>BASESAL!H62</f>
        <v>8599811</v>
      </c>
      <c r="F77" s="204">
        <f t="shared" si="2"/>
        <v>8611391</v>
      </c>
      <c r="G77" s="153">
        <f t="shared" si="3"/>
        <v>11580</v>
      </c>
      <c r="H77" s="200"/>
    </row>
    <row r="78" spans="1:8" ht="13.5">
      <c r="A78" s="205"/>
      <c r="B78" s="206"/>
      <c r="C78" s="206"/>
      <c r="D78" s="206"/>
      <c r="E78" s="206"/>
      <c r="F78" s="206"/>
      <c r="G78" s="207"/>
      <c r="H78" s="208"/>
    </row>
    <row r="79" spans="1:8" ht="14.25" thickBot="1">
      <c r="A79" s="209" t="s">
        <v>238</v>
      </c>
      <c r="B79" s="210">
        <f>SUM(B69:B77)</f>
        <v>2665808069</v>
      </c>
      <c r="C79" s="210">
        <f>SUM(C69:C77)</f>
        <v>2662643856.6599998</v>
      </c>
      <c r="D79" s="210">
        <f t="shared" si="1"/>
        <v>-3164212.3400001526</v>
      </c>
      <c r="E79" s="210">
        <f>SUM(E69:E77)</f>
        <v>2713393851</v>
      </c>
      <c r="F79" s="210">
        <f>SUM(F69:F77)</f>
        <v>2717335889.6199999</v>
      </c>
      <c r="G79" s="211">
        <f t="shared" si="3"/>
        <v>3942038.6199998856</v>
      </c>
      <c r="H79" s="212"/>
    </row>
    <row r="80" spans="1:8" ht="13.5">
      <c r="A80" s="213"/>
      <c r="D80" s="214"/>
      <c r="G80" s="214"/>
    </row>
    <row r="81" spans="4:7" ht="13.5">
      <c r="D81" s="215"/>
      <c r="E81" s="215"/>
      <c r="F81" s="215"/>
      <c r="G81" s="215"/>
    </row>
  </sheetData>
  <mergeCells count="1">
    <mergeCell ref="A1:H1"/>
  </mergeCells>
  <phoneticPr fontId="0" type="noConversion"/>
  <printOptions horizontalCentered="1" headings="1"/>
  <pageMargins left="0.5" right="0.5" top="0.5" bottom="0.5" header="0.25" footer="0.5"/>
  <pageSetup scale="67" orientation="portrait" r:id="rId1"/>
  <headerFooter alignWithMargins="0">
    <oddFooter>&amp;L&amp;D &amp;T&amp;C&amp;P of &amp;N&amp;R&amp;F &amp;A</oddFooter>
  </headerFooter>
  <legacyDrawing r:id="rId2"/>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sheetPr codeName="Sheet8" enableFormatConditionsCalculation="0">
    <pageSetUpPr fitToPage="1"/>
  </sheetPr>
  <dimension ref="A1:H84"/>
  <sheetViews>
    <sheetView topLeftCell="A34" zoomScale="125" workbookViewId="0">
      <selection activeCell="F55" sqref="F55"/>
    </sheetView>
  </sheetViews>
  <sheetFormatPr defaultColWidth="8.85546875" defaultRowHeight="12.75"/>
  <cols>
    <col min="1" max="1" width="30.42578125" style="13" bestFit="1" customWidth="1"/>
    <col min="2" max="2" width="9.85546875" style="9" customWidth="1"/>
    <col min="3" max="3" width="10.140625" style="9" customWidth="1"/>
    <col min="4" max="5" width="9.85546875" style="9" bestFit="1" customWidth="1"/>
    <col min="6" max="6" width="10.28515625" style="9" customWidth="1"/>
    <col min="7" max="7" width="8.85546875" style="9"/>
    <col min="8" max="8" width="9.85546875" style="9" customWidth="1"/>
    <col min="9" max="16384" width="8.85546875" style="9"/>
  </cols>
  <sheetData>
    <row r="1" spans="1:8" ht="14.25" thickBot="1">
      <c r="A1" s="1058" t="s">
        <v>353</v>
      </c>
      <c r="B1" s="1059"/>
      <c r="C1" s="1059"/>
      <c r="D1" s="1059"/>
      <c r="E1" s="1059"/>
      <c r="F1" s="1059"/>
      <c r="G1" s="1059"/>
      <c r="H1" s="1060"/>
    </row>
    <row r="2" spans="1:8" ht="13.5">
      <c r="A2" s="71"/>
      <c r="B2" s="119" t="str">
        <f>BASESAL!B2</f>
        <v>FY10</v>
      </c>
      <c r="C2" s="120" t="str">
        <f>BASESAL!C2</f>
        <v>FY11</v>
      </c>
      <c r="D2" s="120" t="str">
        <f>BASESAL!D2</f>
        <v>FY11</v>
      </c>
      <c r="E2" s="120" t="str">
        <f>BASESAL!E2</f>
        <v>FY12</v>
      </c>
      <c r="F2" s="120" t="str">
        <f>BASESAL!F2</f>
        <v>FY12</v>
      </c>
      <c r="G2" s="120" t="str">
        <f>BASESAL!G2</f>
        <v>FY13</v>
      </c>
      <c r="H2" s="121" t="str">
        <f>BASESAL!H2</f>
        <v>FY13</v>
      </c>
    </row>
    <row r="3" spans="1:8" ht="14.25" thickBot="1">
      <c r="A3" s="122"/>
      <c r="B3" s="123" t="s">
        <v>205</v>
      </c>
      <c r="C3" s="109" t="s">
        <v>205</v>
      </c>
      <c r="D3" s="109" t="s">
        <v>206</v>
      </c>
      <c r="E3" s="109" t="s">
        <v>205</v>
      </c>
      <c r="F3" s="109" t="s">
        <v>206</v>
      </c>
      <c r="G3" s="109" t="s">
        <v>205</v>
      </c>
      <c r="H3" s="124" t="s">
        <v>206</v>
      </c>
    </row>
    <row r="4" spans="1:8" ht="13.5">
      <c r="A4" s="205" t="s">
        <v>207</v>
      </c>
      <c r="B4" s="608">
        <f>M200SAL!B4</f>
        <v>425527.2</v>
      </c>
      <c r="C4" s="608">
        <f>M200SAL!C4</f>
        <v>422569.6</v>
      </c>
      <c r="D4" s="608"/>
      <c r="E4" s="608">
        <f>M200SAL!E4</f>
        <v>421987.1</v>
      </c>
      <c r="F4" s="608"/>
      <c r="G4" s="608">
        <f>M200SAL!G4</f>
        <v>423499.6</v>
      </c>
      <c r="H4" s="609"/>
    </row>
    <row r="5" spans="1:8" ht="13.5">
      <c r="A5" s="173" t="s">
        <v>208</v>
      </c>
      <c r="B5" s="126"/>
      <c r="C5" s="126"/>
      <c r="D5" s="127">
        <f>M200SAL!H5</f>
        <v>39166</v>
      </c>
      <c r="E5" s="127"/>
      <c r="F5" s="127">
        <f>D5</f>
        <v>39166</v>
      </c>
      <c r="G5" s="127"/>
      <c r="H5" s="128">
        <f>F5</f>
        <v>39166</v>
      </c>
    </row>
    <row r="6" spans="1:8" ht="13.5">
      <c r="A6" s="173"/>
      <c r="B6" s="126"/>
      <c r="C6" s="126"/>
      <c r="D6" s="127"/>
      <c r="E6" s="127"/>
      <c r="F6" s="127"/>
      <c r="G6" s="127"/>
      <c r="H6" s="128"/>
    </row>
    <row r="7" spans="1:8" ht="13.5">
      <c r="A7" s="131"/>
      <c r="B7" s="126"/>
      <c r="C7" s="126"/>
      <c r="D7" s="126"/>
      <c r="E7" s="126"/>
      <c r="F7" s="126"/>
      <c r="G7" s="126"/>
      <c r="H7" s="130"/>
    </row>
    <row r="8" spans="1:8" ht="13.5">
      <c r="A8" s="174" t="s">
        <v>210</v>
      </c>
      <c r="B8" s="126"/>
      <c r="C8" s="126"/>
      <c r="D8" s="126"/>
      <c r="E8" s="126"/>
      <c r="F8" s="126"/>
      <c r="G8" s="126"/>
      <c r="H8" s="130"/>
    </row>
    <row r="9" spans="1:8" ht="13.5">
      <c r="A9" s="73" t="s">
        <v>211</v>
      </c>
      <c r="B9" s="175">
        <f>M200SAL!B8</f>
        <v>20489.149999999998</v>
      </c>
      <c r="C9" s="175">
        <f>M200SAL!C8</f>
        <v>-143.95999999999913</v>
      </c>
      <c r="D9" s="134"/>
      <c r="E9" s="176">
        <f>(B9)</f>
        <v>20489.149999999998</v>
      </c>
      <c r="F9" s="134"/>
      <c r="G9" s="176">
        <f>(E13)</f>
        <v>20317.14</v>
      </c>
      <c r="H9" s="136"/>
    </row>
    <row r="10" spans="1:8" ht="13.5">
      <c r="A10" s="73" t="s">
        <v>212</v>
      </c>
      <c r="B10" s="175">
        <f>M200SAL!B9</f>
        <v>20.77</v>
      </c>
      <c r="C10" s="137"/>
      <c r="D10" s="134">
        <f>ROUND(C9*D5,0)</f>
        <v>-5638337</v>
      </c>
      <c r="E10" s="176">
        <f>(C9)</f>
        <v>-143.95999999999913</v>
      </c>
      <c r="F10" s="134">
        <f>ROUND(D10*1.02,0)</f>
        <v>-5751104</v>
      </c>
      <c r="G10" s="175"/>
      <c r="H10" s="136">
        <f>ROUND(F10*1.02,0)</f>
        <v>-5866126</v>
      </c>
    </row>
    <row r="11" spans="1:8" ht="13.5">
      <c r="A11" s="73" t="s">
        <v>213</v>
      </c>
      <c r="B11" s="139"/>
      <c r="C11" s="139"/>
      <c r="D11" s="134">
        <f>ROUND(B9*B13,0)</f>
        <v>1105799426</v>
      </c>
      <c r="E11" s="175"/>
      <c r="F11" s="134">
        <f>ROUND(D11*1.02,0)</f>
        <v>1127915415</v>
      </c>
      <c r="G11" s="175"/>
      <c r="H11" s="136">
        <f>ROUND((F11+F12)*1.02,0)</f>
        <v>1149353145</v>
      </c>
    </row>
    <row r="12" spans="1:8" ht="13.5">
      <c r="A12" s="73" t="str">
        <f>BASESAL!A11</f>
        <v>FY 10 AVG SALARY</v>
      </c>
      <c r="B12" s="141">
        <f>M200SAL!B11</f>
        <v>53436</v>
      </c>
      <c r="C12" s="141"/>
      <c r="D12" s="134"/>
      <c r="E12" s="177">
        <f>ROUND((E$4/B10)-E9-E10,2)</f>
        <v>-28.05</v>
      </c>
      <c r="F12" s="143">
        <f>ROUND(E12*F5,0)</f>
        <v>-1098606</v>
      </c>
      <c r="G12" s="177">
        <f>ROUND((G$4/B10)-G9-G10,2)</f>
        <v>72.83</v>
      </c>
      <c r="H12" s="144">
        <f>ROUND(G12*H5,0)</f>
        <v>2852460</v>
      </c>
    </row>
    <row r="13" spans="1:8" ht="13.5">
      <c r="A13" s="73" t="str">
        <f>M200SAL!A12</f>
        <v>FY11 = FY10  @ 1% Roll-Up Plus 0% Cola</v>
      </c>
      <c r="B13" s="141">
        <f>M200SAL!B12</f>
        <v>53970</v>
      </c>
      <c r="C13" s="139"/>
      <c r="D13" s="134"/>
      <c r="E13" s="178">
        <f>SUM(E9:E12)</f>
        <v>20317.14</v>
      </c>
      <c r="F13" s="146">
        <f>SUM(F9:F12)</f>
        <v>1121065705</v>
      </c>
      <c r="G13" s="178">
        <f>SUM(G9:G12)</f>
        <v>20389.97</v>
      </c>
      <c r="H13" s="147">
        <f>SUM(H9:H12)</f>
        <v>1146339479</v>
      </c>
    </row>
    <row r="14" spans="1:8" ht="13.5">
      <c r="A14" s="173"/>
      <c r="B14" s="134"/>
      <c r="C14" s="134"/>
      <c r="D14" s="134"/>
      <c r="E14" s="126"/>
      <c r="F14" s="126"/>
      <c r="G14" s="126"/>
      <c r="H14" s="130"/>
    </row>
    <row r="15" spans="1:8" ht="13.5">
      <c r="A15" s="131" t="s">
        <v>210</v>
      </c>
      <c r="B15" s="126"/>
      <c r="C15" s="126"/>
      <c r="D15" s="126"/>
      <c r="E15" s="126"/>
      <c r="F15" s="126"/>
      <c r="G15" s="126"/>
      <c r="H15" s="130"/>
    </row>
    <row r="16" spans="1:8" ht="13.5">
      <c r="A16" s="73" t="s">
        <v>214</v>
      </c>
      <c r="B16" s="175">
        <f>M200SAL!B15</f>
        <v>2051.3000000000002</v>
      </c>
      <c r="C16" s="175">
        <f>M200SAL!C15</f>
        <v>-14.230000000000246</v>
      </c>
      <c r="D16" s="134"/>
      <c r="E16" s="176">
        <f>(B16)</f>
        <v>2051.3000000000002</v>
      </c>
      <c r="F16" s="134"/>
      <c r="G16" s="176">
        <f>(E20)</f>
        <v>2034.26</v>
      </c>
      <c r="H16" s="136"/>
    </row>
    <row r="17" spans="1:8" ht="13.5">
      <c r="A17" s="73" t="s">
        <v>212</v>
      </c>
      <c r="B17" s="175">
        <f>M200SAL!B16</f>
        <v>207.44</v>
      </c>
      <c r="C17" s="137"/>
      <c r="D17" s="134">
        <f>ROUND(C16*DSADATABASE!K15,0)</f>
        <v>-330819</v>
      </c>
      <c r="E17" s="176">
        <f>(C16)</f>
        <v>-14.230000000000246</v>
      </c>
      <c r="F17" s="134">
        <f>ROUND(D17*1.02,0)</f>
        <v>-337435</v>
      </c>
      <c r="G17" s="175"/>
      <c r="H17" s="136">
        <f>ROUND(F17*1.02,0)</f>
        <v>-344184</v>
      </c>
    </row>
    <row r="18" spans="1:8" ht="13.5">
      <c r="A18" s="73" t="s">
        <v>213</v>
      </c>
      <c r="B18" s="139"/>
      <c r="C18" s="139"/>
      <c r="D18" s="134">
        <f>ROUND(B16*B20,0)</f>
        <v>64220049</v>
      </c>
      <c r="E18" s="175"/>
      <c r="F18" s="134">
        <f>ROUND(D18*1.02,0)</f>
        <v>65504450</v>
      </c>
      <c r="G18" s="175"/>
      <c r="H18" s="136">
        <f>ROUND((F18+F19)*1.02,0)</f>
        <v>66747905</v>
      </c>
    </row>
    <row r="19" spans="1:8" ht="13.5">
      <c r="A19" s="73" t="str">
        <f>$A$12</f>
        <v>FY 10 AVG SALARY</v>
      </c>
      <c r="B19" s="141">
        <f>M200SAL!B18</f>
        <v>30997</v>
      </c>
      <c r="C19" s="141"/>
      <c r="D19" s="134"/>
      <c r="E19" s="177">
        <f>ROUND((E$4/B17)-E16-E17,2)</f>
        <v>-2.81</v>
      </c>
      <c r="F19" s="143">
        <f>ROUND(E19*DSADATABASE!$K$15,0)</f>
        <v>-65327</v>
      </c>
      <c r="G19" s="177">
        <f>ROUND((G$4/B17)-G16-G17,2)</f>
        <v>7.29</v>
      </c>
      <c r="H19" s="144">
        <f>ROUND(G19*DSADATABASE!$K$15,0)</f>
        <v>169478</v>
      </c>
    </row>
    <row r="20" spans="1:8" ht="13.5">
      <c r="A20" s="73" t="str">
        <f>$A$13</f>
        <v>FY11 = FY10  @ 1% Roll-Up Plus 0% Cola</v>
      </c>
      <c r="B20" s="141">
        <f>M200SAL!B19</f>
        <v>31307</v>
      </c>
      <c r="C20" s="139"/>
      <c r="D20" s="134"/>
      <c r="E20" s="178">
        <f>SUM(E16:E19)</f>
        <v>2034.26</v>
      </c>
      <c r="F20" s="146">
        <f>SUM(F16:F19)</f>
        <v>65101688</v>
      </c>
      <c r="G20" s="178">
        <f>SUM(G16:G19)</f>
        <v>2041.55</v>
      </c>
      <c r="H20" s="147">
        <f>SUM(H16:H19)</f>
        <v>66573199</v>
      </c>
    </row>
    <row r="21" spans="1:8" ht="13.5">
      <c r="A21" s="173"/>
      <c r="B21" s="126"/>
      <c r="C21" s="126"/>
      <c r="D21" s="126"/>
      <c r="E21" s="126"/>
      <c r="F21" s="126"/>
      <c r="G21" s="126"/>
      <c r="H21" s="130"/>
    </row>
    <row r="22" spans="1:8" ht="13.5">
      <c r="A22" s="131" t="s">
        <v>215</v>
      </c>
      <c r="B22" s="134"/>
      <c r="C22" s="134"/>
      <c r="D22" s="134"/>
      <c r="E22" s="134"/>
      <c r="F22" s="134"/>
      <c r="G22" s="134"/>
      <c r="H22" s="136"/>
    </row>
    <row r="23" spans="1:8" ht="13.5">
      <c r="A23" s="73" t="s">
        <v>211</v>
      </c>
      <c r="B23" s="175">
        <f>M200SAL!B22</f>
        <v>2328.71</v>
      </c>
      <c r="C23" s="175">
        <f>M200SAL!C22</f>
        <v>-16.170000000000073</v>
      </c>
      <c r="D23" s="134"/>
      <c r="E23" s="176">
        <f>(B23)</f>
        <v>2328.71</v>
      </c>
      <c r="F23" s="134"/>
      <c r="G23" s="176">
        <f>(E27)</f>
        <v>2309.35</v>
      </c>
      <c r="H23" s="136"/>
    </row>
    <row r="24" spans="1:8" ht="13.5">
      <c r="A24" s="73" t="s">
        <v>212</v>
      </c>
      <c r="B24" s="175">
        <f>M200SAL!B23</f>
        <v>182.73</v>
      </c>
      <c r="C24" s="137"/>
      <c r="D24" s="134">
        <f>ROUND(C23*DSADATABASE!K16,0)</f>
        <v>-790438</v>
      </c>
      <c r="E24" s="176">
        <f>(C23)</f>
        <v>-16.170000000000073</v>
      </c>
      <c r="F24" s="134">
        <f>ROUND(D24*1.02,0)</f>
        <v>-806247</v>
      </c>
      <c r="G24" s="175"/>
      <c r="H24" s="136">
        <f>ROUND(F24*1.02,0)</f>
        <v>-822372</v>
      </c>
    </row>
    <row r="25" spans="1:8" ht="13.5">
      <c r="A25" s="73" t="s">
        <v>213</v>
      </c>
      <c r="B25" s="139"/>
      <c r="C25" s="139"/>
      <c r="D25" s="134">
        <f>ROUND(B23*B27,0)</f>
        <v>153296651</v>
      </c>
      <c r="E25" s="175"/>
      <c r="F25" s="134">
        <f>ROUND(D25*1.02,0)</f>
        <v>156362584</v>
      </c>
      <c r="G25" s="175"/>
      <c r="H25" s="136">
        <f>ROUND((F25+F26)*1.02,0)</f>
        <v>159330780</v>
      </c>
    </row>
    <row r="26" spans="1:8" ht="13.5">
      <c r="A26" s="73" t="str">
        <f>$A$12</f>
        <v>FY 10 AVG SALARY</v>
      </c>
      <c r="B26" s="141">
        <f>M200SAL!B25</f>
        <v>65177</v>
      </c>
      <c r="C26" s="141"/>
      <c r="D26" s="134"/>
      <c r="E26" s="177">
        <f>ROUND((E$4/B24)-E23-E24,2)</f>
        <v>-3.19</v>
      </c>
      <c r="F26" s="143">
        <f>ROUND(E26*DSADATABASE!$K$16,0)</f>
        <v>-155937</v>
      </c>
      <c r="G26" s="177">
        <f>ROUND((G$4/B24)-G23-G24,2)</f>
        <v>8.27</v>
      </c>
      <c r="H26" s="144">
        <f>ROUND(G26*DSADATABASE!$K$16,0)</f>
        <v>404262</v>
      </c>
    </row>
    <row r="27" spans="1:8" ht="13.5">
      <c r="A27" s="73" t="str">
        <f>$A$13</f>
        <v>FY11 = FY10  @ 1% Roll-Up Plus 0% Cola</v>
      </c>
      <c r="B27" s="141">
        <f>M200SAL!B26</f>
        <v>65829</v>
      </c>
      <c r="C27" s="139"/>
      <c r="D27" s="134"/>
      <c r="E27" s="178">
        <f>SUM(E23:E26)</f>
        <v>2309.35</v>
      </c>
      <c r="F27" s="146">
        <f>SUM(F23:F26)</f>
        <v>155400400</v>
      </c>
      <c r="G27" s="178">
        <f>SUM(G23:G26)</f>
        <v>2317.62</v>
      </c>
      <c r="H27" s="147">
        <f>SUM(H23:H26)</f>
        <v>158912670</v>
      </c>
    </row>
    <row r="28" spans="1:8" ht="13.5">
      <c r="A28" s="173"/>
      <c r="B28" s="134"/>
      <c r="C28" s="134"/>
      <c r="D28" s="134"/>
      <c r="E28" s="134"/>
      <c r="F28" s="134"/>
      <c r="G28" s="134"/>
      <c r="H28" s="136"/>
    </row>
    <row r="29" spans="1:8" ht="13.5">
      <c r="A29" s="131" t="s">
        <v>214</v>
      </c>
      <c r="B29" s="175">
        <f>M200SAL!B28</f>
        <v>959.07</v>
      </c>
      <c r="C29" s="175">
        <f>M200SAL!C28</f>
        <v>-6.6700000000000728</v>
      </c>
      <c r="D29" s="134"/>
      <c r="E29" s="176">
        <f>(B29)</f>
        <v>959.07</v>
      </c>
      <c r="F29" s="134"/>
      <c r="G29" s="176">
        <f>(E33)</f>
        <v>951.09</v>
      </c>
      <c r="H29" s="136"/>
    </row>
    <row r="30" spans="1:8" ht="13.5">
      <c r="A30" s="73" t="s">
        <v>212</v>
      </c>
      <c r="B30" s="175">
        <f>M200SAL!B29</f>
        <v>443.69</v>
      </c>
      <c r="C30" s="137"/>
      <c r="D30" s="134">
        <f>ROUND(C29*DSADATABASE!K17,0)</f>
        <v>-195925</v>
      </c>
      <c r="E30" s="176">
        <f>(C29)</f>
        <v>-6.6700000000000728</v>
      </c>
      <c r="F30" s="134">
        <f>ROUND(D30*1.02,0)</f>
        <v>-199844</v>
      </c>
      <c r="G30" s="175"/>
      <c r="H30" s="136">
        <f>ROUND(F30*1.02,0)</f>
        <v>-203841</v>
      </c>
    </row>
    <row r="31" spans="1:8" ht="13.5">
      <c r="A31" s="73" t="s">
        <v>213</v>
      </c>
      <c r="B31" s="139"/>
      <c r="C31" s="139"/>
      <c r="D31" s="134">
        <f>ROUND(B29*B33,0)</f>
        <v>37937932</v>
      </c>
      <c r="E31" s="175"/>
      <c r="F31" s="134">
        <f>ROUND(D31*1.02,0)</f>
        <v>38696691</v>
      </c>
      <c r="G31" s="175"/>
      <c r="H31" s="136">
        <f>ROUND((F31+F32)*1.02,0)</f>
        <v>39431375</v>
      </c>
    </row>
    <row r="32" spans="1:8" ht="13.5">
      <c r="A32" s="73" t="str">
        <f>$A$12</f>
        <v>FY 10 AVG SALARY</v>
      </c>
      <c r="B32" s="141">
        <f>M200SAL!B31</f>
        <v>39165</v>
      </c>
      <c r="C32" s="141"/>
      <c r="D32" s="134"/>
      <c r="E32" s="177">
        <f>ROUND((E$4/B30)-E29-E30,2)</f>
        <v>-1.31</v>
      </c>
      <c r="F32" s="143">
        <f>ROUND(E32*DSADATABASE!$K$17,0)</f>
        <v>-38480</v>
      </c>
      <c r="G32" s="177">
        <f>ROUND((G$4/B30)-G29-G30,2)</f>
        <v>3.4</v>
      </c>
      <c r="H32" s="144">
        <f>ROUND(G32*DSADATABASE!$K$17,0)</f>
        <v>99872</v>
      </c>
    </row>
    <row r="33" spans="1:8" ht="13.5">
      <c r="A33" s="73" t="str">
        <f>$A$13</f>
        <v>FY11 = FY10  @ 1% Roll-Up Plus 0% Cola</v>
      </c>
      <c r="B33" s="141">
        <f>M200SAL!B32</f>
        <v>39557</v>
      </c>
      <c r="C33" s="139"/>
      <c r="D33" s="134"/>
      <c r="E33" s="178">
        <f>SUM(E29:E32)</f>
        <v>951.09</v>
      </c>
      <c r="F33" s="146">
        <f>SUM(F29:F32)</f>
        <v>38458367</v>
      </c>
      <c r="G33" s="178">
        <f>SUM(G29:G32)</f>
        <v>954.49</v>
      </c>
      <c r="H33" s="147">
        <f>SUM(H29:H32)</f>
        <v>39327406</v>
      </c>
    </row>
    <row r="34" spans="1:8" ht="13.5">
      <c r="A34" s="173"/>
      <c r="B34" s="126"/>
      <c r="C34" s="126"/>
      <c r="D34" s="126"/>
      <c r="E34" s="126"/>
      <c r="F34" s="126"/>
      <c r="G34" s="126"/>
      <c r="H34" s="130"/>
    </row>
    <row r="35" spans="1:8" ht="13.5">
      <c r="A35" s="131" t="s">
        <v>216</v>
      </c>
      <c r="B35" s="134"/>
      <c r="C35" s="134"/>
      <c r="D35" s="134"/>
      <c r="E35" s="134"/>
      <c r="F35" s="134"/>
      <c r="G35" s="134"/>
      <c r="H35" s="136"/>
    </row>
    <row r="36" spans="1:8" ht="13.5">
      <c r="A36" s="73" t="s">
        <v>211</v>
      </c>
      <c r="B36" s="175">
        <f>M200SAL!B35</f>
        <v>1405.47</v>
      </c>
      <c r="C36" s="175">
        <f>M200SAL!C35</f>
        <v>-9.7899999999999636</v>
      </c>
      <c r="D36" s="134"/>
      <c r="E36" s="176">
        <f>(B36)</f>
        <v>1405.47</v>
      </c>
      <c r="F36" s="134"/>
      <c r="G36" s="176">
        <f>(E40)</f>
        <v>1393.75</v>
      </c>
      <c r="H36" s="136"/>
    </row>
    <row r="37" spans="1:8" ht="13.5">
      <c r="A37" s="73" t="s">
        <v>212</v>
      </c>
      <c r="B37" s="175">
        <f>M200SAL!B36</f>
        <v>302.77</v>
      </c>
      <c r="C37" s="137"/>
      <c r="D37" s="134">
        <f>ROUND(C36*DSADATABASE!K18,0)</f>
        <v>-643967</v>
      </c>
      <c r="E37" s="176">
        <f>(C36)</f>
        <v>-9.7899999999999636</v>
      </c>
      <c r="F37" s="134">
        <f>ROUND(D37*1.02,0)</f>
        <v>-656846</v>
      </c>
      <c r="G37" s="175"/>
      <c r="H37" s="136">
        <f>ROUND(F37*1.02,0)</f>
        <v>-669983</v>
      </c>
    </row>
    <row r="38" spans="1:8" ht="13.5">
      <c r="A38" s="73" t="s">
        <v>213</v>
      </c>
      <c r="B38" s="139"/>
      <c r="C38" s="139"/>
      <c r="D38" s="134">
        <f>ROUND(B36*B40,0)</f>
        <v>124497938</v>
      </c>
      <c r="E38" s="175"/>
      <c r="F38" s="134">
        <f>ROUND(D38*1.02,0)</f>
        <v>126987897</v>
      </c>
      <c r="G38" s="175"/>
      <c r="H38" s="136">
        <f>ROUND((F38+F39)*1.02,0)</f>
        <v>129398164</v>
      </c>
    </row>
    <row r="39" spans="1:8" ht="13.5">
      <c r="A39" s="73" t="str">
        <f>$A$12</f>
        <v>FY 10 AVG SALARY</v>
      </c>
      <c r="B39" s="141">
        <f>M200SAL!B38</f>
        <v>87704</v>
      </c>
      <c r="C39" s="141"/>
      <c r="D39" s="134"/>
      <c r="E39" s="177">
        <f>ROUND((E$4/B37)-E36-E37,2)</f>
        <v>-1.93</v>
      </c>
      <c r="F39" s="143">
        <f>ROUND(E39*DSADATABASE!$K$18,0)</f>
        <v>-126952</v>
      </c>
      <c r="G39" s="177">
        <f>ROUND((G$4/B37)-G36-G37,2)</f>
        <v>5</v>
      </c>
      <c r="H39" s="144">
        <f>ROUND(G39*DSADATABASE!$K$18,0)</f>
        <v>328890</v>
      </c>
    </row>
    <row r="40" spans="1:8" ht="13.5">
      <c r="A40" s="73" t="str">
        <f>$A$13</f>
        <v>FY11 = FY10  @ 1% Roll-Up Plus 0% Cola</v>
      </c>
      <c r="B40" s="141">
        <f>M200SAL!B39</f>
        <v>88581</v>
      </c>
      <c r="C40" s="139"/>
      <c r="D40" s="134"/>
      <c r="E40" s="178">
        <f>SUM(E36:E39)</f>
        <v>1393.75</v>
      </c>
      <c r="F40" s="146">
        <f>SUM(F36:F39)</f>
        <v>126204099</v>
      </c>
      <c r="G40" s="178">
        <f>SUM(G36:G39)</f>
        <v>1398.75</v>
      </c>
      <c r="H40" s="147">
        <f>SUM(H36:H39)</f>
        <v>129057071</v>
      </c>
    </row>
    <row r="41" spans="1:8" ht="13.5">
      <c r="A41" s="173"/>
      <c r="B41" s="134"/>
      <c r="C41" s="134"/>
      <c r="D41" s="134"/>
      <c r="E41" s="134"/>
      <c r="F41" s="134"/>
      <c r="G41" s="134"/>
      <c r="H41" s="136"/>
    </row>
    <row r="42" spans="1:8" ht="13.5">
      <c r="A42" s="131" t="s">
        <v>214</v>
      </c>
      <c r="B42" s="175">
        <f>M200SAL!B41</f>
        <v>2881.37</v>
      </c>
      <c r="C42" s="175">
        <f>M200SAL!C41</f>
        <v>-19.980000000000018</v>
      </c>
      <c r="D42" s="134"/>
      <c r="E42" s="176">
        <f>(B42)</f>
        <v>2881.37</v>
      </c>
      <c r="F42" s="134"/>
      <c r="G42" s="176">
        <f>(E46)</f>
        <v>2857.44</v>
      </c>
      <c r="H42" s="136"/>
    </row>
    <row r="43" spans="1:8" ht="13.5">
      <c r="A43" s="73" t="s">
        <v>212</v>
      </c>
      <c r="B43" s="175">
        <f>M200SAL!B42</f>
        <v>147.68</v>
      </c>
      <c r="C43" s="137"/>
      <c r="D43" s="134">
        <f>ROUND(C42*DSADATABASE!K19,0)</f>
        <v>-692447</v>
      </c>
      <c r="E43" s="176">
        <f>(C42)</f>
        <v>-19.980000000000018</v>
      </c>
      <c r="F43" s="134">
        <f>ROUND(D43*1.02,0)</f>
        <v>-706296</v>
      </c>
      <c r="G43" s="175"/>
      <c r="H43" s="136">
        <f>ROUND(F43*1.02,0)</f>
        <v>-720422</v>
      </c>
    </row>
    <row r="44" spans="1:8" ht="13.5">
      <c r="A44" s="73" t="s">
        <v>213</v>
      </c>
      <c r="B44" s="139"/>
      <c r="C44" s="139"/>
      <c r="D44" s="134">
        <f>ROUND(B42*B46,0)</f>
        <v>133145226</v>
      </c>
      <c r="E44" s="175"/>
      <c r="F44" s="134">
        <f>ROUND(D44*1.02,0)</f>
        <v>135808131</v>
      </c>
      <c r="G44" s="175"/>
      <c r="H44" s="136">
        <f>ROUND((F44+F45)*1.02,0)</f>
        <v>138384661</v>
      </c>
    </row>
    <row r="45" spans="1:8" ht="13.5">
      <c r="A45" s="73" t="str">
        <f>$A$12</f>
        <v>FY 10 AVG SALARY</v>
      </c>
      <c r="B45" s="141">
        <f>M200SAL!B44</f>
        <v>46209</v>
      </c>
      <c r="C45" s="141"/>
      <c r="D45" s="134"/>
      <c r="E45" s="177">
        <f>ROUND((E$4/B43)-E42-E43,2)</f>
        <v>-3.95</v>
      </c>
      <c r="F45" s="143">
        <f>ROUND(E45*DSADATABASE!$K$19,0)</f>
        <v>-136895</v>
      </c>
      <c r="G45" s="177">
        <f>ROUND((G$4/B43)-G42-G43,2)</f>
        <v>10.24</v>
      </c>
      <c r="H45" s="144">
        <f>ROUND(G45*DSADATABASE!$K$19,0)</f>
        <v>354888</v>
      </c>
    </row>
    <row r="46" spans="1:8" ht="13.5">
      <c r="A46" s="73" t="str">
        <f>$A$13</f>
        <v>FY11 = FY10  @ 1% Roll-Up Plus 0% Cola</v>
      </c>
      <c r="B46" s="141">
        <f>M200SAL!B45</f>
        <v>46209</v>
      </c>
      <c r="C46" s="139"/>
      <c r="D46" s="134"/>
      <c r="E46" s="178">
        <f>SUM(E42:E45)</f>
        <v>2857.44</v>
      </c>
      <c r="F46" s="146">
        <f>SUM(F42:F45)</f>
        <v>134964940</v>
      </c>
      <c r="G46" s="178">
        <f>SUM(G42:G45)</f>
        <v>2867.68</v>
      </c>
      <c r="H46" s="147">
        <f>SUM(H42:H45)</f>
        <v>138019127</v>
      </c>
    </row>
    <row r="47" spans="1:8" ht="13.5">
      <c r="A47" s="173"/>
      <c r="B47" s="126"/>
      <c r="C47" s="126"/>
      <c r="D47" s="126"/>
      <c r="E47" s="126"/>
      <c r="F47" s="126"/>
      <c r="G47" s="126"/>
      <c r="H47" s="130"/>
    </row>
    <row r="48" spans="1:8" ht="13.5">
      <c r="A48" s="131" t="s">
        <v>432</v>
      </c>
      <c r="B48" s="175">
        <f>M200SAL!B47</f>
        <v>5844.97</v>
      </c>
      <c r="C48" s="175">
        <f>M200SAL!C47</f>
        <v>-40.440000000000509</v>
      </c>
      <c r="D48" s="134"/>
      <c r="E48" s="176">
        <f>(B48)</f>
        <v>5844.97</v>
      </c>
      <c r="F48" s="134"/>
      <c r="G48" s="176">
        <f>(E52)</f>
        <v>5796.53</v>
      </c>
      <c r="H48" s="136"/>
    </row>
    <row r="49" spans="1:8" ht="13.5">
      <c r="A49" s="73" t="s">
        <v>212</v>
      </c>
      <c r="B49" s="175">
        <f>M200SAL!B48</f>
        <v>72.8</v>
      </c>
      <c r="C49" s="137"/>
      <c r="D49" s="134">
        <f>ROUND(C48*DSADATABASE!K20,0)</f>
        <v>-1309892</v>
      </c>
      <c r="E49" s="176">
        <f>(C48)</f>
        <v>-40.440000000000509</v>
      </c>
      <c r="F49" s="134">
        <f>ROUND(D49*1.02,0)</f>
        <v>-1336090</v>
      </c>
      <c r="G49" s="175"/>
      <c r="H49" s="136">
        <f>ROUND(F49*1.02,0)</f>
        <v>-1362812</v>
      </c>
    </row>
    <row r="50" spans="1:8" ht="13.5">
      <c r="A50" s="73" t="s">
        <v>213</v>
      </c>
      <c r="B50" s="139"/>
      <c r="C50" s="139"/>
      <c r="D50" s="134">
        <f>ROUND(B48*B52,0)</f>
        <v>254957591</v>
      </c>
      <c r="E50" s="175"/>
      <c r="F50" s="134">
        <f>ROUND(D50*1.02,0)</f>
        <v>260056743</v>
      </c>
      <c r="G50" s="175"/>
      <c r="H50" s="136">
        <f>ROUND((F50+F51)*1.02,0)</f>
        <v>264993567</v>
      </c>
    </row>
    <row r="51" spans="1:8" ht="13.5">
      <c r="A51" s="73" t="str">
        <f>$A$12</f>
        <v>FY 10 AVG SALARY</v>
      </c>
      <c r="B51" s="141">
        <f>M200SAL!B50</f>
        <v>43188</v>
      </c>
      <c r="C51" s="141"/>
      <c r="D51" s="134"/>
      <c r="E51" s="177">
        <f>ROUND((E$4/B49)-E48-E49,2)</f>
        <v>-8</v>
      </c>
      <c r="F51" s="143">
        <f>ROUND(E51*DSADATABASE!$K$20,0)</f>
        <v>-259128</v>
      </c>
      <c r="G51" s="177">
        <f>ROUND((G$4/B49)-G48-G49,2)</f>
        <v>20.77</v>
      </c>
      <c r="H51" s="144">
        <f>ROUND(G51*DSADATABASE!$K$20,0)</f>
        <v>672761</v>
      </c>
    </row>
    <row r="52" spans="1:8" ht="13.5">
      <c r="A52" s="73" t="str">
        <f>$A$13</f>
        <v>FY11 = FY10  @ 1% Roll-Up Plus 0% Cola</v>
      </c>
      <c r="B52" s="141">
        <f>M200SAL!B51</f>
        <v>43620</v>
      </c>
      <c r="C52" s="139"/>
      <c r="D52" s="134"/>
      <c r="E52" s="178">
        <f>SUM(E48:E51)</f>
        <v>5796.53</v>
      </c>
      <c r="F52" s="146">
        <f>SUM(F48:F51)</f>
        <v>258461525</v>
      </c>
      <c r="G52" s="178">
        <f>SUM(G48:G51)</f>
        <v>5817.3</v>
      </c>
      <c r="H52" s="147">
        <f>SUM(H48:H51)</f>
        <v>264303516</v>
      </c>
    </row>
    <row r="53" spans="1:8" ht="13.5">
      <c r="A53" s="173"/>
      <c r="B53" s="126"/>
      <c r="C53" s="126"/>
      <c r="D53" s="126"/>
      <c r="E53" s="149"/>
      <c r="F53" s="126"/>
      <c r="G53" s="149"/>
      <c r="H53" s="130"/>
    </row>
    <row r="54" spans="1:8" ht="13.5">
      <c r="A54" s="73" t="s">
        <v>60</v>
      </c>
      <c r="B54" s="181">
        <f>+B9+B16+B23+B29+B36+B42+B48</f>
        <v>35960.039999999994</v>
      </c>
      <c r="C54" s="181">
        <f>+C9+C16+C23+C29+C36+C42+C48</f>
        <v>-251.24</v>
      </c>
      <c r="D54" s="126"/>
      <c r="E54" s="216">
        <f>SUM(E13+E20+E27+E33+E40+E46+E52)</f>
        <v>35659.56</v>
      </c>
      <c r="F54" s="217">
        <f>SUM(F13+F20+F27+F33+F40+F46+F52)</f>
        <v>1899656724</v>
      </c>
      <c r="G54" s="216">
        <f>SUM(G13+G20+G27+G33+G40+G46+G52)</f>
        <v>35787.360000000001</v>
      </c>
      <c r="H54" s="218">
        <f>SUM(H13+H20+H27+H33+H40+H46+H52)</f>
        <v>1942532468</v>
      </c>
    </row>
    <row r="55" spans="1:8" ht="13.5">
      <c r="A55" s="73" t="s">
        <v>152</v>
      </c>
      <c r="B55" s="181"/>
      <c r="C55" s="181"/>
      <c r="D55" s="126"/>
      <c r="E55" s="598"/>
      <c r="F55" s="599">
        <f>-F54*(0.2375-0.215)*0.5</f>
        <v>-21371138.144999992</v>
      </c>
      <c r="G55" s="598"/>
      <c r="H55" s="599">
        <f>-H54*(0.2375-0.215)*0.5</f>
        <v>-21853490.264999993</v>
      </c>
    </row>
    <row r="56" spans="1:8" ht="14.25" thickBot="1">
      <c r="A56" s="73" t="s">
        <v>472</v>
      </c>
      <c r="B56" s="181"/>
      <c r="C56" s="181"/>
      <c r="D56" s="126"/>
      <c r="E56" s="598"/>
      <c r="F56" s="600">
        <f>+F54+F55</f>
        <v>1878285585.855</v>
      </c>
      <c r="G56" s="598"/>
      <c r="H56" s="601">
        <f>+H54+H55</f>
        <v>1920678977.7349999</v>
      </c>
    </row>
    <row r="57" spans="1:8" ht="13.5">
      <c r="A57" s="219" t="s">
        <v>217</v>
      </c>
      <c r="B57" s="185"/>
      <c r="C57" s="185"/>
      <c r="D57" s="185"/>
      <c r="E57" s="186"/>
      <c r="F57" s="187">
        <f>M200SAL!F54</f>
        <v>36035813</v>
      </c>
      <c r="G57" s="186"/>
      <c r="H57" s="189">
        <f>M200SAL!H54</f>
        <v>36164974</v>
      </c>
    </row>
    <row r="58" spans="1:8" ht="13.5">
      <c r="A58" s="219" t="str">
        <f>M200SAL!A55</f>
        <v>EXTRA PAY, MISC SALARIES</v>
      </c>
      <c r="B58" s="185"/>
      <c r="C58" s="185"/>
      <c r="D58" s="185"/>
      <c r="E58" s="186"/>
      <c r="F58" s="187">
        <f>M200SAL!F55</f>
        <v>20672024</v>
      </c>
      <c r="G58" s="186"/>
      <c r="H58" s="189">
        <f>M200SAL!H55</f>
        <v>21161040</v>
      </c>
    </row>
    <row r="59" spans="1:8" ht="13.5">
      <c r="A59" s="131" t="s">
        <v>219</v>
      </c>
      <c r="B59" s="126"/>
      <c r="C59" s="126"/>
      <c r="D59" s="126"/>
      <c r="E59" s="126"/>
      <c r="F59" s="126"/>
      <c r="G59" s="126"/>
      <c r="H59" s="130"/>
    </row>
    <row r="60" spans="1:8" ht="13.5">
      <c r="A60" s="73" t="s">
        <v>55</v>
      </c>
      <c r="B60" s="190">
        <f>DSADATABASE!D65</f>
        <v>0.23749999999999999</v>
      </c>
      <c r="C60" s="190">
        <f>DSADATABASE!E65</f>
        <v>0.23749999999999999</v>
      </c>
      <c r="D60" s="191"/>
      <c r="E60" s="126"/>
      <c r="F60" s="134">
        <f>ROUND(F$56*B60,0)</f>
        <v>446092827</v>
      </c>
      <c r="G60" s="134"/>
      <c r="H60" s="136">
        <f>ROUND(H$56*C60,0)</f>
        <v>456161257</v>
      </c>
    </row>
    <row r="61" spans="1:8" ht="13.5">
      <c r="A61" s="73" t="s">
        <v>346</v>
      </c>
      <c r="B61" s="190">
        <f>DSADATABASE!D66</f>
        <v>4.0759999999999998E-3</v>
      </c>
      <c r="C61" s="190">
        <f>DSADATABASE!E66</f>
        <v>4.0759999999999998E-3</v>
      </c>
      <c r="D61" s="191"/>
      <c r="E61" s="126"/>
      <c r="F61" s="134">
        <f>ROUND(SUM(F$56:F$58)*B61,0)</f>
        <v>7887033</v>
      </c>
      <c r="G61" s="134"/>
      <c r="H61" s="136">
        <f>ROUND(SUM(H$56:H$58)*C61,0)</f>
        <v>8062348</v>
      </c>
    </row>
    <row r="62" spans="1:8" ht="13.5">
      <c r="A62" s="73" t="s">
        <v>220</v>
      </c>
      <c r="B62" s="190">
        <f>DSADATABASE!D67</f>
        <v>3.5920000000000001E-3</v>
      </c>
      <c r="C62" s="190">
        <f>DSADATABASE!E67</f>
        <v>3.5920000000000001E-3</v>
      </c>
      <c r="D62" s="191"/>
      <c r="E62" s="126"/>
      <c r="F62" s="134">
        <f>ROUND(SUM(F$56:F$58)*B62,0)</f>
        <v>6950496</v>
      </c>
      <c r="G62" s="134"/>
      <c r="H62" s="136">
        <f>ROUND(SUM(H$56:H$58)*C62,0)</f>
        <v>7104994</v>
      </c>
    </row>
    <row r="63" spans="1:8" ht="13.5">
      <c r="A63" s="73" t="s">
        <v>57</v>
      </c>
      <c r="B63" s="190">
        <f>DSADATABASE!D68</f>
        <v>1.3034E-2</v>
      </c>
      <c r="C63" s="190">
        <f>DSADATABASE!E68</f>
        <v>1.3034E-2</v>
      </c>
      <c r="D63" s="191"/>
      <c r="E63" s="126"/>
      <c r="F63" s="134">
        <f>ROUND(SUM(F$56:F$58)*B63,0)</f>
        <v>25220704</v>
      </c>
      <c r="G63" s="134"/>
      <c r="H63" s="136">
        <f>ROUND(SUM(H$56:H$58)*C63,0)</f>
        <v>25781317</v>
      </c>
    </row>
    <row r="64" spans="1:8" ht="13.5">
      <c r="A64" s="73" t="s">
        <v>221</v>
      </c>
      <c r="B64" s="697">
        <f>DSADATABASE!D70</f>
        <v>6980.69</v>
      </c>
      <c r="C64" s="697">
        <f>DSADATABASE!E70</f>
        <v>6980.69</v>
      </c>
      <c r="D64" s="191"/>
      <c r="E64" s="126"/>
      <c r="F64" s="134">
        <f>ROUND(E$54*B64,0)</f>
        <v>248928334</v>
      </c>
      <c r="G64" s="134"/>
      <c r="H64" s="136">
        <f>ROUND(G$54*C64,0)</f>
        <v>249820466</v>
      </c>
    </row>
    <row r="65" spans="1:8" ht="13.5">
      <c r="A65" s="73" t="s">
        <v>58</v>
      </c>
      <c r="B65" s="701">
        <f>DSADATABASE!D69</f>
        <v>4.3059999999999999E-3</v>
      </c>
      <c r="C65" s="190">
        <f>DSADATABASE!E69</f>
        <v>4.3059999999999999E-3</v>
      </c>
      <c r="D65" s="191"/>
      <c r="E65" s="126"/>
      <c r="F65" s="143">
        <f>ROUND(SUM(F$56:$F58)*$B65,0)</f>
        <v>8332082</v>
      </c>
      <c r="G65" s="134"/>
      <c r="H65" s="144">
        <f>ROUND(SUM(H$56:H58)*$C65,0)</f>
        <v>8517289</v>
      </c>
    </row>
    <row r="66" spans="1:8" ht="14.25" thickBot="1">
      <c r="A66" s="193"/>
      <c r="B66" s="700"/>
      <c r="C66" s="700"/>
      <c r="D66" s="126"/>
      <c r="E66" s="126"/>
      <c r="F66" s="134">
        <f>SUM(F60:F65)</f>
        <v>743411476</v>
      </c>
      <c r="G66" s="134"/>
      <c r="H66" s="136">
        <f>SUM(H60:H65)</f>
        <v>755447671</v>
      </c>
    </row>
    <row r="67" spans="1:8" ht="13.5">
      <c r="A67" s="192" t="s">
        <v>222</v>
      </c>
      <c r="B67" s="220"/>
      <c r="C67" s="220"/>
      <c r="D67" s="220"/>
      <c r="E67" s="220"/>
      <c r="F67" s="220"/>
      <c r="G67" s="220"/>
      <c r="H67" s="221"/>
    </row>
    <row r="68" spans="1:8" ht="14.25" thickBot="1">
      <c r="A68" s="193" t="s">
        <v>223</v>
      </c>
      <c r="B68" s="169"/>
      <c r="C68" s="169"/>
      <c r="D68" s="169"/>
      <c r="E68" s="166">
        <f>E54+E66</f>
        <v>35659.56</v>
      </c>
      <c r="F68" s="167">
        <f>F56+F57+F58+F66</f>
        <v>2678404898.855</v>
      </c>
      <c r="G68" s="166">
        <f>G54+G66</f>
        <v>35787.360000000001</v>
      </c>
      <c r="H68" s="168">
        <f>H56+H57+H58+H66</f>
        <v>2733452662.7349997</v>
      </c>
    </row>
    <row r="69" spans="1:8" ht="13.5">
      <c r="A69" s="73" t="s">
        <v>224</v>
      </c>
      <c r="B69" s="126"/>
      <c r="C69" s="126"/>
      <c r="D69" s="126"/>
      <c r="E69" s="126"/>
      <c r="F69" s="222">
        <f>F66/F54</f>
        <v>0.39133990189271689</v>
      </c>
      <c r="G69" s="126"/>
      <c r="H69" s="223">
        <f>H66/H54</f>
        <v>0.3888983496774171</v>
      </c>
    </row>
    <row r="70" spans="1:8" ht="13.5">
      <c r="A70" s="224" t="s">
        <v>225</v>
      </c>
      <c r="B70" s="225" t="str">
        <f>+M200SAL!B67</f>
        <v>FY12</v>
      </c>
      <c r="C70" s="225" t="str">
        <f>+B70</f>
        <v>FY12</v>
      </c>
      <c r="D70" s="225" t="s">
        <v>226</v>
      </c>
      <c r="E70" s="225" t="str">
        <f>+M200SAL!E67</f>
        <v>FY13</v>
      </c>
      <c r="F70" s="225" t="str">
        <f>+E70</f>
        <v>FY13</v>
      </c>
      <c r="G70" s="226" t="s">
        <v>226</v>
      </c>
      <c r="H70" s="200"/>
    </row>
    <row r="71" spans="1:8" ht="13.5">
      <c r="A71" s="227" t="s">
        <v>227</v>
      </c>
      <c r="B71" s="228" t="s">
        <v>229</v>
      </c>
      <c r="C71" s="228" t="s">
        <v>239</v>
      </c>
      <c r="D71" s="228" t="s">
        <v>230</v>
      </c>
      <c r="E71" s="228" t="s">
        <v>229</v>
      </c>
      <c r="F71" s="228" t="s">
        <v>239</v>
      </c>
      <c r="G71" s="229" t="s">
        <v>230</v>
      </c>
      <c r="H71" s="200"/>
    </row>
    <row r="72" spans="1:8" ht="13.5">
      <c r="A72" s="173" t="s">
        <v>231</v>
      </c>
      <c r="B72" s="204">
        <f>M200SAL!C69</f>
        <v>1899656724</v>
      </c>
      <c r="C72" s="204">
        <f>F56</f>
        <v>1878285585.855</v>
      </c>
      <c r="D72" s="204">
        <f>C72-B72</f>
        <v>-21371138.144999981</v>
      </c>
      <c r="E72" s="204">
        <f>M200SAL!F69</f>
        <v>1942532468</v>
      </c>
      <c r="F72" s="204">
        <f>H56</f>
        <v>1920678977.7349999</v>
      </c>
      <c r="G72" s="153">
        <f>F72-E72</f>
        <v>-21853490.265000105</v>
      </c>
      <c r="H72" s="200"/>
    </row>
    <row r="73" spans="1:8" ht="13.5">
      <c r="A73" s="173" t="s">
        <v>232</v>
      </c>
      <c r="B73" s="204">
        <f>M200SAL!C70</f>
        <v>36035813</v>
      </c>
      <c r="C73" s="204">
        <f>F57</f>
        <v>36035813</v>
      </c>
      <c r="D73" s="204">
        <f>C73-B73</f>
        <v>0</v>
      </c>
      <c r="E73" s="204">
        <f>M200SAL!F70</f>
        <v>36164974</v>
      </c>
      <c r="F73" s="204">
        <f>H57</f>
        <v>36164974</v>
      </c>
      <c r="G73" s="153">
        <f>F73-E73</f>
        <v>0</v>
      </c>
      <c r="H73" s="200"/>
    </row>
    <row r="74" spans="1:8" ht="13.5">
      <c r="A74" s="173" t="s">
        <v>240</v>
      </c>
      <c r="B74" s="204">
        <f>M200SAL!C71</f>
        <v>20672024</v>
      </c>
      <c r="C74" s="204">
        <f>F58</f>
        <v>20672024</v>
      </c>
      <c r="D74" s="204">
        <f>C74-B74</f>
        <v>0</v>
      </c>
      <c r="E74" s="204">
        <f>M200SAL!F71</f>
        <v>21161040</v>
      </c>
      <c r="F74" s="204">
        <f>H58</f>
        <v>21161040</v>
      </c>
      <c r="G74" s="153">
        <f>F74-E74</f>
        <v>0</v>
      </c>
      <c r="H74" s="200"/>
    </row>
    <row r="75" spans="1:8" ht="13.5">
      <c r="A75" s="173" t="s">
        <v>233</v>
      </c>
      <c r="B75" s="204">
        <f>M200SAL!C72</f>
        <v>408426195.65999997</v>
      </c>
      <c r="C75" s="204">
        <f t="shared" ref="C75:C80" si="0">F60</f>
        <v>446092827</v>
      </c>
      <c r="D75" s="204">
        <f t="shared" ref="D75:D80" si="1">C75-B75</f>
        <v>37666631.340000033</v>
      </c>
      <c r="E75" s="204">
        <f>M200SAL!F72</f>
        <v>417644480.62</v>
      </c>
      <c r="F75" s="204">
        <f t="shared" ref="F75:F80" si="2">H60</f>
        <v>456161257</v>
      </c>
      <c r="G75" s="153">
        <f t="shared" ref="G75:G80" si="3">F75-E75</f>
        <v>38516776.379999995</v>
      </c>
      <c r="H75" s="200"/>
    </row>
    <row r="76" spans="1:8" ht="13.5">
      <c r="A76" s="173" t="s">
        <v>265</v>
      </c>
      <c r="B76" s="204">
        <f>M200SAL!C73</f>
        <v>7974142</v>
      </c>
      <c r="C76" s="204">
        <f t="shared" si="0"/>
        <v>7887033</v>
      </c>
      <c r="D76" s="204">
        <f t="shared" si="1"/>
        <v>-87109</v>
      </c>
      <c r="E76" s="204">
        <f>M200SAL!F73</f>
        <v>8151423</v>
      </c>
      <c r="F76" s="204">
        <f t="shared" si="2"/>
        <v>8062348</v>
      </c>
      <c r="G76" s="153">
        <f t="shared" si="3"/>
        <v>-89075</v>
      </c>
      <c r="H76" s="200"/>
    </row>
    <row r="77" spans="1:8" ht="13.5">
      <c r="A77" s="173" t="s">
        <v>234</v>
      </c>
      <c r="B77" s="204">
        <f>M200SAL!C74</f>
        <v>7027262</v>
      </c>
      <c r="C77" s="204">
        <f t="shared" si="0"/>
        <v>6950496</v>
      </c>
      <c r="D77" s="204">
        <f t="shared" si="1"/>
        <v>-76766</v>
      </c>
      <c r="E77" s="204">
        <f>M200SAL!F74</f>
        <v>7183492</v>
      </c>
      <c r="F77" s="204">
        <f t="shared" si="2"/>
        <v>7104994</v>
      </c>
      <c r="G77" s="153">
        <f t="shared" si="3"/>
        <v>-78498</v>
      </c>
      <c r="H77" s="200"/>
    </row>
    <row r="78" spans="1:8" ht="13.5">
      <c r="A78" s="173" t="s">
        <v>235</v>
      </c>
      <c r="B78" s="204">
        <f>M200SAL!C75</f>
        <v>25499256</v>
      </c>
      <c r="C78" s="204">
        <f t="shared" si="0"/>
        <v>25220704</v>
      </c>
      <c r="D78" s="204">
        <f t="shared" si="1"/>
        <v>-278552</v>
      </c>
      <c r="E78" s="204">
        <f>M200SAL!F75</f>
        <v>26066155</v>
      </c>
      <c r="F78" s="204">
        <f t="shared" si="2"/>
        <v>25781317</v>
      </c>
      <c r="G78" s="153">
        <f t="shared" si="3"/>
        <v>-284838</v>
      </c>
      <c r="H78" s="200"/>
    </row>
    <row r="79" spans="1:8" ht="13.5">
      <c r="A79" s="173" t="s">
        <v>236</v>
      </c>
      <c r="B79" s="204">
        <f>M200SAL!C76</f>
        <v>248928334</v>
      </c>
      <c r="C79" s="204">
        <f t="shared" si="0"/>
        <v>248928334</v>
      </c>
      <c r="D79" s="204">
        <f t="shared" si="1"/>
        <v>0</v>
      </c>
      <c r="E79" s="204">
        <f>M200SAL!F76</f>
        <v>249820466</v>
      </c>
      <c r="F79" s="204">
        <f t="shared" si="2"/>
        <v>249820466</v>
      </c>
      <c r="G79" s="153">
        <f t="shared" si="3"/>
        <v>0</v>
      </c>
      <c r="H79" s="200"/>
    </row>
    <row r="80" spans="1:8" ht="14.25" thickBot="1">
      <c r="A80" s="173" t="s">
        <v>237</v>
      </c>
      <c r="B80" s="204">
        <f>M200SAL!C77</f>
        <v>8424106</v>
      </c>
      <c r="C80" s="204">
        <f t="shared" si="0"/>
        <v>8332082</v>
      </c>
      <c r="D80" s="204">
        <f t="shared" si="1"/>
        <v>-92024</v>
      </c>
      <c r="E80" s="204">
        <f>M200SAL!F77</f>
        <v>8611391</v>
      </c>
      <c r="F80" s="204">
        <f t="shared" si="2"/>
        <v>8517289</v>
      </c>
      <c r="G80" s="153">
        <f t="shared" si="3"/>
        <v>-94102</v>
      </c>
      <c r="H80" s="200"/>
    </row>
    <row r="81" spans="1:8" ht="13.5">
      <c r="A81" s="205"/>
      <c r="B81" s="230"/>
      <c r="C81" s="230"/>
      <c r="D81" s="230"/>
      <c r="E81" s="230"/>
      <c r="F81" s="230"/>
      <c r="G81" s="231"/>
      <c r="H81" s="232"/>
    </row>
    <row r="82" spans="1:8" ht="14.25" thickBot="1">
      <c r="A82" s="209" t="s">
        <v>238</v>
      </c>
      <c r="B82" s="210">
        <f>SUM(B72:B80)</f>
        <v>2662643856.6599998</v>
      </c>
      <c r="C82" s="210">
        <f>SUM(C72:C80)</f>
        <v>2678404898.855</v>
      </c>
      <c r="D82" s="210">
        <f>C82-B82</f>
        <v>15761042.195000172</v>
      </c>
      <c r="E82" s="210">
        <f>SUM(E72:E80)</f>
        <v>2717335889.6199999</v>
      </c>
      <c r="F82" s="210">
        <f>SUM(F72:F80)</f>
        <v>2733452662.7349997</v>
      </c>
      <c r="G82" s="211">
        <f>F82-E82</f>
        <v>16116773.114999771</v>
      </c>
      <c r="H82" s="233"/>
    </row>
    <row r="83" spans="1:8" ht="13.5">
      <c r="C83" s="572"/>
      <c r="D83" s="572">
        <f>D82/B82</f>
        <v>5.9193204361813164E-3</v>
      </c>
      <c r="F83" s="572"/>
      <c r="G83" s="572">
        <f>G82/E82</f>
        <v>5.9310934568540174E-3</v>
      </c>
    </row>
    <row r="84" spans="1:8">
      <c r="C84" s="810"/>
      <c r="D84" s="810" t="s">
        <v>497</v>
      </c>
      <c r="F84" s="810"/>
      <c r="G84" s="810" t="s">
        <v>497</v>
      </c>
    </row>
  </sheetData>
  <mergeCells count="1">
    <mergeCell ref="A1:H1"/>
  </mergeCells>
  <phoneticPr fontId="0" type="noConversion"/>
  <printOptions horizontalCentered="1" headings="1"/>
  <pageMargins left="0.5" right="0.5" top="0.5" bottom="0.5" header="0.25" footer="0.5"/>
  <pageSetup scale="64" orientation="portrait" r:id="rId1"/>
  <headerFooter alignWithMargins="0">
    <oddFooter>&amp;L&amp;D &amp;T&amp;C&amp;P of &amp;N&amp;R&amp;F &amp;A</oddFooter>
  </headerFooter>
  <legacyDrawing r:id="rId2"/>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sheetPr codeName="Sheet9" enableFormatConditionsCalculation="0">
    <pageSetUpPr fitToPage="1"/>
  </sheetPr>
  <dimension ref="A1:H83"/>
  <sheetViews>
    <sheetView topLeftCell="A43" zoomScale="125" workbookViewId="0">
      <selection activeCell="H55" sqref="H55"/>
    </sheetView>
  </sheetViews>
  <sheetFormatPr defaultColWidth="8.85546875" defaultRowHeight="12.75"/>
  <cols>
    <col min="1" max="1" width="28.42578125" style="13" bestFit="1" customWidth="1"/>
    <col min="2" max="2" width="10" style="9" customWidth="1"/>
    <col min="3" max="3" width="10.28515625" style="9" customWidth="1"/>
    <col min="4" max="4" width="12.85546875" style="9" bestFit="1" customWidth="1"/>
    <col min="5" max="5" width="9.85546875" style="9" customWidth="1"/>
    <col min="6" max="6" width="10.28515625" style="9" customWidth="1"/>
    <col min="7" max="7" width="12.85546875" style="9" bestFit="1" customWidth="1"/>
    <col min="8" max="8" width="10" style="9" customWidth="1"/>
    <col min="9" max="16384" width="8.85546875" style="9"/>
  </cols>
  <sheetData>
    <row r="1" spans="1:8" ht="14.25" thickBot="1">
      <c r="A1" s="1061" t="s">
        <v>447</v>
      </c>
      <c r="B1" s="1062"/>
      <c r="C1" s="1062"/>
      <c r="D1" s="1062"/>
      <c r="E1" s="1062"/>
      <c r="F1" s="1062"/>
      <c r="G1" s="1062"/>
      <c r="H1" s="1063"/>
    </row>
    <row r="2" spans="1:8" ht="13.5">
      <c r="A2" s="172"/>
      <c r="B2" s="119" t="str">
        <f>BASESAL!B2</f>
        <v>FY10</v>
      </c>
      <c r="C2" s="120" t="str">
        <f>BASESAL!C2</f>
        <v>FY11</v>
      </c>
      <c r="D2" s="120" t="str">
        <f>BASESAL!D2</f>
        <v>FY11</v>
      </c>
      <c r="E2" s="120" t="str">
        <f>BASESAL!E2</f>
        <v>FY12</v>
      </c>
      <c r="F2" s="120" t="str">
        <f>BASESAL!F2</f>
        <v>FY12</v>
      </c>
      <c r="G2" s="120" t="str">
        <f>BASESAL!G2</f>
        <v>FY13</v>
      </c>
      <c r="H2" s="234" t="str">
        <f>BASESAL!H2</f>
        <v>FY13</v>
      </c>
    </row>
    <row r="3" spans="1:8" ht="13.5">
      <c r="A3" s="172"/>
      <c r="B3" s="235" t="s">
        <v>205</v>
      </c>
      <c r="C3" s="202" t="s">
        <v>205</v>
      </c>
      <c r="D3" s="202" t="s">
        <v>206</v>
      </c>
      <c r="E3" s="202" t="s">
        <v>205</v>
      </c>
      <c r="F3" s="202" t="s">
        <v>206</v>
      </c>
      <c r="G3" s="202" t="s">
        <v>205</v>
      </c>
      <c r="H3" s="203" t="s">
        <v>206</v>
      </c>
    </row>
    <row r="4" spans="1:8" ht="13.5">
      <c r="A4" s="172" t="s">
        <v>207</v>
      </c>
      <c r="B4" s="608">
        <f>M300SAL!B4</f>
        <v>425527.2</v>
      </c>
      <c r="C4" s="608">
        <f>M300SAL!C4</f>
        <v>422569.6</v>
      </c>
      <c r="D4" s="608"/>
      <c r="E4" s="608">
        <f>M300SAL!E4</f>
        <v>421987.1</v>
      </c>
      <c r="F4" s="608"/>
      <c r="G4" s="608">
        <f>M300SAL!G4</f>
        <v>423499.6</v>
      </c>
      <c r="H4" s="608"/>
    </row>
    <row r="5" spans="1:8" ht="13.5">
      <c r="A5" s="172" t="s">
        <v>208</v>
      </c>
      <c r="B5" s="126"/>
      <c r="C5" s="126"/>
      <c r="D5" s="127">
        <f>M300SAL!H5</f>
        <v>39166</v>
      </c>
      <c r="E5" s="127"/>
      <c r="F5" s="127">
        <f>D5</f>
        <v>39166</v>
      </c>
      <c r="G5" s="127"/>
      <c r="H5" s="127">
        <f>F5</f>
        <v>39166</v>
      </c>
    </row>
    <row r="6" spans="1:8" ht="13.5">
      <c r="A6" s="236" t="s">
        <v>27</v>
      </c>
      <c r="B6" s="126"/>
      <c r="C6" s="126"/>
      <c r="D6" s="127"/>
      <c r="E6" s="126"/>
      <c r="F6" s="237">
        <f>DSADATABASE!J28</f>
        <v>0.97499999999999998</v>
      </c>
      <c r="G6" s="126"/>
      <c r="H6" s="237">
        <f>DSADATABASE!K28</f>
        <v>1</v>
      </c>
    </row>
    <row r="7" spans="1:8" ht="13.5">
      <c r="A7" s="11" t="s">
        <v>210</v>
      </c>
      <c r="B7" s="238"/>
      <c r="C7" s="238"/>
      <c r="D7" s="238"/>
      <c r="E7" s="238"/>
      <c r="F7" s="238"/>
      <c r="G7" s="238"/>
      <c r="H7" s="238"/>
    </row>
    <row r="8" spans="1:8" ht="13.5">
      <c r="A8" s="11" t="s">
        <v>211</v>
      </c>
      <c r="B8" s="239">
        <f>M300SAL!B9</f>
        <v>20489.149999999998</v>
      </c>
      <c r="C8" s="239">
        <f>M300SAL!C9</f>
        <v>-143.95999999999913</v>
      </c>
      <c r="D8" s="238"/>
      <c r="E8" s="238"/>
      <c r="F8" s="238"/>
      <c r="G8" s="238"/>
      <c r="H8" s="238"/>
    </row>
    <row r="9" spans="1:8" ht="13.5">
      <c r="A9" s="11" t="s">
        <v>212</v>
      </c>
      <c r="B9" s="239">
        <f>M300SAL!B10</f>
        <v>20.77</v>
      </c>
      <c r="C9" s="240"/>
      <c r="D9" s="241"/>
      <c r="E9" s="242">
        <f>(B8)</f>
        <v>20489.149999999998</v>
      </c>
      <c r="F9" s="241"/>
      <c r="G9" s="242">
        <f>(E13)</f>
        <v>20317.14</v>
      </c>
      <c r="H9" s="241"/>
    </row>
    <row r="10" spans="1:8" ht="13.5">
      <c r="A10" s="11" t="s">
        <v>213</v>
      </c>
      <c r="D10" s="241">
        <f>ROUND(C8*D5,0)</f>
        <v>-5638337</v>
      </c>
      <c r="E10" s="242">
        <f>(C8)</f>
        <v>-143.95999999999913</v>
      </c>
      <c r="F10" s="241">
        <f>ROUND(D10*1.02*F$6,0)</f>
        <v>-5607326</v>
      </c>
      <c r="G10" s="239"/>
      <c r="H10" s="241">
        <f>ROUND((F10*1.02)*H$6,0)</f>
        <v>-5719473</v>
      </c>
    </row>
    <row r="11" spans="1:8" ht="13.5">
      <c r="A11" s="11" t="str">
        <f>M300SAL!A12</f>
        <v>FY 10 AVG SALARY</v>
      </c>
      <c r="B11" s="243">
        <f>M300SAL!B12</f>
        <v>53436</v>
      </c>
      <c r="C11" s="244"/>
      <c r="D11" s="241">
        <f>ROUND(B8*B12,0)</f>
        <v>1105799426</v>
      </c>
      <c r="E11" s="239"/>
      <c r="F11" s="241">
        <f>ROUND(D11*1.02*F$6,0)</f>
        <v>1099717529</v>
      </c>
      <c r="G11" s="239"/>
      <c r="H11" s="241">
        <f>ROUND(((F11+F12)*1.02)*H$6,0)</f>
        <v>1120619316</v>
      </c>
    </row>
    <row r="12" spans="1:8" ht="13.5">
      <c r="A12" s="11" t="str">
        <f>M300SAL!A13</f>
        <v>FY11 = FY10  @ 1% Roll-Up Plus 0% Cola</v>
      </c>
      <c r="B12" s="243">
        <f>M300SAL!B13</f>
        <v>53970</v>
      </c>
      <c r="C12" s="243"/>
      <c r="D12" s="241"/>
      <c r="E12" s="176">
        <f>ROUND((E$4/B9)-E9-E10,2)</f>
        <v>-28.05</v>
      </c>
      <c r="F12" s="134">
        <f>ROUND((E12*F5)*F$6,0)</f>
        <v>-1071141</v>
      </c>
      <c r="G12" s="176">
        <f>ROUND((G$4/B9)-G9-G10,2)</f>
        <v>72.83</v>
      </c>
      <c r="H12" s="134">
        <f>ROUND((G12*H5)*H$6,0)</f>
        <v>2852460</v>
      </c>
    </row>
    <row r="13" spans="1:8" ht="13.5">
      <c r="A13" s="172"/>
      <c r="C13" s="244"/>
      <c r="D13" s="241"/>
      <c r="E13" s="178">
        <f>SUM(E9:E12)</f>
        <v>20317.14</v>
      </c>
      <c r="F13" s="146">
        <f>SUM(F9:F12)</f>
        <v>1093039062</v>
      </c>
      <c r="G13" s="178">
        <f>SUM(G9:G12)</f>
        <v>20389.97</v>
      </c>
      <c r="H13" s="146">
        <f>SUM(H9:H12)</f>
        <v>1117752303</v>
      </c>
    </row>
    <row r="14" spans="1:8" ht="13.5">
      <c r="A14" s="11" t="s">
        <v>210</v>
      </c>
      <c r="B14" s="238"/>
      <c r="C14" s="238"/>
      <c r="D14" s="238"/>
      <c r="E14" s="238"/>
      <c r="F14" s="238"/>
      <c r="G14" s="238"/>
      <c r="H14" s="238"/>
    </row>
    <row r="15" spans="1:8" ht="13.5">
      <c r="A15" s="11" t="s">
        <v>214</v>
      </c>
      <c r="B15" s="239">
        <f>M300SAL!B16</f>
        <v>2051.3000000000002</v>
      </c>
      <c r="C15" s="239">
        <f>M300SAL!C16</f>
        <v>-14.230000000000246</v>
      </c>
      <c r="D15" s="241"/>
      <c r="E15" s="242">
        <f>(B15)</f>
        <v>2051.3000000000002</v>
      </c>
      <c r="F15" s="241"/>
      <c r="G15" s="242">
        <f>(E19)</f>
        <v>2034.26</v>
      </c>
      <c r="H15" s="241"/>
    </row>
    <row r="16" spans="1:8" ht="13.5">
      <c r="A16" s="11" t="s">
        <v>212</v>
      </c>
      <c r="B16" s="239">
        <f>M300SAL!B17</f>
        <v>207.44</v>
      </c>
      <c r="C16" s="240"/>
      <c r="D16" s="134">
        <f>ROUND(C15*DSADATABASE!K15,0)</f>
        <v>-330819</v>
      </c>
      <c r="E16" s="242">
        <f>(C15)</f>
        <v>-14.230000000000246</v>
      </c>
      <c r="F16" s="241">
        <f>ROUND(D16*1.02*F$6,0)</f>
        <v>-328999</v>
      </c>
      <c r="G16" s="239"/>
      <c r="H16" s="241">
        <f>ROUND((F16*1.02)*H$6,0)</f>
        <v>-335579</v>
      </c>
    </row>
    <row r="17" spans="1:8" ht="13.5">
      <c r="A17" s="11" t="s">
        <v>213</v>
      </c>
      <c r="C17" s="244"/>
      <c r="D17" s="134">
        <f>ROUND(B15*B19,0)</f>
        <v>64220049</v>
      </c>
      <c r="E17" s="239"/>
      <c r="F17" s="241">
        <f>ROUND(D17*1.02*F$6,0)</f>
        <v>63866839</v>
      </c>
      <c r="G17" s="239"/>
      <c r="H17" s="241">
        <f>ROUND(((F17+F18)*1.02)*H$6,0)</f>
        <v>65079208</v>
      </c>
    </row>
    <row r="18" spans="1:8" ht="13.5">
      <c r="A18" s="11" t="str">
        <f>$A$11</f>
        <v>FY 10 AVG SALARY</v>
      </c>
      <c r="B18" s="243">
        <f>M300SAL!B19</f>
        <v>30997</v>
      </c>
      <c r="C18" s="243"/>
      <c r="D18" s="241"/>
      <c r="E18" s="177">
        <f>ROUND((E$4/B16)-E15-E16,2)</f>
        <v>-2.81</v>
      </c>
      <c r="F18" s="143">
        <f>ROUND(M300SAL!F19*F6,0)</f>
        <v>-63694</v>
      </c>
      <c r="G18" s="177">
        <f>ROUND((G$4/B16)-G15-G16,2)</f>
        <v>7.29</v>
      </c>
      <c r="H18" s="143">
        <f>ROUND(M300SAL!H19*H6,0)</f>
        <v>169478</v>
      </c>
    </row>
    <row r="19" spans="1:8" ht="13.5">
      <c r="A19" s="11" t="str">
        <f>$A$12</f>
        <v>FY11 = FY10  @ 1% Roll-Up Plus 0% Cola</v>
      </c>
      <c r="B19" s="243">
        <f>M300SAL!B20</f>
        <v>31307</v>
      </c>
      <c r="C19" s="244"/>
      <c r="D19" s="241"/>
      <c r="E19" s="178">
        <f>SUM(E15:E18)</f>
        <v>2034.26</v>
      </c>
      <c r="F19" s="146">
        <f>SUM(F15:F18)</f>
        <v>63474146</v>
      </c>
      <c r="G19" s="178">
        <f>SUM(G15:G18)</f>
        <v>2041.55</v>
      </c>
      <c r="H19" s="146">
        <f>SUM(H15:H18)</f>
        <v>64913107</v>
      </c>
    </row>
    <row r="20" spans="1:8" ht="13.5">
      <c r="A20" s="172"/>
    </row>
    <row r="21" spans="1:8" ht="13.5">
      <c r="A21" s="11" t="s">
        <v>215</v>
      </c>
      <c r="B21" s="238"/>
      <c r="C21" s="238"/>
      <c r="D21" s="238"/>
      <c r="E21" s="238"/>
      <c r="F21" s="238"/>
      <c r="G21" s="238"/>
      <c r="H21" s="238"/>
    </row>
    <row r="22" spans="1:8" ht="13.5">
      <c r="A22" s="11" t="s">
        <v>211</v>
      </c>
      <c r="B22" s="239">
        <f>M300SAL!B23</f>
        <v>2328.71</v>
      </c>
      <c r="C22" s="239">
        <f>M300SAL!C23</f>
        <v>-16.170000000000073</v>
      </c>
      <c r="D22" s="241"/>
      <c r="E22" s="242">
        <f>(B22)</f>
        <v>2328.71</v>
      </c>
      <c r="F22" s="241"/>
      <c r="G22" s="242">
        <f>(E26)</f>
        <v>2309.35</v>
      </c>
      <c r="H22" s="241"/>
    </row>
    <row r="23" spans="1:8" ht="13.5">
      <c r="A23" s="11" t="s">
        <v>212</v>
      </c>
      <c r="B23" s="239">
        <f>M300SAL!B24</f>
        <v>182.73</v>
      </c>
      <c r="C23" s="240"/>
      <c r="D23" s="134">
        <f>ROUND(C22*DSADATABASE!K16,0)</f>
        <v>-790438</v>
      </c>
      <c r="E23" s="242">
        <f>(C22)</f>
        <v>-16.170000000000073</v>
      </c>
      <c r="F23" s="241">
        <f>ROUND(D23*1.02*F$6,0)</f>
        <v>-786091</v>
      </c>
      <c r="G23" s="239"/>
      <c r="H23" s="241">
        <f>ROUND((F23*1.02)*H$6,0)</f>
        <v>-801813</v>
      </c>
    </row>
    <row r="24" spans="1:8" ht="13.5">
      <c r="A24" s="11" t="s">
        <v>213</v>
      </c>
      <c r="C24" s="244"/>
      <c r="D24" s="134">
        <f>ROUND(B22*B26,0)</f>
        <v>153296651</v>
      </c>
      <c r="E24" s="239"/>
      <c r="F24" s="241">
        <f>ROUND(D24*1.02*F$6,0)</f>
        <v>152453519</v>
      </c>
      <c r="G24" s="239"/>
      <c r="H24" s="241">
        <f>ROUND(((F24+F25)*1.02)*H$6,0)</f>
        <v>155347510</v>
      </c>
    </row>
    <row r="25" spans="1:8" ht="13.5">
      <c r="A25" s="11" t="str">
        <f>$A$11</f>
        <v>FY 10 AVG SALARY</v>
      </c>
      <c r="B25" s="243">
        <f>M300SAL!B26</f>
        <v>65177</v>
      </c>
      <c r="C25" s="243"/>
      <c r="D25" s="241"/>
      <c r="E25" s="177">
        <f>ROUND((E$4/B23)-E22-E23,2)</f>
        <v>-3.19</v>
      </c>
      <c r="F25" s="143">
        <f>ROUND(M300SAL!F26*F6,0)</f>
        <v>-152039</v>
      </c>
      <c r="G25" s="177">
        <f>ROUND((G$4/B23)-G22-G23,2)</f>
        <v>8.27</v>
      </c>
      <c r="H25" s="143">
        <f>ROUND(M300SAL!H26*H6,0)</f>
        <v>404262</v>
      </c>
    </row>
    <row r="26" spans="1:8" ht="13.5">
      <c r="A26" s="11" t="str">
        <f>$A$12</f>
        <v>FY11 = FY10  @ 1% Roll-Up Plus 0% Cola</v>
      </c>
      <c r="B26" s="243">
        <f>M300SAL!B27</f>
        <v>65829</v>
      </c>
      <c r="C26" s="244"/>
      <c r="D26" s="241"/>
      <c r="E26" s="178">
        <f>SUM(E22:E25)</f>
        <v>2309.35</v>
      </c>
      <c r="F26" s="146">
        <f>SUM(F22:F25)</f>
        <v>151515389</v>
      </c>
      <c r="G26" s="178">
        <f>SUM(G22:G25)</f>
        <v>2317.62</v>
      </c>
      <c r="H26" s="146">
        <f>SUM(H22:H25)</f>
        <v>154949959</v>
      </c>
    </row>
    <row r="27" spans="1:8" ht="13.5">
      <c r="A27" s="172"/>
    </row>
    <row r="28" spans="1:8" ht="13.5">
      <c r="A28" s="11" t="s">
        <v>214</v>
      </c>
      <c r="B28" s="239">
        <f>M300SAL!B29</f>
        <v>959.07</v>
      </c>
      <c r="C28" s="239">
        <f>M300SAL!C29</f>
        <v>-6.6700000000000728</v>
      </c>
      <c r="D28" s="241"/>
      <c r="E28" s="242">
        <f>(B28)</f>
        <v>959.07</v>
      </c>
      <c r="F28" s="241"/>
      <c r="G28" s="242">
        <f>(E32)</f>
        <v>951.09</v>
      </c>
      <c r="H28" s="241"/>
    </row>
    <row r="29" spans="1:8" ht="13.5">
      <c r="A29" s="11" t="s">
        <v>212</v>
      </c>
      <c r="B29" s="239">
        <f>M300SAL!B30</f>
        <v>443.69</v>
      </c>
      <c r="C29" s="240"/>
      <c r="D29" s="134">
        <f>ROUND(C28*DSADATABASE!K17,0)</f>
        <v>-195925</v>
      </c>
      <c r="E29" s="242">
        <f>(C28)</f>
        <v>-6.6700000000000728</v>
      </c>
      <c r="F29" s="241">
        <f>ROUND(D29*1.02*F$6,0)</f>
        <v>-194847</v>
      </c>
      <c r="G29" s="239"/>
      <c r="H29" s="241">
        <f>ROUND((F29*1.02)*H$6,0)</f>
        <v>-198744</v>
      </c>
    </row>
    <row r="30" spans="1:8" ht="13.5">
      <c r="A30" s="11" t="s">
        <v>213</v>
      </c>
      <c r="C30" s="244"/>
      <c r="D30" s="134">
        <f>ROUND(B28*B32,0)</f>
        <v>37937932</v>
      </c>
      <c r="E30" s="239"/>
      <c r="F30" s="241">
        <f>ROUND(D30*1.02*F$6,0)</f>
        <v>37729273</v>
      </c>
      <c r="G30" s="239"/>
      <c r="H30" s="241">
        <f>ROUND(((F30+F31)*1.02)*H$6,0)</f>
        <v>38445590</v>
      </c>
    </row>
    <row r="31" spans="1:8" ht="13.5">
      <c r="A31" s="11" t="str">
        <f>$A$11</f>
        <v>FY 10 AVG SALARY</v>
      </c>
      <c r="B31" s="243">
        <f>M300SAL!B32</f>
        <v>39165</v>
      </c>
      <c r="C31" s="243"/>
      <c r="D31" s="241"/>
      <c r="E31" s="177">
        <f>ROUND((E$4/B29)-E28-E29,2)</f>
        <v>-1.31</v>
      </c>
      <c r="F31" s="143">
        <f>ROUND(M300SAL!F32*F6,0)</f>
        <v>-37518</v>
      </c>
      <c r="G31" s="177">
        <f>ROUND((G$4/B29)-G28-G29,2)</f>
        <v>3.4</v>
      </c>
      <c r="H31" s="143">
        <f>ROUND(M300SAL!H32*H6,0)</f>
        <v>99872</v>
      </c>
    </row>
    <row r="32" spans="1:8" ht="13.5">
      <c r="A32" s="11" t="str">
        <f>$A$12</f>
        <v>FY11 = FY10  @ 1% Roll-Up Plus 0% Cola</v>
      </c>
      <c r="B32" s="243">
        <f>M300SAL!B33</f>
        <v>39557</v>
      </c>
      <c r="C32" s="244"/>
      <c r="D32" s="241"/>
      <c r="E32" s="178">
        <f>SUM(E28:E31)</f>
        <v>951.09</v>
      </c>
      <c r="F32" s="146">
        <f>SUM(F28:F31)</f>
        <v>37496908</v>
      </c>
      <c r="G32" s="178">
        <f>SUM(G28:G31)</f>
        <v>954.49</v>
      </c>
      <c r="H32" s="146">
        <f>SUM(H28:H31)</f>
        <v>38346718</v>
      </c>
    </row>
    <row r="33" spans="1:8" ht="13.5">
      <c r="A33" s="172"/>
    </row>
    <row r="34" spans="1:8" ht="13.5">
      <c r="A34" s="11" t="s">
        <v>216</v>
      </c>
      <c r="B34" s="238"/>
      <c r="C34" s="238"/>
      <c r="D34" s="238"/>
      <c r="E34" s="238"/>
      <c r="F34" s="238"/>
      <c r="G34" s="238"/>
      <c r="H34" s="238"/>
    </row>
    <row r="35" spans="1:8" ht="13.5">
      <c r="A35" s="11" t="s">
        <v>211</v>
      </c>
      <c r="B35" s="239">
        <f>M300SAL!B36</f>
        <v>1405.47</v>
      </c>
      <c r="C35" s="239">
        <f>M300SAL!C36</f>
        <v>-9.7899999999999636</v>
      </c>
      <c r="D35" s="241"/>
      <c r="E35" s="242">
        <f>(B35)</f>
        <v>1405.47</v>
      </c>
      <c r="F35" s="241"/>
      <c r="G35" s="242">
        <f>(E39)</f>
        <v>1393.75</v>
      </c>
      <c r="H35" s="241"/>
    </row>
    <row r="36" spans="1:8" ht="13.5">
      <c r="A36" s="11" t="s">
        <v>212</v>
      </c>
      <c r="B36" s="239">
        <f>M300SAL!B37</f>
        <v>302.77</v>
      </c>
      <c r="C36" s="240"/>
      <c r="D36" s="134">
        <f>ROUND(C35*DSADATABASE!K18,0)</f>
        <v>-643967</v>
      </c>
      <c r="E36" s="242">
        <f>(C35)</f>
        <v>-9.7899999999999636</v>
      </c>
      <c r="F36" s="241">
        <f>ROUND(D36*1.02*F$6,0)</f>
        <v>-640425</v>
      </c>
      <c r="G36" s="239"/>
      <c r="H36" s="241">
        <f>ROUND((F36*1.02)*H$6,0)</f>
        <v>-653234</v>
      </c>
    </row>
    <row r="37" spans="1:8" ht="13.5">
      <c r="A37" s="11" t="s">
        <v>213</v>
      </c>
      <c r="C37" s="244"/>
      <c r="D37" s="134">
        <f>ROUND(B35*B39,0)</f>
        <v>124497938</v>
      </c>
      <c r="E37" s="239"/>
      <c r="F37" s="241">
        <f>ROUND(D37*1.02*F$6,0)</f>
        <v>123813199</v>
      </c>
      <c r="G37" s="239"/>
      <c r="H37" s="241">
        <f>ROUND(((F37+F38)*1.02)*H$6,0)</f>
        <v>126163209</v>
      </c>
    </row>
    <row r="38" spans="1:8" ht="13.5">
      <c r="A38" s="11" t="str">
        <f>$A$11</f>
        <v>FY 10 AVG SALARY</v>
      </c>
      <c r="B38" s="243">
        <f>M300SAL!B39</f>
        <v>87704</v>
      </c>
      <c r="C38" s="243"/>
      <c r="D38" s="241"/>
      <c r="E38" s="177">
        <f>ROUND((E$4/B36)-E35-E36,2)</f>
        <v>-1.93</v>
      </c>
      <c r="F38" s="143">
        <f>ROUND(M300SAL!F39*F6,0)</f>
        <v>-123778</v>
      </c>
      <c r="G38" s="177">
        <f>ROUND((G$4/B36)-G35-G36,2)</f>
        <v>5</v>
      </c>
      <c r="H38" s="143">
        <f>ROUND(M300SAL!H39*H6,0)</f>
        <v>328890</v>
      </c>
    </row>
    <row r="39" spans="1:8" ht="13.5">
      <c r="A39" s="11" t="str">
        <f>$A$12</f>
        <v>FY11 = FY10  @ 1% Roll-Up Plus 0% Cola</v>
      </c>
      <c r="B39" s="243">
        <f>M300SAL!B40</f>
        <v>88581</v>
      </c>
      <c r="C39" s="244"/>
      <c r="D39" s="241"/>
      <c r="E39" s="178">
        <f>SUM(E35:E38)</f>
        <v>1393.75</v>
      </c>
      <c r="F39" s="146">
        <f>SUM(F35:F38)</f>
        <v>123048996</v>
      </c>
      <c r="G39" s="178">
        <f>SUM(G35:G38)</f>
        <v>1398.75</v>
      </c>
      <c r="H39" s="146">
        <f>SUM(H35:H38)</f>
        <v>125838865</v>
      </c>
    </row>
    <row r="40" spans="1:8" ht="13.5">
      <c r="A40" s="172"/>
    </row>
    <row r="41" spans="1:8" ht="13.5">
      <c r="A41" s="11" t="s">
        <v>214</v>
      </c>
      <c r="B41" s="239">
        <f>M300SAL!B42</f>
        <v>2881.37</v>
      </c>
      <c r="C41" s="239">
        <f>M300SAL!C42</f>
        <v>-19.980000000000018</v>
      </c>
      <c r="D41" s="241"/>
      <c r="E41" s="242">
        <f>(B41)</f>
        <v>2881.37</v>
      </c>
      <c r="F41" s="241"/>
      <c r="G41" s="242">
        <f>(E45)</f>
        <v>2857.44</v>
      </c>
      <c r="H41" s="241"/>
    </row>
    <row r="42" spans="1:8" ht="13.5">
      <c r="A42" s="11" t="s">
        <v>212</v>
      </c>
      <c r="B42" s="239">
        <f>M300SAL!B43</f>
        <v>147.68</v>
      </c>
      <c r="C42" s="240"/>
      <c r="D42" s="134">
        <f>ROUND(C41*DSADATABASE!K19,0)</f>
        <v>-692447</v>
      </c>
      <c r="E42" s="242">
        <f>(C41)</f>
        <v>-19.980000000000018</v>
      </c>
      <c r="F42" s="241">
        <f>ROUND(D42*1.02*F$6,0)</f>
        <v>-688639</v>
      </c>
      <c r="G42" s="239"/>
      <c r="H42" s="241">
        <f>ROUND((F42*1.02)*H$6,0)</f>
        <v>-702412</v>
      </c>
    </row>
    <row r="43" spans="1:8" ht="13.5">
      <c r="A43" s="11" t="s">
        <v>213</v>
      </c>
      <c r="C43" s="244"/>
      <c r="D43" s="134">
        <f>ROUND(B41*B45,0)</f>
        <v>133145226</v>
      </c>
      <c r="E43" s="239"/>
      <c r="F43" s="241">
        <f>ROUND(D43*1.02*F$6,0)</f>
        <v>132412927</v>
      </c>
      <c r="G43" s="239"/>
      <c r="H43" s="241">
        <f>ROUND(((F43+F44)*1.02)*H$6,0)</f>
        <v>134925043</v>
      </c>
    </row>
    <row r="44" spans="1:8" ht="13.5">
      <c r="A44" s="11" t="str">
        <f>$A$11</f>
        <v>FY 10 AVG SALARY</v>
      </c>
      <c r="B44" s="243">
        <f>M300SAL!B45</f>
        <v>46209</v>
      </c>
      <c r="C44" s="243"/>
      <c r="D44" s="241"/>
      <c r="E44" s="177">
        <f>ROUND((E$4/B42)-E41-E42,2)</f>
        <v>-3.95</v>
      </c>
      <c r="F44" s="143">
        <f>ROUND(M300SAL!F45*F6,0)</f>
        <v>-133473</v>
      </c>
      <c r="G44" s="177">
        <f>ROUND((G$4/B42)-G41-G42,2)</f>
        <v>10.24</v>
      </c>
      <c r="H44" s="143">
        <f>ROUND(M300SAL!H45*H6,0)</f>
        <v>354888</v>
      </c>
    </row>
    <row r="45" spans="1:8" ht="13.5">
      <c r="A45" s="11" t="str">
        <f>$A$12</f>
        <v>FY11 = FY10  @ 1% Roll-Up Plus 0% Cola</v>
      </c>
      <c r="B45" s="243">
        <f>M300SAL!B46</f>
        <v>46209</v>
      </c>
      <c r="C45" s="244"/>
      <c r="D45" s="241"/>
      <c r="E45" s="178">
        <f>SUM(E41:E44)</f>
        <v>2857.44</v>
      </c>
      <c r="F45" s="146">
        <f>SUM(F41:F44)</f>
        <v>131590815</v>
      </c>
      <c r="G45" s="178">
        <f>SUM(G41:G44)</f>
        <v>2867.68</v>
      </c>
      <c r="H45" s="146">
        <f>SUM(H41:H44)</f>
        <v>134577519</v>
      </c>
    </row>
    <row r="46" spans="1:8" ht="13.5">
      <c r="A46" s="172"/>
    </row>
    <row r="47" spans="1:8" ht="13.5">
      <c r="A47" s="11" t="s">
        <v>432</v>
      </c>
      <c r="B47" s="239">
        <f>M300SAL!B48</f>
        <v>5844.97</v>
      </c>
      <c r="C47" s="239">
        <f>M300SAL!C48</f>
        <v>-40.440000000000509</v>
      </c>
      <c r="D47" s="241"/>
      <c r="E47" s="242">
        <f>(B47)</f>
        <v>5844.97</v>
      </c>
      <c r="F47" s="241"/>
      <c r="G47" s="242">
        <f>(E51)</f>
        <v>5796.53</v>
      </c>
      <c r="H47" s="241"/>
    </row>
    <row r="48" spans="1:8" ht="13.5">
      <c r="A48" s="11" t="s">
        <v>212</v>
      </c>
      <c r="B48" s="239">
        <f>M300SAL!B49</f>
        <v>72.8</v>
      </c>
      <c r="C48" s="240"/>
      <c r="D48" s="134">
        <f>ROUND(C47*DSADATABASE!K20,0)</f>
        <v>-1309892</v>
      </c>
      <c r="E48" s="242">
        <f>(C47)</f>
        <v>-40.440000000000509</v>
      </c>
      <c r="F48" s="241">
        <f>ROUND(D48*1.02*F$6,0)</f>
        <v>-1302688</v>
      </c>
      <c r="G48" s="239"/>
      <c r="H48" s="241">
        <f>ROUND((F48*1.02)*H$6,0)</f>
        <v>-1328742</v>
      </c>
    </row>
    <row r="49" spans="1:8" ht="13.5">
      <c r="A49" s="11" t="s">
        <v>213</v>
      </c>
      <c r="B49" s="244"/>
      <c r="C49" s="244"/>
      <c r="D49" s="134">
        <f>ROUND(B47*B51,0)</f>
        <v>254957591</v>
      </c>
      <c r="E49" s="239"/>
      <c r="F49" s="241">
        <f>ROUND(D49*1.02*F$6,0)</f>
        <v>253555324</v>
      </c>
      <c r="G49" s="239"/>
      <c r="H49" s="241">
        <f>ROUND(((F49+F50)*1.02)*H$6,0)</f>
        <v>258368727</v>
      </c>
    </row>
    <row r="50" spans="1:8" ht="13.5">
      <c r="A50" s="11" t="str">
        <f>$A$11</f>
        <v>FY 10 AVG SALARY</v>
      </c>
      <c r="B50" s="243">
        <f>M300SAL!B51</f>
        <v>43188</v>
      </c>
      <c r="C50" s="243"/>
      <c r="D50" s="241"/>
      <c r="E50" s="177">
        <f>ROUND((E$4/B48)-E47-E48,2)</f>
        <v>-8</v>
      </c>
      <c r="F50" s="143">
        <f>ROUND(M300SAL!F51*F6,0)</f>
        <v>-252650</v>
      </c>
      <c r="G50" s="177">
        <f>ROUND((G$4/B48)-G47-G48,2)</f>
        <v>20.77</v>
      </c>
      <c r="H50" s="143">
        <f>ROUND(M300SAL!H51*H6,0)</f>
        <v>672761</v>
      </c>
    </row>
    <row r="51" spans="1:8" ht="13.5">
      <c r="A51" s="11" t="str">
        <f>$A$12</f>
        <v>FY11 = FY10  @ 1% Roll-Up Plus 0% Cola</v>
      </c>
      <c r="B51" s="243">
        <f>M300SAL!B52</f>
        <v>43620</v>
      </c>
      <c r="C51" s="244"/>
      <c r="D51" s="241"/>
      <c r="E51" s="178">
        <f>SUM(E47:E50)</f>
        <v>5796.53</v>
      </c>
      <c r="F51" s="146">
        <f>SUM(F47:F50)</f>
        <v>251999986</v>
      </c>
      <c r="G51" s="178">
        <f>SUM(G47:G50)</f>
        <v>5817.3</v>
      </c>
      <c r="H51" s="146">
        <f>SUM(H47:H50)</f>
        <v>257712746</v>
      </c>
    </row>
    <row r="52" spans="1:8" ht="13.5">
      <c r="A52" s="172"/>
      <c r="B52" s="238"/>
      <c r="C52" s="238"/>
      <c r="D52" s="238"/>
      <c r="E52" s="245"/>
      <c r="F52" s="238"/>
      <c r="G52" s="245"/>
      <c r="H52" s="238"/>
    </row>
    <row r="53" spans="1:8" ht="14.25" thickBot="1">
      <c r="A53" s="11" t="s">
        <v>60</v>
      </c>
      <c r="B53" s="246">
        <f>+B8+B15+B22+B28+B35+B41+B47</f>
        <v>35960.039999999994</v>
      </c>
      <c r="C53" s="246">
        <f>+C8+C15+C22+C28+C35+C41+C47</f>
        <v>-251.24</v>
      </c>
      <c r="D53" s="238"/>
      <c r="E53" s="615">
        <f>SUM(E13+E19+E26+E32+E39+E45+E51)</f>
        <v>35659.56</v>
      </c>
      <c r="F53" s="616">
        <f>SUM(F13+F19+F26+F32+F39+F45+F51)</f>
        <v>1852165302</v>
      </c>
      <c r="G53" s="615">
        <f>SUM(G13+G19+G26+G32+G39+G45+G51)</f>
        <v>35787.360000000001</v>
      </c>
      <c r="H53" s="616">
        <f>SUM(H13+H19+H26+H32+H39+H45+H51)</f>
        <v>1894091217</v>
      </c>
    </row>
    <row r="54" spans="1:8" ht="13.5">
      <c r="A54" s="73" t="s">
        <v>152</v>
      </c>
      <c r="B54" s="181"/>
      <c r="C54" s="181"/>
      <c r="D54" s="126"/>
      <c r="E54" s="598"/>
      <c r="F54" s="599">
        <f>-F53*(0.2375-0.215)*0.5</f>
        <v>-20836859.647499993</v>
      </c>
      <c r="G54" s="598"/>
      <c r="H54" s="599">
        <f>-H53*(0.2375-0.215)*0.5</f>
        <v>-21308526.191249993</v>
      </c>
    </row>
    <row r="55" spans="1:8" ht="14.25" thickBot="1">
      <c r="A55" s="73" t="s">
        <v>472</v>
      </c>
      <c r="B55" s="181"/>
      <c r="C55" s="181"/>
      <c r="D55" s="126"/>
      <c r="E55" s="598"/>
      <c r="F55" s="600">
        <f>+F53+F54</f>
        <v>1831328442.3525</v>
      </c>
      <c r="G55" s="598"/>
      <c r="H55" s="600">
        <f>+H53+H54</f>
        <v>1872782690.8087499</v>
      </c>
    </row>
    <row r="56" spans="1:8" ht="13.5">
      <c r="A56" s="247" t="s">
        <v>217</v>
      </c>
      <c r="B56" s="248"/>
      <c r="C56" s="248"/>
      <c r="D56" s="248"/>
      <c r="E56" s="186"/>
      <c r="F56" s="187">
        <f>M300SAL!F57</f>
        <v>36035813</v>
      </c>
      <c r="G56" s="186"/>
      <c r="H56" s="187">
        <f>M300SAL!H57</f>
        <v>36164974</v>
      </c>
    </row>
    <row r="57" spans="1:8" ht="13.5">
      <c r="A57" s="247" t="str">
        <f>M300SAL!A58</f>
        <v>EXTRA PAY, MISC SALARIES</v>
      </c>
      <c r="B57" s="248"/>
      <c r="C57" s="248"/>
      <c r="D57" s="248"/>
      <c r="E57" s="186"/>
      <c r="F57" s="187">
        <f>M300SAL!F58</f>
        <v>20672024</v>
      </c>
      <c r="G57" s="186"/>
      <c r="H57" s="187">
        <f>M300SAL!H58</f>
        <v>21161040</v>
      </c>
    </row>
    <row r="58" spans="1:8" ht="13.5">
      <c r="A58" s="236" t="s">
        <v>219</v>
      </c>
      <c r="B58" s="238"/>
      <c r="C58" s="238"/>
      <c r="D58" s="238"/>
      <c r="E58" s="238"/>
      <c r="F58" s="238"/>
      <c r="G58" s="238"/>
      <c r="H58" s="238"/>
    </row>
    <row r="59" spans="1:8" ht="13.5">
      <c r="A59" s="11" t="s">
        <v>55</v>
      </c>
      <c r="B59" s="249">
        <f>M300SAL!B60</f>
        <v>0.23749999999999999</v>
      </c>
      <c r="C59" s="249">
        <f>M300SAL!C60</f>
        <v>0.23749999999999999</v>
      </c>
      <c r="D59" s="6"/>
      <c r="E59" s="238"/>
      <c r="F59" s="241">
        <f>ROUND(F$55*B59,0)</f>
        <v>434940505</v>
      </c>
      <c r="G59" s="241"/>
      <c r="H59" s="241">
        <f>ROUND(H$55*C59,0)</f>
        <v>444785889</v>
      </c>
    </row>
    <row r="60" spans="1:8" ht="13.5">
      <c r="A60" s="11" t="s">
        <v>56</v>
      </c>
      <c r="B60" s="249">
        <f>M300SAL!B61</f>
        <v>4.0759999999999998E-3</v>
      </c>
      <c r="C60" s="249">
        <f>M300SAL!C61</f>
        <v>4.0759999999999998E-3</v>
      </c>
      <c r="D60" s="6"/>
      <c r="E60" s="238"/>
      <c r="F60" s="134">
        <f>ROUND(SUM(F$55:F$57)*B60,0)</f>
        <v>7695636</v>
      </c>
      <c r="G60" s="241"/>
      <c r="H60" s="134">
        <f>ROUND(SUM(H$55:H$57)*C60,0)</f>
        <v>7867123</v>
      </c>
    </row>
    <row r="61" spans="1:8" ht="13.5">
      <c r="A61" s="11" t="s">
        <v>220</v>
      </c>
      <c r="B61" s="249">
        <f>M300SAL!B62</f>
        <v>3.5920000000000001E-3</v>
      </c>
      <c r="C61" s="249">
        <f>M300SAL!C62</f>
        <v>3.5920000000000001E-3</v>
      </c>
      <c r="D61" s="6"/>
      <c r="E61" s="238"/>
      <c r="F61" s="134">
        <f>ROUND(SUM(F$55:F$57)*B61,0)</f>
        <v>6781826</v>
      </c>
      <c r="G61" s="241"/>
      <c r="H61" s="134">
        <f>ROUND(SUM(H$55:H$57)*C61,0)</f>
        <v>6932950</v>
      </c>
    </row>
    <row r="62" spans="1:8" ht="13.5">
      <c r="A62" s="11" t="s">
        <v>57</v>
      </c>
      <c r="B62" s="249">
        <f>M300SAL!B63</f>
        <v>1.3034E-2</v>
      </c>
      <c r="C62" s="249">
        <f>M300SAL!C63</f>
        <v>1.3034E-2</v>
      </c>
      <c r="D62" s="6"/>
      <c r="E62" s="238"/>
      <c r="F62" s="134">
        <f>ROUND(SUM(F$55:F$57)*B62,0)</f>
        <v>24608665</v>
      </c>
      <c r="G62" s="241"/>
      <c r="H62" s="134">
        <f>ROUND(SUM(H$55:H$57)*C62,0)</f>
        <v>25157037</v>
      </c>
    </row>
    <row r="63" spans="1:8" ht="13.5">
      <c r="A63" s="11" t="s">
        <v>221</v>
      </c>
      <c r="B63" s="698">
        <f>M300SAL!B64</f>
        <v>6980.69</v>
      </c>
      <c r="C63" s="698">
        <f>M300SAL!C64</f>
        <v>6980.69</v>
      </c>
      <c r="D63" s="6"/>
      <c r="E63" s="238"/>
      <c r="F63" s="241">
        <f>ROUND(E$53*B63,0)</f>
        <v>248928334</v>
      </c>
      <c r="G63" s="241"/>
      <c r="H63" s="241">
        <f>ROUND(G$53*C63,0)</f>
        <v>249820466</v>
      </c>
    </row>
    <row r="64" spans="1:8" ht="13.5">
      <c r="A64" s="11" t="s">
        <v>58</v>
      </c>
      <c r="B64" s="572">
        <f>M300SAL!B65</f>
        <v>4.3059999999999999E-3</v>
      </c>
      <c r="C64" s="572">
        <f>M300SAL!C65</f>
        <v>4.3059999999999999E-3</v>
      </c>
      <c r="D64" s="6"/>
      <c r="E64" s="126"/>
      <c r="F64" s="143">
        <f>ROUND(SUM(F$55:$F57)*$B64,0)</f>
        <v>8129884</v>
      </c>
      <c r="G64" s="134"/>
      <c r="H64" s="143">
        <f>ROUND(SUM(H$55:H57)*$C64,0)</f>
        <v>8311048</v>
      </c>
    </row>
    <row r="65" spans="1:8" ht="13.5">
      <c r="A65" s="236"/>
      <c r="B65" s="702"/>
      <c r="C65" s="702"/>
      <c r="D65" s="238"/>
      <c r="E65" s="126"/>
      <c r="F65" s="250">
        <f>SUM(F59:F64)</f>
        <v>731084850</v>
      </c>
      <c r="G65" s="250"/>
      <c r="H65" s="250">
        <f>SUM(H59:H64)</f>
        <v>742874513</v>
      </c>
    </row>
    <row r="66" spans="1:8" s="13" customFormat="1" ht="13.5">
      <c r="A66" s="12" t="s">
        <v>222</v>
      </c>
      <c r="B66" s="251"/>
      <c r="C66" s="251"/>
      <c r="D66" s="251"/>
      <c r="E66" s="251"/>
      <c r="F66" s="251"/>
      <c r="G66" s="251"/>
      <c r="H66" s="252"/>
    </row>
    <row r="67" spans="1:8" s="13" customFormat="1" ht="13.5">
      <c r="A67" s="14" t="s">
        <v>223</v>
      </c>
      <c r="B67" s="253"/>
      <c r="C67" s="253"/>
      <c r="D67" s="253"/>
      <c r="E67" s="254">
        <f>E53+E65</f>
        <v>35659.56</v>
      </c>
      <c r="F67" s="255">
        <f>F55+F56+F57+F65</f>
        <v>2619121129.3525</v>
      </c>
      <c r="G67" s="254">
        <f>G53+G65</f>
        <v>35787.360000000001</v>
      </c>
      <c r="H67" s="256">
        <f>H55+H56+H57+H65</f>
        <v>2672983217.8087502</v>
      </c>
    </row>
    <row r="68" spans="1:8" ht="13.5">
      <c r="A68" s="11" t="s">
        <v>224</v>
      </c>
      <c r="B68" s="238"/>
      <c r="C68" s="238"/>
      <c r="D68" s="238"/>
      <c r="E68" s="257"/>
      <c r="F68" s="258">
        <f>F65/F53</f>
        <v>0.39471900764503148</v>
      </c>
      <c r="G68" s="238"/>
      <c r="H68" s="258">
        <f>H65/H53</f>
        <v>0.39220630259646044</v>
      </c>
    </row>
    <row r="69" spans="1:8" ht="13.5">
      <c r="A69" s="259" t="s">
        <v>225</v>
      </c>
      <c r="B69" s="225" t="str">
        <f>+M200SAL!B67</f>
        <v>FY12</v>
      </c>
      <c r="C69" s="225" t="str">
        <f>+B69</f>
        <v>FY12</v>
      </c>
      <c r="D69" s="198" t="s">
        <v>226</v>
      </c>
      <c r="E69" s="225" t="str">
        <f>+M200SAL!E67</f>
        <v>FY13</v>
      </c>
      <c r="F69" s="225" t="str">
        <f>+E69</f>
        <v>FY13</v>
      </c>
      <c r="G69" s="199" t="s">
        <v>226</v>
      </c>
      <c r="H69" s="260"/>
    </row>
    <row r="70" spans="1:8" ht="13.5">
      <c r="A70" s="235" t="s">
        <v>227</v>
      </c>
      <c r="B70" s="228" t="s">
        <v>239</v>
      </c>
      <c r="C70" s="814" t="s">
        <v>448</v>
      </c>
      <c r="D70" s="202" t="s">
        <v>230</v>
      </c>
      <c r="E70" s="228" t="s">
        <v>239</v>
      </c>
      <c r="F70" s="814" t="s">
        <v>448</v>
      </c>
      <c r="G70" s="203" t="s">
        <v>230</v>
      </c>
      <c r="H70" s="260"/>
    </row>
    <row r="71" spans="1:8" ht="13.5">
      <c r="A71" s="172" t="s">
        <v>231</v>
      </c>
      <c r="B71" s="261">
        <f>M300SAL!C72</f>
        <v>1878285585.855</v>
      </c>
      <c r="C71" s="261">
        <f>F55</f>
        <v>1831328442.3525</v>
      </c>
      <c r="D71" s="262">
        <f>C71-B71</f>
        <v>-46957143.502500057</v>
      </c>
      <c r="E71" s="261">
        <f>M300SAL!F72</f>
        <v>1920678977.7349999</v>
      </c>
      <c r="F71" s="261">
        <f>H55</f>
        <v>1872782690.8087499</v>
      </c>
      <c r="G71" s="263">
        <f>F71-E71</f>
        <v>-47896286.926249981</v>
      </c>
      <c r="H71" s="260"/>
    </row>
    <row r="72" spans="1:8" ht="13.5">
      <c r="A72" s="172" t="s">
        <v>232</v>
      </c>
      <c r="B72" s="261">
        <f>M300SAL!C73</f>
        <v>36035813</v>
      </c>
      <c r="C72" s="261">
        <f>F56</f>
        <v>36035813</v>
      </c>
      <c r="D72" s="262">
        <f>C72-B72</f>
        <v>0</v>
      </c>
      <c r="E72" s="261">
        <f>M300SAL!F73</f>
        <v>36164974</v>
      </c>
      <c r="F72" s="261">
        <f>H56</f>
        <v>36164974</v>
      </c>
      <c r="G72" s="263">
        <f>F72-E72</f>
        <v>0</v>
      </c>
      <c r="H72" s="260"/>
    </row>
    <row r="73" spans="1:8" ht="13.5">
      <c r="A73" s="172" t="s">
        <v>240</v>
      </c>
      <c r="B73" s="261">
        <f>M300SAL!C74</f>
        <v>20672024</v>
      </c>
      <c r="C73" s="261">
        <f>F57</f>
        <v>20672024</v>
      </c>
      <c r="D73" s="262">
        <f>C73-B73</f>
        <v>0</v>
      </c>
      <c r="E73" s="261">
        <f>M300SAL!F74</f>
        <v>21161040</v>
      </c>
      <c r="F73" s="261">
        <f>H57</f>
        <v>21161040</v>
      </c>
      <c r="G73" s="263">
        <f>F73-E73</f>
        <v>0</v>
      </c>
      <c r="H73" s="260"/>
    </row>
    <row r="74" spans="1:8" ht="13.5">
      <c r="A74" s="172" t="s">
        <v>233</v>
      </c>
      <c r="B74" s="261">
        <f>M300SAL!C75</f>
        <v>446092827</v>
      </c>
      <c r="C74" s="261">
        <f t="shared" ref="C74:C79" si="0">F59</f>
        <v>434940505</v>
      </c>
      <c r="D74" s="262">
        <f t="shared" ref="D74:D81" si="1">C74-B74</f>
        <v>-11152322</v>
      </c>
      <c r="E74" s="261">
        <f>M300SAL!F75</f>
        <v>456161257</v>
      </c>
      <c r="F74" s="261">
        <f t="shared" ref="F74:F79" si="2">H59</f>
        <v>444785889</v>
      </c>
      <c r="G74" s="263">
        <f t="shared" ref="G74:G81" si="3">F74-E74</f>
        <v>-11375368</v>
      </c>
      <c r="H74" s="260"/>
    </row>
    <row r="75" spans="1:8" ht="13.5">
      <c r="A75" s="172" t="s">
        <v>56</v>
      </c>
      <c r="B75" s="261">
        <f>M300SAL!C76</f>
        <v>7887033</v>
      </c>
      <c r="C75" s="261">
        <f t="shared" si="0"/>
        <v>7695636</v>
      </c>
      <c r="D75" s="262">
        <f t="shared" si="1"/>
        <v>-191397</v>
      </c>
      <c r="E75" s="261">
        <f>M300SAL!F76</f>
        <v>8062348</v>
      </c>
      <c r="F75" s="261">
        <f t="shared" si="2"/>
        <v>7867123</v>
      </c>
      <c r="G75" s="263">
        <f t="shared" si="3"/>
        <v>-195225</v>
      </c>
      <c r="H75" s="260"/>
    </row>
    <row r="76" spans="1:8" ht="13.5">
      <c r="A76" s="172" t="s">
        <v>234</v>
      </c>
      <c r="B76" s="261">
        <f>M300SAL!C77</f>
        <v>6950496</v>
      </c>
      <c r="C76" s="261">
        <f t="shared" si="0"/>
        <v>6781826</v>
      </c>
      <c r="D76" s="262">
        <f t="shared" si="1"/>
        <v>-168670</v>
      </c>
      <c r="E76" s="261">
        <f>M300SAL!F77</f>
        <v>7104994</v>
      </c>
      <c r="F76" s="261">
        <f t="shared" si="2"/>
        <v>6932950</v>
      </c>
      <c r="G76" s="263">
        <f t="shared" si="3"/>
        <v>-172044</v>
      </c>
      <c r="H76" s="260"/>
    </row>
    <row r="77" spans="1:8" ht="13.5">
      <c r="A77" s="172" t="s">
        <v>235</v>
      </c>
      <c r="B77" s="261">
        <f>M300SAL!C78</f>
        <v>25220704</v>
      </c>
      <c r="C77" s="261">
        <f t="shared" si="0"/>
        <v>24608665</v>
      </c>
      <c r="D77" s="262">
        <f t="shared" si="1"/>
        <v>-612039</v>
      </c>
      <c r="E77" s="261">
        <f>M300SAL!F78</f>
        <v>25781317</v>
      </c>
      <c r="F77" s="261">
        <f t="shared" si="2"/>
        <v>25157037</v>
      </c>
      <c r="G77" s="263">
        <f t="shared" si="3"/>
        <v>-624280</v>
      </c>
      <c r="H77" s="260"/>
    </row>
    <row r="78" spans="1:8" ht="13.5">
      <c r="A78" s="172" t="s">
        <v>236</v>
      </c>
      <c r="B78" s="261">
        <f>M300SAL!C79</f>
        <v>248928334</v>
      </c>
      <c r="C78" s="261">
        <f t="shared" si="0"/>
        <v>248928334</v>
      </c>
      <c r="D78" s="262">
        <f t="shared" si="1"/>
        <v>0</v>
      </c>
      <c r="E78" s="261">
        <f>M300SAL!F79</f>
        <v>249820466</v>
      </c>
      <c r="F78" s="261">
        <f t="shared" si="2"/>
        <v>249820466</v>
      </c>
      <c r="G78" s="263">
        <f t="shared" si="3"/>
        <v>0</v>
      </c>
      <c r="H78" s="260"/>
    </row>
    <row r="79" spans="1:8" ht="13.5">
      <c r="A79" s="172" t="s">
        <v>237</v>
      </c>
      <c r="B79" s="264">
        <f>M300SAL!C80</f>
        <v>8332082</v>
      </c>
      <c r="C79" s="264">
        <f t="shared" si="0"/>
        <v>8129884</v>
      </c>
      <c r="D79" s="265">
        <f t="shared" si="1"/>
        <v>-202198</v>
      </c>
      <c r="E79" s="264">
        <f>M300SAL!F80</f>
        <v>8517289</v>
      </c>
      <c r="F79" s="264">
        <f t="shared" si="2"/>
        <v>8311048</v>
      </c>
      <c r="G79" s="266">
        <f t="shared" si="3"/>
        <v>-206241</v>
      </c>
      <c r="H79" s="260"/>
    </row>
    <row r="80" spans="1:8" ht="13.5">
      <c r="A80" s="172"/>
      <c r="B80" s="204"/>
      <c r="C80" s="204"/>
      <c r="D80" s="267"/>
      <c r="E80" s="204"/>
      <c r="F80" s="204"/>
      <c r="G80" s="268"/>
      <c r="H80" s="260"/>
    </row>
    <row r="81" spans="1:8" ht="13.5">
      <c r="A81" s="172" t="s">
        <v>238</v>
      </c>
      <c r="B81" s="261">
        <f>SUM(B71:B79)</f>
        <v>2678404898.855</v>
      </c>
      <c r="C81" s="261">
        <f>SUM(C71:C79)</f>
        <v>2619121129.3525</v>
      </c>
      <c r="D81" s="262">
        <f t="shared" si="1"/>
        <v>-59283769.502500057</v>
      </c>
      <c r="E81" s="261">
        <f>SUM(E71:E79)</f>
        <v>2733452662.7349997</v>
      </c>
      <c r="F81" s="261">
        <f>SUM(F71:F79)</f>
        <v>2672983217.8087502</v>
      </c>
      <c r="G81" s="263">
        <f t="shared" si="3"/>
        <v>-60469444.926249504</v>
      </c>
      <c r="H81" s="260"/>
    </row>
    <row r="82" spans="1:8" ht="13.5">
      <c r="A82" s="172"/>
      <c r="B82" s="261"/>
      <c r="C82" s="261"/>
      <c r="D82" s="262"/>
      <c r="E82" s="261"/>
      <c r="F82" s="261"/>
      <c r="G82" s="263"/>
      <c r="H82" s="260"/>
    </row>
    <row r="83" spans="1:8">
      <c r="D83" s="780">
        <f>D81+D82</f>
        <v>-59283769.502500057</v>
      </c>
      <c r="G83" s="780">
        <f>G81+G82</f>
        <v>-60469444.926249504</v>
      </c>
    </row>
  </sheetData>
  <mergeCells count="1">
    <mergeCell ref="A1:H1"/>
  </mergeCells>
  <phoneticPr fontId="0" type="noConversion"/>
  <printOptions horizontalCentered="1" headings="1"/>
  <pageMargins left="0.5" right="0.5" top="0.5" bottom="0.5" header="0.25" footer="0.5"/>
  <pageSetup scale="64" orientation="portrait" r:id="rId1"/>
  <headerFooter alignWithMargins="0">
    <oddFooter>&amp;L&amp;D &amp;T&amp;C&amp;P of &amp;N&amp;R&amp;F &amp;A</oddFooter>
  </headerFooter>
  <rowBreaks count="1" manualBreakCount="1">
    <brk id="57" max="7" man="1"/>
  </rowBreaks>
  <legacyDrawing r:id="rId2"/>
  <extLst>
    <ext xmlns:mx="http://schemas.microsoft.com/office/mac/excel/2008/main" uri="http://schemas.microsoft.com/office/mac/excel/2008/main">
      <mx:PLV Mode="0" OnePage="0" WScale="0"/>
    </ext>
  </extLst>
</worksheet>
</file>

<file path=xl/worksheets/sheet11.xml><?xml version="1.0" encoding="utf-8"?>
<worksheet xmlns="http://schemas.openxmlformats.org/spreadsheetml/2006/main" xmlns:r="http://schemas.openxmlformats.org/officeDocument/2006/relationships">
  <sheetPr codeName="Sheet18" enableFormatConditionsCalculation="0">
    <pageSetUpPr fitToPage="1"/>
  </sheetPr>
  <dimension ref="A1:H83"/>
  <sheetViews>
    <sheetView zoomScale="125" workbookViewId="0">
      <selection activeCell="H49" sqref="H49"/>
    </sheetView>
  </sheetViews>
  <sheetFormatPr defaultColWidth="8.85546875" defaultRowHeight="12.75"/>
  <cols>
    <col min="1" max="1" width="30.42578125" style="13" bestFit="1" customWidth="1"/>
    <col min="2" max="2" width="9.85546875" style="9" customWidth="1"/>
    <col min="3" max="3" width="10.140625" style="9" customWidth="1"/>
    <col min="4" max="5" width="9.85546875" style="9" bestFit="1" customWidth="1"/>
    <col min="6" max="6" width="10.28515625" style="9" customWidth="1"/>
    <col min="7" max="7" width="8.85546875" style="9"/>
    <col min="8" max="8" width="9.85546875" style="9" customWidth="1"/>
    <col min="9" max="16384" width="8.85546875" style="9"/>
  </cols>
  <sheetData>
    <row r="1" spans="1:8" ht="14.25" thickBot="1">
      <c r="A1" s="1058" t="s">
        <v>446</v>
      </c>
      <c r="B1" s="1059"/>
      <c r="C1" s="1059"/>
      <c r="D1" s="1059"/>
      <c r="E1" s="1059"/>
      <c r="F1" s="1059"/>
      <c r="G1" s="1059"/>
      <c r="H1" s="1060"/>
    </row>
    <row r="2" spans="1:8" ht="13.5">
      <c r="A2" s="71"/>
      <c r="B2" s="119" t="str">
        <f>BASESAL!B2</f>
        <v>FY10</v>
      </c>
      <c r="C2" s="120" t="str">
        <f>BASESAL!C2</f>
        <v>FY11</v>
      </c>
      <c r="D2" s="120" t="str">
        <f>BASESAL!D2</f>
        <v>FY11</v>
      </c>
      <c r="E2" s="120" t="str">
        <f>BASESAL!E2</f>
        <v>FY12</v>
      </c>
      <c r="F2" s="120" t="str">
        <f>BASESAL!F2</f>
        <v>FY12</v>
      </c>
      <c r="G2" s="120" t="str">
        <f>BASESAL!G2</f>
        <v>FY13</v>
      </c>
      <c r="H2" s="121" t="str">
        <f>BASESAL!H2</f>
        <v>FY13</v>
      </c>
    </row>
    <row r="3" spans="1:8" ht="14.25" thickBot="1">
      <c r="A3" s="122"/>
      <c r="B3" s="123" t="s">
        <v>205</v>
      </c>
      <c r="C3" s="109" t="s">
        <v>205</v>
      </c>
      <c r="D3" s="109" t="s">
        <v>206</v>
      </c>
      <c r="E3" s="109" t="s">
        <v>205</v>
      </c>
      <c r="F3" s="109" t="s">
        <v>206</v>
      </c>
      <c r="G3" s="109" t="s">
        <v>205</v>
      </c>
      <c r="H3" s="124" t="s">
        <v>206</v>
      </c>
    </row>
    <row r="4" spans="1:8" ht="13.5">
      <c r="A4" s="205" t="s">
        <v>207</v>
      </c>
      <c r="B4" s="608">
        <f>E670SAL!B4</f>
        <v>425527.2</v>
      </c>
      <c r="C4" s="608">
        <f>E670SAL!C4</f>
        <v>422569.6</v>
      </c>
      <c r="D4" s="608"/>
      <c r="E4" s="608">
        <f>E670SAL!E4</f>
        <v>421987.1</v>
      </c>
      <c r="F4" s="608"/>
      <c r="G4" s="608">
        <f>E670SAL!G4</f>
        <v>423499.6</v>
      </c>
      <c r="H4" s="609"/>
    </row>
    <row r="5" spans="1:8" ht="13.5">
      <c r="A5" s="173" t="s">
        <v>208</v>
      </c>
      <c r="B5" s="126"/>
      <c r="C5" s="126"/>
      <c r="D5" s="127">
        <f>E670SAL!H5</f>
        <v>39166</v>
      </c>
      <c r="E5" s="127"/>
      <c r="F5" s="127">
        <f>D5</f>
        <v>39166</v>
      </c>
      <c r="G5" s="127"/>
      <c r="H5" s="128">
        <f>F5</f>
        <v>39166</v>
      </c>
    </row>
    <row r="6" spans="1:8" ht="13.5">
      <c r="A6" s="236" t="s">
        <v>27</v>
      </c>
      <c r="B6" s="126"/>
      <c r="C6" s="126"/>
      <c r="D6" s="127"/>
      <c r="E6" s="126"/>
      <c r="F6" s="237">
        <f>DSADATABASE!J28</f>
        <v>0.97499999999999998</v>
      </c>
      <c r="G6" s="126"/>
      <c r="H6" s="727">
        <f>DSADATABASE!K28</f>
        <v>1</v>
      </c>
    </row>
    <row r="7" spans="1:8" ht="13.5">
      <c r="A7" s="131"/>
      <c r="B7" s="126"/>
      <c r="C7" s="126"/>
      <c r="D7" s="126"/>
      <c r="E7" s="126"/>
      <c r="F7" s="126"/>
      <c r="G7" s="126"/>
      <c r="H7" s="130"/>
    </row>
    <row r="8" spans="1:8" ht="13.5">
      <c r="A8" s="174" t="s">
        <v>210</v>
      </c>
      <c r="B8" s="126"/>
      <c r="C8" s="126"/>
      <c r="D8" s="126"/>
      <c r="E8" s="126"/>
      <c r="F8" s="126"/>
      <c r="G8" s="126"/>
      <c r="H8" s="130"/>
    </row>
    <row r="9" spans="1:8" ht="13.5">
      <c r="A9" s="73" t="s">
        <v>211</v>
      </c>
      <c r="B9" s="175">
        <f>E670SAL!B8</f>
        <v>20489.149999999998</v>
      </c>
      <c r="C9" s="175">
        <f>E670SAL!C8</f>
        <v>-143.95999999999913</v>
      </c>
      <c r="D9" s="134"/>
      <c r="E9" s="176">
        <f>(B9)</f>
        <v>20489.149999999998</v>
      </c>
      <c r="F9" s="134"/>
      <c r="G9" s="176">
        <f>(E13)</f>
        <v>20317.14</v>
      </c>
      <c r="H9" s="136"/>
    </row>
    <row r="10" spans="1:8" ht="13.5">
      <c r="A10" s="73" t="s">
        <v>212</v>
      </c>
      <c r="B10" s="175">
        <f>E670SAL!B9</f>
        <v>20.77</v>
      </c>
      <c r="C10" s="137"/>
      <c r="D10" s="134">
        <f>ROUND(C9*D5,0)</f>
        <v>-5638337</v>
      </c>
      <c r="E10" s="176">
        <f>(C9)</f>
        <v>-143.95999999999913</v>
      </c>
      <c r="F10" s="241">
        <f>ROUND(D10*1.02*F$6,0)</f>
        <v>-5607326</v>
      </c>
      <c r="G10" s="175"/>
      <c r="H10" s="136">
        <f>ROUND((F10*1.02)*H$6,0)</f>
        <v>-5719473</v>
      </c>
    </row>
    <row r="11" spans="1:8" ht="13.5">
      <c r="A11" s="73" t="s">
        <v>213</v>
      </c>
      <c r="B11" s="139"/>
      <c r="C11" s="139"/>
      <c r="D11" s="134">
        <f>ROUND(B9*B13,0)</f>
        <v>1105799426</v>
      </c>
      <c r="E11" s="175"/>
      <c r="F11" s="241">
        <f>ROUND(D11*1.02*F$6,0)</f>
        <v>1099717529</v>
      </c>
      <c r="G11" s="175"/>
      <c r="H11" s="136">
        <f>ROUND(((F11+F12)*1.02)*H$6,0)</f>
        <v>1120619316</v>
      </c>
    </row>
    <row r="12" spans="1:8" ht="13.5">
      <c r="A12" s="73" t="str">
        <f>BASESAL!A11</f>
        <v>FY 10 AVG SALARY</v>
      </c>
      <c r="B12" s="141">
        <f>E670SAL!B11</f>
        <v>53436</v>
      </c>
      <c r="C12" s="141"/>
      <c r="D12" s="134"/>
      <c r="E12" s="177">
        <f>ROUND((E$4/B10)-E9-E10,2)</f>
        <v>-28.05</v>
      </c>
      <c r="F12" s="134">
        <f>ROUND((E12*F$5*1)*F$6,0)</f>
        <v>-1071141</v>
      </c>
      <c r="G12" s="177">
        <f>ROUND((G$4/B10)-G9-G10,2)</f>
        <v>72.83</v>
      </c>
      <c r="H12" s="136">
        <f>ROUND((G12*H5*1)*H$6,0)</f>
        <v>2852460</v>
      </c>
    </row>
    <row r="13" spans="1:8" ht="13.5">
      <c r="A13" s="73" t="str">
        <f>M200SAL!A12</f>
        <v>FY11 = FY10  @ 1% Roll-Up Plus 0% Cola</v>
      </c>
      <c r="B13" s="141">
        <f>E670SAL!B12</f>
        <v>53970</v>
      </c>
      <c r="C13" s="139"/>
      <c r="D13" s="134"/>
      <c r="E13" s="178">
        <f>SUM(E9:E12)</f>
        <v>20317.14</v>
      </c>
      <c r="F13" s="146">
        <f>SUM(F9:F12)</f>
        <v>1093039062</v>
      </c>
      <c r="G13" s="178">
        <f>SUM(G9:G12)</f>
        <v>20389.97</v>
      </c>
      <c r="H13" s="147">
        <f>SUM(H9:H12)</f>
        <v>1117752303</v>
      </c>
    </row>
    <row r="14" spans="1:8" ht="13.5">
      <c r="A14" s="173"/>
      <c r="B14" s="134"/>
      <c r="C14" s="134"/>
      <c r="D14" s="134"/>
      <c r="E14" s="126"/>
      <c r="F14" s="126"/>
      <c r="G14" s="126"/>
      <c r="H14" s="130"/>
    </row>
    <row r="15" spans="1:8" ht="13.5">
      <c r="A15" s="131" t="s">
        <v>210</v>
      </c>
      <c r="B15" s="126"/>
      <c r="C15" s="126"/>
      <c r="D15" s="126"/>
      <c r="E15" s="126"/>
      <c r="F15" s="126"/>
      <c r="G15" s="126"/>
      <c r="H15" s="130"/>
    </row>
    <row r="16" spans="1:8" ht="13.5">
      <c r="A16" s="73" t="s">
        <v>214</v>
      </c>
      <c r="B16" s="175">
        <f>E670SAL!B15</f>
        <v>2051.3000000000002</v>
      </c>
      <c r="C16" s="175">
        <f>E670SAL!C15</f>
        <v>-14.230000000000246</v>
      </c>
      <c r="D16" s="134"/>
      <c r="E16" s="176">
        <f>(B16)</f>
        <v>2051.3000000000002</v>
      </c>
      <c r="F16" s="134"/>
      <c r="G16" s="176">
        <f>(E20)</f>
        <v>2034.26</v>
      </c>
      <c r="H16" s="136"/>
    </row>
    <row r="17" spans="1:8" ht="13.5">
      <c r="A17" s="73" t="s">
        <v>212</v>
      </c>
      <c r="B17" s="175">
        <f>E670SAL!B16</f>
        <v>207.44</v>
      </c>
      <c r="C17" s="137"/>
      <c r="D17" s="134">
        <f>ROUND(C16*DSADATABASE!K15,0)</f>
        <v>-330819</v>
      </c>
      <c r="E17" s="176">
        <f>(C16)</f>
        <v>-14.230000000000246</v>
      </c>
      <c r="F17" s="241">
        <f>ROUND(D17*1.02*F$6,0)</f>
        <v>-328999</v>
      </c>
      <c r="G17" s="175"/>
      <c r="H17" s="136">
        <f>ROUND((F17*1.02)*H$6,0)</f>
        <v>-335579</v>
      </c>
    </row>
    <row r="18" spans="1:8" ht="13.5">
      <c r="A18" s="73" t="s">
        <v>213</v>
      </c>
      <c r="B18" s="139"/>
      <c r="C18" s="139"/>
      <c r="D18" s="134">
        <f>ROUND(B16*B20,0)</f>
        <v>64220049</v>
      </c>
      <c r="E18" s="175"/>
      <c r="F18" s="241">
        <f>ROUND(D18*1.02*F$6,0)</f>
        <v>63866839</v>
      </c>
      <c r="G18" s="175"/>
      <c r="H18" s="136">
        <f>ROUND(((F18+F19)*1.02)*H$6,0)</f>
        <v>65079208</v>
      </c>
    </row>
    <row r="19" spans="1:8" ht="13.5">
      <c r="A19" s="73" t="str">
        <f>$A$12</f>
        <v>FY 10 AVG SALARY</v>
      </c>
      <c r="B19" s="141">
        <f>E670SAL!B18</f>
        <v>30997</v>
      </c>
      <c r="C19" s="141"/>
      <c r="D19" s="134"/>
      <c r="E19" s="177">
        <f>ROUND((E$4/B17)-E16-E17,2)</f>
        <v>-2.81</v>
      </c>
      <c r="F19" s="143">
        <f>E670SAL!F18*1</f>
        <v>-63694</v>
      </c>
      <c r="G19" s="177">
        <f>ROUND((G$4/B17)-G16-G17,2)</f>
        <v>7.29</v>
      </c>
      <c r="H19" s="144">
        <f>E670SAL!H18*1</f>
        <v>169478</v>
      </c>
    </row>
    <row r="20" spans="1:8" ht="13.5">
      <c r="A20" s="73" t="str">
        <f>$A$13</f>
        <v>FY11 = FY10  @ 1% Roll-Up Plus 0% Cola</v>
      </c>
      <c r="B20" s="141">
        <f>E670SAL!B19</f>
        <v>31307</v>
      </c>
      <c r="C20" s="139"/>
      <c r="D20" s="134"/>
      <c r="E20" s="178">
        <f>SUM(E16:E19)</f>
        <v>2034.26</v>
      </c>
      <c r="F20" s="146">
        <f>SUM(F16:F19)</f>
        <v>63474146</v>
      </c>
      <c r="G20" s="178">
        <f>SUM(G16:G19)</f>
        <v>2041.55</v>
      </c>
      <c r="H20" s="147">
        <f>SUM(H16:H19)</f>
        <v>64913107</v>
      </c>
    </row>
    <row r="21" spans="1:8" ht="13.5">
      <c r="A21" s="173"/>
      <c r="B21" s="126"/>
      <c r="C21" s="126"/>
      <c r="D21" s="126"/>
      <c r="E21" s="126"/>
      <c r="G21" s="126"/>
      <c r="H21" s="117"/>
    </row>
    <row r="22" spans="1:8" ht="13.5">
      <c r="A22" s="131" t="s">
        <v>215</v>
      </c>
      <c r="B22" s="134"/>
      <c r="C22" s="134"/>
      <c r="D22" s="134"/>
      <c r="E22" s="134"/>
      <c r="F22" s="238"/>
      <c r="G22" s="134"/>
      <c r="H22" s="130"/>
    </row>
    <row r="23" spans="1:8" ht="13.5">
      <c r="A23" s="73" t="s">
        <v>211</v>
      </c>
      <c r="B23" s="175">
        <f>E670SAL!B22</f>
        <v>2328.71</v>
      </c>
      <c r="C23" s="175">
        <f>E670SAL!C22</f>
        <v>-16.170000000000073</v>
      </c>
      <c r="D23" s="134"/>
      <c r="E23" s="176">
        <f>(B23)</f>
        <v>2328.71</v>
      </c>
      <c r="F23" s="241"/>
      <c r="G23" s="176">
        <f>(E27)</f>
        <v>2309.35</v>
      </c>
      <c r="H23" s="136"/>
    </row>
    <row r="24" spans="1:8" ht="13.5">
      <c r="A24" s="73" t="s">
        <v>212</v>
      </c>
      <c r="B24" s="175">
        <f>E670SAL!B23</f>
        <v>182.73</v>
      </c>
      <c r="C24" s="137"/>
      <c r="D24" s="134">
        <f>ROUND(C23*DSADATABASE!K16,0)</f>
        <v>-790438</v>
      </c>
      <c r="E24" s="176">
        <f>(C23)</f>
        <v>-16.170000000000073</v>
      </c>
      <c r="F24" s="241">
        <f>ROUND(D24*1.02*F$6,0)</f>
        <v>-786091</v>
      </c>
      <c r="G24" s="175"/>
      <c r="H24" s="136">
        <f>ROUND((F24*1.02)*H$6,0)</f>
        <v>-801813</v>
      </c>
    </row>
    <row r="25" spans="1:8" ht="13.5">
      <c r="A25" s="73" t="s">
        <v>213</v>
      </c>
      <c r="B25" s="139"/>
      <c r="C25" s="139"/>
      <c r="D25" s="134">
        <f>ROUND(B23*B27,0)</f>
        <v>153296651</v>
      </c>
      <c r="E25" s="175"/>
      <c r="F25" s="241">
        <f>ROUND(D25*1.02*F$6,0)</f>
        <v>152453519</v>
      </c>
      <c r="G25" s="175"/>
      <c r="H25" s="136">
        <f>ROUND(((F25+F26)*1.02)*H$6,0)</f>
        <v>155347510</v>
      </c>
    </row>
    <row r="26" spans="1:8" ht="13.5">
      <c r="A26" s="73" t="str">
        <f>$A$12</f>
        <v>FY 10 AVG SALARY</v>
      </c>
      <c r="B26" s="141">
        <f>E670SAL!B25</f>
        <v>65177</v>
      </c>
      <c r="C26" s="141"/>
      <c r="D26" s="134"/>
      <c r="E26" s="177">
        <f>ROUND((E$4/B24)-E23-E24,2)</f>
        <v>-3.19</v>
      </c>
      <c r="F26" s="143">
        <f>E670SAL!F25*1</f>
        <v>-152039</v>
      </c>
      <c r="G26" s="177">
        <f>ROUND((G$4/B24)-G23-G24,2)</f>
        <v>8.27</v>
      </c>
      <c r="H26" s="144">
        <f>E670SAL!H25*1</f>
        <v>404262</v>
      </c>
    </row>
    <row r="27" spans="1:8" ht="13.5">
      <c r="A27" s="73" t="str">
        <f>$A$13</f>
        <v>FY11 = FY10  @ 1% Roll-Up Plus 0% Cola</v>
      </c>
      <c r="B27" s="141">
        <f>E670SAL!B26</f>
        <v>65829</v>
      </c>
      <c r="C27" s="139"/>
      <c r="D27" s="134"/>
      <c r="E27" s="178">
        <f>SUM(E23:E26)</f>
        <v>2309.35</v>
      </c>
      <c r="F27" s="146">
        <f>SUM(F23:F26)</f>
        <v>151515389</v>
      </c>
      <c r="G27" s="178">
        <f>SUM(G23:G26)</f>
        <v>2317.62</v>
      </c>
      <c r="H27" s="147">
        <f>SUM(H23:H26)</f>
        <v>154949959</v>
      </c>
    </row>
    <row r="28" spans="1:8" ht="13.5">
      <c r="A28" s="173"/>
      <c r="B28" s="134"/>
      <c r="C28" s="134"/>
      <c r="D28" s="134"/>
      <c r="E28" s="134"/>
      <c r="G28" s="134"/>
      <c r="H28" s="117"/>
    </row>
    <row r="29" spans="1:8" ht="13.5">
      <c r="A29" s="131" t="s">
        <v>214</v>
      </c>
      <c r="B29" s="175">
        <f>E670SAL!B28</f>
        <v>959.07</v>
      </c>
      <c r="C29" s="175">
        <f>E670SAL!C28</f>
        <v>-6.6700000000000728</v>
      </c>
      <c r="D29" s="134"/>
      <c r="E29" s="176">
        <f>(B29)</f>
        <v>959.07</v>
      </c>
      <c r="F29" s="241"/>
      <c r="G29" s="176">
        <f>(E33)</f>
        <v>951.09</v>
      </c>
      <c r="H29" s="136"/>
    </row>
    <row r="30" spans="1:8" ht="13.5">
      <c r="A30" s="73" t="s">
        <v>212</v>
      </c>
      <c r="B30" s="175">
        <f>E670SAL!B29</f>
        <v>443.69</v>
      </c>
      <c r="C30" s="137"/>
      <c r="D30" s="134">
        <f>ROUND(C29*DSADATABASE!K17,0)</f>
        <v>-195925</v>
      </c>
      <c r="E30" s="176">
        <f>(C29)</f>
        <v>-6.6700000000000728</v>
      </c>
      <c r="F30" s="241">
        <f>ROUND(D30*1.02*F$6,0)</f>
        <v>-194847</v>
      </c>
      <c r="G30" s="175"/>
      <c r="H30" s="136">
        <f>ROUND((F30*1.02)*H$6,0)</f>
        <v>-198744</v>
      </c>
    </row>
    <row r="31" spans="1:8" ht="13.5">
      <c r="A31" s="73" t="s">
        <v>213</v>
      </c>
      <c r="B31" s="139"/>
      <c r="C31" s="139"/>
      <c r="D31" s="134">
        <f>ROUND(B29*B33,0)</f>
        <v>37937932</v>
      </c>
      <c r="E31" s="175"/>
      <c r="F31" s="241">
        <f>ROUND(D31*1.02*F$6,0)</f>
        <v>37729273</v>
      </c>
      <c r="G31" s="175"/>
      <c r="H31" s="136">
        <f>ROUND(((F31+F32)*1.02)*H$6,0)</f>
        <v>38445590</v>
      </c>
    </row>
    <row r="32" spans="1:8" ht="13.5">
      <c r="A32" s="73" t="str">
        <f>$A$12</f>
        <v>FY 10 AVG SALARY</v>
      </c>
      <c r="B32" s="141">
        <f>E670SAL!B31</f>
        <v>39165</v>
      </c>
      <c r="C32" s="141"/>
      <c r="D32" s="134"/>
      <c r="E32" s="177">
        <f>ROUND((E$4/B30)-E29-E30,2)</f>
        <v>-1.31</v>
      </c>
      <c r="F32" s="143">
        <f>E670SAL!F31*1</f>
        <v>-37518</v>
      </c>
      <c r="G32" s="177">
        <f>ROUND((G$4/B30)-G29-G30,2)</f>
        <v>3.4</v>
      </c>
      <c r="H32" s="144">
        <f>E670SAL!H31*1</f>
        <v>99872</v>
      </c>
    </row>
    <row r="33" spans="1:8" ht="13.5">
      <c r="A33" s="73" t="str">
        <f>$A$13</f>
        <v>FY11 = FY10  @ 1% Roll-Up Plus 0% Cola</v>
      </c>
      <c r="B33" s="141">
        <f>E670SAL!B32</f>
        <v>39557</v>
      </c>
      <c r="C33" s="139"/>
      <c r="D33" s="134"/>
      <c r="E33" s="178">
        <f>SUM(E29:E32)</f>
        <v>951.09</v>
      </c>
      <c r="F33" s="146">
        <f>SUM(F29:F32)</f>
        <v>37496908</v>
      </c>
      <c r="G33" s="178">
        <f>SUM(G29:G32)</f>
        <v>954.49</v>
      </c>
      <c r="H33" s="147">
        <f>SUM(H29:H32)</f>
        <v>38346718</v>
      </c>
    </row>
    <row r="34" spans="1:8" ht="13.5">
      <c r="A34" s="173"/>
      <c r="B34" s="126"/>
      <c r="C34" s="126"/>
      <c r="D34" s="126"/>
      <c r="E34" s="126"/>
      <c r="G34" s="126"/>
      <c r="H34" s="117"/>
    </row>
    <row r="35" spans="1:8" ht="13.5">
      <c r="A35" s="131" t="s">
        <v>216</v>
      </c>
      <c r="B35" s="134"/>
      <c r="C35" s="134"/>
      <c r="D35" s="134"/>
      <c r="E35" s="134"/>
      <c r="F35" s="238"/>
      <c r="G35" s="134"/>
      <c r="H35" s="130"/>
    </row>
    <row r="36" spans="1:8" ht="13.5">
      <c r="A36" s="73" t="s">
        <v>211</v>
      </c>
      <c r="B36" s="175">
        <f>E670SAL!B35</f>
        <v>1405.47</v>
      </c>
      <c r="C36" s="175">
        <f>E670SAL!C35</f>
        <v>-9.7899999999999636</v>
      </c>
      <c r="D36" s="134"/>
      <c r="E36" s="176">
        <f>(B36)</f>
        <v>1405.47</v>
      </c>
      <c r="F36" s="241"/>
      <c r="G36" s="176">
        <f>(E40)</f>
        <v>1393.75</v>
      </c>
      <c r="H36" s="136"/>
    </row>
    <row r="37" spans="1:8" ht="13.5">
      <c r="A37" s="73" t="s">
        <v>212</v>
      </c>
      <c r="B37" s="175">
        <f>E670SAL!B36</f>
        <v>302.77</v>
      </c>
      <c r="C37" s="137"/>
      <c r="D37" s="134">
        <f>ROUND(C36*DSADATABASE!K18,0)</f>
        <v>-643967</v>
      </c>
      <c r="E37" s="176">
        <f>(C36)</f>
        <v>-9.7899999999999636</v>
      </c>
      <c r="F37" s="241">
        <f>ROUND(D37*1.02*F$6,0)</f>
        <v>-640425</v>
      </c>
      <c r="G37" s="175"/>
      <c r="H37" s="136">
        <f>ROUND((F37*1.02)*H$6,0)</f>
        <v>-653234</v>
      </c>
    </row>
    <row r="38" spans="1:8" ht="13.5">
      <c r="A38" s="73" t="s">
        <v>213</v>
      </c>
      <c r="B38" s="139"/>
      <c r="C38" s="139"/>
      <c r="D38" s="134">
        <f>ROUND(B36*B40,0)</f>
        <v>124497938</v>
      </c>
      <c r="E38" s="175"/>
      <c r="F38" s="241">
        <f>ROUND(D38*1.02*F$6,0)</f>
        <v>123813199</v>
      </c>
      <c r="G38" s="175"/>
      <c r="H38" s="136">
        <f>ROUND(((F38+F39)*1.02)*H$6,0)</f>
        <v>126163209</v>
      </c>
    </row>
    <row r="39" spans="1:8" ht="13.5">
      <c r="A39" s="73" t="str">
        <f>$A$12</f>
        <v>FY 10 AVG SALARY</v>
      </c>
      <c r="B39" s="141">
        <f>E670SAL!B38</f>
        <v>87704</v>
      </c>
      <c r="C39" s="141"/>
      <c r="D39" s="134"/>
      <c r="E39" s="177">
        <f>ROUND((E$4/B37)-E36-E37,2)</f>
        <v>-1.93</v>
      </c>
      <c r="F39" s="143">
        <f>E670SAL!F38*1</f>
        <v>-123778</v>
      </c>
      <c r="G39" s="177">
        <f>ROUND((G$4/B37)-G36-G37,2)</f>
        <v>5</v>
      </c>
      <c r="H39" s="144">
        <f>E670SAL!H38*1</f>
        <v>328890</v>
      </c>
    </row>
    <row r="40" spans="1:8" ht="13.5">
      <c r="A40" s="73" t="str">
        <f>$A$13</f>
        <v>FY11 = FY10  @ 1% Roll-Up Plus 0% Cola</v>
      </c>
      <c r="B40" s="141">
        <f>E670SAL!B39</f>
        <v>88581</v>
      </c>
      <c r="C40" s="139"/>
      <c r="D40" s="134"/>
      <c r="E40" s="178">
        <f>SUM(E36:E39)</f>
        <v>1393.75</v>
      </c>
      <c r="F40" s="146">
        <f>SUM(F36:F39)</f>
        <v>123048996</v>
      </c>
      <c r="G40" s="178">
        <f>SUM(G36:G39)</f>
        <v>1398.75</v>
      </c>
      <c r="H40" s="147">
        <f>SUM(H36:H39)</f>
        <v>125838865</v>
      </c>
    </row>
    <row r="41" spans="1:8" ht="13.5">
      <c r="A41" s="173"/>
      <c r="B41" s="134"/>
      <c r="C41" s="134"/>
      <c r="D41" s="134"/>
      <c r="E41" s="134"/>
      <c r="G41" s="134"/>
      <c r="H41" s="117"/>
    </row>
    <row r="42" spans="1:8" ht="13.5">
      <c r="A42" s="131" t="s">
        <v>214</v>
      </c>
      <c r="B42" s="175">
        <f>E670SAL!B41</f>
        <v>2881.37</v>
      </c>
      <c r="C42" s="175">
        <f>E670SAL!C41</f>
        <v>-19.980000000000018</v>
      </c>
      <c r="D42" s="134"/>
      <c r="E42" s="176">
        <f>(B42)</f>
        <v>2881.37</v>
      </c>
      <c r="F42" s="241"/>
      <c r="G42" s="176">
        <f>(E46)</f>
        <v>2857.44</v>
      </c>
      <c r="H42" s="136"/>
    </row>
    <row r="43" spans="1:8" ht="13.5">
      <c r="A43" s="73" t="s">
        <v>212</v>
      </c>
      <c r="B43" s="175">
        <f>E670SAL!B42</f>
        <v>147.68</v>
      </c>
      <c r="C43" s="137"/>
      <c r="D43" s="134">
        <f>ROUND(C42*DSADATABASE!K19,0)</f>
        <v>-692447</v>
      </c>
      <c r="E43" s="176">
        <f>(C42)</f>
        <v>-19.980000000000018</v>
      </c>
      <c r="F43" s="241">
        <f>ROUND(D43*1.02*F$6,0)</f>
        <v>-688639</v>
      </c>
      <c r="G43" s="175"/>
      <c r="H43" s="136">
        <f>ROUND((F43*1.02)*H$6,0)</f>
        <v>-702412</v>
      </c>
    </row>
    <row r="44" spans="1:8" ht="13.5">
      <c r="A44" s="73" t="s">
        <v>213</v>
      </c>
      <c r="B44" s="139"/>
      <c r="C44" s="139"/>
      <c r="D44" s="134">
        <f>ROUND(B42*B46,0)</f>
        <v>133145226</v>
      </c>
      <c r="E44" s="175"/>
      <c r="F44" s="241">
        <f>ROUND(D44*1.02*F$6,0)</f>
        <v>132412927</v>
      </c>
      <c r="G44" s="175"/>
      <c r="H44" s="136">
        <f>ROUND(((F44+F45)*1.02)*H$6,0)</f>
        <v>134925043</v>
      </c>
    </row>
    <row r="45" spans="1:8" ht="13.5">
      <c r="A45" s="73" t="str">
        <f>$A$12</f>
        <v>FY 10 AVG SALARY</v>
      </c>
      <c r="B45" s="141">
        <f>E670SAL!B44</f>
        <v>46209</v>
      </c>
      <c r="C45" s="141"/>
      <c r="D45" s="134"/>
      <c r="E45" s="177">
        <f>ROUND((E$4/B43)-E42-E43,2)</f>
        <v>-3.95</v>
      </c>
      <c r="F45" s="143">
        <f>E670SAL!F44*1</f>
        <v>-133473</v>
      </c>
      <c r="G45" s="177">
        <f>ROUND((G$4/B43)-G42-G43,2)</f>
        <v>10.24</v>
      </c>
      <c r="H45" s="144">
        <f>E670SAL!H44*1</f>
        <v>354888</v>
      </c>
    </row>
    <row r="46" spans="1:8" ht="13.5">
      <c r="A46" s="73" t="str">
        <f>$A$13</f>
        <v>FY11 = FY10  @ 1% Roll-Up Plus 0% Cola</v>
      </c>
      <c r="B46" s="141">
        <f>E670SAL!B45</f>
        <v>46209</v>
      </c>
      <c r="C46" s="139"/>
      <c r="D46" s="134"/>
      <c r="E46" s="178">
        <f>SUM(E42:E45)</f>
        <v>2857.44</v>
      </c>
      <c r="F46" s="146">
        <f>SUM(F42:F45)</f>
        <v>131590815</v>
      </c>
      <c r="G46" s="178">
        <f>SUM(G42:G45)</f>
        <v>2867.68</v>
      </c>
      <c r="H46" s="147">
        <f>SUM(H42:H45)</f>
        <v>134577519</v>
      </c>
    </row>
    <row r="47" spans="1:8" ht="13.5">
      <c r="A47" s="173"/>
      <c r="B47" s="126"/>
      <c r="C47" s="126"/>
      <c r="D47" s="126"/>
      <c r="E47" s="126"/>
      <c r="G47" s="126"/>
      <c r="H47" s="117"/>
    </row>
    <row r="48" spans="1:8" ht="13.5">
      <c r="A48" s="131" t="s">
        <v>432</v>
      </c>
      <c r="B48" s="175">
        <f>E670SAL!B47</f>
        <v>5844.97</v>
      </c>
      <c r="C48" s="175">
        <f>E670SAL!C47</f>
        <v>-40.440000000000509</v>
      </c>
      <c r="D48" s="134"/>
      <c r="E48" s="176">
        <f>(B48)</f>
        <v>5844.97</v>
      </c>
      <c r="F48" s="241"/>
      <c r="G48" s="176">
        <f>(E52)</f>
        <v>5796.53</v>
      </c>
      <c r="H48" s="136"/>
    </row>
    <row r="49" spans="1:8" ht="13.5">
      <c r="A49" s="73" t="s">
        <v>212</v>
      </c>
      <c r="B49" s="175">
        <f>E670SAL!B48</f>
        <v>72.8</v>
      </c>
      <c r="C49" s="137"/>
      <c r="D49" s="134">
        <f>ROUND(C48*DSADATABASE!K20,0)</f>
        <v>-1309892</v>
      </c>
      <c r="E49" s="176">
        <f>(C48)</f>
        <v>-40.440000000000509</v>
      </c>
      <c r="F49" s="241">
        <f>ROUND(D49*1.02*F$6,0)</f>
        <v>-1302688</v>
      </c>
      <c r="G49" s="175"/>
      <c r="H49" s="136">
        <f>ROUND((F49*1.02)*H$6,0)</f>
        <v>-1328742</v>
      </c>
    </row>
    <row r="50" spans="1:8" ht="13.5">
      <c r="A50" s="73" t="s">
        <v>213</v>
      </c>
      <c r="B50" s="139"/>
      <c r="C50" s="139"/>
      <c r="D50" s="134">
        <f>ROUND(B48*B52,0)</f>
        <v>254957591</v>
      </c>
      <c r="E50" s="175"/>
      <c r="F50" s="241">
        <f>ROUND(D50*1.02*F$6,0)</f>
        <v>253555324</v>
      </c>
      <c r="G50" s="175"/>
      <c r="H50" s="136">
        <f>ROUND(((F50+F51)*1.02)*H$6,0)</f>
        <v>258368727</v>
      </c>
    </row>
    <row r="51" spans="1:8" ht="13.5">
      <c r="A51" s="73" t="str">
        <f>$A$12</f>
        <v>FY 10 AVG SALARY</v>
      </c>
      <c r="B51" s="141">
        <f>E670SAL!B50</f>
        <v>43188</v>
      </c>
      <c r="C51" s="141"/>
      <c r="D51" s="134"/>
      <c r="E51" s="177">
        <f>ROUND((E$4/B49)-E48-E49,2)</f>
        <v>-8</v>
      </c>
      <c r="F51" s="143">
        <f>E670SAL!F50*1</f>
        <v>-252650</v>
      </c>
      <c r="G51" s="177">
        <f>ROUND((G$4/B49)-G48-G49,2)</f>
        <v>20.77</v>
      </c>
      <c r="H51" s="144">
        <f>E670SAL!H50*1</f>
        <v>672761</v>
      </c>
    </row>
    <row r="52" spans="1:8" ht="13.5">
      <c r="A52" s="73" t="str">
        <f>$A$13</f>
        <v>FY11 = FY10  @ 1% Roll-Up Plus 0% Cola</v>
      </c>
      <c r="B52" s="141">
        <f>E670SAL!B51</f>
        <v>43620</v>
      </c>
      <c r="C52" s="139"/>
      <c r="D52" s="134"/>
      <c r="E52" s="178">
        <f>SUM(E48:E51)</f>
        <v>5796.53</v>
      </c>
      <c r="F52" s="146">
        <f>SUM(F48:F51)</f>
        <v>251999986</v>
      </c>
      <c r="G52" s="178">
        <f>SUM(G48:G51)</f>
        <v>5817.3</v>
      </c>
      <c r="H52" s="147">
        <f>SUM(H48:H51)</f>
        <v>257712746</v>
      </c>
    </row>
    <row r="53" spans="1:8" ht="13.5">
      <c r="A53" s="173"/>
      <c r="B53" s="126"/>
      <c r="C53" s="126"/>
      <c r="D53" s="126"/>
      <c r="E53" s="149"/>
      <c r="F53" s="126"/>
      <c r="G53" s="149"/>
      <c r="H53" s="130"/>
    </row>
    <row r="54" spans="1:8" ht="13.5">
      <c r="A54" s="73" t="s">
        <v>60</v>
      </c>
      <c r="B54" s="181">
        <f>+B9+B16+B23+B29+B36+B42+B48</f>
        <v>35960.039999999994</v>
      </c>
      <c r="C54" s="181">
        <f>+C9+C16+C23+C29+C36+C42+C48</f>
        <v>-251.24</v>
      </c>
      <c r="D54" s="126"/>
      <c r="E54" s="216">
        <f>SUM(E13+E20+E27+E33+E40+E46+E52)</f>
        <v>35659.56</v>
      </c>
      <c r="F54" s="217">
        <f>SUM(F13+F20+F27+F33+F40+F46+F52)</f>
        <v>1852165302</v>
      </c>
      <c r="G54" s="216">
        <f>SUM(G13+G20+G27+G33+G40+G46+G52)</f>
        <v>35787.360000000001</v>
      </c>
      <c r="H54" s="218">
        <f>SUM(H13+H20+H27+H33+H40+H46+H52)</f>
        <v>1894091217</v>
      </c>
    </row>
    <row r="55" spans="1:8" ht="13.5">
      <c r="A55" s="73" t="s">
        <v>152</v>
      </c>
      <c r="B55" s="181"/>
      <c r="C55" s="181"/>
      <c r="D55" s="126"/>
      <c r="E55" s="598"/>
      <c r="F55" s="599">
        <f>-F54*(0.2375-0.215)*0.5</f>
        <v>-20836859.647499993</v>
      </c>
      <c r="G55" s="598"/>
      <c r="H55" s="599">
        <f>-H54*(0.2375-0.215)*0.5</f>
        <v>-21308526.191249993</v>
      </c>
    </row>
    <row r="56" spans="1:8" ht="14.25" thickBot="1">
      <c r="A56" s="73" t="s">
        <v>472</v>
      </c>
      <c r="B56" s="181"/>
      <c r="C56" s="181"/>
      <c r="D56" s="126"/>
      <c r="E56" s="598"/>
      <c r="F56" s="600">
        <f>+F54+F55</f>
        <v>1831328442.3525</v>
      </c>
      <c r="G56" s="598"/>
      <c r="H56" s="601">
        <f>+H54+H55</f>
        <v>1872782690.8087499</v>
      </c>
    </row>
    <row r="57" spans="1:8" ht="13.5">
      <c r="A57" s="219" t="s">
        <v>217</v>
      </c>
      <c r="B57" s="185"/>
      <c r="C57" s="185"/>
      <c r="D57" s="185"/>
      <c r="E57" s="186"/>
      <c r="F57" s="187">
        <f>E670SAL!F56</f>
        <v>36035813</v>
      </c>
      <c r="G57" s="186"/>
      <c r="H57" s="189">
        <f>E670SAL!H56</f>
        <v>36164974</v>
      </c>
    </row>
    <row r="58" spans="1:8" ht="13.5">
      <c r="A58" s="219" t="str">
        <f>M200SAL!A55</f>
        <v>EXTRA PAY, MISC SALARIES</v>
      </c>
      <c r="B58" s="185"/>
      <c r="C58" s="185"/>
      <c r="D58" s="185"/>
      <c r="E58" s="186"/>
      <c r="F58" s="187">
        <f>E670SAL!F57</f>
        <v>20672024</v>
      </c>
      <c r="G58" s="186"/>
      <c r="H58" s="189">
        <f>E670SAL!H57</f>
        <v>21161040</v>
      </c>
    </row>
    <row r="59" spans="1:8" ht="13.5">
      <c r="A59" s="131" t="s">
        <v>219</v>
      </c>
      <c r="B59" s="126"/>
      <c r="C59" s="126"/>
      <c r="D59" s="126"/>
      <c r="E59" s="126"/>
      <c r="F59" s="126"/>
      <c r="G59" s="126"/>
      <c r="H59" s="130"/>
    </row>
    <row r="60" spans="1:8" ht="13.5">
      <c r="A60" s="73" t="s">
        <v>55</v>
      </c>
      <c r="B60" s="190">
        <f>E670SAL!B59</f>
        <v>0.23749999999999999</v>
      </c>
      <c r="C60" s="190">
        <f>E670SAL!C59</f>
        <v>0.23749999999999999</v>
      </c>
      <c r="D60" s="191"/>
      <c r="E60" s="126"/>
      <c r="F60" s="134">
        <f>ROUND(F$56*B60,0)</f>
        <v>434940505</v>
      </c>
      <c r="G60" s="134"/>
      <c r="H60" s="136">
        <f>ROUND(H$56*C60,0)</f>
        <v>444785889</v>
      </c>
    </row>
    <row r="61" spans="1:8" ht="13.5">
      <c r="A61" s="73" t="s">
        <v>346</v>
      </c>
      <c r="B61" s="190">
        <f>E670SAL!B60</f>
        <v>4.0759999999999998E-3</v>
      </c>
      <c r="C61" s="190">
        <f>E670SAL!C60</f>
        <v>4.0759999999999998E-3</v>
      </c>
      <c r="D61" s="191"/>
      <c r="E61" s="126"/>
      <c r="F61" s="134">
        <f>ROUND(SUM(F$56:F$58)*B61,0)</f>
        <v>7695636</v>
      </c>
      <c r="G61" s="134"/>
      <c r="H61" s="136">
        <f>ROUND(SUM(H$56:H$58)*C61,0)</f>
        <v>7867123</v>
      </c>
    </row>
    <row r="62" spans="1:8" ht="13.5">
      <c r="A62" s="73" t="s">
        <v>220</v>
      </c>
      <c r="B62" s="190">
        <f>E670SAL!B61</f>
        <v>3.5920000000000001E-3</v>
      </c>
      <c r="C62" s="190">
        <f>E670SAL!C61</f>
        <v>3.5920000000000001E-3</v>
      </c>
      <c r="D62" s="191"/>
      <c r="E62" s="126"/>
      <c r="F62" s="134">
        <f>ROUND(SUM(F$56:F$58)*B62,0)</f>
        <v>6781826</v>
      </c>
      <c r="G62" s="134"/>
      <c r="H62" s="136">
        <f>ROUND(SUM(H$56:H$58)*C62,0)</f>
        <v>6932950</v>
      </c>
    </row>
    <row r="63" spans="1:8" ht="13.5">
      <c r="A63" s="73" t="s">
        <v>57</v>
      </c>
      <c r="B63" s="190">
        <f>E670SAL!B62</f>
        <v>1.3034E-2</v>
      </c>
      <c r="C63" s="190">
        <f>E670SAL!C62</f>
        <v>1.3034E-2</v>
      </c>
      <c r="D63" s="191"/>
      <c r="E63" s="126"/>
      <c r="F63" s="134">
        <f>ROUND(SUM(F$56:F$58)*B63,0)</f>
        <v>24608665</v>
      </c>
      <c r="G63" s="134"/>
      <c r="H63" s="136">
        <f>ROUND(SUM(H$56:H$58)*C63,0)</f>
        <v>25157037</v>
      </c>
    </row>
    <row r="64" spans="1:8" ht="13.5">
      <c r="A64" s="73" t="s">
        <v>221</v>
      </c>
      <c r="B64" s="697">
        <f>E670SAL!B63</f>
        <v>6980.69</v>
      </c>
      <c r="C64" s="697">
        <f>E670SAL!C63</f>
        <v>6980.69</v>
      </c>
      <c r="D64" s="191"/>
      <c r="E64" s="126"/>
      <c r="F64" s="134">
        <f>ROUND(E$54*B64,0)</f>
        <v>248928334</v>
      </c>
      <c r="G64" s="134"/>
      <c r="H64" s="136">
        <f>ROUND(G$54*C64,0)</f>
        <v>249820466</v>
      </c>
    </row>
    <row r="65" spans="1:8" ht="13.5">
      <c r="A65" s="73" t="s">
        <v>58</v>
      </c>
      <c r="B65" s="190">
        <f>E670SAL!B64</f>
        <v>4.3059999999999999E-3</v>
      </c>
      <c r="C65" s="190">
        <f>E670SAL!C64</f>
        <v>4.3059999999999999E-3</v>
      </c>
      <c r="D65" s="191"/>
      <c r="E65" s="126"/>
      <c r="F65" s="143">
        <f>ROUND(SUM(F$56:$F58)*$B65,0)</f>
        <v>8129884</v>
      </c>
      <c r="G65" s="134"/>
      <c r="H65" s="144">
        <f>ROUND(SUM(H$56:H58)*$C65,0)</f>
        <v>8311048</v>
      </c>
    </row>
    <row r="66" spans="1:8" ht="14.25" thickBot="1">
      <c r="A66" s="193"/>
      <c r="B66" s="700"/>
      <c r="C66" s="700"/>
      <c r="D66" s="126"/>
      <c r="E66" s="126"/>
      <c r="F66" s="134">
        <f>SUM(F60:F65)</f>
        <v>731084850</v>
      </c>
      <c r="G66" s="134"/>
      <c r="H66" s="136">
        <f>SUM(H60:H65)</f>
        <v>742874513</v>
      </c>
    </row>
    <row r="67" spans="1:8" ht="13.5">
      <c r="A67" s="192" t="s">
        <v>222</v>
      </c>
      <c r="B67" s="220"/>
      <c r="C67" s="220"/>
      <c r="D67" s="220"/>
      <c r="E67" s="220"/>
      <c r="F67" s="220"/>
      <c r="G67" s="220"/>
      <c r="H67" s="221"/>
    </row>
    <row r="68" spans="1:8" ht="14.25" thickBot="1">
      <c r="A68" s="193" t="s">
        <v>223</v>
      </c>
      <c r="B68" s="169"/>
      <c r="C68" s="169"/>
      <c r="D68" s="169"/>
      <c r="E68" s="166">
        <f>E54+E66</f>
        <v>35659.56</v>
      </c>
      <c r="F68" s="167">
        <f>F56+F57+F58+F66</f>
        <v>2619121129.3525</v>
      </c>
      <c r="G68" s="166">
        <f>G54+G66</f>
        <v>35787.360000000001</v>
      </c>
      <c r="H68" s="168">
        <f>H56+H57+H58+H66</f>
        <v>2672983217.8087502</v>
      </c>
    </row>
    <row r="69" spans="1:8" ht="13.5">
      <c r="A69" s="73" t="s">
        <v>224</v>
      </c>
      <c r="B69" s="126"/>
      <c r="C69" s="126"/>
      <c r="D69" s="126"/>
      <c r="E69" s="126"/>
      <c r="F69" s="222">
        <f>F66/F54</f>
        <v>0.39471900764503148</v>
      </c>
      <c r="G69" s="126"/>
      <c r="H69" s="223">
        <f>H66/H54</f>
        <v>0.39220630259646044</v>
      </c>
    </row>
    <row r="70" spans="1:8" ht="13.5">
      <c r="A70" s="224" t="s">
        <v>225</v>
      </c>
      <c r="B70" s="225" t="str">
        <f>+M200SAL!B67</f>
        <v>FY12</v>
      </c>
      <c r="C70" s="225" t="str">
        <f>+B70</f>
        <v>FY12</v>
      </c>
      <c r="D70" s="225" t="s">
        <v>226</v>
      </c>
      <c r="E70" s="225" t="str">
        <f>+M200SAL!E67</f>
        <v>FY13</v>
      </c>
      <c r="F70" s="225" t="str">
        <f>+E70</f>
        <v>FY13</v>
      </c>
      <c r="G70" s="226" t="s">
        <v>226</v>
      </c>
      <c r="H70" s="200"/>
    </row>
    <row r="71" spans="1:8" ht="13.5">
      <c r="A71" s="227" t="s">
        <v>227</v>
      </c>
      <c r="B71" s="814" t="s">
        <v>448</v>
      </c>
      <c r="C71" s="228" t="s">
        <v>445</v>
      </c>
      <c r="D71" s="228" t="s">
        <v>230</v>
      </c>
      <c r="E71" s="814" t="s">
        <v>448</v>
      </c>
      <c r="F71" s="228" t="s">
        <v>445</v>
      </c>
      <c r="G71" s="229" t="s">
        <v>230</v>
      </c>
      <c r="H71" s="200"/>
    </row>
    <row r="72" spans="1:8" ht="13.5">
      <c r="A72" s="173" t="s">
        <v>231</v>
      </c>
      <c r="B72" s="204">
        <f>E670SAL!C71</f>
        <v>1831328442.3525</v>
      </c>
      <c r="C72" s="204">
        <f>F56</f>
        <v>1831328442.3525</v>
      </c>
      <c r="D72" s="204">
        <f t="shared" ref="D72:D79" si="0">C72-B72</f>
        <v>0</v>
      </c>
      <c r="E72" s="204">
        <f>E670SAL!F71</f>
        <v>1872782690.8087499</v>
      </c>
      <c r="F72" s="204">
        <f>H56</f>
        <v>1872782690.8087499</v>
      </c>
      <c r="G72" s="153">
        <f t="shared" ref="G72:G79" si="1">F72-E72</f>
        <v>0</v>
      </c>
      <c r="H72" s="200"/>
    </row>
    <row r="73" spans="1:8" ht="13.5">
      <c r="A73" s="173" t="s">
        <v>232</v>
      </c>
      <c r="B73" s="204">
        <f>E670SAL!C72</f>
        <v>36035813</v>
      </c>
      <c r="C73" s="204">
        <f>F57</f>
        <v>36035813</v>
      </c>
      <c r="D73" s="204">
        <f t="shared" si="0"/>
        <v>0</v>
      </c>
      <c r="E73" s="204">
        <f>E670SAL!F72</f>
        <v>36164974</v>
      </c>
      <c r="F73" s="204">
        <f>H57</f>
        <v>36164974</v>
      </c>
      <c r="G73" s="153">
        <f t="shared" si="1"/>
        <v>0</v>
      </c>
      <c r="H73" s="200"/>
    </row>
    <row r="74" spans="1:8" ht="13.5">
      <c r="A74" s="173" t="s">
        <v>240</v>
      </c>
      <c r="B74" s="204">
        <f>E670SAL!C73</f>
        <v>20672024</v>
      </c>
      <c r="C74" s="204">
        <f>F58</f>
        <v>20672024</v>
      </c>
      <c r="D74" s="204">
        <f t="shared" si="0"/>
        <v>0</v>
      </c>
      <c r="E74" s="204">
        <f>E670SAL!F73</f>
        <v>21161040</v>
      </c>
      <c r="F74" s="204">
        <f>H58</f>
        <v>21161040</v>
      </c>
      <c r="G74" s="153">
        <f t="shared" si="1"/>
        <v>0</v>
      </c>
      <c r="H74" s="200"/>
    </row>
    <row r="75" spans="1:8" ht="13.5">
      <c r="A75" s="173" t="s">
        <v>233</v>
      </c>
      <c r="B75" s="204">
        <f>E670SAL!C74</f>
        <v>434940505</v>
      </c>
      <c r="C75" s="204">
        <f t="shared" ref="C75:C79" si="2">F60</f>
        <v>434940505</v>
      </c>
      <c r="D75" s="204">
        <f t="shared" si="0"/>
        <v>0</v>
      </c>
      <c r="E75" s="204">
        <f>E670SAL!F74</f>
        <v>444785889</v>
      </c>
      <c r="F75" s="204">
        <f t="shared" ref="F75:F79" si="3">H60</f>
        <v>444785889</v>
      </c>
      <c r="G75" s="153">
        <f t="shared" si="1"/>
        <v>0</v>
      </c>
      <c r="H75" s="200"/>
    </row>
    <row r="76" spans="1:8" ht="13.5">
      <c r="A76" s="173" t="s">
        <v>265</v>
      </c>
      <c r="B76" s="204">
        <f>E670SAL!C75</f>
        <v>7695636</v>
      </c>
      <c r="C76" s="204">
        <f t="shared" si="2"/>
        <v>7695636</v>
      </c>
      <c r="D76" s="204">
        <f t="shared" si="0"/>
        <v>0</v>
      </c>
      <c r="E76" s="204">
        <f>E670SAL!F75</f>
        <v>7867123</v>
      </c>
      <c r="F76" s="204">
        <f t="shared" si="3"/>
        <v>7867123</v>
      </c>
      <c r="G76" s="153">
        <f t="shared" si="1"/>
        <v>0</v>
      </c>
      <c r="H76" s="200"/>
    </row>
    <row r="77" spans="1:8" ht="13.5">
      <c r="A77" s="173" t="s">
        <v>234</v>
      </c>
      <c r="B77" s="204">
        <f>E670SAL!C76</f>
        <v>6781826</v>
      </c>
      <c r="C77" s="204">
        <f t="shared" si="2"/>
        <v>6781826</v>
      </c>
      <c r="D77" s="204">
        <f t="shared" si="0"/>
        <v>0</v>
      </c>
      <c r="E77" s="204">
        <f>E670SAL!F76</f>
        <v>6932950</v>
      </c>
      <c r="F77" s="204">
        <f t="shared" si="3"/>
        <v>6932950</v>
      </c>
      <c r="G77" s="153">
        <f t="shared" si="1"/>
        <v>0</v>
      </c>
      <c r="H77" s="200"/>
    </row>
    <row r="78" spans="1:8" ht="13.5">
      <c r="A78" s="173" t="s">
        <v>235</v>
      </c>
      <c r="B78" s="204">
        <f>E670SAL!C77</f>
        <v>24608665</v>
      </c>
      <c r="C78" s="204">
        <f t="shared" si="2"/>
        <v>24608665</v>
      </c>
      <c r="D78" s="204">
        <f t="shared" si="0"/>
        <v>0</v>
      </c>
      <c r="E78" s="204">
        <f>E670SAL!F77</f>
        <v>25157037</v>
      </c>
      <c r="F78" s="204">
        <f t="shared" si="3"/>
        <v>25157037</v>
      </c>
      <c r="G78" s="153">
        <f t="shared" si="1"/>
        <v>0</v>
      </c>
      <c r="H78" s="200"/>
    </row>
    <row r="79" spans="1:8" ht="13.5">
      <c r="A79" s="173" t="s">
        <v>236</v>
      </c>
      <c r="B79" s="204">
        <f>E670SAL!C78</f>
        <v>248928334</v>
      </c>
      <c r="C79" s="204">
        <f t="shared" si="2"/>
        <v>248928334</v>
      </c>
      <c r="D79" s="204">
        <f t="shared" si="0"/>
        <v>0</v>
      </c>
      <c r="E79" s="204">
        <f>E670SAL!F78</f>
        <v>249820466</v>
      </c>
      <c r="F79" s="204">
        <f t="shared" si="3"/>
        <v>249820466</v>
      </c>
      <c r="G79" s="153">
        <f t="shared" si="1"/>
        <v>0</v>
      </c>
      <c r="H79" s="200"/>
    </row>
    <row r="80" spans="1:8" ht="13.5">
      <c r="A80" s="173" t="s">
        <v>237</v>
      </c>
      <c r="B80" s="204">
        <f>E670SAL!C79</f>
        <v>8129884</v>
      </c>
      <c r="C80" s="204">
        <f>F65</f>
        <v>8129884</v>
      </c>
      <c r="D80" s="204">
        <f>C80-B80</f>
        <v>0</v>
      </c>
      <c r="E80" s="204">
        <f>E670SAL!F79</f>
        <v>8311048</v>
      </c>
      <c r="F80" s="204">
        <f>H65</f>
        <v>8311048</v>
      </c>
      <c r="G80" s="153">
        <f>F80-E80</f>
        <v>0</v>
      </c>
      <c r="H80" s="200"/>
    </row>
    <row r="81" spans="1:8" ht="14.25" thickBot="1">
      <c r="A81" s="173" t="s">
        <v>149</v>
      </c>
      <c r="B81" s="204">
        <v>0</v>
      </c>
      <c r="C81" s="204">
        <v>0</v>
      </c>
      <c r="D81" s="204">
        <f>C81-B81</f>
        <v>0</v>
      </c>
      <c r="E81" s="204">
        <v>0</v>
      </c>
      <c r="F81" s="204">
        <v>0</v>
      </c>
      <c r="G81" s="153">
        <f>F81-E81</f>
        <v>0</v>
      </c>
      <c r="H81" s="200"/>
    </row>
    <row r="82" spans="1:8" ht="13.5">
      <c r="A82" s="205"/>
      <c r="B82" s="230"/>
      <c r="C82" s="230"/>
      <c r="D82" s="230"/>
      <c r="E82" s="230"/>
      <c r="F82" s="813"/>
      <c r="G82" s="231"/>
      <c r="H82" s="232"/>
    </row>
    <row r="83" spans="1:8" ht="14.25" thickBot="1">
      <c r="A83" s="209" t="s">
        <v>238</v>
      </c>
      <c r="B83" s="210">
        <f>SUM(B72:B80)</f>
        <v>2619121129.3525</v>
      </c>
      <c r="C83" s="210">
        <f>SUM(C72:C81)</f>
        <v>2619121129.3525</v>
      </c>
      <c r="D83" s="210">
        <f t="shared" ref="D83:G83" si="4">SUM(D72:D81)</f>
        <v>0</v>
      </c>
      <c r="E83" s="210">
        <f t="shared" si="4"/>
        <v>2672983217.8087502</v>
      </c>
      <c r="F83" s="210">
        <f>SUM(F72:F82)</f>
        <v>2672983217.8087502</v>
      </c>
      <c r="G83" s="211">
        <f t="shared" si="4"/>
        <v>0</v>
      </c>
      <c r="H83" s="233"/>
    </row>
  </sheetData>
  <mergeCells count="1">
    <mergeCell ref="A1:H1"/>
  </mergeCells>
  <phoneticPr fontId="0" type="noConversion"/>
  <printOptions horizontalCentered="1" headings="1"/>
  <pageMargins left="0.5" right="0.5" top="0.5" bottom="0.75" header="0.25" footer="0.5"/>
  <pageSetup scale="62" orientation="portrait" r:id="rId1"/>
  <headerFooter alignWithMargins="0">
    <oddFooter>&amp;L&amp;D &amp;T&amp;C&amp;P of &amp;N&amp;R&amp;F &amp;A</oddFooter>
  </headerFooter>
  <legacyDrawing r:id="rId2"/>
  <extLst>
    <ext xmlns:mx="http://schemas.microsoft.com/office/mac/excel/2008/main" uri="http://schemas.microsoft.com/office/mac/excel/2008/main">
      <mx:PLV Mode="0" OnePage="0" WScale="0"/>
    </ext>
  </extLst>
</worksheet>
</file>

<file path=xl/worksheets/sheet12.xml><?xml version="1.0" encoding="utf-8"?>
<worksheet xmlns="http://schemas.openxmlformats.org/spreadsheetml/2006/main" xmlns:r="http://schemas.openxmlformats.org/officeDocument/2006/relationships">
  <sheetPr>
    <pageSetUpPr fitToPage="1"/>
  </sheetPr>
  <dimension ref="A1:I83"/>
  <sheetViews>
    <sheetView topLeftCell="A25" workbookViewId="0">
      <selection activeCell="H55" sqref="H55"/>
    </sheetView>
  </sheetViews>
  <sheetFormatPr defaultColWidth="8.85546875" defaultRowHeight="12.75"/>
  <cols>
    <col min="1" max="1" width="30.42578125" style="13" bestFit="1" customWidth="1"/>
    <col min="2" max="2" width="9.85546875" style="9" customWidth="1"/>
    <col min="3" max="3" width="10.140625" style="9" customWidth="1"/>
    <col min="4" max="5" width="9.85546875" style="9" bestFit="1" customWidth="1"/>
    <col min="6" max="6" width="10.28515625" style="9" customWidth="1"/>
    <col min="7" max="7" width="8.85546875" style="9"/>
    <col min="8" max="8" width="9.85546875" style="9" customWidth="1"/>
    <col min="9" max="16384" width="8.85546875" style="9"/>
  </cols>
  <sheetData>
    <row r="1" spans="1:8" ht="14.25" thickBot="1">
      <c r="A1" s="1058" t="s">
        <v>500</v>
      </c>
      <c r="B1" s="1059"/>
      <c r="C1" s="1059"/>
      <c r="D1" s="1059"/>
      <c r="E1" s="1059"/>
      <c r="F1" s="1059"/>
      <c r="G1" s="1059"/>
      <c r="H1" s="1060"/>
    </row>
    <row r="2" spans="1:8" ht="13.5">
      <c r="A2" s="71"/>
      <c r="B2" s="119" t="str">
        <f>BASESAL!B2</f>
        <v>FY10</v>
      </c>
      <c r="C2" s="120" t="str">
        <f>BASESAL!C2</f>
        <v>FY11</v>
      </c>
      <c r="D2" s="120" t="str">
        <f>BASESAL!D2</f>
        <v>FY11</v>
      </c>
      <c r="E2" s="120" t="str">
        <f>BASESAL!E2</f>
        <v>FY12</v>
      </c>
      <c r="F2" s="120" t="str">
        <f>BASESAL!F2</f>
        <v>FY12</v>
      </c>
      <c r="G2" s="120" t="str">
        <f>BASESAL!G2</f>
        <v>FY13</v>
      </c>
      <c r="H2" s="121" t="str">
        <f>BASESAL!H2</f>
        <v>FY13</v>
      </c>
    </row>
    <row r="3" spans="1:8" ht="14.25" thickBot="1">
      <c r="A3" s="122"/>
      <c r="B3" s="123" t="s">
        <v>205</v>
      </c>
      <c r="C3" s="783" t="s">
        <v>205</v>
      </c>
      <c r="D3" s="783" t="s">
        <v>206</v>
      </c>
      <c r="E3" s="783" t="s">
        <v>205</v>
      </c>
      <c r="F3" s="783" t="s">
        <v>206</v>
      </c>
      <c r="G3" s="783" t="s">
        <v>205</v>
      </c>
      <c r="H3" s="124" t="s">
        <v>206</v>
      </c>
    </row>
    <row r="4" spans="1:8" ht="13.5">
      <c r="A4" s="205" t="s">
        <v>207</v>
      </c>
      <c r="B4" s="608">
        <f>E670SAL!B4</f>
        <v>425527.2</v>
      </c>
      <c r="C4" s="608">
        <f>E670SAL!C4</f>
        <v>422569.6</v>
      </c>
      <c r="D4" s="608"/>
      <c r="E4" s="608">
        <f>E670SAL!E4</f>
        <v>421987.1</v>
      </c>
      <c r="F4" s="608"/>
      <c r="G4" s="608">
        <f>E670SAL!G4</f>
        <v>423499.6</v>
      </c>
      <c r="H4" s="609"/>
    </row>
    <row r="5" spans="1:8" ht="13.5">
      <c r="A5" s="173" t="s">
        <v>208</v>
      </c>
      <c r="B5" s="126"/>
      <c r="C5" s="126"/>
      <c r="D5" s="127">
        <f>E670SAL!H5</f>
        <v>39166</v>
      </c>
      <c r="E5" s="127"/>
      <c r="F5" s="127">
        <f>D5</f>
        <v>39166</v>
      </c>
      <c r="G5" s="127"/>
      <c r="H5" s="128">
        <f>F5</f>
        <v>39166</v>
      </c>
    </row>
    <row r="6" spans="1:8" ht="13.5">
      <c r="A6" s="236" t="s">
        <v>27</v>
      </c>
      <c r="B6" s="126"/>
      <c r="C6" s="126"/>
      <c r="D6" s="127"/>
      <c r="E6" s="126"/>
      <c r="F6" s="237">
        <f>DSADATABASE!J28</f>
        <v>0.97499999999999998</v>
      </c>
      <c r="G6" s="126"/>
      <c r="H6" s="727">
        <f>DSADATABASE!K28</f>
        <v>1</v>
      </c>
    </row>
    <row r="7" spans="1:8" ht="13.5">
      <c r="A7" s="131"/>
      <c r="B7" s="126"/>
      <c r="C7" s="126"/>
      <c r="D7" s="126"/>
      <c r="E7" s="126"/>
      <c r="F7" s="126"/>
      <c r="G7" s="126"/>
      <c r="H7" s="130"/>
    </row>
    <row r="8" spans="1:8" ht="13.5">
      <c r="A8" s="174" t="s">
        <v>210</v>
      </c>
      <c r="B8" s="126"/>
      <c r="C8" s="126"/>
      <c r="D8" s="126"/>
      <c r="E8" s="126"/>
      <c r="F8" s="126"/>
      <c r="G8" s="126"/>
      <c r="H8" s="130"/>
    </row>
    <row r="9" spans="1:8" ht="13.5">
      <c r="A9" s="73" t="s">
        <v>211</v>
      </c>
      <c r="B9" s="175">
        <f>E670SAL!B8</f>
        <v>20489.149999999998</v>
      </c>
      <c r="C9" s="175">
        <f>E670SAL!C8</f>
        <v>-143.95999999999913</v>
      </c>
      <c r="D9" s="134"/>
      <c r="E9" s="176">
        <f>(B9)</f>
        <v>20489.149999999998</v>
      </c>
      <c r="F9" s="134"/>
      <c r="G9" s="176">
        <f>(E13)</f>
        <v>20317.14</v>
      </c>
      <c r="H9" s="136"/>
    </row>
    <row r="10" spans="1:8" ht="13.5">
      <c r="A10" s="73" t="s">
        <v>212</v>
      </c>
      <c r="B10" s="175">
        <f>E670SAL!B9</f>
        <v>20.77</v>
      </c>
      <c r="C10" s="137"/>
      <c r="D10" s="134">
        <f>ROUND(C9*D5,0)</f>
        <v>-5638337</v>
      </c>
      <c r="E10" s="176">
        <f>(C9)</f>
        <v>-143.95999999999913</v>
      </c>
      <c r="F10" s="241">
        <f>ROUND(D10*1.02*F$6,0)</f>
        <v>-5607326</v>
      </c>
      <c r="G10" s="175"/>
      <c r="H10" s="136">
        <f>ROUND((F10*1.02)*H$6,0)</f>
        <v>-5719473</v>
      </c>
    </row>
    <row r="11" spans="1:8" ht="13.5">
      <c r="A11" s="73" t="s">
        <v>213</v>
      </c>
      <c r="B11" s="139"/>
      <c r="C11" s="139"/>
      <c r="D11" s="134">
        <f>ROUND(B9*B13,0)</f>
        <v>1105799426</v>
      </c>
      <c r="E11" s="175"/>
      <c r="F11" s="241">
        <f>ROUND(D11*1.02*F$6,0)</f>
        <v>1099717529</v>
      </c>
      <c r="G11" s="175"/>
      <c r="H11" s="136">
        <f>ROUND(((F11+F12)*1.02)*H$6,0)</f>
        <v>1120619316</v>
      </c>
    </row>
    <row r="12" spans="1:8" ht="13.5">
      <c r="A12" s="73" t="str">
        <f>BASESAL!A11</f>
        <v>FY 10 AVG SALARY</v>
      </c>
      <c r="B12" s="141">
        <f>E670SAL!B11</f>
        <v>53436</v>
      </c>
      <c r="C12" s="141"/>
      <c r="D12" s="134"/>
      <c r="E12" s="177">
        <f>ROUND((E$4/B10)-E9-E10,2)</f>
        <v>-28.05</v>
      </c>
      <c r="F12" s="134">
        <f>ROUND((E12*F$5*1)*F$6,0)</f>
        <v>-1071141</v>
      </c>
      <c r="G12" s="177">
        <f>ROUND((G$4/B10)-G9-G10,2)</f>
        <v>72.83</v>
      </c>
      <c r="H12" s="136">
        <f>ROUND((G12*H5*1)*H$6,0)</f>
        <v>2852460</v>
      </c>
    </row>
    <row r="13" spans="1:8" ht="13.5">
      <c r="A13" s="73" t="str">
        <f>M200SAL!A12</f>
        <v>FY11 = FY10  @ 1% Roll-Up Plus 0% Cola</v>
      </c>
      <c r="B13" s="141">
        <f>E670SAL!B12</f>
        <v>53970</v>
      </c>
      <c r="C13" s="139"/>
      <c r="D13" s="134"/>
      <c r="E13" s="178">
        <f>SUM(E9:E12)</f>
        <v>20317.14</v>
      </c>
      <c r="F13" s="146">
        <f>SUM(F9:F12)</f>
        <v>1093039062</v>
      </c>
      <c r="G13" s="178">
        <f>SUM(G9:G12)</f>
        <v>20389.97</v>
      </c>
      <c r="H13" s="147">
        <f>SUM(H9:H12)</f>
        <v>1117752303</v>
      </c>
    </row>
    <row r="14" spans="1:8" ht="13.5">
      <c r="A14" s="173"/>
      <c r="B14" s="134"/>
      <c r="C14" s="134"/>
      <c r="D14" s="134"/>
      <c r="E14" s="126"/>
      <c r="F14" s="126"/>
      <c r="G14" s="126"/>
      <c r="H14" s="130"/>
    </row>
    <row r="15" spans="1:8" ht="13.5">
      <c r="A15" s="131" t="s">
        <v>210</v>
      </c>
      <c r="B15" s="126"/>
      <c r="C15" s="126"/>
      <c r="D15" s="126"/>
      <c r="E15" s="126"/>
      <c r="F15" s="126"/>
      <c r="G15" s="126"/>
      <c r="H15" s="130"/>
    </row>
    <row r="16" spans="1:8" ht="13.5">
      <c r="A16" s="73" t="s">
        <v>214</v>
      </c>
      <c r="B16" s="175">
        <f>E670SAL!B15</f>
        <v>2051.3000000000002</v>
      </c>
      <c r="C16" s="175">
        <f>E670SAL!C15</f>
        <v>-14.230000000000246</v>
      </c>
      <c r="D16" s="134"/>
      <c r="E16" s="176">
        <f>(B16)</f>
        <v>2051.3000000000002</v>
      </c>
      <c r="F16" s="134"/>
      <c r="G16" s="176">
        <f>(E20)</f>
        <v>2034.26</v>
      </c>
      <c r="H16" s="136"/>
    </row>
    <row r="17" spans="1:8" ht="13.5">
      <c r="A17" s="73" t="s">
        <v>212</v>
      </c>
      <c r="B17" s="175">
        <f>E670SAL!B16</f>
        <v>207.44</v>
      </c>
      <c r="C17" s="137"/>
      <c r="D17" s="134">
        <f>ROUND(C16*DSADATABASE!K15,0)</f>
        <v>-330819</v>
      </c>
      <c r="E17" s="176">
        <f>(C16)</f>
        <v>-14.230000000000246</v>
      </c>
      <c r="F17" s="241">
        <f>ROUND(D17*1.02*F$6,0)</f>
        <v>-328999</v>
      </c>
      <c r="G17" s="175"/>
      <c r="H17" s="136">
        <f>ROUND((F17*1.02)*H$6,0)</f>
        <v>-335579</v>
      </c>
    </row>
    <row r="18" spans="1:8" ht="13.5">
      <c r="A18" s="73" t="s">
        <v>213</v>
      </c>
      <c r="B18" s="139"/>
      <c r="C18" s="139"/>
      <c r="D18" s="134">
        <f>ROUND(B16*B20,0)</f>
        <v>64220049</v>
      </c>
      <c r="E18" s="175"/>
      <c r="F18" s="241">
        <f>ROUND(D18*1.02*F$6,0)</f>
        <v>63866839</v>
      </c>
      <c r="G18" s="175"/>
      <c r="H18" s="136">
        <f>ROUND(((F18+F19)*1.02)*H$6,0)</f>
        <v>65079208</v>
      </c>
    </row>
    <row r="19" spans="1:8" ht="13.5">
      <c r="A19" s="73" t="str">
        <f>$A$12</f>
        <v>FY 10 AVG SALARY</v>
      </c>
      <c r="B19" s="141">
        <f>E670SAL!B18</f>
        <v>30997</v>
      </c>
      <c r="C19" s="141"/>
      <c r="D19" s="134"/>
      <c r="E19" s="177">
        <f>ROUND((E$4/B17)-E16-E17,2)</f>
        <v>-2.81</v>
      </c>
      <c r="F19" s="143">
        <f>E670SAL!F18*1</f>
        <v>-63694</v>
      </c>
      <c r="G19" s="177">
        <f>ROUND((G$4/B17)-G16-G17,2)</f>
        <v>7.29</v>
      </c>
      <c r="H19" s="144">
        <f>E670SAL!H18*1</f>
        <v>169478</v>
      </c>
    </row>
    <row r="20" spans="1:8" ht="13.5">
      <c r="A20" s="73" t="str">
        <f>$A$13</f>
        <v>FY11 = FY10  @ 1% Roll-Up Plus 0% Cola</v>
      </c>
      <c r="B20" s="141">
        <f>E670SAL!B19</f>
        <v>31307</v>
      </c>
      <c r="C20" s="139"/>
      <c r="D20" s="134"/>
      <c r="E20" s="178">
        <f>SUM(E16:E19)</f>
        <v>2034.26</v>
      </c>
      <c r="F20" s="146">
        <f>SUM(F16:F19)</f>
        <v>63474146</v>
      </c>
      <c r="G20" s="178">
        <f>SUM(G16:G19)</f>
        <v>2041.55</v>
      </c>
      <c r="H20" s="147">
        <f>SUM(H16:H19)</f>
        <v>64913107</v>
      </c>
    </row>
    <row r="21" spans="1:8" ht="13.5">
      <c r="A21" s="173"/>
      <c r="B21" s="126"/>
      <c r="C21" s="126"/>
      <c r="D21" s="126"/>
      <c r="E21" s="126"/>
      <c r="G21" s="126"/>
      <c r="H21" s="117"/>
    </row>
    <row r="22" spans="1:8" ht="13.5">
      <c r="A22" s="131" t="s">
        <v>215</v>
      </c>
      <c r="B22" s="134"/>
      <c r="C22" s="134"/>
      <c r="D22" s="134"/>
      <c r="E22" s="134"/>
      <c r="F22" s="238"/>
      <c r="G22" s="134"/>
      <c r="H22" s="130"/>
    </row>
    <row r="23" spans="1:8" ht="13.5">
      <c r="A23" s="73" t="s">
        <v>211</v>
      </c>
      <c r="B23" s="175">
        <f>E670SAL!B22</f>
        <v>2328.71</v>
      </c>
      <c r="C23" s="175">
        <f>E670SAL!C22</f>
        <v>-16.170000000000073</v>
      </c>
      <c r="D23" s="134"/>
      <c r="E23" s="176">
        <f>(B23)</f>
        <v>2328.71</v>
      </c>
      <c r="F23" s="241"/>
      <c r="G23" s="176">
        <f>(E27)</f>
        <v>2309.35</v>
      </c>
      <c r="H23" s="136"/>
    </row>
    <row r="24" spans="1:8" ht="13.5">
      <c r="A24" s="73" t="s">
        <v>212</v>
      </c>
      <c r="B24" s="175">
        <f>E670SAL!B23</f>
        <v>182.73</v>
      </c>
      <c r="C24" s="137"/>
      <c r="D24" s="134">
        <f>ROUND(C23*DSADATABASE!K16,0)</f>
        <v>-790438</v>
      </c>
      <c r="E24" s="176">
        <f>(C23)</f>
        <v>-16.170000000000073</v>
      </c>
      <c r="F24" s="241">
        <f>ROUND(D24*1.02*F$6,0)</f>
        <v>-786091</v>
      </c>
      <c r="G24" s="175"/>
      <c r="H24" s="136">
        <f>ROUND((F24*1.02)*H$6,0)</f>
        <v>-801813</v>
      </c>
    </row>
    <row r="25" spans="1:8" ht="13.5">
      <c r="A25" s="73" t="s">
        <v>213</v>
      </c>
      <c r="B25" s="139"/>
      <c r="C25" s="139"/>
      <c r="D25" s="134">
        <f>ROUND(B23*B27,0)</f>
        <v>153296651</v>
      </c>
      <c r="E25" s="175"/>
      <c r="F25" s="241">
        <f>ROUND(D25*1.02*F$6,0)</f>
        <v>152453519</v>
      </c>
      <c r="G25" s="175"/>
      <c r="H25" s="136">
        <f>ROUND(((F25+F26)*1.02)*H$6,0)</f>
        <v>155347510</v>
      </c>
    </row>
    <row r="26" spans="1:8" ht="13.5">
      <c r="A26" s="73" t="str">
        <f>$A$12</f>
        <v>FY 10 AVG SALARY</v>
      </c>
      <c r="B26" s="141">
        <f>E670SAL!B25</f>
        <v>65177</v>
      </c>
      <c r="C26" s="141"/>
      <c r="D26" s="134"/>
      <c r="E26" s="177">
        <f>ROUND((E$4/B24)-E23-E24,2)</f>
        <v>-3.19</v>
      </c>
      <c r="F26" s="143">
        <f>E670SAL!F25*1</f>
        <v>-152039</v>
      </c>
      <c r="G26" s="177">
        <f>ROUND((G$4/B24)-G23-G24,2)</f>
        <v>8.27</v>
      </c>
      <c r="H26" s="144">
        <f>E670SAL!H25*1</f>
        <v>404262</v>
      </c>
    </row>
    <row r="27" spans="1:8" ht="13.5">
      <c r="A27" s="73" t="str">
        <f>$A$13</f>
        <v>FY11 = FY10  @ 1% Roll-Up Plus 0% Cola</v>
      </c>
      <c r="B27" s="141">
        <f>E670SAL!B26</f>
        <v>65829</v>
      </c>
      <c r="C27" s="139"/>
      <c r="D27" s="134"/>
      <c r="E27" s="178">
        <f>SUM(E23:E26)</f>
        <v>2309.35</v>
      </c>
      <c r="F27" s="146">
        <f>SUM(F23:F26)</f>
        <v>151515389</v>
      </c>
      <c r="G27" s="178">
        <f>SUM(G23:G26)</f>
        <v>2317.62</v>
      </c>
      <c r="H27" s="147">
        <f>SUM(H23:H26)</f>
        <v>154949959</v>
      </c>
    </row>
    <row r="28" spans="1:8" ht="13.5">
      <c r="A28" s="173"/>
      <c r="B28" s="134"/>
      <c r="C28" s="134"/>
      <c r="D28" s="134"/>
      <c r="E28" s="134"/>
      <c r="G28" s="134"/>
      <c r="H28" s="117"/>
    </row>
    <row r="29" spans="1:8" ht="13.5">
      <c r="A29" s="131" t="s">
        <v>214</v>
      </c>
      <c r="B29" s="175">
        <f>E670SAL!B28</f>
        <v>959.07</v>
      </c>
      <c r="C29" s="175">
        <f>E670SAL!C28</f>
        <v>-6.6700000000000728</v>
      </c>
      <c r="D29" s="134"/>
      <c r="E29" s="176">
        <f>(B29)</f>
        <v>959.07</v>
      </c>
      <c r="F29" s="241"/>
      <c r="G29" s="176">
        <f>(E33)</f>
        <v>951.09</v>
      </c>
      <c r="H29" s="136"/>
    </row>
    <row r="30" spans="1:8" ht="13.5">
      <c r="A30" s="73" t="s">
        <v>212</v>
      </c>
      <c r="B30" s="175">
        <f>E670SAL!B29</f>
        <v>443.69</v>
      </c>
      <c r="C30" s="137"/>
      <c r="D30" s="134">
        <f>ROUND(C29*DSADATABASE!K17,0)</f>
        <v>-195925</v>
      </c>
      <c r="E30" s="176">
        <f>(C29)</f>
        <v>-6.6700000000000728</v>
      </c>
      <c r="F30" s="241">
        <f>ROUND(D30*1.02*F$6,0)</f>
        <v>-194847</v>
      </c>
      <c r="G30" s="175"/>
      <c r="H30" s="136">
        <f>ROUND((F30*1.02)*H$6,0)</f>
        <v>-198744</v>
      </c>
    </row>
    <row r="31" spans="1:8" ht="13.5">
      <c r="A31" s="73" t="s">
        <v>213</v>
      </c>
      <c r="B31" s="139"/>
      <c r="C31" s="139"/>
      <c r="D31" s="134">
        <f>ROUND(B29*B33,0)</f>
        <v>37937932</v>
      </c>
      <c r="E31" s="175"/>
      <c r="F31" s="241">
        <f>ROUND(D31*1.02*F$6,0)</f>
        <v>37729273</v>
      </c>
      <c r="G31" s="175"/>
      <c r="H31" s="136">
        <f>ROUND(((F31+F32)*1.02)*H$6,0)</f>
        <v>38445590</v>
      </c>
    </row>
    <row r="32" spans="1:8" ht="13.5">
      <c r="A32" s="73" t="str">
        <f>$A$12</f>
        <v>FY 10 AVG SALARY</v>
      </c>
      <c r="B32" s="141">
        <f>E670SAL!B31</f>
        <v>39165</v>
      </c>
      <c r="C32" s="141"/>
      <c r="D32" s="134"/>
      <c r="E32" s="177">
        <f>ROUND((E$4/B30)-E29-E30,2)</f>
        <v>-1.31</v>
      </c>
      <c r="F32" s="143">
        <f>E670SAL!F31*1</f>
        <v>-37518</v>
      </c>
      <c r="G32" s="177">
        <f>ROUND((G$4/B30)-G29-G30,2)</f>
        <v>3.4</v>
      </c>
      <c r="H32" s="144">
        <f>E670SAL!H31*1</f>
        <v>99872</v>
      </c>
    </row>
    <row r="33" spans="1:8" ht="13.5">
      <c r="A33" s="73" t="str">
        <f>$A$13</f>
        <v>FY11 = FY10  @ 1% Roll-Up Plus 0% Cola</v>
      </c>
      <c r="B33" s="141">
        <f>E670SAL!B32</f>
        <v>39557</v>
      </c>
      <c r="C33" s="139"/>
      <c r="D33" s="134"/>
      <c r="E33" s="178">
        <f>SUM(E29:E32)</f>
        <v>951.09</v>
      </c>
      <c r="F33" s="146">
        <f>SUM(F29:F32)</f>
        <v>37496908</v>
      </c>
      <c r="G33" s="178">
        <f>SUM(G29:G32)</f>
        <v>954.49</v>
      </c>
      <c r="H33" s="147">
        <f>SUM(H29:H32)</f>
        <v>38346718</v>
      </c>
    </row>
    <row r="34" spans="1:8" ht="13.5">
      <c r="A34" s="173"/>
      <c r="B34" s="126"/>
      <c r="C34" s="126"/>
      <c r="D34" s="126"/>
      <c r="E34" s="126"/>
      <c r="G34" s="126"/>
      <c r="H34" s="117"/>
    </row>
    <row r="35" spans="1:8" ht="13.5">
      <c r="A35" s="131" t="s">
        <v>216</v>
      </c>
      <c r="B35" s="134"/>
      <c r="C35" s="134"/>
      <c r="D35" s="134"/>
      <c r="E35" s="134"/>
      <c r="F35" s="238"/>
      <c r="G35" s="134"/>
      <c r="H35" s="130"/>
    </row>
    <row r="36" spans="1:8" ht="13.5">
      <c r="A36" s="73" t="s">
        <v>211</v>
      </c>
      <c r="B36" s="175">
        <f>E670SAL!B35</f>
        <v>1405.47</v>
      </c>
      <c r="C36" s="175">
        <f>E670SAL!C35</f>
        <v>-9.7899999999999636</v>
      </c>
      <c r="D36" s="134"/>
      <c r="E36" s="176">
        <f>(B36)</f>
        <v>1405.47</v>
      </c>
      <c r="F36" s="241"/>
      <c r="G36" s="176">
        <f>(E40)</f>
        <v>1393.75</v>
      </c>
      <c r="H36" s="136"/>
    </row>
    <row r="37" spans="1:8" ht="13.5">
      <c r="A37" s="73" t="s">
        <v>212</v>
      </c>
      <c r="B37" s="175">
        <f>E670SAL!B36</f>
        <v>302.77</v>
      </c>
      <c r="C37" s="137"/>
      <c r="D37" s="134">
        <f>ROUND(C36*DSADATABASE!K18,0)</f>
        <v>-643967</v>
      </c>
      <c r="E37" s="176">
        <f>(C36)</f>
        <v>-9.7899999999999636</v>
      </c>
      <c r="F37" s="241">
        <f>ROUND(D37*1.02*F$6,0)</f>
        <v>-640425</v>
      </c>
      <c r="G37" s="175"/>
      <c r="H37" s="136">
        <f>ROUND((F37*1.02)*H$6,0)</f>
        <v>-653234</v>
      </c>
    </row>
    <row r="38" spans="1:8" ht="13.5">
      <c r="A38" s="73" t="s">
        <v>213</v>
      </c>
      <c r="B38" s="139"/>
      <c r="C38" s="139"/>
      <c r="D38" s="134">
        <f>ROUND(B36*B40,0)</f>
        <v>124497938</v>
      </c>
      <c r="E38" s="175"/>
      <c r="F38" s="241">
        <f>ROUND(D38*1.02*F$6,0)</f>
        <v>123813199</v>
      </c>
      <c r="G38" s="175"/>
      <c r="H38" s="136">
        <f>ROUND(((F38+F39)*1.02)*H$6,0)</f>
        <v>126163209</v>
      </c>
    </row>
    <row r="39" spans="1:8" ht="13.5">
      <c r="A39" s="73" t="str">
        <f>$A$12</f>
        <v>FY 10 AVG SALARY</v>
      </c>
      <c r="B39" s="141">
        <f>E670SAL!B38</f>
        <v>87704</v>
      </c>
      <c r="C39" s="141"/>
      <c r="D39" s="134"/>
      <c r="E39" s="177">
        <f>ROUND((E$4/B37)-E36-E37,2)</f>
        <v>-1.93</v>
      </c>
      <c r="F39" s="143">
        <f>E670SAL!F38*1</f>
        <v>-123778</v>
      </c>
      <c r="G39" s="177">
        <f>ROUND((G$4/B37)-G36-G37,2)</f>
        <v>5</v>
      </c>
      <c r="H39" s="144">
        <f>E670SAL!H38*1</f>
        <v>328890</v>
      </c>
    </row>
    <row r="40" spans="1:8" ht="13.5">
      <c r="A40" s="73" t="str">
        <f>$A$13</f>
        <v>FY11 = FY10  @ 1% Roll-Up Plus 0% Cola</v>
      </c>
      <c r="B40" s="141">
        <f>E670SAL!B39</f>
        <v>88581</v>
      </c>
      <c r="C40" s="139"/>
      <c r="D40" s="134"/>
      <c r="E40" s="178">
        <f>SUM(E36:E39)</f>
        <v>1393.75</v>
      </c>
      <c r="F40" s="146">
        <f>SUM(F36:F39)</f>
        <v>123048996</v>
      </c>
      <c r="G40" s="178">
        <f>SUM(G36:G39)</f>
        <v>1398.75</v>
      </c>
      <c r="H40" s="147">
        <f>SUM(H36:H39)</f>
        <v>125838865</v>
      </c>
    </row>
    <row r="41" spans="1:8" ht="13.5">
      <c r="A41" s="173"/>
      <c r="B41" s="134"/>
      <c r="C41" s="134"/>
      <c r="D41" s="134"/>
      <c r="E41" s="134"/>
      <c r="G41" s="134"/>
      <c r="H41" s="117"/>
    </row>
    <row r="42" spans="1:8" ht="13.5">
      <c r="A42" s="131" t="s">
        <v>214</v>
      </c>
      <c r="B42" s="175">
        <f>E670SAL!B41</f>
        <v>2881.37</v>
      </c>
      <c r="C42" s="175">
        <f>E670SAL!C41</f>
        <v>-19.980000000000018</v>
      </c>
      <c r="D42" s="134"/>
      <c r="E42" s="176">
        <f>(B42)</f>
        <v>2881.37</v>
      </c>
      <c r="F42" s="241"/>
      <c r="G42" s="176">
        <f>(E46)</f>
        <v>2857.44</v>
      </c>
      <c r="H42" s="136"/>
    </row>
    <row r="43" spans="1:8" ht="13.5">
      <c r="A43" s="73" t="s">
        <v>212</v>
      </c>
      <c r="B43" s="175">
        <f>E670SAL!B42</f>
        <v>147.68</v>
      </c>
      <c r="C43" s="137"/>
      <c r="D43" s="134">
        <f>ROUND(C42*DSADATABASE!K19,0)</f>
        <v>-692447</v>
      </c>
      <c r="E43" s="176">
        <f>(C42)</f>
        <v>-19.980000000000018</v>
      </c>
      <c r="F43" s="241">
        <f>ROUND(D43*1.02*F$6,0)</f>
        <v>-688639</v>
      </c>
      <c r="G43" s="175"/>
      <c r="H43" s="136">
        <f>ROUND((F43*1.02)*H$6,0)</f>
        <v>-702412</v>
      </c>
    </row>
    <row r="44" spans="1:8" ht="13.5">
      <c r="A44" s="73" t="s">
        <v>213</v>
      </c>
      <c r="B44" s="139"/>
      <c r="C44" s="139"/>
      <c r="D44" s="134">
        <f>ROUND(B42*B46,0)</f>
        <v>133145226</v>
      </c>
      <c r="E44" s="175"/>
      <c r="F44" s="241">
        <f>ROUND(D44*1.02*F$6,0)</f>
        <v>132412927</v>
      </c>
      <c r="G44" s="175"/>
      <c r="H44" s="136">
        <f>ROUND(((F44+F45)*1.02)*H$6,0)</f>
        <v>134925043</v>
      </c>
    </row>
    <row r="45" spans="1:8" ht="13.5">
      <c r="A45" s="73" t="str">
        <f>$A$12</f>
        <v>FY 10 AVG SALARY</v>
      </c>
      <c r="B45" s="141">
        <f>E670SAL!B44</f>
        <v>46209</v>
      </c>
      <c r="C45" s="141"/>
      <c r="D45" s="134"/>
      <c r="E45" s="177">
        <f>ROUND((E$4/B43)-E42-E43,2)</f>
        <v>-3.95</v>
      </c>
      <c r="F45" s="143">
        <f>E670SAL!F44*1</f>
        <v>-133473</v>
      </c>
      <c r="G45" s="177">
        <f>ROUND((G$4/B43)-G42-G43,2)</f>
        <v>10.24</v>
      </c>
      <c r="H45" s="144">
        <f>E670SAL!H44*1</f>
        <v>354888</v>
      </c>
    </row>
    <row r="46" spans="1:8" ht="13.5">
      <c r="A46" s="73" t="str">
        <f>$A$13</f>
        <v>FY11 = FY10  @ 1% Roll-Up Plus 0% Cola</v>
      </c>
      <c r="B46" s="141">
        <f>E670SAL!B45</f>
        <v>46209</v>
      </c>
      <c r="C46" s="139"/>
      <c r="D46" s="134"/>
      <c r="E46" s="178">
        <f>SUM(E42:E45)</f>
        <v>2857.44</v>
      </c>
      <c r="F46" s="146">
        <f>SUM(F42:F45)</f>
        <v>131590815</v>
      </c>
      <c r="G46" s="178">
        <f>SUM(G42:G45)</f>
        <v>2867.68</v>
      </c>
      <c r="H46" s="147">
        <f>SUM(H42:H45)</f>
        <v>134577519</v>
      </c>
    </row>
    <row r="47" spans="1:8" ht="13.5">
      <c r="A47" s="173"/>
      <c r="B47" s="126"/>
      <c r="C47" s="126"/>
      <c r="D47" s="126"/>
      <c r="E47" s="126"/>
      <c r="G47" s="126"/>
      <c r="H47" s="117"/>
    </row>
    <row r="48" spans="1:8" ht="13.5">
      <c r="A48" s="131" t="s">
        <v>432</v>
      </c>
      <c r="B48" s="175">
        <f>E670SAL!B47</f>
        <v>5844.97</v>
      </c>
      <c r="C48" s="175">
        <f>E670SAL!C47</f>
        <v>-40.440000000000509</v>
      </c>
      <c r="D48" s="134"/>
      <c r="E48" s="176">
        <f>(B48)</f>
        <v>5844.97</v>
      </c>
      <c r="F48" s="241"/>
      <c r="G48" s="176">
        <f>(E52)</f>
        <v>5796.53</v>
      </c>
      <c r="H48" s="136"/>
    </row>
    <row r="49" spans="1:9" ht="13.5">
      <c r="A49" s="73" t="s">
        <v>212</v>
      </c>
      <c r="B49" s="175">
        <f>E670SAL!B48</f>
        <v>72.8</v>
      </c>
      <c r="C49" s="137"/>
      <c r="D49" s="134">
        <f>ROUND(C48*DSADATABASE!K20,0)</f>
        <v>-1309892</v>
      </c>
      <c r="E49" s="176">
        <f>(C48)</f>
        <v>-40.440000000000509</v>
      </c>
      <c r="F49" s="241">
        <f>ROUND(D49*1.02*F$6,0)</f>
        <v>-1302688</v>
      </c>
      <c r="G49" s="175"/>
      <c r="H49" s="136">
        <f>ROUND((F49*1.02)*H$6,0)</f>
        <v>-1328742</v>
      </c>
    </row>
    <row r="50" spans="1:9" ht="13.5">
      <c r="A50" s="73" t="s">
        <v>213</v>
      </c>
      <c r="B50" s="139"/>
      <c r="C50" s="139"/>
      <c r="D50" s="134">
        <f>ROUND(B48*B52,0)</f>
        <v>254957591</v>
      </c>
      <c r="E50" s="175"/>
      <c r="F50" s="241">
        <f>ROUND(D50*1.02*F$6,0)</f>
        <v>253555324</v>
      </c>
      <c r="G50" s="175"/>
      <c r="H50" s="136">
        <f>ROUND(((F50+F51)*1.02)*H$6,0)</f>
        <v>258368727</v>
      </c>
    </row>
    <row r="51" spans="1:9" ht="13.5">
      <c r="A51" s="73" t="str">
        <f>$A$12</f>
        <v>FY 10 AVG SALARY</v>
      </c>
      <c r="B51" s="141">
        <f>E670SAL!B50</f>
        <v>43188</v>
      </c>
      <c r="C51" s="141"/>
      <c r="D51" s="134"/>
      <c r="E51" s="177">
        <f>ROUND((E$4/B49)-E48-E49,2)</f>
        <v>-8</v>
      </c>
      <c r="F51" s="143">
        <f>E670SAL!F50*1</f>
        <v>-252650</v>
      </c>
      <c r="G51" s="177">
        <f>ROUND((G$4/B49)-G48-G49,2)</f>
        <v>20.77</v>
      </c>
      <c r="H51" s="144">
        <f>E670SAL!H50*1</f>
        <v>672761</v>
      </c>
    </row>
    <row r="52" spans="1:9" ht="13.5">
      <c r="A52" s="73" t="str">
        <f>$A$13</f>
        <v>FY11 = FY10  @ 1% Roll-Up Plus 0% Cola</v>
      </c>
      <c r="B52" s="141">
        <f>E670SAL!B51</f>
        <v>43620</v>
      </c>
      <c r="C52" s="139"/>
      <c r="D52" s="134"/>
      <c r="E52" s="178">
        <f>SUM(E48:E51)</f>
        <v>5796.53</v>
      </c>
      <c r="F52" s="146">
        <f>SUM(F48:F51)</f>
        <v>251999986</v>
      </c>
      <c r="G52" s="178">
        <f>SUM(G48:G51)</f>
        <v>5817.3</v>
      </c>
      <c r="H52" s="147">
        <f>SUM(H48:H51)</f>
        <v>257712746</v>
      </c>
    </row>
    <row r="53" spans="1:9" ht="13.5">
      <c r="A53" s="173"/>
      <c r="B53" s="126"/>
      <c r="C53" s="126"/>
      <c r="D53" s="126"/>
      <c r="E53" s="149"/>
      <c r="F53" s="126"/>
      <c r="G53" s="149"/>
      <c r="H53" s="130"/>
    </row>
    <row r="54" spans="1:9" ht="13.5">
      <c r="A54" s="73" t="s">
        <v>60</v>
      </c>
      <c r="B54" s="181">
        <f>+B9+B16+B23+B29+B36+B42+B48</f>
        <v>35960.039999999994</v>
      </c>
      <c r="C54" s="181">
        <f>+C9+C16+C23+C29+C36+C42+C48</f>
        <v>-251.24</v>
      </c>
      <c r="D54" s="126"/>
      <c r="E54" s="216">
        <f>SUM(E13+E20+E27+E33+E40+E46+E52)</f>
        <v>35659.56</v>
      </c>
      <c r="F54" s="217">
        <f>SUM(F13+F20+F27+F33+F40+F46+F52)</f>
        <v>1852165302</v>
      </c>
      <c r="G54" s="216">
        <f>SUM(G13+G20+G27+G33+G40+G46+G52)</f>
        <v>35787.360000000001</v>
      </c>
      <c r="H54" s="218">
        <f>SUM(H13+H20+H27+H33+H40+H46+H52)</f>
        <v>1894091217</v>
      </c>
    </row>
    <row r="55" spans="1:9" ht="13.5">
      <c r="A55" s="73" t="s">
        <v>595</v>
      </c>
      <c r="B55" s="181"/>
      <c r="C55" s="181"/>
      <c r="D55" s="126"/>
      <c r="E55" s="598"/>
      <c r="F55" s="599">
        <f>(F54*0.946925)-F54</f>
        <v>-98303673.403650045</v>
      </c>
      <c r="G55" s="598"/>
      <c r="H55" s="218">
        <f>(H54*0.946925)-H54</f>
        <v>-100528891.3422749</v>
      </c>
    </row>
    <row r="56" spans="1:9" ht="14.25" thickBot="1">
      <c r="A56" s="73" t="s">
        <v>628</v>
      </c>
      <c r="B56" s="181"/>
      <c r="C56" s="181"/>
      <c r="D56" s="126"/>
      <c r="E56" s="598"/>
      <c r="F56" s="600">
        <f>+F54+F55</f>
        <v>1753861628.59635</v>
      </c>
      <c r="G56" s="598"/>
      <c r="H56" s="601">
        <f>+H54+H55</f>
        <v>1793562325.6577251</v>
      </c>
      <c r="I56" s="9" t="s">
        <v>593</v>
      </c>
    </row>
    <row r="57" spans="1:9" ht="14.25" thickTop="1">
      <c r="A57" s="219" t="s">
        <v>217</v>
      </c>
      <c r="B57" s="185"/>
      <c r="C57" s="185"/>
      <c r="D57" s="185"/>
      <c r="E57" s="186"/>
      <c r="F57" s="187">
        <f>E670SAL!F56</f>
        <v>36035813</v>
      </c>
      <c r="G57" s="186"/>
      <c r="H57" s="189">
        <f>E670SAL!H56</f>
        <v>36164974</v>
      </c>
      <c r="I57" s="9" t="s">
        <v>594</v>
      </c>
    </row>
    <row r="58" spans="1:9" ht="13.5">
      <c r="A58" s="219" t="str">
        <f>M200SAL!A55</f>
        <v>EXTRA PAY, MISC SALARIES</v>
      </c>
      <c r="B58" s="185"/>
      <c r="C58" s="185"/>
      <c r="D58" s="185"/>
      <c r="E58" s="186"/>
      <c r="F58" s="187">
        <f>E670SAL!F57</f>
        <v>20672024</v>
      </c>
      <c r="G58" s="186"/>
      <c r="H58" s="189">
        <f>E670SAL!H57</f>
        <v>21161040</v>
      </c>
    </row>
    <row r="59" spans="1:9" ht="13.5">
      <c r="A59" s="131" t="s">
        <v>219</v>
      </c>
      <c r="B59" s="126"/>
      <c r="C59" s="126"/>
      <c r="D59" s="126"/>
      <c r="E59" s="126"/>
      <c r="F59" s="126"/>
      <c r="G59" s="126"/>
      <c r="H59" s="130"/>
    </row>
    <row r="60" spans="1:9" ht="13.5">
      <c r="A60" s="73" t="s">
        <v>55</v>
      </c>
      <c r="B60" s="782">
        <f>E670SAL!B59</f>
        <v>0.23749999999999999</v>
      </c>
      <c r="C60" s="782">
        <f>E670SAL!C59</f>
        <v>0.23749999999999999</v>
      </c>
      <c r="D60" s="191"/>
      <c r="E60" s="126"/>
      <c r="F60" s="134">
        <f>ROUND(F$56*B60,0)</f>
        <v>416542137</v>
      </c>
      <c r="G60" s="134"/>
      <c r="H60" s="136">
        <f>ROUND(H$56*C60,0)</f>
        <v>425971052</v>
      </c>
    </row>
    <row r="61" spans="1:9" ht="13.5">
      <c r="A61" s="73" t="s">
        <v>346</v>
      </c>
      <c r="B61" s="782">
        <f>E670SAL!B60</f>
        <v>4.0759999999999998E-3</v>
      </c>
      <c r="C61" s="782">
        <f>E670SAL!C60</f>
        <v>4.0759999999999998E-3</v>
      </c>
      <c r="D61" s="191"/>
      <c r="E61" s="126"/>
      <c r="F61" s="134">
        <f>ROUND(SUM(F$56:F$58)*B61,0)</f>
        <v>7379881</v>
      </c>
      <c r="G61" s="134"/>
      <c r="H61" s="136">
        <f>ROUND(SUM(H$56:H$58)*C61,0)</f>
        <v>7544221</v>
      </c>
    </row>
    <row r="62" spans="1:9" ht="13.5">
      <c r="A62" s="73" t="s">
        <v>220</v>
      </c>
      <c r="B62" s="782">
        <f>E670SAL!B61</f>
        <v>3.5920000000000001E-3</v>
      </c>
      <c r="C62" s="782">
        <f>E670SAL!C61</f>
        <v>3.5920000000000001E-3</v>
      </c>
      <c r="D62" s="191"/>
      <c r="E62" s="126"/>
      <c r="F62" s="134">
        <f>ROUND(SUM(F$56:F$58)*B62,0)</f>
        <v>6503566</v>
      </c>
      <c r="G62" s="134"/>
      <c r="H62" s="136">
        <f>ROUND(SUM(H$56:H$58)*C62,0)</f>
        <v>6648391</v>
      </c>
    </row>
    <row r="63" spans="1:9" ht="13.5">
      <c r="A63" s="73" t="s">
        <v>57</v>
      </c>
      <c r="B63" s="782">
        <f>E670SAL!B62</f>
        <v>1.3034E-2</v>
      </c>
      <c r="C63" s="782">
        <f>E670SAL!C62</f>
        <v>1.3034E-2</v>
      </c>
      <c r="D63" s="191"/>
      <c r="E63" s="126"/>
      <c r="F63" s="134">
        <f>ROUND(SUM(F$56:F$58)*B63,0)</f>
        <v>23598962</v>
      </c>
      <c r="G63" s="134"/>
      <c r="H63" s="136">
        <f>ROUND(SUM(H$56:H$58)*C63,0)</f>
        <v>24124479</v>
      </c>
    </row>
    <row r="64" spans="1:9" ht="13.5">
      <c r="A64" s="73" t="s">
        <v>221</v>
      </c>
      <c r="B64" s="697">
        <f>E670SAL!B63</f>
        <v>6980.69</v>
      </c>
      <c r="C64" s="697">
        <f>E670SAL!C63</f>
        <v>6980.69</v>
      </c>
      <c r="D64" s="191"/>
      <c r="E64" s="126"/>
      <c r="F64" s="134">
        <f>ROUND(E$54*B64,0)</f>
        <v>248928334</v>
      </c>
      <c r="G64" s="134"/>
      <c r="H64" s="136">
        <f>ROUND(G$54*C64,0)</f>
        <v>249820466</v>
      </c>
    </row>
    <row r="65" spans="1:8" ht="13.5">
      <c r="A65" s="73" t="s">
        <v>58</v>
      </c>
      <c r="B65" s="782">
        <f>E670SAL!B64</f>
        <v>4.3059999999999999E-3</v>
      </c>
      <c r="C65" s="782">
        <f>E670SAL!C64</f>
        <v>4.3059999999999999E-3</v>
      </c>
      <c r="D65" s="191"/>
      <c r="E65" s="126"/>
      <c r="F65" s="143">
        <f>ROUND(SUM(F$56:$F58)*$B65,0)</f>
        <v>7796312</v>
      </c>
      <c r="G65" s="134"/>
      <c r="H65" s="144">
        <f>ROUND(SUM(H$56:H58)*$C65,0)</f>
        <v>7969925</v>
      </c>
    </row>
    <row r="66" spans="1:8" ht="14.25" thickBot="1">
      <c r="A66" s="193"/>
      <c r="B66" s="700"/>
      <c r="C66" s="700"/>
      <c r="D66" s="126"/>
      <c r="E66" s="126"/>
      <c r="F66" s="134">
        <f>SUM(F60:F65)</f>
        <v>710749192</v>
      </c>
      <c r="G66" s="134"/>
      <c r="H66" s="136">
        <f>SUM(H60:H65)</f>
        <v>722078534</v>
      </c>
    </row>
    <row r="67" spans="1:8" ht="13.5">
      <c r="A67" s="192" t="s">
        <v>222</v>
      </c>
      <c r="B67" s="220"/>
      <c r="C67" s="220"/>
      <c r="D67" s="220"/>
      <c r="E67" s="220"/>
      <c r="F67" s="220"/>
      <c r="G67" s="220"/>
      <c r="H67" s="221"/>
    </row>
    <row r="68" spans="1:8" ht="14.25" thickBot="1">
      <c r="A68" s="193" t="s">
        <v>223</v>
      </c>
      <c r="B68" s="169"/>
      <c r="C68" s="169"/>
      <c r="D68" s="169"/>
      <c r="E68" s="166">
        <f>E54+E66</f>
        <v>35659.56</v>
      </c>
      <c r="F68" s="167">
        <f>F56+F57+F58+F66</f>
        <v>2521318657.5963497</v>
      </c>
      <c r="G68" s="166">
        <f>G54+G66</f>
        <v>35787.360000000001</v>
      </c>
      <c r="H68" s="168">
        <f>H56+H57+H58+H66</f>
        <v>2572966873.6577253</v>
      </c>
    </row>
    <row r="69" spans="1:8" ht="13.5">
      <c r="A69" s="73" t="s">
        <v>224</v>
      </c>
      <c r="B69" s="126"/>
      <c r="C69" s="126"/>
      <c r="D69" s="126"/>
      <c r="E69" s="126"/>
      <c r="F69" s="222">
        <f>F66/F54</f>
        <v>0.38373961073156959</v>
      </c>
      <c r="G69" s="126"/>
      <c r="H69" s="223">
        <f>H66/H54</f>
        <v>0.38122690582118884</v>
      </c>
    </row>
    <row r="70" spans="1:8" ht="13.5">
      <c r="A70" s="224" t="s">
        <v>225</v>
      </c>
      <c r="B70" s="225" t="str">
        <f>+M200SAL!B67</f>
        <v>FY12</v>
      </c>
      <c r="C70" s="225" t="str">
        <f>+B70</f>
        <v>FY12</v>
      </c>
      <c r="D70" s="225" t="s">
        <v>226</v>
      </c>
      <c r="E70" s="225" t="str">
        <f>+M200SAL!E67</f>
        <v>FY13</v>
      </c>
      <c r="F70" s="225" t="str">
        <f>+E70</f>
        <v>FY13</v>
      </c>
      <c r="G70" s="226" t="s">
        <v>226</v>
      </c>
      <c r="H70" s="200"/>
    </row>
    <row r="71" spans="1:8" ht="13.5">
      <c r="A71" s="227" t="s">
        <v>227</v>
      </c>
      <c r="B71" s="814" t="s">
        <v>445</v>
      </c>
      <c r="C71" s="814" t="s">
        <v>499</v>
      </c>
      <c r="D71" s="228" t="s">
        <v>230</v>
      </c>
      <c r="E71" s="814" t="s">
        <v>445</v>
      </c>
      <c r="F71" s="814" t="s">
        <v>499</v>
      </c>
      <c r="G71" s="229" t="s">
        <v>230</v>
      </c>
      <c r="H71" s="200"/>
    </row>
    <row r="72" spans="1:8" ht="13.5">
      <c r="A72" s="173" t="s">
        <v>231</v>
      </c>
      <c r="B72" s="204">
        <f>E671SAL!C72</f>
        <v>1831328442.3525</v>
      </c>
      <c r="C72" s="204">
        <f>F56</f>
        <v>1753861628.59635</v>
      </c>
      <c r="D72" s="204">
        <f t="shared" ref="D72:D79" si="0">C72-B72</f>
        <v>-77466813.756150007</v>
      </c>
      <c r="E72" s="204">
        <f>E671SAL!F72</f>
        <v>1872782690.8087499</v>
      </c>
      <c r="F72" s="204">
        <f>H56</f>
        <v>1793562325.6577251</v>
      </c>
      <c r="G72" s="153">
        <f t="shared" ref="G72:G79" si="1">F72-E72</f>
        <v>-79220365.151024818</v>
      </c>
      <c r="H72" s="200"/>
    </row>
    <row r="73" spans="1:8" ht="13.5">
      <c r="A73" s="173" t="s">
        <v>232</v>
      </c>
      <c r="B73" s="204">
        <f>E671SAL!C73</f>
        <v>36035813</v>
      </c>
      <c r="C73" s="204">
        <f>F57</f>
        <v>36035813</v>
      </c>
      <c r="D73" s="204">
        <f t="shared" si="0"/>
        <v>0</v>
      </c>
      <c r="E73" s="204">
        <f>E671SAL!F73</f>
        <v>36164974</v>
      </c>
      <c r="F73" s="204">
        <f>H57</f>
        <v>36164974</v>
      </c>
      <c r="G73" s="153">
        <f t="shared" si="1"/>
        <v>0</v>
      </c>
      <c r="H73" s="200"/>
    </row>
    <row r="74" spans="1:8" ht="13.5">
      <c r="A74" s="173" t="s">
        <v>240</v>
      </c>
      <c r="B74" s="204">
        <f>E671SAL!C74</f>
        <v>20672024</v>
      </c>
      <c r="C74" s="204">
        <f>F58</f>
        <v>20672024</v>
      </c>
      <c r="D74" s="204">
        <f t="shared" si="0"/>
        <v>0</v>
      </c>
      <c r="E74" s="204">
        <f>E671SAL!F74</f>
        <v>21161040</v>
      </c>
      <c r="F74" s="204">
        <f>H58</f>
        <v>21161040</v>
      </c>
      <c r="G74" s="153">
        <f t="shared" si="1"/>
        <v>0</v>
      </c>
      <c r="H74" s="200"/>
    </row>
    <row r="75" spans="1:8" ht="13.5">
      <c r="A75" s="173" t="s">
        <v>233</v>
      </c>
      <c r="B75" s="204">
        <f>E671SAL!C75</f>
        <v>434940505</v>
      </c>
      <c r="C75" s="204">
        <f t="shared" ref="C75:C79" si="2">F60</f>
        <v>416542137</v>
      </c>
      <c r="D75" s="204">
        <f t="shared" si="0"/>
        <v>-18398368</v>
      </c>
      <c r="E75" s="204">
        <f>E671SAL!F75</f>
        <v>444785889</v>
      </c>
      <c r="F75" s="204">
        <f t="shared" ref="F75:F79" si="3">H60</f>
        <v>425971052</v>
      </c>
      <c r="G75" s="153">
        <f t="shared" si="1"/>
        <v>-18814837</v>
      </c>
      <c r="H75" s="200"/>
    </row>
    <row r="76" spans="1:8" ht="13.5">
      <c r="A76" s="173" t="s">
        <v>265</v>
      </c>
      <c r="B76" s="204">
        <f>E671SAL!C76</f>
        <v>7695636</v>
      </c>
      <c r="C76" s="204">
        <f t="shared" si="2"/>
        <v>7379881</v>
      </c>
      <c r="D76" s="204">
        <f t="shared" si="0"/>
        <v>-315755</v>
      </c>
      <c r="E76" s="204">
        <f>E671SAL!F76</f>
        <v>7867123</v>
      </c>
      <c r="F76" s="204">
        <f t="shared" si="3"/>
        <v>7544221</v>
      </c>
      <c r="G76" s="153">
        <f t="shared" si="1"/>
        <v>-322902</v>
      </c>
      <c r="H76" s="200"/>
    </row>
    <row r="77" spans="1:8" ht="13.5">
      <c r="A77" s="173" t="s">
        <v>234</v>
      </c>
      <c r="B77" s="204">
        <f>E671SAL!C77</f>
        <v>6781826</v>
      </c>
      <c r="C77" s="204">
        <f t="shared" si="2"/>
        <v>6503566</v>
      </c>
      <c r="D77" s="204">
        <f t="shared" si="0"/>
        <v>-278260</v>
      </c>
      <c r="E77" s="204">
        <f>E671SAL!F77</f>
        <v>6932950</v>
      </c>
      <c r="F77" s="204">
        <f t="shared" si="3"/>
        <v>6648391</v>
      </c>
      <c r="G77" s="153">
        <f t="shared" si="1"/>
        <v>-284559</v>
      </c>
      <c r="H77" s="200"/>
    </row>
    <row r="78" spans="1:8" ht="13.5">
      <c r="A78" s="173" t="s">
        <v>235</v>
      </c>
      <c r="B78" s="204">
        <f>E671SAL!C78</f>
        <v>24608665</v>
      </c>
      <c r="C78" s="204">
        <f t="shared" si="2"/>
        <v>23598962</v>
      </c>
      <c r="D78" s="204">
        <f t="shared" si="0"/>
        <v>-1009703</v>
      </c>
      <c r="E78" s="204">
        <f>E671SAL!F78</f>
        <v>25157037</v>
      </c>
      <c r="F78" s="204">
        <f t="shared" si="3"/>
        <v>24124479</v>
      </c>
      <c r="G78" s="153">
        <f t="shared" si="1"/>
        <v>-1032558</v>
      </c>
      <c r="H78" s="200"/>
    </row>
    <row r="79" spans="1:8" ht="13.5">
      <c r="A79" s="173" t="s">
        <v>236</v>
      </c>
      <c r="B79" s="204">
        <f>E671SAL!C79</f>
        <v>248928334</v>
      </c>
      <c r="C79" s="204">
        <f t="shared" si="2"/>
        <v>248928334</v>
      </c>
      <c r="D79" s="204">
        <f t="shared" si="0"/>
        <v>0</v>
      </c>
      <c r="E79" s="204">
        <f>E671SAL!F79</f>
        <v>249820466</v>
      </c>
      <c r="F79" s="204">
        <f t="shared" si="3"/>
        <v>249820466</v>
      </c>
      <c r="G79" s="153">
        <f t="shared" si="1"/>
        <v>0</v>
      </c>
      <c r="H79" s="200"/>
    </row>
    <row r="80" spans="1:8" ht="13.5">
      <c r="A80" s="173" t="s">
        <v>237</v>
      </c>
      <c r="B80" s="204">
        <f>E671SAL!C80</f>
        <v>8129884</v>
      </c>
      <c r="C80" s="204">
        <f>F65</f>
        <v>7796312</v>
      </c>
      <c r="D80" s="204">
        <f>C80-B80</f>
        <v>-333572</v>
      </c>
      <c r="E80" s="204">
        <f>E671SAL!F80</f>
        <v>8311048</v>
      </c>
      <c r="F80" s="204">
        <f>H65</f>
        <v>7969925</v>
      </c>
      <c r="G80" s="153">
        <f>F80-E80</f>
        <v>-341123</v>
      </c>
      <c r="H80" s="200"/>
    </row>
    <row r="81" spans="1:8" ht="14.25" thickBot="1">
      <c r="A81" s="173" t="s">
        <v>149</v>
      </c>
      <c r="B81" s="204">
        <v>0</v>
      </c>
      <c r="C81" s="204"/>
      <c r="D81" s="204">
        <f>C81-B81</f>
        <v>0</v>
      </c>
      <c r="E81" s="204">
        <v>0</v>
      </c>
      <c r="F81" s="204"/>
      <c r="G81" s="153">
        <f>F81-E81</f>
        <v>0</v>
      </c>
      <c r="H81" s="200"/>
    </row>
    <row r="82" spans="1:8" ht="13.5">
      <c r="A82" s="205"/>
      <c r="B82" s="230"/>
      <c r="C82" s="230"/>
      <c r="D82" s="230"/>
      <c r="E82" s="230"/>
      <c r="F82" s="230"/>
      <c r="G82" s="231"/>
      <c r="H82" s="232"/>
    </row>
    <row r="83" spans="1:8" ht="14.25" thickBot="1">
      <c r="A83" s="209" t="s">
        <v>238</v>
      </c>
      <c r="B83" s="210">
        <f>SUM(B72:B80)</f>
        <v>2619121129.3525</v>
      </c>
      <c r="C83" s="210">
        <f>SUM(C72:C81)</f>
        <v>2521318657.5963497</v>
      </c>
      <c r="D83" s="210">
        <f t="shared" ref="D83:G83" si="4">SUM(D72:D81)</f>
        <v>-97802471.756150007</v>
      </c>
      <c r="E83" s="210">
        <f t="shared" si="4"/>
        <v>2672983217.8087502</v>
      </c>
      <c r="F83" s="210">
        <f t="shared" si="4"/>
        <v>2572966873.6577253</v>
      </c>
      <c r="G83" s="211">
        <f t="shared" si="4"/>
        <v>-100016344.15102482</v>
      </c>
      <c r="H83" s="233"/>
    </row>
  </sheetData>
  <mergeCells count="1">
    <mergeCell ref="A1:H1"/>
  </mergeCells>
  <printOptions horizontalCentered="1"/>
  <pageMargins left="0.45" right="0.45" top="0.75" bottom="0.75" header="0.3" footer="0.3"/>
  <pageSetup paperSize="5" scale="68" fitToHeight="0" orientation="portrait" r:id="rId1"/>
  <legacyDrawing r:id="rId2"/>
</worksheet>
</file>

<file path=xl/worksheets/sheet13.xml><?xml version="1.0" encoding="utf-8"?>
<worksheet xmlns="http://schemas.openxmlformats.org/spreadsheetml/2006/main" xmlns:r="http://schemas.openxmlformats.org/officeDocument/2006/relationships">
  <sheetPr>
    <pageSetUpPr fitToPage="1"/>
  </sheetPr>
  <dimension ref="A1:V33"/>
  <sheetViews>
    <sheetView workbookViewId="0">
      <selection activeCell="H39" sqref="H39"/>
    </sheetView>
  </sheetViews>
  <sheetFormatPr defaultRowHeight="12.75"/>
  <cols>
    <col min="1" max="1" width="17.85546875" customWidth="1"/>
    <col min="2" max="3" width="14" bestFit="1" customWidth="1"/>
    <col min="4" max="4" width="8" bestFit="1" customWidth="1"/>
    <col min="5" max="5" width="10.7109375" bestFit="1" customWidth="1"/>
    <col min="6" max="6" width="6.5703125" bestFit="1" customWidth="1"/>
    <col min="7" max="8" width="8.42578125" bestFit="1" customWidth="1"/>
    <col min="9" max="10" width="8" bestFit="1" customWidth="1"/>
    <col min="11" max="12" width="8" customWidth="1"/>
    <col min="13" max="13" width="8" bestFit="1" customWidth="1"/>
    <col min="14" max="14" width="7.7109375" bestFit="1" customWidth="1"/>
    <col min="15" max="15" width="6.85546875" customWidth="1"/>
    <col min="16" max="16" width="7.7109375" bestFit="1" customWidth="1"/>
    <col min="17" max="17" width="8.42578125" bestFit="1" customWidth="1"/>
    <col min="18" max="18" width="7.7109375" bestFit="1" customWidth="1"/>
    <col min="19" max="19" width="9.7109375" bestFit="1" customWidth="1"/>
    <col min="20" max="20" width="5.5703125" customWidth="1"/>
    <col min="21" max="21" width="9.7109375" bestFit="1" customWidth="1"/>
    <col min="22" max="22" width="5.5703125" customWidth="1"/>
    <col min="259" max="259" width="17.85546875" customWidth="1"/>
    <col min="260" max="260" width="10.7109375" bestFit="1" customWidth="1"/>
    <col min="261" max="261" width="8.42578125" bestFit="1" customWidth="1"/>
    <col min="262" max="262" width="8" bestFit="1" customWidth="1"/>
    <col min="263" max="263" width="10.7109375" bestFit="1" customWidth="1"/>
    <col min="264" max="264" width="6.5703125" bestFit="1" customWidth="1"/>
    <col min="265" max="266" width="8.42578125" bestFit="1" customWidth="1"/>
    <col min="267" max="268" width="8" bestFit="1" customWidth="1"/>
    <col min="269" max="270" width="7.7109375" bestFit="1" customWidth="1"/>
    <col min="271" max="271" width="6.85546875" customWidth="1"/>
    <col min="272" max="274" width="7.7109375" bestFit="1" customWidth="1"/>
    <col min="275" max="275" width="9.7109375" bestFit="1" customWidth="1"/>
    <col min="276" max="276" width="5.5703125" customWidth="1"/>
    <col min="277" max="277" width="9.7109375" bestFit="1" customWidth="1"/>
    <col min="278" max="278" width="5.5703125" customWidth="1"/>
    <col min="515" max="515" width="17.85546875" customWidth="1"/>
    <col min="516" max="516" width="10.7109375" bestFit="1" customWidth="1"/>
    <col min="517" max="517" width="8.42578125" bestFit="1" customWidth="1"/>
    <col min="518" max="518" width="8" bestFit="1" customWidth="1"/>
    <col min="519" max="519" width="10.7109375" bestFit="1" customWidth="1"/>
    <col min="520" max="520" width="6.5703125" bestFit="1" customWidth="1"/>
    <col min="521" max="522" width="8.42578125" bestFit="1" customWidth="1"/>
    <col min="523" max="524" width="8" bestFit="1" customWidth="1"/>
    <col min="525" max="526" width="7.7109375" bestFit="1" customWidth="1"/>
    <col min="527" max="527" width="6.85546875" customWidth="1"/>
    <col min="528" max="530" width="7.7109375" bestFit="1" customWidth="1"/>
    <col min="531" max="531" width="9.7109375" bestFit="1" customWidth="1"/>
    <col min="532" max="532" width="5.5703125" customWidth="1"/>
    <col min="533" max="533" width="9.7109375" bestFit="1" customWidth="1"/>
    <col min="534" max="534" width="5.5703125" customWidth="1"/>
    <col min="771" max="771" width="17.85546875" customWidth="1"/>
    <col min="772" max="772" width="10.7109375" bestFit="1" customWidth="1"/>
    <col min="773" max="773" width="8.42578125" bestFit="1" customWidth="1"/>
    <col min="774" max="774" width="8" bestFit="1" customWidth="1"/>
    <col min="775" max="775" width="10.7109375" bestFit="1" customWidth="1"/>
    <col min="776" max="776" width="6.5703125" bestFit="1" customWidth="1"/>
    <col min="777" max="778" width="8.42578125" bestFit="1" customWidth="1"/>
    <col min="779" max="780" width="8" bestFit="1" customWidth="1"/>
    <col min="781" max="782" width="7.7109375" bestFit="1" customWidth="1"/>
    <col min="783" max="783" width="6.85546875" customWidth="1"/>
    <col min="784" max="786" width="7.7109375" bestFit="1" customWidth="1"/>
    <col min="787" max="787" width="9.7109375" bestFit="1" customWidth="1"/>
    <col min="788" max="788" width="5.5703125" customWidth="1"/>
    <col min="789" max="789" width="9.7109375" bestFit="1" customWidth="1"/>
    <col min="790" max="790" width="5.5703125" customWidth="1"/>
    <col min="1027" max="1027" width="17.85546875" customWidth="1"/>
    <col min="1028" max="1028" width="10.7109375" bestFit="1" customWidth="1"/>
    <col min="1029" max="1029" width="8.42578125" bestFit="1" customWidth="1"/>
    <col min="1030" max="1030" width="8" bestFit="1" customWidth="1"/>
    <col min="1031" max="1031" width="10.7109375" bestFit="1" customWidth="1"/>
    <col min="1032" max="1032" width="6.5703125" bestFit="1" customWidth="1"/>
    <col min="1033" max="1034" width="8.42578125" bestFit="1" customWidth="1"/>
    <col min="1035" max="1036" width="8" bestFit="1" customWidth="1"/>
    <col min="1037" max="1038" width="7.7109375" bestFit="1" customWidth="1"/>
    <col min="1039" max="1039" width="6.85546875" customWidth="1"/>
    <col min="1040" max="1042" width="7.7109375" bestFit="1" customWidth="1"/>
    <col min="1043" max="1043" width="9.7109375" bestFit="1" customWidth="1"/>
    <col min="1044" max="1044" width="5.5703125" customWidth="1"/>
    <col min="1045" max="1045" width="9.7109375" bestFit="1" customWidth="1"/>
    <col min="1046" max="1046" width="5.5703125" customWidth="1"/>
    <col min="1283" max="1283" width="17.85546875" customWidth="1"/>
    <col min="1284" max="1284" width="10.7109375" bestFit="1" customWidth="1"/>
    <col min="1285" max="1285" width="8.42578125" bestFit="1" customWidth="1"/>
    <col min="1286" max="1286" width="8" bestFit="1" customWidth="1"/>
    <col min="1287" max="1287" width="10.7109375" bestFit="1" customWidth="1"/>
    <col min="1288" max="1288" width="6.5703125" bestFit="1" customWidth="1"/>
    <col min="1289" max="1290" width="8.42578125" bestFit="1" customWidth="1"/>
    <col min="1291" max="1292" width="8" bestFit="1" customWidth="1"/>
    <col min="1293" max="1294" width="7.7109375" bestFit="1" customWidth="1"/>
    <col min="1295" max="1295" width="6.85546875" customWidth="1"/>
    <col min="1296" max="1298" width="7.7109375" bestFit="1" customWidth="1"/>
    <col min="1299" max="1299" width="9.7109375" bestFit="1" customWidth="1"/>
    <col min="1300" max="1300" width="5.5703125" customWidth="1"/>
    <col min="1301" max="1301" width="9.7109375" bestFit="1" customWidth="1"/>
    <col min="1302" max="1302" width="5.5703125" customWidth="1"/>
    <col min="1539" max="1539" width="17.85546875" customWidth="1"/>
    <col min="1540" max="1540" width="10.7109375" bestFit="1" customWidth="1"/>
    <col min="1541" max="1541" width="8.42578125" bestFit="1" customWidth="1"/>
    <col min="1542" max="1542" width="8" bestFit="1" customWidth="1"/>
    <col min="1543" max="1543" width="10.7109375" bestFit="1" customWidth="1"/>
    <col min="1544" max="1544" width="6.5703125" bestFit="1" customWidth="1"/>
    <col min="1545" max="1546" width="8.42578125" bestFit="1" customWidth="1"/>
    <col min="1547" max="1548" width="8" bestFit="1" customWidth="1"/>
    <col min="1549" max="1550" width="7.7109375" bestFit="1" customWidth="1"/>
    <col min="1551" max="1551" width="6.85546875" customWidth="1"/>
    <col min="1552" max="1554" width="7.7109375" bestFit="1" customWidth="1"/>
    <col min="1555" max="1555" width="9.7109375" bestFit="1" customWidth="1"/>
    <col min="1556" max="1556" width="5.5703125" customWidth="1"/>
    <col min="1557" max="1557" width="9.7109375" bestFit="1" customWidth="1"/>
    <col min="1558" max="1558" width="5.5703125" customWidth="1"/>
    <col min="1795" max="1795" width="17.85546875" customWidth="1"/>
    <col min="1796" max="1796" width="10.7109375" bestFit="1" customWidth="1"/>
    <col min="1797" max="1797" width="8.42578125" bestFit="1" customWidth="1"/>
    <col min="1798" max="1798" width="8" bestFit="1" customWidth="1"/>
    <col min="1799" max="1799" width="10.7109375" bestFit="1" customWidth="1"/>
    <col min="1800" max="1800" width="6.5703125" bestFit="1" customWidth="1"/>
    <col min="1801" max="1802" width="8.42578125" bestFit="1" customWidth="1"/>
    <col min="1803" max="1804" width="8" bestFit="1" customWidth="1"/>
    <col min="1805" max="1806" width="7.7109375" bestFit="1" customWidth="1"/>
    <col min="1807" max="1807" width="6.85546875" customWidth="1"/>
    <col min="1808" max="1810" width="7.7109375" bestFit="1" customWidth="1"/>
    <col min="1811" max="1811" width="9.7109375" bestFit="1" customWidth="1"/>
    <col min="1812" max="1812" width="5.5703125" customWidth="1"/>
    <col min="1813" max="1813" width="9.7109375" bestFit="1" customWidth="1"/>
    <col min="1814" max="1814" width="5.5703125" customWidth="1"/>
    <col min="2051" max="2051" width="17.85546875" customWidth="1"/>
    <col min="2052" max="2052" width="10.7109375" bestFit="1" customWidth="1"/>
    <col min="2053" max="2053" width="8.42578125" bestFit="1" customWidth="1"/>
    <col min="2054" max="2054" width="8" bestFit="1" customWidth="1"/>
    <col min="2055" max="2055" width="10.7109375" bestFit="1" customWidth="1"/>
    <col min="2056" max="2056" width="6.5703125" bestFit="1" customWidth="1"/>
    <col min="2057" max="2058" width="8.42578125" bestFit="1" customWidth="1"/>
    <col min="2059" max="2060" width="8" bestFit="1" customWidth="1"/>
    <col min="2061" max="2062" width="7.7109375" bestFit="1" customWidth="1"/>
    <col min="2063" max="2063" width="6.85546875" customWidth="1"/>
    <col min="2064" max="2066" width="7.7109375" bestFit="1" customWidth="1"/>
    <col min="2067" max="2067" width="9.7109375" bestFit="1" customWidth="1"/>
    <col min="2068" max="2068" width="5.5703125" customWidth="1"/>
    <col min="2069" max="2069" width="9.7109375" bestFit="1" customWidth="1"/>
    <col min="2070" max="2070" width="5.5703125" customWidth="1"/>
    <col min="2307" max="2307" width="17.85546875" customWidth="1"/>
    <col min="2308" max="2308" width="10.7109375" bestFit="1" customWidth="1"/>
    <col min="2309" max="2309" width="8.42578125" bestFit="1" customWidth="1"/>
    <col min="2310" max="2310" width="8" bestFit="1" customWidth="1"/>
    <col min="2311" max="2311" width="10.7109375" bestFit="1" customWidth="1"/>
    <col min="2312" max="2312" width="6.5703125" bestFit="1" customWidth="1"/>
    <col min="2313" max="2314" width="8.42578125" bestFit="1" customWidth="1"/>
    <col min="2315" max="2316" width="8" bestFit="1" customWidth="1"/>
    <col min="2317" max="2318" width="7.7109375" bestFit="1" customWidth="1"/>
    <col min="2319" max="2319" width="6.85546875" customWidth="1"/>
    <col min="2320" max="2322" width="7.7109375" bestFit="1" customWidth="1"/>
    <col min="2323" max="2323" width="9.7109375" bestFit="1" customWidth="1"/>
    <col min="2324" max="2324" width="5.5703125" customWidth="1"/>
    <col min="2325" max="2325" width="9.7109375" bestFit="1" customWidth="1"/>
    <col min="2326" max="2326" width="5.5703125" customWidth="1"/>
    <col min="2563" max="2563" width="17.85546875" customWidth="1"/>
    <col min="2564" max="2564" width="10.7109375" bestFit="1" customWidth="1"/>
    <col min="2565" max="2565" width="8.42578125" bestFit="1" customWidth="1"/>
    <col min="2566" max="2566" width="8" bestFit="1" customWidth="1"/>
    <col min="2567" max="2567" width="10.7109375" bestFit="1" customWidth="1"/>
    <col min="2568" max="2568" width="6.5703125" bestFit="1" customWidth="1"/>
    <col min="2569" max="2570" width="8.42578125" bestFit="1" customWidth="1"/>
    <col min="2571" max="2572" width="8" bestFit="1" customWidth="1"/>
    <col min="2573" max="2574" width="7.7109375" bestFit="1" customWidth="1"/>
    <col min="2575" max="2575" width="6.85546875" customWidth="1"/>
    <col min="2576" max="2578" width="7.7109375" bestFit="1" customWidth="1"/>
    <col min="2579" max="2579" width="9.7109375" bestFit="1" customWidth="1"/>
    <col min="2580" max="2580" width="5.5703125" customWidth="1"/>
    <col min="2581" max="2581" width="9.7109375" bestFit="1" customWidth="1"/>
    <col min="2582" max="2582" width="5.5703125" customWidth="1"/>
    <col min="2819" max="2819" width="17.85546875" customWidth="1"/>
    <col min="2820" max="2820" width="10.7109375" bestFit="1" customWidth="1"/>
    <col min="2821" max="2821" width="8.42578125" bestFit="1" customWidth="1"/>
    <col min="2822" max="2822" width="8" bestFit="1" customWidth="1"/>
    <col min="2823" max="2823" width="10.7109375" bestFit="1" customWidth="1"/>
    <col min="2824" max="2824" width="6.5703125" bestFit="1" customWidth="1"/>
    <col min="2825" max="2826" width="8.42578125" bestFit="1" customWidth="1"/>
    <col min="2827" max="2828" width="8" bestFit="1" customWidth="1"/>
    <col min="2829" max="2830" width="7.7109375" bestFit="1" customWidth="1"/>
    <col min="2831" max="2831" width="6.85546875" customWidth="1"/>
    <col min="2832" max="2834" width="7.7109375" bestFit="1" customWidth="1"/>
    <col min="2835" max="2835" width="9.7109375" bestFit="1" customWidth="1"/>
    <col min="2836" max="2836" width="5.5703125" customWidth="1"/>
    <col min="2837" max="2837" width="9.7109375" bestFit="1" customWidth="1"/>
    <col min="2838" max="2838" width="5.5703125" customWidth="1"/>
    <col min="3075" max="3075" width="17.85546875" customWidth="1"/>
    <col min="3076" max="3076" width="10.7109375" bestFit="1" customWidth="1"/>
    <col min="3077" max="3077" width="8.42578125" bestFit="1" customWidth="1"/>
    <col min="3078" max="3078" width="8" bestFit="1" customWidth="1"/>
    <col min="3079" max="3079" width="10.7109375" bestFit="1" customWidth="1"/>
    <col min="3080" max="3080" width="6.5703125" bestFit="1" customWidth="1"/>
    <col min="3081" max="3082" width="8.42578125" bestFit="1" customWidth="1"/>
    <col min="3083" max="3084" width="8" bestFit="1" customWidth="1"/>
    <col min="3085" max="3086" width="7.7109375" bestFit="1" customWidth="1"/>
    <col min="3087" max="3087" width="6.85546875" customWidth="1"/>
    <col min="3088" max="3090" width="7.7109375" bestFit="1" customWidth="1"/>
    <col min="3091" max="3091" width="9.7109375" bestFit="1" customWidth="1"/>
    <col min="3092" max="3092" width="5.5703125" customWidth="1"/>
    <col min="3093" max="3093" width="9.7109375" bestFit="1" customWidth="1"/>
    <col min="3094" max="3094" width="5.5703125" customWidth="1"/>
    <col min="3331" max="3331" width="17.85546875" customWidth="1"/>
    <col min="3332" max="3332" width="10.7109375" bestFit="1" customWidth="1"/>
    <col min="3333" max="3333" width="8.42578125" bestFit="1" customWidth="1"/>
    <col min="3334" max="3334" width="8" bestFit="1" customWidth="1"/>
    <col min="3335" max="3335" width="10.7109375" bestFit="1" customWidth="1"/>
    <col min="3336" max="3336" width="6.5703125" bestFit="1" customWidth="1"/>
    <col min="3337" max="3338" width="8.42578125" bestFit="1" customWidth="1"/>
    <col min="3339" max="3340" width="8" bestFit="1" customWidth="1"/>
    <col min="3341" max="3342" width="7.7109375" bestFit="1" customWidth="1"/>
    <col min="3343" max="3343" width="6.85546875" customWidth="1"/>
    <col min="3344" max="3346" width="7.7109375" bestFit="1" customWidth="1"/>
    <col min="3347" max="3347" width="9.7109375" bestFit="1" customWidth="1"/>
    <col min="3348" max="3348" width="5.5703125" customWidth="1"/>
    <col min="3349" max="3349" width="9.7109375" bestFit="1" customWidth="1"/>
    <col min="3350" max="3350" width="5.5703125" customWidth="1"/>
    <col min="3587" max="3587" width="17.85546875" customWidth="1"/>
    <col min="3588" max="3588" width="10.7109375" bestFit="1" customWidth="1"/>
    <col min="3589" max="3589" width="8.42578125" bestFit="1" customWidth="1"/>
    <col min="3590" max="3590" width="8" bestFit="1" customWidth="1"/>
    <col min="3591" max="3591" width="10.7109375" bestFit="1" customWidth="1"/>
    <col min="3592" max="3592" width="6.5703125" bestFit="1" customWidth="1"/>
    <col min="3593" max="3594" width="8.42578125" bestFit="1" customWidth="1"/>
    <col min="3595" max="3596" width="8" bestFit="1" customWidth="1"/>
    <col min="3597" max="3598" width="7.7109375" bestFit="1" customWidth="1"/>
    <col min="3599" max="3599" width="6.85546875" customWidth="1"/>
    <col min="3600" max="3602" width="7.7109375" bestFit="1" customWidth="1"/>
    <col min="3603" max="3603" width="9.7109375" bestFit="1" customWidth="1"/>
    <col min="3604" max="3604" width="5.5703125" customWidth="1"/>
    <col min="3605" max="3605" width="9.7109375" bestFit="1" customWidth="1"/>
    <col min="3606" max="3606" width="5.5703125" customWidth="1"/>
    <col min="3843" max="3843" width="17.85546875" customWidth="1"/>
    <col min="3844" max="3844" width="10.7109375" bestFit="1" customWidth="1"/>
    <col min="3845" max="3845" width="8.42578125" bestFit="1" customWidth="1"/>
    <col min="3846" max="3846" width="8" bestFit="1" customWidth="1"/>
    <col min="3847" max="3847" width="10.7109375" bestFit="1" customWidth="1"/>
    <col min="3848" max="3848" width="6.5703125" bestFit="1" customWidth="1"/>
    <col min="3849" max="3850" width="8.42578125" bestFit="1" customWidth="1"/>
    <col min="3851" max="3852" width="8" bestFit="1" customWidth="1"/>
    <col min="3853" max="3854" width="7.7109375" bestFit="1" customWidth="1"/>
    <col min="3855" max="3855" width="6.85546875" customWidth="1"/>
    <col min="3856" max="3858" width="7.7109375" bestFit="1" customWidth="1"/>
    <col min="3859" max="3859" width="9.7109375" bestFit="1" customWidth="1"/>
    <col min="3860" max="3860" width="5.5703125" customWidth="1"/>
    <col min="3861" max="3861" width="9.7109375" bestFit="1" customWidth="1"/>
    <col min="3862" max="3862" width="5.5703125" customWidth="1"/>
    <col min="4099" max="4099" width="17.85546875" customWidth="1"/>
    <col min="4100" max="4100" width="10.7109375" bestFit="1" customWidth="1"/>
    <col min="4101" max="4101" width="8.42578125" bestFit="1" customWidth="1"/>
    <col min="4102" max="4102" width="8" bestFit="1" customWidth="1"/>
    <col min="4103" max="4103" width="10.7109375" bestFit="1" customWidth="1"/>
    <col min="4104" max="4104" width="6.5703125" bestFit="1" customWidth="1"/>
    <col min="4105" max="4106" width="8.42578125" bestFit="1" customWidth="1"/>
    <col min="4107" max="4108" width="8" bestFit="1" customWidth="1"/>
    <col min="4109" max="4110" width="7.7109375" bestFit="1" customWidth="1"/>
    <col min="4111" max="4111" width="6.85546875" customWidth="1"/>
    <col min="4112" max="4114" width="7.7109375" bestFit="1" customWidth="1"/>
    <col min="4115" max="4115" width="9.7109375" bestFit="1" customWidth="1"/>
    <col min="4116" max="4116" width="5.5703125" customWidth="1"/>
    <col min="4117" max="4117" width="9.7109375" bestFit="1" customWidth="1"/>
    <col min="4118" max="4118" width="5.5703125" customWidth="1"/>
    <col min="4355" max="4355" width="17.85546875" customWidth="1"/>
    <col min="4356" max="4356" width="10.7109375" bestFit="1" customWidth="1"/>
    <col min="4357" max="4357" width="8.42578125" bestFit="1" customWidth="1"/>
    <col min="4358" max="4358" width="8" bestFit="1" customWidth="1"/>
    <col min="4359" max="4359" width="10.7109375" bestFit="1" customWidth="1"/>
    <col min="4360" max="4360" width="6.5703125" bestFit="1" customWidth="1"/>
    <col min="4361" max="4362" width="8.42578125" bestFit="1" customWidth="1"/>
    <col min="4363" max="4364" width="8" bestFit="1" customWidth="1"/>
    <col min="4365" max="4366" width="7.7109375" bestFit="1" customWidth="1"/>
    <col min="4367" max="4367" width="6.85546875" customWidth="1"/>
    <col min="4368" max="4370" width="7.7109375" bestFit="1" customWidth="1"/>
    <col min="4371" max="4371" width="9.7109375" bestFit="1" customWidth="1"/>
    <col min="4372" max="4372" width="5.5703125" customWidth="1"/>
    <col min="4373" max="4373" width="9.7109375" bestFit="1" customWidth="1"/>
    <col min="4374" max="4374" width="5.5703125" customWidth="1"/>
    <col min="4611" max="4611" width="17.85546875" customWidth="1"/>
    <col min="4612" max="4612" width="10.7109375" bestFit="1" customWidth="1"/>
    <col min="4613" max="4613" width="8.42578125" bestFit="1" customWidth="1"/>
    <col min="4614" max="4614" width="8" bestFit="1" customWidth="1"/>
    <col min="4615" max="4615" width="10.7109375" bestFit="1" customWidth="1"/>
    <col min="4616" max="4616" width="6.5703125" bestFit="1" customWidth="1"/>
    <col min="4617" max="4618" width="8.42578125" bestFit="1" customWidth="1"/>
    <col min="4619" max="4620" width="8" bestFit="1" customWidth="1"/>
    <col min="4621" max="4622" width="7.7109375" bestFit="1" customWidth="1"/>
    <col min="4623" max="4623" width="6.85546875" customWidth="1"/>
    <col min="4624" max="4626" width="7.7109375" bestFit="1" customWidth="1"/>
    <col min="4627" max="4627" width="9.7109375" bestFit="1" customWidth="1"/>
    <col min="4628" max="4628" width="5.5703125" customWidth="1"/>
    <col min="4629" max="4629" width="9.7109375" bestFit="1" customWidth="1"/>
    <col min="4630" max="4630" width="5.5703125" customWidth="1"/>
    <col min="4867" max="4867" width="17.85546875" customWidth="1"/>
    <col min="4868" max="4868" width="10.7109375" bestFit="1" customWidth="1"/>
    <col min="4869" max="4869" width="8.42578125" bestFit="1" customWidth="1"/>
    <col min="4870" max="4870" width="8" bestFit="1" customWidth="1"/>
    <col min="4871" max="4871" width="10.7109375" bestFit="1" customWidth="1"/>
    <col min="4872" max="4872" width="6.5703125" bestFit="1" customWidth="1"/>
    <col min="4873" max="4874" width="8.42578125" bestFit="1" customWidth="1"/>
    <col min="4875" max="4876" width="8" bestFit="1" customWidth="1"/>
    <col min="4877" max="4878" width="7.7109375" bestFit="1" customWidth="1"/>
    <col min="4879" max="4879" width="6.85546875" customWidth="1"/>
    <col min="4880" max="4882" width="7.7109375" bestFit="1" customWidth="1"/>
    <col min="4883" max="4883" width="9.7109375" bestFit="1" customWidth="1"/>
    <col min="4884" max="4884" width="5.5703125" customWidth="1"/>
    <col min="4885" max="4885" width="9.7109375" bestFit="1" customWidth="1"/>
    <col min="4886" max="4886" width="5.5703125" customWidth="1"/>
    <col min="5123" max="5123" width="17.85546875" customWidth="1"/>
    <col min="5124" max="5124" width="10.7109375" bestFit="1" customWidth="1"/>
    <col min="5125" max="5125" width="8.42578125" bestFit="1" customWidth="1"/>
    <col min="5126" max="5126" width="8" bestFit="1" customWidth="1"/>
    <col min="5127" max="5127" width="10.7109375" bestFit="1" customWidth="1"/>
    <col min="5128" max="5128" width="6.5703125" bestFit="1" customWidth="1"/>
    <col min="5129" max="5130" width="8.42578125" bestFit="1" customWidth="1"/>
    <col min="5131" max="5132" width="8" bestFit="1" customWidth="1"/>
    <col min="5133" max="5134" width="7.7109375" bestFit="1" customWidth="1"/>
    <col min="5135" max="5135" width="6.85546875" customWidth="1"/>
    <col min="5136" max="5138" width="7.7109375" bestFit="1" customWidth="1"/>
    <col min="5139" max="5139" width="9.7109375" bestFit="1" customWidth="1"/>
    <col min="5140" max="5140" width="5.5703125" customWidth="1"/>
    <col min="5141" max="5141" width="9.7109375" bestFit="1" customWidth="1"/>
    <col min="5142" max="5142" width="5.5703125" customWidth="1"/>
    <col min="5379" max="5379" width="17.85546875" customWidth="1"/>
    <col min="5380" max="5380" width="10.7109375" bestFit="1" customWidth="1"/>
    <col min="5381" max="5381" width="8.42578125" bestFit="1" customWidth="1"/>
    <col min="5382" max="5382" width="8" bestFit="1" customWidth="1"/>
    <col min="5383" max="5383" width="10.7109375" bestFit="1" customWidth="1"/>
    <col min="5384" max="5384" width="6.5703125" bestFit="1" customWidth="1"/>
    <col min="5385" max="5386" width="8.42578125" bestFit="1" customWidth="1"/>
    <col min="5387" max="5388" width="8" bestFit="1" customWidth="1"/>
    <col min="5389" max="5390" width="7.7109375" bestFit="1" customWidth="1"/>
    <col min="5391" max="5391" width="6.85546875" customWidth="1"/>
    <col min="5392" max="5394" width="7.7109375" bestFit="1" customWidth="1"/>
    <col min="5395" max="5395" width="9.7109375" bestFit="1" customWidth="1"/>
    <col min="5396" max="5396" width="5.5703125" customWidth="1"/>
    <col min="5397" max="5397" width="9.7109375" bestFit="1" customWidth="1"/>
    <col min="5398" max="5398" width="5.5703125" customWidth="1"/>
    <col min="5635" max="5635" width="17.85546875" customWidth="1"/>
    <col min="5636" max="5636" width="10.7109375" bestFit="1" customWidth="1"/>
    <col min="5637" max="5637" width="8.42578125" bestFit="1" customWidth="1"/>
    <col min="5638" max="5638" width="8" bestFit="1" customWidth="1"/>
    <col min="5639" max="5639" width="10.7109375" bestFit="1" customWidth="1"/>
    <col min="5640" max="5640" width="6.5703125" bestFit="1" customWidth="1"/>
    <col min="5641" max="5642" width="8.42578125" bestFit="1" customWidth="1"/>
    <col min="5643" max="5644" width="8" bestFit="1" customWidth="1"/>
    <col min="5645" max="5646" width="7.7109375" bestFit="1" customWidth="1"/>
    <col min="5647" max="5647" width="6.85546875" customWidth="1"/>
    <col min="5648" max="5650" width="7.7109375" bestFit="1" customWidth="1"/>
    <col min="5651" max="5651" width="9.7109375" bestFit="1" customWidth="1"/>
    <col min="5652" max="5652" width="5.5703125" customWidth="1"/>
    <col min="5653" max="5653" width="9.7109375" bestFit="1" customWidth="1"/>
    <col min="5654" max="5654" width="5.5703125" customWidth="1"/>
    <col min="5891" max="5891" width="17.85546875" customWidth="1"/>
    <col min="5892" max="5892" width="10.7109375" bestFit="1" customWidth="1"/>
    <col min="5893" max="5893" width="8.42578125" bestFit="1" customWidth="1"/>
    <col min="5894" max="5894" width="8" bestFit="1" customWidth="1"/>
    <col min="5895" max="5895" width="10.7109375" bestFit="1" customWidth="1"/>
    <col min="5896" max="5896" width="6.5703125" bestFit="1" customWidth="1"/>
    <col min="5897" max="5898" width="8.42578125" bestFit="1" customWidth="1"/>
    <col min="5899" max="5900" width="8" bestFit="1" customWidth="1"/>
    <col min="5901" max="5902" width="7.7109375" bestFit="1" customWidth="1"/>
    <col min="5903" max="5903" width="6.85546875" customWidth="1"/>
    <col min="5904" max="5906" width="7.7109375" bestFit="1" customWidth="1"/>
    <col min="5907" max="5907" width="9.7109375" bestFit="1" customWidth="1"/>
    <col min="5908" max="5908" width="5.5703125" customWidth="1"/>
    <col min="5909" max="5909" width="9.7109375" bestFit="1" customWidth="1"/>
    <col min="5910" max="5910" width="5.5703125" customWidth="1"/>
    <col min="6147" max="6147" width="17.85546875" customWidth="1"/>
    <col min="6148" max="6148" width="10.7109375" bestFit="1" customWidth="1"/>
    <col min="6149" max="6149" width="8.42578125" bestFit="1" customWidth="1"/>
    <col min="6150" max="6150" width="8" bestFit="1" customWidth="1"/>
    <col min="6151" max="6151" width="10.7109375" bestFit="1" customWidth="1"/>
    <col min="6152" max="6152" width="6.5703125" bestFit="1" customWidth="1"/>
    <col min="6153" max="6154" width="8.42578125" bestFit="1" customWidth="1"/>
    <col min="6155" max="6156" width="8" bestFit="1" customWidth="1"/>
    <col min="6157" max="6158" width="7.7109375" bestFit="1" customWidth="1"/>
    <col min="6159" max="6159" width="6.85546875" customWidth="1"/>
    <col min="6160" max="6162" width="7.7109375" bestFit="1" customWidth="1"/>
    <col min="6163" max="6163" width="9.7109375" bestFit="1" customWidth="1"/>
    <col min="6164" max="6164" width="5.5703125" customWidth="1"/>
    <col min="6165" max="6165" width="9.7109375" bestFit="1" customWidth="1"/>
    <col min="6166" max="6166" width="5.5703125" customWidth="1"/>
    <col min="6403" max="6403" width="17.85546875" customWidth="1"/>
    <col min="6404" max="6404" width="10.7109375" bestFit="1" customWidth="1"/>
    <col min="6405" max="6405" width="8.42578125" bestFit="1" customWidth="1"/>
    <col min="6406" max="6406" width="8" bestFit="1" customWidth="1"/>
    <col min="6407" max="6407" width="10.7109375" bestFit="1" customWidth="1"/>
    <col min="6408" max="6408" width="6.5703125" bestFit="1" customWidth="1"/>
    <col min="6409" max="6410" width="8.42578125" bestFit="1" customWidth="1"/>
    <col min="6411" max="6412" width="8" bestFit="1" customWidth="1"/>
    <col min="6413" max="6414" width="7.7109375" bestFit="1" customWidth="1"/>
    <col min="6415" max="6415" width="6.85546875" customWidth="1"/>
    <col min="6416" max="6418" width="7.7109375" bestFit="1" customWidth="1"/>
    <col min="6419" max="6419" width="9.7109375" bestFit="1" customWidth="1"/>
    <col min="6420" max="6420" width="5.5703125" customWidth="1"/>
    <col min="6421" max="6421" width="9.7109375" bestFit="1" customWidth="1"/>
    <col min="6422" max="6422" width="5.5703125" customWidth="1"/>
    <col min="6659" max="6659" width="17.85546875" customWidth="1"/>
    <col min="6660" max="6660" width="10.7109375" bestFit="1" customWidth="1"/>
    <col min="6661" max="6661" width="8.42578125" bestFit="1" customWidth="1"/>
    <col min="6662" max="6662" width="8" bestFit="1" customWidth="1"/>
    <col min="6663" max="6663" width="10.7109375" bestFit="1" customWidth="1"/>
    <col min="6664" max="6664" width="6.5703125" bestFit="1" customWidth="1"/>
    <col min="6665" max="6666" width="8.42578125" bestFit="1" customWidth="1"/>
    <col min="6667" max="6668" width="8" bestFit="1" customWidth="1"/>
    <col min="6669" max="6670" width="7.7109375" bestFit="1" customWidth="1"/>
    <col min="6671" max="6671" width="6.85546875" customWidth="1"/>
    <col min="6672" max="6674" width="7.7109375" bestFit="1" customWidth="1"/>
    <col min="6675" max="6675" width="9.7109375" bestFit="1" customWidth="1"/>
    <col min="6676" max="6676" width="5.5703125" customWidth="1"/>
    <col min="6677" max="6677" width="9.7109375" bestFit="1" customWidth="1"/>
    <col min="6678" max="6678" width="5.5703125" customWidth="1"/>
    <col min="6915" max="6915" width="17.85546875" customWidth="1"/>
    <col min="6916" max="6916" width="10.7109375" bestFit="1" customWidth="1"/>
    <col min="6917" max="6917" width="8.42578125" bestFit="1" customWidth="1"/>
    <col min="6918" max="6918" width="8" bestFit="1" customWidth="1"/>
    <col min="6919" max="6919" width="10.7109375" bestFit="1" customWidth="1"/>
    <col min="6920" max="6920" width="6.5703125" bestFit="1" customWidth="1"/>
    <col min="6921" max="6922" width="8.42578125" bestFit="1" customWidth="1"/>
    <col min="6923" max="6924" width="8" bestFit="1" customWidth="1"/>
    <col min="6925" max="6926" width="7.7109375" bestFit="1" customWidth="1"/>
    <col min="6927" max="6927" width="6.85546875" customWidth="1"/>
    <col min="6928" max="6930" width="7.7109375" bestFit="1" customWidth="1"/>
    <col min="6931" max="6931" width="9.7109375" bestFit="1" customWidth="1"/>
    <col min="6932" max="6932" width="5.5703125" customWidth="1"/>
    <col min="6933" max="6933" width="9.7109375" bestFit="1" customWidth="1"/>
    <col min="6934" max="6934" width="5.5703125" customWidth="1"/>
    <col min="7171" max="7171" width="17.85546875" customWidth="1"/>
    <col min="7172" max="7172" width="10.7109375" bestFit="1" customWidth="1"/>
    <col min="7173" max="7173" width="8.42578125" bestFit="1" customWidth="1"/>
    <col min="7174" max="7174" width="8" bestFit="1" customWidth="1"/>
    <col min="7175" max="7175" width="10.7109375" bestFit="1" customWidth="1"/>
    <col min="7176" max="7176" width="6.5703125" bestFit="1" customWidth="1"/>
    <col min="7177" max="7178" width="8.42578125" bestFit="1" customWidth="1"/>
    <col min="7179" max="7180" width="8" bestFit="1" customWidth="1"/>
    <col min="7181" max="7182" width="7.7109375" bestFit="1" customWidth="1"/>
    <col min="7183" max="7183" width="6.85546875" customWidth="1"/>
    <col min="7184" max="7186" width="7.7109375" bestFit="1" customWidth="1"/>
    <col min="7187" max="7187" width="9.7109375" bestFit="1" customWidth="1"/>
    <col min="7188" max="7188" width="5.5703125" customWidth="1"/>
    <col min="7189" max="7189" width="9.7109375" bestFit="1" customWidth="1"/>
    <col min="7190" max="7190" width="5.5703125" customWidth="1"/>
    <col min="7427" max="7427" width="17.85546875" customWidth="1"/>
    <col min="7428" max="7428" width="10.7109375" bestFit="1" customWidth="1"/>
    <col min="7429" max="7429" width="8.42578125" bestFit="1" customWidth="1"/>
    <col min="7430" max="7430" width="8" bestFit="1" customWidth="1"/>
    <col min="7431" max="7431" width="10.7109375" bestFit="1" customWidth="1"/>
    <col min="7432" max="7432" width="6.5703125" bestFit="1" customWidth="1"/>
    <col min="7433" max="7434" width="8.42578125" bestFit="1" customWidth="1"/>
    <col min="7435" max="7436" width="8" bestFit="1" customWidth="1"/>
    <col min="7437" max="7438" width="7.7109375" bestFit="1" customWidth="1"/>
    <col min="7439" max="7439" width="6.85546875" customWidth="1"/>
    <col min="7440" max="7442" width="7.7109375" bestFit="1" customWidth="1"/>
    <col min="7443" max="7443" width="9.7109375" bestFit="1" customWidth="1"/>
    <col min="7444" max="7444" width="5.5703125" customWidth="1"/>
    <col min="7445" max="7445" width="9.7109375" bestFit="1" customWidth="1"/>
    <col min="7446" max="7446" width="5.5703125" customWidth="1"/>
    <col min="7683" max="7683" width="17.85546875" customWidth="1"/>
    <col min="7684" max="7684" width="10.7109375" bestFit="1" customWidth="1"/>
    <col min="7685" max="7685" width="8.42578125" bestFit="1" customWidth="1"/>
    <col min="7686" max="7686" width="8" bestFit="1" customWidth="1"/>
    <col min="7687" max="7687" width="10.7109375" bestFit="1" customWidth="1"/>
    <col min="7688" max="7688" width="6.5703125" bestFit="1" customWidth="1"/>
    <col min="7689" max="7690" width="8.42578125" bestFit="1" customWidth="1"/>
    <col min="7691" max="7692" width="8" bestFit="1" customWidth="1"/>
    <col min="7693" max="7694" width="7.7109375" bestFit="1" customWidth="1"/>
    <col min="7695" max="7695" width="6.85546875" customWidth="1"/>
    <col min="7696" max="7698" width="7.7109375" bestFit="1" customWidth="1"/>
    <col min="7699" max="7699" width="9.7109375" bestFit="1" customWidth="1"/>
    <col min="7700" max="7700" width="5.5703125" customWidth="1"/>
    <col min="7701" max="7701" width="9.7109375" bestFit="1" customWidth="1"/>
    <col min="7702" max="7702" width="5.5703125" customWidth="1"/>
    <col min="7939" max="7939" width="17.85546875" customWidth="1"/>
    <col min="7940" max="7940" width="10.7109375" bestFit="1" customWidth="1"/>
    <col min="7941" max="7941" width="8.42578125" bestFit="1" customWidth="1"/>
    <col min="7942" max="7942" width="8" bestFit="1" customWidth="1"/>
    <col min="7943" max="7943" width="10.7109375" bestFit="1" customWidth="1"/>
    <col min="7944" max="7944" width="6.5703125" bestFit="1" customWidth="1"/>
    <col min="7945" max="7946" width="8.42578125" bestFit="1" customWidth="1"/>
    <col min="7947" max="7948" width="8" bestFit="1" customWidth="1"/>
    <col min="7949" max="7950" width="7.7109375" bestFit="1" customWidth="1"/>
    <col min="7951" max="7951" width="6.85546875" customWidth="1"/>
    <col min="7952" max="7954" width="7.7109375" bestFit="1" customWidth="1"/>
    <col min="7955" max="7955" width="9.7109375" bestFit="1" customWidth="1"/>
    <col min="7956" max="7956" width="5.5703125" customWidth="1"/>
    <col min="7957" max="7957" width="9.7109375" bestFit="1" customWidth="1"/>
    <col min="7958" max="7958" width="5.5703125" customWidth="1"/>
    <col min="8195" max="8195" width="17.85546875" customWidth="1"/>
    <col min="8196" max="8196" width="10.7109375" bestFit="1" customWidth="1"/>
    <col min="8197" max="8197" width="8.42578125" bestFit="1" customWidth="1"/>
    <col min="8198" max="8198" width="8" bestFit="1" customWidth="1"/>
    <col min="8199" max="8199" width="10.7109375" bestFit="1" customWidth="1"/>
    <col min="8200" max="8200" width="6.5703125" bestFit="1" customWidth="1"/>
    <col min="8201" max="8202" width="8.42578125" bestFit="1" customWidth="1"/>
    <col min="8203" max="8204" width="8" bestFit="1" customWidth="1"/>
    <col min="8205" max="8206" width="7.7109375" bestFit="1" customWidth="1"/>
    <col min="8207" max="8207" width="6.85546875" customWidth="1"/>
    <col min="8208" max="8210" width="7.7109375" bestFit="1" customWidth="1"/>
    <col min="8211" max="8211" width="9.7109375" bestFit="1" customWidth="1"/>
    <col min="8212" max="8212" width="5.5703125" customWidth="1"/>
    <col min="8213" max="8213" width="9.7109375" bestFit="1" customWidth="1"/>
    <col min="8214" max="8214" width="5.5703125" customWidth="1"/>
    <col min="8451" max="8451" width="17.85546875" customWidth="1"/>
    <col min="8452" max="8452" width="10.7109375" bestFit="1" customWidth="1"/>
    <col min="8453" max="8453" width="8.42578125" bestFit="1" customWidth="1"/>
    <col min="8454" max="8454" width="8" bestFit="1" customWidth="1"/>
    <col min="8455" max="8455" width="10.7109375" bestFit="1" customWidth="1"/>
    <col min="8456" max="8456" width="6.5703125" bestFit="1" customWidth="1"/>
    <col min="8457" max="8458" width="8.42578125" bestFit="1" customWidth="1"/>
    <col min="8459" max="8460" width="8" bestFit="1" customWidth="1"/>
    <col min="8461" max="8462" width="7.7109375" bestFit="1" customWidth="1"/>
    <col min="8463" max="8463" width="6.85546875" customWidth="1"/>
    <col min="8464" max="8466" width="7.7109375" bestFit="1" customWidth="1"/>
    <col min="8467" max="8467" width="9.7109375" bestFit="1" customWidth="1"/>
    <col min="8468" max="8468" width="5.5703125" customWidth="1"/>
    <col min="8469" max="8469" width="9.7109375" bestFit="1" customWidth="1"/>
    <col min="8470" max="8470" width="5.5703125" customWidth="1"/>
    <col min="8707" max="8707" width="17.85546875" customWidth="1"/>
    <col min="8708" max="8708" width="10.7109375" bestFit="1" customWidth="1"/>
    <col min="8709" max="8709" width="8.42578125" bestFit="1" customWidth="1"/>
    <col min="8710" max="8710" width="8" bestFit="1" customWidth="1"/>
    <col min="8711" max="8711" width="10.7109375" bestFit="1" customWidth="1"/>
    <col min="8712" max="8712" width="6.5703125" bestFit="1" customWidth="1"/>
    <col min="8713" max="8714" width="8.42578125" bestFit="1" customWidth="1"/>
    <col min="8715" max="8716" width="8" bestFit="1" customWidth="1"/>
    <col min="8717" max="8718" width="7.7109375" bestFit="1" customWidth="1"/>
    <col min="8719" max="8719" width="6.85546875" customWidth="1"/>
    <col min="8720" max="8722" width="7.7109375" bestFit="1" customWidth="1"/>
    <col min="8723" max="8723" width="9.7109375" bestFit="1" customWidth="1"/>
    <col min="8724" max="8724" width="5.5703125" customWidth="1"/>
    <col min="8725" max="8725" width="9.7109375" bestFit="1" customWidth="1"/>
    <col min="8726" max="8726" width="5.5703125" customWidth="1"/>
    <col min="8963" max="8963" width="17.85546875" customWidth="1"/>
    <col min="8964" max="8964" width="10.7109375" bestFit="1" customWidth="1"/>
    <col min="8965" max="8965" width="8.42578125" bestFit="1" customWidth="1"/>
    <col min="8966" max="8966" width="8" bestFit="1" customWidth="1"/>
    <col min="8967" max="8967" width="10.7109375" bestFit="1" customWidth="1"/>
    <col min="8968" max="8968" width="6.5703125" bestFit="1" customWidth="1"/>
    <col min="8969" max="8970" width="8.42578125" bestFit="1" customWidth="1"/>
    <col min="8971" max="8972" width="8" bestFit="1" customWidth="1"/>
    <col min="8973" max="8974" width="7.7109375" bestFit="1" customWidth="1"/>
    <col min="8975" max="8975" width="6.85546875" customWidth="1"/>
    <col min="8976" max="8978" width="7.7109375" bestFit="1" customWidth="1"/>
    <col min="8979" max="8979" width="9.7109375" bestFit="1" customWidth="1"/>
    <col min="8980" max="8980" width="5.5703125" customWidth="1"/>
    <col min="8981" max="8981" width="9.7109375" bestFit="1" customWidth="1"/>
    <col min="8982" max="8982" width="5.5703125" customWidth="1"/>
    <col min="9219" max="9219" width="17.85546875" customWidth="1"/>
    <col min="9220" max="9220" width="10.7109375" bestFit="1" customWidth="1"/>
    <col min="9221" max="9221" width="8.42578125" bestFit="1" customWidth="1"/>
    <col min="9222" max="9222" width="8" bestFit="1" customWidth="1"/>
    <col min="9223" max="9223" width="10.7109375" bestFit="1" customWidth="1"/>
    <col min="9224" max="9224" width="6.5703125" bestFit="1" customWidth="1"/>
    <col min="9225" max="9226" width="8.42578125" bestFit="1" customWidth="1"/>
    <col min="9227" max="9228" width="8" bestFit="1" customWidth="1"/>
    <col min="9229" max="9230" width="7.7109375" bestFit="1" customWidth="1"/>
    <col min="9231" max="9231" width="6.85546875" customWidth="1"/>
    <col min="9232" max="9234" width="7.7109375" bestFit="1" customWidth="1"/>
    <col min="9235" max="9235" width="9.7109375" bestFit="1" customWidth="1"/>
    <col min="9236" max="9236" width="5.5703125" customWidth="1"/>
    <col min="9237" max="9237" width="9.7109375" bestFit="1" customWidth="1"/>
    <col min="9238" max="9238" width="5.5703125" customWidth="1"/>
    <col min="9475" max="9475" width="17.85546875" customWidth="1"/>
    <col min="9476" max="9476" width="10.7109375" bestFit="1" customWidth="1"/>
    <col min="9477" max="9477" width="8.42578125" bestFit="1" customWidth="1"/>
    <col min="9478" max="9478" width="8" bestFit="1" customWidth="1"/>
    <col min="9479" max="9479" width="10.7109375" bestFit="1" customWidth="1"/>
    <col min="9480" max="9480" width="6.5703125" bestFit="1" customWidth="1"/>
    <col min="9481" max="9482" width="8.42578125" bestFit="1" customWidth="1"/>
    <col min="9483" max="9484" width="8" bestFit="1" customWidth="1"/>
    <col min="9485" max="9486" width="7.7109375" bestFit="1" customWidth="1"/>
    <col min="9487" max="9487" width="6.85546875" customWidth="1"/>
    <col min="9488" max="9490" width="7.7109375" bestFit="1" customWidth="1"/>
    <col min="9491" max="9491" width="9.7109375" bestFit="1" customWidth="1"/>
    <col min="9492" max="9492" width="5.5703125" customWidth="1"/>
    <col min="9493" max="9493" width="9.7109375" bestFit="1" customWidth="1"/>
    <col min="9494" max="9494" width="5.5703125" customWidth="1"/>
    <col min="9731" max="9731" width="17.85546875" customWidth="1"/>
    <col min="9732" max="9732" width="10.7109375" bestFit="1" customWidth="1"/>
    <col min="9733" max="9733" width="8.42578125" bestFit="1" customWidth="1"/>
    <col min="9734" max="9734" width="8" bestFit="1" customWidth="1"/>
    <col min="9735" max="9735" width="10.7109375" bestFit="1" customWidth="1"/>
    <col min="9736" max="9736" width="6.5703125" bestFit="1" customWidth="1"/>
    <col min="9737" max="9738" width="8.42578125" bestFit="1" customWidth="1"/>
    <col min="9739" max="9740" width="8" bestFit="1" customWidth="1"/>
    <col min="9741" max="9742" width="7.7109375" bestFit="1" customWidth="1"/>
    <col min="9743" max="9743" width="6.85546875" customWidth="1"/>
    <col min="9744" max="9746" width="7.7109375" bestFit="1" customWidth="1"/>
    <col min="9747" max="9747" width="9.7109375" bestFit="1" customWidth="1"/>
    <col min="9748" max="9748" width="5.5703125" customWidth="1"/>
    <col min="9749" max="9749" width="9.7109375" bestFit="1" customWidth="1"/>
    <col min="9750" max="9750" width="5.5703125" customWidth="1"/>
    <col min="9987" max="9987" width="17.85546875" customWidth="1"/>
    <col min="9988" max="9988" width="10.7109375" bestFit="1" customWidth="1"/>
    <col min="9989" max="9989" width="8.42578125" bestFit="1" customWidth="1"/>
    <col min="9990" max="9990" width="8" bestFit="1" customWidth="1"/>
    <col min="9991" max="9991" width="10.7109375" bestFit="1" customWidth="1"/>
    <col min="9992" max="9992" width="6.5703125" bestFit="1" customWidth="1"/>
    <col min="9993" max="9994" width="8.42578125" bestFit="1" customWidth="1"/>
    <col min="9995" max="9996" width="8" bestFit="1" customWidth="1"/>
    <col min="9997" max="9998" width="7.7109375" bestFit="1" customWidth="1"/>
    <col min="9999" max="9999" width="6.85546875" customWidth="1"/>
    <col min="10000" max="10002" width="7.7109375" bestFit="1" customWidth="1"/>
    <col min="10003" max="10003" width="9.7109375" bestFit="1" customWidth="1"/>
    <col min="10004" max="10004" width="5.5703125" customWidth="1"/>
    <col min="10005" max="10005" width="9.7109375" bestFit="1" customWidth="1"/>
    <col min="10006" max="10006" width="5.5703125" customWidth="1"/>
    <col min="10243" max="10243" width="17.85546875" customWidth="1"/>
    <col min="10244" max="10244" width="10.7109375" bestFit="1" customWidth="1"/>
    <col min="10245" max="10245" width="8.42578125" bestFit="1" customWidth="1"/>
    <col min="10246" max="10246" width="8" bestFit="1" customWidth="1"/>
    <col min="10247" max="10247" width="10.7109375" bestFit="1" customWidth="1"/>
    <col min="10248" max="10248" width="6.5703125" bestFit="1" customWidth="1"/>
    <col min="10249" max="10250" width="8.42578125" bestFit="1" customWidth="1"/>
    <col min="10251" max="10252" width="8" bestFit="1" customWidth="1"/>
    <col min="10253" max="10254" width="7.7109375" bestFit="1" customWidth="1"/>
    <col min="10255" max="10255" width="6.85546875" customWidth="1"/>
    <col min="10256" max="10258" width="7.7109375" bestFit="1" customWidth="1"/>
    <col min="10259" max="10259" width="9.7109375" bestFit="1" customWidth="1"/>
    <col min="10260" max="10260" width="5.5703125" customWidth="1"/>
    <col min="10261" max="10261" width="9.7109375" bestFit="1" customWidth="1"/>
    <col min="10262" max="10262" width="5.5703125" customWidth="1"/>
    <col min="10499" max="10499" width="17.85546875" customWidth="1"/>
    <col min="10500" max="10500" width="10.7109375" bestFit="1" customWidth="1"/>
    <col min="10501" max="10501" width="8.42578125" bestFit="1" customWidth="1"/>
    <col min="10502" max="10502" width="8" bestFit="1" customWidth="1"/>
    <col min="10503" max="10503" width="10.7109375" bestFit="1" customWidth="1"/>
    <col min="10504" max="10504" width="6.5703125" bestFit="1" customWidth="1"/>
    <col min="10505" max="10506" width="8.42578125" bestFit="1" customWidth="1"/>
    <col min="10507" max="10508" width="8" bestFit="1" customWidth="1"/>
    <col min="10509" max="10510" width="7.7109375" bestFit="1" customWidth="1"/>
    <col min="10511" max="10511" width="6.85546875" customWidth="1"/>
    <col min="10512" max="10514" width="7.7109375" bestFit="1" customWidth="1"/>
    <col min="10515" max="10515" width="9.7109375" bestFit="1" customWidth="1"/>
    <col min="10516" max="10516" width="5.5703125" customWidth="1"/>
    <col min="10517" max="10517" width="9.7109375" bestFit="1" customWidth="1"/>
    <col min="10518" max="10518" width="5.5703125" customWidth="1"/>
    <col min="10755" max="10755" width="17.85546875" customWidth="1"/>
    <col min="10756" max="10756" width="10.7109375" bestFit="1" customWidth="1"/>
    <col min="10757" max="10757" width="8.42578125" bestFit="1" customWidth="1"/>
    <col min="10758" max="10758" width="8" bestFit="1" customWidth="1"/>
    <col min="10759" max="10759" width="10.7109375" bestFit="1" customWidth="1"/>
    <col min="10760" max="10760" width="6.5703125" bestFit="1" customWidth="1"/>
    <col min="10761" max="10762" width="8.42578125" bestFit="1" customWidth="1"/>
    <col min="10763" max="10764" width="8" bestFit="1" customWidth="1"/>
    <col min="10765" max="10766" width="7.7109375" bestFit="1" customWidth="1"/>
    <col min="10767" max="10767" width="6.85546875" customWidth="1"/>
    <col min="10768" max="10770" width="7.7109375" bestFit="1" customWidth="1"/>
    <col min="10771" max="10771" width="9.7109375" bestFit="1" customWidth="1"/>
    <col min="10772" max="10772" width="5.5703125" customWidth="1"/>
    <col min="10773" max="10773" width="9.7109375" bestFit="1" customWidth="1"/>
    <col min="10774" max="10774" width="5.5703125" customWidth="1"/>
    <col min="11011" max="11011" width="17.85546875" customWidth="1"/>
    <col min="11012" max="11012" width="10.7109375" bestFit="1" customWidth="1"/>
    <col min="11013" max="11013" width="8.42578125" bestFit="1" customWidth="1"/>
    <col min="11014" max="11014" width="8" bestFit="1" customWidth="1"/>
    <col min="11015" max="11015" width="10.7109375" bestFit="1" customWidth="1"/>
    <col min="11016" max="11016" width="6.5703125" bestFit="1" customWidth="1"/>
    <col min="11017" max="11018" width="8.42578125" bestFit="1" customWidth="1"/>
    <col min="11019" max="11020" width="8" bestFit="1" customWidth="1"/>
    <col min="11021" max="11022" width="7.7109375" bestFit="1" customWidth="1"/>
    <col min="11023" max="11023" width="6.85546875" customWidth="1"/>
    <col min="11024" max="11026" width="7.7109375" bestFit="1" customWidth="1"/>
    <col min="11027" max="11027" width="9.7109375" bestFit="1" customWidth="1"/>
    <col min="11028" max="11028" width="5.5703125" customWidth="1"/>
    <col min="11029" max="11029" width="9.7109375" bestFit="1" customWidth="1"/>
    <col min="11030" max="11030" width="5.5703125" customWidth="1"/>
    <col min="11267" max="11267" width="17.85546875" customWidth="1"/>
    <col min="11268" max="11268" width="10.7109375" bestFit="1" customWidth="1"/>
    <col min="11269" max="11269" width="8.42578125" bestFit="1" customWidth="1"/>
    <col min="11270" max="11270" width="8" bestFit="1" customWidth="1"/>
    <col min="11271" max="11271" width="10.7109375" bestFit="1" customWidth="1"/>
    <col min="11272" max="11272" width="6.5703125" bestFit="1" customWidth="1"/>
    <col min="11273" max="11274" width="8.42578125" bestFit="1" customWidth="1"/>
    <col min="11275" max="11276" width="8" bestFit="1" customWidth="1"/>
    <col min="11277" max="11278" width="7.7109375" bestFit="1" customWidth="1"/>
    <col min="11279" max="11279" width="6.85546875" customWidth="1"/>
    <col min="11280" max="11282" width="7.7109375" bestFit="1" customWidth="1"/>
    <col min="11283" max="11283" width="9.7109375" bestFit="1" customWidth="1"/>
    <col min="11284" max="11284" width="5.5703125" customWidth="1"/>
    <col min="11285" max="11285" width="9.7109375" bestFit="1" customWidth="1"/>
    <col min="11286" max="11286" width="5.5703125" customWidth="1"/>
    <col min="11523" max="11523" width="17.85546875" customWidth="1"/>
    <col min="11524" max="11524" width="10.7109375" bestFit="1" customWidth="1"/>
    <col min="11525" max="11525" width="8.42578125" bestFit="1" customWidth="1"/>
    <col min="11526" max="11526" width="8" bestFit="1" customWidth="1"/>
    <col min="11527" max="11527" width="10.7109375" bestFit="1" customWidth="1"/>
    <col min="11528" max="11528" width="6.5703125" bestFit="1" customWidth="1"/>
    <col min="11529" max="11530" width="8.42578125" bestFit="1" customWidth="1"/>
    <col min="11531" max="11532" width="8" bestFit="1" customWidth="1"/>
    <col min="11533" max="11534" width="7.7109375" bestFit="1" customWidth="1"/>
    <col min="11535" max="11535" width="6.85546875" customWidth="1"/>
    <col min="11536" max="11538" width="7.7109375" bestFit="1" customWidth="1"/>
    <col min="11539" max="11539" width="9.7109375" bestFit="1" customWidth="1"/>
    <col min="11540" max="11540" width="5.5703125" customWidth="1"/>
    <col min="11541" max="11541" width="9.7109375" bestFit="1" customWidth="1"/>
    <col min="11542" max="11542" width="5.5703125" customWidth="1"/>
    <col min="11779" max="11779" width="17.85546875" customWidth="1"/>
    <col min="11780" max="11780" width="10.7109375" bestFit="1" customWidth="1"/>
    <col min="11781" max="11781" width="8.42578125" bestFit="1" customWidth="1"/>
    <col min="11782" max="11782" width="8" bestFit="1" customWidth="1"/>
    <col min="11783" max="11783" width="10.7109375" bestFit="1" customWidth="1"/>
    <col min="11784" max="11784" width="6.5703125" bestFit="1" customWidth="1"/>
    <col min="11785" max="11786" width="8.42578125" bestFit="1" customWidth="1"/>
    <col min="11787" max="11788" width="8" bestFit="1" customWidth="1"/>
    <col min="11789" max="11790" width="7.7109375" bestFit="1" customWidth="1"/>
    <col min="11791" max="11791" width="6.85546875" customWidth="1"/>
    <col min="11792" max="11794" width="7.7109375" bestFit="1" customWidth="1"/>
    <col min="11795" max="11795" width="9.7109375" bestFit="1" customWidth="1"/>
    <col min="11796" max="11796" width="5.5703125" customWidth="1"/>
    <col min="11797" max="11797" width="9.7109375" bestFit="1" customWidth="1"/>
    <col min="11798" max="11798" width="5.5703125" customWidth="1"/>
    <col min="12035" max="12035" width="17.85546875" customWidth="1"/>
    <col min="12036" max="12036" width="10.7109375" bestFit="1" customWidth="1"/>
    <col min="12037" max="12037" width="8.42578125" bestFit="1" customWidth="1"/>
    <col min="12038" max="12038" width="8" bestFit="1" customWidth="1"/>
    <col min="12039" max="12039" width="10.7109375" bestFit="1" customWidth="1"/>
    <col min="12040" max="12040" width="6.5703125" bestFit="1" customWidth="1"/>
    <col min="12041" max="12042" width="8.42578125" bestFit="1" customWidth="1"/>
    <col min="12043" max="12044" width="8" bestFit="1" customWidth="1"/>
    <col min="12045" max="12046" width="7.7109375" bestFit="1" customWidth="1"/>
    <col min="12047" max="12047" width="6.85546875" customWidth="1"/>
    <col min="12048" max="12050" width="7.7109375" bestFit="1" customWidth="1"/>
    <col min="12051" max="12051" width="9.7109375" bestFit="1" customWidth="1"/>
    <col min="12052" max="12052" width="5.5703125" customWidth="1"/>
    <col min="12053" max="12053" width="9.7109375" bestFit="1" customWidth="1"/>
    <col min="12054" max="12054" width="5.5703125" customWidth="1"/>
    <col min="12291" max="12291" width="17.85546875" customWidth="1"/>
    <col min="12292" max="12292" width="10.7109375" bestFit="1" customWidth="1"/>
    <col min="12293" max="12293" width="8.42578125" bestFit="1" customWidth="1"/>
    <col min="12294" max="12294" width="8" bestFit="1" customWidth="1"/>
    <col min="12295" max="12295" width="10.7109375" bestFit="1" customWidth="1"/>
    <col min="12296" max="12296" width="6.5703125" bestFit="1" customWidth="1"/>
    <col min="12297" max="12298" width="8.42578125" bestFit="1" customWidth="1"/>
    <col min="12299" max="12300" width="8" bestFit="1" customWidth="1"/>
    <col min="12301" max="12302" width="7.7109375" bestFit="1" customWidth="1"/>
    <col min="12303" max="12303" width="6.85546875" customWidth="1"/>
    <col min="12304" max="12306" width="7.7109375" bestFit="1" customWidth="1"/>
    <col min="12307" max="12307" width="9.7109375" bestFit="1" customWidth="1"/>
    <col min="12308" max="12308" width="5.5703125" customWidth="1"/>
    <col min="12309" max="12309" width="9.7109375" bestFit="1" customWidth="1"/>
    <col min="12310" max="12310" width="5.5703125" customWidth="1"/>
    <col min="12547" max="12547" width="17.85546875" customWidth="1"/>
    <col min="12548" max="12548" width="10.7109375" bestFit="1" customWidth="1"/>
    <col min="12549" max="12549" width="8.42578125" bestFit="1" customWidth="1"/>
    <col min="12550" max="12550" width="8" bestFit="1" customWidth="1"/>
    <col min="12551" max="12551" width="10.7109375" bestFit="1" customWidth="1"/>
    <col min="12552" max="12552" width="6.5703125" bestFit="1" customWidth="1"/>
    <col min="12553" max="12554" width="8.42578125" bestFit="1" customWidth="1"/>
    <col min="12555" max="12556" width="8" bestFit="1" customWidth="1"/>
    <col min="12557" max="12558" width="7.7109375" bestFit="1" customWidth="1"/>
    <col min="12559" max="12559" width="6.85546875" customWidth="1"/>
    <col min="12560" max="12562" width="7.7109375" bestFit="1" customWidth="1"/>
    <col min="12563" max="12563" width="9.7109375" bestFit="1" customWidth="1"/>
    <col min="12564" max="12564" width="5.5703125" customWidth="1"/>
    <col min="12565" max="12565" width="9.7109375" bestFit="1" customWidth="1"/>
    <col min="12566" max="12566" width="5.5703125" customWidth="1"/>
    <col min="12803" max="12803" width="17.85546875" customWidth="1"/>
    <col min="12804" max="12804" width="10.7109375" bestFit="1" customWidth="1"/>
    <col min="12805" max="12805" width="8.42578125" bestFit="1" customWidth="1"/>
    <col min="12806" max="12806" width="8" bestFit="1" customWidth="1"/>
    <col min="12807" max="12807" width="10.7109375" bestFit="1" customWidth="1"/>
    <col min="12808" max="12808" width="6.5703125" bestFit="1" customWidth="1"/>
    <col min="12809" max="12810" width="8.42578125" bestFit="1" customWidth="1"/>
    <col min="12811" max="12812" width="8" bestFit="1" customWidth="1"/>
    <col min="12813" max="12814" width="7.7109375" bestFit="1" customWidth="1"/>
    <col min="12815" max="12815" width="6.85546875" customWidth="1"/>
    <col min="12816" max="12818" width="7.7109375" bestFit="1" customWidth="1"/>
    <col min="12819" max="12819" width="9.7109375" bestFit="1" customWidth="1"/>
    <col min="12820" max="12820" width="5.5703125" customWidth="1"/>
    <col min="12821" max="12821" width="9.7109375" bestFit="1" customWidth="1"/>
    <col min="12822" max="12822" width="5.5703125" customWidth="1"/>
    <col min="13059" max="13059" width="17.85546875" customWidth="1"/>
    <col min="13060" max="13060" width="10.7109375" bestFit="1" customWidth="1"/>
    <col min="13061" max="13061" width="8.42578125" bestFit="1" customWidth="1"/>
    <col min="13062" max="13062" width="8" bestFit="1" customWidth="1"/>
    <col min="13063" max="13063" width="10.7109375" bestFit="1" customWidth="1"/>
    <col min="13064" max="13064" width="6.5703125" bestFit="1" customWidth="1"/>
    <col min="13065" max="13066" width="8.42578125" bestFit="1" customWidth="1"/>
    <col min="13067" max="13068" width="8" bestFit="1" customWidth="1"/>
    <col min="13069" max="13070" width="7.7109375" bestFit="1" customWidth="1"/>
    <col min="13071" max="13071" width="6.85546875" customWidth="1"/>
    <col min="13072" max="13074" width="7.7109375" bestFit="1" customWidth="1"/>
    <col min="13075" max="13075" width="9.7109375" bestFit="1" customWidth="1"/>
    <col min="13076" max="13076" width="5.5703125" customWidth="1"/>
    <col min="13077" max="13077" width="9.7109375" bestFit="1" customWidth="1"/>
    <col min="13078" max="13078" width="5.5703125" customWidth="1"/>
    <col min="13315" max="13315" width="17.85546875" customWidth="1"/>
    <col min="13316" max="13316" width="10.7109375" bestFit="1" customWidth="1"/>
    <col min="13317" max="13317" width="8.42578125" bestFit="1" customWidth="1"/>
    <col min="13318" max="13318" width="8" bestFit="1" customWidth="1"/>
    <col min="13319" max="13319" width="10.7109375" bestFit="1" customWidth="1"/>
    <col min="13320" max="13320" width="6.5703125" bestFit="1" customWidth="1"/>
    <col min="13321" max="13322" width="8.42578125" bestFit="1" customWidth="1"/>
    <col min="13323" max="13324" width="8" bestFit="1" customWidth="1"/>
    <col min="13325" max="13326" width="7.7109375" bestFit="1" customWidth="1"/>
    <col min="13327" max="13327" width="6.85546875" customWidth="1"/>
    <col min="13328" max="13330" width="7.7109375" bestFit="1" customWidth="1"/>
    <col min="13331" max="13331" width="9.7109375" bestFit="1" customWidth="1"/>
    <col min="13332" max="13332" width="5.5703125" customWidth="1"/>
    <col min="13333" max="13333" width="9.7109375" bestFit="1" customWidth="1"/>
    <col min="13334" max="13334" width="5.5703125" customWidth="1"/>
    <col min="13571" max="13571" width="17.85546875" customWidth="1"/>
    <col min="13572" max="13572" width="10.7109375" bestFit="1" customWidth="1"/>
    <col min="13573" max="13573" width="8.42578125" bestFit="1" customWidth="1"/>
    <col min="13574" max="13574" width="8" bestFit="1" customWidth="1"/>
    <col min="13575" max="13575" width="10.7109375" bestFit="1" customWidth="1"/>
    <col min="13576" max="13576" width="6.5703125" bestFit="1" customWidth="1"/>
    <col min="13577" max="13578" width="8.42578125" bestFit="1" customWidth="1"/>
    <col min="13579" max="13580" width="8" bestFit="1" customWidth="1"/>
    <col min="13581" max="13582" width="7.7109375" bestFit="1" customWidth="1"/>
    <col min="13583" max="13583" width="6.85546875" customWidth="1"/>
    <col min="13584" max="13586" width="7.7109375" bestFit="1" customWidth="1"/>
    <col min="13587" max="13587" width="9.7109375" bestFit="1" customWidth="1"/>
    <col min="13588" max="13588" width="5.5703125" customWidth="1"/>
    <col min="13589" max="13589" width="9.7109375" bestFit="1" customWidth="1"/>
    <col min="13590" max="13590" width="5.5703125" customWidth="1"/>
    <col min="13827" max="13827" width="17.85546875" customWidth="1"/>
    <col min="13828" max="13828" width="10.7109375" bestFit="1" customWidth="1"/>
    <col min="13829" max="13829" width="8.42578125" bestFit="1" customWidth="1"/>
    <col min="13830" max="13830" width="8" bestFit="1" customWidth="1"/>
    <col min="13831" max="13831" width="10.7109375" bestFit="1" customWidth="1"/>
    <col min="13832" max="13832" width="6.5703125" bestFit="1" customWidth="1"/>
    <col min="13833" max="13834" width="8.42578125" bestFit="1" customWidth="1"/>
    <col min="13835" max="13836" width="8" bestFit="1" customWidth="1"/>
    <col min="13837" max="13838" width="7.7109375" bestFit="1" customWidth="1"/>
    <col min="13839" max="13839" width="6.85546875" customWidth="1"/>
    <col min="13840" max="13842" width="7.7109375" bestFit="1" customWidth="1"/>
    <col min="13843" max="13843" width="9.7109375" bestFit="1" customWidth="1"/>
    <col min="13844" max="13844" width="5.5703125" customWidth="1"/>
    <col min="13845" max="13845" width="9.7109375" bestFit="1" customWidth="1"/>
    <col min="13846" max="13846" width="5.5703125" customWidth="1"/>
    <col min="14083" max="14083" width="17.85546875" customWidth="1"/>
    <col min="14084" max="14084" width="10.7109375" bestFit="1" customWidth="1"/>
    <col min="14085" max="14085" width="8.42578125" bestFit="1" customWidth="1"/>
    <col min="14086" max="14086" width="8" bestFit="1" customWidth="1"/>
    <col min="14087" max="14087" width="10.7109375" bestFit="1" customWidth="1"/>
    <col min="14088" max="14088" width="6.5703125" bestFit="1" customWidth="1"/>
    <col min="14089" max="14090" width="8.42578125" bestFit="1" customWidth="1"/>
    <col min="14091" max="14092" width="8" bestFit="1" customWidth="1"/>
    <col min="14093" max="14094" width="7.7109375" bestFit="1" customWidth="1"/>
    <col min="14095" max="14095" width="6.85546875" customWidth="1"/>
    <col min="14096" max="14098" width="7.7109375" bestFit="1" customWidth="1"/>
    <col min="14099" max="14099" width="9.7109375" bestFit="1" customWidth="1"/>
    <col min="14100" max="14100" width="5.5703125" customWidth="1"/>
    <col min="14101" max="14101" width="9.7109375" bestFit="1" customWidth="1"/>
    <col min="14102" max="14102" width="5.5703125" customWidth="1"/>
    <col min="14339" max="14339" width="17.85546875" customWidth="1"/>
    <col min="14340" max="14340" width="10.7109375" bestFit="1" customWidth="1"/>
    <col min="14341" max="14341" width="8.42578125" bestFit="1" customWidth="1"/>
    <col min="14342" max="14342" width="8" bestFit="1" customWidth="1"/>
    <col min="14343" max="14343" width="10.7109375" bestFit="1" customWidth="1"/>
    <col min="14344" max="14344" width="6.5703125" bestFit="1" customWidth="1"/>
    <col min="14345" max="14346" width="8.42578125" bestFit="1" customWidth="1"/>
    <col min="14347" max="14348" width="8" bestFit="1" customWidth="1"/>
    <col min="14349" max="14350" width="7.7109375" bestFit="1" customWidth="1"/>
    <col min="14351" max="14351" width="6.85546875" customWidth="1"/>
    <col min="14352" max="14354" width="7.7109375" bestFit="1" customWidth="1"/>
    <col min="14355" max="14355" width="9.7109375" bestFit="1" customWidth="1"/>
    <col min="14356" max="14356" width="5.5703125" customWidth="1"/>
    <col min="14357" max="14357" width="9.7109375" bestFit="1" customWidth="1"/>
    <col min="14358" max="14358" width="5.5703125" customWidth="1"/>
    <col min="14595" max="14595" width="17.85546875" customWidth="1"/>
    <col min="14596" max="14596" width="10.7109375" bestFit="1" customWidth="1"/>
    <col min="14597" max="14597" width="8.42578125" bestFit="1" customWidth="1"/>
    <col min="14598" max="14598" width="8" bestFit="1" customWidth="1"/>
    <col min="14599" max="14599" width="10.7109375" bestFit="1" customWidth="1"/>
    <col min="14600" max="14600" width="6.5703125" bestFit="1" customWidth="1"/>
    <col min="14601" max="14602" width="8.42578125" bestFit="1" customWidth="1"/>
    <col min="14603" max="14604" width="8" bestFit="1" customWidth="1"/>
    <col min="14605" max="14606" width="7.7109375" bestFit="1" customWidth="1"/>
    <col min="14607" max="14607" width="6.85546875" customWidth="1"/>
    <col min="14608" max="14610" width="7.7109375" bestFit="1" customWidth="1"/>
    <col min="14611" max="14611" width="9.7109375" bestFit="1" customWidth="1"/>
    <col min="14612" max="14612" width="5.5703125" customWidth="1"/>
    <col min="14613" max="14613" width="9.7109375" bestFit="1" customWidth="1"/>
    <col min="14614" max="14614" width="5.5703125" customWidth="1"/>
    <col min="14851" max="14851" width="17.85546875" customWidth="1"/>
    <col min="14852" max="14852" width="10.7109375" bestFit="1" customWidth="1"/>
    <col min="14853" max="14853" width="8.42578125" bestFit="1" customWidth="1"/>
    <col min="14854" max="14854" width="8" bestFit="1" customWidth="1"/>
    <col min="14855" max="14855" width="10.7109375" bestFit="1" customWidth="1"/>
    <col min="14856" max="14856" width="6.5703125" bestFit="1" customWidth="1"/>
    <col min="14857" max="14858" width="8.42578125" bestFit="1" customWidth="1"/>
    <col min="14859" max="14860" width="8" bestFit="1" customWidth="1"/>
    <col min="14861" max="14862" width="7.7109375" bestFit="1" customWidth="1"/>
    <col min="14863" max="14863" width="6.85546875" customWidth="1"/>
    <col min="14864" max="14866" width="7.7109375" bestFit="1" customWidth="1"/>
    <col min="14867" max="14867" width="9.7109375" bestFit="1" customWidth="1"/>
    <col min="14868" max="14868" width="5.5703125" customWidth="1"/>
    <col min="14869" max="14869" width="9.7109375" bestFit="1" customWidth="1"/>
    <col min="14870" max="14870" width="5.5703125" customWidth="1"/>
    <col min="15107" max="15107" width="17.85546875" customWidth="1"/>
    <col min="15108" max="15108" width="10.7109375" bestFit="1" customWidth="1"/>
    <col min="15109" max="15109" width="8.42578125" bestFit="1" customWidth="1"/>
    <col min="15110" max="15110" width="8" bestFit="1" customWidth="1"/>
    <col min="15111" max="15111" width="10.7109375" bestFit="1" customWidth="1"/>
    <col min="15112" max="15112" width="6.5703125" bestFit="1" customWidth="1"/>
    <col min="15113" max="15114" width="8.42578125" bestFit="1" customWidth="1"/>
    <col min="15115" max="15116" width="8" bestFit="1" customWidth="1"/>
    <col min="15117" max="15118" width="7.7109375" bestFit="1" customWidth="1"/>
    <col min="15119" max="15119" width="6.85546875" customWidth="1"/>
    <col min="15120" max="15122" width="7.7109375" bestFit="1" customWidth="1"/>
    <col min="15123" max="15123" width="9.7109375" bestFit="1" customWidth="1"/>
    <col min="15124" max="15124" width="5.5703125" customWidth="1"/>
    <col min="15125" max="15125" width="9.7109375" bestFit="1" customWidth="1"/>
    <col min="15126" max="15126" width="5.5703125" customWidth="1"/>
    <col min="15363" max="15363" width="17.85546875" customWidth="1"/>
    <col min="15364" max="15364" width="10.7109375" bestFit="1" customWidth="1"/>
    <col min="15365" max="15365" width="8.42578125" bestFit="1" customWidth="1"/>
    <col min="15366" max="15366" width="8" bestFit="1" customWidth="1"/>
    <col min="15367" max="15367" width="10.7109375" bestFit="1" customWidth="1"/>
    <col min="15368" max="15368" width="6.5703125" bestFit="1" customWidth="1"/>
    <col min="15369" max="15370" width="8.42578125" bestFit="1" customWidth="1"/>
    <col min="15371" max="15372" width="8" bestFit="1" customWidth="1"/>
    <col min="15373" max="15374" width="7.7109375" bestFit="1" customWidth="1"/>
    <col min="15375" max="15375" width="6.85546875" customWidth="1"/>
    <col min="15376" max="15378" width="7.7109375" bestFit="1" customWidth="1"/>
    <col min="15379" max="15379" width="9.7109375" bestFit="1" customWidth="1"/>
    <col min="15380" max="15380" width="5.5703125" customWidth="1"/>
    <col min="15381" max="15381" width="9.7109375" bestFit="1" customWidth="1"/>
    <col min="15382" max="15382" width="5.5703125" customWidth="1"/>
    <col min="15619" max="15619" width="17.85546875" customWidth="1"/>
    <col min="15620" max="15620" width="10.7109375" bestFit="1" customWidth="1"/>
    <col min="15621" max="15621" width="8.42578125" bestFit="1" customWidth="1"/>
    <col min="15622" max="15622" width="8" bestFit="1" customWidth="1"/>
    <col min="15623" max="15623" width="10.7109375" bestFit="1" customWidth="1"/>
    <col min="15624" max="15624" width="6.5703125" bestFit="1" customWidth="1"/>
    <col min="15625" max="15626" width="8.42578125" bestFit="1" customWidth="1"/>
    <col min="15627" max="15628" width="8" bestFit="1" customWidth="1"/>
    <col min="15629" max="15630" width="7.7109375" bestFit="1" customWidth="1"/>
    <col min="15631" max="15631" width="6.85546875" customWidth="1"/>
    <col min="15632" max="15634" width="7.7109375" bestFit="1" customWidth="1"/>
    <col min="15635" max="15635" width="9.7109375" bestFit="1" customWidth="1"/>
    <col min="15636" max="15636" width="5.5703125" customWidth="1"/>
    <col min="15637" max="15637" width="9.7109375" bestFit="1" customWidth="1"/>
    <col min="15638" max="15638" width="5.5703125" customWidth="1"/>
    <col min="15875" max="15875" width="17.85546875" customWidth="1"/>
    <col min="15876" max="15876" width="10.7109375" bestFit="1" customWidth="1"/>
    <col min="15877" max="15877" width="8.42578125" bestFit="1" customWidth="1"/>
    <col min="15878" max="15878" width="8" bestFit="1" customWidth="1"/>
    <col min="15879" max="15879" width="10.7109375" bestFit="1" customWidth="1"/>
    <col min="15880" max="15880" width="6.5703125" bestFit="1" customWidth="1"/>
    <col min="15881" max="15882" width="8.42578125" bestFit="1" customWidth="1"/>
    <col min="15883" max="15884" width="8" bestFit="1" customWidth="1"/>
    <col min="15885" max="15886" width="7.7109375" bestFit="1" customWidth="1"/>
    <col min="15887" max="15887" width="6.85546875" customWidth="1"/>
    <col min="15888" max="15890" width="7.7109375" bestFit="1" customWidth="1"/>
    <col min="15891" max="15891" width="9.7109375" bestFit="1" customWidth="1"/>
    <col min="15892" max="15892" width="5.5703125" customWidth="1"/>
    <col min="15893" max="15893" width="9.7109375" bestFit="1" customWidth="1"/>
    <col min="15894" max="15894" width="5.5703125" customWidth="1"/>
    <col min="16131" max="16131" width="17.85546875" customWidth="1"/>
    <col min="16132" max="16132" width="10.7109375" bestFit="1" customWidth="1"/>
    <col min="16133" max="16133" width="8.42578125" bestFit="1" customWidth="1"/>
    <col min="16134" max="16134" width="8" bestFit="1" customWidth="1"/>
    <col min="16135" max="16135" width="10.7109375" bestFit="1" customWidth="1"/>
    <col min="16136" max="16136" width="6.5703125" bestFit="1" customWidth="1"/>
    <col min="16137" max="16138" width="8.42578125" bestFit="1" customWidth="1"/>
    <col min="16139" max="16140" width="8" bestFit="1" customWidth="1"/>
    <col min="16141" max="16142" width="7.7109375" bestFit="1" customWidth="1"/>
    <col min="16143" max="16143" width="6.85546875" customWidth="1"/>
    <col min="16144" max="16146" width="7.7109375" bestFit="1" customWidth="1"/>
    <col min="16147" max="16147" width="9.7109375" bestFit="1" customWidth="1"/>
    <col min="16148" max="16148" width="5.5703125" customWidth="1"/>
    <col min="16149" max="16149" width="9.7109375" bestFit="1" customWidth="1"/>
    <col min="16150" max="16150" width="5.5703125" customWidth="1"/>
  </cols>
  <sheetData>
    <row r="1" spans="1:22" ht="13.5" thickBot="1">
      <c r="A1" s="734"/>
      <c r="B1" s="739"/>
      <c r="C1" s="739"/>
      <c r="D1" s="739"/>
      <c r="E1" s="739"/>
      <c r="F1" s="739"/>
      <c r="G1" s="739"/>
      <c r="H1" s="739"/>
      <c r="I1" s="739"/>
      <c r="J1" s="739"/>
      <c r="K1" s="739"/>
      <c r="L1" s="739"/>
      <c r="M1" s="739"/>
      <c r="N1" s="739"/>
      <c r="O1" s="739"/>
      <c r="P1" s="739"/>
      <c r="Q1" s="739"/>
      <c r="R1" s="739"/>
      <c r="S1" s="739"/>
      <c r="T1" s="739"/>
      <c r="U1" s="739"/>
      <c r="V1" s="925"/>
    </row>
    <row r="2" spans="1:22" ht="13.5">
      <c r="A2" s="924"/>
      <c r="B2" s="623" t="s">
        <v>395</v>
      </c>
      <c r="C2" s="623"/>
      <c r="D2" s="686"/>
      <c r="E2" s="664" t="s">
        <v>396</v>
      </c>
      <c r="F2" s="681" t="s">
        <v>45</v>
      </c>
      <c r="G2" s="664" t="s">
        <v>46</v>
      </c>
      <c r="H2" s="664" t="s">
        <v>46</v>
      </c>
      <c r="I2" s="664" t="s">
        <v>398</v>
      </c>
      <c r="J2" s="664" t="s">
        <v>398</v>
      </c>
      <c r="K2" s="664" t="s">
        <v>399</v>
      </c>
      <c r="L2" s="664" t="str">
        <f>K2</f>
        <v>DSAM300</v>
      </c>
      <c r="M2" s="664" t="s">
        <v>449</v>
      </c>
      <c r="N2" s="664" t="str">
        <f>M2</f>
        <v>DSAE670</v>
      </c>
      <c r="O2" s="664" t="s">
        <v>450</v>
      </c>
      <c r="P2" s="664" t="str">
        <f>O2</f>
        <v>DSAE671</v>
      </c>
      <c r="Q2" s="664" t="s">
        <v>151</v>
      </c>
      <c r="R2" s="664" t="str">
        <f>Q2</f>
        <v>DSAE601</v>
      </c>
      <c r="S2" s="664" t="s">
        <v>48</v>
      </c>
      <c r="T2" s="681" t="s">
        <v>49</v>
      </c>
      <c r="U2" s="664" t="s">
        <v>48</v>
      </c>
      <c r="V2" s="672" t="s">
        <v>49</v>
      </c>
    </row>
    <row r="3" spans="1:22" ht="14.25" thickBot="1">
      <c r="A3" s="804"/>
      <c r="B3" s="665" t="s">
        <v>51</v>
      </c>
      <c r="C3" s="665" t="s">
        <v>50</v>
      </c>
      <c r="D3" s="682" t="s">
        <v>49</v>
      </c>
      <c r="E3" s="665" t="s">
        <v>51</v>
      </c>
      <c r="F3" s="682" t="s">
        <v>52</v>
      </c>
      <c r="G3" s="665" t="s">
        <v>373</v>
      </c>
      <c r="H3" s="665" t="s">
        <v>374</v>
      </c>
      <c r="I3" s="665" t="str">
        <f>G3</f>
        <v>2011-12</v>
      </c>
      <c r="J3" s="665" t="str">
        <f>H3</f>
        <v>2012-13</v>
      </c>
      <c r="K3" s="665" t="str">
        <f>I3</f>
        <v>2011-12</v>
      </c>
      <c r="L3" s="665" t="str">
        <f>J3</f>
        <v>2012-13</v>
      </c>
      <c r="M3" s="665" t="s">
        <v>373</v>
      </c>
      <c r="N3" s="665" t="s">
        <v>374</v>
      </c>
      <c r="O3" s="665" t="s">
        <v>373</v>
      </c>
      <c r="P3" s="665" t="s">
        <v>374</v>
      </c>
      <c r="Q3" s="665" t="s">
        <v>373</v>
      </c>
      <c r="R3" s="665" t="s">
        <v>374</v>
      </c>
      <c r="S3" s="665" t="str">
        <f>G3</f>
        <v>2011-12</v>
      </c>
      <c r="T3" s="682"/>
      <c r="U3" s="665" t="str">
        <f>R3</f>
        <v>2012-13</v>
      </c>
      <c r="V3" s="673"/>
    </row>
    <row r="4" spans="1:22" ht="13.5">
      <c r="A4" s="8" t="s">
        <v>487</v>
      </c>
      <c r="B4" s="790"/>
      <c r="C4" s="790"/>
      <c r="D4" s="790"/>
      <c r="E4" s="790"/>
      <c r="F4" s="790"/>
      <c r="G4" s="790"/>
      <c r="H4" s="790"/>
      <c r="I4" s="790"/>
      <c r="J4" s="790"/>
      <c r="K4" s="790"/>
      <c r="L4" s="790"/>
      <c r="M4" s="790"/>
      <c r="N4" s="790"/>
      <c r="O4" s="790"/>
      <c r="P4" s="790"/>
      <c r="Q4" s="790"/>
      <c r="R4" s="790"/>
      <c r="S4" s="790"/>
      <c r="T4" s="790"/>
      <c r="U4" s="790"/>
      <c r="V4" s="791"/>
    </row>
    <row r="5" spans="1:22" ht="13.5">
      <c r="A5" s="8" t="s">
        <v>405</v>
      </c>
      <c r="B5" s="799">
        <v>21170456</v>
      </c>
      <c r="C5" s="799">
        <v>21170456</v>
      </c>
      <c r="D5" s="793">
        <f>ROUND(C5/B5-1,4)</f>
        <v>0</v>
      </c>
      <c r="E5" s="799">
        <v>22673833</v>
      </c>
      <c r="F5" s="793">
        <f>ROUND(E5/C5-1,4)</f>
        <v>7.0999999999999994E-2</v>
      </c>
      <c r="G5" s="792">
        <f>ROUND(((C5*1.02)*1)/C10*G10,0)</f>
        <v>22918550</v>
      </c>
      <c r="H5" s="792">
        <f>ROUND(G5*1.02,0)</f>
        <v>23376921</v>
      </c>
      <c r="I5" s="792">
        <f>G5/G10*I11-G5</f>
        <v>-4600849.9907522686</v>
      </c>
      <c r="J5" s="792">
        <f>H5/H10*J11-H5</f>
        <v>-4255153.4573699124</v>
      </c>
      <c r="K5" s="792">
        <f>ROUND((G5+I5)*M300SAL!D83,0)</f>
        <v>108428</v>
      </c>
      <c r="L5" s="792">
        <f>ROUND((H5+J5)*M300SAL!G83,0)</f>
        <v>113413</v>
      </c>
      <c r="M5" s="792">
        <f>ROUND((G5+I5+K5)*DSADATABASE!J28-(G5+I5+K5),0)</f>
        <v>-460653</v>
      </c>
      <c r="N5" s="792">
        <f>ROUND((H5+J5+L5)*DSADATABASE!J28*DSADATABASE!K28-('Adult Ed'!H5+'Adult Ed'!J5+L5),0)</f>
        <v>-480880</v>
      </c>
      <c r="O5" s="792">
        <f>ROUND((G5+I5+M5+K5)/1-(G5+I5+M5+K5),0)</f>
        <v>0</v>
      </c>
      <c r="P5" s="792">
        <f>ROUND((H5+J5+N5+L5)/1/1-(H5+J5+N5+L5),0)</f>
        <v>0</v>
      </c>
      <c r="Q5" s="792">
        <f>ROUND((G5+I5+M5+O5+K5)*0.946925-('Adult Ed'!G5+'Adult Ed'!I5+'Adult Ed'!M5+'Adult Ed'!O5+K5),0)</f>
        <v>-953518</v>
      </c>
      <c r="R5" s="792">
        <f>ROUND((H5+J5+N5+P5+L5)*0.946925-('Adult Ed'!H5+'Adult Ed'!J5+'Adult Ed'!N5+'Adult Ed'!P5+L5),0)</f>
        <v>-995385</v>
      </c>
      <c r="S5" s="792">
        <f>G5+I5+K5+M5+O5+Q5</f>
        <v>17011957.009247731</v>
      </c>
      <c r="T5" s="793">
        <f>ROUND(S5/C5,4)-1</f>
        <v>-0.19640000000000002</v>
      </c>
      <c r="U5" s="792">
        <f>H5+J5+L5+N5+P5+R5</f>
        <v>17758915.542630088</v>
      </c>
      <c r="V5" s="794">
        <f>ROUND(U5/S5-1,4)</f>
        <v>4.3900000000000002E-2</v>
      </c>
    </row>
    <row r="6" spans="1:22">
      <c r="A6" s="789"/>
      <c r="B6" s="790"/>
      <c r="C6" s="790"/>
      <c r="D6" s="790"/>
      <c r="E6" s="790"/>
      <c r="F6" s="790"/>
      <c r="G6" s="790"/>
      <c r="H6" s="790"/>
      <c r="I6" s="790"/>
      <c r="J6" s="790"/>
      <c r="K6" s="790"/>
      <c r="L6" s="790"/>
      <c r="M6" s="790"/>
      <c r="N6" s="790"/>
      <c r="O6" s="790"/>
      <c r="P6" s="790"/>
      <c r="Q6" s="790"/>
      <c r="R6" s="790"/>
      <c r="S6" s="790"/>
      <c r="T6" s="790"/>
      <c r="U6" s="790"/>
      <c r="V6" s="791"/>
    </row>
    <row r="7" spans="1:22">
      <c r="A7" s="789"/>
      <c r="B7" s="790"/>
      <c r="C7" s="809" t="s">
        <v>606</v>
      </c>
      <c r="D7" s="809"/>
      <c r="E7" s="809" t="s">
        <v>607</v>
      </c>
      <c r="F7" s="809"/>
      <c r="G7" s="809"/>
      <c r="H7" s="809"/>
      <c r="I7" s="809" t="s">
        <v>494</v>
      </c>
      <c r="J7" s="809" t="s">
        <v>495</v>
      </c>
      <c r="K7" s="790"/>
      <c r="L7" s="790"/>
      <c r="M7" s="790"/>
      <c r="N7" s="790"/>
      <c r="O7" s="790"/>
      <c r="P7" s="790"/>
      <c r="Q7" s="790"/>
      <c r="R7" s="790"/>
      <c r="S7" s="790"/>
      <c r="T7" s="790"/>
      <c r="U7" s="790"/>
      <c r="V7" s="791"/>
    </row>
    <row r="8" spans="1:22" ht="13.5">
      <c r="A8" s="795" t="s">
        <v>488</v>
      </c>
      <c r="B8" s="790"/>
      <c r="C8" s="800">
        <f>25365+B33</f>
        <v>25316.436812574488</v>
      </c>
      <c r="D8" s="790"/>
      <c r="E8" s="800">
        <f>27093+C33</f>
        <v>27016.054627233127</v>
      </c>
      <c r="F8" s="790"/>
      <c r="G8" s="790"/>
      <c r="H8" s="790"/>
      <c r="I8" s="800">
        <f>I17</f>
        <v>21513</v>
      </c>
      <c r="J8" s="800">
        <f>K17</f>
        <v>22092</v>
      </c>
      <c r="K8" s="800"/>
      <c r="L8" s="800"/>
      <c r="M8" s="790"/>
      <c r="N8" s="790"/>
      <c r="O8" s="790"/>
      <c r="P8" s="790"/>
      <c r="Q8" s="790"/>
      <c r="R8" s="790"/>
      <c r="S8" s="790"/>
      <c r="T8" s="790"/>
      <c r="U8" s="790"/>
      <c r="V8" s="791"/>
    </row>
    <row r="9" spans="1:22" ht="13.5">
      <c r="A9" s="795" t="s">
        <v>489</v>
      </c>
      <c r="B9" s="790"/>
      <c r="C9" s="800">
        <v>5731</v>
      </c>
      <c r="D9" s="790"/>
      <c r="E9" s="800">
        <v>5936</v>
      </c>
      <c r="F9" s="790"/>
      <c r="G9" s="790"/>
      <c r="H9" s="790"/>
      <c r="I9" s="800">
        <f>I16</f>
        <v>4824</v>
      </c>
      <c r="J9" s="800">
        <f>K16</f>
        <v>4862</v>
      </c>
      <c r="K9" s="800"/>
      <c r="L9" s="800"/>
      <c r="M9" s="790"/>
      <c r="N9" s="790"/>
      <c r="O9" s="790"/>
      <c r="P9" s="790"/>
      <c r="Q9" s="790"/>
      <c r="R9" s="790"/>
      <c r="S9" s="790"/>
      <c r="T9" s="790"/>
      <c r="U9" s="790"/>
      <c r="V9" s="791"/>
    </row>
    <row r="10" spans="1:22" ht="13.5">
      <c r="A10" s="795" t="s">
        <v>490</v>
      </c>
      <c r="B10" s="790"/>
      <c r="C10" s="800">
        <f>SUM(C8:C9)</f>
        <v>31047.436812574488</v>
      </c>
      <c r="D10" s="790"/>
      <c r="E10" s="800">
        <f>SUM(E8:E9)</f>
        <v>32952.054627233127</v>
      </c>
      <c r="F10" s="790"/>
      <c r="G10" s="621">
        <f>+E10</f>
        <v>32952.054627233127</v>
      </c>
      <c r="H10" s="621">
        <f>+E10</f>
        <v>32952.054627233127</v>
      </c>
      <c r="I10" s="800">
        <f>+I11-G10</f>
        <v>-6615.0546272331267</v>
      </c>
      <c r="J10" s="800">
        <f>+J11-H10</f>
        <v>-5998.0546272331267</v>
      </c>
      <c r="K10" s="800"/>
      <c r="L10" s="800"/>
      <c r="M10" s="790"/>
      <c r="N10" s="790"/>
      <c r="O10" s="790"/>
      <c r="P10" s="790"/>
      <c r="Q10" s="790"/>
      <c r="R10" s="790"/>
      <c r="S10" s="790"/>
      <c r="T10" s="790"/>
      <c r="U10" s="790"/>
      <c r="V10" s="791"/>
    </row>
    <row r="11" spans="1:22" ht="13.5">
      <c r="A11" s="795" t="s">
        <v>491</v>
      </c>
      <c r="B11" s="790"/>
      <c r="C11" s="621"/>
      <c r="D11" s="790"/>
      <c r="E11" s="790"/>
      <c r="F11" s="790"/>
      <c r="G11" s="621"/>
      <c r="H11" s="621"/>
      <c r="I11" s="621">
        <f>+I8+I9</f>
        <v>26337</v>
      </c>
      <c r="J11" s="621">
        <f>+J8+J9</f>
        <v>26954</v>
      </c>
      <c r="K11" s="621"/>
      <c r="L11" s="621"/>
      <c r="M11" s="790"/>
      <c r="N11" s="790"/>
      <c r="O11" s="790"/>
      <c r="P11" s="790"/>
      <c r="Q11" s="790"/>
      <c r="R11" s="790"/>
      <c r="S11" s="790"/>
      <c r="T11" s="790"/>
      <c r="U11" s="790"/>
      <c r="V11" s="791"/>
    </row>
    <row r="12" spans="1:22">
      <c r="A12" s="789"/>
      <c r="B12" s="790"/>
      <c r="C12" s="790"/>
      <c r="D12" s="790"/>
      <c r="E12" s="790"/>
      <c r="F12" s="790"/>
      <c r="G12" s="790"/>
      <c r="H12" s="790"/>
      <c r="I12" s="790"/>
      <c r="J12" s="790"/>
      <c r="K12" s="790"/>
      <c r="L12" s="790"/>
      <c r="M12" s="790"/>
      <c r="N12" s="790"/>
      <c r="O12" s="790"/>
      <c r="P12" s="790"/>
      <c r="Q12" s="790"/>
      <c r="R12" s="790"/>
      <c r="S12" s="790"/>
      <c r="T12" s="790"/>
      <c r="U12" s="790"/>
      <c r="V12" s="791"/>
    </row>
    <row r="13" spans="1:22" ht="13.5">
      <c r="A13" s="795" t="s">
        <v>604</v>
      </c>
      <c r="B13" s="790"/>
      <c r="C13" s="790"/>
      <c r="D13" s="790"/>
      <c r="E13" s="790"/>
      <c r="F13" s="790"/>
      <c r="G13" s="790"/>
      <c r="H13" s="790"/>
      <c r="I13" s="790"/>
      <c r="J13" s="790"/>
      <c r="K13" s="790"/>
      <c r="L13" s="790"/>
      <c r="M13" s="790"/>
      <c r="N13" s="790"/>
      <c r="O13" s="790"/>
      <c r="P13" s="790"/>
      <c r="Q13" s="790"/>
      <c r="R13" s="790"/>
      <c r="S13" s="790"/>
      <c r="T13" s="790"/>
      <c r="U13" s="790"/>
      <c r="V13" s="791"/>
    </row>
    <row r="14" spans="1:22" ht="13.5">
      <c r="A14" s="789"/>
      <c r="B14" s="790"/>
      <c r="C14" s="790"/>
      <c r="D14" s="790"/>
      <c r="E14" s="790"/>
      <c r="F14" s="790"/>
      <c r="G14" s="802" t="s">
        <v>105</v>
      </c>
      <c r="H14" s="802"/>
      <c r="I14" s="802" t="s">
        <v>105</v>
      </c>
      <c r="J14" s="802"/>
      <c r="K14" s="802" t="s">
        <v>105</v>
      </c>
      <c r="L14" s="790"/>
      <c r="M14" s="790"/>
      <c r="N14" s="790"/>
      <c r="O14" s="790"/>
      <c r="P14" s="790"/>
      <c r="Q14" s="790"/>
      <c r="R14" s="790"/>
      <c r="S14" s="790"/>
      <c r="T14" s="790"/>
      <c r="U14" s="790"/>
      <c r="V14" s="791"/>
    </row>
    <row r="15" spans="1:22" ht="13.5">
      <c r="A15" s="795"/>
      <c r="B15" s="790"/>
      <c r="C15" s="790"/>
      <c r="D15" s="790"/>
      <c r="E15" s="802" t="s">
        <v>605</v>
      </c>
      <c r="G15" s="802" t="s">
        <v>316</v>
      </c>
      <c r="H15" s="802"/>
      <c r="I15" s="802" t="s">
        <v>494</v>
      </c>
      <c r="J15" s="802"/>
      <c r="K15" s="802" t="s">
        <v>495</v>
      </c>
      <c r="L15" s="790"/>
      <c r="M15" s="790"/>
      <c r="N15" s="790"/>
      <c r="O15" s="790"/>
      <c r="P15" s="790"/>
      <c r="Q15" s="790"/>
      <c r="R15" s="790"/>
      <c r="S15" s="790"/>
      <c r="T15" s="790"/>
      <c r="U15" s="790"/>
      <c r="V15" s="791"/>
    </row>
    <row r="16" spans="1:22" ht="13.5">
      <c r="A16" s="789"/>
      <c r="B16" s="621" t="s">
        <v>492</v>
      </c>
      <c r="C16" s="801">
        <v>7.7999999999999996E-3</v>
      </c>
      <c r="D16" s="790"/>
      <c r="E16" s="803">
        <v>4750</v>
      </c>
      <c r="F16" s="790"/>
      <c r="G16" s="803">
        <f>ROUND(E16+(E16*$C16),0)</f>
        <v>4787</v>
      </c>
      <c r="H16" s="803"/>
      <c r="I16" s="803">
        <f>ROUND(G16+(G16*$C16),0)</f>
        <v>4824</v>
      </c>
      <c r="J16" s="803"/>
      <c r="K16" s="803">
        <f>ROUND(I16+(I16*$C16),0)</f>
        <v>4862</v>
      </c>
      <c r="L16" s="790"/>
      <c r="M16" s="790"/>
      <c r="N16" s="790"/>
      <c r="O16" s="790"/>
      <c r="P16" s="790"/>
      <c r="Q16" s="790"/>
      <c r="R16" s="790"/>
      <c r="S16" s="790"/>
      <c r="T16" s="790"/>
      <c r="U16" s="790"/>
      <c r="V16" s="791"/>
    </row>
    <row r="17" spans="1:22" ht="13.5">
      <c r="A17" s="789"/>
      <c r="B17" s="621" t="s">
        <v>493</v>
      </c>
      <c r="C17" s="801">
        <v>2.69E-2</v>
      </c>
      <c r="D17" s="790"/>
      <c r="E17" s="803">
        <v>20400</v>
      </c>
      <c r="F17" s="790"/>
      <c r="G17" s="803">
        <f t="shared" ref="G17" si="0">ROUND(E17+(E17*$C17),0)</f>
        <v>20949</v>
      </c>
      <c r="H17" s="803"/>
      <c r="I17" s="803">
        <f t="shared" ref="I17" si="1">ROUND(G17+(G17*$C17),0)</f>
        <v>21513</v>
      </c>
      <c r="J17" s="803"/>
      <c r="K17" s="803">
        <f t="shared" ref="K17" si="2">ROUND(I17+(I17*$C17),0)</f>
        <v>22092</v>
      </c>
      <c r="L17" s="790"/>
      <c r="M17" s="790"/>
      <c r="N17" s="790"/>
      <c r="O17" s="790"/>
      <c r="P17" s="790"/>
      <c r="Q17" s="790"/>
      <c r="R17" s="790"/>
      <c r="S17" s="790"/>
      <c r="T17" s="790"/>
      <c r="U17" s="790"/>
      <c r="V17" s="791"/>
    </row>
    <row r="18" spans="1:22" ht="14.25" thickBot="1">
      <c r="A18" s="804"/>
      <c r="B18" s="797" t="s">
        <v>44</v>
      </c>
      <c r="C18" s="805">
        <v>2.24E-2</v>
      </c>
      <c r="D18" s="796"/>
      <c r="E18" s="806">
        <f>SUM(E16:E17)</f>
        <v>25150</v>
      </c>
      <c r="F18" s="796"/>
      <c r="G18" s="806">
        <f>SUM(G16:G17)</f>
        <v>25736</v>
      </c>
      <c r="H18" s="806"/>
      <c r="I18" s="806">
        <f>SUM(I16:I17)</f>
        <v>26337</v>
      </c>
      <c r="J18" s="806"/>
      <c r="K18" s="806">
        <f>SUM(K16:K17)</f>
        <v>26954</v>
      </c>
      <c r="L18" s="796"/>
      <c r="M18" s="796"/>
      <c r="N18" s="796"/>
      <c r="O18" s="796"/>
      <c r="P18" s="796"/>
      <c r="Q18" s="796"/>
      <c r="R18" s="796"/>
      <c r="S18" s="796"/>
      <c r="T18" s="796"/>
      <c r="U18" s="796"/>
      <c r="V18" s="798"/>
    </row>
    <row r="19" spans="1:22">
      <c r="A19" s="790"/>
      <c r="B19" s="790"/>
      <c r="C19" s="790"/>
      <c r="D19" s="790"/>
      <c r="E19" s="790"/>
      <c r="F19" s="790"/>
      <c r="G19" s="790"/>
      <c r="H19" s="790"/>
      <c r="I19" s="790"/>
      <c r="J19" s="790"/>
      <c r="K19" s="790"/>
      <c r="L19" s="790"/>
      <c r="M19" s="790"/>
      <c r="N19" s="790"/>
      <c r="O19" s="790"/>
      <c r="P19" s="790"/>
      <c r="Q19" s="790"/>
      <c r="R19" s="790"/>
      <c r="S19" s="790"/>
      <c r="T19" s="790"/>
      <c r="U19" s="790"/>
    </row>
    <row r="22" spans="1:22">
      <c r="A22" t="s">
        <v>608</v>
      </c>
    </row>
    <row r="23" spans="1:22">
      <c r="A23" t="s">
        <v>609</v>
      </c>
      <c r="B23" t="s">
        <v>315</v>
      </c>
      <c r="C23" t="s">
        <v>316</v>
      </c>
    </row>
    <row r="24" spans="1:22">
      <c r="A24" t="s">
        <v>610</v>
      </c>
      <c r="B24" s="761">
        <v>21170456</v>
      </c>
      <c r="C24" s="761">
        <v>22673833</v>
      </c>
    </row>
    <row r="25" spans="1:22">
      <c r="A25" t="s">
        <v>611</v>
      </c>
      <c r="B25" s="761">
        <v>31096</v>
      </c>
      <c r="C25" s="761">
        <v>33029</v>
      </c>
    </row>
    <row r="27" spans="1:22">
      <c r="A27" t="s">
        <v>612</v>
      </c>
      <c r="B27" s="761">
        <v>21203570</v>
      </c>
      <c r="C27" s="761">
        <v>22726778</v>
      </c>
    </row>
    <row r="29" spans="1:22">
      <c r="A29" t="s">
        <v>613</v>
      </c>
      <c r="B29" s="866">
        <f>B27/B25</f>
        <v>681.87451762284536</v>
      </c>
      <c r="C29" s="866">
        <f>C27/C25</f>
        <v>688.08556117351418</v>
      </c>
    </row>
    <row r="31" spans="1:22">
      <c r="A31" t="s">
        <v>614</v>
      </c>
      <c r="B31" s="740">
        <f>B24/B29</f>
        <v>31047.436812574488</v>
      </c>
      <c r="C31" s="740">
        <f>C24/C29</f>
        <v>32952.054627233127</v>
      </c>
    </row>
    <row r="33" spans="1:3">
      <c r="A33" t="s">
        <v>615</v>
      </c>
      <c r="B33" s="740">
        <f>B31-B25</f>
        <v>-48.563187425512297</v>
      </c>
      <c r="C33" s="740">
        <f>C31-C25</f>
        <v>-76.945372766873334</v>
      </c>
    </row>
  </sheetData>
  <printOptions horizontalCentered="1"/>
  <pageMargins left="0.45" right="0.45" top="0.75" bottom="0.75" header="0.3" footer="0.3"/>
  <pageSetup paperSize="5" scale="86" orientation="landscape" r:id="rId1"/>
  <legacyDrawing r:id="rId2"/>
</worksheet>
</file>

<file path=xl/worksheets/sheet14.xml><?xml version="1.0" encoding="utf-8"?>
<worksheet xmlns="http://schemas.openxmlformats.org/spreadsheetml/2006/main" xmlns:r="http://schemas.openxmlformats.org/officeDocument/2006/relationships">
  <sheetPr codeName="Sheet10" enableFormatConditionsCalculation="0">
    <pageSetUpPr fitToPage="1"/>
  </sheetPr>
  <dimension ref="A1:V73"/>
  <sheetViews>
    <sheetView showGridLines="0" zoomScale="125" workbookViewId="0">
      <selection activeCell="R11" sqref="R11"/>
    </sheetView>
  </sheetViews>
  <sheetFormatPr defaultColWidth="8.85546875" defaultRowHeight="12.75"/>
  <cols>
    <col min="1" max="1" width="13.85546875" style="9" customWidth="1"/>
    <col min="2" max="4" width="9.140625" style="9" hidden="1" customWidth="1"/>
    <col min="5" max="5" width="7.7109375" style="9" hidden="1" customWidth="1"/>
    <col min="6" max="13" width="9.140625" style="9" hidden="1" customWidth="1"/>
    <col min="14" max="14" width="9.42578125" style="9" hidden="1" customWidth="1"/>
    <col min="15" max="15" width="13.7109375" style="9" customWidth="1"/>
    <col min="16" max="16" width="12.28515625" style="9" bestFit="1" customWidth="1"/>
    <col min="17" max="17" width="13.42578125" style="9" bestFit="1" customWidth="1"/>
    <col min="18" max="18" width="12.42578125" style="9" bestFit="1" customWidth="1"/>
    <col min="19" max="19" width="11.7109375" style="9" bestFit="1" customWidth="1"/>
    <col min="20" max="20" width="13.28515625" style="9" bestFit="1" customWidth="1"/>
    <col min="21" max="21" width="9.42578125" style="9" bestFit="1" customWidth="1"/>
    <col min="22" max="16384" width="8.85546875" style="9"/>
  </cols>
  <sheetData>
    <row r="1" spans="1:22" ht="14.25" thickBot="1">
      <c r="A1" s="1064" t="s">
        <v>352</v>
      </c>
      <c r="B1" s="1064"/>
      <c r="C1" s="1064"/>
      <c r="D1" s="1064"/>
      <c r="E1" s="1064"/>
      <c r="F1" s="1064"/>
      <c r="G1" s="1064"/>
      <c r="H1" s="1064"/>
      <c r="I1" s="1064"/>
      <c r="J1" s="1064"/>
      <c r="K1" s="1064"/>
      <c r="L1" s="1064"/>
      <c r="M1" s="1064"/>
      <c r="N1" s="1064"/>
      <c r="O1" s="1064"/>
      <c r="P1" s="1064"/>
      <c r="Q1" s="1064"/>
      <c r="R1" s="1064"/>
      <c r="S1" s="1064"/>
      <c r="T1" s="1064"/>
      <c r="U1" s="1064"/>
    </row>
    <row r="2" spans="1:22" ht="13.5">
      <c r="A2" s="370" t="s">
        <v>241</v>
      </c>
      <c r="B2" s="370"/>
      <c r="C2" s="370" t="s">
        <v>68</v>
      </c>
      <c r="D2" s="371" t="s">
        <v>0</v>
      </c>
      <c r="E2" s="370" t="s">
        <v>1</v>
      </c>
      <c r="F2" s="371" t="s">
        <v>2</v>
      </c>
      <c r="G2" s="370" t="s">
        <v>3</v>
      </c>
      <c r="H2" s="371" t="s">
        <v>4</v>
      </c>
      <c r="I2" s="370" t="s">
        <v>5</v>
      </c>
      <c r="J2" s="370" t="s">
        <v>6</v>
      </c>
      <c r="K2" s="102" t="s">
        <v>7</v>
      </c>
      <c r="L2" s="102" t="s">
        <v>8</v>
      </c>
      <c r="M2" s="102" t="s">
        <v>295</v>
      </c>
      <c r="N2" s="370" t="s">
        <v>294</v>
      </c>
      <c r="O2" s="370" t="str">
        <f>M101INF!O2</f>
        <v>2010 Actual</v>
      </c>
      <c r="P2" s="370" t="str">
        <f>M101INF!P2</f>
        <v>2010 Add'l</v>
      </c>
      <c r="Q2" s="370" t="str">
        <f>M101INF!Q2</f>
        <v>2011 Proj</v>
      </c>
      <c r="R2" s="370" t="str">
        <f>M101INF!R2</f>
        <v>2011 Add'l</v>
      </c>
      <c r="S2" s="370" t="str">
        <f>M101INF!S2</f>
        <v>2012 Proj</v>
      </c>
      <c r="T2" s="370" t="str">
        <f>M101INF!T2</f>
        <v>2012 Add'l</v>
      </c>
      <c r="U2" s="370" t="str">
        <f>M101INF!U2</f>
        <v>2013 Proj</v>
      </c>
    </row>
    <row r="3" spans="1:22" ht="14.25" thickBot="1">
      <c r="A3" s="372" t="s">
        <v>9</v>
      </c>
      <c r="B3" s="372"/>
      <c r="C3" s="372" t="s">
        <v>10</v>
      </c>
      <c r="D3" s="373" t="s">
        <v>10</v>
      </c>
      <c r="E3" s="372" t="s">
        <v>10</v>
      </c>
      <c r="F3" s="373" t="s">
        <v>10</v>
      </c>
      <c r="G3" s="372" t="s">
        <v>10</v>
      </c>
      <c r="H3" s="373" t="s">
        <v>10</v>
      </c>
      <c r="I3" s="372" t="s">
        <v>10</v>
      </c>
      <c r="J3" s="372" t="s">
        <v>10</v>
      </c>
      <c r="K3" s="374" t="s">
        <v>10</v>
      </c>
      <c r="L3" s="374" t="s">
        <v>10</v>
      </c>
      <c r="M3" s="374" t="s">
        <v>10</v>
      </c>
      <c r="N3" s="372" t="s">
        <v>10</v>
      </c>
      <c r="O3" s="372" t="s">
        <v>10</v>
      </c>
      <c r="P3" s="372" t="s">
        <v>10</v>
      </c>
      <c r="Q3" s="372" t="s">
        <v>10</v>
      </c>
      <c r="R3" s="375" t="s">
        <v>10</v>
      </c>
      <c r="S3" s="375" t="s">
        <v>10</v>
      </c>
      <c r="T3" s="375" t="s">
        <v>10</v>
      </c>
      <c r="U3" s="375" t="s">
        <v>10</v>
      </c>
    </row>
    <row r="4" spans="1:22" ht="13.5">
      <c r="A4" s="280" t="str">
        <f>DSADATABASE!F32</f>
        <v>Elementary Schools</v>
      </c>
      <c r="B4" s="5"/>
      <c r="C4" s="75">
        <v>7247657</v>
      </c>
      <c r="D4" s="281">
        <v>121544</v>
      </c>
      <c r="E4" s="75">
        <v>7369201</v>
      </c>
      <c r="F4" s="281">
        <v>925768</v>
      </c>
      <c r="G4" s="75">
        <v>8294969</v>
      </c>
      <c r="H4" s="281">
        <v>8676500</v>
      </c>
      <c r="I4" s="75">
        <v>227639</v>
      </c>
      <c r="J4" s="75">
        <v>8904139</v>
      </c>
      <c r="K4" s="75">
        <v>9173936</v>
      </c>
      <c r="L4" s="75">
        <v>9891512</v>
      </c>
      <c r="M4" s="75">
        <v>10518428</v>
      </c>
      <c r="N4" s="75">
        <v>11015402</v>
      </c>
      <c r="O4" s="214">
        <f>DSADATABASE!I32</f>
        <v>18694453</v>
      </c>
      <c r="P4" s="75">
        <f>Q4-O4</f>
        <v>298577</v>
      </c>
      <c r="Q4" s="214">
        <f>DSADATABASE!J32</f>
        <v>18993030</v>
      </c>
      <c r="R4" s="377">
        <f>S4-Q4</f>
        <v>0</v>
      </c>
      <c r="S4" s="214">
        <f>DSADATABASE!K32</f>
        <v>18993030</v>
      </c>
      <c r="T4" s="214">
        <f>U4-S4</f>
        <v>80245</v>
      </c>
      <c r="U4" s="214">
        <f>DSADATABASE!L32</f>
        <v>19073275</v>
      </c>
    </row>
    <row r="5" spans="1:22" ht="13.5">
      <c r="A5" s="280" t="str">
        <f>DSADATABASE!F33</f>
        <v>Middle/Junior High Schools</v>
      </c>
      <c r="B5" s="5"/>
      <c r="C5" s="75">
        <v>4550811</v>
      </c>
      <c r="D5" s="281">
        <v>249981</v>
      </c>
      <c r="E5" s="75">
        <v>4800792</v>
      </c>
      <c r="F5" s="281">
        <v>232460</v>
      </c>
      <c r="G5" s="75">
        <v>5033252</v>
      </c>
      <c r="H5" s="281">
        <v>5205648</v>
      </c>
      <c r="I5" s="75">
        <v>238770</v>
      </c>
      <c r="J5" s="75">
        <v>5444418</v>
      </c>
      <c r="K5" s="75">
        <v>5542278</v>
      </c>
      <c r="L5" s="75">
        <v>6056303</v>
      </c>
      <c r="M5" s="75">
        <v>6580378</v>
      </c>
      <c r="N5" s="75">
        <v>6770495</v>
      </c>
      <c r="O5" s="214">
        <f>DSADATABASE!I33</f>
        <v>10814292</v>
      </c>
      <c r="P5" s="75">
        <f>Q5-O5</f>
        <v>96632</v>
      </c>
      <c r="Q5" s="214">
        <f>DSADATABASE!J33</f>
        <v>10910924</v>
      </c>
      <c r="R5" s="377">
        <f>S5-Q5</f>
        <v>10374</v>
      </c>
      <c r="S5" s="214">
        <f>DSADATABASE!K33</f>
        <v>10921298</v>
      </c>
      <c r="T5" s="214">
        <f>U5-S5</f>
        <v>-15867</v>
      </c>
      <c r="U5" s="214">
        <f>DSADATABASE!L33</f>
        <v>10905431</v>
      </c>
    </row>
    <row r="6" spans="1:22" ht="13.5">
      <c r="A6" s="280" t="str">
        <f>DSADATABASE!F34</f>
        <v>High Schools</v>
      </c>
      <c r="B6" s="5"/>
      <c r="C6" s="75">
        <v>9489184</v>
      </c>
      <c r="D6" s="281">
        <v>560106</v>
      </c>
      <c r="E6" s="75">
        <v>10049290</v>
      </c>
      <c r="F6" s="281">
        <v>450821</v>
      </c>
      <c r="G6" s="75">
        <v>10500111</v>
      </c>
      <c r="H6" s="281">
        <v>10795697</v>
      </c>
      <c r="I6" s="75">
        <v>-219343</v>
      </c>
      <c r="J6" s="75">
        <v>10576354</v>
      </c>
      <c r="K6" s="75">
        <v>11477744</v>
      </c>
      <c r="L6" s="75">
        <v>12237749</v>
      </c>
      <c r="M6" s="75">
        <v>13007029</v>
      </c>
      <c r="N6" s="75">
        <v>13543573</v>
      </c>
      <c r="O6" s="214">
        <f>DSADATABASE!I34</f>
        <v>16789936</v>
      </c>
      <c r="P6" s="75">
        <f>Q6-O6</f>
        <v>403123</v>
      </c>
      <c r="Q6" s="214">
        <f>DSADATABASE!J34</f>
        <v>17193059</v>
      </c>
      <c r="R6" s="377">
        <f>S6-Q6</f>
        <v>39841</v>
      </c>
      <c r="S6" s="214">
        <f>DSADATABASE!K34</f>
        <v>17232900</v>
      </c>
      <c r="T6" s="214">
        <f>U6-S6</f>
        <v>0</v>
      </c>
      <c r="U6" s="214">
        <f>DSADATABASE!L34</f>
        <v>17232900</v>
      </c>
    </row>
    <row r="7" spans="1:22" ht="13.5">
      <c r="A7" s="280" t="str">
        <f>DSADATABASE!F35</f>
        <v>Special Schools</v>
      </c>
      <c r="B7" s="5"/>
      <c r="C7" s="75">
        <v>367658</v>
      </c>
      <c r="D7" s="281">
        <v>18907</v>
      </c>
      <c r="E7" s="75">
        <v>386565</v>
      </c>
      <c r="F7" s="281">
        <v>0</v>
      </c>
      <c r="G7" s="75">
        <v>386565</v>
      </c>
      <c r="H7" s="281">
        <v>386565</v>
      </c>
      <c r="I7" s="75">
        <v>84743</v>
      </c>
      <c r="J7" s="75">
        <v>471308</v>
      </c>
      <c r="K7" s="75">
        <v>472748</v>
      </c>
      <c r="L7" s="75">
        <v>481892</v>
      </c>
      <c r="M7" s="75">
        <v>477265</v>
      </c>
      <c r="N7" s="75">
        <v>435564</v>
      </c>
      <c r="O7" s="214">
        <f>DSADATABASE!I35</f>
        <v>616424</v>
      </c>
      <c r="P7" s="75">
        <f>Q7-O7</f>
        <v>3500</v>
      </c>
      <c r="Q7" s="214">
        <f>DSADATABASE!J35</f>
        <v>619924</v>
      </c>
      <c r="R7" s="377">
        <f>S7-Q7</f>
        <v>0</v>
      </c>
      <c r="S7" s="214">
        <f>DSADATABASE!K35</f>
        <v>619924</v>
      </c>
      <c r="T7" s="214">
        <f>U7-S7</f>
        <v>0</v>
      </c>
      <c r="U7" s="214">
        <f>DSADATABASE!L35</f>
        <v>619924</v>
      </c>
    </row>
    <row r="8" spans="1:22" ht="13.5">
      <c r="A8" s="280" t="str">
        <f>DSADATABASE!F36</f>
        <v>Other Facilities</v>
      </c>
      <c r="B8" s="5"/>
      <c r="C8" s="284">
        <v>836012</v>
      </c>
      <c r="D8" s="285">
        <v>29981</v>
      </c>
      <c r="E8" s="284">
        <v>865993</v>
      </c>
      <c r="F8" s="285">
        <v>6500</v>
      </c>
      <c r="G8" s="284">
        <v>872493</v>
      </c>
      <c r="H8" s="285">
        <v>872493</v>
      </c>
      <c r="I8" s="284">
        <v>-22856</v>
      </c>
      <c r="J8" s="284">
        <v>849637</v>
      </c>
      <c r="K8" s="284">
        <v>906342</v>
      </c>
      <c r="L8" s="284">
        <v>874666</v>
      </c>
      <c r="M8" s="284">
        <v>810790</v>
      </c>
      <c r="N8" s="284">
        <v>939893</v>
      </c>
      <c r="O8" s="286">
        <f>DSADATABASE!I36</f>
        <v>3159801</v>
      </c>
      <c r="P8" s="284">
        <f>Q8-O8</f>
        <v>0</v>
      </c>
      <c r="Q8" s="286">
        <f>DSADATABASE!J36</f>
        <v>3159801</v>
      </c>
      <c r="R8" s="287">
        <f>S8-Q8</f>
        <v>15320</v>
      </c>
      <c r="S8" s="286">
        <f>DSADATABASE!K36</f>
        <v>3175121</v>
      </c>
      <c r="T8" s="286">
        <f>U8-S8</f>
        <v>32706</v>
      </c>
      <c r="U8" s="286">
        <f>DSADATABASE!L36</f>
        <v>3207827</v>
      </c>
    </row>
    <row r="9" spans="1:22" ht="13.5">
      <c r="A9" s="5"/>
      <c r="B9" s="5"/>
      <c r="C9" s="75">
        <v>22491322</v>
      </c>
      <c r="D9" s="281">
        <v>980519</v>
      </c>
      <c r="E9" s="75">
        <v>23471841</v>
      </c>
      <c r="F9" s="281">
        <v>1615549</v>
      </c>
      <c r="G9" s="75">
        <v>25087390</v>
      </c>
      <c r="H9" s="281">
        <v>25936903</v>
      </c>
      <c r="I9" s="75">
        <v>308953</v>
      </c>
      <c r="J9" s="75">
        <v>26245856</v>
      </c>
      <c r="K9" s="75">
        <v>27573048</v>
      </c>
      <c r="L9" s="379">
        <v>29542122</v>
      </c>
      <c r="M9" s="379">
        <v>31393890</v>
      </c>
      <c r="N9" s="379">
        <v>32704927</v>
      </c>
      <c r="O9" s="380">
        <f>SUM(O4:O8)</f>
        <v>50074906</v>
      </c>
      <c r="P9" s="379">
        <f t="shared" ref="P9:U9" si="0">SUM(P4:P8)</f>
        <v>801832</v>
      </c>
      <c r="Q9" s="379">
        <f t="shared" si="0"/>
        <v>50876738</v>
      </c>
      <c r="R9" s="379">
        <f t="shared" si="0"/>
        <v>65535</v>
      </c>
      <c r="S9" s="379">
        <f t="shared" si="0"/>
        <v>50942273</v>
      </c>
      <c r="T9" s="379">
        <f t="shared" si="0"/>
        <v>97084</v>
      </c>
      <c r="U9" s="379">
        <f t="shared" si="0"/>
        <v>51039357</v>
      </c>
    </row>
    <row r="10" spans="1:22" ht="14.25" thickBot="1">
      <c r="A10" s="5"/>
      <c r="B10" s="75"/>
      <c r="C10" s="75"/>
      <c r="D10" s="281"/>
      <c r="E10" s="75"/>
      <c r="F10" s="288"/>
      <c r="G10" s="5"/>
      <c r="H10" s="288" t="s">
        <v>225</v>
      </c>
      <c r="I10" s="5"/>
      <c r="J10" s="5"/>
      <c r="K10" s="5"/>
      <c r="L10" s="5"/>
      <c r="M10" s="5"/>
      <c r="N10" s="288" t="s">
        <v>225</v>
      </c>
      <c r="O10" s="288"/>
      <c r="P10" s="288"/>
      <c r="Q10" s="381">
        <f>ROUND(Q9/O9,4)-1</f>
        <v>1.6000000000000014E-2</v>
      </c>
      <c r="R10" s="5"/>
      <c r="S10" s="381">
        <f>ROUND(S9/Q9,4)-1</f>
        <v>1.3000000000000789E-3</v>
      </c>
      <c r="T10" s="5"/>
      <c r="U10" s="584">
        <f>ROUND(U9/S9,42)-1</f>
        <v>1.9057649822600276E-3</v>
      </c>
    </row>
    <row r="11" spans="1:22" ht="13.5">
      <c r="A11" s="383" t="s">
        <v>15</v>
      </c>
      <c r="B11" s="383" t="s">
        <v>68</v>
      </c>
      <c r="C11" s="383" t="s">
        <v>16</v>
      </c>
      <c r="D11" s="384" t="s">
        <v>1</v>
      </c>
      <c r="E11" s="383" t="s">
        <v>17</v>
      </c>
      <c r="F11" s="384" t="s">
        <v>3</v>
      </c>
      <c r="G11" s="383" t="s">
        <v>122</v>
      </c>
      <c r="H11" s="384" t="s">
        <v>4</v>
      </c>
      <c r="I11" s="383" t="s">
        <v>123</v>
      </c>
      <c r="J11" s="383" t="s">
        <v>124</v>
      </c>
      <c r="K11" s="120" t="s">
        <v>7</v>
      </c>
      <c r="L11" s="383" t="s">
        <v>125</v>
      </c>
      <c r="M11" s="120" t="s">
        <v>296</v>
      </c>
      <c r="N11" s="383" t="s">
        <v>126</v>
      </c>
      <c r="O11" s="120" t="s">
        <v>138</v>
      </c>
      <c r="P11" s="120" t="s">
        <v>443</v>
      </c>
      <c r="Q11" s="411" t="s">
        <v>486</v>
      </c>
      <c r="R11" s="120" t="s">
        <v>140</v>
      </c>
      <c r="S11" s="120" t="s">
        <v>142</v>
      </c>
      <c r="T11" s="120" t="s">
        <v>145</v>
      </c>
      <c r="U11" s="198" t="s">
        <v>143</v>
      </c>
      <c r="V11" s="120" t="s">
        <v>144</v>
      </c>
    </row>
    <row r="12" spans="1:22" ht="14.25" thickBot="1">
      <c r="A12" s="375" t="s">
        <v>127</v>
      </c>
      <c r="B12" s="375" t="s">
        <v>128</v>
      </c>
      <c r="C12" s="375" t="s">
        <v>129</v>
      </c>
      <c r="D12" s="387" t="s">
        <v>128</v>
      </c>
      <c r="E12" s="375" t="s">
        <v>129</v>
      </c>
      <c r="F12" s="387" t="s">
        <v>128</v>
      </c>
      <c r="G12" s="375" t="s">
        <v>129</v>
      </c>
      <c r="H12" s="387" t="s">
        <v>128</v>
      </c>
      <c r="I12" s="375" t="s">
        <v>129</v>
      </c>
      <c r="J12" s="375" t="s">
        <v>129</v>
      </c>
      <c r="K12" s="109" t="s">
        <v>128</v>
      </c>
      <c r="L12" s="375" t="s">
        <v>129</v>
      </c>
      <c r="M12" s="375" t="s">
        <v>129</v>
      </c>
      <c r="N12" s="375" t="s">
        <v>129</v>
      </c>
      <c r="O12" s="109" t="s">
        <v>347</v>
      </c>
      <c r="P12" s="375" t="s">
        <v>129</v>
      </c>
      <c r="Q12" s="387" t="s">
        <v>128</v>
      </c>
      <c r="R12" s="375" t="s">
        <v>128</v>
      </c>
      <c r="S12" s="375" t="s">
        <v>129</v>
      </c>
      <c r="T12" s="375" t="s">
        <v>128</v>
      </c>
      <c r="U12" s="375" t="s">
        <v>128</v>
      </c>
      <c r="V12" s="375" t="s">
        <v>129</v>
      </c>
    </row>
    <row r="13" spans="1:22" ht="13.5">
      <c r="A13" s="280" t="s">
        <v>132</v>
      </c>
      <c r="B13" s="281">
        <v>3166807</v>
      </c>
      <c r="C13" s="295">
        <v>0.14080128326827565</v>
      </c>
      <c r="D13" s="288">
        <v>3546205</v>
      </c>
      <c r="E13" s="295">
        <v>0.15108337688551998</v>
      </c>
      <c r="F13" s="288">
        <v>3765474</v>
      </c>
      <c r="G13" s="295">
        <v>0.15009429039848307</v>
      </c>
      <c r="H13" s="281">
        <v>4043666</v>
      </c>
      <c r="I13" s="295">
        <v>0.15590396432449935</v>
      </c>
      <c r="J13" s="303">
        <v>0.11700000000000001</v>
      </c>
      <c r="K13" s="281">
        <v>4030593</v>
      </c>
      <c r="L13" s="389">
        <v>0.16400000000000001</v>
      </c>
      <c r="M13" s="390">
        <v>0.155</v>
      </c>
      <c r="N13" s="299">
        <v>0.14099999999999999</v>
      </c>
      <c r="O13" s="300">
        <f>DSASUMM!G24</f>
        <v>12057552</v>
      </c>
      <c r="P13" s="391">
        <f>M101INF!P13</f>
        <v>0.24079999999999999</v>
      </c>
      <c r="Q13" s="281">
        <f>ROUND(S$9*S13,0)</f>
        <v>12266899</v>
      </c>
      <c r="R13" s="288">
        <f>(Q13-O13)</f>
        <v>209347</v>
      </c>
      <c r="S13" s="391">
        <f>P13</f>
        <v>0.24079999999999999</v>
      </c>
      <c r="T13" s="75">
        <f>ROUND(U$9*V13,0)</f>
        <v>12290277</v>
      </c>
      <c r="U13" s="283">
        <f>T13-Q13</f>
        <v>23378</v>
      </c>
      <c r="V13" s="583">
        <f>P13</f>
        <v>0.24079999999999999</v>
      </c>
    </row>
    <row r="14" spans="1:22" ht="13.5">
      <c r="A14" s="280" t="s">
        <v>133</v>
      </c>
      <c r="B14" s="281">
        <v>14598682</v>
      </c>
      <c r="C14" s="295">
        <v>0.6490806543074702</v>
      </c>
      <c r="D14" s="288">
        <v>15535256</v>
      </c>
      <c r="E14" s="295">
        <v>0.66186781002819506</v>
      </c>
      <c r="F14" s="288">
        <v>17341109</v>
      </c>
      <c r="G14" s="295">
        <v>0.69122810304300286</v>
      </c>
      <c r="H14" s="281">
        <v>18686182</v>
      </c>
      <c r="I14" s="295">
        <v>0.72044769570214295</v>
      </c>
      <c r="J14" s="303">
        <v>0.71199999999999997</v>
      </c>
      <c r="K14" s="281">
        <v>20195540</v>
      </c>
      <c r="L14" s="389">
        <v>0.70299999999999996</v>
      </c>
      <c r="M14" s="390">
        <v>0.66100000000000003</v>
      </c>
      <c r="N14" s="299">
        <v>0.83</v>
      </c>
      <c r="O14" s="300">
        <f>DSASUMM!G25</f>
        <v>65089232</v>
      </c>
      <c r="P14" s="391">
        <f>M101INF!P14</f>
        <v>1.2998000000000001</v>
      </c>
      <c r="Q14" s="281">
        <f>ROUND(S$9*S14,0)</f>
        <v>66214766</v>
      </c>
      <c r="R14" s="288">
        <f>(Q14-O14)</f>
        <v>1125534</v>
      </c>
      <c r="S14" s="391">
        <f>P14</f>
        <v>1.2998000000000001</v>
      </c>
      <c r="T14" s="75">
        <f>ROUND(U$9*V14,0)</f>
        <v>66340956</v>
      </c>
      <c r="U14" s="283">
        <f>T14-Q14</f>
        <v>126190</v>
      </c>
      <c r="V14" s="583">
        <f>P14</f>
        <v>1.2998000000000001</v>
      </c>
    </row>
    <row r="15" spans="1:22" ht="13.5">
      <c r="A15" s="280" t="s">
        <v>134</v>
      </c>
      <c r="B15" s="281">
        <v>6312546</v>
      </c>
      <c r="C15" s="295">
        <v>0.28066584969971975</v>
      </c>
      <c r="D15" s="288">
        <v>6576015</v>
      </c>
      <c r="E15" s="295">
        <v>0.28016613609473584</v>
      </c>
      <c r="F15" s="288">
        <v>8056235</v>
      </c>
      <c r="G15" s="295">
        <v>0.3211268689170137</v>
      </c>
      <c r="H15" s="281">
        <v>8908413</v>
      </c>
      <c r="I15" s="295">
        <v>0.34346479223059129</v>
      </c>
      <c r="J15" s="303">
        <v>0.375</v>
      </c>
      <c r="K15" s="281">
        <v>11063663</v>
      </c>
      <c r="L15" s="389">
        <v>0.374</v>
      </c>
      <c r="M15" s="390">
        <v>0.35199999999999998</v>
      </c>
      <c r="N15" s="299">
        <v>0.44</v>
      </c>
      <c r="O15" s="300">
        <f>DSASUMM!C31</f>
        <v>26757018</v>
      </c>
      <c r="P15" s="391">
        <f>M101INF!P15</f>
        <v>0.5343</v>
      </c>
      <c r="Q15" s="281">
        <f>ROUND(S$9*S15,0)</f>
        <v>27218456</v>
      </c>
      <c r="R15" s="288">
        <f>(Q15-O15)</f>
        <v>461438</v>
      </c>
      <c r="S15" s="391">
        <f>P15</f>
        <v>0.5343</v>
      </c>
      <c r="T15" s="75">
        <f>ROUND(U$9*V15,0)</f>
        <v>27270328</v>
      </c>
      <c r="U15" s="283">
        <f>T15-Q15</f>
        <v>51872</v>
      </c>
      <c r="V15" s="583">
        <f>P15</f>
        <v>0.5343</v>
      </c>
    </row>
    <row r="16" spans="1:22" ht="13.5">
      <c r="A16" s="280" t="s">
        <v>101</v>
      </c>
      <c r="B16" s="281">
        <v>1501429</v>
      </c>
      <c r="C16" s="295">
        <v>6.6755924796239194E-2</v>
      </c>
      <c r="D16" s="288">
        <v>1110434</v>
      </c>
      <c r="E16" s="295">
        <v>4.7309199137809427E-2</v>
      </c>
      <c r="F16" s="288">
        <v>885169</v>
      </c>
      <c r="G16" s="295">
        <v>3.5283423265632656E-2</v>
      </c>
      <c r="H16" s="281">
        <v>837499</v>
      </c>
      <c r="I16" s="295">
        <v>3.2289861283746946E-2</v>
      </c>
      <c r="J16" s="303">
        <v>3.4000000000000002E-2</v>
      </c>
      <c r="K16" s="281">
        <v>546170</v>
      </c>
      <c r="L16" s="389">
        <v>1.0999999999999999E-2</v>
      </c>
      <c r="M16" s="390">
        <v>1.0999999999999999E-2</v>
      </c>
      <c r="N16" s="299">
        <v>0.01</v>
      </c>
      <c r="O16" s="300">
        <f>DSASUMM!C33</f>
        <v>1981658</v>
      </c>
      <c r="P16" s="391">
        <f>M101INF!P16</f>
        <v>3.9600000000000003E-2</v>
      </c>
      <c r="Q16" s="281">
        <f>ROUND(S$9*S16,0)</f>
        <v>2017314</v>
      </c>
      <c r="R16" s="288">
        <f>(Q16-O16)</f>
        <v>35656</v>
      </c>
      <c r="S16" s="391">
        <f>P16</f>
        <v>3.9600000000000003E-2</v>
      </c>
      <c r="T16" s="75">
        <f>ROUND(U$9*V16,0)</f>
        <v>2021159</v>
      </c>
      <c r="U16" s="283">
        <f>T16-Q16</f>
        <v>3845</v>
      </c>
      <c r="V16" s="583">
        <f>P16</f>
        <v>3.9600000000000003E-2</v>
      </c>
    </row>
    <row r="17" spans="1:22" ht="13.5">
      <c r="A17" s="5" t="s">
        <v>102</v>
      </c>
      <c r="B17" s="288">
        <v>2180215</v>
      </c>
      <c r="C17" s="295">
        <v>9.693583151759598E-2</v>
      </c>
      <c r="D17" s="288">
        <v>2670046</v>
      </c>
      <c r="E17" s="295">
        <v>0.1137552866006548</v>
      </c>
      <c r="F17" s="288">
        <v>2934985</v>
      </c>
      <c r="G17" s="295">
        <v>0.11699044818930945</v>
      </c>
      <c r="H17" s="281">
        <v>2949015</v>
      </c>
      <c r="I17" s="295">
        <v>0.11369958086360581</v>
      </c>
      <c r="J17" s="303">
        <v>0.16300000000000001</v>
      </c>
      <c r="K17" s="281">
        <v>5143470</v>
      </c>
      <c r="L17" s="304">
        <v>0.17499999999999999</v>
      </c>
      <c r="M17" s="305">
        <v>0.16400000000000001</v>
      </c>
      <c r="N17" s="306">
        <v>0.44500000000000001</v>
      </c>
      <c r="O17" s="300">
        <f>DSASUMM!C29</f>
        <v>25553696</v>
      </c>
      <c r="P17" s="392">
        <f>M101INF!P17</f>
        <v>0.51029999999999998</v>
      </c>
      <c r="Q17" s="281">
        <f>ROUND(S$9*S17,0)</f>
        <v>25995842</v>
      </c>
      <c r="R17" s="288">
        <f>(Q17-O17)</f>
        <v>442146</v>
      </c>
      <c r="S17" s="391">
        <f>P17</f>
        <v>0.51029999999999998</v>
      </c>
      <c r="T17" s="75">
        <f>ROUND(U$9*V17,0)</f>
        <v>26045384</v>
      </c>
      <c r="U17" s="283">
        <f>T17-Q17</f>
        <v>49542</v>
      </c>
      <c r="V17" s="583">
        <f>P17</f>
        <v>0.51029999999999998</v>
      </c>
    </row>
    <row r="18" spans="1:22" ht="13.5">
      <c r="A18" s="5"/>
      <c r="B18" s="308">
        <v>27759679</v>
      </c>
      <c r="C18" s="295"/>
      <c r="D18" s="308">
        <v>29437956</v>
      </c>
      <c r="E18" s="295"/>
      <c r="F18" s="308">
        <v>32982972</v>
      </c>
      <c r="G18" s="295"/>
      <c r="H18" s="308">
        <v>35424775</v>
      </c>
      <c r="I18" s="295"/>
      <c r="J18" s="303"/>
      <c r="K18" s="309">
        <v>40979436</v>
      </c>
      <c r="L18" s="389">
        <v>1.427</v>
      </c>
      <c r="M18" s="389">
        <v>1.343</v>
      </c>
      <c r="N18" s="389">
        <v>1.8660000000000001</v>
      </c>
      <c r="O18" s="393">
        <f t="shared" ref="O18:V18" si="1">SUM(O13:O17)</f>
        <v>131439156</v>
      </c>
      <c r="P18" s="394">
        <f t="shared" si="1"/>
        <v>2.6248</v>
      </c>
      <c r="Q18" s="395">
        <f t="shared" si="1"/>
        <v>133713277</v>
      </c>
      <c r="R18" s="396">
        <f t="shared" si="1"/>
        <v>2274121</v>
      </c>
      <c r="S18" s="397">
        <f t="shared" si="1"/>
        <v>2.6248</v>
      </c>
      <c r="T18" s="395">
        <f t="shared" si="1"/>
        <v>133968104</v>
      </c>
      <c r="U18" s="396">
        <f t="shared" si="1"/>
        <v>254827</v>
      </c>
      <c r="V18" s="397">
        <f t="shared" si="1"/>
        <v>2.6248</v>
      </c>
    </row>
    <row r="19" spans="1:22" ht="13.5">
      <c r="A19" s="5"/>
      <c r="B19" s="288"/>
      <c r="C19" s="295"/>
      <c r="D19" s="288"/>
      <c r="E19" s="295"/>
      <c r="F19" s="288"/>
      <c r="G19" s="295"/>
      <c r="H19" s="281"/>
      <c r="I19" s="295"/>
      <c r="J19" s="5"/>
      <c r="K19" s="295"/>
      <c r="L19" s="281"/>
      <c r="M19" s="5"/>
      <c r="N19" s="5"/>
      <c r="O19" s="339"/>
      <c r="P19" s="339"/>
      <c r="Q19" s="398">
        <f>Q18-O18</f>
        <v>2274121</v>
      </c>
      <c r="R19" s="399"/>
      <c r="S19" s="400"/>
      <c r="T19" s="396">
        <f>T18-O18</f>
        <v>2528948</v>
      </c>
      <c r="U19" s="5"/>
    </row>
    <row r="20" spans="1:22" ht="14.25" thickBot="1">
      <c r="A20" s="5"/>
      <c r="B20" s="288"/>
      <c r="C20" s="5"/>
      <c r="D20" s="288"/>
      <c r="E20" s="5"/>
      <c r="F20" s="288"/>
      <c r="G20" s="5"/>
      <c r="H20" s="288"/>
      <c r="I20" s="5"/>
      <c r="J20" s="5"/>
      <c r="K20" s="5"/>
      <c r="L20" s="5"/>
      <c r="M20" s="5"/>
      <c r="N20" s="288"/>
      <c r="O20" s="10"/>
      <c r="P20" s="5"/>
      <c r="Q20" s="5"/>
      <c r="R20" s="5"/>
      <c r="S20" s="5"/>
      <c r="T20" s="10"/>
      <c r="U20" s="10"/>
    </row>
    <row r="21" spans="1:22" ht="13.5">
      <c r="A21" s="120" t="s">
        <v>103</v>
      </c>
      <c r="B21" s="402"/>
      <c r="C21" s="120">
        <v>1992</v>
      </c>
      <c r="D21" s="402"/>
      <c r="E21" s="120">
        <v>1993</v>
      </c>
      <c r="F21" s="402"/>
      <c r="G21" s="120">
        <v>1994</v>
      </c>
      <c r="H21" s="403"/>
      <c r="I21" s="120">
        <v>1995</v>
      </c>
      <c r="J21" s="120">
        <v>1996</v>
      </c>
      <c r="K21" s="404"/>
      <c r="L21" s="120">
        <v>1998</v>
      </c>
      <c r="M21" s="404"/>
      <c r="N21" s="120">
        <v>1999</v>
      </c>
      <c r="O21" s="120" t="str">
        <f>O2</f>
        <v>2010 Actual</v>
      </c>
      <c r="P21" s="403"/>
      <c r="Q21" s="120">
        <v>2012</v>
      </c>
      <c r="R21" s="403"/>
      <c r="S21" s="403"/>
      <c r="T21" s="120">
        <v>2013</v>
      </c>
      <c r="U21" s="403"/>
    </row>
    <row r="22" spans="1:22" ht="14.25" thickBot="1">
      <c r="A22" s="109" t="s">
        <v>104</v>
      </c>
      <c r="B22" s="406"/>
      <c r="C22" s="109" t="s">
        <v>41</v>
      </c>
      <c r="D22" s="406"/>
      <c r="E22" s="109" t="s">
        <v>41</v>
      </c>
      <c r="F22" s="406"/>
      <c r="G22" s="109" t="s">
        <v>41</v>
      </c>
      <c r="H22" s="112"/>
      <c r="I22" s="109" t="s">
        <v>41</v>
      </c>
      <c r="J22" s="109" t="s">
        <v>41</v>
      </c>
      <c r="K22" s="407"/>
      <c r="L22" s="109" t="s">
        <v>41</v>
      </c>
      <c r="M22" s="407"/>
      <c r="N22" s="109" t="s">
        <v>41</v>
      </c>
      <c r="O22" s="109" t="s">
        <v>41</v>
      </c>
      <c r="P22" s="112"/>
      <c r="Q22" s="109" t="s">
        <v>105</v>
      </c>
      <c r="R22" s="112"/>
      <c r="S22" s="112"/>
      <c r="T22" s="109" t="s">
        <v>105</v>
      </c>
      <c r="U22" s="112"/>
    </row>
    <row r="23" spans="1:22" ht="13.5">
      <c r="A23" s="319"/>
      <c r="B23" s="288"/>
      <c r="C23" s="288">
        <v>204207</v>
      </c>
      <c r="D23" s="288"/>
      <c r="E23" s="288">
        <v>214997</v>
      </c>
      <c r="F23" s="288"/>
      <c r="G23" s="288">
        <v>227302</v>
      </c>
      <c r="H23" s="10"/>
      <c r="I23" s="288">
        <v>227302</v>
      </c>
      <c r="J23" s="288">
        <v>255215.4</v>
      </c>
      <c r="K23" s="5"/>
      <c r="L23" s="380">
        <v>285990</v>
      </c>
      <c r="M23" s="339"/>
      <c r="N23" s="410">
        <v>300115.40000000002</v>
      </c>
      <c r="O23" s="410">
        <f>DSADATABASE!A4</f>
        <v>425527.2</v>
      </c>
      <c r="P23" s="10"/>
      <c r="Q23" s="410">
        <f>DSADATABASE!C4</f>
        <v>421987.1</v>
      </c>
      <c r="R23" s="410"/>
      <c r="S23" s="10"/>
      <c r="T23" s="410">
        <f>DSADATABASE!D4</f>
        <v>423499.6</v>
      </c>
      <c r="U23" s="10"/>
    </row>
    <row r="24" spans="1:22" ht="14.25" thickBot="1">
      <c r="A24" s="5"/>
      <c r="B24" s="288"/>
      <c r="C24" s="5"/>
      <c r="D24" s="288"/>
      <c r="E24" s="5"/>
      <c r="F24" s="288"/>
      <c r="G24" s="5"/>
      <c r="H24" s="288"/>
      <c r="I24" s="5"/>
      <c r="J24" s="5"/>
      <c r="K24" s="5"/>
      <c r="L24" s="5"/>
      <c r="M24" s="5"/>
      <c r="N24" s="288"/>
      <c r="O24" s="288"/>
      <c r="P24" s="288"/>
      <c r="Q24" s="5"/>
      <c r="R24" s="5"/>
      <c r="S24" s="5"/>
      <c r="T24" s="5"/>
      <c r="U24" s="5"/>
    </row>
    <row r="25" spans="1:22" ht="13.5">
      <c r="A25" s="120" t="s">
        <v>106</v>
      </c>
      <c r="B25" s="411" t="s">
        <v>68</v>
      </c>
      <c r="C25" s="120" t="s">
        <v>16</v>
      </c>
      <c r="D25" s="411" t="s">
        <v>1</v>
      </c>
      <c r="E25" s="120" t="s">
        <v>17</v>
      </c>
      <c r="F25" s="411" t="s">
        <v>3</v>
      </c>
      <c r="G25" s="120" t="s">
        <v>122</v>
      </c>
      <c r="H25" s="411" t="s">
        <v>4</v>
      </c>
      <c r="I25" s="411" t="s">
        <v>123</v>
      </c>
      <c r="J25" s="120" t="s">
        <v>124</v>
      </c>
      <c r="K25" s="120" t="s">
        <v>7</v>
      </c>
      <c r="L25" s="383" t="s">
        <v>125</v>
      </c>
      <c r="M25" s="120" t="s">
        <v>296</v>
      </c>
      <c r="N25" s="383" t="s">
        <v>126</v>
      </c>
      <c r="O25" s="383" t="str">
        <f t="shared" ref="O25:T25" si="2">O$11</f>
        <v>2010 Actual</v>
      </c>
      <c r="P25" s="383" t="str">
        <f t="shared" si="2"/>
        <v>2010 Cost</v>
      </c>
      <c r="Q25" s="384" t="str">
        <f t="shared" si="2"/>
        <v>2011 Annual</v>
      </c>
      <c r="R25" s="383" t="str">
        <f t="shared" si="2"/>
        <v>2012 Add'l</v>
      </c>
      <c r="S25" s="383" t="str">
        <f t="shared" si="2"/>
        <v>2012 Cost</v>
      </c>
      <c r="T25" s="383" t="str">
        <f t="shared" si="2"/>
        <v>2012 Annual</v>
      </c>
      <c r="U25" s="383" t="str">
        <f>U$11</f>
        <v>2013 Add'l</v>
      </c>
      <c r="V25" s="383" t="str">
        <f>V$11</f>
        <v>2013 Cost</v>
      </c>
    </row>
    <row r="26" spans="1:22" ht="14.25" thickBot="1">
      <c r="A26" s="109" t="s">
        <v>127</v>
      </c>
      <c r="B26" s="412" t="s">
        <v>128</v>
      </c>
      <c r="C26" s="109" t="s">
        <v>107</v>
      </c>
      <c r="D26" s="412" t="s">
        <v>128</v>
      </c>
      <c r="E26" s="109" t="s">
        <v>107</v>
      </c>
      <c r="F26" s="412" t="s">
        <v>128</v>
      </c>
      <c r="G26" s="109" t="s">
        <v>107</v>
      </c>
      <c r="H26" s="412" t="s">
        <v>128</v>
      </c>
      <c r="I26" s="109" t="s">
        <v>107</v>
      </c>
      <c r="J26" s="109" t="s">
        <v>107</v>
      </c>
      <c r="K26" s="109" t="s">
        <v>128</v>
      </c>
      <c r="L26" s="109" t="s">
        <v>107</v>
      </c>
      <c r="M26" s="109" t="s">
        <v>107</v>
      </c>
      <c r="N26" s="109" t="s">
        <v>107</v>
      </c>
      <c r="O26" s="109" t="s">
        <v>128</v>
      </c>
      <c r="P26" s="109" t="s">
        <v>107</v>
      </c>
      <c r="Q26" s="387" t="s">
        <v>128</v>
      </c>
      <c r="R26" s="375" t="s">
        <v>128</v>
      </c>
      <c r="S26" s="375" t="s">
        <v>107</v>
      </c>
      <c r="T26" s="375" t="s">
        <v>128</v>
      </c>
      <c r="U26" s="109" t="s">
        <v>128</v>
      </c>
      <c r="V26" s="375" t="s">
        <v>107</v>
      </c>
    </row>
    <row r="27" spans="1:22" ht="13.5">
      <c r="A27" s="280" t="s">
        <v>108</v>
      </c>
      <c r="B27" s="288">
        <v>6410321</v>
      </c>
      <c r="C27" s="326">
        <v>31.391289231025382</v>
      </c>
      <c r="D27" s="288">
        <v>6149230</v>
      </c>
      <c r="E27" s="326">
        <v>28.60146885770499</v>
      </c>
      <c r="F27" s="281">
        <v>7888311</v>
      </c>
      <c r="G27" s="326">
        <v>34.704098512111642</v>
      </c>
      <c r="H27" s="281">
        <v>7317118</v>
      </c>
      <c r="I27" s="326">
        <v>32.191172976920569</v>
      </c>
      <c r="J27" s="77">
        <v>50.96</v>
      </c>
      <c r="K27" s="214">
        <v>9462961</v>
      </c>
      <c r="L27" s="327">
        <v>35.1</v>
      </c>
      <c r="M27" s="344">
        <v>31.2</v>
      </c>
      <c r="N27" s="77">
        <v>40.07</v>
      </c>
      <c r="O27" s="75">
        <f>DSASUMM!C26</f>
        <v>16707325</v>
      </c>
      <c r="P27" s="329">
        <f>M101INF!P27</f>
        <v>39.262599999999999</v>
      </c>
      <c r="Q27" s="281">
        <f t="shared" ref="Q27:Q32" si="3">ROUND(Q$23*P27,0)</f>
        <v>16568311</v>
      </c>
      <c r="R27" s="288">
        <f t="shared" ref="R27:R32" si="4">Q27-O27</f>
        <v>-139014</v>
      </c>
      <c r="S27" s="413">
        <f t="shared" ref="S27:S32" si="5">P27</f>
        <v>39.262599999999999</v>
      </c>
      <c r="T27" s="75">
        <f t="shared" ref="T27:T32" si="6">ROUND(T$23*S27,0)</f>
        <v>16627695</v>
      </c>
      <c r="U27" s="589">
        <f t="shared" ref="U27:U32" si="7">T27-Q27</f>
        <v>59384</v>
      </c>
      <c r="V27" s="585">
        <f t="shared" ref="V27:V32" si="8">P27</f>
        <v>39.262599999999999</v>
      </c>
    </row>
    <row r="28" spans="1:22" ht="13.5">
      <c r="A28" s="280" t="s">
        <v>109</v>
      </c>
      <c r="B28" s="288">
        <v>8226072</v>
      </c>
      <c r="C28" s="326">
        <v>40.283006948831336</v>
      </c>
      <c r="D28" s="288">
        <v>8534733</v>
      </c>
      <c r="E28" s="326">
        <v>39.696986469578647</v>
      </c>
      <c r="F28" s="281">
        <v>9274867</v>
      </c>
      <c r="G28" s="326">
        <v>40.804159224291908</v>
      </c>
      <c r="H28" s="281">
        <v>9993340</v>
      </c>
      <c r="I28" s="326">
        <v>43.965033303710484</v>
      </c>
      <c r="J28" s="77">
        <v>36.64</v>
      </c>
      <c r="K28" s="214">
        <v>11750179</v>
      </c>
      <c r="L28" s="327">
        <v>49.54</v>
      </c>
      <c r="M28" s="344">
        <v>52.71</v>
      </c>
      <c r="N28" s="77">
        <v>43.43</v>
      </c>
      <c r="O28" s="75">
        <f>DSASUMM!C27</f>
        <v>23810368</v>
      </c>
      <c r="P28" s="329">
        <f>M101INF!P28</f>
        <v>55.954999999999998</v>
      </c>
      <c r="Q28" s="281">
        <f t="shared" si="3"/>
        <v>23612288</v>
      </c>
      <c r="R28" s="288">
        <f t="shared" si="4"/>
        <v>-198080</v>
      </c>
      <c r="S28" s="413">
        <f t="shared" si="5"/>
        <v>55.954999999999998</v>
      </c>
      <c r="T28" s="75">
        <f t="shared" si="6"/>
        <v>23696920</v>
      </c>
      <c r="U28" s="589">
        <f t="shared" si="7"/>
        <v>84632</v>
      </c>
      <c r="V28" s="585">
        <f t="shared" si="8"/>
        <v>55.954999999999998</v>
      </c>
    </row>
    <row r="29" spans="1:22" ht="13.5">
      <c r="A29" s="280" t="s">
        <v>110</v>
      </c>
      <c r="B29" s="288">
        <v>1363322</v>
      </c>
      <c r="C29" s="326">
        <v>6.6761766246994467</v>
      </c>
      <c r="D29" s="288">
        <v>1044344</v>
      </c>
      <c r="E29" s="326">
        <v>4.8574817323032411</v>
      </c>
      <c r="F29" s="281">
        <v>1567481</v>
      </c>
      <c r="G29" s="326">
        <v>6.8960281915689263</v>
      </c>
      <c r="H29" s="281">
        <v>1351462</v>
      </c>
      <c r="I29" s="326">
        <v>5.9456669980906458</v>
      </c>
      <c r="J29" s="77">
        <v>6.43</v>
      </c>
      <c r="K29" s="214">
        <v>1853767</v>
      </c>
      <c r="L29" s="327">
        <v>7.59</v>
      </c>
      <c r="M29" s="344">
        <v>8.01</v>
      </c>
      <c r="N29" s="77">
        <v>6.46</v>
      </c>
      <c r="O29" s="75">
        <f>DSASUMM!C28</f>
        <v>2397912</v>
      </c>
      <c r="P29" s="329">
        <f>M101INF!P29</f>
        <v>5.6352000000000002</v>
      </c>
      <c r="Q29" s="281">
        <f t="shared" si="3"/>
        <v>2377982</v>
      </c>
      <c r="R29" s="288">
        <f t="shared" si="4"/>
        <v>-19930</v>
      </c>
      <c r="S29" s="413">
        <f t="shared" si="5"/>
        <v>5.6352000000000002</v>
      </c>
      <c r="T29" s="75">
        <f t="shared" si="6"/>
        <v>2386505</v>
      </c>
      <c r="U29" s="589">
        <f t="shared" si="7"/>
        <v>8523</v>
      </c>
      <c r="V29" s="585">
        <f t="shared" si="8"/>
        <v>5.6352000000000002</v>
      </c>
    </row>
    <row r="30" spans="1:22" ht="13.5">
      <c r="A30" s="5" t="s">
        <v>111</v>
      </c>
      <c r="B30" s="281">
        <v>10650126</v>
      </c>
      <c r="C30" s="326">
        <v>52.153579456140093</v>
      </c>
      <c r="D30" s="288">
        <v>10031838</v>
      </c>
      <c r="E30" s="326">
        <v>46.660362702735384</v>
      </c>
      <c r="F30" s="288">
        <v>13887603</v>
      </c>
      <c r="G30" s="326">
        <v>61.097583831202542</v>
      </c>
      <c r="H30" s="281">
        <v>14228829</v>
      </c>
      <c r="I30" s="326">
        <v>62.598784876507906</v>
      </c>
      <c r="J30" s="77">
        <v>54.27</v>
      </c>
      <c r="K30" s="214">
        <v>15120627</v>
      </c>
      <c r="L30" s="327">
        <v>59.36</v>
      </c>
      <c r="M30" s="344">
        <v>60</v>
      </c>
      <c r="N30" s="77">
        <v>61.61</v>
      </c>
      <c r="O30" s="75">
        <f>DSASUMM!C36</f>
        <v>70944435</v>
      </c>
      <c r="P30" s="329">
        <f>M101INF!P30</f>
        <v>166.72130000000001</v>
      </c>
      <c r="Q30" s="281">
        <f t="shared" si="3"/>
        <v>70354238</v>
      </c>
      <c r="R30" s="288">
        <f t="shared" si="4"/>
        <v>-590197</v>
      </c>
      <c r="S30" s="413">
        <f t="shared" si="5"/>
        <v>166.72130000000001</v>
      </c>
      <c r="T30" s="75">
        <f t="shared" si="6"/>
        <v>70606404</v>
      </c>
      <c r="U30" s="589">
        <f t="shared" si="7"/>
        <v>252166</v>
      </c>
      <c r="V30" s="585">
        <f t="shared" si="8"/>
        <v>166.72130000000001</v>
      </c>
    </row>
    <row r="31" spans="1:22" ht="13.5">
      <c r="A31" s="5" t="s">
        <v>112</v>
      </c>
      <c r="B31" s="281"/>
      <c r="C31" s="326"/>
      <c r="D31" s="288"/>
      <c r="E31" s="326"/>
      <c r="F31" s="288"/>
      <c r="G31" s="331" t="s">
        <v>113</v>
      </c>
      <c r="H31" s="139">
        <v>1010617</v>
      </c>
      <c r="I31" s="326">
        <v>4.4461421368927683</v>
      </c>
      <c r="J31" s="77">
        <v>3.19</v>
      </c>
      <c r="K31" s="214">
        <v>2745463</v>
      </c>
      <c r="L31" s="327">
        <v>7.17</v>
      </c>
      <c r="M31" s="344">
        <v>7.96</v>
      </c>
      <c r="N31" s="77">
        <v>3.94</v>
      </c>
      <c r="O31" s="75">
        <f>DSASUMM!C37</f>
        <v>7384984</v>
      </c>
      <c r="P31" s="329">
        <f>M101INF!P31</f>
        <v>17.354900000000001</v>
      </c>
      <c r="Q31" s="281">
        <f t="shared" si="3"/>
        <v>7323544</v>
      </c>
      <c r="R31" s="288">
        <f t="shared" si="4"/>
        <v>-61440</v>
      </c>
      <c r="S31" s="413">
        <f t="shared" si="5"/>
        <v>17.354900000000001</v>
      </c>
      <c r="T31" s="75">
        <f t="shared" si="6"/>
        <v>7349793</v>
      </c>
      <c r="U31" s="589">
        <f t="shared" si="7"/>
        <v>26249</v>
      </c>
      <c r="V31" s="585">
        <f t="shared" si="8"/>
        <v>17.354900000000001</v>
      </c>
    </row>
    <row r="32" spans="1:22" ht="13.5">
      <c r="A32" s="5" t="s">
        <v>114</v>
      </c>
      <c r="B32" s="281">
        <v>10444298</v>
      </c>
      <c r="C32" s="326">
        <v>51.145641432468032</v>
      </c>
      <c r="D32" s="288">
        <v>8033202</v>
      </c>
      <c r="E32" s="326">
        <v>37.364251594208291</v>
      </c>
      <c r="F32" s="288">
        <v>10518106</v>
      </c>
      <c r="G32" s="326">
        <v>46.273706346622554</v>
      </c>
      <c r="H32" s="281">
        <v>10503038</v>
      </c>
      <c r="I32" s="326">
        <v>46.207415684859789</v>
      </c>
      <c r="J32" s="77">
        <v>35.590000000000003</v>
      </c>
      <c r="K32" s="286">
        <v>11692320</v>
      </c>
      <c r="L32" s="332">
        <v>43.88</v>
      </c>
      <c r="M32" s="333">
        <v>16.46</v>
      </c>
      <c r="N32" s="334">
        <v>18.350000000000001</v>
      </c>
      <c r="O32" s="75">
        <f>DSASUMM!C38</f>
        <v>16515016</v>
      </c>
      <c r="P32" s="335">
        <f>M101INF!P32</f>
        <v>38.810699999999997</v>
      </c>
      <c r="Q32" s="414">
        <f t="shared" si="3"/>
        <v>16377615</v>
      </c>
      <c r="R32" s="288">
        <f t="shared" si="4"/>
        <v>-137401</v>
      </c>
      <c r="S32" s="413">
        <f t="shared" si="5"/>
        <v>38.810699999999997</v>
      </c>
      <c r="T32" s="76">
        <f t="shared" si="6"/>
        <v>16436316</v>
      </c>
      <c r="U32" s="589">
        <f t="shared" si="7"/>
        <v>58701</v>
      </c>
      <c r="V32" s="585">
        <f t="shared" si="8"/>
        <v>38.810699999999997</v>
      </c>
    </row>
    <row r="33" spans="1:22" ht="13.5">
      <c r="A33" s="5"/>
      <c r="B33" s="309">
        <v>37094139</v>
      </c>
      <c r="C33" s="5"/>
      <c r="D33" s="309">
        <v>33793347</v>
      </c>
      <c r="E33" s="5"/>
      <c r="F33" s="309">
        <v>43136368</v>
      </c>
      <c r="G33" s="5"/>
      <c r="H33" s="309">
        <v>44404404</v>
      </c>
      <c r="I33" s="5"/>
      <c r="J33" s="288"/>
      <c r="K33" s="311">
        <v>52625317</v>
      </c>
      <c r="L33" s="77">
        <v>202.64</v>
      </c>
      <c r="M33" s="77">
        <v>176.34</v>
      </c>
      <c r="N33" s="77">
        <v>173.86</v>
      </c>
      <c r="O33" s="396">
        <f t="shared" ref="O33:V33" si="9">SUM(O27:O32)</f>
        <v>137760040</v>
      </c>
      <c r="P33" s="415">
        <f t="shared" si="9"/>
        <v>323.73970000000003</v>
      </c>
      <c r="Q33" s="393">
        <f t="shared" si="9"/>
        <v>136613978</v>
      </c>
      <c r="R33" s="396">
        <f t="shared" si="9"/>
        <v>-1146062</v>
      </c>
      <c r="S33" s="416">
        <f t="shared" si="9"/>
        <v>323.73970000000003</v>
      </c>
      <c r="T33" s="393">
        <f t="shared" si="9"/>
        <v>137103633</v>
      </c>
      <c r="U33" s="396">
        <f>SUM(U28:U32)</f>
        <v>430271</v>
      </c>
      <c r="V33" s="586">
        <f t="shared" si="9"/>
        <v>323.73970000000003</v>
      </c>
    </row>
    <row r="34" spans="1:22" ht="13.5">
      <c r="A34" s="5"/>
      <c r="B34" s="288"/>
      <c r="C34" s="5"/>
      <c r="D34" s="288"/>
      <c r="E34" s="5"/>
      <c r="F34" s="288"/>
      <c r="G34" s="5"/>
      <c r="H34" s="281"/>
      <c r="I34" s="5"/>
      <c r="J34" s="295"/>
      <c r="K34" s="75"/>
      <c r="L34" s="281"/>
      <c r="M34" s="5"/>
      <c r="N34" s="281"/>
      <c r="O34" s="400"/>
      <c r="P34" s="400"/>
      <c r="Q34" s="398">
        <f>Q33-O33</f>
        <v>-1146062</v>
      </c>
      <c r="R34" s="339"/>
      <c r="S34" s="339"/>
      <c r="T34" s="396">
        <f>T33-O33</f>
        <v>-656407</v>
      </c>
      <c r="U34" s="5"/>
    </row>
    <row r="35" spans="1:22" ht="14.25" thickBot="1">
      <c r="A35" s="5"/>
      <c r="B35" s="288"/>
      <c r="C35" s="5"/>
      <c r="D35" s="288"/>
      <c r="E35" s="5"/>
      <c r="F35" s="288"/>
      <c r="G35" s="5"/>
      <c r="H35" s="281"/>
      <c r="I35" s="5"/>
      <c r="J35" s="295"/>
      <c r="K35" s="75"/>
      <c r="L35" s="75"/>
      <c r="M35" s="5"/>
      <c r="N35" s="281"/>
      <c r="O35" s="295"/>
      <c r="P35" s="75"/>
      <c r="Q35" s="75"/>
      <c r="R35" s="5"/>
      <c r="S35" s="5"/>
      <c r="T35" s="10"/>
      <c r="U35" s="10"/>
    </row>
    <row r="36" spans="1:22" ht="13.5">
      <c r="A36" s="120" t="s">
        <v>115</v>
      </c>
      <c r="B36" s="417"/>
      <c r="C36" s="418">
        <v>1992</v>
      </c>
      <c r="D36" s="417"/>
      <c r="E36" s="418">
        <v>1993</v>
      </c>
      <c r="F36" s="417"/>
      <c r="G36" s="120">
        <v>1994</v>
      </c>
      <c r="H36" s="403"/>
      <c r="I36" s="120">
        <v>1995</v>
      </c>
      <c r="J36" s="120">
        <v>1996</v>
      </c>
      <c r="K36" s="404"/>
      <c r="L36" s="120">
        <v>1998</v>
      </c>
      <c r="M36" s="403"/>
      <c r="N36" s="120">
        <v>1999</v>
      </c>
      <c r="O36" s="120" t="str">
        <f>O21</f>
        <v>2010 Actual</v>
      </c>
      <c r="P36" s="403"/>
      <c r="Q36" s="120">
        <f>Q21</f>
        <v>2012</v>
      </c>
      <c r="R36" s="403"/>
      <c r="S36" s="403"/>
      <c r="T36" s="120">
        <f>T21</f>
        <v>2013</v>
      </c>
      <c r="U36" s="403"/>
    </row>
    <row r="37" spans="1:22" ht="14.25" thickBot="1">
      <c r="A37" s="109" t="s">
        <v>116</v>
      </c>
      <c r="B37" s="419"/>
      <c r="C37" s="420" t="s">
        <v>41</v>
      </c>
      <c r="D37" s="419"/>
      <c r="E37" s="420" t="s">
        <v>41</v>
      </c>
      <c r="F37" s="419"/>
      <c r="G37" s="109" t="s">
        <v>41</v>
      </c>
      <c r="H37" s="112"/>
      <c r="I37" s="109" t="s">
        <v>41</v>
      </c>
      <c r="J37" s="109" t="s">
        <v>41</v>
      </c>
      <c r="K37" s="407"/>
      <c r="L37" s="109" t="s">
        <v>41</v>
      </c>
      <c r="M37" s="112"/>
      <c r="N37" s="109" t="s">
        <v>41</v>
      </c>
      <c r="O37" s="109" t="s">
        <v>41</v>
      </c>
      <c r="P37" s="112"/>
      <c r="Q37" s="109" t="s">
        <v>105</v>
      </c>
      <c r="R37" s="112"/>
      <c r="S37" s="112"/>
      <c r="T37" s="109" t="s">
        <v>105</v>
      </c>
      <c r="U37" s="112"/>
    </row>
    <row r="38" spans="1:22" ht="13.5">
      <c r="A38" s="338"/>
      <c r="B38" s="288"/>
      <c r="C38" s="288">
        <v>18758.900000000001</v>
      </c>
      <c r="D38" s="288"/>
      <c r="E38" s="288">
        <v>19566.2</v>
      </c>
      <c r="F38" s="288"/>
      <c r="G38" s="288">
        <v>20374</v>
      </c>
      <c r="H38" s="10"/>
      <c r="I38" s="288">
        <v>20374</v>
      </c>
      <c r="J38" s="288">
        <v>21933.7</v>
      </c>
      <c r="K38" s="5"/>
      <c r="L38" s="410">
        <v>25421</v>
      </c>
      <c r="M38" s="410"/>
      <c r="N38" s="410">
        <v>26851.599999999999</v>
      </c>
      <c r="O38" s="410">
        <f>M200SAL!B53</f>
        <v>35960.039999999994</v>
      </c>
      <c r="P38" s="10"/>
      <c r="Q38" s="410">
        <f>M200SAL!E53</f>
        <v>35659.56</v>
      </c>
      <c r="R38" s="410"/>
      <c r="S38" s="10"/>
      <c r="T38" s="93">
        <f>M200SAL!G53</f>
        <v>35787.360000000001</v>
      </c>
      <c r="U38" s="403"/>
    </row>
    <row r="39" spans="1:22" ht="14.25" thickBot="1">
      <c r="A39" s="339"/>
      <c r="B39" s="288"/>
      <c r="C39" s="5"/>
      <c r="D39" s="288"/>
      <c r="E39" s="5"/>
      <c r="F39" s="288"/>
      <c r="G39" s="5"/>
      <c r="H39" s="288"/>
      <c r="I39" s="5"/>
      <c r="J39" s="5"/>
      <c r="K39" s="5"/>
      <c r="L39" s="339"/>
      <c r="M39" s="339"/>
      <c r="N39" s="410"/>
      <c r="O39" s="410"/>
      <c r="P39" s="410"/>
      <c r="Q39" s="339"/>
      <c r="R39" s="339"/>
      <c r="S39" s="339"/>
      <c r="T39" s="339"/>
      <c r="U39" s="339"/>
    </row>
    <row r="40" spans="1:22" ht="13.5">
      <c r="A40" s="120" t="s">
        <v>117</v>
      </c>
      <c r="B40" s="422" t="s">
        <v>68</v>
      </c>
      <c r="C40" s="418" t="s">
        <v>16</v>
      </c>
      <c r="D40" s="422" t="s">
        <v>1</v>
      </c>
      <c r="E40" s="418" t="s">
        <v>17</v>
      </c>
      <c r="F40" s="422" t="s">
        <v>3</v>
      </c>
      <c r="G40" s="120" t="s">
        <v>122</v>
      </c>
      <c r="H40" s="411" t="s">
        <v>4</v>
      </c>
      <c r="I40" s="411" t="s">
        <v>123</v>
      </c>
      <c r="J40" s="120" t="s">
        <v>124</v>
      </c>
      <c r="K40" s="120" t="s">
        <v>7</v>
      </c>
      <c r="L40" s="383" t="s">
        <v>125</v>
      </c>
      <c r="M40" s="120" t="s">
        <v>296</v>
      </c>
      <c r="N40" s="383" t="s">
        <v>126</v>
      </c>
      <c r="O40" s="383" t="str">
        <f t="shared" ref="O40:U40" si="10">O$11</f>
        <v>2010 Actual</v>
      </c>
      <c r="P40" s="383" t="str">
        <f t="shared" si="10"/>
        <v>2010 Cost</v>
      </c>
      <c r="Q40" s="384" t="str">
        <f t="shared" si="10"/>
        <v>2011 Annual</v>
      </c>
      <c r="R40" s="383" t="str">
        <f t="shared" si="10"/>
        <v>2012 Add'l</v>
      </c>
      <c r="S40" s="383" t="str">
        <f t="shared" si="10"/>
        <v>2012 Cost</v>
      </c>
      <c r="T40" s="383" t="str">
        <f t="shared" si="10"/>
        <v>2012 Annual</v>
      </c>
      <c r="U40" s="383" t="str">
        <f t="shared" si="10"/>
        <v>2013 Add'l</v>
      </c>
      <c r="V40" s="383" t="str">
        <f>V$11</f>
        <v>2013 Cost</v>
      </c>
    </row>
    <row r="41" spans="1:22" ht="14.25" thickBot="1">
      <c r="A41" s="109" t="s">
        <v>127</v>
      </c>
      <c r="B41" s="423" t="s">
        <v>128</v>
      </c>
      <c r="C41" s="420" t="s">
        <v>118</v>
      </c>
      <c r="D41" s="423" t="s">
        <v>128</v>
      </c>
      <c r="E41" s="420" t="s">
        <v>118</v>
      </c>
      <c r="F41" s="423" t="s">
        <v>128</v>
      </c>
      <c r="G41" s="109" t="s">
        <v>118</v>
      </c>
      <c r="H41" s="412" t="s">
        <v>128</v>
      </c>
      <c r="I41" s="109" t="s">
        <v>118</v>
      </c>
      <c r="J41" s="109" t="s">
        <v>118</v>
      </c>
      <c r="K41" s="109" t="s">
        <v>128</v>
      </c>
      <c r="L41" s="109" t="s">
        <v>118</v>
      </c>
      <c r="M41" s="109" t="s">
        <v>118</v>
      </c>
      <c r="N41" s="109" t="s">
        <v>118</v>
      </c>
      <c r="O41" s="109" t="s">
        <v>128</v>
      </c>
      <c r="P41" s="109" t="s">
        <v>118</v>
      </c>
      <c r="Q41" s="387" t="s">
        <v>128</v>
      </c>
      <c r="R41" s="375" t="s">
        <v>128</v>
      </c>
      <c r="S41" s="375" t="s">
        <v>129</v>
      </c>
      <c r="T41" s="375" t="s">
        <v>128</v>
      </c>
      <c r="U41" s="375" t="s">
        <v>128</v>
      </c>
      <c r="V41" s="375" t="s">
        <v>129</v>
      </c>
    </row>
    <row r="42" spans="1:22" ht="13.5">
      <c r="A42" s="5" t="s">
        <v>119</v>
      </c>
      <c r="B42" s="288">
        <v>4588671</v>
      </c>
      <c r="C42" s="326">
        <v>244.61301035775017</v>
      </c>
      <c r="D42" s="288">
        <v>4057187</v>
      </c>
      <c r="E42" s="326">
        <v>207.35692163015813</v>
      </c>
      <c r="F42" s="281">
        <v>4224654</v>
      </c>
      <c r="G42" s="326">
        <v>207.35515853538823</v>
      </c>
      <c r="H42" s="288">
        <v>5569499</v>
      </c>
      <c r="I42" s="326">
        <v>273.36306076371847</v>
      </c>
      <c r="J42" s="77">
        <v>268.23</v>
      </c>
      <c r="K42" s="214">
        <v>10221123</v>
      </c>
      <c r="L42" s="344">
        <v>424.4</v>
      </c>
      <c r="M42" s="345">
        <v>452.34</v>
      </c>
      <c r="N42" s="326">
        <v>397.09</v>
      </c>
      <c r="O42" s="288">
        <f>DSASUMM!C30</f>
        <v>47269193</v>
      </c>
      <c r="P42" s="329">
        <f>M101INF!P42</f>
        <v>1314.4921999999999</v>
      </c>
      <c r="Q42" s="281">
        <f t="shared" ref="Q42:Q48" si="11">ROUND(Q$38*S42,0)</f>
        <v>46874213</v>
      </c>
      <c r="R42" s="288">
        <f>Q42-O42</f>
        <v>-394980</v>
      </c>
      <c r="S42" s="329">
        <f>P42</f>
        <v>1314.4921999999999</v>
      </c>
      <c r="T42" s="75">
        <f t="shared" ref="T42:T48" si="12">ROUND(T$38*V42,0)</f>
        <v>47042206</v>
      </c>
      <c r="U42" s="589">
        <f t="shared" ref="U42:U48" si="13">T42-Q42</f>
        <v>167993</v>
      </c>
      <c r="V42" s="585">
        <f>P42</f>
        <v>1314.4921999999999</v>
      </c>
    </row>
    <row r="43" spans="1:22" ht="13.5">
      <c r="A43" s="280" t="s">
        <v>120</v>
      </c>
      <c r="B43" s="288">
        <v>2262928</v>
      </c>
      <c r="C43" s="326">
        <v>120.63223323329193</v>
      </c>
      <c r="D43" s="288">
        <v>2353400</v>
      </c>
      <c r="E43" s="326">
        <v>120.27884821784505</v>
      </c>
      <c r="F43" s="281">
        <v>2951811</v>
      </c>
      <c r="G43" s="326">
        <v>144.88127024639246</v>
      </c>
      <c r="H43" s="288">
        <v>2889601</v>
      </c>
      <c r="I43" s="326">
        <v>141.82786885245901</v>
      </c>
      <c r="J43" s="77">
        <v>249.46</v>
      </c>
      <c r="K43" s="214">
        <v>2733417</v>
      </c>
      <c r="L43" s="344">
        <v>61.56</v>
      </c>
      <c r="M43" s="345">
        <v>59.28</v>
      </c>
      <c r="N43" s="326">
        <v>194.25</v>
      </c>
      <c r="O43" s="288">
        <f>DSASUMM!C32</f>
        <v>5925229</v>
      </c>
      <c r="P43" s="329">
        <f>M101INF!P43</f>
        <v>164.77260000000001</v>
      </c>
      <c r="Q43" s="281">
        <f t="shared" si="11"/>
        <v>5875718</v>
      </c>
      <c r="R43" s="288">
        <f t="shared" ref="R43:R48" si="14">Q43-O43</f>
        <v>-49511</v>
      </c>
      <c r="S43" s="329">
        <f t="shared" ref="S43:S48" si="15">P43</f>
        <v>164.77260000000001</v>
      </c>
      <c r="T43" s="75">
        <f t="shared" si="12"/>
        <v>5896776</v>
      </c>
      <c r="U43" s="589">
        <f t="shared" si="13"/>
        <v>21058</v>
      </c>
      <c r="V43" s="585">
        <f t="shared" ref="V43:V48" si="16">P43</f>
        <v>164.77260000000001</v>
      </c>
    </row>
    <row r="44" spans="1:22" ht="13.5">
      <c r="A44" s="280" t="s">
        <v>121</v>
      </c>
      <c r="B44" s="288">
        <v>3244336</v>
      </c>
      <c r="C44" s="326">
        <v>172.94916013199068</v>
      </c>
      <c r="D44" s="288">
        <v>3265363</v>
      </c>
      <c r="E44" s="326">
        <v>166.88794962741869</v>
      </c>
      <c r="F44" s="281">
        <v>3841730</v>
      </c>
      <c r="G44" s="326">
        <v>188.56042014331993</v>
      </c>
      <c r="H44" s="288">
        <v>4407402</v>
      </c>
      <c r="I44" s="326">
        <v>216.32482575831943</v>
      </c>
      <c r="J44" s="77">
        <v>195.33</v>
      </c>
      <c r="K44" s="214">
        <v>5184830</v>
      </c>
      <c r="L44" s="344">
        <v>229.89</v>
      </c>
      <c r="M44" s="345">
        <v>242.49</v>
      </c>
      <c r="N44" s="326">
        <v>270.02</v>
      </c>
      <c r="O44" s="288">
        <f>DSASUMM!C34</f>
        <v>13152322</v>
      </c>
      <c r="P44" s="329">
        <f>M101INF!P44</f>
        <v>365.74829999999997</v>
      </c>
      <c r="Q44" s="281">
        <f t="shared" si="11"/>
        <v>13042423</v>
      </c>
      <c r="R44" s="288">
        <f t="shared" si="14"/>
        <v>-109899</v>
      </c>
      <c r="S44" s="329">
        <f t="shared" si="15"/>
        <v>365.74829999999997</v>
      </c>
      <c r="T44" s="75">
        <f t="shared" si="12"/>
        <v>13089166</v>
      </c>
      <c r="U44" s="589">
        <f t="shared" si="13"/>
        <v>46743</v>
      </c>
      <c r="V44" s="585">
        <f t="shared" si="16"/>
        <v>365.74829999999997</v>
      </c>
    </row>
    <row r="45" spans="1:22" ht="13.5">
      <c r="A45" s="5" t="s">
        <v>272</v>
      </c>
      <c r="B45" s="288">
        <v>1074234</v>
      </c>
      <c r="C45" s="326">
        <v>57.265298071848555</v>
      </c>
      <c r="D45" s="288">
        <v>1346604</v>
      </c>
      <c r="E45" s="326">
        <v>68.822970224162077</v>
      </c>
      <c r="F45" s="281">
        <v>1718898</v>
      </c>
      <c r="G45" s="326">
        <v>84.367232747619511</v>
      </c>
      <c r="H45" s="288">
        <v>1990302</v>
      </c>
      <c r="I45" s="326">
        <v>97.688328261509767</v>
      </c>
      <c r="J45" s="77">
        <v>91.54</v>
      </c>
      <c r="K45" s="214">
        <v>2073473</v>
      </c>
      <c r="L45" s="344">
        <v>108.14</v>
      </c>
      <c r="M45" s="345">
        <v>122.74</v>
      </c>
      <c r="N45" s="326">
        <v>132.63</v>
      </c>
      <c r="O45" s="288">
        <f>DSASUMM!C35</f>
        <v>3217410</v>
      </c>
      <c r="P45" s="329">
        <f>M101INF!P45</f>
        <v>89.471800000000002</v>
      </c>
      <c r="Q45" s="281">
        <f t="shared" si="11"/>
        <v>3190525</v>
      </c>
      <c r="R45" s="288">
        <f t="shared" si="14"/>
        <v>-26885</v>
      </c>
      <c r="S45" s="329">
        <f t="shared" si="15"/>
        <v>89.471800000000002</v>
      </c>
      <c r="T45" s="75">
        <f t="shared" si="12"/>
        <v>3201960</v>
      </c>
      <c r="U45" s="589">
        <f t="shared" si="13"/>
        <v>11435</v>
      </c>
      <c r="V45" s="585">
        <f t="shared" si="16"/>
        <v>89.471800000000002</v>
      </c>
    </row>
    <row r="46" spans="1:22" ht="13.5">
      <c r="A46" s="5" t="s">
        <v>273</v>
      </c>
      <c r="B46" s="288">
        <v>333980</v>
      </c>
      <c r="C46" s="326">
        <v>17.803815788772262</v>
      </c>
      <c r="D46" s="288">
        <v>378061</v>
      </c>
      <c r="E46" s="326">
        <v>19.322147376598419</v>
      </c>
      <c r="F46" s="288">
        <v>292111</v>
      </c>
      <c r="G46" s="326">
        <v>14.337439874349661</v>
      </c>
      <c r="H46" s="288">
        <v>266047</v>
      </c>
      <c r="I46" s="326">
        <v>13.058162363796995</v>
      </c>
      <c r="J46" s="77">
        <v>14.94</v>
      </c>
      <c r="K46" s="214">
        <v>381414</v>
      </c>
      <c r="L46" s="344">
        <v>19.36</v>
      </c>
      <c r="M46" s="345">
        <v>19.399999999999999</v>
      </c>
      <c r="N46" s="326">
        <v>25.92</v>
      </c>
      <c r="O46" s="288">
        <f>DSASUMM!C39</f>
        <v>2531857</v>
      </c>
      <c r="P46" s="329">
        <f>M101INF!P46</f>
        <v>70.407499999999999</v>
      </c>
      <c r="Q46" s="281">
        <f t="shared" si="11"/>
        <v>2510700</v>
      </c>
      <c r="R46" s="288">
        <f t="shared" si="14"/>
        <v>-21157</v>
      </c>
      <c r="S46" s="329">
        <f t="shared" si="15"/>
        <v>70.407499999999999</v>
      </c>
      <c r="T46" s="75">
        <f t="shared" si="12"/>
        <v>2519699</v>
      </c>
      <c r="U46" s="589">
        <f t="shared" si="13"/>
        <v>8999</v>
      </c>
      <c r="V46" s="585">
        <f t="shared" si="16"/>
        <v>70.407499999999999</v>
      </c>
    </row>
    <row r="47" spans="1:22" ht="13.5">
      <c r="A47" s="5" t="s">
        <v>274</v>
      </c>
      <c r="B47" s="288">
        <v>1380013</v>
      </c>
      <c r="C47" s="326">
        <v>73.565774112554564</v>
      </c>
      <c r="D47" s="288">
        <v>1422066</v>
      </c>
      <c r="E47" s="326">
        <v>72.679723196123931</v>
      </c>
      <c r="F47" s="288">
        <v>1708117</v>
      </c>
      <c r="G47" s="326">
        <v>83.838077942475707</v>
      </c>
      <c r="H47" s="288">
        <v>1655142</v>
      </c>
      <c r="I47" s="326">
        <v>81.237950328850502</v>
      </c>
      <c r="J47" s="77">
        <v>77.36</v>
      </c>
      <c r="K47" s="214">
        <v>2232645</v>
      </c>
      <c r="L47" s="344">
        <v>89.12</v>
      </c>
      <c r="M47" s="345">
        <v>89.8</v>
      </c>
      <c r="N47" s="326">
        <v>88.24</v>
      </c>
      <c r="O47" s="288">
        <f>DSASUMM!C40</f>
        <v>3539980</v>
      </c>
      <c r="P47" s="329">
        <f>M101INF!P47</f>
        <v>98.441999999999993</v>
      </c>
      <c r="Q47" s="281">
        <f t="shared" si="11"/>
        <v>3510398</v>
      </c>
      <c r="R47" s="288">
        <f t="shared" si="14"/>
        <v>-29582</v>
      </c>
      <c r="S47" s="329">
        <f t="shared" si="15"/>
        <v>98.441999999999993</v>
      </c>
      <c r="T47" s="75">
        <f t="shared" si="12"/>
        <v>3522979</v>
      </c>
      <c r="U47" s="589">
        <f t="shared" si="13"/>
        <v>12581</v>
      </c>
      <c r="V47" s="585">
        <f t="shared" si="16"/>
        <v>98.441999999999993</v>
      </c>
    </row>
    <row r="48" spans="1:22" ht="13.5">
      <c r="A48" s="5" t="s">
        <v>275</v>
      </c>
      <c r="B48" s="288">
        <v>7646527</v>
      </c>
      <c r="C48" s="326">
        <v>407.62128909477633</v>
      </c>
      <c r="D48" s="288">
        <v>17288242</v>
      </c>
      <c r="E48" s="326">
        <v>883.57688258323026</v>
      </c>
      <c r="F48" s="288">
        <v>6686660</v>
      </c>
      <c r="G48" s="326">
        <v>328.19573966820457</v>
      </c>
      <c r="H48" s="288">
        <v>8200377</v>
      </c>
      <c r="I48" s="326">
        <v>402.49224501816042</v>
      </c>
      <c r="J48" s="77">
        <v>384.13</v>
      </c>
      <c r="K48" s="214">
        <v>9704400</v>
      </c>
      <c r="L48" s="333">
        <v>253.57</v>
      </c>
      <c r="M48" s="347">
        <v>330.62</v>
      </c>
      <c r="N48" s="348">
        <v>331.84</v>
      </c>
      <c r="O48" s="288">
        <f>DSASUMM!C41</f>
        <v>9719021</v>
      </c>
      <c r="P48" s="335">
        <f>M101INF!P48</f>
        <v>270.27280000000002</v>
      </c>
      <c r="Q48" s="414">
        <f t="shared" si="11"/>
        <v>9637809</v>
      </c>
      <c r="R48" s="288">
        <f t="shared" si="14"/>
        <v>-81212</v>
      </c>
      <c r="S48" s="329">
        <f t="shared" si="15"/>
        <v>270.27280000000002</v>
      </c>
      <c r="T48" s="75">
        <f t="shared" si="12"/>
        <v>9672350</v>
      </c>
      <c r="U48" s="589">
        <f t="shared" si="13"/>
        <v>34541</v>
      </c>
      <c r="V48" s="585">
        <f t="shared" si="16"/>
        <v>270.27280000000002</v>
      </c>
    </row>
    <row r="49" spans="1:22" ht="13.5">
      <c r="A49" s="5"/>
      <c r="B49" s="309">
        <v>13679090</v>
      </c>
      <c r="C49" s="5"/>
      <c r="D49" s="309">
        <v>23700336</v>
      </c>
      <c r="E49" s="5"/>
      <c r="F49" s="309">
        <v>21423981</v>
      </c>
      <c r="G49" s="5"/>
      <c r="H49" s="309">
        <v>24978370</v>
      </c>
      <c r="I49" s="5"/>
      <c r="J49" s="75"/>
      <c r="K49" s="309">
        <v>32531302</v>
      </c>
      <c r="L49" s="77">
        <v>1186.04</v>
      </c>
      <c r="M49" s="345">
        <v>1316.67</v>
      </c>
      <c r="N49" s="424">
        <v>1439.99</v>
      </c>
      <c r="O49" s="393">
        <f t="shared" ref="O49:V49" si="17">SUM(O42:O48)</f>
        <v>85355012</v>
      </c>
      <c r="P49" s="425">
        <f t="shared" si="17"/>
        <v>2373.6071999999999</v>
      </c>
      <c r="Q49" s="393">
        <f t="shared" si="17"/>
        <v>84641786</v>
      </c>
      <c r="R49" s="396">
        <f t="shared" si="17"/>
        <v>-713226</v>
      </c>
      <c r="S49" s="415">
        <f t="shared" si="17"/>
        <v>2373.6071999999999</v>
      </c>
      <c r="T49" s="393">
        <f t="shared" si="17"/>
        <v>84945136</v>
      </c>
      <c r="U49" s="396">
        <f t="shared" si="17"/>
        <v>303350</v>
      </c>
      <c r="V49" s="586">
        <f t="shared" si="17"/>
        <v>2373.6071999999999</v>
      </c>
    </row>
    <row r="50" spans="1:22" ht="13.5">
      <c r="A50" s="5"/>
      <c r="B50" s="288"/>
      <c r="C50" s="5"/>
      <c r="D50" s="288"/>
      <c r="E50" s="5"/>
      <c r="F50" s="288"/>
      <c r="G50" s="5"/>
      <c r="H50" s="281"/>
      <c r="I50" s="5"/>
      <c r="J50" s="295"/>
      <c r="K50" s="75"/>
      <c r="L50" s="281"/>
      <c r="M50" s="5"/>
      <c r="N50" s="5"/>
      <c r="O50" s="339"/>
      <c r="P50" s="339"/>
      <c r="Q50" s="398">
        <f>Q49-O49</f>
        <v>-713226</v>
      </c>
      <c r="R50" s="399"/>
      <c r="S50" s="426"/>
      <c r="T50" s="396">
        <f>T49-O49</f>
        <v>-409876</v>
      </c>
      <c r="U50" s="5"/>
    </row>
    <row r="51" spans="1:22" ht="13.5">
      <c r="A51" s="5"/>
      <c r="B51" s="5"/>
      <c r="C51" s="5"/>
      <c r="D51" s="5"/>
      <c r="E51" s="5"/>
      <c r="F51" s="5"/>
      <c r="G51" s="5"/>
      <c r="H51" s="281"/>
      <c r="I51" s="5"/>
      <c r="J51" s="295"/>
      <c r="K51" s="75"/>
      <c r="L51" s="281"/>
      <c r="M51" s="5"/>
      <c r="N51" s="5"/>
      <c r="O51" s="339"/>
      <c r="P51" s="339"/>
      <c r="Q51" s="427">
        <f>SUM(Q19+Q34+Q50)</f>
        <v>414833</v>
      </c>
      <c r="R51" s="399"/>
      <c r="S51" s="400"/>
      <c r="T51" s="395">
        <f>SUM(T19+T34+T50)</f>
        <v>1462665</v>
      </c>
      <c r="U51" s="78"/>
    </row>
    <row r="52" spans="1:22" ht="13.5">
      <c r="A52" s="5"/>
      <c r="B52" s="5"/>
      <c r="C52" s="5"/>
      <c r="D52" s="5"/>
      <c r="E52" s="5"/>
      <c r="F52" s="5"/>
      <c r="G52" s="5"/>
      <c r="H52" s="5"/>
      <c r="I52" s="5"/>
      <c r="J52" s="5"/>
      <c r="K52" s="10"/>
      <c r="L52" s="10"/>
      <c r="M52" s="10"/>
      <c r="N52" s="10"/>
      <c r="O52" s="353" t="s">
        <v>282</v>
      </c>
      <c r="P52" s="355"/>
      <c r="Q52" s="354"/>
      <c r="R52" s="356"/>
      <c r="S52" s="357"/>
      <c r="T52" s="358"/>
      <c r="U52" s="587"/>
    </row>
    <row r="53" spans="1:22" ht="13.5">
      <c r="A53" s="5"/>
      <c r="B53" s="5"/>
      <c r="C53" s="5"/>
      <c r="D53" s="5"/>
      <c r="E53" s="5"/>
      <c r="F53" s="5"/>
      <c r="G53" s="5"/>
      <c r="H53" s="5"/>
      <c r="I53" s="5"/>
      <c r="J53" s="359"/>
      <c r="K53" s="10"/>
      <c r="L53" s="10"/>
      <c r="M53" s="10"/>
      <c r="N53" s="10"/>
      <c r="O53" s="259" t="s">
        <v>188</v>
      </c>
      <c r="P53" s="362" t="s">
        <v>138</v>
      </c>
      <c r="Q53" s="198">
        <v>2012</v>
      </c>
      <c r="R53" s="362" t="s">
        <v>226</v>
      </c>
      <c r="S53" s="198">
        <v>2013</v>
      </c>
      <c r="T53" s="199" t="s">
        <v>226</v>
      </c>
      <c r="U53" s="587"/>
    </row>
    <row r="54" spans="1:22" ht="13.5">
      <c r="A54" s="5"/>
      <c r="B54" s="5"/>
      <c r="C54" s="5"/>
      <c r="D54" s="5"/>
      <c r="E54" s="5"/>
      <c r="F54" s="5"/>
      <c r="G54" s="5"/>
      <c r="H54" s="5"/>
      <c r="I54" s="5"/>
      <c r="J54" s="214"/>
      <c r="K54" s="10"/>
      <c r="L54" s="10"/>
      <c r="M54" s="10"/>
      <c r="N54" s="10"/>
      <c r="O54" s="235" t="s">
        <v>189</v>
      </c>
      <c r="P54" s="364" t="s">
        <v>128</v>
      </c>
      <c r="Q54" s="202" t="s">
        <v>278</v>
      </c>
      <c r="R54" s="364" t="s">
        <v>230</v>
      </c>
      <c r="S54" s="202" t="s">
        <v>278</v>
      </c>
      <c r="T54" s="203" t="s">
        <v>230</v>
      </c>
      <c r="U54" s="587"/>
    </row>
    <row r="55" spans="1:22" ht="13.5">
      <c r="A55" s="5"/>
      <c r="B55" s="5"/>
      <c r="C55" s="5"/>
      <c r="D55" s="5"/>
      <c r="E55" s="5"/>
      <c r="F55" s="5"/>
      <c r="G55" s="5"/>
      <c r="H55" s="5"/>
      <c r="I55" s="5"/>
      <c r="J55" s="214"/>
      <c r="K55" s="10"/>
      <c r="L55" s="10"/>
      <c r="M55" s="10"/>
      <c r="N55" s="10"/>
      <c r="O55" s="365" t="s">
        <v>132</v>
      </c>
      <c r="P55" s="428">
        <f>O13</f>
        <v>12057552</v>
      </c>
      <c r="Q55" s="288">
        <f>Q13</f>
        <v>12266899</v>
      </c>
      <c r="R55" s="288">
        <f>Q55-P55</f>
        <v>209347</v>
      </c>
      <c r="S55" s="288">
        <f>T13</f>
        <v>12290277</v>
      </c>
      <c r="T55" s="366">
        <f>S55-P55</f>
        <v>232725</v>
      </c>
      <c r="U55" s="587"/>
    </row>
    <row r="56" spans="1:22" ht="13.5">
      <c r="A56" s="5"/>
      <c r="B56" s="5"/>
      <c r="C56" s="5"/>
      <c r="D56" s="5"/>
      <c r="E56" s="5"/>
      <c r="F56" s="5"/>
      <c r="G56" s="5"/>
      <c r="H56" s="5"/>
      <c r="I56" s="5"/>
      <c r="J56" s="214"/>
      <c r="K56" s="10"/>
      <c r="L56" s="10"/>
      <c r="M56" s="10"/>
      <c r="N56" s="10"/>
      <c r="O56" s="365" t="s">
        <v>133</v>
      </c>
      <c r="P56" s="428">
        <f>O14</f>
        <v>65089232</v>
      </c>
      <c r="Q56" s="288">
        <f>Q14</f>
        <v>66214766</v>
      </c>
      <c r="R56" s="288">
        <f>Q56-P56</f>
        <v>1125534</v>
      </c>
      <c r="S56" s="288">
        <f>T14</f>
        <v>66340956</v>
      </c>
      <c r="T56" s="367">
        <f>S56-P56</f>
        <v>1251724</v>
      </c>
      <c r="U56" s="587"/>
    </row>
    <row r="57" spans="1:22" ht="13.5">
      <c r="A57" s="5"/>
      <c r="B57" s="5"/>
      <c r="C57" s="5"/>
      <c r="D57" s="5"/>
      <c r="E57" s="5"/>
      <c r="F57" s="5"/>
      <c r="G57" s="5"/>
      <c r="H57" s="5"/>
      <c r="I57" s="5"/>
      <c r="J57" s="214"/>
      <c r="K57" s="10"/>
      <c r="L57" s="10"/>
      <c r="M57" s="10"/>
      <c r="N57" s="10"/>
      <c r="O57" s="365" t="s">
        <v>279</v>
      </c>
      <c r="P57" s="428">
        <f>O15</f>
        <v>26757018</v>
      </c>
      <c r="Q57" s="288">
        <f>Q15</f>
        <v>27218456</v>
      </c>
      <c r="R57" s="288">
        <f t="shared" ref="R57:R71" si="18">Q57-P57</f>
        <v>461438</v>
      </c>
      <c r="S57" s="288">
        <f>T15</f>
        <v>27270328</v>
      </c>
      <c r="T57" s="367">
        <f t="shared" ref="T57:T71" si="19">S57-P57</f>
        <v>513310</v>
      </c>
      <c r="U57" s="587"/>
    </row>
    <row r="58" spans="1:22" ht="13.5">
      <c r="A58" s="5"/>
      <c r="B58" s="5"/>
      <c r="C58" s="5"/>
      <c r="D58" s="5"/>
      <c r="E58" s="5"/>
      <c r="F58" s="5"/>
      <c r="G58" s="5"/>
      <c r="H58" s="5"/>
      <c r="I58" s="5"/>
      <c r="J58" s="5"/>
      <c r="K58" s="10"/>
      <c r="L58" s="10"/>
      <c r="M58" s="10"/>
      <c r="N58" s="10"/>
      <c r="O58" s="365" t="s">
        <v>101</v>
      </c>
      <c r="P58" s="428">
        <f>O16</f>
        <v>1981658</v>
      </c>
      <c r="Q58" s="288">
        <f>Q16</f>
        <v>2017314</v>
      </c>
      <c r="R58" s="288">
        <f t="shared" si="18"/>
        <v>35656</v>
      </c>
      <c r="S58" s="288">
        <f>T16</f>
        <v>2021159</v>
      </c>
      <c r="T58" s="367">
        <f t="shared" si="19"/>
        <v>39501</v>
      </c>
      <c r="U58" s="587"/>
    </row>
    <row r="59" spans="1:22" ht="13.5">
      <c r="A59" s="5"/>
      <c r="B59" s="5"/>
      <c r="C59" s="5"/>
      <c r="D59" s="5"/>
      <c r="E59" s="5"/>
      <c r="F59" s="5"/>
      <c r="G59" s="5"/>
      <c r="H59" s="5"/>
      <c r="I59" s="5"/>
      <c r="J59" s="5"/>
      <c r="K59" s="10"/>
      <c r="L59" s="10"/>
      <c r="M59" s="10"/>
      <c r="N59" s="10"/>
      <c r="O59" s="78" t="s">
        <v>102</v>
      </c>
      <c r="P59" s="428">
        <f>O17</f>
        <v>25553696</v>
      </c>
      <c r="Q59" s="288">
        <f>Q17</f>
        <v>25995842</v>
      </c>
      <c r="R59" s="288">
        <f t="shared" si="18"/>
        <v>442146</v>
      </c>
      <c r="S59" s="288">
        <f>T17</f>
        <v>26045384</v>
      </c>
      <c r="T59" s="367">
        <f t="shared" si="19"/>
        <v>491688</v>
      </c>
      <c r="U59" s="587"/>
    </row>
    <row r="60" spans="1:22" ht="13.5">
      <c r="A60" s="5"/>
      <c r="B60" s="5"/>
      <c r="C60" s="5"/>
      <c r="D60" s="5"/>
      <c r="E60" s="5"/>
      <c r="F60" s="5"/>
      <c r="G60" s="5"/>
      <c r="H60" s="5"/>
      <c r="I60" s="5"/>
      <c r="J60" s="5"/>
      <c r="K60" s="10"/>
      <c r="L60" s="10"/>
      <c r="M60" s="10"/>
      <c r="N60" s="10"/>
      <c r="O60" s="365" t="s">
        <v>108</v>
      </c>
      <c r="P60" s="288">
        <f t="shared" ref="P60:P65" si="20">O27</f>
        <v>16707325</v>
      </c>
      <c r="Q60" s="288">
        <f t="shared" ref="Q60:Q65" si="21">Q27</f>
        <v>16568311</v>
      </c>
      <c r="R60" s="288">
        <f t="shared" si="18"/>
        <v>-139014</v>
      </c>
      <c r="S60" s="288">
        <f t="shared" ref="S60:S65" si="22">T27</f>
        <v>16627695</v>
      </c>
      <c r="T60" s="367">
        <f t="shared" si="19"/>
        <v>-79630</v>
      </c>
      <c r="U60" s="587"/>
    </row>
    <row r="61" spans="1:22" ht="13.5">
      <c r="A61" s="5"/>
      <c r="B61" s="5"/>
      <c r="C61" s="5"/>
      <c r="D61" s="5"/>
      <c r="E61" s="5"/>
      <c r="F61" s="5"/>
      <c r="G61" s="5"/>
      <c r="H61" s="5"/>
      <c r="I61" s="5"/>
      <c r="J61" s="5"/>
      <c r="K61" s="10"/>
      <c r="L61" s="10"/>
      <c r="M61" s="10"/>
      <c r="N61" s="10"/>
      <c r="O61" s="365" t="s">
        <v>109</v>
      </c>
      <c r="P61" s="288">
        <f t="shared" si="20"/>
        <v>23810368</v>
      </c>
      <c r="Q61" s="288">
        <f t="shared" si="21"/>
        <v>23612288</v>
      </c>
      <c r="R61" s="288">
        <f t="shared" si="18"/>
        <v>-198080</v>
      </c>
      <c r="S61" s="288">
        <f t="shared" si="22"/>
        <v>23696920</v>
      </c>
      <c r="T61" s="367">
        <f t="shared" si="19"/>
        <v>-113448</v>
      </c>
      <c r="U61" s="587"/>
    </row>
    <row r="62" spans="1:22" ht="13.5">
      <c r="A62" s="5"/>
      <c r="B62" s="5"/>
      <c r="C62" s="5"/>
      <c r="D62" s="5"/>
      <c r="E62" s="5"/>
      <c r="F62" s="5"/>
      <c r="G62" s="5"/>
      <c r="H62" s="5"/>
      <c r="I62" s="5"/>
      <c r="J62" s="5"/>
      <c r="K62" s="10"/>
      <c r="L62" s="10"/>
      <c r="M62" s="10"/>
      <c r="N62" s="10"/>
      <c r="O62" s="365" t="s">
        <v>110</v>
      </c>
      <c r="P62" s="288">
        <f t="shared" si="20"/>
        <v>2397912</v>
      </c>
      <c r="Q62" s="288">
        <f t="shared" si="21"/>
        <v>2377982</v>
      </c>
      <c r="R62" s="288">
        <f t="shared" si="18"/>
        <v>-19930</v>
      </c>
      <c r="S62" s="288">
        <f t="shared" si="22"/>
        <v>2386505</v>
      </c>
      <c r="T62" s="367">
        <f t="shared" si="19"/>
        <v>-11407</v>
      </c>
      <c r="U62" s="587"/>
    </row>
    <row r="63" spans="1:22" ht="13.5">
      <c r="A63" s="5"/>
      <c r="B63" s="5"/>
      <c r="C63" s="5"/>
      <c r="D63" s="5"/>
      <c r="E63" s="5"/>
      <c r="F63" s="5"/>
      <c r="G63" s="5"/>
      <c r="H63" s="5"/>
      <c r="I63" s="5"/>
      <c r="J63" s="5"/>
      <c r="K63" s="10"/>
      <c r="L63" s="10"/>
      <c r="M63" s="10"/>
      <c r="N63" s="10"/>
      <c r="O63" s="78" t="s">
        <v>111</v>
      </c>
      <c r="P63" s="288">
        <f t="shared" si="20"/>
        <v>70944435</v>
      </c>
      <c r="Q63" s="288">
        <f t="shared" si="21"/>
        <v>70354238</v>
      </c>
      <c r="R63" s="288">
        <f t="shared" si="18"/>
        <v>-590197</v>
      </c>
      <c r="S63" s="288">
        <f t="shared" si="22"/>
        <v>70606404</v>
      </c>
      <c r="T63" s="367">
        <f t="shared" si="19"/>
        <v>-338031</v>
      </c>
      <c r="U63" s="587"/>
    </row>
    <row r="64" spans="1:22" ht="13.5">
      <c r="A64" s="5"/>
      <c r="B64" s="5"/>
      <c r="C64" s="5"/>
      <c r="D64" s="5"/>
      <c r="E64" s="5"/>
      <c r="F64" s="5"/>
      <c r="G64" s="5"/>
      <c r="H64" s="5"/>
      <c r="I64" s="5"/>
      <c r="J64" s="5"/>
      <c r="K64" s="10"/>
      <c r="L64" s="10"/>
      <c r="M64" s="10"/>
      <c r="N64" s="10"/>
      <c r="O64" s="78" t="s">
        <v>187</v>
      </c>
      <c r="P64" s="288">
        <f t="shared" si="20"/>
        <v>7384984</v>
      </c>
      <c r="Q64" s="288">
        <f t="shared" si="21"/>
        <v>7323544</v>
      </c>
      <c r="R64" s="288">
        <f t="shared" si="18"/>
        <v>-61440</v>
      </c>
      <c r="S64" s="288">
        <f t="shared" si="22"/>
        <v>7349793</v>
      </c>
      <c r="T64" s="367">
        <f t="shared" si="19"/>
        <v>-35191</v>
      </c>
      <c r="U64" s="587"/>
    </row>
    <row r="65" spans="1:21" ht="13.5">
      <c r="A65" s="5"/>
      <c r="B65" s="5"/>
      <c r="C65" s="5"/>
      <c r="D65" s="5"/>
      <c r="E65" s="5"/>
      <c r="F65" s="5"/>
      <c r="G65" s="5"/>
      <c r="H65" s="5"/>
      <c r="I65" s="5"/>
      <c r="J65" s="5"/>
      <c r="K65" s="10"/>
      <c r="L65" s="10"/>
      <c r="M65" s="10"/>
      <c r="N65" s="10"/>
      <c r="O65" s="78" t="s">
        <v>114</v>
      </c>
      <c r="P65" s="288">
        <f t="shared" si="20"/>
        <v>16515016</v>
      </c>
      <c r="Q65" s="288">
        <f t="shared" si="21"/>
        <v>16377615</v>
      </c>
      <c r="R65" s="288">
        <f t="shared" si="18"/>
        <v>-137401</v>
      </c>
      <c r="S65" s="288">
        <f t="shared" si="22"/>
        <v>16436316</v>
      </c>
      <c r="T65" s="367">
        <f t="shared" si="19"/>
        <v>-78700</v>
      </c>
      <c r="U65" s="587"/>
    </row>
    <row r="66" spans="1:21" ht="13.5">
      <c r="A66" s="5"/>
      <c r="B66" s="5"/>
      <c r="C66" s="5"/>
      <c r="D66" s="5"/>
      <c r="E66" s="5"/>
      <c r="F66" s="5"/>
      <c r="G66" s="5"/>
      <c r="H66" s="5"/>
      <c r="I66" s="5"/>
      <c r="J66" s="5"/>
      <c r="K66" s="10"/>
      <c r="L66" s="10"/>
      <c r="M66" s="10"/>
      <c r="N66" s="10"/>
      <c r="O66" s="78" t="s">
        <v>119</v>
      </c>
      <c r="P66" s="288">
        <f t="shared" ref="P66:P72" si="23">O42</f>
        <v>47269193</v>
      </c>
      <c r="Q66" s="288">
        <f t="shared" ref="Q66:Q72" si="24">Q42</f>
        <v>46874213</v>
      </c>
      <c r="R66" s="288">
        <f t="shared" si="18"/>
        <v>-394980</v>
      </c>
      <c r="S66" s="288">
        <f t="shared" ref="S66:S72" si="25">T42</f>
        <v>47042206</v>
      </c>
      <c r="T66" s="367">
        <f t="shared" si="19"/>
        <v>-226987</v>
      </c>
      <c r="U66" s="587"/>
    </row>
    <row r="67" spans="1:21" ht="13.5">
      <c r="A67" s="5"/>
      <c r="B67" s="5"/>
      <c r="C67" s="5"/>
      <c r="D67" s="5"/>
      <c r="E67" s="5"/>
      <c r="F67" s="5"/>
      <c r="G67" s="5"/>
      <c r="H67" s="5"/>
      <c r="I67" s="5"/>
      <c r="J67" s="5"/>
      <c r="K67" s="10"/>
      <c r="L67" s="10"/>
      <c r="M67" s="10"/>
      <c r="N67" s="10"/>
      <c r="O67" s="365" t="s">
        <v>120</v>
      </c>
      <c r="P67" s="288">
        <f t="shared" si="23"/>
        <v>5925229</v>
      </c>
      <c r="Q67" s="288">
        <f t="shared" si="24"/>
        <v>5875718</v>
      </c>
      <c r="R67" s="288">
        <f t="shared" si="18"/>
        <v>-49511</v>
      </c>
      <c r="S67" s="288">
        <f t="shared" si="25"/>
        <v>5896776</v>
      </c>
      <c r="T67" s="367">
        <f t="shared" si="19"/>
        <v>-28453</v>
      </c>
      <c r="U67" s="587"/>
    </row>
    <row r="68" spans="1:21" ht="13.5">
      <c r="A68" s="5"/>
      <c r="B68" s="5"/>
      <c r="C68" s="5"/>
      <c r="D68" s="5"/>
      <c r="E68" s="5"/>
      <c r="F68" s="5"/>
      <c r="G68" s="5"/>
      <c r="H68" s="5"/>
      <c r="I68" s="5"/>
      <c r="J68" s="5"/>
      <c r="K68" s="10"/>
      <c r="L68" s="10"/>
      <c r="M68" s="10"/>
      <c r="N68" s="10"/>
      <c r="O68" s="365" t="s">
        <v>121</v>
      </c>
      <c r="P68" s="288">
        <f t="shared" si="23"/>
        <v>13152322</v>
      </c>
      <c r="Q68" s="288">
        <f t="shared" si="24"/>
        <v>13042423</v>
      </c>
      <c r="R68" s="288">
        <f t="shared" si="18"/>
        <v>-109899</v>
      </c>
      <c r="S68" s="288">
        <f t="shared" si="25"/>
        <v>13089166</v>
      </c>
      <c r="T68" s="367">
        <f t="shared" si="19"/>
        <v>-63156</v>
      </c>
      <c r="U68" s="587"/>
    </row>
    <row r="69" spans="1:21" ht="13.5">
      <c r="A69" s="5"/>
      <c r="B69" s="5"/>
      <c r="C69" s="5"/>
      <c r="D69" s="5"/>
      <c r="E69" s="5"/>
      <c r="F69" s="5"/>
      <c r="G69" s="5"/>
      <c r="H69" s="5"/>
      <c r="I69" s="5"/>
      <c r="J69" s="5"/>
      <c r="K69" s="10"/>
      <c r="L69" s="10"/>
      <c r="M69" s="10"/>
      <c r="N69" s="10"/>
      <c r="O69" s="78" t="s">
        <v>272</v>
      </c>
      <c r="P69" s="288">
        <f t="shared" si="23"/>
        <v>3217410</v>
      </c>
      <c r="Q69" s="288">
        <f t="shared" si="24"/>
        <v>3190525</v>
      </c>
      <c r="R69" s="288">
        <f t="shared" si="18"/>
        <v>-26885</v>
      </c>
      <c r="S69" s="288">
        <f t="shared" si="25"/>
        <v>3201960</v>
      </c>
      <c r="T69" s="367">
        <f t="shared" si="19"/>
        <v>-15450</v>
      </c>
      <c r="U69" s="587"/>
    </row>
    <row r="70" spans="1:21" ht="13.5">
      <c r="A70" s="5"/>
      <c r="B70" s="5"/>
      <c r="C70" s="5"/>
      <c r="D70" s="5"/>
      <c r="E70" s="5"/>
      <c r="F70" s="5"/>
      <c r="G70" s="5"/>
      <c r="H70" s="5"/>
      <c r="I70" s="5"/>
      <c r="J70" s="5"/>
      <c r="K70" s="10"/>
      <c r="L70" s="10"/>
      <c r="M70" s="10"/>
      <c r="N70" s="10"/>
      <c r="O70" s="78" t="s">
        <v>273</v>
      </c>
      <c r="P70" s="288">
        <f t="shared" si="23"/>
        <v>2531857</v>
      </c>
      <c r="Q70" s="288">
        <f t="shared" si="24"/>
        <v>2510700</v>
      </c>
      <c r="R70" s="288">
        <f t="shared" si="18"/>
        <v>-21157</v>
      </c>
      <c r="S70" s="288">
        <f t="shared" si="25"/>
        <v>2519699</v>
      </c>
      <c r="T70" s="367">
        <f t="shared" si="19"/>
        <v>-12158</v>
      </c>
      <c r="U70" s="587"/>
    </row>
    <row r="71" spans="1:21" ht="13.5">
      <c r="A71" s="5"/>
      <c r="B71" s="5"/>
      <c r="C71" s="5"/>
      <c r="D71" s="5"/>
      <c r="E71" s="5"/>
      <c r="F71" s="5"/>
      <c r="G71" s="5"/>
      <c r="H71" s="5"/>
      <c r="I71" s="5"/>
      <c r="J71" s="5"/>
      <c r="K71" s="10"/>
      <c r="L71" s="10"/>
      <c r="M71" s="10"/>
      <c r="N71" s="10"/>
      <c r="O71" s="78" t="s">
        <v>274</v>
      </c>
      <c r="P71" s="288">
        <f t="shared" si="23"/>
        <v>3539980</v>
      </c>
      <c r="Q71" s="288">
        <f t="shared" si="24"/>
        <v>3510398</v>
      </c>
      <c r="R71" s="288">
        <f t="shared" si="18"/>
        <v>-29582</v>
      </c>
      <c r="S71" s="288">
        <f t="shared" si="25"/>
        <v>3522979</v>
      </c>
      <c r="T71" s="367">
        <f t="shared" si="19"/>
        <v>-17001</v>
      </c>
      <c r="U71" s="587"/>
    </row>
    <row r="72" spans="1:21" ht="14.25" thickBot="1">
      <c r="A72" s="5"/>
      <c r="B72" s="5"/>
      <c r="C72" s="5"/>
      <c r="D72" s="288"/>
      <c r="E72" s="5"/>
      <c r="F72" s="288"/>
      <c r="G72" s="5"/>
      <c r="H72" s="5"/>
      <c r="I72" s="5"/>
      <c r="J72" s="5"/>
      <c r="K72" s="10"/>
      <c r="L72" s="10"/>
      <c r="M72" s="10"/>
      <c r="N72" s="10"/>
      <c r="O72" s="78" t="s">
        <v>275</v>
      </c>
      <c r="P72" s="288">
        <f t="shared" si="23"/>
        <v>9719021</v>
      </c>
      <c r="Q72" s="288">
        <f t="shared" si="24"/>
        <v>9637809</v>
      </c>
      <c r="R72" s="288">
        <f>Q72-P72</f>
        <v>-81212</v>
      </c>
      <c r="S72" s="288">
        <f t="shared" si="25"/>
        <v>9672350</v>
      </c>
      <c r="T72" s="367">
        <f>S72-P72</f>
        <v>-46671</v>
      </c>
      <c r="U72" s="587"/>
    </row>
    <row r="73" spans="1:21" ht="13.5">
      <c r="A73" s="5"/>
      <c r="B73" s="5"/>
      <c r="C73" s="5"/>
      <c r="D73" s="5"/>
      <c r="E73" s="5"/>
      <c r="F73" s="5"/>
      <c r="G73" s="5"/>
      <c r="H73" s="5"/>
      <c r="I73" s="5"/>
      <c r="J73" s="5"/>
      <c r="K73" s="10"/>
      <c r="L73" s="10"/>
      <c r="M73" s="10"/>
      <c r="N73" s="10"/>
      <c r="O73" s="71"/>
      <c r="P73" s="402">
        <f>SUM(P55:P72)</f>
        <v>354554208</v>
      </c>
      <c r="Q73" s="402">
        <f>SUM(Q55:Q72)</f>
        <v>354969041</v>
      </c>
      <c r="R73" s="402">
        <f>(Q73-P73)</f>
        <v>414833</v>
      </c>
      <c r="S73" s="402">
        <f>SUM(S55:S72)</f>
        <v>356016873</v>
      </c>
      <c r="T73" s="588">
        <f>SUM(T55:T72)</f>
        <v>1462665</v>
      </c>
      <c r="U73" s="587"/>
    </row>
  </sheetData>
  <mergeCells count="1">
    <mergeCell ref="A1:U1"/>
  </mergeCells>
  <phoneticPr fontId="0" type="noConversion"/>
  <printOptions horizontalCentered="1" headings="1" gridLinesSet="0"/>
  <pageMargins left="0.5" right="0.5" top="0.25" bottom="0.5" header="0.25" footer="0.5"/>
  <pageSetup scale="74" orientation="portrait" r:id="rId1"/>
  <headerFooter alignWithMargins="0">
    <oddFooter>&amp;L&amp;D &amp;T&amp;C&amp;P of &amp;N&amp;R&amp;F &amp;A</oddFooter>
  </headerFooter>
  <rowBreaks count="1" manualBreakCount="1">
    <brk id="35" max="20" man="1"/>
  </rowBreaks>
  <legacyDrawing r:id="rId2"/>
  <extLst>
    <ext xmlns:mx="http://schemas.microsoft.com/office/mac/excel/2008/main" uri="http://schemas.microsoft.com/office/mac/excel/2008/main">
      <mx:PLV Mode="0" OnePage="0" WScale="0"/>
    </ext>
  </extLst>
</worksheet>
</file>

<file path=xl/worksheets/sheet15.xml><?xml version="1.0" encoding="utf-8"?>
<worksheet xmlns="http://schemas.openxmlformats.org/spreadsheetml/2006/main" xmlns:r="http://schemas.openxmlformats.org/officeDocument/2006/relationships">
  <sheetPr codeName="Sheet11" enableFormatConditionsCalculation="0"/>
  <dimension ref="A1:V73"/>
  <sheetViews>
    <sheetView showGridLines="0" topLeftCell="A56" zoomScale="125" workbookViewId="0">
      <selection activeCell="T76" sqref="T76"/>
    </sheetView>
  </sheetViews>
  <sheetFormatPr defaultColWidth="8.85546875" defaultRowHeight="13.5"/>
  <cols>
    <col min="1" max="1" width="16" style="31" customWidth="1"/>
    <col min="2" max="12" width="9.140625" style="31" hidden="1" customWidth="1"/>
    <col min="13" max="13" width="9.7109375" style="31" hidden="1" customWidth="1"/>
    <col min="14" max="14" width="9.42578125" style="31" hidden="1" customWidth="1"/>
    <col min="15" max="15" width="9.42578125" style="31" customWidth="1"/>
    <col min="16" max="16" width="8.85546875" style="31"/>
    <col min="17" max="17" width="10.28515625" style="31" bestFit="1" customWidth="1"/>
    <col min="18" max="19" width="8.85546875" style="31"/>
    <col min="20" max="20" width="10.7109375" style="31" bestFit="1" customWidth="1"/>
    <col min="21" max="21" width="8.85546875" style="31"/>
    <col min="22" max="22" width="10.7109375" style="9" bestFit="1" customWidth="1"/>
    <col min="23" max="16384" width="8.85546875" style="9"/>
  </cols>
  <sheetData>
    <row r="1" spans="1:22">
      <c r="A1" s="1061" t="s">
        <v>477</v>
      </c>
      <c r="B1" s="1062"/>
      <c r="C1" s="1062"/>
      <c r="D1" s="1062"/>
      <c r="E1" s="1062"/>
      <c r="F1" s="1062"/>
      <c r="G1" s="1062"/>
      <c r="H1" s="1062"/>
      <c r="I1" s="1062"/>
      <c r="J1" s="1062"/>
      <c r="K1" s="1062"/>
      <c r="L1" s="1062"/>
      <c r="M1" s="1062"/>
      <c r="N1" s="1062"/>
      <c r="O1" s="1062"/>
      <c r="P1" s="1062"/>
      <c r="Q1" s="1062"/>
      <c r="R1" s="1062"/>
      <c r="S1" s="1062"/>
      <c r="T1" s="1062"/>
      <c r="U1" s="1063"/>
    </row>
    <row r="2" spans="1:22">
      <c r="A2" s="269" t="s">
        <v>241</v>
      </c>
      <c r="B2" s="270"/>
      <c r="C2" s="270" t="s">
        <v>68</v>
      </c>
      <c r="D2" s="271" t="s">
        <v>0</v>
      </c>
      <c r="E2" s="270" t="s">
        <v>1</v>
      </c>
      <c r="F2" s="271" t="s">
        <v>2</v>
      </c>
      <c r="G2" s="270" t="s">
        <v>3</v>
      </c>
      <c r="H2" s="271" t="s">
        <v>4</v>
      </c>
      <c r="I2" s="270" t="s">
        <v>5</v>
      </c>
      <c r="J2" s="270" t="s">
        <v>6</v>
      </c>
      <c r="K2" s="272" t="s">
        <v>7</v>
      </c>
      <c r="L2" s="272" t="s">
        <v>8</v>
      </c>
      <c r="M2" s="272" t="s">
        <v>295</v>
      </c>
      <c r="N2" s="270" t="s">
        <v>294</v>
      </c>
      <c r="O2" s="272" t="s">
        <v>138</v>
      </c>
      <c r="P2" s="272" t="s">
        <v>440</v>
      </c>
      <c r="Q2" s="272" t="s">
        <v>442</v>
      </c>
      <c r="R2" s="198" t="s">
        <v>441</v>
      </c>
      <c r="S2" s="198" t="s">
        <v>139</v>
      </c>
      <c r="T2" s="198" t="s">
        <v>140</v>
      </c>
      <c r="U2" s="199" t="s">
        <v>141</v>
      </c>
    </row>
    <row r="3" spans="1:22">
      <c r="A3" s="274" t="s">
        <v>9</v>
      </c>
      <c r="B3" s="275"/>
      <c r="C3" s="275" t="s">
        <v>10</v>
      </c>
      <c r="D3" s="276" t="s">
        <v>10</v>
      </c>
      <c r="E3" s="275" t="s">
        <v>10</v>
      </c>
      <c r="F3" s="276" t="s">
        <v>10</v>
      </c>
      <c r="G3" s="275" t="s">
        <v>10</v>
      </c>
      <c r="H3" s="276" t="s">
        <v>10</v>
      </c>
      <c r="I3" s="275" t="s">
        <v>10</v>
      </c>
      <c r="J3" s="275" t="s">
        <v>10</v>
      </c>
      <c r="K3" s="277" t="s">
        <v>10</v>
      </c>
      <c r="L3" s="277" t="s">
        <v>10</v>
      </c>
      <c r="M3" s="277" t="s">
        <v>10</v>
      </c>
      <c r="N3" s="275" t="s">
        <v>10</v>
      </c>
      <c r="O3" s="275" t="s">
        <v>10</v>
      </c>
      <c r="P3" s="275" t="s">
        <v>10</v>
      </c>
      <c r="Q3" s="275" t="s">
        <v>10</v>
      </c>
      <c r="R3" s="278" t="s">
        <v>10</v>
      </c>
      <c r="S3" s="278" t="s">
        <v>10</v>
      </c>
      <c r="T3" s="278" t="s">
        <v>10</v>
      </c>
      <c r="U3" s="279" t="s">
        <v>10</v>
      </c>
    </row>
    <row r="4" spans="1:22">
      <c r="A4" s="280" t="str">
        <f>DSADATABASE!F32</f>
        <v>Elementary Schools</v>
      </c>
      <c r="B4" s="5"/>
      <c r="C4" s="75">
        <v>7247657</v>
      </c>
      <c r="D4" s="281">
        <v>121544</v>
      </c>
      <c r="E4" s="75">
        <v>7369201</v>
      </c>
      <c r="F4" s="281">
        <v>925768</v>
      </c>
      <c r="G4" s="75">
        <v>8294969</v>
      </c>
      <c r="H4" s="281">
        <v>8676500</v>
      </c>
      <c r="I4" s="75">
        <v>227639</v>
      </c>
      <c r="J4" s="75">
        <v>8904139</v>
      </c>
      <c r="K4" s="75">
        <v>9173936</v>
      </c>
      <c r="L4" s="75">
        <v>9891512</v>
      </c>
      <c r="M4" s="75">
        <v>10518428</v>
      </c>
      <c r="N4" s="75">
        <v>11015402</v>
      </c>
      <c r="O4" s="282">
        <f>DSADATABASE!I32</f>
        <v>18694453</v>
      </c>
      <c r="P4" s="75">
        <f>Q4-O4</f>
        <v>298577</v>
      </c>
      <c r="Q4" s="282">
        <f>DSADATABASE!J32</f>
        <v>18993030</v>
      </c>
      <c r="R4" s="283">
        <f>S4-Q4</f>
        <v>0</v>
      </c>
      <c r="S4" s="282">
        <f>DSADATABASE!K32</f>
        <v>18993030</v>
      </c>
      <c r="T4" s="282">
        <f>U4-S4</f>
        <v>80245</v>
      </c>
      <c r="U4" s="282">
        <f>DSADATABASE!L32</f>
        <v>19073275</v>
      </c>
    </row>
    <row r="5" spans="1:22">
      <c r="A5" s="280" t="str">
        <f>DSADATABASE!F33</f>
        <v>Middle/Junior High Schools</v>
      </c>
      <c r="B5" s="5"/>
      <c r="C5" s="75">
        <v>4550811</v>
      </c>
      <c r="D5" s="281">
        <v>249981</v>
      </c>
      <c r="E5" s="75">
        <v>4800792</v>
      </c>
      <c r="F5" s="281">
        <v>232460</v>
      </c>
      <c r="G5" s="75">
        <v>5033252</v>
      </c>
      <c r="H5" s="281">
        <v>5205648</v>
      </c>
      <c r="I5" s="75">
        <v>238770</v>
      </c>
      <c r="J5" s="75">
        <v>5444418</v>
      </c>
      <c r="K5" s="75">
        <v>5542278</v>
      </c>
      <c r="L5" s="75">
        <v>6056303</v>
      </c>
      <c r="M5" s="75">
        <v>6580378</v>
      </c>
      <c r="N5" s="75">
        <v>6770495</v>
      </c>
      <c r="O5" s="282">
        <f>DSADATABASE!I33</f>
        <v>10814292</v>
      </c>
      <c r="P5" s="75">
        <f>Q5-O5</f>
        <v>96632</v>
      </c>
      <c r="Q5" s="282">
        <f>DSADATABASE!J33</f>
        <v>10910924</v>
      </c>
      <c r="R5" s="283">
        <f>S5-Q5</f>
        <v>10374</v>
      </c>
      <c r="S5" s="282">
        <f>DSADATABASE!K33</f>
        <v>10921298</v>
      </c>
      <c r="T5" s="282">
        <f>U5-S5</f>
        <v>-15867</v>
      </c>
      <c r="U5" s="282">
        <f>DSADATABASE!L33</f>
        <v>10905431</v>
      </c>
    </row>
    <row r="6" spans="1:22">
      <c r="A6" s="280" t="str">
        <f>DSADATABASE!F34</f>
        <v>High Schools</v>
      </c>
      <c r="B6" s="5"/>
      <c r="C6" s="75">
        <v>9489184</v>
      </c>
      <c r="D6" s="281">
        <v>560106</v>
      </c>
      <c r="E6" s="75">
        <v>10049290</v>
      </c>
      <c r="F6" s="281">
        <v>450821</v>
      </c>
      <c r="G6" s="75">
        <v>10500111</v>
      </c>
      <c r="H6" s="281">
        <v>10795697</v>
      </c>
      <c r="I6" s="75">
        <v>-219343</v>
      </c>
      <c r="J6" s="75">
        <v>10576354</v>
      </c>
      <c r="K6" s="75">
        <v>11477744</v>
      </c>
      <c r="L6" s="75">
        <v>12237749</v>
      </c>
      <c r="M6" s="75">
        <v>13007029</v>
      </c>
      <c r="N6" s="75">
        <v>13543573</v>
      </c>
      <c r="O6" s="282">
        <f>DSADATABASE!I34</f>
        <v>16789936</v>
      </c>
      <c r="P6" s="75">
        <f>Q6-O6</f>
        <v>403123</v>
      </c>
      <c r="Q6" s="282">
        <f>DSADATABASE!J34</f>
        <v>17193059</v>
      </c>
      <c r="R6" s="283">
        <f>S6-Q6</f>
        <v>39841</v>
      </c>
      <c r="S6" s="282">
        <f>DSADATABASE!K34</f>
        <v>17232900</v>
      </c>
      <c r="T6" s="282">
        <f>U6-S6</f>
        <v>0</v>
      </c>
      <c r="U6" s="282">
        <f>DSADATABASE!L34</f>
        <v>17232900</v>
      </c>
    </row>
    <row r="7" spans="1:22">
      <c r="A7" s="280" t="str">
        <f>DSADATABASE!F35</f>
        <v>Special Schools</v>
      </c>
      <c r="B7" s="5"/>
      <c r="C7" s="75">
        <v>367658</v>
      </c>
      <c r="D7" s="281">
        <v>18907</v>
      </c>
      <c r="E7" s="75">
        <v>386565</v>
      </c>
      <c r="F7" s="281">
        <v>0</v>
      </c>
      <c r="G7" s="75">
        <v>386565</v>
      </c>
      <c r="H7" s="281">
        <v>386565</v>
      </c>
      <c r="I7" s="75">
        <v>84743</v>
      </c>
      <c r="J7" s="75">
        <v>471308</v>
      </c>
      <c r="K7" s="75">
        <v>472748</v>
      </c>
      <c r="L7" s="75">
        <v>481892</v>
      </c>
      <c r="M7" s="75">
        <v>477265</v>
      </c>
      <c r="N7" s="75">
        <v>435564</v>
      </c>
      <c r="O7" s="282">
        <f>DSADATABASE!I35</f>
        <v>616424</v>
      </c>
      <c r="P7" s="75">
        <f>Q7-O7</f>
        <v>3500</v>
      </c>
      <c r="Q7" s="282">
        <f>DSADATABASE!J35</f>
        <v>619924</v>
      </c>
      <c r="R7" s="283">
        <f>S7-Q7</f>
        <v>0</v>
      </c>
      <c r="S7" s="282">
        <f>DSADATABASE!K35</f>
        <v>619924</v>
      </c>
      <c r="T7" s="282">
        <f>U7-S7</f>
        <v>0</v>
      </c>
      <c r="U7" s="282">
        <f>DSADATABASE!L35</f>
        <v>619924</v>
      </c>
    </row>
    <row r="8" spans="1:22">
      <c r="A8" s="280" t="str">
        <f>DSADATABASE!F36</f>
        <v>Other Facilities</v>
      </c>
      <c r="B8" s="5"/>
      <c r="C8" s="284">
        <v>836012</v>
      </c>
      <c r="D8" s="285">
        <v>29981</v>
      </c>
      <c r="E8" s="284">
        <v>865993</v>
      </c>
      <c r="F8" s="285">
        <v>6500</v>
      </c>
      <c r="G8" s="284">
        <v>872493</v>
      </c>
      <c r="H8" s="285">
        <v>872493</v>
      </c>
      <c r="I8" s="284">
        <v>-22856</v>
      </c>
      <c r="J8" s="284">
        <v>849637</v>
      </c>
      <c r="K8" s="284">
        <v>906342</v>
      </c>
      <c r="L8" s="284">
        <v>874666</v>
      </c>
      <c r="M8" s="284">
        <v>810790</v>
      </c>
      <c r="N8" s="284">
        <v>939893</v>
      </c>
      <c r="O8" s="286">
        <f>DSADATABASE!I36</f>
        <v>3159801</v>
      </c>
      <c r="P8" s="76">
        <f>Q8-O8</f>
        <v>0</v>
      </c>
      <c r="Q8" s="286">
        <f>DSADATABASE!J36</f>
        <v>3159801</v>
      </c>
      <c r="R8" s="287">
        <f>S8-Q8</f>
        <v>15320</v>
      </c>
      <c r="S8" s="286">
        <f>DSADATABASE!K36</f>
        <v>3175121</v>
      </c>
      <c r="T8" s="286">
        <f>U8-S8</f>
        <v>32706</v>
      </c>
      <c r="U8" s="286">
        <f>DSADATABASE!L36</f>
        <v>3207827</v>
      </c>
    </row>
    <row r="9" spans="1:22">
      <c r="A9" s="5"/>
      <c r="B9" s="5"/>
      <c r="C9" s="75">
        <v>22491322</v>
      </c>
      <c r="D9" s="281">
        <v>980519</v>
      </c>
      <c r="E9" s="75">
        <v>23471841</v>
      </c>
      <c r="F9" s="281">
        <v>1615549</v>
      </c>
      <c r="G9" s="75">
        <v>25087390</v>
      </c>
      <c r="H9" s="281">
        <v>25936903</v>
      </c>
      <c r="I9" s="75">
        <v>308953</v>
      </c>
      <c r="J9" s="75">
        <v>26245856</v>
      </c>
      <c r="K9" s="75">
        <v>27573048</v>
      </c>
      <c r="L9" s="75">
        <v>29542122</v>
      </c>
      <c r="M9" s="75">
        <v>31393890</v>
      </c>
      <c r="N9" s="75">
        <v>32704927</v>
      </c>
      <c r="O9" s="282">
        <f>SUM(O4:O8)</f>
        <v>50074906</v>
      </c>
      <c r="P9" s="75">
        <f t="shared" ref="P9:U9" si="0">SUM(P4:P8)</f>
        <v>801832</v>
      </c>
      <c r="Q9" s="75">
        <f t="shared" si="0"/>
        <v>50876738</v>
      </c>
      <c r="R9" s="75">
        <f t="shared" si="0"/>
        <v>65535</v>
      </c>
      <c r="S9" s="75">
        <f t="shared" si="0"/>
        <v>50942273</v>
      </c>
      <c r="T9" s="75">
        <f t="shared" si="0"/>
        <v>97084</v>
      </c>
      <c r="U9" s="75">
        <f t="shared" si="0"/>
        <v>51039357</v>
      </c>
    </row>
    <row r="10" spans="1:22">
      <c r="A10" s="5"/>
      <c r="B10" s="75"/>
      <c r="C10" s="75"/>
      <c r="D10" s="281"/>
      <c r="E10" s="75"/>
      <c r="F10" s="288"/>
      <c r="G10" s="5"/>
      <c r="H10" s="288" t="s">
        <v>225</v>
      </c>
      <c r="J10" s="5"/>
      <c r="K10" s="5"/>
      <c r="L10" s="63"/>
      <c r="M10" s="63"/>
      <c r="N10" s="288" t="s">
        <v>225</v>
      </c>
      <c r="O10" s="288"/>
      <c r="P10" s="288"/>
      <c r="Q10" s="5"/>
      <c r="R10" s="5"/>
      <c r="S10" s="5"/>
      <c r="T10" s="5"/>
    </row>
    <row r="11" spans="1:22">
      <c r="A11" s="289" t="s">
        <v>15</v>
      </c>
      <c r="B11" s="273" t="s">
        <v>68</v>
      </c>
      <c r="C11" s="273" t="s">
        <v>16</v>
      </c>
      <c r="D11" s="290" t="s">
        <v>1</v>
      </c>
      <c r="E11" s="273" t="s">
        <v>17</v>
      </c>
      <c r="F11" s="290" t="s">
        <v>3</v>
      </c>
      <c r="G11" s="273" t="s">
        <v>122</v>
      </c>
      <c r="H11" s="290" t="s">
        <v>4</v>
      </c>
      <c r="I11" s="273" t="s">
        <v>123</v>
      </c>
      <c r="J11" s="273" t="s">
        <v>124</v>
      </c>
      <c r="K11" s="198" t="s">
        <v>7</v>
      </c>
      <c r="L11" s="291" t="s">
        <v>125</v>
      </c>
      <c r="M11" s="292" t="s">
        <v>296</v>
      </c>
      <c r="N11" s="273" t="s">
        <v>126</v>
      </c>
      <c r="O11" s="198" t="s">
        <v>138</v>
      </c>
      <c r="P11" s="198" t="s">
        <v>443</v>
      </c>
      <c r="Q11" s="362" t="s">
        <v>142</v>
      </c>
      <c r="R11" s="198" t="s">
        <v>140</v>
      </c>
      <c r="S11" s="198" t="s">
        <v>142</v>
      </c>
      <c r="T11" s="198" t="s">
        <v>142</v>
      </c>
      <c r="U11" s="198" t="s">
        <v>143</v>
      </c>
      <c r="V11" s="199" t="s">
        <v>144</v>
      </c>
    </row>
    <row r="12" spans="1:22">
      <c r="A12" s="293" t="s">
        <v>127</v>
      </c>
      <c r="B12" s="278" t="s">
        <v>128</v>
      </c>
      <c r="C12" s="278" t="s">
        <v>129</v>
      </c>
      <c r="D12" s="294" t="s">
        <v>128</v>
      </c>
      <c r="E12" s="278" t="s">
        <v>129</v>
      </c>
      <c r="F12" s="294" t="s">
        <v>128</v>
      </c>
      <c r="G12" s="278" t="s">
        <v>129</v>
      </c>
      <c r="H12" s="294" t="s">
        <v>128</v>
      </c>
      <c r="I12" s="278" t="s">
        <v>129</v>
      </c>
      <c r="J12" s="278" t="s">
        <v>129</v>
      </c>
      <c r="K12" s="202" t="s">
        <v>128</v>
      </c>
      <c r="L12" s="278" t="s">
        <v>129</v>
      </c>
      <c r="M12" s="278" t="s">
        <v>129</v>
      </c>
      <c r="N12" s="278" t="s">
        <v>129</v>
      </c>
      <c r="O12" s="202" t="s">
        <v>347</v>
      </c>
      <c r="P12" s="278" t="s">
        <v>129</v>
      </c>
      <c r="Q12" s="294" t="s">
        <v>185</v>
      </c>
      <c r="R12" s="278" t="s">
        <v>128</v>
      </c>
      <c r="S12" s="278" t="s">
        <v>129</v>
      </c>
      <c r="T12" s="294" t="s">
        <v>185</v>
      </c>
      <c r="U12" s="278" t="s">
        <v>128</v>
      </c>
      <c r="V12" s="279" t="s">
        <v>129</v>
      </c>
    </row>
    <row r="13" spans="1:22">
      <c r="A13" s="280" t="s">
        <v>132</v>
      </c>
      <c r="B13" s="281">
        <v>3166807</v>
      </c>
      <c r="C13" s="295">
        <v>0.14080128326827565</v>
      </c>
      <c r="D13" s="288">
        <v>3546205</v>
      </c>
      <c r="E13" s="295">
        <v>0.15108337688551998</v>
      </c>
      <c r="F13" s="288">
        <v>3765474</v>
      </c>
      <c r="G13" s="295">
        <v>0.15009429039848307</v>
      </c>
      <c r="H13" s="281">
        <v>4043666</v>
      </c>
      <c r="I13" s="295">
        <v>0.15590396432449935</v>
      </c>
      <c r="J13" s="296">
        <v>0.11700000000000001</v>
      </c>
      <c r="K13" s="281">
        <v>4030593</v>
      </c>
      <c r="L13" s="297">
        <v>0.16400000000000001</v>
      </c>
      <c r="M13" s="298">
        <v>0.155</v>
      </c>
      <c r="N13" s="299">
        <v>0.14099999999999999</v>
      </c>
      <c r="O13" s="300">
        <f>M200OPR!O13</f>
        <v>12057552</v>
      </c>
      <c r="P13" s="301">
        <f>ROUND(O13/O$9,4)</f>
        <v>0.24079999999999999</v>
      </c>
      <c r="Q13" s="281">
        <f>ROUND($S$9*S13,0)</f>
        <v>12266899</v>
      </c>
      <c r="R13" s="302">
        <f>Q13-M200OPR!Q13</f>
        <v>0</v>
      </c>
      <c r="S13" s="301">
        <f t="shared" ref="S13:S18" si="1">ROUND(P13*1,5)</f>
        <v>0.24079999999999999</v>
      </c>
      <c r="T13" s="75">
        <f>ROUND($U$9*V13,0)</f>
        <v>12290277</v>
      </c>
      <c r="U13" s="283">
        <f>T13-M200OPR!T13</f>
        <v>0</v>
      </c>
      <c r="V13" s="301">
        <f t="shared" ref="V13:V18" si="2">ROUND(S13*1,5)</f>
        <v>0.24079999999999999</v>
      </c>
    </row>
    <row r="14" spans="1:22">
      <c r="A14" s="280" t="s">
        <v>133</v>
      </c>
      <c r="B14" s="281">
        <v>14598682</v>
      </c>
      <c r="C14" s="295">
        <v>0.6490806543074702</v>
      </c>
      <c r="D14" s="288">
        <v>15535256</v>
      </c>
      <c r="E14" s="295">
        <v>0.66186781002819506</v>
      </c>
      <c r="F14" s="288">
        <v>17341109</v>
      </c>
      <c r="G14" s="295">
        <v>0.69122810304300286</v>
      </c>
      <c r="H14" s="281">
        <v>18686182</v>
      </c>
      <c r="I14" s="295">
        <v>0.72044769570214295</v>
      </c>
      <c r="J14" s="296">
        <v>0.71199999999999997</v>
      </c>
      <c r="K14" s="281">
        <v>20195540</v>
      </c>
      <c r="L14" s="297">
        <v>0.70299999999999996</v>
      </c>
      <c r="M14" s="298">
        <v>0.66100000000000003</v>
      </c>
      <c r="N14" s="299">
        <v>0.83</v>
      </c>
      <c r="O14" s="300">
        <f>M200OPR!O14</f>
        <v>65089232</v>
      </c>
      <c r="P14" s="301">
        <f>ROUND(O14/O$9,4)</f>
        <v>1.2998000000000001</v>
      </c>
      <c r="Q14" s="281">
        <f>ROUND($S$9*S14,0)</f>
        <v>66214766</v>
      </c>
      <c r="R14" s="302">
        <f>Q14-M200OPR!Q14</f>
        <v>0</v>
      </c>
      <c r="S14" s="301">
        <f t="shared" si="1"/>
        <v>1.2998000000000001</v>
      </c>
      <c r="T14" s="75">
        <f>ROUND($U$9*V14,0)</f>
        <v>66340956</v>
      </c>
      <c r="U14" s="283">
        <f>T14-M200OPR!T14</f>
        <v>0</v>
      </c>
      <c r="V14" s="301">
        <f t="shared" si="2"/>
        <v>1.2998000000000001</v>
      </c>
    </row>
    <row r="15" spans="1:22">
      <c r="A15" s="280" t="s">
        <v>134</v>
      </c>
      <c r="B15" s="281">
        <v>6312546</v>
      </c>
      <c r="C15" s="295">
        <v>0.28066584969971975</v>
      </c>
      <c r="D15" s="288">
        <v>6576015</v>
      </c>
      <c r="E15" s="295">
        <v>0.28016613609473584</v>
      </c>
      <c r="F15" s="288">
        <v>8056235</v>
      </c>
      <c r="G15" s="295">
        <v>0.3211268689170137</v>
      </c>
      <c r="H15" s="281">
        <v>8908413</v>
      </c>
      <c r="I15" s="295">
        <v>0.34346479223059129</v>
      </c>
      <c r="J15" s="296">
        <v>0.375</v>
      </c>
      <c r="K15" s="281">
        <v>11063663</v>
      </c>
      <c r="L15" s="297">
        <v>0.374</v>
      </c>
      <c r="M15" s="298">
        <v>0.35199999999999998</v>
      </c>
      <c r="N15" s="299">
        <v>0.44</v>
      </c>
      <c r="O15" s="300">
        <f>M200OPR!O15</f>
        <v>26757018</v>
      </c>
      <c r="P15" s="301">
        <f>ROUND(O15/O$9,4)</f>
        <v>0.5343</v>
      </c>
      <c r="Q15" s="281">
        <f>ROUND($S$9*S15,0)</f>
        <v>27218456</v>
      </c>
      <c r="R15" s="302">
        <f>Q15-M200OPR!Q15</f>
        <v>0</v>
      </c>
      <c r="S15" s="301">
        <f t="shared" si="1"/>
        <v>0.5343</v>
      </c>
      <c r="T15" s="75">
        <f>ROUND($U$9*V15,0)</f>
        <v>27270328</v>
      </c>
      <c r="U15" s="283">
        <f>T15-M200OPR!T15</f>
        <v>0</v>
      </c>
      <c r="V15" s="301">
        <f t="shared" si="2"/>
        <v>0.5343</v>
      </c>
    </row>
    <row r="16" spans="1:22">
      <c r="A16" s="280" t="s">
        <v>101</v>
      </c>
      <c r="B16" s="281">
        <v>1501429</v>
      </c>
      <c r="C16" s="295">
        <v>6.6755924796239194E-2</v>
      </c>
      <c r="D16" s="288">
        <v>1110434</v>
      </c>
      <c r="E16" s="295">
        <v>4.7309199137809427E-2</v>
      </c>
      <c r="F16" s="288">
        <v>885169</v>
      </c>
      <c r="G16" s="295">
        <v>3.5283423265632656E-2</v>
      </c>
      <c r="H16" s="281">
        <v>837499</v>
      </c>
      <c r="I16" s="295">
        <v>3.2289861283746946E-2</v>
      </c>
      <c r="J16" s="296">
        <v>3.4000000000000002E-2</v>
      </c>
      <c r="K16" s="281">
        <v>546170</v>
      </c>
      <c r="L16" s="297">
        <v>1.0999999999999999E-2</v>
      </c>
      <c r="M16" s="298">
        <v>1.0999999999999999E-2</v>
      </c>
      <c r="N16" s="299">
        <v>0.01</v>
      </c>
      <c r="O16" s="300">
        <f>M200OPR!O16</f>
        <v>1981658</v>
      </c>
      <c r="P16" s="301">
        <f>ROUND(O16/O$9,4)</f>
        <v>3.9600000000000003E-2</v>
      </c>
      <c r="Q16" s="281">
        <f>ROUND($S$9*S16,0)</f>
        <v>2017314</v>
      </c>
      <c r="R16" s="302">
        <f>Q16-M200OPR!Q16</f>
        <v>0</v>
      </c>
      <c r="S16" s="301">
        <f t="shared" si="1"/>
        <v>3.9600000000000003E-2</v>
      </c>
      <c r="T16" s="75">
        <f>ROUND($U$9*V16,0)</f>
        <v>2021159</v>
      </c>
      <c r="U16" s="283">
        <f>T16-M200OPR!T16</f>
        <v>0</v>
      </c>
      <c r="V16" s="301">
        <f t="shared" si="2"/>
        <v>3.9600000000000003E-2</v>
      </c>
    </row>
    <row r="17" spans="1:22">
      <c r="A17" s="5" t="s">
        <v>102</v>
      </c>
      <c r="B17" s="288">
        <v>2180215</v>
      </c>
      <c r="C17" s="295">
        <v>9.693583151759598E-2</v>
      </c>
      <c r="D17" s="288">
        <v>2670046</v>
      </c>
      <c r="E17" s="295">
        <v>0.1137552866006548</v>
      </c>
      <c r="F17" s="288">
        <v>2934985</v>
      </c>
      <c r="G17" s="295">
        <v>0.11699044818930945</v>
      </c>
      <c r="H17" s="281">
        <v>2949015</v>
      </c>
      <c r="I17" s="295">
        <v>0.11369958086360581</v>
      </c>
      <c r="J17" s="303">
        <v>0.16300000000000001</v>
      </c>
      <c r="K17" s="281">
        <v>5143470</v>
      </c>
      <c r="L17" s="304">
        <v>0.17499999999999999</v>
      </c>
      <c r="M17" s="305">
        <v>0.16400000000000001</v>
      </c>
      <c r="N17" s="306">
        <v>0.44500000000000001</v>
      </c>
      <c r="O17" s="300">
        <f>M200OPR!O17</f>
        <v>25553696</v>
      </c>
      <c r="P17" s="307">
        <f>ROUND(O17/O$9,4)</f>
        <v>0.51029999999999998</v>
      </c>
      <c r="Q17" s="281">
        <f>ROUND($S$9*S17,0)</f>
        <v>25995842</v>
      </c>
      <c r="R17" s="302">
        <f>Q17-M200OPR!Q17</f>
        <v>0</v>
      </c>
      <c r="S17" s="301">
        <f t="shared" si="1"/>
        <v>0.51029999999999998</v>
      </c>
      <c r="T17" s="75">
        <f>ROUND($U$9*V17,0)</f>
        <v>26045384</v>
      </c>
      <c r="U17" s="283">
        <f>T17-M200OPR!T17</f>
        <v>0</v>
      </c>
      <c r="V17" s="301">
        <f t="shared" si="2"/>
        <v>0.51029999999999998</v>
      </c>
    </row>
    <row r="18" spans="1:22">
      <c r="A18" s="5"/>
      <c r="B18" s="308">
        <v>27759679</v>
      </c>
      <c r="C18" s="295"/>
      <c r="D18" s="308">
        <v>29437956</v>
      </c>
      <c r="E18" s="295"/>
      <c r="F18" s="308">
        <v>32982972</v>
      </c>
      <c r="G18" s="295"/>
      <c r="H18" s="308">
        <v>35424775</v>
      </c>
      <c r="I18" s="295"/>
      <c r="J18" s="303"/>
      <c r="K18" s="309">
        <v>40979436</v>
      </c>
      <c r="L18" s="297">
        <v>1.427</v>
      </c>
      <c r="M18" s="297">
        <v>1.343</v>
      </c>
      <c r="N18" s="297">
        <v>1.8660000000000001</v>
      </c>
      <c r="O18" s="309">
        <f>SUM(O13:O17)</f>
        <v>131439156</v>
      </c>
      <c r="P18" s="310">
        <f>SUM(P13:P17)</f>
        <v>2.6248</v>
      </c>
      <c r="Q18" s="308">
        <f>SUM(Q13:Q17)</f>
        <v>133713277</v>
      </c>
      <c r="R18" s="311">
        <f>SUM(R13:R17)</f>
        <v>0</v>
      </c>
      <c r="S18" s="301">
        <f t="shared" si="1"/>
        <v>2.6248</v>
      </c>
      <c r="T18" s="308">
        <f>SUM(T13:T17)</f>
        <v>133968104</v>
      </c>
      <c r="U18" s="311">
        <f>SUM(U13:U17)</f>
        <v>0</v>
      </c>
      <c r="V18" s="301">
        <f t="shared" si="2"/>
        <v>2.6248</v>
      </c>
    </row>
    <row r="19" spans="1:22">
      <c r="A19" s="5"/>
      <c r="B19" s="288"/>
      <c r="C19" s="295"/>
      <c r="D19" s="288"/>
      <c r="E19" s="295"/>
      <c r="F19" s="288"/>
      <c r="G19" s="295"/>
      <c r="H19" s="281"/>
      <c r="I19" s="295"/>
      <c r="K19" s="295"/>
      <c r="L19" s="281"/>
      <c r="Q19" s="312">
        <f>Q18-M200OPR!Q18</f>
        <v>0</v>
      </c>
      <c r="R19" s="295"/>
      <c r="S19" s="281"/>
      <c r="T19" s="311">
        <f>T18-M200OPR!T18</f>
        <v>0</v>
      </c>
    </row>
    <row r="20" spans="1:22">
      <c r="A20" s="5"/>
      <c r="B20" s="288"/>
      <c r="C20" s="5"/>
      <c r="D20" s="288"/>
      <c r="E20" s="5"/>
      <c r="F20" s="288"/>
      <c r="G20" s="5"/>
      <c r="H20" s="288"/>
      <c r="I20" s="5"/>
      <c r="J20" s="5"/>
      <c r="K20" s="5"/>
      <c r="L20" s="5"/>
      <c r="M20" s="5"/>
      <c r="N20" s="288"/>
      <c r="O20" s="288"/>
      <c r="P20" s="288"/>
      <c r="Q20" s="5"/>
      <c r="R20" s="5"/>
      <c r="S20" s="5"/>
      <c r="T20" s="5"/>
    </row>
    <row r="21" spans="1:22">
      <c r="A21" s="259" t="s">
        <v>103</v>
      </c>
      <c r="B21" s="313"/>
      <c r="C21" s="198">
        <v>1992</v>
      </c>
      <c r="D21" s="313"/>
      <c r="E21" s="198">
        <v>1993</v>
      </c>
      <c r="F21" s="313"/>
      <c r="G21" s="198">
        <v>1994</v>
      </c>
      <c r="H21" s="314"/>
      <c r="I21" s="198">
        <v>1995</v>
      </c>
      <c r="J21" s="198">
        <v>1996</v>
      </c>
      <c r="K21" s="60"/>
      <c r="L21" s="198">
        <v>1998</v>
      </c>
      <c r="M21" s="60"/>
      <c r="N21" s="198">
        <v>1999</v>
      </c>
      <c r="O21" s="198">
        <v>2010</v>
      </c>
      <c r="P21" s="60"/>
      <c r="Q21" s="198">
        <v>2012</v>
      </c>
      <c r="R21" s="314"/>
      <c r="S21" s="60"/>
      <c r="T21" s="198">
        <v>2013</v>
      </c>
      <c r="U21" s="315"/>
    </row>
    <row r="22" spans="1:22">
      <c r="A22" s="235" t="s">
        <v>104</v>
      </c>
      <c r="B22" s="316"/>
      <c r="C22" s="202" t="s">
        <v>41</v>
      </c>
      <c r="D22" s="316"/>
      <c r="E22" s="202" t="s">
        <v>41</v>
      </c>
      <c r="F22" s="316"/>
      <c r="G22" s="202" t="s">
        <v>41</v>
      </c>
      <c r="H22" s="317"/>
      <c r="I22" s="202" t="s">
        <v>41</v>
      </c>
      <c r="J22" s="202" t="s">
        <v>41</v>
      </c>
      <c r="K22" s="63"/>
      <c r="L22" s="202" t="s">
        <v>41</v>
      </c>
      <c r="M22" s="63"/>
      <c r="N22" s="202" t="s">
        <v>41</v>
      </c>
      <c r="O22" s="202" t="s">
        <v>41</v>
      </c>
      <c r="P22" s="63"/>
      <c r="Q22" s="202" t="s">
        <v>105</v>
      </c>
      <c r="R22" s="317"/>
      <c r="S22" s="63"/>
      <c r="T22" s="202" t="s">
        <v>105</v>
      </c>
      <c r="U22" s="318"/>
    </row>
    <row r="23" spans="1:22">
      <c r="A23" s="319"/>
      <c r="B23" s="288"/>
      <c r="C23" s="288">
        <v>204207</v>
      </c>
      <c r="D23" s="288"/>
      <c r="E23" s="288">
        <v>214997</v>
      </c>
      <c r="F23" s="288"/>
      <c r="G23" s="288">
        <v>227302</v>
      </c>
      <c r="H23" s="9"/>
      <c r="I23" s="288">
        <v>227302</v>
      </c>
      <c r="J23" s="288">
        <v>255215.4</v>
      </c>
      <c r="L23" s="282">
        <v>285990</v>
      </c>
      <c r="N23" s="288">
        <v>300115.40000000002</v>
      </c>
      <c r="O23" s="288">
        <f>DSADATABASE!A4</f>
        <v>425527.2</v>
      </c>
      <c r="Q23" s="302">
        <f>DSADATABASE!C4</f>
        <v>421987.1</v>
      </c>
      <c r="R23" s="288"/>
      <c r="T23" s="302">
        <f>DSADATABASE!D4</f>
        <v>423499.6</v>
      </c>
    </row>
    <row r="24" spans="1:22">
      <c r="A24" s="5"/>
      <c r="B24" s="288"/>
      <c r="C24" s="5"/>
      <c r="D24" s="288"/>
      <c r="E24" s="5"/>
      <c r="F24" s="288"/>
      <c r="G24" s="5"/>
      <c r="H24" s="288"/>
      <c r="I24" s="5"/>
      <c r="J24" s="5"/>
      <c r="K24" s="5"/>
      <c r="L24" s="63"/>
      <c r="M24" s="63"/>
      <c r="N24" s="288"/>
      <c r="O24" s="288"/>
      <c r="P24" s="288"/>
      <c r="Q24" s="5"/>
      <c r="R24" s="5"/>
      <c r="S24" s="5"/>
      <c r="T24" s="5"/>
    </row>
    <row r="25" spans="1:22">
      <c r="A25" s="320" t="s">
        <v>106</v>
      </c>
      <c r="B25" s="321" t="s">
        <v>68</v>
      </c>
      <c r="C25" s="322" t="s">
        <v>16</v>
      </c>
      <c r="D25" s="321" t="s">
        <v>1</v>
      </c>
      <c r="E25" s="322" t="s">
        <v>17</v>
      </c>
      <c r="F25" s="321" t="s">
        <v>3</v>
      </c>
      <c r="G25" s="322" t="s">
        <v>122</v>
      </c>
      <c r="H25" s="321" t="s">
        <v>4</v>
      </c>
      <c r="I25" s="321" t="s">
        <v>123</v>
      </c>
      <c r="J25" s="322" t="s">
        <v>124</v>
      </c>
      <c r="K25" s="198" t="s">
        <v>7</v>
      </c>
      <c r="L25" s="291" t="s">
        <v>125</v>
      </c>
      <c r="M25" s="292" t="s">
        <v>296</v>
      </c>
      <c r="N25" s="273" t="s">
        <v>126</v>
      </c>
      <c r="O25" s="273" t="str">
        <f t="shared" ref="O25:V25" si="3">O$11</f>
        <v>2010 Actual</v>
      </c>
      <c r="P25" s="273" t="str">
        <f t="shared" si="3"/>
        <v>2010 Cost</v>
      </c>
      <c r="Q25" s="290" t="str">
        <f t="shared" si="3"/>
        <v>2012 Cost</v>
      </c>
      <c r="R25" s="273" t="str">
        <f t="shared" si="3"/>
        <v>2012 Add'l</v>
      </c>
      <c r="S25" s="273" t="str">
        <f t="shared" si="3"/>
        <v>2012 Cost</v>
      </c>
      <c r="T25" s="273" t="str">
        <f t="shared" si="3"/>
        <v>2012 Cost</v>
      </c>
      <c r="U25" s="273" t="str">
        <f t="shared" si="3"/>
        <v>2013 Add'l</v>
      </c>
      <c r="V25" s="273" t="str">
        <f t="shared" si="3"/>
        <v>2013 Cost</v>
      </c>
    </row>
    <row r="26" spans="1:22">
      <c r="A26" s="323" t="s">
        <v>127</v>
      </c>
      <c r="B26" s="324" t="s">
        <v>128</v>
      </c>
      <c r="C26" s="325" t="s">
        <v>107</v>
      </c>
      <c r="D26" s="324" t="s">
        <v>128</v>
      </c>
      <c r="E26" s="325" t="s">
        <v>107</v>
      </c>
      <c r="F26" s="324" t="s">
        <v>128</v>
      </c>
      <c r="G26" s="325" t="s">
        <v>107</v>
      </c>
      <c r="H26" s="324" t="s">
        <v>128</v>
      </c>
      <c r="I26" s="325" t="s">
        <v>107</v>
      </c>
      <c r="J26" s="325" t="s">
        <v>107</v>
      </c>
      <c r="K26" s="202" t="s">
        <v>128</v>
      </c>
      <c r="L26" s="325" t="s">
        <v>107</v>
      </c>
      <c r="M26" s="325" t="s">
        <v>107</v>
      </c>
      <c r="N26" s="325" t="s">
        <v>107</v>
      </c>
      <c r="O26" s="202" t="s">
        <v>128</v>
      </c>
      <c r="P26" s="325" t="s">
        <v>107</v>
      </c>
      <c r="Q26" s="294" t="s">
        <v>130</v>
      </c>
      <c r="R26" s="278" t="s">
        <v>128</v>
      </c>
      <c r="S26" s="278" t="s">
        <v>107</v>
      </c>
      <c r="T26" s="278" t="s">
        <v>131</v>
      </c>
      <c r="U26" s="202" t="s">
        <v>128</v>
      </c>
      <c r="V26" s="278" t="s">
        <v>107</v>
      </c>
    </row>
    <row r="27" spans="1:22">
      <c r="A27" s="280" t="s">
        <v>108</v>
      </c>
      <c r="B27" s="288">
        <v>6410321</v>
      </c>
      <c r="C27" s="326">
        <v>31.391289231025382</v>
      </c>
      <c r="D27" s="288">
        <v>6149230</v>
      </c>
      <c r="E27" s="326">
        <v>28.60146885770499</v>
      </c>
      <c r="F27" s="281">
        <v>7888311</v>
      </c>
      <c r="G27" s="326">
        <v>34.704098512111642</v>
      </c>
      <c r="H27" s="281">
        <v>7317118</v>
      </c>
      <c r="I27" s="326">
        <v>32.191172976920569</v>
      </c>
      <c r="J27" s="77">
        <v>50.96</v>
      </c>
      <c r="K27" s="282">
        <v>9462961</v>
      </c>
      <c r="L27" s="327">
        <v>35.1</v>
      </c>
      <c r="M27" s="328">
        <v>31.2</v>
      </c>
      <c r="N27" s="77">
        <v>40.07</v>
      </c>
      <c r="O27" s="75">
        <f>M200OPR!O27</f>
        <v>16707325</v>
      </c>
      <c r="P27" s="329">
        <f t="shared" ref="P27:P32" si="4">ROUND(O27/O$23,4)</f>
        <v>39.262599999999999</v>
      </c>
      <c r="Q27" s="281">
        <f t="shared" ref="Q27:Q32" si="5">ROUND($Q$23*S27,0)</f>
        <v>16568311</v>
      </c>
      <c r="R27" s="302">
        <f>Q27-M200OPR!Q27</f>
        <v>0</v>
      </c>
      <c r="S27" s="301">
        <f t="shared" ref="S27:S32" si="6">ROUND(P27*1,5)</f>
        <v>39.262599999999999</v>
      </c>
      <c r="T27" s="75">
        <f t="shared" ref="T27:T32" si="7">ROUND($T$23*V27,0)</f>
        <v>16627695</v>
      </c>
      <c r="U27" s="330">
        <f>T27-M200OPR!T27</f>
        <v>0</v>
      </c>
      <c r="V27" s="301">
        <f t="shared" ref="V27:V32" si="8">ROUND(S27*1,5)</f>
        <v>39.262599999999999</v>
      </c>
    </row>
    <row r="28" spans="1:22">
      <c r="A28" s="280" t="s">
        <v>109</v>
      </c>
      <c r="B28" s="288">
        <v>8226072</v>
      </c>
      <c r="C28" s="326">
        <v>40.283006948831336</v>
      </c>
      <c r="D28" s="288">
        <v>8534733</v>
      </c>
      <c r="E28" s="326">
        <v>39.696986469578647</v>
      </c>
      <c r="F28" s="281">
        <v>9274867</v>
      </c>
      <c r="G28" s="326">
        <v>40.804159224291908</v>
      </c>
      <c r="H28" s="281">
        <v>9993340</v>
      </c>
      <c r="I28" s="326">
        <v>43.965033303710484</v>
      </c>
      <c r="J28" s="77">
        <v>36.64</v>
      </c>
      <c r="K28" s="282">
        <v>11750179</v>
      </c>
      <c r="L28" s="327">
        <v>49.54</v>
      </c>
      <c r="M28" s="328">
        <v>52.71</v>
      </c>
      <c r="N28" s="77">
        <v>43.43</v>
      </c>
      <c r="O28" s="75">
        <f>M200OPR!O28</f>
        <v>23810368</v>
      </c>
      <c r="P28" s="329">
        <f t="shared" si="4"/>
        <v>55.954999999999998</v>
      </c>
      <c r="Q28" s="281">
        <f t="shared" si="5"/>
        <v>23612288</v>
      </c>
      <c r="R28" s="302">
        <f>Q28-M200OPR!Q28</f>
        <v>0</v>
      </c>
      <c r="S28" s="301">
        <f t="shared" si="6"/>
        <v>55.954999999999998</v>
      </c>
      <c r="T28" s="75">
        <f t="shared" si="7"/>
        <v>23696920</v>
      </c>
      <c r="U28" s="330">
        <f>T28-M200OPR!T28</f>
        <v>0</v>
      </c>
      <c r="V28" s="301">
        <f t="shared" si="8"/>
        <v>55.954999999999998</v>
      </c>
    </row>
    <row r="29" spans="1:22">
      <c r="A29" s="280" t="s">
        <v>110</v>
      </c>
      <c r="B29" s="288">
        <v>1363322</v>
      </c>
      <c r="C29" s="326">
        <v>6.6761766246994467</v>
      </c>
      <c r="D29" s="288">
        <v>1044344</v>
      </c>
      <c r="E29" s="326">
        <v>4.8574817323032411</v>
      </c>
      <c r="F29" s="281">
        <v>1567481</v>
      </c>
      <c r="G29" s="326">
        <v>6.8960281915689263</v>
      </c>
      <c r="H29" s="281">
        <v>1351462</v>
      </c>
      <c r="I29" s="326">
        <v>5.9456669980906458</v>
      </c>
      <c r="J29" s="77">
        <v>6.43</v>
      </c>
      <c r="K29" s="282">
        <v>1853767</v>
      </c>
      <c r="L29" s="327">
        <v>7.59</v>
      </c>
      <c r="M29" s="328">
        <v>8.01</v>
      </c>
      <c r="N29" s="77">
        <v>6.46</v>
      </c>
      <c r="O29" s="75">
        <f>M200OPR!O29</f>
        <v>2397912</v>
      </c>
      <c r="P29" s="329">
        <f t="shared" si="4"/>
        <v>5.6352000000000002</v>
      </c>
      <c r="Q29" s="281">
        <f t="shared" si="5"/>
        <v>2377982</v>
      </c>
      <c r="R29" s="302">
        <f>Q29-M200OPR!Q29</f>
        <v>0</v>
      </c>
      <c r="S29" s="301">
        <f t="shared" si="6"/>
        <v>5.6352000000000002</v>
      </c>
      <c r="T29" s="75">
        <f t="shared" si="7"/>
        <v>2386505</v>
      </c>
      <c r="U29" s="330">
        <f>T29-M200OPR!T29</f>
        <v>0</v>
      </c>
      <c r="V29" s="301">
        <f t="shared" si="8"/>
        <v>5.6352000000000002</v>
      </c>
    </row>
    <row r="30" spans="1:22">
      <c r="A30" s="5" t="s">
        <v>111</v>
      </c>
      <c r="B30" s="281">
        <v>10650126</v>
      </c>
      <c r="C30" s="326">
        <v>52.153579456140093</v>
      </c>
      <c r="D30" s="288">
        <v>10031838</v>
      </c>
      <c r="E30" s="326">
        <v>46.660362702735384</v>
      </c>
      <c r="F30" s="288">
        <v>13887603</v>
      </c>
      <c r="G30" s="326">
        <v>61.097583831202542</v>
      </c>
      <c r="H30" s="281">
        <v>14228829</v>
      </c>
      <c r="I30" s="326">
        <v>62.598784876507906</v>
      </c>
      <c r="J30" s="77">
        <v>54.27</v>
      </c>
      <c r="K30" s="282">
        <v>15120627</v>
      </c>
      <c r="L30" s="327">
        <v>59.36</v>
      </c>
      <c r="M30" s="328">
        <v>60</v>
      </c>
      <c r="N30" s="77">
        <v>61.61</v>
      </c>
      <c r="O30" s="75">
        <f>M200OPR!O30</f>
        <v>70944435</v>
      </c>
      <c r="P30" s="329">
        <f t="shared" si="4"/>
        <v>166.72130000000001</v>
      </c>
      <c r="Q30" s="281">
        <f t="shared" si="5"/>
        <v>70354238</v>
      </c>
      <c r="R30" s="302">
        <f>Q30-M200OPR!Q30</f>
        <v>0</v>
      </c>
      <c r="S30" s="301">
        <f t="shared" si="6"/>
        <v>166.72130000000001</v>
      </c>
      <c r="T30" s="75">
        <f t="shared" si="7"/>
        <v>70606404</v>
      </c>
      <c r="U30" s="330">
        <f>T30-M200OPR!T30</f>
        <v>0</v>
      </c>
      <c r="V30" s="301">
        <f t="shared" si="8"/>
        <v>166.72130000000001</v>
      </c>
    </row>
    <row r="31" spans="1:22">
      <c r="A31" s="5" t="s">
        <v>112</v>
      </c>
      <c r="B31" s="281"/>
      <c r="C31" s="326"/>
      <c r="D31" s="288"/>
      <c r="E31" s="326"/>
      <c r="F31" s="288"/>
      <c r="G31" s="331" t="s">
        <v>113</v>
      </c>
      <c r="H31" s="139">
        <v>1010617</v>
      </c>
      <c r="I31" s="326">
        <v>4.4461421368927683</v>
      </c>
      <c r="J31" s="77">
        <v>3.19</v>
      </c>
      <c r="K31" s="282">
        <v>2745463</v>
      </c>
      <c r="L31" s="327">
        <v>7.17</v>
      </c>
      <c r="M31" s="328">
        <v>7.96</v>
      </c>
      <c r="N31" s="77">
        <v>3.94</v>
      </c>
      <c r="O31" s="75">
        <f>M200OPR!O31</f>
        <v>7384984</v>
      </c>
      <c r="P31" s="329">
        <f t="shared" si="4"/>
        <v>17.354900000000001</v>
      </c>
      <c r="Q31" s="281">
        <f t="shared" si="5"/>
        <v>7323544</v>
      </c>
      <c r="R31" s="302">
        <f>Q31-M200OPR!Q31</f>
        <v>0</v>
      </c>
      <c r="S31" s="301">
        <f t="shared" si="6"/>
        <v>17.354900000000001</v>
      </c>
      <c r="T31" s="75">
        <f t="shared" si="7"/>
        <v>7349793</v>
      </c>
      <c r="U31" s="330">
        <f>T31-M200OPR!T31</f>
        <v>0</v>
      </c>
      <c r="V31" s="301">
        <f t="shared" si="8"/>
        <v>17.354900000000001</v>
      </c>
    </row>
    <row r="32" spans="1:22">
      <c r="A32" s="5" t="s">
        <v>114</v>
      </c>
      <c r="B32" s="281">
        <v>10444298</v>
      </c>
      <c r="C32" s="326">
        <v>51.145641432468032</v>
      </c>
      <c r="D32" s="288">
        <v>8033202</v>
      </c>
      <c r="E32" s="326">
        <v>37.364251594208291</v>
      </c>
      <c r="F32" s="288">
        <v>10518106</v>
      </c>
      <c r="G32" s="326">
        <v>46.273706346622554</v>
      </c>
      <c r="H32" s="281">
        <v>10503038</v>
      </c>
      <c r="I32" s="326">
        <v>46.207415684859789</v>
      </c>
      <c r="J32" s="77">
        <v>35.590000000000003</v>
      </c>
      <c r="K32" s="286">
        <v>11692320</v>
      </c>
      <c r="L32" s="332">
        <v>43.88</v>
      </c>
      <c r="M32" s="333">
        <v>16.46</v>
      </c>
      <c r="N32" s="334">
        <v>18.350000000000001</v>
      </c>
      <c r="O32" s="75">
        <f>M200OPR!O32</f>
        <v>16515016</v>
      </c>
      <c r="P32" s="335">
        <f t="shared" si="4"/>
        <v>38.810699999999997</v>
      </c>
      <c r="Q32" s="281">
        <f t="shared" si="5"/>
        <v>16377615</v>
      </c>
      <c r="R32" s="302">
        <f>Q32-M200OPR!Q32</f>
        <v>0</v>
      </c>
      <c r="S32" s="301">
        <f t="shared" si="6"/>
        <v>38.810699999999997</v>
      </c>
      <c r="T32" s="75">
        <f t="shared" si="7"/>
        <v>16436316</v>
      </c>
      <c r="U32" s="330">
        <f>T32-M200OPR!T32</f>
        <v>0</v>
      </c>
      <c r="V32" s="301">
        <f t="shared" si="8"/>
        <v>38.810699999999997</v>
      </c>
    </row>
    <row r="33" spans="1:22">
      <c r="A33" s="5"/>
      <c r="B33" s="309">
        <v>37094139</v>
      </c>
      <c r="C33" s="5"/>
      <c r="D33" s="309">
        <v>33793347</v>
      </c>
      <c r="E33" s="5"/>
      <c r="F33" s="309">
        <v>43136368</v>
      </c>
      <c r="G33" s="5"/>
      <c r="H33" s="309">
        <v>44404404</v>
      </c>
      <c r="I33" s="5"/>
      <c r="J33" s="288"/>
      <c r="K33" s="311">
        <v>52625317</v>
      </c>
      <c r="L33" s="77">
        <v>202.64</v>
      </c>
      <c r="M33" s="77">
        <v>176.34</v>
      </c>
      <c r="N33" s="77">
        <v>173.86</v>
      </c>
      <c r="O33" s="311">
        <f>SUM(O27:O32)</f>
        <v>137760040</v>
      </c>
      <c r="P33" s="329">
        <f>SUM(P27:P32)</f>
        <v>323.73970000000003</v>
      </c>
      <c r="Q33" s="309">
        <f>SUM(Q27:Q32)</f>
        <v>136613978</v>
      </c>
      <c r="R33" s="311">
        <f>SUM(R28:R32)</f>
        <v>0</v>
      </c>
      <c r="S33" s="416">
        <f>SUM(S27:S32)</f>
        <v>323.73970000000003</v>
      </c>
      <c r="T33" s="309">
        <f>SUM(T27:T32)</f>
        <v>137103633</v>
      </c>
      <c r="U33" s="311">
        <f>SUM(U28:U32)</f>
        <v>0</v>
      </c>
      <c r="V33" s="416">
        <f>SUM(V27:V32)</f>
        <v>323.73970000000003</v>
      </c>
    </row>
    <row r="34" spans="1:22">
      <c r="A34" s="5"/>
      <c r="B34" s="288"/>
      <c r="C34" s="5"/>
      <c r="D34" s="288"/>
      <c r="E34" s="5"/>
      <c r="F34" s="288"/>
      <c r="G34" s="5"/>
      <c r="H34" s="281"/>
      <c r="I34" s="5"/>
      <c r="J34" s="295"/>
      <c r="K34" s="75"/>
      <c r="L34" s="281"/>
      <c r="N34" s="281"/>
      <c r="O34" s="281"/>
      <c r="P34" s="281"/>
      <c r="Q34" s="312">
        <f>Q33-M200OPR!Q33</f>
        <v>0</v>
      </c>
      <c r="R34" s="5"/>
      <c r="T34" s="312">
        <f>T33-M200OPR!T33</f>
        <v>0</v>
      </c>
    </row>
    <row r="35" spans="1:22">
      <c r="A35" s="5"/>
      <c r="B35" s="288"/>
      <c r="C35" s="5"/>
      <c r="D35" s="288"/>
      <c r="E35" s="5"/>
      <c r="F35" s="288"/>
      <c r="G35" s="5"/>
      <c r="H35" s="281"/>
      <c r="I35" s="5"/>
      <c r="J35" s="295"/>
      <c r="K35" s="75"/>
      <c r="L35" s="75"/>
      <c r="M35" s="5"/>
      <c r="N35" s="281"/>
      <c r="P35" s="281"/>
      <c r="Q35" s="295"/>
      <c r="R35" s="75"/>
      <c r="S35" s="75"/>
      <c r="T35" s="5"/>
    </row>
    <row r="36" spans="1:22">
      <c r="A36" s="259" t="s">
        <v>115</v>
      </c>
      <c r="B36" s="336"/>
      <c r="C36" s="225">
        <v>1992</v>
      </c>
      <c r="D36" s="336"/>
      <c r="E36" s="225">
        <v>1993</v>
      </c>
      <c r="F36" s="336"/>
      <c r="G36" s="198">
        <v>1994</v>
      </c>
      <c r="H36" s="314"/>
      <c r="I36" s="198">
        <v>1995</v>
      </c>
      <c r="J36" s="198">
        <v>1996</v>
      </c>
      <c r="K36" s="60"/>
      <c r="L36" s="198">
        <v>1998</v>
      </c>
      <c r="M36" s="314"/>
      <c r="N36" s="198">
        <v>1999</v>
      </c>
      <c r="O36" s="198">
        <f>O21</f>
        <v>2010</v>
      </c>
      <c r="P36" s="60"/>
      <c r="Q36" s="198">
        <f>Q21</f>
        <v>2012</v>
      </c>
      <c r="R36" s="314"/>
      <c r="S36" s="60"/>
      <c r="T36" s="198">
        <f>T21</f>
        <v>2013</v>
      </c>
      <c r="U36" s="315"/>
    </row>
    <row r="37" spans="1:22">
      <c r="A37" s="235" t="s">
        <v>116</v>
      </c>
      <c r="B37" s="337"/>
      <c r="C37" s="228" t="s">
        <v>41</v>
      </c>
      <c r="D37" s="337"/>
      <c r="E37" s="228" t="s">
        <v>41</v>
      </c>
      <c r="F37" s="337"/>
      <c r="G37" s="202" t="s">
        <v>41</v>
      </c>
      <c r="H37" s="317"/>
      <c r="I37" s="202" t="s">
        <v>41</v>
      </c>
      <c r="J37" s="202" t="s">
        <v>41</v>
      </c>
      <c r="K37" s="63"/>
      <c r="L37" s="202" t="s">
        <v>41</v>
      </c>
      <c r="M37" s="317"/>
      <c r="N37" s="202" t="s">
        <v>41</v>
      </c>
      <c r="O37" s="202" t="s">
        <v>41</v>
      </c>
      <c r="P37" s="63"/>
      <c r="Q37" s="202" t="s">
        <v>105</v>
      </c>
      <c r="R37" s="317"/>
      <c r="S37" s="63"/>
      <c r="T37" s="202" t="s">
        <v>105</v>
      </c>
      <c r="U37" s="318"/>
    </row>
    <row r="38" spans="1:22">
      <c r="A38" s="338"/>
      <c r="B38" s="288"/>
      <c r="C38" s="288">
        <v>18758.900000000001</v>
      </c>
      <c r="D38" s="288"/>
      <c r="E38" s="288">
        <v>19566.2</v>
      </c>
      <c r="F38" s="288"/>
      <c r="G38" s="288">
        <v>20374</v>
      </c>
      <c r="H38" s="9"/>
      <c r="I38" s="288">
        <v>20374</v>
      </c>
      <c r="J38" s="288">
        <v>21933.7</v>
      </c>
      <c r="L38" s="288">
        <v>25421</v>
      </c>
      <c r="M38" s="288"/>
      <c r="N38" s="288">
        <v>26851.599999999999</v>
      </c>
      <c r="O38" s="288">
        <f>M200SAL!B53</f>
        <v>35960.039999999994</v>
      </c>
      <c r="Q38" s="288">
        <f>M200SAL!E53</f>
        <v>35659.56</v>
      </c>
      <c r="R38" s="288"/>
      <c r="T38" s="282">
        <f>M200SAL!G53</f>
        <v>35787.360000000001</v>
      </c>
    </row>
    <row r="39" spans="1:22">
      <c r="A39" s="339"/>
      <c r="B39" s="288"/>
      <c r="C39" s="5"/>
      <c r="D39" s="288"/>
      <c r="E39" s="5"/>
      <c r="F39" s="288"/>
      <c r="G39" s="5"/>
      <c r="H39" s="288"/>
      <c r="I39" s="5"/>
      <c r="J39" s="5"/>
      <c r="K39" s="5"/>
      <c r="L39" s="63"/>
      <c r="M39" s="63"/>
      <c r="N39" s="288"/>
      <c r="O39" s="288"/>
      <c r="P39" s="288"/>
      <c r="Q39" s="5"/>
      <c r="R39" s="5"/>
      <c r="S39" s="5"/>
      <c r="T39" s="5"/>
    </row>
    <row r="40" spans="1:22">
      <c r="A40" s="320" t="s">
        <v>117</v>
      </c>
      <c r="B40" s="340" t="s">
        <v>68</v>
      </c>
      <c r="C40" s="341" t="s">
        <v>16</v>
      </c>
      <c r="D40" s="340" t="s">
        <v>1</v>
      </c>
      <c r="E40" s="341" t="s">
        <v>17</v>
      </c>
      <c r="F40" s="340" t="s">
        <v>3</v>
      </c>
      <c r="G40" s="322" t="s">
        <v>122</v>
      </c>
      <c r="H40" s="321" t="s">
        <v>4</v>
      </c>
      <c r="I40" s="321" t="s">
        <v>123</v>
      </c>
      <c r="J40" s="322" t="s">
        <v>124</v>
      </c>
      <c r="K40" s="198" t="s">
        <v>7</v>
      </c>
      <c r="L40" s="291" t="s">
        <v>125</v>
      </c>
      <c r="M40" s="292" t="s">
        <v>296</v>
      </c>
      <c r="N40" s="273" t="s">
        <v>126</v>
      </c>
      <c r="O40" s="273" t="str">
        <f t="shared" ref="O40:V40" si="9">O$11</f>
        <v>2010 Actual</v>
      </c>
      <c r="P40" s="273" t="str">
        <f t="shared" si="9"/>
        <v>2010 Cost</v>
      </c>
      <c r="Q40" s="290" t="str">
        <f t="shared" si="9"/>
        <v>2012 Cost</v>
      </c>
      <c r="R40" s="273" t="str">
        <f t="shared" si="9"/>
        <v>2012 Add'l</v>
      </c>
      <c r="S40" s="273" t="str">
        <f t="shared" si="9"/>
        <v>2012 Cost</v>
      </c>
      <c r="T40" s="273" t="str">
        <f t="shared" si="9"/>
        <v>2012 Cost</v>
      </c>
      <c r="U40" s="273" t="str">
        <f t="shared" si="9"/>
        <v>2013 Add'l</v>
      </c>
      <c r="V40" s="273" t="str">
        <f t="shared" si="9"/>
        <v>2013 Cost</v>
      </c>
    </row>
    <row r="41" spans="1:22">
      <c r="A41" s="323" t="s">
        <v>127</v>
      </c>
      <c r="B41" s="342" t="s">
        <v>128</v>
      </c>
      <c r="C41" s="343" t="s">
        <v>118</v>
      </c>
      <c r="D41" s="342" t="s">
        <v>128</v>
      </c>
      <c r="E41" s="343" t="s">
        <v>118</v>
      </c>
      <c r="F41" s="342" t="s">
        <v>128</v>
      </c>
      <c r="G41" s="325" t="s">
        <v>118</v>
      </c>
      <c r="H41" s="324" t="s">
        <v>128</v>
      </c>
      <c r="I41" s="325" t="s">
        <v>118</v>
      </c>
      <c r="J41" s="325" t="s">
        <v>118</v>
      </c>
      <c r="K41" s="202" t="s">
        <v>128</v>
      </c>
      <c r="L41" s="325" t="s">
        <v>118</v>
      </c>
      <c r="M41" s="325" t="s">
        <v>118</v>
      </c>
      <c r="N41" s="325" t="s">
        <v>118</v>
      </c>
      <c r="O41" s="202" t="s">
        <v>128</v>
      </c>
      <c r="P41" s="325" t="s">
        <v>118</v>
      </c>
      <c r="Q41" s="294" t="s">
        <v>130</v>
      </c>
      <c r="R41" s="278" t="s">
        <v>128</v>
      </c>
      <c r="S41" s="325" t="s">
        <v>118</v>
      </c>
      <c r="T41" s="278" t="s">
        <v>131</v>
      </c>
      <c r="U41" s="325" t="s">
        <v>128</v>
      </c>
      <c r="V41" s="325" t="s">
        <v>118</v>
      </c>
    </row>
    <row r="42" spans="1:22">
      <c r="A42" s="5" t="s">
        <v>119</v>
      </c>
      <c r="B42" s="288">
        <v>4588671</v>
      </c>
      <c r="C42" s="326">
        <v>244.61301035775017</v>
      </c>
      <c r="D42" s="288">
        <v>4057187</v>
      </c>
      <c r="E42" s="326">
        <v>207.35692163015813</v>
      </c>
      <c r="F42" s="281">
        <v>4224654</v>
      </c>
      <c r="G42" s="326">
        <v>207.35515853538823</v>
      </c>
      <c r="H42" s="288">
        <v>5569499</v>
      </c>
      <c r="I42" s="326">
        <v>273.36306076371847</v>
      </c>
      <c r="J42" s="77">
        <v>268.23</v>
      </c>
      <c r="K42" s="282">
        <v>10221123</v>
      </c>
      <c r="L42" s="344">
        <v>424.4</v>
      </c>
      <c r="M42" s="345">
        <v>452.34</v>
      </c>
      <c r="N42" s="326">
        <v>397.09</v>
      </c>
      <c r="O42" s="75">
        <f>M200OPR!O42</f>
        <v>47269193</v>
      </c>
      <c r="P42" s="346">
        <f t="shared" ref="P42:P48" si="10">ROUND(O42/O$38,4)</f>
        <v>1314.4921999999999</v>
      </c>
      <c r="Q42" s="281">
        <f>ROUND($Q$38*S42,0)</f>
        <v>46874213</v>
      </c>
      <c r="R42" s="302">
        <f>Q42-M200OPR!Q42</f>
        <v>0</v>
      </c>
      <c r="S42" s="301">
        <f>ROUND(P42*1,5)</f>
        <v>1314.4921999999999</v>
      </c>
      <c r="T42" s="75">
        <f t="shared" ref="T42:T48" si="11">ROUND($T$38*V42,0)</f>
        <v>47042206</v>
      </c>
      <c r="U42" s="330">
        <f>T42-M200OPR!T42</f>
        <v>0</v>
      </c>
      <c r="V42" s="301">
        <f t="shared" ref="V42:V48" si="12">ROUND(S42*1,5)</f>
        <v>1314.4921999999999</v>
      </c>
    </row>
    <row r="43" spans="1:22">
      <c r="A43" s="280" t="s">
        <v>120</v>
      </c>
      <c r="B43" s="288">
        <v>2262928</v>
      </c>
      <c r="C43" s="326">
        <v>120.63223323329193</v>
      </c>
      <c r="D43" s="288">
        <v>2353400</v>
      </c>
      <c r="E43" s="326">
        <v>120.27884821784505</v>
      </c>
      <c r="F43" s="281">
        <v>2951811</v>
      </c>
      <c r="G43" s="326">
        <v>144.88127024639246</v>
      </c>
      <c r="H43" s="288">
        <v>2889601</v>
      </c>
      <c r="I43" s="326">
        <v>141.82786885245901</v>
      </c>
      <c r="J43" s="77">
        <v>249.46</v>
      </c>
      <c r="K43" s="282">
        <v>2733417</v>
      </c>
      <c r="L43" s="344">
        <v>61.56</v>
      </c>
      <c r="M43" s="345">
        <v>59.28</v>
      </c>
      <c r="N43" s="326">
        <v>194.25</v>
      </c>
      <c r="O43" s="75">
        <f>M200OPR!O43</f>
        <v>5925229</v>
      </c>
      <c r="P43" s="346">
        <f t="shared" si="10"/>
        <v>164.77260000000001</v>
      </c>
      <c r="Q43" s="281">
        <f t="shared" ref="Q43:Q48" si="13">ROUND($Q$38*S43,0)</f>
        <v>5875718</v>
      </c>
      <c r="R43" s="302">
        <f>Q43-M200OPR!Q43</f>
        <v>0</v>
      </c>
      <c r="S43" s="301">
        <f t="shared" ref="S43:S48" si="14">ROUND(P43*1,5)</f>
        <v>164.77260000000001</v>
      </c>
      <c r="T43" s="75">
        <f t="shared" si="11"/>
        <v>5896776</v>
      </c>
      <c r="U43" s="330">
        <f>T43-M200OPR!T43</f>
        <v>0</v>
      </c>
      <c r="V43" s="301">
        <f t="shared" si="12"/>
        <v>164.77260000000001</v>
      </c>
    </row>
    <row r="44" spans="1:22">
      <c r="A44" s="280" t="s">
        <v>121</v>
      </c>
      <c r="B44" s="288">
        <v>3244336</v>
      </c>
      <c r="C44" s="326">
        <v>172.94916013199068</v>
      </c>
      <c r="D44" s="288">
        <v>3265363</v>
      </c>
      <c r="E44" s="326">
        <v>166.88794962741869</v>
      </c>
      <c r="F44" s="281">
        <v>3841730</v>
      </c>
      <c r="G44" s="326">
        <v>188.56042014331993</v>
      </c>
      <c r="H44" s="288">
        <v>4407402</v>
      </c>
      <c r="I44" s="326">
        <v>216.32482575831943</v>
      </c>
      <c r="J44" s="77">
        <v>195.33</v>
      </c>
      <c r="K44" s="282">
        <v>5184830</v>
      </c>
      <c r="L44" s="344">
        <v>229.89</v>
      </c>
      <c r="M44" s="345">
        <v>242.49</v>
      </c>
      <c r="N44" s="326">
        <v>270.02</v>
      </c>
      <c r="O44" s="75">
        <f>M200OPR!O44</f>
        <v>13152322</v>
      </c>
      <c r="P44" s="346">
        <f t="shared" si="10"/>
        <v>365.74829999999997</v>
      </c>
      <c r="Q44" s="281">
        <f t="shared" si="13"/>
        <v>13042423</v>
      </c>
      <c r="R44" s="302">
        <f>Q44-M200OPR!Q44</f>
        <v>0</v>
      </c>
      <c r="S44" s="301">
        <f t="shared" si="14"/>
        <v>365.74829999999997</v>
      </c>
      <c r="T44" s="75">
        <f t="shared" si="11"/>
        <v>13089166</v>
      </c>
      <c r="U44" s="330">
        <f>T44-M200OPR!T44</f>
        <v>0</v>
      </c>
      <c r="V44" s="301">
        <f t="shared" si="12"/>
        <v>365.74829999999997</v>
      </c>
    </row>
    <row r="45" spans="1:22">
      <c r="A45" s="5" t="s">
        <v>272</v>
      </c>
      <c r="B45" s="288">
        <v>1074234</v>
      </c>
      <c r="C45" s="326">
        <v>57.265298071848555</v>
      </c>
      <c r="D45" s="288">
        <v>1346604</v>
      </c>
      <c r="E45" s="326">
        <v>68.822970224162077</v>
      </c>
      <c r="F45" s="281">
        <v>1718898</v>
      </c>
      <c r="G45" s="326">
        <v>84.367232747619511</v>
      </c>
      <c r="H45" s="288">
        <v>1990302</v>
      </c>
      <c r="I45" s="326">
        <v>97.688328261509767</v>
      </c>
      <c r="J45" s="77">
        <v>91.54</v>
      </c>
      <c r="K45" s="282">
        <v>2073473</v>
      </c>
      <c r="L45" s="344">
        <v>108.14</v>
      </c>
      <c r="M45" s="345">
        <v>122.74</v>
      </c>
      <c r="N45" s="326">
        <v>132.63</v>
      </c>
      <c r="O45" s="75">
        <f>M200OPR!O45</f>
        <v>3217410</v>
      </c>
      <c r="P45" s="346">
        <f t="shared" si="10"/>
        <v>89.471800000000002</v>
      </c>
      <c r="Q45" s="281">
        <f t="shared" si="13"/>
        <v>3190525</v>
      </c>
      <c r="R45" s="302">
        <f>Q45-M200OPR!Q45</f>
        <v>0</v>
      </c>
      <c r="S45" s="301">
        <f t="shared" si="14"/>
        <v>89.471800000000002</v>
      </c>
      <c r="T45" s="75">
        <f t="shared" si="11"/>
        <v>3201960</v>
      </c>
      <c r="U45" s="330">
        <f>T45-M200OPR!T45</f>
        <v>0</v>
      </c>
      <c r="V45" s="301">
        <f t="shared" si="12"/>
        <v>89.471800000000002</v>
      </c>
    </row>
    <row r="46" spans="1:22">
      <c r="A46" s="5" t="s">
        <v>273</v>
      </c>
      <c r="B46" s="288">
        <v>333980</v>
      </c>
      <c r="C46" s="326">
        <v>17.803815788772262</v>
      </c>
      <c r="D46" s="288">
        <v>378061</v>
      </c>
      <c r="E46" s="326">
        <v>19.322147376598419</v>
      </c>
      <c r="F46" s="288">
        <v>292111</v>
      </c>
      <c r="G46" s="326">
        <v>14.337439874349661</v>
      </c>
      <c r="H46" s="288">
        <v>266047</v>
      </c>
      <c r="I46" s="326">
        <v>13.058162363796995</v>
      </c>
      <c r="J46" s="77">
        <v>14.94</v>
      </c>
      <c r="K46" s="282">
        <v>381414</v>
      </c>
      <c r="L46" s="344">
        <v>19.36</v>
      </c>
      <c r="M46" s="345">
        <v>19.399999999999999</v>
      </c>
      <c r="N46" s="326">
        <v>25.92</v>
      </c>
      <c r="O46" s="75">
        <f>M200OPR!O46</f>
        <v>2531857</v>
      </c>
      <c r="P46" s="346">
        <f t="shared" si="10"/>
        <v>70.407499999999999</v>
      </c>
      <c r="Q46" s="281">
        <f t="shared" si="13"/>
        <v>2510700</v>
      </c>
      <c r="R46" s="302">
        <f>Q46-M200OPR!Q46</f>
        <v>0</v>
      </c>
      <c r="S46" s="301">
        <f t="shared" si="14"/>
        <v>70.407499999999999</v>
      </c>
      <c r="T46" s="75">
        <f t="shared" si="11"/>
        <v>2519699</v>
      </c>
      <c r="U46" s="330">
        <f>T46-M200OPR!T46</f>
        <v>0</v>
      </c>
      <c r="V46" s="301">
        <f t="shared" si="12"/>
        <v>70.407499999999999</v>
      </c>
    </row>
    <row r="47" spans="1:22">
      <c r="A47" s="5" t="s">
        <v>274</v>
      </c>
      <c r="B47" s="288">
        <v>1380013</v>
      </c>
      <c r="C47" s="326">
        <v>73.565774112554564</v>
      </c>
      <c r="D47" s="288">
        <v>1422066</v>
      </c>
      <c r="E47" s="326">
        <v>72.679723196123931</v>
      </c>
      <c r="F47" s="288">
        <v>1708117</v>
      </c>
      <c r="G47" s="326">
        <v>83.838077942475707</v>
      </c>
      <c r="H47" s="288">
        <v>1655142</v>
      </c>
      <c r="I47" s="326">
        <v>81.237950328850502</v>
      </c>
      <c r="J47" s="77">
        <v>77.36</v>
      </c>
      <c r="K47" s="282">
        <v>2232645</v>
      </c>
      <c r="L47" s="344">
        <v>89.12</v>
      </c>
      <c r="M47" s="345">
        <v>89.8</v>
      </c>
      <c r="N47" s="326">
        <v>88.24</v>
      </c>
      <c r="O47" s="75">
        <f>M200OPR!O47</f>
        <v>3539980</v>
      </c>
      <c r="P47" s="346">
        <f t="shared" si="10"/>
        <v>98.441999999999993</v>
      </c>
      <c r="Q47" s="281">
        <f t="shared" si="13"/>
        <v>3510398</v>
      </c>
      <c r="R47" s="302">
        <f>Q47-M200OPR!Q47</f>
        <v>0</v>
      </c>
      <c r="S47" s="301">
        <f t="shared" si="14"/>
        <v>98.441999999999993</v>
      </c>
      <c r="T47" s="75">
        <f t="shared" si="11"/>
        <v>3522979</v>
      </c>
      <c r="U47" s="330">
        <f>T47-M200OPR!T47</f>
        <v>0</v>
      </c>
      <c r="V47" s="301">
        <f t="shared" si="12"/>
        <v>98.441999999999993</v>
      </c>
    </row>
    <row r="48" spans="1:22">
      <c r="A48" s="5" t="s">
        <v>275</v>
      </c>
      <c r="B48" s="288">
        <v>7646527</v>
      </c>
      <c r="C48" s="326">
        <v>407.62128909477633</v>
      </c>
      <c r="D48" s="288">
        <v>17288242</v>
      </c>
      <c r="E48" s="326">
        <v>883.57688258323026</v>
      </c>
      <c r="F48" s="288">
        <v>6686660</v>
      </c>
      <c r="G48" s="326">
        <v>328.19573966820457</v>
      </c>
      <c r="H48" s="288">
        <v>8200377</v>
      </c>
      <c r="I48" s="326">
        <v>402.49224501816042</v>
      </c>
      <c r="J48" s="77">
        <v>384.13</v>
      </c>
      <c r="K48" s="282">
        <v>9704400</v>
      </c>
      <c r="L48" s="333">
        <v>253.57</v>
      </c>
      <c r="M48" s="347">
        <v>330.62</v>
      </c>
      <c r="N48" s="348">
        <v>331.84</v>
      </c>
      <c r="O48" s="75">
        <f>M200OPR!O48</f>
        <v>9719021</v>
      </c>
      <c r="P48" s="349">
        <f t="shared" si="10"/>
        <v>270.27280000000002</v>
      </c>
      <c r="Q48" s="281">
        <f t="shared" si="13"/>
        <v>9637809</v>
      </c>
      <c r="R48" s="302">
        <f>Q48-M200OPR!Q48</f>
        <v>0</v>
      </c>
      <c r="S48" s="301">
        <f t="shared" si="14"/>
        <v>270.27280000000002</v>
      </c>
      <c r="T48" s="75">
        <f t="shared" si="11"/>
        <v>9672350</v>
      </c>
      <c r="U48" s="330">
        <f>T48-M200OPR!T48</f>
        <v>0</v>
      </c>
      <c r="V48" s="301">
        <f t="shared" si="12"/>
        <v>270.27280000000002</v>
      </c>
    </row>
    <row r="49" spans="1:22">
      <c r="A49" s="5"/>
      <c r="B49" s="309">
        <v>13679090</v>
      </c>
      <c r="C49" s="5"/>
      <c r="D49" s="309">
        <v>23700336</v>
      </c>
      <c r="E49" s="5"/>
      <c r="F49" s="309">
        <v>21423981</v>
      </c>
      <c r="G49" s="5"/>
      <c r="H49" s="309">
        <v>24978370</v>
      </c>
      <c r="J49" s="75"/>
      <c r="K49" s="309">
        <v>32531302</v>
      </c>
      <c r="L49" s="77">
        <v>1186.04</v>
      </c>
      <c r="M49" s="345">
        <v>1316.67</v>
      </c>
      <c r="N49" s="350">
        <v>1439.99</v>
      </c>
      <c r="O49" s="309">
        <f t="shared" ref="O49:V49" si="15">SUM(O42:O48)</f>
        <v>85355012</v>
      </c>
      <c r="P49" s="351">
        <f t="shared" si="15"/>
        <v>2373.6071999999999</v>
      </c>
      <c r="Q49" s="309">
        <f t="shared" si="15"/>
        <v>84641786</v>
      </c>
      <c r="R49" s="311">
        <f t="shared" si="15"/>
        <v>0</v>
      </c>
      <c r="S49" s="416">
        <f t="shared" si="15"/>
        <v>2373.6071999999999</v>
      </c>
      <c r="T49" s="309">
        <f t="shared" si="15"/>
        <v>84945136</v>
      </c>
      <c r="U49" s="352">
        <f t="shared" si="15"/>
        <v>0</v>
      </c>
      <c r="V49" s="416">
        <f t="shared" si="15"/>
        <v>2373.6071999999999</v>
      </c>
    </row>
    <row r="50" spans="1:22">
      <c r="A50" s="5"/>
      <c r="B50" s="288"/>
      <c r="C50" s="5"/>
      <c r="D50" s="288"/>
      <c r="E50" s="5"/>
      <c r="F50" s="288"/>
      <c r="G50" s="5"/>
      <c r="H50" s="281"/>
      <c r="J50" s="295"/>
      <c r="K50" s="75"/>
      <c r="L50" s="281"/>
      <c r="M50" s="5"/>
      <c r="Q50" s="312">
        <f>Q49-M200OPR!Q49</f>
        <v>0</v>
      </c>
      <c r="R50" s="295"/>
      <c r="S50" s="281"/>
      <c r="T50" s="312">
        <f>T49-M200OPR!T49</f>
        <v>0</v>
      </c>
    </row>
    <row r="51" spans="1:22">
      <c r="G51" s="5"/>
      <c r="H51" s="281"/>
      <c r="J51" s="295"/>
      <c r="K51" s="75"/>
      <c r="L51" s="281"/>
      <c r="M51" s="5"/>
      <c r="Q51" s="590">
        <f>SUM(Q19+Q34+Q50)</f>
        <v>0</v>
      </c>
      <c r="R51" s="295"/>
      <c r="S51" s="281"/>
      <c r="T51" s="591">
        <f>SUM(T19+T34+T50)</f>
        <v>0</v>
      </c>
    </row>
    <row r="52" spans="1:22">
      <c r="A52" s="353" t="s">
        <v>276</v>
      </c>
      <c r="B52" s="354"/>
      <c r="C52" s="357"/>
      <c r="D52" s="357"/>
      <c r="E52" s="357"/>
      <c r="F52" s="357"/>
      <c r="G52" s="357"/>
      <c r="H52" s="357"/>
      <c r="I52" s="357"/>
      <c r="J52" s="357"/>
      <c r="K52" s="592"/>
      <c r="L52" s="592"/>
      <c r="M52" s="592"/>
      <c r="N52" s="592"/>
      <c r="O52" s="357"/>
      <c r="P52" s="357"/>
      <c r="Q52" s="354"/>
      <c r="R52" s="355"/>
      <c r="S52" s="354"/>
      <c r="T52" s="356"/>
      <c r="U52" s="357"/>
      <c r="V52" s="358"/>
    </row>
    <row r="53" spans="1:22">
      <c r="A53" s="360"/>
      <c r="B53" s="361"/>
      <c r="C53" s="60"/>
      <c r="D53" s="60"/>
      <c r="E53" s="60"/>
      <c r="F53" s="60"/>
      <c r="G53" s="273"/>
      <c r="H53" s="273"/>
      <c r="I53" s="273"/>
      <c r="J53" s="273"/>
      <c r="K53" s="314"/>
      <c r="L53" s="314"/>
      <c r="M53" s="314"/>
      <c r="N53" s="314"/>
      <c r="O53" s="60"/>
      <c r="P53" s="60"/>
      <c r="Q53" s="362" t="s">
        <v>543</v>
      </c>
      <c r="R53" s="198">
        <f>Q21</f>
        <v>2012</v>
      </c>
      <c r="S53" s="362" t="s">
        <v>226</v>
      </c>
      <c r="T53" s="362" t="s">
        <v>544</v>
      </c>
      <c r="U53" s="198">
        <f>T21</f>
        <v>2013</v>
      </c>
      <c r="V53" s="199" t="s">
        <v>226</v>
      </c>
    </row>
    <row r="54" spans="1:22">
      <c r="A54" s="62" t="s">
        <v>277</v>
      </c>
      <c r="B54" s="363"/>
      <c r="C54" s="63"/>
      <c r="D54" s="63"/>
      <c r="E54" s="63"/>
      <c r="F54" s="63"/>
      <c r="G54" s="286"/>
      <c r="H54" s="286"/>
      <c r="I54" s="286"/>
      <c r="J54" s="286"/>
      <c r="K54" s="317"/>
      <c r="L54" s="317"/>
      <c r="M54" s="317"/>
      <c r="N54" s="317"/>
      <c r="O54" s="63"/>
      <c r="P54" s="63"/>
      <c r="Q54" s="364" t="s">
        <v>128</v>
      </c>
      <c r="R54" s="202" t="s">
        <v>278</v>
      </c>
      <c r="S54" s="364" t="s">
        <v>230</v>
      </c>
      <c r="T54" s="364" t="s">
        <v>128</v>
      </c>
      <c r="U54" s="202" t="s">
        <v>278</v>
      </c>
      <c r="V54" s="203" t="s">
        <v>230</v>
      </c>
    </row>
    <row r="55" spans="1:22">
      <c r="A55" s="365" t="s">
        <v>132</v>
      </c>
      <c r="B55" s="280"/>
      <c r="C55" s="5"/>
      <c r="D55" s="5"/>
      <c r="E55" s="5"/>
      <c r="F55" s="5"/>
      <c r="G55" s="214"/>
      <c r="H55" s="214"/>
      <c r="I55" s="214"/>
      <c r="J55" s="214"/>
      <c r="K55" s="10"/>
      <c r="L55" s="10"/>
      <c r="M55" s="10"/>
      <c r="N55" s="10"/>
      <c r="O55" s="5"/>
      <c r="P55" s="5"/>
      <c r="Q55" s="428">
        <f>M200OPR!Q55</f>
        <v>12266899</v>
      </c>
      <c r="R55" s="288">
        <f>Q13</f>
        <v>12266899</v>
      </c>
      <c r="S55" s="288">
        <f t="shared" ref="S55:S60" si="16">(R55-Q55)</f>
        <v>0</v>
      </c>
      <c r="T55" s="428">
        <f>M200OPR!S55</f>
        <v>12290277</v>
      </c>
      <c r="U55" s="288">
        <f>T13</f>
        <v>12290277</v>
      </c>
      <c r="V55" s="367">
        <f>+U55-T55</f>
        <v>0</v>
      </c>
    </row>
    <row r="56" spans="1:22">
      <c r="A56" s="365" t="s">
        <v>133</v>
      </c>
      <c r="B56" s="280"/>
      <c r="C56" s="5"/>
      <c r="D56" s="5"/>
      <c r="E56" s="5"/>
      <c r="F56" s="5"/>
      <c r="G56" s="214"/>
      <c r="H56" s="214"/>
      <c r="I56" s="214"/>
      <c r="J56" s="214"/>
      <c r="K56" s="10"/>
      <c r="L56" s="10"/>
      <c r="M56" s="10"/>
      <c r="N56" s="10"/>
      <c r="O56" s="5"/>
      <c r="P56" s="5"/>
      <c r="Q56" s="428">
        <f>M200OPR!Q56</f>
        <v>66214766</v>
      </c>
      <c r="R56" s="288">
        <f>Q14</f>
        <v>66214766</v>
      </c>
      <c r="S56" s="288">
        <f t="shared" si="16"/>
        <v>0</v>
      </c>
      <c r="T56" s="428">
        <f>M200OPR!S56</f>
        <v>66340956</v>
      </c>
      <c r="U56" s="288">
        <f>T14</f>
        <v>66340956</v>
      </c>
      <c r="V56" s="367">
        <f t="shared" ref="V56:V72" si="17">+U56-T56</f>
        <v>0</v>
      </c>
    </row>
    <row r="57" spans="1:22">
      <c r="A57" s="365" t="s">
        <v>279</v>
      </c>
      <c r="B57" s="280"/>
      <c r="C57" s="5"/>
      <c r="D57" s="5"/>
      <c r="E57" s="5"/>
      <c r="F57" s="5"/>
      <c r="G57" s="214"/>
      <c r="H57" s="214"/>
      <c r="I57" s="214"/>
      <c r="J57" s="214"/>
      <c r="K57" s="10"/>
      <c r="L57" s="10"/>
      <c r="M57" s="10"/>
      <c r="N57" s="10"/>
      <c r="O57" s="5"/>
      <c r="P57" s="5"/>
      <c r="Q57" s="428">
        <f>M200OPR!Q57</f>
        <v>27218456</v>
      </c>
      <c r="R57" s="288">
        <f>Q15</f>
        <v>27218456</v>
      </c>
      <c r="S57" s="288">
        <f t="shared" si="16"/>
        <v>0</v>
      </c>
      <c r="T57" s="428">
        <f>M200OPR!S57</f>
        <v>27270328</v>
      </c>
      <c r="U57" s="288">
        <f>T15</f>
        <v>27270328</v>
      </c>
      <c r="V57" s="367">
        <f t="shared" si="17"/>
        <v>0</v>
      </c>
    </row>
    <row r="58" spans="1:22">
      <c r="A58" s="365" t="s">
        <v>101</v>
      </c>
      <c r="B58" s="280"/>
      <c r="C58" s="5"/>
      <c r="D58" s="5"/>
      <c r="E58" s="5"/>
      <c r="F58" s="5"/>
      <c r="G58" s="214"/>
      <c r="H58" s="214"/>
      <c r="I58" s="214"/>
      <c r="J58" s="5"/>
      <c r="K58" s="10"/>
      <c r="L58" s="10"/>
      <c r="M58" s="10"/>
      <c r="N58" s="10"/>
      <c r="O58" s="5"/>
      <c r="P58" s="5"/>
      <c r="Q58" s="428">
        <f>M200OPR!Q58</f>
        <v>2017314</v>
      </c>
      <c r="R58" s="288">
        <f>Q16</f>
        <v>2017314</v>
      </c>
      <c r="S58" s="288">
        <f t="shared" si="16"/>
        <v>0</v>
      </c>
      <c r="T58" s="428">
        <f>M200OPR!S58</f>
        <v>2021159</v>
      </c>
      <c r="U58" s="288">
        <f>T16</f>
        <v>2021159</v>
      </c>
      <c r="V58" s="367">
        <f t="shared" si="17"/>
        <v>0</v>
      </c>
    </row>
    <row r="59" spans="1:22">
      <c r="A59" s="78" t="s">
        <v>102</v>
      </c>
      <c r="B59" s="5"/>
      <c r="C59" s="5"/>
      <c r="D59" s="5"/>
      <c r="E59" s="5"/>
      <c r="F59" s="5"/>
      <c r="G59" s="214"/>
      <c r="H59" s="5"/>
      <c r="I59" s="5"/>
      <c r="J59" s="5"/>
      <c r="K59" s="10"/>
      <c r="L59" s="10"/>
      <c r="M59" s="10"/>
      <c r="N59" s="10"/>
      <c r="O59" s="5"/>
      <c r="P59" s="5"/>
      <c r="Q59" s="428">
        <f>M200OPR!Q59</f>
        <v>25995842</v>
      </c>
      <c r="R59" s="288">
        <f>Q17</f>
        <v>25995842</v>
      </c>
      <c r="S59" s="288">
        <f t="shared" si="16"/>
        <v>0</v>
      </c>
      <c r="T59" s="428">
        <f>M200OPR!S59</f>
        <v>26045384</v>
      </c>
      <c r="U59" s="288">
        <f>T17</f>
        <v>26045384</v>
      </c>
      <c r="V59" s="367">
        <f t="shared" si="17"/>
        <v>0</v>
      </c>
    </row>
    <row r="60" spans="1:22">
      <c r="A60" s="365" t="s">
        <v>108</v>
      </c>
      <c r="B60" s="280"/>
      <c r="C60" s="5"/>
      <c r="D60" s="5"/>
      <c r="E60" s="5"/>
      <c r="F60" s="5"/>
      <c r="G60" s="5"/>
      <c r="H60" s="5"/>
      <c r="I60" s="5"/>
      <c r="J60" s="5"/>
      <c r="K60" s="10"/>
      <c r="L60" s="10"/>
      <c r="M60" s="10"/>
      <c r="N60" s="10"/>
      <c r="O60" s="5"/>
      <c r="P60" s="5"/>
      <c r="Q60" s="428">
        <f>M200OPR!Q60</f>
        <v>16568311</v>
      </c>
      <c r="R60" s="288">
        <f t="shared" ref="R60:R65" si="18">Q27</f>
        <v>16568311</v>
      </c>
      <c r="S60" s="288">
        <f t="shared" si="16"/>
        <v>0</v>
      </c>
      <c r="T60" s="428">
        <f>M200OPR!S60</f>
        <v>16627695</v>
      </c>
      <c r="U60" s="288">
        <f t="shared" ref="U60:U65" si="19">T27</f>
        <v>16627695</v>
      </c>
      <c r="V60" s="367">
        <f t="shared" si="17"/>
        <v>0</v>
      </c>
    </row>
    <row r="61" spans="1:22">
      <c r="A61" s="365" t="s">
        <v>109</v>
      </c>
      <c r="B61" s="280"/>
      <c r="C61" s="5"/>
      <c r="D61" s="5"/>
      <c r="E61" s="5"/>
      <c r="F61" s="5"/>
      <c r="G61" s="5"/>
      <c r="H61" s="5"/>
      <c r="I61" s="5"/>
      <c r="J61" s="5"/>
      <c r="K61" s="10"/>
      <c r="L61" s="10"/>
      <c r="M61" s="10"/>
      <c r="N61" s="10"/>
      <c r="O61" s="5"/>
      <c r="P61" s="5"/>
      <c r="Q61" s="428">
        <f>M200OPR!Q61</f>
        <v>23612288</v>
      </c>
      <c r="R61" s="288">
        <f t="shared" si="18"/>
        <v>23612288</v>
      </c>
      <c r="S61" s="288">
        <f t="shared" ref="S61:S72" si="20">(R61-Q61)</f>
        <v>0</v>
      </c>
      <c r="T61" s="428">
        <f>M200OPR!S61</f>
        <v>23696920</v>
      </c>
      <c r="U61" s="288">
        <f t="shared" si="19"/>
        <v>23696920</v>
      </c>
      <c r="V61" s="367">
        <f t="shared" si="17"/>
        <v>0</v>
      </c>
    </row>
    <row r="62" spans="1:22">
      <c r="A62" s="365" t="s">
        <v>110</v>
      </c>
      <c r="B62" s="280"/>
      <c r="C62" s="5"/>
      <c r="D62" s="5"/>
      <c r="E62" s="5"/>
      <c r="F62" s="5"/>
      <c r="G62" s="5"/>
      <c r="H62" s="5"/>
      <c r="I62" s="5"/>
      <c r="J62" s="5"/>
      <c r="K62" s="10"/>
      <c r="L62" s="10"/>
      <c r="M62" s="10"/>
      <c r="N62" s="10"/>
      <c r="O62" s="5"/>
      <c r="P62" s="5"/>
      <c r="Q62" s="428">
        <f>M200OPR!Q62</f>
        <v>2377982</v>
      </c>
      <c r="R62" s="288">
        <f t="shared" si="18"/>
        <v>2377982</v>
      </c>
      <c r="S62" s="288">
        <f t="shared" si="20"/>
        <v>0</v>
      </c>
      <c r="T62" s="428">
        <f>M200OPR!S62</f>
        <v>2386505</v>
      </c>
      <c r="U62" s="288">
        <f t="shared" si="19"/>
        <v>2386505</v>
      </c>
      <c r="V62" s="367">
        <f t="shared" si="17"/>
        <v>0</v>
      </c>
    </row>
    <row r="63" spans="1:22">
      <c r="A63" s="78" t="s">
        <v>111</v>
      </c>
      <c r="B63" s="5"/>
      <c r="C63" s="5"/>
      <c r="D63" s="5"/>
      <c r="E63" s="5"/>
      <c r="F63" s="5"/>
      <c r="G63" s="5"/>
      <c r="H63" s="5"/>
      <c r="I63" s="5"/>
      <c r="J63" s="5"/>
      <c r="K63" s="10"/>
      <c r="L63" s="10"/>
      <c r="M63" s="10"/>
      <c r="N63" s="10"/>
      <c r="O63" s="5"/>
      <c r="P63" s="5"/>
      <c r="Q63" s="428">
        <f>M200OPR!Q63</f>
        <v>70354238</v>
      </c>
      <c r="R63" s="288">
        <f t="shared" si="18"/>
        <v>70354238</v>
      </c>
      <c r="S63" s="288">
        <f t="shared" si="20"/>
        <v>0</v>
      </c>
      <c r="T63" s="428">
        <f>M200OPR!S63</f>
        <v>70606404</v>
      </c>
      <c r="U63" s="288">
        <f t="shared" si="19"/>
        <v>70606404</v>
      </c>
      <c r="V63" s="367">
        <f t="shared" si="17"/>
        <v>0</v>
      </c>
    </row>
    <row r="64" spans="1:22">
      <c r="A64" s="78" t="s">
        <v>187</v>
      </c>
      <c r="B64" s="5"/>
      <c r="C64" s="5"/>
      <c r="D64" s="5"/>
      <c r="E64" s="5"/>
      <c r="F64" s="5"/>
      <c r="G64" s="5"/>
      <c r="H64" s="5"/>
      <c r="I64" s="5"/>
      <c r="J64" s="5"/>
      <c r="K64" s="10"/>
      <c r="L64" s="10"/>
      <c r="M64" s="10"/>
      <c r="N64" s="10"/>
      <c r="O64" s="5"/>
      <c r="P64" s="5"/>
      <c r="Q64" s="428">
        <f>M200OPR!Q64</f>
        <v>7323544</v>
      </c>
      <c r="R64" s="288">
        <f t="shared" si="18"/>
        <v>7323544</v>
      </c>
      <c r="S64" s="288">
        <f t="shared" si="20"/>
        <v>0</v>
      </c>
      <c r="T64" s="428">
        <f>M200OPR!S64</f>
        <v>7349793</v>
      </c>
      <c r="U64" s="288">
        <f t="shared" si="19"/>
        <v>7349793</v>
      </c>
      <c r="V64" s="367">
        <f t="shared" si="17"/>
        <v>0</v>
      </c>
    </row>
    <row r="65" spans="1:22">
      <c r="A65" s="78" t="s">
        <v>114</v>
      </c>
      <c r="B65" s="5"/>
      <c r="C65" s="5"/>
      <c r="D65" s="5"/>
      <c r="E65" s="5"/>
      <c r="F65" s="5"/>
      <c r="G65" s="5"/>
      <c r="H65" s="5"/>
      <c r="I65" s="5"/>
      <c r="J65" s="5"/>
      <c r="K65" s="10"/>
      <c r="L65" s="10"/>
      <c r="M65" s="10"/>
      <c r="N65" s="10"/>
      <c r="O65" s="5"/>
      <c r="P65" s="5"/>
      <c r="Q65" s="428">
        <f>M200OPR!Q65</f>
        <v>16377615</v>
      </c>
      <c r="R65" s="288">
        <f t="shared" si="18"/>
        <v>16377615</v>
      </c>
      <c r="S65" s="288">
        <f t="shared" si="20"/>
        <v>0</v>
      </c>
      <c r="T65" s="428">
        <f>M200OPR!S65</f>
        <v>16436316</v>
      </c>
      <c r="U65" s="288">
        <f t="shared" si="19"/>
        <v>16436316</v>
      </c>
      <c r="V65" s="367">
        <f t="shared" si="17"/>
        <v>0</v>
      </c>
    </row>
    <row r="66" spans="1:22">
      <c r="A66" s="78" t="s">
        <v>119</v>
      </c>
      <c r="B66" s="5"/>
      <c r="C66" s="5"/>
      <c r="D66" s="5"/>
      <c r="E66" s="5"/>
      <c r="F66" s="5"/>
      <c r="G66" s="5"/>
      <c r="H66" s="5"/>
      <c r="I66" s="5"/>
      <c r="J66" s="5"/>
      <c r="K66" s="10"/>
      <c r="L66" s="10"/>
      <c r="M66" s="10"/>
      <c r="N66" s="10"/>
      <c r="O66" s="5"/>
      <c r="P66" s="5"/>
      <c r="Q66" s="428">
        <f>M200OPR!Q66</f>
        <v>46874213</v>
      </c>
      <c r="R66" s="288">
        <f t="shared" ref="R66:R72" si="21">Q42</f>
        <v>46874213</v>
      </c>
      <c r="S66" s="288">
        <f t="shared" si="20"/>
        <v>0</v>
      </c>
      <c r="T66" s="428">
        <f>M200OPR!S66</f>
        <v>47042206</v>
      </c>
      <c r="U66" s="288">
        <f t="shared" ref="U66:U72" si="22">T42</f>
        <v>47042206</v>
      </c>
      <c r="V66" s="367">
        <f t="shared" si="17"/>
        <v>0</v>
      </c>
    </row>
    <row r="67" spans="1:22">
      <c r="A67" s="365" t="s">
        <v>120</v>
      </c>
      <c r="B67" s="280"/>
      <c r="C67" s="5"/>
      <c r="D67" s="5"/>
      <c r="E67" s="5"/>
      <c r="F67" s="5"/>
      <c r="G67" s="5"/>
      <c r="H67" s="5"/>
      <c r="I67" s="5"/>
      <c r="J67" s="5"/>
      <c r="K67" s="10"/>
      <c r="L67" s="10"/>
      <c r="M67" s="10"/>
      <c r="N67" s="10"/>
      <c r="O67" s="5"/>
      <c r="P67" s="5"/>
      <c r="Q67" s="428">
        <f>M200OPR!Q67</f>
        <v>5875718</v>
      </c>
      <c r="R67" s="288">
        <f t="shared" si="21"/>
        <v>5875718</v>
      </c>
      <c r="S67" s="288">
        <f t="shared" si="20"/>
        <v>0</v>
      </c>
      <c r="T67" s="428">
        <f>M200OPR!S67</f>
        <v>5896776</v>
      </c>
      <c r="U67" s="288">
        <f t="shared" si="22"/>
        <v>5896776</v>
      </c>
      <c r="V67" s="367">
        <f t="shared" si="17"/>
        <v>0</v>
      </c>
    </row>
    <row r="68" spans="1:22">
      <c r="A68" s="365" t="s">
        <v>121</v>
      </c>
      <c r="B68" s="280"/>
      <c r="C68" s="5"/>
      <c r="D68" s="5"/>
      <c r="E68" s="5"/>
      <c r="F68" s="5"/>
      <c r="G68" s="5"/>
      <c r="H68" s="5"/>
      <c r="I68" s="5"/>
      <c r="J68" s="5"/>
      <c r="K68" s="10"/>
      <c r="L68" s="10"/>
      <c r="M68" s="10"/>
      <c r="N68" s="10"/>
      <c r="O68" s="5"/>
      <c r="P68" s="5"/>
      <c r="Q68" s="428">
        <f>M200OPR!Q68</f>
        <v>13042423</v>
      </c>
      <c r="R68" s="288">
        <f t="shared" si="21"/>
        <v>13042423</v>
      </c>
      <c r="S68" s="288">
        <f t="shared" si="20"/>
        <v>0</v>
      </c>
      <c r="T68" s="428">
        <f>M200OPR!S68</f>
        <v>13089166</v>
      </c>
      <c r="U68" s="288">
        <f t="shared" si="22"/>
        <v>13089166</v>
      </c>
      <c r="V68" s="367">
        <f t="shared" si="17"/>
        <v>0</v>
      </c>
    </row>
    <row r="69" spans="1:22">
      <c r="A69" s="78" t="s">
        <v>272</v>
      </c>
      <c r="B69" s="5"/>
      <c r="C69" s="5"/>
      <c r="D69" s="5"/>
      <c r="E69" s="5"/>
      <c r="F69" s="5"/>
      <c r="G69" s="5"/>
      <c r="H69" s="5"/>
      <c r="I69" s="5"/>
      <c r="J69" s="5"/>
      <c r="K69" s="10"/>
      <c r="L69" s="10"/>
      <c r="M69" s="10"/>
      <c r="N69" s="10"/>
      <c r="O69" s="5"/>
      <c r="P69" s="5"/>
      <c r="Q69" s="428">
        <f>M200OPR!Q69</f>
        <v>3190525</v>
      </c>
      <c r="R69" s="288">
        <f t="shared" si="21"/>
        <v>3190525</v>
      </c>
      <c r="S69" s="288">
        <f t="shared" si="20"/>
        <v>0</v>
      </c>
      <c r="T69" s="428">
        <f>M200OPR!S69</f>
        <v>3201960</v>
      </c>
      <c r="U69" s="288">
        <f t="shared" si="22"/>
        <v>3201960</v>
      </c>
      <c r="V69" s="367">
        <f t="shared" si="17"/>
        <v>0</v>
      </c>
    </row>
    <row r="70" spans="1:22">
      <c r="A70" s="78" t="s">
        <v>273</v>
      </c>
      <c r="B70" s="5"/>
      <c r="C70" s="5"/>
      <c r="D70" s="5"/>
      <c r="E70" s="5"/>
      <c r="F70" s="5"/>
      <c r="G70" s="5"/>
      <c r="H70" s="5"/>
      <c r="I70" s="5"/>
      <c r="J70" s="5"/>
      <c r="K70" s="10"/>
      <c r="L70" s="10"/>
      <c r="M70" s="10"/>
      <c r="N70" s="10"/>
      <c r="O70" s="5"/>
      <c r="P70" s="5"/>
      <c r="Q70" s="428">
        <f>M200OPR!Q70</f>
        <v>2510700</v>
      </c>
      <c r="R70" s="288">
        <f t="shared" si="21"/>
        <v>2510700</v>
      </c>
      <c r="S70" s="288">
        <f t="shared" si="20"/>
        <v>0</v>
      </c>
      <c r="T70" s="428">
        <f>M200OPR!S70</f>
        <v>2519699</v>
      </c>
      <c r="U70" s="288">
        <f t="shared" si="22"/>
        <v>2519699</v>
      </c>
      <c r="V70" s="367">
        <f t="shared" si="17"/>
        <v>0</v>
      </c>
    </row>
    <row r="71" spans="1:22">
      <c r="A71" s="78" t="s">
        <v>274</v>
      </c>
      <c r="B71" s="5"/>
      <c r="C71" s="5"/>
      <c r="D71" s="5"/>
      <c r="E71" s="5"/>
      <c r="F71" s="5"/>
      <c r="G71" s="5"/>
      <c r="H71" s="5"/>
      <c r="I71" s="5"/>
      <c r="J71" s="5"/>
      <c r="K71" s="10"/>
      <c r="L71" s="10"/>
      <c r="M71" s="10"/>
      <c r="N71" s="10"/>
      <c r="O71" s="5"/>
      <c r="P71" s="5"/>
      <c r="Q71" s="428">
        <f>M200OPR!Q71</f>
        <v>3510398</v>
      </c>
      <c r="R71" s="288">
        <f t="shared" si="21"/>
        <v>3510398</v>
      </c>
      <c r="S71" s="288">
        <f t="shared" si="20"/>
        <v>0</v>
      </c>
      <c r="T71" s="428">
        <f>M200OPR!S71</f>
        <v>3522979</v>
      </c>
      <c r="U71" s="288">
        <f t="shared" si="22"/>
        <v>3522979</v>
      </c>
      <c r="V71" s="367">
        <f t="shared" si="17"/>
        <v>0</v>
      </c>
    </row>
    <row r="72" spans="1:22">
      <c r="A72" s="368" t="s">
        <v>275</v>
      </c>
      <c r="B72" s="63"/>
      <c r="C72" s="63"/>
      <c r="D72" s="337"/>
      <c r="E72" s="63"/>
      <c r="F72" s="337"/>
      <c r="G72" s="63"/>
      <c r="H72" s="63"/>
      <c r="I72" s="63"/>
      <c r="J72" s="63"/>
      <c r="K72" s="317"/>
      <c r="L72" s="317"/>
      <c r="M72" s="317"/>
      <c r="N72" s="317"/>
      <c r="O72" s="63"/>
      <c r="P72" s="63"/>
      <c r="Q72" s="593">
        <f>M200OPR!Q72</f>
        <v>9637809</v>
      </c>
      <c r="R72" s="337">
        <f t="shared" si="21"/>
        <v>9637809</v>
      </c>
      <c r="S72" s="337">
        <f t="shared" si="20"/>
        <v>0</v>
      </c>
      <c r="T72" s="593">
        <f>M200OPR!S72</f>
        <v>9672350</v>
      </c>
      <c r="U72" s="337">
        <f t="shared" si="22"/>
        <v>9672350</v>
      </c>
      <c r="V72" s="369">
        <f t="shared" si="17"/>
        <v>0</v>
      </c>
    </row>
    <row r="73" spans="1:22">
      <c r="K73" s="9"/>
      <c r="L73" s="9"/>
      <c r="M73" s="9"/>
      <c r="N73" s="9"/>
      <c r="Q73" s="302">
        <f t="shared" ref="Q73:V73" si="23">SUM(Q55:Q72)</f>
        <v>354969041</v>
      </c>
      <c r="R73" s="302">
        <f t="shared" si="23"/>
        <v>354969041</v>
      </c>
      <c r="S73" s="302">
        <f t="shared" si="23"/>
        <v>0</v>
      </c>
      <c r="T73" s="302">
        <f t="shared" si="23"/>
        <v>356016873</v>
      </c>
      <c r="U73" s="302">
        <f t="shared" si="23"/>
        <v>356016873</v>
      </c>
      <c r="V73" s="302">
        <f t="shared" si="23"/>
        <v>0</v>
      </c>
    </row>
  </sheetData>
  <mergeCells count="1">
    <mergeCell ref="A1:U1"/>
  </mergeCells>
  <phoneticPr fontId="0" type="noConversion"/>
  <printOptions horizontalCentered="1" verticalCentered="1" headings="1" gridLinesSet="0"/>
  <pageMargins left="0.5" right="0.5" top="0.25" bottom="0.5" header="0.25" footer="0.5"/>
  <pageSetup orientation="portrait" r:id="rId1"/>
  <headerFooter alignWithMargins="0">
    <oddFooter>&amp;L&amp;D &amp;T&amp;C&amp;P of &amp;N&amp;R&amp;F &amp;A</oddFooter>
  </headerFooter>
  <rowBreaks count="1" manualBreakCount="1">
    <brk id="35" max="16383" man="1"/>
  </rowBreaks>
  <legacyDrawing r:id="rId2"/>
  <extLst>
    <ext xmlns:mx="http://schemas.microsoft.com/office/mac/excel/2008/main" uri="http://schemas.microsoft.com/office/mac/excel/2008/main">
      <mx:PLV Mode="0" OnePage="0" WScale="0"/>
    </ext>
  </extLst>
</worksheet>
</file>

<file path=xl/worksheets/sheet16.xml><?xml version="1.0" encoding="utf-8"?>
<worksheet xmlns="http://schemas.openxmlformats.org/spreadsheetml/2006/main" xmlns:r="http://schemas.openxmlformats.org/officeDocument/2006/relationships">
  <sheetPr codeName="Sheet12" enableFormatConditionsCalculation="0"/>
  <dimension ref="A1:U22"/>
  <sheetViews>
    <sheetView showGridLines="0" topLeftCell="A7" zoomScale="125" workbookViewId="0">
      <selection activeCell="S16" sqref="S16"/>
    </sheetView>
  </sheetViews>
  <sheetFormatPr defaultColWidth="8.85546875" defaultRowHeight="13.5"/>
  <cols>
    <col min="1" max="1" width="14.28515625" style="31" customWidth="1"/>
    <col min="2" max="8" width="9.140625" style="31" hidden="1" customWidth="1"/>
    <col min="9" max="9" width="9" style="31" hidden="1" customWidth="1"/>
    <col min="10" max="10" width="8.7109375" style="31" hidden="1" customWidth="1"/>
    <col min="11" max="11" width="9.140625" style="328" hidden="1" customWidth="1"/>
    <col min="12" max="12" width="8.42578125" style="31" hidden="1" customWidth="1"/>
    <col min="13" max="13" width="9" style="31" hidden="1" customWidth="1"/>
    <col min="14" max="14" width="8.7109375" style="31" hidden="1" customWidth="1"/>
    <col min="15" max="15" width="10.42578125" style="31" customWidth="1"/>
    <col min="16" max="16" width="8.42578125" style="31" customWidth="1"/>
    <col min="17" max="17" width="10.28515625" style="31" bestFit="1" customWidth="1"/>
    <col min="18" max="18" width="9.28515625" style="31" customWidth="1"/>
    <col min="19" max="19" width="8.85546875" style="31"/>
    <col min="20" max="16384" width="8.85546875" style="9"/>
  </cols>
  <sheetData>
    <row r="1" spans="1:21" s="10" customFormat="1" ht="14.25" thickBot="1">
      <c r="A1" s="1058" t="s">
        <v>351</v>
      </c>
      <c r="B1" s="1059"/>
      <c r="C1" s="1059"/>
      <c r="D1" s="1059"/>
      <c r="E1" s="1059"/>
      <c r="F1" s="1059"/>
      <c r="G1" s="1059"/>
      <c r="H1" s="1059"/>
      <c r="I1" s="1059"/>
      <c r="J1" s="1059"/>
      <c r="K1" s="1059"/>
      <c r="L1" s="1059"/>
      <c r="M1" s="1059"/>
      <c r="N1" s="1059"/>
      <c r="O1" s="1059"/>
      <c r="P1" s="1059"/>
      <c r="Q1" s="1059"/>
      <c r="R1" s="1059"/>
      <c r="S1" s="1059"/>
      <c r="T1" s="1059"/>
      <c r="U1" s="1060"/>
    </row>
    <row r="2" spans="1:21" s="291" customFormat="1">
      <c r="A2" s="382" t="s">
        <v>103</v>
      </c>
      <c r="B2" s="384"/>
      <c r="C2" s="383">
        <v>1992</v>
      </c>
      <c r="D2" s="384"/>
      <c r="E2" s="383">
        <v>1993</v>
      </c>
      <c r="F2" s="384"/>
      <c r="G2" s="383">
        <v>1994</v>
      </c>
      <c r="H2" s="383">
        <v>1995</v>
      </c>
      <c r="I2" s="383"/>
      <c r="J2" s="120">
        <v>1996</v>
      </c>
      <c r="K2" s="404"/>
      <c r="L2" s="120">
        <v>1998</v>
      </c>
      <c r="M2" s="404"/>
      <c r="N2" s="120">
        <v>1999</v>
      </c>
      <c r="O2" s="120">
        <v>2010</v>
      </c>
      <c r="Q2" s="120">
        <v>2012</v>
      </c>
      <c r="R2" s="403"/>
      <c r="T2" s="120">
        <v>2013</v>
      </c>
      <c r="U2" s="385"/>
    </row>
    <row r="3" spans="1:21" s="291" customFormat="1" ht="14.25" thickBot="1">
      <c r="A3" s="386" t="s">
        <v>104</v>
      </c>
      <c r="B3" s="387"/>
      <c r="C3" s="375" t="s">
        <v>41</v>
      </c>
      <c r="D3" s="387"/>
      <c r="E3" s="375" t="s">
        <v>41</v>
      </c>
      <c r="F3" s="387"/>
      <c r="G3" s="375" t="s">
        <v>41</v>
      </c>
      <c r="H3" s="375" t="s">
        <v>41</v>
      </c>
      <c r="I3" s="375"/>
      <c r="J3" s="109" t="s">
        <v>41</v>
      </c>
      <c r="K3" s="407"/>
      <c r="L3" s="109" t="s">
        <v>41</v>
      </c>
      <c r="M3" s="407"/>
      <c r="N3" s="109" t="s">
        <v>41</v>
      </c>
      <c r="O3" s="109" t="s">
        <v>41</v>
      </c>
      <c r="P3" s="375"/>
      <c r="Q3" s="109" t="s">
        <v>105</v>
      </c>
      <c r="R3" s="112"/>
      <c r="S3" s="375"/>
      <c r="T3" s="109" t="s">
        <v>105</v>
      </c>
      <c r="U3" s="376"/>
    </row>
    <row r="4" spans="1:21">
      <c r="A4" s="409"/>
      <c r="B4" s="337"/>
      <c r="C4" s="337">
        <v>204207</v>
      </c>
      <c r="D4" s="337"/>
      <c r="E4" s="337">
        <v>214997</v>
      </c>
      <c r="F4" s="337"/>
      <c r="G4" s="337">
        <v>227302</v>
      </c>
      <c r="H4" s="337">
        <v>227302</v>
      </c>
      <c r="I4" s="337"/>
      <c r="J4" s="288">
        <v>255215.4</v>
      </c>
      <c r="K4" s="5"/>
      <c r="L4" s="380">
        <v>285990</v>
      </c>
      <c r="M4" s="339"/>
      <c r="N4" s="410">
        <v>300115.40000000002</v>
      </c>
      <c r="O4" s="610">
        <f>DSADATABASE!A4</f>
        <v>425527.2</v>
      </c>
      <c r="P4" s="79"/>
      <c r="Q4" s="610">
        <f>DSADATABASE!C4</f>
        <v>421987.1</v>
      </c>
      <c r="R4" s="610"/>
      <c r="S4" s="79"/>
      <c r="T4" s="610">
        <f>DSADATABASE!D4</f>
        <v>423499.6</v>
      </c>
      <c r="U4" s="611"/>
    </row>
    <row r="5" spans="1:21" ht="14.25" thickBot="1">
      <c r="A5" s="125"/>
      <c r="B5" s="288"/>
      <c r="C5" s="5"/>
      <c r="D5" s="288"/>
      <c r="E5" s="5"/>
      <c r="F5" s="288"/>
      <c r="G5" s="5"/>
      <c r="H5" s="5"/>
      <c r="I5" s="5"/>
      <c r="J5" s="10"/>
      <c r="K5" s="10"/>
      <c r="L5" s="5"/>
      <c r="M5" s="5"/>
      <c r="N5" s="288"/>
      <c r="O5" s="288"/>
      <c r="P5" s="288"/>
      <c r="Q5" s="5"/>
      <c r="R5" s="5"/>
      <c r="S5" s="5"/>
      <c r="T5" s="5"/>
      <c r="U5" s="30"/>
    </row>
    <row r="6" spans="1:21" s="431" customFormat="1">
      <c r="A6" s="401" t="s">
        <v>106</v>
      </c>
      <c r="B6" s="411" t="s">
        <v>68</v>
      </c>
      <c r="C6" s="120" t="s">
        <v>16</v>
      </c>
      <c r="D6" s="411" t="s">
        <v>1</v>
      </c>
      <c r="E6" s="120" t="s">
        <v>17</v>
      </c>
      <c r="F6" s="411" t="s">
        <v>3</v>
      </c>
      <c r="G6" s="120" t="s">
        <v>122</v>
      </c>
      <c r="H6" s="120" t="s">
        <v>4</v>
      </c>
      <c r="I6" s="120" t="s">
        <v>123</v>
      </c>
      <c r="J6" s="120" t="s">
        <v>124</v>
      </c>
      <c r="K6" s="120" t="s">
        <v>7</v>
      </c>
      <c r="L6" s="383" t="s">
        <v>125</v>
      </c>
      <c r="M6" s="120" t="s">
        <v>296</v>
      </c>
      <c r="N6" s="383" t="s">
        <v>126</v>
      </c>
      <c r="O6" s="383" t="str">
        <f>+M200OPR!O25</f>
        <v>2010 Actual</v>
      </c>
      <c r="P6" s="383" t="str">
        <f>+M200OPR!P25</f>
        <v>2010 Cost</v>
      </c>
      <c r="Q6" s="411" t="s">
        <v>145</v>
      </c>
      <c r="R6" s="383" t="str">
        <f>+M200OPR!R25</f>
        <v>2012 Add'l</v>
      </c>
      <c r="S6" s="383" t="str">
        <f>+M200OPR!S25</f>
        <v>2012 Cost</v>
      </c>
      <c r="T6" s="120" t="s">
        <v>542</v>
      </c>
      <c r="U6" s="385" t="str">
        <f>+M200OPR!V25</f>
        <v>2013 Cost</v>
      </c>
    </row>
    <row r="7" spans="1:21" s="431" customFormat="1" ht="14.25" thickBot="1">
      <c r="A7" s="405" t="s">
        <v>127</v>
      </c>
      <c r="B7" s="412" t="s">
        <v>128</v>
      </c>
      <c r="C7" s="109" t="s">
        <v>107</v>
      </c>
      <c r="D7" s="412" t="s">
        <v>128</v>
      </c>
      <c r="E7" s="109" t="s">
        <v>107</v>
      </c>
      <c r="F7" s="412" t="s">
        <v>128</v>
      </c>
      <c r="G7" s="109" t="s">
        <v>107</v>
      </c>
      <c r="H7" s="109" t="s">
        <v>128</v>
      </c>
      <c r="I7" s="109" t="s">
        <v>107</v>
      </c>
      <c r="J7" s="109" t="s">
        <v>107</v>
      </c>
      <c r="K7" s="109" t="s">
        <v>128</v>
      </c>
      <c r="L7" s="109" t="s">
        <v>107</v>
      </c>
      <c r="M7" s="109" t="s">
        <v>107</v>
      </c>
      <c r="N7" s="109" t="s">
        <v>107</v>
      </c>
      <c r="O7" s="109" t="s">
        <v>128</v>
      </c>
      <c r="P7" s="109" t="s">
        <v>107</v>
      </c>
      <c r="Q7" s="387" t="s">
        <v>128</v>
      </c>
      <c r="R7" s="375" t="s">
        <v>128</v>
      </c>
      <c r="S7" s="375" t="s">
        <v>107</v>
      </c>
      <c r="T7" s="375" t="s">
        <v>128</v>
      </c>
      <c r="U7" s="376" t="s">
        <v>107</v>
      </c>
    </row>
    <row r="8" spans="1:21">
      <c r="A8" s="388" t="str">
        <f>DSASUMM!A49</f>
        <v xml:space="preserve"> Pupil Transportation</v>
      </c>
      <c r="B8" s="288">
        <v>16593615</v>
      </c>
      <c r="C8" s="326">
        <v>81.258796221481148</v>
      </c>
      <c r="D8" s="288">
        <v>7419491</v>
      </c>
      <c r="E8" s="326">
        <v>34.509741996399953</v>
      </c>
      <c r="F8" s="281">
        <v>10716595</v>
      </c>
      <c r="G8" s="326">
        <v>47.146945473423024</v>
      </c>
      <c r="H8" s="214">
        <v>13883778</v>
      </c>
      <c r="I8" s="326">
        <v>61.080755998627374</v>
      </c>
      <c r="J8" s="344">
        <v>34.08</v>
      </c>
      <c r="K8" s="3">
        <v>13361131</v>
      </c>
      <c r="L8" s="77">
        <v>71.78</v>
      </c>
      <c r="M8" s="432">
        <v>17.25</v>
      </c>
      <c r="N8" s="77">
        <v>50.6</v>
      </c>
      <c r="O8" s="75">
        <f>DSASUMM!C49</f>
        <v>12421609</v>
      </c>
      <c r="P8" s="433">
        <f>ROUND(O8/O4,6)</f>
        <v>29.191105</v>
      </c>
      <c r="Q8" s="214">
        <f>ROUND(Q$4*S8,0)</f>
        <v>12318268</v>
      </c>
      <c r="R8" s="214">
        <f>Q8-O8</f>
        <v>-103341</v>
      </c>
      <c r="S8" s="434">
        <f>ROUND(P8*1,4)</f>
        <v>29.191099999999999</v>
      </c>
      <c r="T8" s="215">
        <f>ROUND(T$4*U8,0)</f>
        <v>12362419</v>
      </c>
      <c r="U8" s="435">
        <f>ROUND(S8*1,4)</f>
        <v>29.191099999999999</v>
      </c>
    </row>
    <row r="9" spans="1:21">
      <c r="A9" s="388" t="str">
        <f>DSASUMM!A51</f>
        <v xml:space="preserve"> Instructional Equipment</v>
      </c>
      <c r="B9" s="288">
        <v>5287542</v>
      </c>
      <c r="C9" s="326">
        <v>25.893049699569556</v>
      </c>
      <c r="D9" s="288">
        <v>4255465</v>
      </c>
      <c r="E9" s="326">
        <v>19.793136648418351</v>
      </c>
      <c r="F9" s="281">
        <v>5639972</v>
      </c>
      <c r="G9" s="326">
        <v>24.81268092669664</v>
      </c>
      <c r="H9" s="281">
        <v>3729039</v>
      </c>
      <c r="I9" s="326">
        <v>16.405658551178607</v>
      </c>
      <c r="J9" s="344">
        <v>18.04</v>
      </c>
      <c r="K9" s="3">
        <v>4282191</v>
      </c>
      <c r="L9" s="77">
        <v>14.68</v>
      </c>
      <c r="M9" s="432">
        <v>14.77</v>
      </c>
      <c r="N9" s="77">
        <v>12.53</v>
      </c>
      <c r="O9" s="75">
        <f>DSASUMM!C51</f>
        <v>2095024</v>
      </c>
      <c r="P9" s="433">
        <f>ROUND(O9/O$4,6)</f>
        <v>4.9233609999999999</v>
      </c>
      <c r="Q9" s="214">
        <f>ROUND(Q$4*P9,0)</f>
        <v>2077595</v>
      </c>
      <c r="R9" s="214">
        <f>Q9-O9</f>
        <v>-17429</v>
      </c>
      <c r="S9" s="434">
        <f>ROUND(P9*1,4)</f>
        <v>4.9234</v>
      </c>
      <c r="T9" s="215">
        <f>ROUND(T$4*S9,0)</f>
        <v>2085058</v>
      </c>
      <c r="U9" s="435">
        <f>ROUND(S9*1,4)</f>
        <v>4.9234</v>
      </c>
    </row>
    <row r="10" spans="1:21">
      <c r="A10" s="388" t="str">
        <f>DSASUMM!A52</f>
        <v xml:space="preserve"> Instructional Hardware</v>
      </c>
      <c r="B10" s="288"/>
      <c r="C10" s="326"/>
      <c r="D10" s="288"/>
      <c r="E10" s="326"/>
      <c r="F10" s="281"/>
      <c r="G10" s="331" t="s">
        <v>113</v>
      </c>
      <c r="H10" s="139">
        <v>1861383</v>
      </c>
      <c r="I10" s="326">
        <v>8.1890304528776685</v>
      </c>
      <c r="J10" s="344">
        <v>-1.01</v>
      </c>
      <c r="K10" s="3">
        <v>3181182</v>
      </c>
      <c r="L10" s="77">
        <v>6.91</v>
      </c>
      <c r="M10" s="432">
        <v>6.6</v>
      </c>
      <c r="N10" s="77">
        <v>9.5399999999999991</v>
      </c>
      <c r="O10" s="75">
        <f>DSASUMM!C52</f>
        <v>46734</v>
      </c>
      <c r="P10" s="433">
        <f>ROUND(O10/O$4,6)</f>
        <v>0.10982599999999999</v>
      </c>
      <c r="Q10" s="214">
        <f>ROUND(Q$4*P10,0)</f>
        <v>46345</v>
      </c>
      <c r="R10" s="214">
        <f>Q10-O10</f>
        <v>-389</v>
      </c>
      <c r="S10" s="434">
        <f>ROUND(P10*1,4)</f>
        <v>0.10979999999999999</v>
      </c>
      <c r="T10" s="215">
        <f>ROUND(T$4*S10,0)</f>
        <v>46500</v>
      </c>
      <c r="U10" s="435">
        <f>ROUND(S10*1,4)</f>
        <v>0.10979999999999999</v>
      </c>
    </row>
    <row r="11" spans="1:21">
      <c r="A11" s="388" t="str">
        <f>DSASUMM!A55</f>
        <v xml:space="preserve"> All Other Equipment</v>
      </c>
      <c r="B11" s="288">
        <v>6419036</v>
      </c>
      <c r="C11" s="326">
        <v>31.433966514370223</v>
      </c>
      <c r="D11" s="288">
        <v>2974502</v>
      </c>
      <c r="E11" s="326">
        <v>13.835086070968432</v>
      </c>
      <c r="F11" s="281">
        <v>3302847</v>
      </c>
      <c r="G11" s="326">
        <v>14.530655251603594</v>
      </c>
      <c r="H11" s="281">
        <v>3124921</v>
      </c>
      <c r="I11" s="326">
        <v>13.747881672840538</v>
      </c>
      <c r="J11" s="344">
        <v>63.55</v>
      </c>
      <c r="K11" s="4">
        <v>7077262</v>
      </c>
      <c r="L11" s="334">
        <v>18.149999999999999</v>
      </c>
      <c r="M11" s="436">
        <v>14.24</v>
      </c>
      <c r="N11" s="334">
        <v>36.520000000000003</v>
      </c>
      <c r="O11" s="75">
        <f>DSASUMM!C55</f>
        <v>3582606</v>
      </c>
      <c r="P11" s="437">
        <f>ROUND(O11/O$4,6)</f>
        <v>8.4192169999999997</v>
      </c>
      <c r="Q11" s="214">
        <f>ROUND(Q$4*P11,0)</f>
        <v>3552801</v>
      </c>
      <c r="R11" s="286">
        <f>Q11-O11</f>
        <v>-29805</v>
      </c>
      <c r="S11" s="438">
        <f>ROUND(P11*1,4)</f>
        <v>8.4192</v>
      </c>
      <c r="T11" s="215">
        <f>ROUND(T$4*S11,0)</f>
        <v>3565528</v>
      </c>
      <c r="U11" s="439">
        <f>ROUND(S11*1,4)</f>
        <v>8.4192</v>
      </c>
    </row>
    <row r="12" spans="1:21">
      <c r="A12" s="125"/>
      <c r="B12" s="309">
        <v>28300193</v>
      </c>
      <c r="C12" s="5"/>
      <c r="D12" s="309">
        <v>14649458</v>
      </c>
      <c r="E12" s="5"/>
      <c r="F12" s="309">
        <v>19659414</v>
      </c>
      <c r="G12" s="5"/>
      <c r="H12" s="440">
        <v>22599121</v>
      </c>
      <c r="I12" s="5"/>
      <c r="J12" s="215"/>
      <c r="K12" s="309">
        <v>27901766</v>
      </c>
      <c r="L12" s="77">
        <v>111.52</v>
      </c>
      <c r="M12" s="77">
        <v>52.86</v>
      </c>
      <c r="N12" s="77">
        <v>109.19</v>
      </c>
      <c r="O12" s="441">
        <f t="shared" ref="O12:U12" si="0">SUM(O8:O11)</f>
        <v>18145973</v>
      </c>
      <c r="P12" s="442">
        <f t="shared" si="0"/>
        <v>42.643508999999995</v>
      </c>
      <c r="Q12" s="393">
        <f t="shared" si="0"/>
        <v>17995009</v>
      </c>
      <c r="R12" s="393">
        <f t="shared" si="0"/>
        <v>-150964</v>
      </c>
      <c r="S12" s="443">
        <f t="shared" si="0"/>
        <v>42.643500000000003</v>
      </c>
      <c r="T12" s="393">
        <f t="shared" si="0"/>
        <v>18059505</v>
      </c>
      <c r="U12" s="435">
        <f t="shared" si="0"/>
        <v>42.643500000000003</v>
      </c>
    </row>
    <row r="13" spans="1:21">
      <c r="A13" s="125"/>
      <c r="B13" s="288"/>
      <c r="C13" s="5"/>
      <c r="D13" s="288"/>
      <c r="E13" s="5"/>
      <c r="F13" s="288"/>
      <c r="G13" s="5"/>
      <c r="H13" s="5"/>
      <c r="I13" s="5"/>
      <c r="J13" s="5"/>
      <c r="K13" s="344"/>
      <c r="L13" s="75"/>
      <c r="M13" s="281"/>
      <c r="N13" s="5"/>
      <c r="O13" s="399"/>
      <c r="P13" s="399"/>
      <c r="Q13" s="393">
        <f>Q12-O12</f>
        <v>-150964</v>
      </c>
      <c r="R13" s="400"/>
      <c r="S13" s="339"/>
      <c r="T13" s="393">
        <f>T12-O12</f>
        <v>-86468</v>
      </c>
      <c r="U13" s="30"/>
    </row>
    <row r="14" spans="1:21">
      <c r="A14" s="409"/>
      <c r="B14" s="319"/>
      <c r="C14" s="319"/>
      <c r="D14" s="444"/>
      <c r="E14" s="319"/>
      <c r="F14" s="444"/>
      <c r="G14" s="5"/>
      <c r="H14" s="5"/>
      <c r="I14" s="5"/>
      <c r="J14" s="5"/>
      <c r="K14" s="10"/>
      <c r="L14" s="10"/>
      <c r="M14" s="10"/>
      <c r="N14" s="5"/>
      <c r="O14" s="445"/>
      <c r="P14" s="60"/>
      <c r="Q14" s="290" t="str">
        <f>+M200OPR!P53</f>
        <v>2010 Actual</v>
      </c>
      <c r="R14" s="273">
        <f>+M200OPR!Q53</f>
        <v>2012</v>
      </c>
      <c r="S14" s="290" t="s">
        <v>226</v>
      </c>
      <c r="T14" s="273">
        <f>+M200OPR!S53</f>
        <v>2013</v>
      </c>
      <c r="U14" s="446" t="s">
        <v>226</v>
      </c>
    </row>
    <row r="15" spans="1:21" ht="13.35" customHeight="1">
      <c r="A15" s="409"/>
      <c r="B15" s="319"/>
      <c r="C15" s="319"/>
      <c r="D15" s="444"/>
      <c r="E15" s="319"/>
      <c r="F15" s="444"/>
      <c r="G15" s="5"/>
      <c r="H15" s="5"/>
      <c r="I15" s="5"/>
      <c r="J15" s="5"/>
      <c r="K15" s="10"/>
      <c r="L15" s="10"/>
      <c r="M15" s="10"/>
      <c r="N15" s="5"/>
      <c r="O15" s="447" t="s">
        <v>227</v>
      </c>
      <c r="P15" s="63"/>
      <c r="Q15" s="278" t="s">
        <v>128</v>
      </c>
      <c r="R15" s="278" t="s">
        <v>278</v>
      </c>
      <c r="S15" s="294" t="s">
        <v>230</v>
      </c>
      <c r="T15" s="278" t="s">
        <v>278</v>
      </c>
      <c r="U15" s="448" t="s">
        <v>230</v>
      </c>
    </row>
    <row r="16" spans="1:21">
      <c r="A16" s="125"/>
      <c r="B16" s="288"/>
      <c r="C16" s="377"/>
      <c r="D16" s="288"/>
      <c r="E16" s="377"/>
      <c r="F16" s="288"/>
      <c r="G16" s="5"/>
      <c r="H16" s="5"/>
      <c r="I16" s="5"/>
      <c r="J16" s="5"/>
      <c r="K16" s="10"/>
      <c r="L16" s="10"/>
      <c r="M16" s="10"/>
      <c r="N16" s="5"/>
      <c r="O16" s="344" t="s">
        <v>108</v>
      </c>
      <c r="Q16" s="288">
        <f>O8</f>
        <v>12421609</v>
      </c>
      <c r="R16" s="377">
        <f>Q8</f>
        <v>12318268</v>
      </c>
      <c r="S16" s="288">
        <f>R16-Q16</f>
        <v>-103341</v>
      </c>
      <c r="T16" s="377">
        <f>T8</f>
        <v>12362419</v>
      </c>
      <c r="U16" s="449">
        <f>T16-Q16</f>
        <v>-59190</v>
      </c>
    </row>
    <row r="17" spans="1:21">
      <c r="A17" s="125"/>
      <c r="B17" s="288"/>
      <c r="C17" s="377"/>
      <c r="D17" s="288"/>
      <c r="E17" s="377"/>
      <c r="F17" s="288"/>
      <c r="G17" s="5"/>
      <c r="H17" s="5"/>
      <c r="I17" s="5"/>
      <c r="J17" s="5"/>
      <c r="K17" s="10"/>
      <c r="L17" s="10"/>
      <c r="M17" s="10"/>
      <c r="N17" s="5"/>
      <c r="O17" s="344" t="s">
        <v>283</v>
      </c>
      <c r="Q17" s="288">
        <f>O9</f>
        <v>2095024</v>
      </c>
      <c r="R17" s="377">
        <f>Q9</f>
        <v>2077595</v>
      </c>
      <c r="S17" s="288">
        <f>R17-Q17</f>
        <v>-17429</v>
      </c>
      <c r="T17" s="377">
        <f>T9</f>
        <v>2085058</v>
      </c>
      <c r="U17" s="449">
        <f>T17-Q17</f>
        <v>-9966</v>
      </c>
    </row>
    <row r="18" spans="1:21">
      <c r="A18" s="125"/>
      <c r="B18" s="288"/>
      <c r="C18" s="377"/>
      <c r="D18" s="288"/>
      <c r="E18" s="377"/>
      <c r="F18" s="288"/>
      <c r="G18" s="5"/>
      <c r="H18" s="5"/>
      <c r="I18" s="5"/>
      <c r="J18" s="5"/>
      <c r="K18" s="10"/>
      <c r="L18" s="10"/>
      <c r="M18" s="10"/>
      <c r="N18" s="5"/>
      <c r="O18" s="344" t="s">
        <v>186</v>
      </c>
      <c r="Q18" s="288">
        <f>O10</f>
        <v>46734</v>
      </c>
      <c r="R18" s="377">
        <f>Q10</f>
        <v>46345</v>
      </c>
      <c r="S18" s="288">
        <f>R18-Q18</f>
        <v>-389</v>
      </c>
      <c r="T18" s="377">
        <f>T10</f>
        <v>46500</v>
      </c>
      <c r="U18" s="449">
        <f>T18-Q18</f>
        <v>-234</v>
      </c>
    </row>
    <row r="19" spans="1:21" ht="14.25" thickBot="1">
      <c r="A19" s="125"/>
      <c r="B19" s="288"/>
      <c r="C19" s="377"/>
      <c r="D19" s="288"/>
      <c r="E19" s="377"/>
      <c r="F19" s="288"/>
      <c r="G19" s="5"/>
      <c r="H19" s="5"/>
      <c r="I19" s="5"/>
      <c r="J19" s="5"/>
      <c r="K19" s="10"/>
      <c r="L19" s="10"/>
      <c r="M19" s="10"/>
      <c r="N19" s="5"/>
      <c r="O19" s="344" t="s">
        <v>284</v>
      </c>
      <c r="Q19" s="288">
        <f>O11</f>
        <v>3582606</v>
      </c>
      <c r="R19" s="377">
        <f>Q11</f>
        <v>3552801</v>
      </c>
      <c r="S19" s="288">
        <f>R19-Q19</f>
        <v>-29805</v>
      </c>
      <c r="T19" s="377">
        <f>T11</f>
        <v>3565528</v>
      </c>
      <c r="U19" s="449">
        <f>T19-Q19</f>
        <v>-17078</v>
      </c>
    </row>
    <row r="20" spans="1:21" ht="14.25" thickBot="1">
      <c r="A20" s="429"/>
      <c r="B20" s="419"/>
      <c r="C20" s="419"/>
      <c r="D20" s="419"/>
      <c r="E20" s="419"/>
      <c r="F20" s="419"/>
      <c r="G20" s="407"/>
      <c r="H20" s="407"/>
      <c r="I20" s="407"/>
      <c r="J20" s="407"/>
      <c r="K20" s="112"/>
      <c r="L20" s="112"/>
      <c r="M20" s="112"/>
      <c r="N20" s="407"/>
      <c r="O20" s="450"/>
      <c r="P20" s="451"/>
      <c r="Q20" s="430">
        <f>SUM(Q16:Q19)</f>
        <v>18145973</v>
      </c>
      <c r="R20" s="430">
        <f>SUM(R16:R19)</f>
        <v>17995009</v>
      </c>
      <c r="S20" s="430">
        <f>SUM(S16:S19)</f>
        <v>-150964</v>
      </c>
      <c r="T20" s="430">
        <f>SUM(T16:T19)</f>
        <v>18059505</v>
      </c>
      <c r="U20" s="452">
        <f>SUM(U16:U19)</f>
        <v>-86468</v>
      </c>
    </row>
    <row r="21" spans="1:21">
      <c r="I21" s="31" t="s">
        <v>280</v>
      </c>
      <c r="K21" s="5"/>
      <c r="L21" s="214"/>
      <c r="M21" s="214"/>
      <c r="N21" s="214"/>
      <c r="O21" s="214"/>
      <c r="P21" s="214"/>
    </row>
    <row r="22" spans="1:21">
      <c r="I22" s="31" t="s">
        <v>281</v>
      </c>
      <c r="K22" s="5"/>
      <c r="L22" s="214"/>
      <c r="M22" s="214"/>
      <c r="N22" s="214"/>
      <c r="O22" s="214"/>
      <c r="P22" s="214"/>
    </row>
  </sheetData>
  <mergeCells count="1">
    <mergeCell ref="A1:U1"/>
  </mergeCells>
  <phoneticPr fontId="0" type="noConversion"/>
  <printOptions horizontalCentered="1" headings="1" gridLinesSet="0"/>
  <pageMargins left="0.5" right="0.5" top="0.25" bottom="0.5" header="0.25" footer="0.5"/>
  <pageSetup orientation="portrait" r:id="rId1"/>
  <headerFooter alignWithMargins="0">
    <oddFooter>&amp;L&amp;D &amp;T&amp;C&amp;P of &amp;N&amp;R&amp;F &amp;A</oddFooter>
  </headerFooter>
  <legacyDrawing r:id="rId2"/>
  <extLst>
    <ext xmlns:mx="http://schemas.microsoft.com/office/mac/excel/2008/main" uri="http://schemas.microsoft.com/office/mac/excel/2008/main">
      <mx:PLV Mode="0" OnePage="0" WScale="0"/>
    </ext>
  </extLst>
</worksheet>
</file>

<file path=xl/worksheets/sheet17.xml><?xml version="1.0" encoding="utf-8"?>
<worksheet xmlns="http://schemas.openxmlformats.org/spreadsheetml/2006/main" xmlns:r="http://schemas.openxmlformats.org/officeDocument/2006/relationships">
  <sheetPr codeName="Sheet13" enableFormatConditionsCalculation="0"/>
  <dimension ref="A1:H55"/>
  <sheetViews>
    <sheetView topLeftCell="A25" zoomScale="125" workbookViewId="0">
      <selection activeCell="H37" sqref="H37"/>
    </sheetView>
  </sheetViews>
  <sheetFormatPr defaultColWidth="8.85546875" defaultRowHeight="12.75"/>
  <cols>
    <col min="1" max="1" width="25.7109375" style="13" customWidth="1"/>
    <col min="2" max="5" width="8.85546875" style="9"/>
    <col min="6" max="6" width="9.85546875" style="9" bestFit="1" customWidth="1"/>
    <col min="7" max="16384" width="8.85546875" style="9"/>
  </cols>
  <sheetData>
    <row r="1" spans="1:8" ht="14.25" thickBot="1">
      <c r="A1" s="1058" t="s">
        <v>350</v>
      </c>
      <c r="B1" s="1059"/>
      <c r="C1" s="1059"/>
      <c r="D1" s="1059"/>
      <c r="E1" s="1059"/>
      <c r="F1" s="1059"/>
      <c r="G1" s="1059"/>
      <c r="H1" s="1060"/>
    </row>
    <row r="2" spans="1:8" ht="13.5">
      <c r="A2" s="71"/>
      <c r="B2" s="120" t="str">
        <f>BASESAL!B2</f>
        <v>FY10</v>
      </c>
      <c r="C2" s="120" t="str">
        <f>BASESAL!C2</f>
        <v>FY11</v>
      </c>
      <c r="D2" s="120" t="str">
        <f>BASESAL!D2</f>
        <v>FY11</v>
      </c>
      <c r="E2" s="120" t="str">
        <f>BASESAL!E2</f>
        <v>FY12</v>
      </c>
      <c r="F2" s="120" t="str">
        <f>BASESAL!F2</f>
        <v>FY12</v>
      </c>
      <c r="G2" s="120" t="str">
        <f>BASESAL!G2</f>
        <v>FY13</v>
      </c>
      <c r="H2" s="121" t="str">
        <f>BASESAL!H2</f>
        <v>FY13</v>
      </c>
    </row>
    <row r="3" spans="1:8" ht="14.25" thickBot="1">
      <c r="A3" s="122"/>
      <c r="B3" s="109" t="s">
        <v>205</v>
      </c>
      <c r="C3" s="109" t="s">
        <v>205</v>
      </c>
      <c r="D3" s="109" t="s">
        <v>206</v>
      </c>
      <c r="E3" s="109" t="s">
        <v>205</v>
      </c>
      <c r="F3" s="109" t="s">
        <v>206</v>
      </c>
      <c r="G3" s="109" t="s">
        <v>205</v>
      </c>
      <c r="H3" s="124" t="s">
        <v>206</v>
      </c>
    </row>
    <row r="4" spans="1:8" ht="13.5">
      <c r="A4" s="84" t="s">
        <v>299</v>
      </c>
      <c r="B4" s="5"/>
      <c r="C4" s="5"/>
      <c r="D4" s="5"/>
      <c r="E4" s="5"/>
      <c r="F4" s="5"/>
      <c r="G4" s="5"/>
      <c r="H4" s="30"/>
    </row>
    <row r="5" spans="1:8" ht="13.5">
      <c r="A5" s="73" t="s">
        <v>300</v>
      </c>
      <c r="B5" s="92">
        <v>23.5</v>
      </c>
      <c r="C5" s="92">
        <v>23.5</v>
      </c>
      <c r="D5" s="7">
        <f>ROUND(C5*B7,0)</f>
        <v>1169266</v>
      </c>
      <c r="E5" s="612">
        <f>(B5)</f>
        <v>23.5</v>
      </c>
      <c r="F5" s="86">
        <f>ROUND(D5*1.02,0)</f>
        <v>1192651</v>
      </c>
      <c r="G5" s="89">
        <f>(B5)</f>
        <v>23.5</v>
      </c>
      <c r="H5" s="87">
        <f>ROUND(F5*1.02,0)</f>
        <v>1216504</v>
      </c>
    </row>
    <row r="6" spans="1:8" ht="13.5">
      <c r="A6" s="73" t="s">
        <v>381</v>
      </c>
      <c r="B6" s="288">
        <f>DSADATABASE!K12</f>
        <v>49263</v>
      </c>
      <c r="C6" s="7"/>
      <c r="D6" s="10"/>
      <c r="E6" s="10"/>
      <c r="F6" s="10"/>
      <c r="G6" s="10"/>
      <c r="H6" s="117"/>
    </row>
    <row r="7" spans="1:8" ht="13.5">
      <c r="A7" s="73" t="s">
        <v>148</v>
      </c>
      <c r="B7" s="288">
        <f>ROUND((B6*1.01)*1,0)</f>
        <v>49756</v>
      </c>
      <c r="C7" s="5"/>
      <c r="D7" s="5"/>
      <c r="E7" s="5"/>
      <c r="F7" s="5"/>
      <c r="G7" s="489"/>
      <c r="H7" s="30"/>
    </row>
    <row r="8" spans="1:8" ht="13.5">
      <c r="A8" s="73" t="s">
        <v>301</v>
      </c>
      <c r="B8" s="5"/>
      <c r="C8" s="5"/>
      <c r="D8" s="214">
        <f>DSADATABASE!K14</f>
        <v>39166</v>
      </c>
      <c r="E8" s="5"/>
      <c r="F8" s="214">
        <f>D8</f>
        <v>39166</v>
      </c>
      <c r="G8" s="489"/>
      <c r="H8" s="378">
        <f>D8</f>
        <v>39166</v>
      </c>
    </row>
    <row r="9" spans="1:8" ht="13.5">
      <c r="A9" s="174" t="s">
        <v>302</v>
      </c>
      <c r="B9" s="5"/>
      <c r="C9" s="5"/>
      <c r="D9" s="5"/>
      <c r="E9" s="5"/>
      <c r="F9" s="5"/>
      <c r="G9" s="5"/>
      <c r="H9" s="30"/>
    </row>
    <row r="10" spans="1:8" ht="13.5">
      <c r="A10" s="73" t="s">
        <v>303</v>
      </c>
      <c r="B10" s="85">
        <f>DSADATABASE!A9</f>
        <v>33849</v>
      </c>
      <c r="C10" s="490">
        <f>DSADATABASE!B9</f>
        <v>33865</v>
      </c>
      <c r="D10" s="5"/>
      <c r="E10" s="85">
        <f>DSADATABASE!C9</f>
        <v>33933</v>
      </c>
      <c r="F10" s="5"/>
      <c r="G10" s="85">
        <f>DSADATABASE!D9</f>
        <v>34379</v>
      </c>
      <c r="H10" s="30"/>
    </row>
    <row r="11" spans="1:8" ht="13.5">
      <c r="A11" s="73" t="s">
        <v>304</v>
      </c>
      <c r="B11" s="85">
        <f>ROUND(B10/25.5,2)</f>
        <v>1327.41</v>
      </c>
      <c r="C11" s="85">
        <f>ROUND(C10/25.5,2)</f>
        <v>1328.04</v>
      </c>
      <c r="D11" s="5"/>
      <c r="E11" s="85">
        <f>ROUND(E10/25.5,2)</f>
        <v>1330.71</v>
      </c>
      <c r="F11" s="5"/>
      <c r="G11" s="85">
        <f>ROUND(G10/25.5,2)</f>
        <v>1348.2</v>
      </c>
      <c r="H11" s="30"/>
    </row>
    <row r="12" spans="1:8" ht="13.5">
      <c r="A12" s="73" t="s">
        <v>305</v>
      </c>
      <c r="B12" s="488">
        <f>ROUND(B10/16,2)</f>
        <v>2115.56</v>
      </c>
      <c r="C12" s="488">
        <f>ROUND(C10/16,2)</f>
        <v>2116.56</v>
      </c>
      <c r="D12" s="5"/>
      <c r="E12" s="488">
        <f>ROUND(E10/16,2)</f>
        <v>2120.81</v>
      </c>
      <c r="F12" s="5"/>
      <c r="G12" s="488">
        <f>ROUND(G10/16,2)</f>
        <v>2148.69</v>
      </c>
      <c r="H12" s="30"/>
    </row>
    <row r="13" spans="1:8" ht="13.5">
      <c r="A13" s="73" t="s">
        <v>306</v>
      </c>
      <c r="B13" s="85">
        <f>(B12-B11)</f>
        <v>788.14999999999986</v>
      </c>
      <c r="C13" s="85">
        <f>(C12-C11)-B13</f>
        <v>0.37000000000011823</v>
      </c>
      <c r="D13" s="10"/>
      <c r="E13" s="85">
        <f>(E12-E11)</f>
        <v>790.09999999999991</v>
      </c>
      <c r="F13" s="5"/>
      <c r="G13" s="85">
        <f>(G12-G11)</f>
        <v>800.49</v>
      </c>
      <c r="H13" s="30"/>
    </row>
    <row r="14" spans="1:8" ht="13.5">
      <c r="A14" s="73"/>
      <c r="B14" s="489"/>
      <c r="C14" s="5"/>
      <c r="D14" s="10"/>
      <c r="E14" s="489"/>
      <c r="F14" s="5"/>
      <c r="G14" s="489"/>
      <c r="H14" s="30"/>
    </row>
    <row r="15" spans="1:8" ht="13.5">
      <c r="A15" s="73" t="s">
        <v>545</v>
      </c>
      <c r="B15" s="489"/>
      <c r="C15" s="5"/>
      <c r="D15" s="7">
        <f>ROUND(B13*B$7,0)</f>
        <v>39215191</v>
      </c>
      <c r="E15" s="510">
        <f>(B13)</f>
        <v>788.14999999999986</v>
      </c>
      <c r="F15" s="7">
        <f>ROUND(D15*1.02,0)</f>
        <v>39999495</v>
      </c>
      <c r="G15" s="490">
        <f>(E15+E17)</f>
        <v>788.14999999999986</v>
      </c>
      <c r="H15" s="88">
        <f>ROUND((F15+F17)*1.02,0)</f>
        <v>40799485</v>
      </c>
    </row>
    <row r="16" spans="1:8" ht="13.5">
      <c r="A16" s="73" t="s">
        <v>546</v>
      </c>
      <c r="B16" s="489"/>
      <c r="C16" s="5"/>
      <c r="D16" s="7">
        <f>C13*D8</f>
        <v>14491.420000004631</v>
      </c>
      <c r="E16" s="85">
        <f>(C13)</f>
        <v>0.37000000000011823</v>
      </c>
      <c r="F16" s="7">
        <f>ROUND(D16*1.02,0)</f>
        <v>14781</v>
      </c>
      <c r="G16" s="85">
        <f>(C13)</f>
        <v>0.37000000000011823</v>
      </c>
      <c r="H16" s="88">
        <f>ROUND(F16*1.02,0)</f>
        <v>15077</v>
      </c>
    </row>
    <row r="17" spans="1:8" ht="13.5">
      <c r="A17" s="73" t="s">
        <v>307</v>
      </c>
      <c r="B17" s="489"/>
      <c r="C17" s="5"/>
      <c r="D17" s="5"/>
      <c r="E17" s="488"/>
      <c r="F17" s="27">
        <f>ROUND(E17*F$8,0)</f>
        <v>0</v>
      </c>
      <c r="G17" s="488"/>
      <c r="H17" s="492">
        <f>ROUND(G17*H$8,0)</f>
        <v>0</v>
      </c>
    </row>
    <row r="18" spans="1:8" ht="13.5">
      <c r="A18" s="73" t="s">
        <v>222</v>
      </c>
      <c r="B18" s="489"/>
      <c r="C18" s="5"/>
      <c r="D18" s="83">
        <f>SUM(D15:D17)</f>
        <v>39229682.420000002</v>
      </c>
      <c r="E18" s="89">
        <f>SUM(E15:E17)</f>
        <v>788.52</v>
      </c>
      <c r="F18" s="83">
        <f>SUM(F15:F17)</f>
        <v>40014276</v>
      </c>
      <c r="G18" s="89">
        <f>SUM(G15:G17)</f>
        <v>788.52</v>
      </c>
      <c r="H18" s="90">
        <f>SUM(H15:H17)</f>
        <v>40814562</v>
      </c>
    </row>
    <row r="19" spans="1:8" ht="13.5">
      <c r="A19" s="73"/>
      <c r="B19" s="489"/>
      <c r="C19" s="5"/>
      <c r="D19" s="5"/>
      <c r="E19" s="489"/>
      <c r="F19" s="5"/>
      <c r="G19" s="489"/>
      <c r="H19" s="30"/>
    </row>
    <row r="20" spans="1:8" ht="13.5">
      <c r="A20" s="174" t="s">
        <v>308</v>
      </c>
      <c r="B20" s="489"/>
      <c r="C20" s="5"/>
      <c r="D20" s="5"/>
      <c r="E20" s="5"/>
      <c r="F20" s="5"/>
      <c r="G20" s="5"/>
      <c r="H20" s="30"/>
    </row>
    <row r="21" spans="1:8" ht="13.5">
      <c r="A21" s="73" t="s">
        <v>303</v>
      </c>
      <c r="B21" s="85">
        <f>DSADATABASE!A14</f>
        <v>33824</v>
      </c>
      <c r="C21" s="490">
        <f>DSADATABASE!B14</f>
        <v>33447</v>
      </c>
      <c r="D21" s="5"/>
      <c r="E21" s="85">
        <f>DSADATABASE!C14</f>
        <v>33688</v>
      </c>
      <c r="F21" s="5"/>
      <c r="G21" s="85">
        <f>DSADATABASE!D14</f>
        <v>33848</v>
      </c>
      <c r="H21" s="30"/>
    </row>
    <row r="22" spans="1:8" ht="13.5">
      <c r="A22" s="73" t="s">
        <v>309</v>
      </c>
      <c r="B22" s="85">
        <f>ROUND(B21/25.7,2)</f>
        <v>1316.11</v>
      </c>
      <c r="C22" s="85">
        <f>ROUND(C21/25.7,2)</f>
        <v>1301.44</v>
      </c>
      <c r="D22" s="5"/>
      <c r="E22" s="85">
        <f>ROUND(E21/25.7,2)</f>
        <v>1310.82</v>
      </c>
      <c r="F22" s="5"/>
      <c r="G22" s="85">
        <f>ROUND(G21/25.7,2)</f>
        <v>1317.04</v>
      </c>
      <c r="H22" s="30"/>
    </row>
    <row r="23" spans="1:8" ht="13.5">
      <c r="A23" s="73" t="s">
        <v>305</v>
      </c>
      <c r="B23" s="488">
        <f>ROUND(B21/16,2)</f>
        <v>2114</v>
      </c>
      <c r="C23" s="488">
        <f>ROUND(C21/16,2)</f>
        <v>2090.44</v>
      </c>
      <c r="D23" s="5"/>
      <c r="E23" s="488">
        <f>ROUND(E21/16,2)</f>
        <v>2105.5</v>
      </c>
      <c r="F23" s="5"/>
      <c r="G23" s="488">
        <f>ROUND(G21/16,2)</f>
        <v>2115.5</v>
      </c>
      <c r="H23" s="30"/>
    </row>
    <row r="24" spans="1:8" ht="13.5">
      <c r="A24" s="73" t="s">
        <v>306</v>
      </c>
      <c r="B24" s="85">
        <f>(B23-B22)</f>
        <v>797.8900000000001</v>
      </c>
      <c r="C24" s="85">
        <f>(C23-C22)-B24</f>
        <v>-8.8900000000001</v>
      </c>
      <c r="E24" s="85">
        <f>(E23-E22)</f>
        <v>794.68000000000006</v>
      </c>
      <c r="F24" s="5"/>
      <c r="G24" s="85">
        <f>(G23-G22)</f>
        <v>798.46</v>
      </c>
      <c r="H24" s="30"/>
    </row>
    <row r="25" spans="1:8" ht="13.5">
      <c r="A25" s="73"/>
      <c r="B25" s="489"/>
      <c r="C25" s="5"/>
      <c r="E25" s="489"/>
      <c r="F25" s="5"/>
      <c r="G25" s="489"/>
      <c r="H25" s="30"/>
    </row>
    <row r="26" spans="1:8" ht="13.5">
      <c r="A26" s="73" t="str">
        <f>$A$15</f>
        <v>FY 10 POSITIONS/SALARIES</v>
      </c>
      <c r="B26" s="489"/>
      <c r="C26" s="5"/>
      <c r="D26" s="7">
        <f>ROUND(B24*B$7,0)</f>
        <v>39699815</v>
      </c>
      <c r="E26" s="85">
        <f>(B24)</f>
        <v>797.8900000000001</v>
      </c>
      <c r="F26" s="7">
        <f>ROUND(D26*1.02,0)</f>
        <v>40493811</v>
      </c>
      <c r="G26" s="490">
        <f>(E26+E28)</f>
        <v>797.8900000000001</v>
      </c>
      <c r="H26" s="88">
        <f>ROUND(F26*1.02,0)</f>
        <v>41303687</v>
      </c>
    </row>
    <row r="27" spans="1:8" ht="13.5">
      <c r="A27" s="73" t="str">
        <f>$A$16</f>
        <v>FY 11 NEW POSITIONS/SALARIES</v>
      </c>
      <c r="B27" s="489"/>
      <c r="C27" s="5"/>
      <c r="D27" s="7">
        <f>ROUND(C24*D$8,0)</f>
        <v>-348186</v>
      </c>
      <c r="E27" s="85">
        <f>(C24)</f>
        <v>-8.8900000000001</v>
      </c>
      <c r="F27" s="7">
        <f>ROUND(D27*1.02,0)</f>
        <v>-355150</v>
      </c>
      <c r="G27" s="85">
        <f>(C24)</f>
        <v>-8.8900000000001</v>
      </c>
      <c r="H27" s="88">
        <f>ROUND(F27*1.02,0)</f>
        <v>-362253</v>
      </c>
    </row>
    <row r="28" spans="1:8" ht="13.5">
      <c r="A28" s="73" t="s">
        <v>307</v>
      </c>
      <c r="B28" s="489"/>
      <c r="C28" s="5"/>
      <c r="D28" s="5"/>
      <c r="E28" s="488"/>
      <c r="F28" s="27">
        <f>ROUND(E28*F$8,0)</f>
        <v>0</v>
      </c>
      <c r="G28" s="488"/>
      <c r="H28" s="492">
        <f>ROUND(G28*H$8,0)</f>
        <v>0</v>
      </c>
    </row>
    <row r="29" spans="1:8" ht="13.5">
      <c r="A29" s="73" t="s">
        <v>222</v>
      </c>
      <c r="B29" s="489"/>
      <c r="C29" s="5"/>
      <c r="D29" s="83">
        <f>SUM(D26:D28)</f>
        <v>39351629</v>
      </c>
      <c r="E29" s="89">
        <f>SUM(E26:E28)</f>
        <v>789</v>
      </c>
      <c r="F29" s="83">
        <f>SUM(F26:F28)</f>
        <v>40138661</v>
      </c>
      <c r="G29" s="89">
        <f>SUM(G26:G28)</f>
        <v>789</v>
      </c>
      <c r="H29" s="90">
        <f>SUM(H26:H28)</f>
        <v>40941434</v>
      </c>
    </row>
    <row r="30" spans="1:8" ht="13.5">
      <c r="A30" s="173"/>
      <c r="B30" s="5"/>
      <c r="C30" s="5"/>
      <c r="D30" s="5"/>
      <c r="E30" s="5"/>
      <c r="F30" s="5"/>
      <c r="G30" s="5"/>
      <c r="H30" s="30"/>
    </row>
    <row r="31" spans="1:8" ht="13.5">
      <c r="A31" s="174" t="s">
        <v>310</v>
      </c>
      <c r="B31" s="5"/>
      <c r="C31" s="5"/>
      <c r="D31" s="5"/>
      <c r="E31" s="5"/>
      <c r="F31" s="5"/>
      <c r="G31" s="5"/>
      <c r="H31" s="30"/>
    </row>
    <row r="32" spans="1:8" ht="13.5">
      <c r="A32" s="73" t="s">
        <v>303</v>
      </c>
      <c r="B32" s="85">
        <f>DSADATABASE!A19</f>
        <v>34068</v>
      </c>
      <c r="C32" s="490">
        <f>DSADATABASE!B19</f>
        <v>33631</v>
      </c>
      <c r="D32" s="5"/>
      <c r="E32" s="85">
        <f>DSADATABASE!C19</f>
        <v>33533</v>
      </c>
      <c r="F32" s="5"/>
      <c r="G32" s="85">
        <f>DSADATABASE!D19</f>
        <v>33773</v>
      </c>
      <c r="H32" s="30"/>
    </row>
    <row r="33" spans="1:8" ht="13.5">
      <c r="A33" s="73" t="s">
        <v>311</v>
      </c>
      <c r="B33" s="85">
        <f>ROUND(B32/26.9,2)</f>
        <v>1266.47</v>
      </c>
      <c r="C33" s="85">
        <f>ROUND(C32/26.9,2)</f>
        <v>1250.22</v>
      </c>
      <c r="D33" s="5"/>
      <c r="E33" s="85">
        <f>ROUND(E32/26.9,2)</f>
        <v>1246.58</v>
      </c>
      <c r="F33" s="5"/>
      <c r="G33" s="85">
        <f>ROUND(G32/26.9,2)</f>
        <v>1255.5</v>
      </c>
      <c r="H33" s="30"/>
    </row>
    <row r="34" spans="1:8" ht="13.5">
      <c r="A34" s="73" t="s">
        <v>312</v>
      </c>
      <c r="B34" s="488">
        <f>ROUND(B32/19,2)</f>
        <v>1793.05</v>
      </c>
      <c r="C34" s="488">
        <f>ROUND(C32/19,2)</f>
        <v>1770.05</v>
      </c>
      <c r="D34" s="5"/>
      <c r="E34" s="488">
        <f>ROUND(E32/19,2)</f>
        <v>1764.89</v>
      </c>
      <c r="F34" s="5"/>
      <c r="G34" s="488">
        <f>ROUND(G32/19,2)</f>
        <v>1777.53</v>
      </c>
      <c r="H34" s="30"/>
    </row>
    <row r="35" spans="1:8" ht="13.5">
      <c r="A35" s="73" t="s">
        <v>306</v>
      </c>
      <c r="B35" s="85">
        <f>(B34-B33)</f>
        <v>526.57999999999993</v>
      </c>
      <c r="C35" s="85">
        <f>(C34-C33)-B35</f>
        <v>-6.75</v>
      </c>
      <c r="E35" s="85">
        <f>(E34-E33)</f>
        <v>518.31000000000017</v>
      </c>
      <c r="F35" s="5"/>
      <c r="G35" s="85">
        <f>(G34-G33)</f>
        <v>522.03</v>
      </c>
      <c r="H35" s="30"/>
    </row>
    <row r="36" spans="1:8" ht="13.5">
      <c r="A36" s="73"/>
      <c r="B36" s="5"/>
      <c r="C36" s="5"/>
      <c r="E36" s="5"/>
      <c r="F36" s="5"/>
      <c r="G36" s="5"/>
      <c r="H36" s="30"/>
    </row>
    <row r="37" spans="1:8" ht="13.5">
      <c r="A37" s="73" t="str">
        <f>$A$15</f>
        <v>FY 10 POSITIONS/SALARIES</v>
      </c>
      <c r="B37" s="489"/>
      <c r="C37" s="5"/>
      <c r="D37" s="7">
        <f>(B35*B$7)</f>
        <v>26200514.479999997</v>
      </c>
      <c r="E37" s="85">
        <f>(B35)</f>
        <v>526.57999999999993</v>
      </c>
      <c r="F37" s="7">
        <f>ROUND(D37*1.02,0)</f>
        <v>26724525</v>
      </c>
      <c r="G37" s="490">
        <f>ROUND(E37+E39,2)</f>
        <v>526.58000000000004</v>
      </c>
      <c r="H37" s="88">
        <f>ROUND(F37*1.02,0)</f>
        <v>27259016</v>
      </c>
    </row>
    <row r="38" spans="1:8" ht="13.5">
      <c r="A38" s="73" t="str">
        <f>$A$16</f>
        <v>FY 11 NEW POSITIONS/SALARIES</v>
      </c>
      <c r="B38" s="489"/>
      <c r="C38" s="5"/>
      <c r="D38" s="7">
        <f>C35*D8</f>
        <v>-264370.5</v>
      </c>
      <c r="E38" s="85">
        <f>(C35)</f>
        <v>-6.75</v>
      </c>
      <c r="F38" s="7">
        <f>ROUND(D38*1.02,0)</f>
        <v>-269658</v>
      </c>
      <c r="G38" s="85">
        <f>(C35)</f>
        <v>-6.75</v>
      </c>
      <c r="H38" s="88">
        <f>ROUND(F38*1.02,0)</f>
        <v>-275051</v>
      </c>
    </row>
    <row r="39" spans="1:8" ht="13.5">
      <c r="A39" s="73" t="s">
        <v>307</v>
      </c>
      <c r="B39" s="489"/>
      <c r="C39" s="5"/>
      <c r="D39" s="5"/>
      <c r="E39" s="491"/>
      <c r="F39" s="27">
        <f>ROUND(E39*F$8,0)</f>
        <v>0</v>
      </c>
      <c r="G39" s="491"/>
      <c r="H39" s="492">
        <f>ROUND(G39*H$8,0)</f>
        <v>0</v>
      </c>
    </row>
    <row r="40" spans="1:8" ht="13.5">
      <c r="A40" s="73" t="s">
        <v>222</v>
      </c>
      <c r="B40" s="489"/>
      <c r="C40" s="5"/>
      <c r="D40" s="83">
        <f>SUM(D37:D39)</f>
        <v>25936143.979999997</v>
      </c>
      <c r="E40" s="89">
        <f>SUM(E37:E39)</f>
        <v>519.82999999999993</v>
      </c>
      <c r="F40" s="83">
        <f>SUM(F37:F39)</f>
        <v>26454867</v>
      </c>
      <c r="G40" s="89">
        <f>SUM(G37:G39)</f>
        <v>519.83000000000004</v>
      </c>
      <c r="H40" s="90">
        <f>SUM(H37:H39)</f>
        <v>26983965</v>
      </c>
    </row>
    <row r="41" spans="1:8" ht="13.5">
      <c r="A41" s="73"/>
      <c r="B41" s="5"/>
      <c r="C41" s="493"/>
      <c r="D41" s="7"/>
      <c r="E41" s="493"/>
      <c r="F41" s="214"/>
      <c r="G41" s="493"/>
      <c r="H41" s="378"/>
    </row>
    <row r="42" spans="1:8" ht="13.5">
      <c r="A42" s="73" t="s">
        <v>18</v>
      </c>
      <c r="B42" s="214"/>
      <c r="C42" s="214"/>
      <c r="D42" s="494">
        <f>D5+D18+D29+D40</f>
        <v>105686721.40000001</v>
      </c>
      <c r="E42" s="495">
        <f>E5+E18+E29+E40</f>
        <v>2120.85</v>
      </c>
      <c r="F42" s="494">
        <f>F5+F18+F29+F40</f>
        <v>107800455</v>
      </c>
      <c r="G42" s="495">
        <f>G5+G18+G29+G40</f>
        <v>2120.85</v>
      </c>
      <c r="H42" s="496">
        <f>H5+H18+H29+H40</f>
        <v>109956465</v>
      </c>
    </row>
    <row r="43" spans="1:8" ht="13.5">
      <c r="A43" s="174" t="s">
        <v>219</v>
      </c>
      <c r="B43" s="5"/>
      <c r="C43" s="5"/>
      <c r="D43" s="5"/>
      <c r="E43" s="5"/>
      <c r="F43" s="5"/>
      <c r="G43" s="5"/>
      <c r="H43" s="30"/>
    </row>
    <row r="44" spans="1:8" ht="13.5">
      <c r="A44" s="73" t="s">
        <v>55</v>
      </c>
      <c r="B44" s="497">
        <f>DSADATABASE!C74</f>
        <v>0.215</v>
      </c>
      <c r="C44" s="497">
        <f t="shared" ref="C44:C49" si="0">B44</f>
        <v>0.215</v>
      </c>
      <c r="D44" s="498"/>
      <c r="E44" s="5"/>
      <c r="F44" s="75">
        <f t="shared" ref="F44:F49" si="1">ROUND(F$42*B44,0)</f>
        <v>23177098</v>
      </c>
      <c r="G44" s="75"/>
      <c r="H44" s="91">
        <f>ROUND(H$42*C44,0)</f>
        <v>23640640</v>
      </c>
    </row>
    <row r="45" spans="1:8" ht="13.5">
      <c r="A45" s="73" t="s">
        <v>346</v>
      </c>
      <c r="B45" s="497">
        <f>DSADATABASE!C75</f>
        <v>3.0869999999999999E-3</v>
      </c>
      <c r="C45" s="497">
        <f t="shared" si="0"/>
        <v>3.0869999999999999E-3</v>
      </c>
      <c r="D45" s="498"/>
      <c r="E45" s="5"/>
      <c r="F45" s="75">
        <f t="shared" si="1"/>
        <v>332780</v>
      </c>
      <c r="G45" s="75"/>
      <c r="H45" s="91">
        <f>ROUND(H$42*C45,0)</f>
        <v>339436</v>
      </c>
    </row>
    <row r="46" spans="1:8" ht="13.5">
      <c r="A46" s="73" t="s">
        <v>220</v>
      </c>
      <c r="B46" s="497">
        <f>DSADATABASE!C76</f>
        <v>3.009E-3</v>
      </c>
      <c r="C46" s="497">
        <f t="shared" si="0"/>
        <v>3.009E-3</v>
      </c>
      <c r="D46" s="498"/>
      <c r="E46" s="5"/>
      <c r="F46" s="75">
        <f t="shared" si="1"/>
        <v>324372</v>
      </c>
      <c r="G46" s="75"/>
      <c r="H46" s="91">
        <f>ROUND(H$42*C46,0)</f>
        <v>330859</v>
      </c>
    </row>
    <row r="47" spans="1:8" ht="13.5">
      <c r="A47" s="73" t="s">
        <v>57</v>
      </c>
      <c r="B47" s="497">
        <f>DSADATABASE!C77</f>
        <v>1.3901999999999999E-2</v>
      </c>
      <c r="C47" s="497">
        <f t="shared" si="0"/>
        <v>1.3901999999999999E-2</v>
      </c>
      <c r="D47" s="498"/>
      <c r="E47" s="5"/>
      <c r="F47" s="75">
        <f t="shared" si="1"/>
        <v>1498642</v>
      </c>
      <c r="G47" s="75"/>
      <c r="H47" s="91">
        <f>ROUND(H$42*C47,0)</f>
        <v>1528615</v>
      </c>
    </row>
    <row r="48" spans="1:8" ht="13.5">
      <c r="A48" s="73" t="s">
        <v>221</v>
      </c>
      <c r="B48" s="699">
        <f>DSADATABASE!C79</f>
        <v>6980.69</v>
      </c>
      <c r="C48" s="699">
        <f t="shared" si="0"/>
        <v>6980.69</v>
      </c>
      <c r="D48" s="345"/>
      <c r="E48" s="5"/>
      <c r="F48" s="75">
        <f>ROUND(E$42*B48,0)</f>
        <v>14804996</v>
      </c>
      <c r="G48" s="75"/>
      <c r="H48" s="91">
        <f>ROUND(G$42*C48,0)</f>
        <v>14804996</v>
      </c>
    </row>
    <row r="49" spans="1:8" ht="13.5">
      <c r="A49" s="73" t="s">
        <v>58</v>
      </c>
      <c r="B49" s="497">
        <f>DSADATABASE!C78</f>
        <v>5.3569999999999998E-3</v>
      </c>
      <c r="C49" s="497">
        <f t="shared" si="0"/>
        <v>5.3569999999999998E-3</v>
      </c>
      <c r="D49" s="498"/>
      <c r="E49" s="5"/>
      <c r="F49" s="76">
        <f t="shared" si="1"/>
        <v>577487</v>
      </c>
      <c r="G49" s="76"/>
      <c r="H49" s="499">
        <f>ROUND(H$42*C49,0)</f>
        <v>589037</v>
      </c>
    </row>
    <row r="50" spans="1:8" ht="13.5">
      <c r="A50" s="173"/>
      <c r="B50" s="500"/>
      <c r="C50" s="500"/>
      <c r="D50" s="5"/>
      <c r="E50" s="5"/>
      <c r="F50" s="501"/>
      <c r="G50" s="5"/>
      <c r="H50" s="502"/>
    </row>
    <row r="51" spans="1:8" ht="13.5">
      <c r="A51" s="173"/>
      <c r="B51" s="280" t="s">
        <v>19</v>
      </c>
      <c r="C51" s="5"/>
      <c r="D51" s="5"/>
      <c r="E51" s="5"/>
      <c r="F51" s="83">
        <f>SUM(F44:F49)</f>
        <v>40715375</v>
      </c>
      <c r="G51" s="83"/>
      <c r="H51" s="90">
        <f>SUM(H44:H49)</f>
        <v>41233583</v>
      </c>
    </row>
    <row r="52" spans="1:8" ht="14.25" thickBot="1">
      <c r="A52" s="173"/>
      <c r="B52" s="5"/>
      <c r="C52" s="5"/>
      <c r="D52" s="5"/>
      <c r="E52" s="5"/>
      <c r="F52" s="5"/>
      <c r="G52" s="5"/>
      <c r="H52" s="30"/>
    </row>
    <row r="53" spans="1:8" ht="13.5">
      <c r="A53" s="173"/>
      <c r="B53" s="503" t="s">
        <v>20</v>
      </c>
      <c r="C53" s="504"/>
      <c r="D53" s="504"/>
      <c r="E53" s="504"/>
      <c r="F53" s="505">
        <f>(F42+F51)</f>
        <v>148515830</v>
      </c>
      <c r="G53" s="505"/>
      <c r="H53" s="506">
        <f>(H42+H51)</f>
        <v>151190048</v>
      </c>
    </row>
    <row r="54" spans="1:8" ht="13.5">
      <c r="A54" s="173"/>
      <c r="B54" s="29"/>
      <c r="C54" s="339"/>
      <c r="D54" s="339"/>
      <c r="E54" s="339"/>
      <c r="F54" s="339"/>
      <c r="G54" s="339"/>
      <c r="H54" s="421"/>
    </row>
    <row r="55" spans="1:8" ht="14.25" thickBot="1">
      <c r="A55" s="209" t="s">
        <v>224</v>
      </c>
      <c r="B55" s="122"/>
      <c r="C55" s="507"/>
      <c r="D55" s="507"/>
      <c r="E55" s="507"/>
      <c r="F55" s="508">
        <f>(F51/F42)</f>
        <v>0.37769205148531143</v>
      </c>
      <c r="G55" s="507"/>
      <c r="H55" s="509">
        <f>(H51/H42)</f>
        <v>0.37499916898929042</v>
      </c>
    </row>
  </sheetData>
  <mergeCells count="1">
    <mergeCell ref="A1:H1"/>
  </mergeCells>
  <phoneticPr fontId="0" type="noConversion"/>
  <printOptions horizontalCentered="1" headings="1"/>
  <pageMargins left="0.5" right="0.5" top="0.25" bottom="0.5" header="0.25" footer="0.25"/>
  <pageSetup orientation="portrait" r:id="rId1"/>
  <headerFooter alignWithMargins="0">
    <oddFooter>&amp;L&amp;D &amp;T&amp;C&amp;P of &amp;N&amp;R&amp;F &amp;A</oddFooter>
  </headerFooter>
  <legacyDrawing r:id="rId2"/>
  <extLst>
    <ext xmlns:mx="http://schemas.microsoft.com/office/mac/excel/2008/main" uri="http://schemas.microsoft.com/office/mac/excel/2008/main">
      <mx:PLV Mode="0" OnePage="0" WScale="0"/>
    </ext>
  </extLst>
</worksheet>
</file>

<file path=xl/worksheets/sheet18.xml><?xml version="1.0" encoding="utf-8"?>
<worksheet xmlns="http://schemas.openxmlformats.org/spreadsheetml/2006/main" xmlns:r="http://schemas.openxmlformats.org/officeDocument/2006/relationships">
  <sheetPr codeName="Sheet14" enableFormatConditionsCalculation="0">
    <pageSetUpPr fitToPage="1"/>
  </sheetPr>
  <dimension ref="A1:H64"/>
  <sheetViews>
    <sheetView topLeftCell="A37" zoomScale="125" workbookViewId="0">
      <selection activeCell="B6" sqref="B6"/>
    </sheetView>
  </sheetViews>
  <sheetFormatPr defaultColWidth="8.85546875" defaultRowHeight="12.75"/>
  <cols>
    <col min="1" max="1" width="25.7109375" style="9" customWidth="1"/>
    <col min="2" max="16384" width="8.85546875" style="9"/>
  </cols>
  <sheetData>
    <row r="1" spans="1:8" ht="14.25" thickBot="1">
      <c r="A1" s="1065" t="s">
        <v>349</v>
      </c>
      <c r="B1" s="1066"/>
      <c r="C1" s="1066"/>
      <c r="D1" s="1066"/>
      <c r="E1" s="1066"/>
      <c r="F1" s="1066"/>
      <c r="G1" s="1066"/>
      <c r="H1" s="1067"/>
    </row>
    <row r="2" spans="1:8" ht="13.5">
      <c r="A2" s="511"/>
      <c r="B2" s="120" t="str">
        <f>CSRBASESAL!B2</f>
        <v>FY10</v>
      </c>
      <c r="C2" s="120" t="str">
        <f>CSRBASESAL!C2</f>
        <v>FY11</v>
      </c>
      <c r="D2" s="120" t="str">
        <f>CSRBASESAL!D2</f>
        <v>FY11</v>
      </c>
      <c r="E2" s="120" t="str">
        <f>CSRBASESAL!E2</f>
        <v>FY12</v>
      </c>
      <c r="F2" s="120" t="str">
        <f>CSRBASESAL!F2</f>
        <v>FY12</v>
      </c>
      <c r="G2" s="120" t="str">
        <f>CSRBASESAL!G2</f>
        <v>FY13</v>
      </c>
      <c r="H2" s="121" t="str">
        <f>CSRBASESAL!H2</f>
        <v>FY13</v>
      </c>
    </row>
    <row r="3" spans="1:8" ht="14.25" thickBot="1">
      <c r="A3" s="512"/>
      <c r="B3" s="109" t="s">
        <v>205</v>
      </c>
      <c r="C3" s="109" t="s">
        <v>205</v>
      </c>
      <c r="D3" s="109" t="s">
        <v>206</v>
      </c>
      <c r="E3" s="109" t="s">
        <v>205</v>
      </c>
      <c r="F3" s="109" t="s">
        <v>206</v>
      </c>
      <c r="G3" s="109" t="s">
        <v>205</v>
      </c>
      <c r="H3" s="124" t="s">
        <v>206</v>
      </c>
    </row>
    <row r="4" spans="1:8" ht="13.5">
      <c r="A4" s="84" t="s">
        <v>299</v>
      </c>
      <c r="B4" s="5"/>
      <c r="C4" s="5"/>
      <c r="D4" s="5"/>
      <c r="E4" s="5"/>
      <c r="F4" s="5"/>
      <c r="G4" s="5"/>
      <c r="H4" s="30"/>
    </row>
    <row r="5" spans="1:8" ht="13.5">
      <c r="A5" s="73" t="s">
        <v>300</v>
      </c>
      <c r="B5" s="92">
        <v>23.5</v>
      </c>
      <c r="C5" s="92">
        <v>23.5</v>
      </c>
      <c r="D5" s="7">
        <f>ROUND(C5*B7,0)</f>
        <v>1169266</v>
      </c>
      <c r="E5" s="82">
        <v>23.5</v>
      </c>
      <c r="F5" s="86">
        <f>ROUND(D5*1.02,0)</f>
        <v>1192651</v>
      </c>
      <c r="G5" s="614">
        <v>23.5</v>
      </c>
      <c r="H5" s="87">
        <f>ROUND(F5*1.02,)</f>
        <v>1216504</v>
      </c>
    </row>
    <row r="6" spans="1:8" ht="13.5">
      <c r="A6" s="73" t="str">
        <f>CSRBASESAL!A6</f>
        <v>FY 10 AVG SALARY</v>
      </c>
      <c r="B6" s="288">
        <f>CSRBASESAL!B6</f>
        <v>49263</v>
      </c>
      <c r="C6" s="7"/>
      <c r="D6" s="10"/>
      <c r="E6" s="5"/>
      <c r="F6" s="10"/>
      <c r="G6" s="489"/>
      <c r="H6" s="117"/>
    </row>
    <row r="7" spans="1:8" ht="13.5">
      <c r="A7" s="73" t="str">
        <f>CSRBASESAL!A7</f>
        <v>FY 11 @ 1% Roll-Up PLUS 0% Cola</v>
      </c>
      <c r="B7" s="288">
        <f>CSRBASESAL!B7</f>
        <v>49756</v>
      </c>
      <c r="C7" s="5"/>
      <c r="D7" s="5"/>
      <c r="E7" s="5"/>
      <c r="F7" s="5"/>
      <c r="G7" s="489"/>
      <c r="H7" s="30"/>
    </row>
    <row r="8" spans="1:8" ht="13.5">
      <c r="A8" s="73" t="s">
        <v>301</v>
      </c>
      <c r="B8" s="5"/>
      <c r="C8" s="5"/>
      <c r="D8" s="214">
        <f>CSRBASESAL!D8</f>
        <v>39166</v>
      </c>
      <c r="E8" s="5"/>
      <c r="F8" s="214">
        <f>D8</f>
        <v>39166</v>
      </c>
      <c r="G8" s="489"/>
      <c r="H8" s="378">
        <f>D8</f>
        <v>39166</v>
      </c>
    </row>
    <row r="9" spans="1:8" ht="13.5">
      <c r="A9" s="174" t="s">
        <v>302</v>
      </c>
      <c r="B9" s="5"/>
      <c r="C9" s="5"/>
      <c r="D9" s="5"/>
      <c r="E9" s="5"/>
      <c r="F9" s="5"/>
      <c r="G9" s="5"/>
      <c r="H9" s="30"/>
    </row>
    <row r="10" spans="1:8" ht="13.5">
      <c r="A10" s="73" t="s">
        <v>303</v>
      </c>
      <c r="B10" s="85">
        <f>CSRBASESAL!B10</f>
        <v>33849</v>
      </c>
      <c r="C10" s="490">
        <f>CSRBASESAL!C10</f>
        <v>33865</v>
      </c>
      <c r="D10" s="5"/>
      <c r="E10" s="85">
        <f>CSRBASESAL!E10</f>
        <v>33933</v>
      </c>
      <c r="F10" s="5"/>
      <c r="G10" s="85">
        <f>CSRBASESAL!G10</f>
        <v>34379</v>
      </c>
      <c r="H10" s="30"/>
    </row>
    <row r="11" spans="1:8" ht="13.5">
      <c r="A11" s="73" t="s">
        <v>304</v>
      </c>
      <c r="B11" s="85">
        <f>ROUND(B10/25.5,2)</f>
        <v>1327.41</v>
      </c>
      <c r="C11" s="85">
        <f>ROUND(C10/25.5,2)</f>
        <v>1328.04</v>
      </c>
      <c r="D11" s="5"/>
      <c r="E11" s="85">
        <f>ROUND(E10/25.5,2)</f>
        <v>1330.71</v>
      </c>
      <c r="F11" s="5"/>
      <c r="G11" s="85">
        <f>ROUND(G10/25.5,2)</f>
        <v>1348.2</v>
      </c>
      <c r="H11" s="30"/>
    </row>
    <row r="12" spans="1:8" ht="13.5">
      <c r="A12" s="73" t="s">
        <v>305</v>
      </c>
      <c r="B12" s="488">
        <f>ROUND(B10/16,2)</f>
        <v>2115.56</v>
      </c>
      <c r="C12" s="488">
        <f>ROUND(C10/16,2)</f>
        <v>2116.56</v>
      </c>
      <c r="D12" s="5"/>
      <c r="E12" s="488">
        <f>ROUND(E10/16,2)</f>
        <v>2120.81</v>
      </c>
      <c r="F12" s="5"/>
      <c r="G12" s="488">
        <f>ROUND(G10/16,2)</f>
        <v>2148.69</v>
      </c>
      <c r="H12" s="30"/>
    </row>
    <row r="13" spans="1:8" ht="13.5">
      <c r="A13" s="73" t="s">
        <v>306</v>
      </c>
      <c r="B13" s="85">
        <f>(B12-B11)</f>
        <v>788.14999999999986</v>
      </c>
      <c r="C13" s="85">
        <f>(C12-C11)-B13</f>
        <v>0.37000000000011823</v>
      </c>
      <c r="D13" s="10"/>
      <c r="E13" s="85">
        <f>(E12-E11)</f>
        <v>790.09999999999991</v>
      </c>
      <c r="F13" s="5"/>
      <c r="G13" s="85">
        <f>(G12-G11)</f>
        <v>800.49</v>
      </c>
      <c r="H13" s="30"/>
    </row>
    <row r="14" spans="1:8" ht="13.5">
      <c r="A14" s="73"/>
      <c r="B14" s="489"/>
      <c r="C14" s="5"/>
      <c r="D14" s="10"/>
      <c r="E14" s="489"/>
      <c r="F14" s="5"/>
      <c r="G14" s="489"/>
      <c r="H14" s="30"/>
    </row>
    <row r="15" spans="1:8" ht="13.5">
      <c r="A15" s="73" t="str">
        <f>CSRBASESAL!A15</f>
        <v>FY 10 POSITIONS/SALARIES</v>
      </c>
      <c r="B15" s="489"/>
      <c r="C15" s="5"/>
      <c r="D15" s="7">
        <f>ROUND(B13*B$7,0)</f>
        <v>39215191</v>
      </c>
      <c r="E15" s="85">
        <f>(B13)</f>
        <v>788.14999999999986</v>
      </c>
      <c r="F15" s="7">
        <f>ROUND(D15*1.02,0)</f>
        <v>39999495</v>
      </c>
      <c r="G15" s="490">
        <f>(E15+E17)</f>
        <v>789.72999999999979</v>
      </c>
      <c r="H15" s="88">
        <f>ROUND((F15+F17)*1.02,0)</f>
        <v>40862605</v>
      </c>
    </row>
    <row r="16" spans="1:8" ht="13.5">
      <c r="A16" s="73" t="str">
        <f>CSRBASESAL!A16</f>
        <v>FY 11 NEW POSITIONS/SALARIES</v>
      </c>
      <c r="B16" s="489"/>
      <c r="C16" s="5"/>
      <c r="D16" s="7">
        <f>ROUND(C13*D$8,0)</f>
        <v>14491</v>
      </c>
      <c r="E16" s="85">
        <f>(C13)</f>
        <v>0.37000000000011823</v>
      </c>
      <c r="F16" s="7">
        <f>ROUND(D16*1.02,0)</f>
        <v>14781</v>
      </c>
      <c r="G16" s="85">
        <f>+E16</f>
        <v>0.37000000000011823</v>
      </c>
      <c r="H16" s="88">
        <f>ROUND(F16*1.02,0)</f>
        <v>15077</v>
      </c>
    </row>
    <row r="17" spans="1:8" ht="13.5">
      <c r="A17" s="73" t="s">
        <v>307</v>
      </c>
      <c r="B17" s="489"/>
      <c r="C17" s="5"/>
      <c r="D17" s="5"/>
      <c r="E17" s="488">
        <f>E13-E15-E16</f>
        <v>1.5799999999999272</v>
      </c>
      <c r="F17" s="27">
        <f>ROUND(E17*F$8,0)</f>
        <v>61882</v>
      </c>
      <c r="G17" s="488">
        <f>(G13-G15-G16)</f>
        <v>10.3900000000001</v>
      </c>
      <c r="H17" s="492">
        <f>ROUND(G17*H$8,0)</f>
        <v>406935</v>
      </c>
    </row>
    <row r="18" spans="1:8" ht="13.5">
      <c r="A18" s="73" t="s">
        <v>222</v>
      </c>
      <c r="B18" s="489"/>
      <c r="C18" s="5"/>
      <c r="D18" s="83">
        <f>SUM(D15:D17)</f>
        <v>39229682</v>
      </c>
      <c r="E18" s="89">
        <f>SUM(E15:E17)</f>
        <v>790.09999999999991</v>
      </c>
      <c r="F18" s="83">
        <f>SUM(F15:F17)</f>
        <v>40076158</v>
      </c>
      <c r="G18" s="89">
        <f>SUM(G15:G17)</f>
        <v>800.49</v>
      </c>
      <c r="H18" s="90">
        <f>SUM(H15:H17)</f>
        <v>41284617</v>
      </c>
    </row>
    <row r="19" spans="1:8" ht="13.5">
      <c r="A19" s="73"/>
      <c r="B19" s="489"/>
      <c r="C19" s="5"/>
      <c r="D19" s="5"/>
      <c r="E19" s="489"/>
      <c r="F19" s="5"/>
      <c r="G19" s="489"/>
      <c r="H19" s="30"/>
    </row>
    <row r="20" spans="1:8" ht="13.5">
      <c r="A20" s="174" t="s">
        <v>308</v>
      </c>
      <c r="B20" s="489"/>
      <c r="C20" s="5"/>
      <c r="D20" s="5"/>
      <c r="E20" s="5"/>
      <c r="F20" s="5"/>
      <c r="G20" s="5"/>
      <c r="H20" s="30"/>
    </row>
    <row r="21" spans="1:8" ht="13.5">
      <c r="A21" s="73" t="s">
        <v>303</v>
      </c>
      <c r="B21" s="85">
        <f>CSRBASESAL!B21</f>
        <v>33824</v>
      </c>
      <c r="C21" s="490">
        <f>CSRBASESAL!C21</f>
        <v>33447</v>
      </c>
      <c r="D21" s="5"/>
      <c r="E21" s="85">
        <f>CSRBASESAL!E21</f>
        <v>33688</v>
      </c>
      <c r="F21" s="5"/>
      <c r="G21" s="85">
        <f>CSRBASESAL!G21</f>
        <v>33848</v>
      </c>
      <c r="H21" s="30"/>
    </row>
    <row r="22" spans="1:8" ht="13.5">
      <c r="A22" s="73" t="s">
        <v>309</v>
      </c>
      <c r="B22" s="85">
        <f>ROUND(B21/25.7,2)</f>
        <v>1316.11</v>
      </c>
      <c r="C22" s="85">
        <f>ROUND(C21/25.7,2)</f>
        <v>1301.44</v>
      </c>
      <c r="D22" s="5"/>
      <c r="E22" s="85">
        <f>ROUND(E21/25.7,2)</f>
        <v>1310.82</v>
      </c>
      <c r="F22" s="5"/>
      <c r="G22" s="85">
        <f>ROUND(G21/25.7,2)</f>
        <v>1317.04</v>
      </c>
      <c r="H22" s="30"/>
    </row>
    <row r="23" spans="1:8" ht="13.5">
      <c r="A23" s="73" t="s">
        <v>305</v>
      </c>
      <c r="B23" s="488">
        <f>ROUND(B21/16,2)</f>
        <v>2114</v>
      </c>
      <c r="C23" s="488">
        <f>ROUND(C21/16,2)</f>
        <v>2090.44</v>
      </c>
      <c r="D23" s="63"/>
      <c r="E23" s="488">
        <f>ROUND(E21/16,2)</f>
        <v>2105.5</v>
      </c>
      <c r="F23" s="5"/>
      <c r="G23" s="488">
        <f>ROUND(G21/16,2)</f>
        <v>2115.5</v>
      </c>
      <c r="H23" s="30"/>
    </row>
    <row r="24" spans="1:8" ht="13.5">
      <c r="A24" s="73" t="s">
        <v>306</v>
      </c>
      <c r="B24" s="85">
        <f>(B23-B22)</f>
        <v>797.8900000000001</v>
      </c>
      <c r="C24" s="85">
        <f>(C23-C22)-B24</f>
        <v>-8.8900000000001</v>
      </c>
      <c r="E24" s="85">
        <f>(E23-E22)</f>
        <v>794.68000000000006</v>
      </c>
      <c r="F24" s="5"/>
      <c r="G24" s="85">
        <f>(G23-G22)</f>
        <v>798.46</v>
      </c>
      <c r="H24" s="30"/>
    </row>
    <row r="25" spans="1:8" ht="13.5">
      <c r="A25" s="73"/>
      <c r="B25" s="489"/>
      <c r="C25" s="5"/>
      <c r="E25" s="489"/>
      <c r="F25" s="5"/>
      <c r="G25" s="489"/>
      <c r="H25" s="30"/>
    </row>
    <row r="26" spans="1:8" ht="13.5">
      <c r="A26" s="73" t="str">
        <f>CSRBASESAL!A26</f>
        <v>FY 10 POSITIONS/SALARIES</v>
      </c>
      <c r="B26" s="489"/>
      <c r="C26" s="5"/>
      <c r="D26" s="7">
        <f>ROUND(B24*B$7,0)</f>
        <v>39699815</v>
      </c>
      <c r="E26" s="85">
        <f>(B24)</f>
        <v>797.8900000000001</v>
      </c>
      <c r="F26" s="7">
        <f>ROUND(D26*1.02,0)</f>
        <v>40493811</v>
      </c>
      <c r="G26" s="490">
        <f>(E26+E28)</f>
        <v>803.57000000000016</v>
      </c>
      <c r="H26" s="88">
        <f>ROUND((F26+F28)*1.02,0)</f>
        <v>41530599</v>
      </c>
    </row>
    <row r="27" spans="1:8" ht="13.5">
      <c r="A27" s="73" t="str">
        <f>CSRBASESAL!A27</f>
        <v>FY 11 NEW POSITIONS/SALARIES</v>
      </c>
      <c r="B27" s="489"/>
      <c r="C27" s="5"/>
      <c r="D27" s="7">
        <f>ROUND(C24*D$8,0)</f>
        <v>-348186</v>
      </c>
      <c r="E27" s="85">
        <f>(C24)</f>
        <v>-8.8900000000001</v>
      </c>
      <c r="F27" s="7">
        <f>ROUND(D27*1.02,0)</f>
        <v>-355150</v>
      </c>
      <c r="G27" s="85">
        <f>+E27</f>
        <v>-8.8900000000001</v>
      </c>
      <c r="H27" s="88">
        <f>ROUND(F27*1.02,0)</f>
        <v>-362253</v>
      </c>
    </row>
    <row r="28" spans="1:8" ht="13.5">
      <c r="A28" s="73" t="s">
        <v>307</v>
      </c>
      <c r="B28" s="489"/>
      <c r="C28" s="5"/>
      <c r="D28" s="5"/>
      <c r="E28" s="488">
        <f>E24-E26-E27</f>
        <v>5.6800000000000637</v>
      </c>
      <c r="F28" s="27">
        <f>ROUND(E28*F$8,0)</f>
        <v>222463</v>
      </c>
      <c r="G28" s="488">
        <f>G24-G26-G27</f>
        <v>3.7799999999999727</v>
      </c>
      <c r="H28" s="492">
        <f>ROUND(G28*H$8,0)</f>
        <v>148047</v>
      </c>
    </row>
    <row r="29" spans="1:8" ht="13.5">
      <c r="A29" s="73" t="s">
        <v>222</v>
      </c>
      <c r="B29" s="489"/>
      <c r="C29" s="5"/>
      <c r="D29" s="83">
        <f>SUM(D26:D28)</f>
        <v>39351629</v>
      </c>
      <c r="E29" s="89">
        <f>SUM(E26:E28)</f>
        <v>794.68000000000006</v>
      </c>
      <c r="F29" s="83">
        <f>SUM(F26:F28)</f>
        <v>40361124</v>
      </c>
      <c r="G29" s="89">
        <f>SUM(G26:G28)</f>
        <v>798.46</v>
      </c>
      <c r="H29" s="90">
        <f>SUM(H26:H28)</f>
        <v>41316393</v>
      </c>
    </row>
    <row r="30" spans="1:8" ht="13.5">
      <c r="A30" s="73"/>
      <c r="B30" s="489"/>
      <c r="C30" s="5"/>
      <c r="D30" s="5"/>
      <c r="E30" s="489"/>
      <c r="F30" s="5"/>
      <c r="G30" s="489"/>
      <c r="H30" s="30"/>
    </row>
    <row r="31" spans="1:8" ht="13.5">
      <c r="A31" s="174" t="s">
        <v>310</v>
      </c>
      <c r="B31" s="5"/>
      <c r="C31" s="5"/>
      <c r="D31" s="5"/>
      <c r="E31" s="5"/>
      <c r="F31" s="5"/>
      <c r="G31" s="5"/>
      <c r="H31" s="30"/>
    </row>
    <row r="32" spans="1:8" ht="13.5">
      <c r="A32" s="73" t="s">
        <v>303</v>
      </c>
      <c r="B32" s="85">
        <f>CSRBASESAL!B32</f>
        <v>34068</v>
      </c>
      <c r="C32" s="490">
        <f>CSRBASESAL!C32</f>
        <v>33631</v>
      </c>
      <c r="D32" s="5"/>
      <c r="E32" s="85">
        <f>CSRBASESAL!E32</f>
        <v>33533</v>
      </c>
      <c r="F32" s="5"/>
      <c r="G32" s="85">
        <f>CSRBASESAL!G32</f>
        <v>33773</v>
      </c>
      <c r="H32" s="30"/>
    </row>
    <row r="33" spans="1:8" ht="13.5">
      <c r="A33" s="73" t="s">
        <v>311</v>
      </c>
      <c r="B33" s="85">
        <f>ROUND(B32/26.9,2)</f>
        <v>1266.47</v>
      </c>
      <c r="C33" s="85">
        <f>ROUND(C32/26.9,2)</f>
        <v>1250.22</v>
      </c>
      <c r="D33" s="5"/>
      <c r="E33" s="85">
        <f>ROUND(E32/26.9,2)</f>
        <v>1246.58</v>
      </c>
      <c r="F33" s="5"/>
      <c r="G33" s="85">
        <f>ROUND(G32/26.9,2)</f>
        <v>1255.5</v>
      </c>
      <c r="H33" s="30"/>
    </row>
    <row r="34" spans="1:8" ht="13.5">
      <c r="A34" s="73" t="s">
        <v>312</v>
      </c>
      <c r="B34" s="488">
        <f>ROUND(B32/19,2)</f>
        <v>1793.05</v>
      </c>
      <c r="C34" s="488">
        <f>ROUND(C32/19,2)</f>
        <v>1770.05</v>
      </c>
      <c r="D34" s="5"/>
      <c r="E34" s="488">
        <f>ROUND(E32/19,2)</f>
        <v>1764.89</v>
      </c>
      <c r="F34" s="5"/>
      <c r="G34" s="488">
        <f>ROUND(G32/19,2)</f>
        <v>1777.53</v>
      </c>
      <c r="H34" s="30"/>
    </row>
    <row r="35" spans="1:8" ht="13.5">
      <c r="A35" s="73" t="s">
        <v>306</v>
      </c>
      <c r="B35" s="85">
        <f>(B34-B33)</f>
        <v>526.57999999999993</v>
      </c>
      <c r="C35" s="85">
        <f>(C34-C33)-B35</f>
        <v>-6.75</v>
      </c>
      <c r="E35" s="85">
        <f>(E34-E33)</f>
        <v>518.31000000000017</v>
      </c>
      <c r="F35" s="5"/>
      <c r="G35" s="85">
        <f>(G34-G33)</f>
        <v>522.03</v>
      </c>
      <c r="H35" s="30"/>
    </row>
    <row r="36" spans="1:8" ht="13.5">
      <c r="A36" s="73"/>
      <c r="B36" s="489"/>
      <c r="C36" s="5"/>
      <c r="E36" s="489"/>
      <c r="F36" s="5"/>
      <c r="G36" s="489"/>
      <c r="H36" s="30"/>
    </row>
    <row r="37" spans="1:8" ht="13.5">
      <c r="A37" s="73" t="str">
        <f>CSRBASESAL!A37</f>
        <v>FY 10 POSITIONS/SALARIES</v>
      </c>
      <c r="B37" s="489"/>
      <c r="C37" s="5"/>
      <c r="D37" s="7">
        <f>ROUND(B35*B$7,0)</f>
        <v>26200514</v>
      </c>
      <c r="E37" s="85">
        <f>(B35)</f>
        <v>526.57999999999993</v>
      </c>
      <c r="F37" s="7">
        <f>ROUND(D37*1.02,0)</f>
        <v>26724524</v>
      </c>
      <c r="G37" s="490">
        <f>(E37+E39)</f>
        <v>525.06000000000017</v>
      </c>
      <c r="H37" s="88">
        <f>ROUND((F37+F39)*1.02,0)</f>
        <v>27198292</v>
      </c>
    </row>
    <row r="38" spans="1:8" ht="13.5">
      <c r="A38" s="73" t="str">
        <f>CSRBASESAL!A38</f>
        <v>FY 11 NEW POSITIONS/SALARIES</v>
      </c>
      <c r="B38" s="489"/>
      <c r="C38" s="5"/>
      <c r="D38" s="7">
        <f>ROUND(C35*D$8,0)</f>
        <v>-264371</v>
      </c>
      <c r="E38" s="85">
        <f>(C35)</f>
        <v>-6.75</v>
      </c>
      <c r="F38" s="7">
        <f>ROUND(D38*1.02,0)</f>
        <v>-269658</v>
      </c>
      <c r="G38" s="85">
        <f>+E38</f>
        <v>-6.75</v>
      </c>
      <c r="H38" s="88">
        <f>ROUND(F38*1.02,0)</f>
        <v>-275051</v>
      </c>
    </row>
    <row r="39" spans="1:8" ht="13.5">
      <c r="A39" s="73" t="s">
        <v>307</v>
      </c>
      <c r="B39" s="489"/>
      <c r="C39" s="5"/>
      <c r="D39" s="5"/>
      <c r="E39" s="488">
        <f>E35-E37-E38</f>
        <v>-1.5199999999997544</v>
      </c>
      <c r="F39" s="27">
        <f>ROUND(E39*F$8,0)</f>
        <v>-59532</v>
      </c>
      <c r="G39" s="488">
        <f>G35-G37-G38</f>
        <v>3.7199999999997999</v>
      </c>
      <c r="H39" s="492">
        <f>ROUND(G39*H$8,0)</f>
        <v>145698</v>
      </c>
    </row>
    <row r="40" spans="1:8" ht="13.5">
      <c r="A40" s="73" t="s">
        <v>222</v>
      </c>
      <c r="B40" s="489"/>
      <c r="C40" s="92">
        <f>+C5+B13+C13+B24+C24+B35+C35</f>
        <v>2120.85</v>
      </c>
      <c r="D40" s="83">
        <f>SUM(D37:D39)</f>
        <v>25936143</v>
      </c>
      <c r="E40" s="89">
        <f>SUM(E37:E39)</f>
        <v>518.31000000000017</v>
      </c>
      <c r="F40" s="83">
        <f>SUM(F37:F39)</f>
        <v>26395334</v>
      </c>
      <c r="G40" s="89">
        <f>SUM(G37:G39)</f>
        <v>522.03</v>
      </c>
      <c r="H40" s="90">
        <f>SUM(H37:H39)</f>
        <v>27068939</v>
      </c>
    </row>
    <row r="41" spans="1:8" ht="13.5">
      <c r="A41" s="73"/>
      <c r="B41" s="5"/>
      <c r="C41" s="493"/>
      <c r="D41" s="7"/>
      <c r="E41" s="493"/>
      <c r="F41" s="214"/>
      <c r="G41" s="493"/>
      <c r="H41" s="378"/>
    </row>
    <row r="42" spans="1:8" ht="13.5">
      <c r="A42" s="73" t="s">
        <v>18</v>
      </c>
      <c r="B42" s="5"/>
      <c r="C42" s="493"/>
      <c r="D42" s="494">
        <f>D5+D18+D29+D40</f>
        <v>105686720</v>
      </c>
      <c r="E42" s="495">
        <f>E5+E18+E29+E40</f>
        <v>2126.59</v>
      </c>
      <c r="F42" s="494">
        <f>F5+F18+F29+F40</f>
        <v>108025267</v>
      </c>
      <c r="G42" s="495">
        <f>G5+G18+G29+G40</f>
        <v>2144.48</v>
      </c>
      <c r="H42" s="496">
        <f>H5+H18+H29+H40</f>
        <v>110886453</v>
      </c>
    </row>
    <row r="43" spans="1:8" ht="13.5">
      <c r="A43" s="73" t="s">
        <v>219</v>
      </c>
      <c r="B43" s="5"/>
      <c r="C43" s="5"/>
      <c r="D43" s="5"/>
      <c r="E43" s="5"/>
      <c r="F43" s="5"/>
      <c r="G43" s="5"/>
      <c r="H43" s="30"/>
    </row>
    <row r="44" spans="1:8" ht="13.5">
      <c r="A44" s="73" t="s">
        <v>55</v>
      </c>
      <c r="B44" s="497">
        <f>CSRBASESAL!B44</f>
        <v>0.215</v>
      </c>
      <c r="C44" s="497">
        <f t="shared" ref="C44:C49" si="0">B44</f>
        <v>0.215</v>
      </c>
      <c r="D44" s="513"/>
      <c r="E44" s="5"/>
      <c r="F44" s="75">
        <f t="shared" ref="F44:F49" si="1">ROUND(F$42*B44,0)</f>
        <v>23225432</v>
      </c>
      <c r="G44" s="75"/>
      <c r="H44" s="91">
        <f t="shared" ref="H44:H49" si="2">ROUND(H$42*$C44,0)</f>
        <v>23840587</v>
      </c>
    </row>
    <row r="45" spans="1:8" ht="13.5">
      <c r="A45" s="73" t="s">
        <v>346</v>
      </c>
      <c r="B45" s="497">
        <f>CSRBASESAL!B45</f>
        <v>3.0869999999999999E-3</v>
      </c>
      <c r="C45" s="497">
        <f t="shared" si="0"/>
        <v>3.0869999999999999E-3</v>
      </c>
      <c r="D45" s="513"/>
      <c r="E45" s="5"/>
      <c r="F45" s="75">
        <f t="shared" si="1"/>
        <v>333474</v>
      </c>
      <c r="G45" s="75"/>
      <c r="H45" s="91">
        <f t="shared" si="2"/>
        <v>342306</v>
      </c>
    </row>
    <row r="46" spans="1:8" ht="13.5">
      <c r="A46" s="73" t="s">
        <v>220</v>
      </c>
      <c r="B46" s="497">
        <f>CSRBASESAL!B46</f>
        <v>3.009E-3</v>
      </c>
      <c r="C46" s="497">
        <f t="shared" si="0"/>
        <v>3.009E-3</v>
      </c>
      <c r="D46" s="513"/>
      <c r="E46" s="5"/>
      <c r="F46" s="75">
        <f t="shared" si="1"/>
        <v>325048</v>
      </c>
      <c r="G46" s="75"/>
      <c r="H46" s="91">
        <f t="shared" si="2"/>
        <v>333657</v>
      </c>
    </row>
    <row r="47" spans="1:8" ht="13.5">
      <c r="A47" s="73" t="s">
        <v>57</v>
      </c>
      <c r="B47" s="497">
        <f>CSRBASESAL!B47</f>
        <v>1.3901999999999999E-2</v>
      </c>
      <c r="C47" s="497">
        <f t="shared" si="0"/>
        <v>1.3901999999999999E-2</v>
      </c>
      <c r="D47" s="513"/>
      <c r="E47" s="5"/>
      <c r="F47" s="75">
        <f t="shared" si="1"/>
        <v>1501767</v>
      </c>
      <c r="G47" s="75"/>
      <c r="H47" s="91">
        <f t="shared" si="2"/>
        <v>1541543</v>
      </c>
    </row>
    <row r="48" spans="1:8" ht="13.5">
      <c r="A48" s="73" t="s">
        <v>221</v>
      </c>
      <c r="B48" s="699">
        <f>CSRBASESAL!B48</f>
        <v>6980.69</v>
      </c>
      <c r="C48" s="699">
        <f>B48</f>
        <v>6980.69</v>
      </c>
      <c r="D48" s="513"/>
      <c r="E48" s="5"/>
      <c r="F48" s="75">
        <f>ROUND(E$42*B48,0)</f>
        <v>14845066</v>
      </c>
      <c r="G48" s="75"/>
      <c r="H48" s="91">
        <f>ROUND(G$42*$C48,0)</f>
        <v>14969950</v>
      </c>
    </row>
    <row r="49" spans="1:8" ht="13.5">
      <c r="A49" s="73" t="s">
        <v>58</v>
      </c>
      <c r="B49" s="497">
        <f>CSRBASESAL!B49</f>
        <v>5.3569999999999998E-3</v>
      </c>
      <c r="C49" s="497">
        <f t="shared" si="0"/>
        <v>5.3569999999999998E-3</v>
      </c>
      <c r="D49" s="513"/>
      <c r="E49" s="5"/>
      <c r="F49" s="76">
        <f t="shared" si="1"/>
        <v>578691</v>
      </c>
      <c r="G49" s="76"/>
      <c r="H49" s="499">
        <f t="shared" si="2"/>
        <v>594019</v>
      </c>
    </row>
    <row r="50" spans="1:8" ht="13.5">
      <c r="A50" s="73"/>
      <c r="B50" s="500"/>
      <c r="C50" s="500"/>
      <c r="D50" s="5"/>
      <c r="E50" s="5"/>
      <c r="F50" s="75">
        <f>SUM(F44:F49)</f>
        <v>40809478</v>
      </c>
      <c r="G50" s="75"/>
      <c r="H50" s="91">
        <f>SUM(H44:H49)</f>
        <v>41622062</v>
      </c>
    </row>
    <row r="51" spans="1:8" ht="13.5">
      <c r="A51" s="173"/>
      <c r="B51" s="5"/>
      <c r="C51" s="5"/>
      <c r="D51" s="5"/>
      <c r="E51" s="5"/>
      <c r="F51" s="5"/>
      <c r="G51" s="5"/>
      <c r="H51" s="30"/>
    </row>
    <row r="52" spans="1:8" ht="13.5">
      <c r="A52" s="173"/>
      <c r="B52" s="156" t="s">
        <v>20</v>
      </c>
      <c r="C52" s="82"/>
      <c r="D52" s="82"/>
      <c r="E52" s="82"/>
      <c r="F52" s="83">
        <f>F42+F50</f>
        <v>148834745</v>
      </c>
      <c r="G52" s="83"/>
      <c r="H52" s="90">
        <f>H42+H50</f>
        <v>152508515</v>
      </c>
    </row>
    <row r="53" spans="1:8" ht="13.5">
      <c r="A53" s="173"/>
      <c r="B53" s="514"/>
      <c r="C53" s="60"/>
      <c r="D53" s="60"/>
      <c r="E53" s="60"/>
      <c r="F53" s="515"/>
      <c r="G53" s="515"/>
      <c r="H53" s="516"/>
    </row>
    <row r="54" spans="1:8" ht="13.5">
      <c r="A54" s="173" t="s">
        <v>224</v>
      </c>
      <c r="B54" s="280"/>
      <c r="C54" s="5"/>
      <c r="D54" s="5"/>
      <c r="E54" s="5"/>
      <c r="F54" s="513">
        <f>(F50/F42)</f>
        <v>0.37777715467252676</v>
      </c>
      <c r="G54" s="517"/>
      <c r="H54" s="518">
        <f>(H50/H42)</f>
        <v>0.37535750196644851</v>
      </c>
    </row>
    <row r="55" spans="1:8" ht="13.5">
      <c r="A55" s="519"/>
      <c r="B55" s="198" t="str">
        <f>M200SAL!B67</f>
        <v>FY12</v>
      </c>
      <c r="C55" s="198" t="str">
        <f>M200SAL!C67</f>
        <v>FY12</v>
      </c>
      <c r="D55" s="198" t="s">
        <v>21</v>
      </c>
      <c r="E55" s="198" t="str">
        <f>M200SAL!E67</f>
        <v>FY13</v>
      </c>
      <c r="F55" s="198" t="str">
        <f>M200SAL!F67</f>
        <v>FY13</v>
      </c>
      <c r="G55" s="520" t="s">
        <v>21</v>
      </c>
      <c r="H55" s="117"/>
    </row>
    <row r="56" spans="1:8" ht="13.5">
      <c r="A56" s="201" t="s">
        <v>22</v>
      </c>
      <c r="B56" s="202" t="s">
        <v>23</v>
      </c>
      <c r="C56" s="202" t="s">
        <v>229</v>
      </c>
      <c r="D56" s="202" t="s">
        <v>24</v>
      </c>
      <c r="E56" s="521" t="s">
        <v>23</v>
      </c>
      <c r="F56" s="521" t="s">
        <v>229</v>
      </c>
      <c r="G56" s="522" t="s">
        <v>24</v>
      </c>
      <c r="H56" s="117"/>
    </row>
    <row r="57" spans="1:8" ht="13.5">
      <c r="A57" s="173" t="s">
        <v>53</v>
      </c>
      <c r="B57" s="204">
        <f>CSRBASESAL!F42</f>
        <v>107800455</v>
      </c>
      <c r="C57" s="204">
        <f>F42</f>
        <v>108025267</v>
      </c>
      <c r="D57" s="204">
        <f>C57-B57</f>
        <v>224812</v>
      </c>
      <c r="E57" s="154">
        <f>CSRBASESAL!H42</f>
        <v>109956465</v>
      </c>
      <c r="F57" s="204">
        <f>H42</f>
        <v>110886453</v>
      </c>
      <c r="G57" s="204">
        <f t="shared" ref="G57:G63" si="3">F57-E57</f>
        <v>929988</v>
      </c>
      <c r="H57" s="117"/>
    </row>
    <row r="58" spans="1:8" ht="13.5">
      <c r="A58" s="73" t="s">
        <v>55</v>
      </c>
      <c r="B58" s="204">
        <f>CSRBASESAL!F44</f>
        <v>23177098</v>
      </c>
      <c r="C58" s="204">
        <f t="shared" ref="C58:C63" si="4">F44</f>
        <v>23225432</v>
      </c>
      <c r="D58" s="204">
        <f t="shared" ref="D58:D63" si="5">C58-B58</f>
        <v>48334</v>
      </c>
      <c r="E58" s="154">
        <f>CSRBASESAL!H44</f>
        <v>23640640</v>
      </c>
      <c r="F58" s="204">
        <f t="shared" ref="F58:F63" si="6">H44</f>
        <v>23840587</v>
      </c>
      <c r="G58" s="204">
        <f t="shared" si="3"/>
        <v>199947</v>
      </c>
      <c r="H58" s="117"/>
    </row>
    <row r="59" spans="1:8" ht="13.5">
      <c r="A59" s="73" t="s">
        <v>346</v>
      </c>
      <c r="B59" s="204">
        <f>CSRBASESAL!F45</f>
        <v>332780</v>
      </c>
      <c r="C59" s="204">
        <f t="shared" si="4"/>
        <v>333474</v>
      </c>
      <c r="D59" s="204">
        <f t="shared" si="5"/>
        <v>694</v>
      </c>
      <c r="E59" s="154">
        <f>CSRBASESAL!H45</f>
        <v>339436</v>
      </c>
      <c r="F59" s="204">
        <f t="shared" si="6"/>
        <v>342306</v>
      </c>
      <c r="G59" s="204">
        <f t="shared" si="3"/>
        <v>2870</v>
      </c>
      <c r="H59" s="117"/>
    </row>
    <row r="60" spans="1:8" ht="13.5">
      <c r="A60" s="73" t="s">
        <v>220</v>
      </c>
      <c r="B60" s="204">
        <f>CSRBASESAL!F46</f>
        <v>324372</v>
      </c>
      <c r="C60" s="204">
        <f t="shared" si="4"/>
        <v>325048</v>
      </c>
      <c r="D60" s="204">
        <f t="shared" si="5"/>
        <v>676</v>
      </c>
      <c r="E60" s="154">
        <f>CSRBASESAL!H46</f>
        <v>330859</v>
      </c>
      <c r="F60" s="204">
        <f t="shared" si="6"/>
        <v>333657</v>
      </c>
      <c r="G60" s="204">
        <f t="shared" si="3"/>
        <v>2798</v>
      </c>
      <c r="H60" s="117"/>
    </row>
    <row r="61" spans="1:8" ht="13.5">
      <c r="A61" s="73" t="s">
        <v>57</v>
      </c>
      <c r="B61" s="204">
        <f>CSRBASESAL!F47</f>
        <v>1498642</v>
      </c>
      <c r="C61" s="204">
        <f t="shared" si="4"/>
        <v>1501767</v>
      </c>
      <c r="D61" s="204">
        <f t="shared" si="5"/>
        <v>3125</v>
      </c>
      <c r="E61" s="154">
        <f>CSRBASESAL!H47</f>
        <v>1528615</v>
      </c>
      <c r="F61" s="204">
        <f t="shared" si="6"/>
        <v>1541543</v>
      </c>
      <c r="G61" s="204">
        <f t="shared" si="3"/>
        <v>12928</v>
      </c>
      <c r="H61" s="117"/>
    </row>
    <row r="62" spans="1:8" ht="13.5">
      <c r="A62" s="73" t="s">
        <v>221</v>
      </c>
      <c r="B62" s="204">
        <f>CSRBASESAL!F48</f>
        <v>14804996</v>
      </c>
      <c r="C62" s="204">
        <f t="shared" si="4"/>
        <v>14845066</v>
      </c>
      <c r="D62" s="204">
        <f t="shared" si="5"/>
        <v>40070</v>
      </c>
      <c r="E62" s="154">
        <f>CSRBASESAL!H48</f>
        <v>14804996</v>
      </c>
      <c r="F62" s="204">
        <f t="shared" si="6"/>
        <v>14969950</v>
      </c>
      <c r="G62" s="204">
        <f t="shared" si="3"/>
        <v>164954</v>
      </c>
      <c r="H62" s="117"/>
    </row>
    <row r="63" spans="1:8" ht="14.25" thickBot="1">
      <c r="A63" s="73" t="s">
        <v>58</v>
      </c>
      <c r="B63" s="204">
        <f>CSRBASESAL!F49</f>
        <v>577487</v>
      </c>
      <c r="C63" s="204">
        <f t="shared" si="4"/>
        <v>578691</v>
      </c>
      <c r="D63" s="204">
        <f t="shared" si="5"/>
        <v>1204</v>
      </c>
      <c r="E63" s="154">
        <f>CSRBASESAL!H49</f>
        <v>589037</v>
      </c>
      <c r="F63" s="204">
        <f t="shared" si="6"/>
        <v>594019</v>
      </c>
      <c r="G63" s="204">
        <f t="shared" si="3"/>
        <v>4982</v>
      </c>
      <c r="H63" s="117"/>
    </row>
    <row r="64" spans="1:8" ht="14.25" thickBot="1">
      <c r="A64" s="209"/>
      <c r="B64" s="523">
        <f t="shared" ref="B64:G64" si="7">SUM(B57:B63)</f>
        <v>148515830</v>
      </c>
      <c r="C64" s="524">
        <f t="shared" si="7"/>
        <v>148834745</v>
      </c>
      <c r="D64" s="525">
        <f t="shared" si="7"/>
        <v>318915</v>
      </c>
      <c r="E64" s="524">
        <f t="shared" si="7"/>
        <v>151190048</v>
      </c>
      <c r="F64" s="524">
        <f t="shared" si="7"/>
        <v>152508515</v>
      </c>
      <c r="G64" s="526">
        <f t="shared" si="7"/>
        <v>1318467</v>
      </c>
      <c r="H64" s="408"/>
    </row>
  </sheetData>
  <mergeCells count="1">
    <mergeCell ref="A1:H1"/>
  </mergeCells>
  <phoneticPr fontId="0" type="noConversion"/>
  <printOptions horizontalCentered="1" headings="1"/>
  <pageMargins left="0.5" right="0.5" top="0.25" bottom="0.5" header="0.25" footer="0.25"/>
  <pageSetup scale="86" orientation="portrait" r:id="rId1"/>
  <headerFooter alignWithMargins="0">
    <oddFooter>&amp;L&amp;D &amp;T&amp;C&amp;P of &amp;N&amp;R&amp;F &amp;A</oddFooter>
  </headerFooter>
  <legacyDrawing r:id="rId2"/>
  <extLst>
    <ext xmlns:mx="http://schemas.microsoft.com/office/mac/excel/2008/main" uri="http://schemas.microsoft.com/office/mac/excel/2008/main">
      <mx:PLV Mode="0" OnePage="0" WScale="0"/>
    </ext>
  </extLst>
</worksheet>
</file>

<file path=xl/worksheets/sheet19.xml><?xml version="1.0" encoding="utf-8"?>
<worksheet xmlns="http://schemas.openxmlformats.org/spreadsheetml/2006/main" xmlns:r="http://schemas.openxmlformats.org/officeDocument/2006/relationships">
  <sheetPr codeName="Sheet15" enableFormatConditionsCalculation="0">
    <pageSetUpPr fitToPage="1"/>
  </sheetPr>
  <dimension ref="A1:J66"/>
  <sheetViews>
    <sheetView topLeftCell="A40" zoomScale="125" workbookViewId="0">
      <selection activeCell="C59" sqref="C59"/>
    </sheetView>
  </sheetViews>
  <sheetFormatPr defaultColWidth="8.85546875" defaultRowHeight="12.75"/>
  <cols>
    <col min="1" max="1" width="31.42578125" style="13" bestFit="1" customWidth="1"/>
    <col min="2" max="16384" width="8.85546875" style="9"/>
  </cols>
  <sheetData>
    <row r="1" spans="1:8" ht="14.25" thickBot="1">
      <c r="A1" s="1065" t="s">
        <v>348</v>
      </c>
      <c r="B1" s="1066"/>
      <c r="C1" s="1066"/>
      <c r="D1" s="1066"/>
      <c r="E1" s="1066"/>
      <c r="F1" s="1066"/>
      <c r="G1" s="1066"/>
      <c r="H1" s="1067"/>
    </row>
    <row r="2" spans="1:8" ht="13.5">
      <c r="A2" s="511"/>
      <c r="B2" s="120" t="str">
        <f>CSRBASESAL!B2</f>
        <v>FY10</v>
      </c>
      <c r="C2" s="120" t="str">
        <f>CSRBASESAL!C2</f>
        <v>FY11</v>
      </c>
      <c r="D2" s="120" t="str">
        <f>CSRBASESAL!D2</f>
        <v>FY11</v>
      </c>
      <c r="E2" s="120" t="str">
        <f>CSRBASESAL!E2</f>
        <v>FY12</v>
      </c>
      <c r="F2" s="120" t="str">
        <f>CSRBASESAL!F2</f>
        <v>FY12</v>
      </c>
      <c r="G2" s="120" t="str">
        <f>CSRBASESAL!G2</f>
        <v>FY13</v>
      </c>
      <c r="H2" s="121" t="str">
        <f>CSRBASESAL!H2</f>
        <v>FY13</v>
      </c>
    </row>
    <row r="3" spans="1:8" ht="14.25" thickBot="1">
      <c r="A3" s="512"/>
      <c r="B3" s="109" t="s">
        <v>205</v>
      </c>
      <c r="C3" s="109" t="s">
        <v>205</v>
      </c>
      <c r="D3" s="109" t="s">
        <v>206</v>
      </c>
      <c r="E3" s="109" t="s">
        <v>205</v>
      </c>
      <c r="F3" s="109" t="s">
        <v>206</v>
      </c>
      <c r="G3" s="109" t="s">
        <v>205</v>
      </c>
      <c r="H3" s="124" t="s">
        <v>206</v>
      </c>
    </row>
    <row r="4" spans="1:8" ht="13.5">
      <c r="A4" s="84" t="s">
        <v>299</v>
      </c>
      <c r="B4" s="5"/>
      <c r="C4" s="5"/>
      <c r="D4" s="5"/>
      <c r="E4" s="5"/>
      <c r="F4" s="5"/>
      <c r="G4" s="5"/>
      <c r="H4" s="30"/>
    </row>
    <row r="5" spans="1:8" ht="13.5">
      <c r="A5" s="73" t="s">
        <v>300</v>
      </c>
      <c r="B5" s="85">
        <f>CSRM200SAL!B5</f>
        <v>23.5</v>
      </c>
      <c r="C5" s="85">
        <f>CSRM200SAL!C5</f>
        <v>23.5</v>
      </c>
      <c r="D5" s="7">
        <f>ROUND(C5*B7,0)</f>
        <v>1169266</v>
      </c>
      <c r="E5" s="85">
        <f>CSRM200SAL!E5</f>
        <v>23.5</v>
      </c>
      <c r="F5" s="86">
        <f>ROUND(D5*1.02,0)</f>
        <v>1192651</v>
      </c>
      <c r="G5" s="85">
        <f>CSRM200SAL!G5</f>
        <v>23.5</v>
      </c>
      <c r="H5" s="87">
        <f>ROUND(F5*1.02,0)</f>
        <v>1216504</v>
      </c>
    </row>
    <row r="6" spans="1:8" ht="13.5">
      <c r="A6" s="73" t="str">
        <f>CSRBASESAL!A6</f>
        <v>FY 10 AVG SALARY</v>
      </c>
      <c r="B6" s="288">
        <f>CSRM200SAL!B6</f>
        <v>49263</v>
      </c>
      <c r="C6" s="7"/>
      <c r="D6" s="10"/>
      <c r="E6" s="5"/>
      <c r="F6" s="10"/>
      <c r="G6" s="489"/>
      <c r="H6" s="117"/>
    </row>
    <row r="7" spans="1:8" ht="13.5">
      <c r="A7" s="73" t="str">
        <f>CSRBASESAL!A7</f>
        <v>FY 11 @ 1% Roll-Up PLUS 0% Cola</v>
      </c>
      <c r="B7" s="288">
        <f>CSRM200SAL!B7</f>
        <v>49756</v>
      </c>
      <c r="C7" s="5"/>
      <c r="D7" s="5"/>
      <c r="E7" s="5"/>
      <c r="F7" s="5"/>
      <c r="G7" s="489"/>
      <c r="H7" s="30"/>
    </row>
    <row r="8" spans="1:8" ht="13.5">
      <c r="A8" s="73" t="s">
        <v>301</v>
      </c>
      <c r="B8" s="5"/>
      <c r="C8" s="5"/>
      <c r="D8" s="214">
        <f>CSRM200SAL!D8</f>
        <v>39166</v>
      </c>
      <c r="E8" s="5"/>
      <c r="F8" s="214">
        <f>D8</f>
        <v>39166</v>
      </c>
      <c r="G8" s="489"/>
      <c r="H8" s="378">
        <f>F8</f>
        <v>39166</v>
      </c>
    </row>
    <row r="9" spans="1:8" ht="13.5">
      <c r="A9" s="174" t="s">
        <v>302</v>
      </c>
      <c r="B9" s="5"/>
      <c r="C9" s="5"/>
      <c r="D9" s="5"/>
      <c r="E9" s="5"/>
      <c r="F9" s="5"/>
      <c r="G9" s="5"/>
      <c r="H9" s="30"/>
    </row>
    <row r="10" spans="1:8" ht="13.5">
      <c r="A10" s="73" t="s">
        <v>303</v>
      </c>
      <c r="B10" s="85">
        <f>CSRM200SAL!B10</f>
        <v>33849</v>
      </c>
      <c r="C10" s="85">
        <f>CSRM200SAL!C10</f>
        <v>33865</v>
      </c>
      <c r="D10" s="5"/>
      <c r="E10" s="85">
        <f>CSRM200SAL!E10</f>
        <v>33933</v>
      </c>
      <c r="F10" s="5"/>
      <c r="G10" s="85">
        <f>CSRM200SAL!G10</f>
        <v>34379</v>
      </c>
      <c r="H10" s="30"/>
    </row>
    <row r="11" spans="1:8" ht="13.5">
      <c r="A11" s="73" t="s">
        <v>304</v>
      </c>
      <c r="B11" s="85">
        <f>CSRM200SAL!B11</f>
        <v>1327.41</v>
      </c>
      <c r="C11" s="85">
        <f>CSRM200SAL!C11</f>
        <v>1328.04</v>
      </c>
      <c r="D11" s="5"/>
      <c r="E11" s="85">
        <f>CSRM200SAL!E11</f>
        <v>1330.71</v>
      </c>
      <c r="F11" s="5"/>
      <c r="G11" s="85">
        <f>CSRM200SAL!G11</f>
        <v>1348.2</v>
      </c>
      <c r="H11" s="30"/>
    </row>
    <row r="12" spans="1:8" ht="13.5">
      <c r="A12" s="73" t="s">
        <v>305</v>
      </c>
      <c r="B12" s="488">
        <f>CSRM200SAL!B12</f>
        <v>2115.56</v>
      </c>
      <c r="C12" s="488">
        <f>CSRM200SAL!C12</f>
        <v>2116.56</v>
      </c>
      <c r="D12" s="5"/>
      <c r="E12" s="488">
        <f>CSRM200SAL!E12</f>
        <v>2120.81</v>
      </c>
      <c r="F12" s="5"/>
      <c r="G12" s="488">
        <f>CSRM200SAL!G12</f>
        <v>2148.69</v>
      </c>
      <c r="H12" s="30"/>
    </row>
    <row r="13" spans="1:8" ht="13.5">
      <c r="A13" s="73" t="s">
        <v>306</v>
      </c>
      <c r="B13" s="85">
        <f>(B12-B11)</f>
        <v>788.14999999999986</v>
      </c>
      <c r="C13" s="85">
        <f>(C12-C11)-B13</f>
        <v>0.37000000000011823</v>
      </c>
      <c r="D13" s="10"/>
      <c r="E13" s="85">
        <f>(E12-E11)</f>
        <v>790.09999999999991</v>
      </c>
      <c r="F13" s="5"/>
      <c r="G13" s="85">
        <f>(G12-G11)</f>
        <v>800.49</v>
      </c>
      <c r="H13" s="30"/>
    </row>
    <row r="14" spans="1:8" ht="13.5">
      <c r="A14" s="73"/>
      <c r="B14" s="489"/>
      <c r="C14" s="5"/>
      <c r="D14" s="10"/>
      <c r="E14" s="85"/>
      <c r="F14" s="5"/>
      <c r="G14" s="85"/>
      <c r="H14" s="30"/>
    </row>
    <row r="15" spans="1:8" ht="13.5">
      <c r="A15" s="73" t="str">
        <f>+CSRM200SAL!A15</f>
        <v>FY 10 POSITIONS/SALARIES</v>
      </c>
      <c r="B15" s="489"/>
      <c r="C15" s="5"/>
      <c r="D15" s="7">
        <f>ROUND(B13*B$7,0)</f>
        <v>39215191</v>
      </c>
      <c r="E15" s="85">
        <f>CSRM200SAL!E15</f>
        <v>788.14999999999986</v>
      </c>
      <c r="F15" s="7">
        <f>ROUND(D15*1.02,0)</f>
        <v>39999495</v>
      </c>
      <c r="G15" s="85">
        <f>CSRM200SAL!G15</f>
        <v>789.72999999999979</v>
      </c>
      <c r="H15" s="88">
        <f>ROUND((F15+F17)*1.02,0)</f>
        <v>40862605</v>
      </c>
    </row>
    <row r="16" spans="1:8" ht="13.5">
      <c r="A16" s="73" t="str">
        <f>+CSRM200SAL!A16</f>
        <v>FY 11 NEW POSITIONS/SALARIES</v>
      </c>
      <c r="B16" s="489"/>
      <c r="C16" s="5"/>
      <c r="D16" s="7">
        <f>ROUND(C13*D8,0)</f>
        <v>14491</v>
      </c>
      <c r="E16" s="85">
        <f>CSRM200SAL!E16</f>
        <v>0.37000000000011823</v>
      </c>
      <c r="F16" s="7">
        <f>ROUND(D16*1.02,0)</f>
        <v>14781</v>
      </c>
      <c r="G16" s="85">
        <f>CSRM200SAL!G16</f>
        <v>0.37000000000011823</v>
      </c>
      <c r="H16" s="88">
        <f>ROUND(F16*1.02,0)</f>
        <v>15077</v>
      </c>
    </row>
    <row r="17" spans="1:8" ht="13.5">
      <c r="A17" s="73" t="s">
        <v>307</v>
      </c>
      <c r="B17" s="489"/>
      <c r="C17" s="5"/>
      <c r="D17" s="5"/>
      <c r="E17" s="85">
        <f>CSRM200SAL!E17</f>
        <v>1.5799999999999272</v>
      </c>
      <c r="F17" s="27">
        <f>ROUND(E17*F$8,0)</f>
        <v>61882</v>
      </c>
      <c r="G17" s="85">
        <f>CSRM200SAL!G17</f>
        <v>10.3900000000001</v>
      </c>
      <c r="H17" s="492">
        <f>ROUND(G17*H$8,0)</f>
        <v>406935</v>
      </c>
    </row>
    <row r="18" spans="1:8" ht="13.5">
      <c r="A18" s="73" t="s">
        <v>222</v>
      </c>
      <c r="B18" s="489"/>
      <c r="C18" s="5"/>
      <c r="D18" s="83">
        <f>SUM(D15:D17)</f>
        <v>39229682</v>
      </c>
      <c r="E18" s="89">
        <f>SUM(E15:E17)</f>
        <v>790.09999999999991</v>
      </c>
      <c r="F18" s="83">
        <f>SUM(F15:F17)</f>
        <v>40076158</v>
      </c>
      <c r="G18" s="89">
        <f>SUM(G15:G17)</f>
        <v>800.49</v>
      </c>
      <c r="H18" s="90">
        <f>SUM(H15:H17)</f>
        <v>41284617</v>
      </c>
    </row>
    <row r="19" spans="1:8" ht="13.5">
      <c r="A19" s="73"/>
      <c r="B19" s="489"/>
      <c r="C19" s="5"/>
      <c r="D19" s="5"/>
      <c r="E19" s="489"/>
      <c r="F19" s="5"/>
      <c r="G19" s="489"/>
      <c r="H19" s="30"/>
    </row>
    <row r="20" spans="1:8" ht="13.5">
      <c r="A20" s="174" t="s">
        <v>308</v>
      </c>
      <c r="B20" s="489"/>
      <c r="C20" s="5"/>
      <c r="D20" s="5"/>
      <c r="E20" s="5"/>
      <c r="F20" s="5"/>
      <c r="G20" s="5"/>
      <c r="H20" s="30"/>
    </row>
    <row r="21" spans="1:8" ht="13.5">
      <c r="A21" s="73" t="s">
        <v>303</v>
      </c>
      <c r="B21" s="85">
        <f>CSRM200SAL!B21</f>
        <v>33824</v>
      </c>
      <c r="C21" s="85">
        <f>CSRM200SAL!C21</f>
        <v>33447</v>
      </c>
      <c r="D21" s="5"/>
      <c r="E21" s="85">
        <f>CSRM200SAL!E21</f>
        <v>33688</v>
      </c>
      <c r="F21" s="5"/>
      <c r="G21" s="85">
        <f>CSRM200SAL!G21</f>
        <v>33848</v>
      </c>
      <c r="H21" s="30"/>
    </row>
    <row r="22" spans="1:8" ht="13.5">
      <c r="A22" s="73" t="s">
        <v>309</v>
      </c>
      <c r="B22" s="85">
        <f>CSRM200SAL!B22</f>
        <v>1316.11</v>
      </c>
      <c r="C22" s="85">
        <f>CSRM200SAL!C22</f>
        <v>1301.44</v>
      </c>
      <c r="D22" s="5"/>
      <c r="E22" s="85">
        <f>CSRM200SAL!E22</f>
        <v>1310.82</v>
      </c>
      <c r="F22" s="5"/>
      <c r="G22" s="85">
        <f>CSRM200SAL!G22</f>
        <v>1317.04</v>
      </c>
      <c r="H22" s="30"/>
    </row>
    <row r="23" spans="1:8" ht="13.5">
      <c r="A23" s="73" t="s">
        <v>305</v>
      </c>
      <c r="B23" s="488">
        <f>CSRM200SAL!B23</f>
        <v>2114</v>
      </c>
      <c r="C23" s="488">
        <f>CSRM200SAL!C23</f>
        <v>2090.44</v>
      </c>
      <c r="D23" s="5"/>
      <c r="E23" s="488">
        <f>CSRM200SAL!E23</f>
        <v>2105.5</v>
      </c>
      <c r="F23" s="5"/>
      <c r="G23" s="488">
        <f>CSRM200SAL!G23</f>
        <v>2115.5</v>
      </c>
      <c r="H23" s="30"/>
    </row>
    <row r="24" spans="1:8" ht="13.5">
      <c r="A24" s="73" t="s">
        <v>306</v>
      </c>
      <c r="B24" s="85">
        <f>(B23-B22)</f>
        <v>797.8900000000001</v>
      </c>
      <c r="C24" s="85">
        <f>(C23-C22)-B24</f>
        <v>-8.8900000000001</v>
      </c>
      <c r="D24" s="10"/>
      <c r="E24" s="85">
        <f>(E23-E22)</f>
        <v>794.68000000000006</v>
      </c>
      <c r="F24" s="5"/>
      <c r="G24" s="85">
        <f>(G23-G22)</f>
        <v>798.46</v>
      </c>
      <c r="H24" s="30"/>
    </row>
    <row r="25" spans="1:8" ht="13.5">
      <c r="A25" s="73"/>
      <c r="B25" s="489"/>
      <c r="C25" s="5"/>
      <c r="E25" s="489"/>
      <c r="F25" s="5"/>
      <c r="G25" s="489"/>
      <c r="H25" s="30"/>
    </row>
    <row r="26" spans="1:8" ht="13.5">
      <c r="A26" s="73" t="str">
        <f>+CSRM200SAL!A26</f>
        <v>FY 10 POSITIONS/SALARIES</v>
      </c>
      <c r="B26" s="489"/>
      <c r="C26" s="5"/>
      <c r="D26" s="7">
        <f>ROUND(B24*B$7,0)</f>
        <v>39699815</v>
      </c>
      <c r="E26" s="85">
        <f>CSRM200SAL!E26</f>
        <v>797.8900000000001</v>
      </c>
      <c r="F26" s="7">
        <f>ROUND(D26*1.02,0)</f>
        <v>40493811</v>
      </c>
      <c r="G26" s="85">
        <f>CSRM200SAL!G26</f>
        <v>803.57000000000016</v>
      </c>
      <c r="H26" s="88">
        <f>ROUND((F26+F28)*1.02,0)</f>
        <v>41530599</v>
      </c>
    </row>
    <row r="27" spans="1:8" ht="13.5">
      <c r="A27" s="73" t="str">
        <f>+CSRM200SAL!A27</f>
        <v>FY 11 NEW POSITIONS/SALARIES</v>
      </c>
      <c r="B27" s="489"/>
      <c r="C27" s="5"/>
      <c r="D27" s="7">
        <f>ROUND(C24*D8,0)</f>
        <v>-348186</v>
      </c>
      <c r="E27" s="85">
        <f>CSRM200SAL!E27</f>
        <v>-8.8900000000001</v>
      </c>
      <c r="F27" s="7">
        <f>ROUND(D27*1.02,0)</f>
        <v>-355150</v>
      </c>
      <c r="G27" s="85">
        <f>CSRM200SAL!G27</f>
        <v>-8.8900000000001</v>
      </c>
      <c r="H27" s="88">
        <f>ROUND(F27*1.02,0)</f>
        <v>-362253</v>
      </c>
    </row>
    <row r="28" spans="1:8" ht="13.5">
      <c r="A28" s="73" t="s">
        <v>307</v>
      </c>
      <c r="B28" s="489"/>
      <c r="C28" s="5"/>
      <c r="D28" s="5"/>
      <c r="E28" s="85">
        <f>CSRM200SAL!E28</f>
        <v>5.6800000000000637</v>
      </c>
      <c r="F28" s="27">
        <f>ROUND(E28*F$8,0)</f>
        <v>222463</v>
      </c>
      <c r="G28" s="85">
        <f>CSRM200SAL!G28</f>
        <v>3.7799999999999727</v>
      </c>
      <c r="H28" s="492">
        <f>ROUND(G28*H$8,0)</f>
        <v>148047</v>
      </c>
    </row>
    <row r="29" spans="1:8" ht="13.5">
      <c r="A29" s="73" t="s">
        <v>222</v>
      </c>
      <c r="B29" s="489"/>
      <c r="C29" s="5"/>
      <c r="D29" s="83">
        <f>SUM(D26:D28)</f>
        <v>39351629</v>
      </c>
      <c r="E29" s="89">
        <f>SUM(E26:E28)</f>
        <v>794.68000000000006</v>
      </c>
      <c r="F29" s="83">
        <f>SUM(F26:F28)</f>
        <v>40361124</v>
      </c>
      <c r="G29" s="89">
        <f>SUM(G26:G28)</f>
        <v>798.46</v>
      </c>
      <c r="H29" s="90">
        <f>SUM(H26:H28)</f>
        <v>41316393</v>
      </c>
    </row>
    <row r="30" spans="1:8" ht="13.5">
      <c r="A30" s="73"/>
      <c r="B30" s="489"/>
      <c r="C30" s="5"/>
      <c r="D30" s="5"/>
      <c r="E30" s="489"/>
      <c r="F30" s="5"/>
      <c r="G30" s="489"/>
      <c r="H30" s="30"/>
    </row>
    <row r="31" spans="1:8" ht="13.5">
      <c r="A31" s="174" t="s">
        <v>310</v>
      </c>
      <c r="B31" s="5"/>
      <c r="C31" s="5"/>
      <c r="D31" s="5"/>
      <c r="E31" s="5"/>
      <c r="F31" s="5"/>
      <c r="G31" s="5"/>
      <c r="H31" s="30"/>
    </row>
    <row r="32" spans="1:8" ht="13.5">
      <c r="A32" s="73" t="s">
        <v>303</v>
      </c>
      <c r="B32" s="85">
        <f>CSRM200SAL!B32</f>
        <v>34068</v>
      </c>
      <c r="C32" s="85">
        <f>CSRM200SAL!C32</f>
        <v>33631</v>
      </c>
      <c r="D32" s="5"/>
      <c r="E32" s="85">
        <f>CSRM200SAL!E32</f>
        <v>33533</v>
      </c>
      <c r="F32" s="5"/>
      <c r="G32" s="85">
        <f>CSRM200SAL!G32</f>
        <v>33773</v>
      </c>
      <c r="H32" s="30"/>
    </row>
    <row r="33" spans="1:8" ht="13.5">
      <c r="A33" s="73" t="s">
        <v>311</v>
      </c>
      <c r="B33" s="85">
        <f>CSRM200SAL!B33</f>
        <v>1266.47</v>
      </c>
      <c r="C33" s="85">
        <f>CSRM200SAL!C33</f>
        <v>1250.22</v>
      </c>
      <c r="D33" s="5"/>
      <c r="E33" s="85">
        <f>CSRM200SAL!E33</f>
        <v>1246.58</v>
      </c>
      <c r="F33" s="5"/>
      <c r="G33" s="85">
        <f>CSRM200SAL!G33</f>
        <v>1255.5</v>
      </c>
      <c r="H33" s="30"/>
    </row>
    <row r="34" spans="1:8" ht="13.5">
      <c r="A34" s="73" t="s">
        <v>312</v>
      </c>
      <c r="B34" s="488">
        <f>CSRM200SAL!B34</f>
        <v>1793.05</v>
      </c>
      <c r="C34" s="488">
        <f>CSRM200SAL!C34</f>
        <v>1770.05</v>
      </c>
      <c r="D34" s="5"/>
      <c r="E34" s="488">
        <f>CSRM200SAL!E34</f>
        <v>1764.89</v>
      </c>
      <c r="F34" s="5"/>
      <c r="G34" s="488">
        <f>CSRM200SAL!G34</f>
        <v>1777.53</v>
      </c>
      <c r="H34" s="30"/>
    </row>
    <row r="35" spans="1:8" ht="13.5">
      <c r="A35" s="73" t="s">
        <v>306</v>
      </c>
      <c r="B35" s="85">
        <f>(B34-B33)</f>
        <v>526.57999999999993</v>
      </c>
      <c r="C35" s="85">
        <f>(C34-C33)-B35</f>
        <v>-6.75</v>
      </c>
      <c r="E35" s="85">
        <f>(E34-E33)</f>
        <v>518.31000000000017</v>
      </c>
      <c r="F35" s="5"/>
      <c r="G35" s="85">
        <f>(G34-G33)</f>
        <v>522.03</v>
      </c>
      <c r="H35" s="30"/>
    </row>
    <row r="36" spans="1:8" ht="13.5">
      <c r="A36" s="73"/>
      <c r="B36" s="489"/>
      <c r="C36" s="5"/>
      <c r="E36" s="489"/>
      <c r="F36" s="5"/>
      <c r="G36" s="489"/>
      <c r="H36" s="30"/>
    </row>
    <row r="37" spans="1:8" ht="13.5">
      <c r="A37" s="73" t="str">
        <f>+CSRM200SAL!A37</f>
        <v>FY 10 POSITIONS/SALARIES</v>
      </c>
      <c r="B37" s="489"/>
      <c r="C37" s="5"/>
      <c r="D37" s="7">
        <f>ROUND(B35*B$7,0)</f>
        <v>26200514</v>
      </c>
      <c r="E37" s="85">
        <f>CSRM200SAL!E37</f>
        <v>526.57999999999993</v>
      </c>
      <c r="F37" s="7">
        <f>ROUND(D37*1.02,0)</f>
        <v>26724524</v>
      </c>
      <c r="G37" s="85">
        <f>CSRM200SAL!G37</f>
        <v>525.06000000000017</v>
      </c>
      <c r="H37" s="88">
        <f>ROUND((F37+F39)*1.02,0)</f>
        <v>27198292</v>
      </c>
    </row>
    <row r="38" spans="1:8" ht="13.5">
      <c r="A38" s="73" t="str">
        <f>+CSRM200SAL!A38</f>
        <v>FY 11 NEW POSITIONS/SALARIES</v>
      </c>
      <c r="B38" s="489"/>
      <c r="C38" s="5"/>
      <c r="D38" s="7">
        <f>ROUND(C35*D8,0)</f>
        <v>-264371</v>
      </c>
      <c r="E38" s="85">
        <f>CSRM200SAL!E38</f>
        <v>-6.75</v>
      </c>
      <c r="F38" s="7">
        <f>ROUND(D38*1.02,0)</f>
        <v>-269658</v>
      </c>
      <c r="G38" s="85">
        <f>CSRM200SAL!G38</f>
        <v>-6.75</v>
      </c>
      <c r="H38" s="88">
        <f>ROUND(F38*1.02,0)</f>
        <v>-275051</v>
      </c>
    </row>
    <row r="39" spans="1:8" ht="13.5">
      <c r="A39" s="73" t="s">
        <v>307</v>
      </c>
      <c r="B39" s="489"/>
      <c r="C39" s="5"/>
      <c r="D39" s="5"/>
      <c r="E39" s="85">
        <f>CSRM200SAL!E39</f>
        <v>-1.5199999999997544</v>
      </c>
      <c r="F39" s="27">
        <f>ROUND(E39*F$8,0)</f>
        <v>-59532</v>
      </c>
      <c r="G39" s="85">
        <f>CSRM200SAL!G39</f>
        <v>3.7199999999997999</v>
      </c>
      <c r="H39" s="492">
        <f>ROUND(G39*H$8,0)</f>
        <v>145698</v>
      </c>
    </row>
    <row r="40" spans="1:8" ht="13.5">
      <c r="A40" s="73" t="s">
        <v>222</v>
      </c>
      <c r="B40" s="489"/>
      <c r="C40" s="5"/>
      <c r="D40" s="83">
        <f>SUM(D37:D39)</f>
        <v>25936143</v>
      </c>
      <c r="E40" s="89">
        <f>SUM(E37:E39)</f>
        <v>518.31000000000017</v>
      </c>
      <c r="F40" s="83">
        <f>SUM(F37:F39)</f>
        <v>26395334</v>
      </c>
      <c r="G40" s="89">
        <f>SUM(G37:G39)</f>
        <v>522.03</v>
      </c>
      <c r="H40" s="90">
        <f>SUM(H37:H39)</f>
        <v>27068939</v>
      </c>
    </row>
    <row r="41" spans="1:8" ht="13.5">
      <c r="A41" s="73"/>
      <c r="B41" s="5"/>
      <c r="C41" s="493"/>
      <c r="D41" s="7"/>
      <c r="E41" s="493"/>
      <c r="F41" s="214"/>
      <c r="G41" s="493"/>
      <c r="H41" s="378"/>
    </row>
    <row r="42" spans="1:8" ht="13.5">
      <c r="A42" s="73" t="s">
        <v>18</v>
      </c>
      <c r="B42" s="5"/>
      <c r="C42" s="493"/>
      <c r="D42" s="494">
        <f>D5+D18+D29+D40</f>
        <v>105686720</v>
      </c>
      <c r="E42" s="495">
        <f>E5+E18+E29+E40</f>
        <v>2126.59</v>
      </c>
      <c r="F42" s="494">
        <f>F5+F18+F29+F40</f>
        <v>108025267</v>
      </c>
      <c r="G42" s="495">
        <f>G5+G18+G29+G40</f>
        <v>2144.48</v>
      </c>
      <c r="H42" s="496">
        <f>H5+H18+H29+H40</f>
        <v>110886453</v>
      </c>
    </row>
    <row r="43" spans="1:8" ht="13.5">
      <c r="A43" s="73" t="s">
        <v>152</v>
      </c>
      <c r="B43" s="181"/>
      <c r="C43" s="181"/>
      <c r="D43" s="126"/>
      <c r="E43" s="598"/>
      <c r="F43" s="599">
        <f>-F42*(0.2375-0.215)*0.5</f>
        <v>-1215284.2537499997</v>
      </c>
      <c r="G43" s="598"/>
      <c r="H43" s="599">
        <f>-H42*(0.2375-0.215)*0.5</f>
        <v>-1247472.5962499995</v>
      </c>
    </row>
    <row r="44" spans="1:8" ht="14.25" thickBot="1">
      <c r="A44" s="73" t="s">
        <v>472</v>
      </c>
      <c r="B44" s="181"/>
      <c r="C44" s="181"/>
      <c r="D44" s="126"/>
      <c r="E44" s="598"/>
      <c r="F44" s="600">
        <f>+F42+F43</f>
        <v>106809982.74625</v>
      </c>
      <c r="G44" s="598"/>
      <c r="H44" s="601">
        <f>+H42+H43</f>
        <v>109638980.40375</v>
      </c>
    </row>
    <row r="45" spans="1:8" ht="14.25" thickTop="1">
      <c r="A45" s="73" t="s">
        <v>219</v>
      </c>
      <c r="B45" s="5"/>
      <c r="C45" s="5"/>
      <c r="D45" s="5"/>
      <c r="E45" s="5"/>
      <c r="F45" s="5"/>
      <c r="G45" s="5"/>
      <c r="H45" s="30"/>
    </row>
    <row r="46" spans="1:8" ht="13.5">
      <c r="A46" s="73" t="s">
        <v>55</v>
      </c>
      <c r="B46" s="497">
        <f>DSADATABASE!D74</f>
        <v>0.23749999999999999</v>
      </c>
      <c r="C46" s="497">
        <f>DSADATABASE!E74</f>
        <v>0.23749999999999999</v>
      </c>
      <c r="D46" s="513"/>
      <c r="E46" s="5"/>
      <c r="F46" s="75">
        <f t="shared" ref="F46:F51" si="0">ROUND(F$44*B46,0)</f>
        <v>25367371</v>
      </c>
      <c r="G46" s="75"/>
      <c r="H46" s="91">
        <f t="shared" ref="H46:H51" si="1">ROUND(H$44*$C46,0)</f>
        <v>26039258</v>
      </c>
    </row>
    <row r="47" spans="1:8" ht="13.5">
      <c r="A47" s="73" t="s">
        <v>346</v>
      </c>
      <c r="B47" s="497">
        <f>DSADATABASE!D75</f>
        <v>3.0869999999999999E-3</v>
      </c>
      <c r="C47" s="497">
        <f>DSADATABASE!E75</f>
        <v>3.0869999999999999E-3</v>
      </c>
      <c r="D47" s="513"/>
      <c r="E47" s="5"/>
      <c r="F47" s="75">
        <f t="shared" si="0"/>
        <v>329722</v>
      </c>
      <c r="G47" s="75"/>
      <c r="H47" s="91">
        <f t="shared" si="1"/>
        <v>338456</v>
      </c>
    </row>
    <row r="48" spans="1:8" ht="13.5">
      <c r="A48" s="73" t="s">
        <v>220</v>
      </c>
      <c r="B48" s="497">
        <f>DSADATABASE!D76</f>
        <v>3.009E-3</v>
      </c>
      <c r="C48" s="497">
        <f>DSADATABASE!E76</f>
        <v>3.009E-3</v>
      </c>
      <c r="D48" s="513"/>
      <c r="E48" s="5"/>
      <c r="F48" s="75">
        <f t="shared" si="0"/>
        <v>321391</v>
      </c>
      <c r="G48" s="75"/>
      <c r="H48" s="91">
        <f t="shared" si="1"/>
        <v>329904</v>
      </c>
    </row>
    <row r="49" spans="1:10" ht="13.5">
      <c r="A49" s="73" t="s">
        <v>57</v>
      </c>
      <c r="B49" s="497">
        <f>DSADATABASE!D77</f>
        <v>1.3901999999999999E-2</v>
      </c>
      <c r="C49" s="497">
        <f>DSADATABASE!E77</f>
        <v>1.3901999999999999E-2</v>
      </c>
      <c r="D49" s="513"/>
      <c r="E49" s="5"/>
      <c r="F49" s="75">
        <f t="shared" si="0"/>
        <v>1484872</v>
      </c>
      <c r="G49" s="75"/>
      <c r="H49" s="91">
        <f t="shared" si="1"/>
        <v>1524201</v>
      </c>
    </row>
    <row r="50" spans="1:10" ht="13.5">
      <c r="A50" s="73" t="s">
        <v>221</v>
      </c>
      <c r="B50" s="699">
        <f>M300SAL!B64</f>
        <v>6980.69</v>
      </c>
      <c r="C50" s="699">
        <f>M300SAL!C64</f>
        <v>6980.69</v>
      </c>
      <c r="D50" s="513"/>
      <c r="E50" s="5"/>
      <c r="F50" s="75">
        <f>ROUND(E$42*B50,0)</f>
        <v>14845066</v>
      </c>
      <c r="G50" s="75"/>
      <c r="H50" s="91">
        <f>ROUND(G$42*$C50,0)</f>
        <v>14969950</v>
      </c>
    </row>
    <row r="51" spans="1:10" ht="13.5">
      <c r="A51" s="73" t="s">
        <v>58</v>
      </c>
      <c r="B51" s="703">
        <f>DSADATABASE!D78</f>
        <v>5.3569999999999998E-3</v>
      </c>
      <c r="C51" s="497">
        <f>DSADATABASE!E78</f>
        <v>5.3569999999999998E-3</v>
      </c>
      <c r="D51" s="513"/>
      <c r="E51" s="5"/>
      <c r="F51" s="76">
        <f t="shared" si="0"/>
        <v>572181</v>
      </c>
      <c r="G51" s="76"/>
      <c r="H51" s="499">
        <f t="shared" si="1"/>
        <v>587336</v>
      </c>
    </row>
    <row r="52" spans="1:10" ht="13.5">
      <c r="A52" s="73"/>
      <c r="B52" s="500"/>
      <c r="C52" s="500"/>
      <c r="D52" s="5"/>
      <c r="E52" s="5"/>
      <c r="F52" s="75">
        <f>SUM(F46:F51)</f>
        <v>42920603</v>
      </c>
      <c r="G52" s="75"/>
      <c r="H52" s="91">
        <f>SUM(H46:H51)</f>
        <v>43789105</v>
      </c>
    </row>
    <row r="53" spans="1:10" ht="13.5">
      <c r="A53" s="173"/>
      <c r="B53" s="5"/>
      <c r="C53" s="5"/>
      <c r="D53" s="5"/>
      <c r="E53" s="5"/>
      <c r="F53" s="5"/>
      <c r="G53" s="5"/>
      <c r="H53" s="30"/>
    </row>
    <row r="54" spans="1:10" ht="13.5">
      <c r="A54" s="173"/>
      <c r="B54" s="527" t="s">
        <v>25</v>
      </c>
      <c r="C54" s="82"/>
      <c r="D54" s="82"/>
      <c r="E54" s="82"/>
      <c r="F54" s="83">
        <f>F44+F52</f>
        <v>149730585.74625</v>
      </c>
      <c r="G54" s="83"/>
      <c r="H54" s="90">
        <f>H44+H52</f>
        <v>153428085.40375</v>
      </c>
    </row>
    <row r="55" spans="1:10" ht="13.5">
      <c r="A55" s="173"/>
      <c r="B55" s="514"/>
      <c r="C55" s="60"/>
      <c r="D55" s="60"/>
      <c r="E55" s="60"/>
      <c r="F55" s="515"/>
      <c r="G55" s="515"/>
      <c r="H55" s="516"/>
    </row>
    <row r="56" spans="1:10" ht="13.5">
      <c r="A56" s="173" t="s">
        <v>224</v>
      </c>
      <c r="B56" s="280"/>
      <c r="C56" s="5"/>
      <c r="D56" s="5"/>
      <c r="E56" s="5"/>
      <c r="F56" s="513">
        <f>(F52/F42)</f>
        <v>0.39732003624670514</v>
      </c>
      <c r="G56" s="517"/>
      <c r="H56" s="518">
        <f>(H52/H42)</f>
        <v>0.39490040320795544</v>
      </c>
    </row>
    <row r="57" spans="1:10" ht="13.5">
      <c r="A57" s="519"/>
      <c r="B57" s="198" t="str">
        <f>+CSRM200SAL!B55</f>
        <v>FY12</v>
      </c>
      <c r="C57" s="198" t="str">
        <f>+CSRM200SAL!C55</f>
        <v>FY12</v>
      </c>
      <c r="D57" s="198" t="s">
        <v>21</v>
      </c>
      <c r="E57" s="198" t="str">
        <f>+CSRM200SAL!E55</f>
        <v>FY13</v>
      </c>
      <c r="F57" s="198" t="str">
        <f>+CSRM200SAL!F55</f>
        <v>FY13</v>
      </c>
      <c r="G57" s="520" t="s">
        <v>21</v>
      </c>
      <c r="H57" s="117"/>
    </row>
    <row r="58" spans="1:10" ht="13.5">
      <c r="A58" s="201" t="s">
        <v>22</v>
      </c>
      <c r="B58" s="202" t="s">
        <v>229</v>
      </c>
      <c r="C58" s="202" t="s">
        <v>239</v>
      </c>
      <c r="D58" s="202" t="s">
        <v>24</v>
      </c>
      <c r="E58" s="202" t="s">
        <v>229</v>
      </c>
      <c r="F58" s="202" t="s">
        <v>239</v>
      </c>
      <c r="G58" s="522" t="s">
        <v>24</v>
      </c>
      <c r="H58" s="117"/>
    </row>
    <row r="59" spans="1:10" ht="13.5">
      <c r="A59" s="173" t="s">
        <v>53</v>
      </c>
      <c r="B59" s="204">
        <f>CSRM200SAL!C57</f>
        <v>108025267</v>
      </c>
      <c r="C59" s="204">
        <f>F44</f>
        <v>106809982.74625</v>
      </c>
      <c r="D59" s="204">
        <f>C59-B59</f>
        <v>-1215284.2537499964</v>
      </c>
      <c r="E59" s="154">
        <f>CSRM200SAL!F57</f>
        <v>110886453</v>
      </c>
      <c r="F59" s="204">
        <f>H44</f>
        <v>109638980.40375</v>
      </c>
      <c r="G59" s="204">
        <f t="shared" ref="G59:G65" si="2">F59-E59</f>
        <v>-1247472.5962499976</v>
      </c>
      <c r="H59" s="117"/>
    </row>
    <row r="60" spans="1:10" ht="13.5">
      <c r="A60" s="73" t="s">
        <v>55</v>
      </c>
      <c r="B60" s="204">
        <f>CSRM200SAL!C58</f>
        <v>23225432</v>
      </c>
      <c r="C60" s="204">
        <f t="shared" ref="C60:C65" si="3">F46</f>
        <v>25367371</v>
      </c>
      <c r="D60" s="204">
        <f t="shared" ref="D60:D65" si="4">C60-B60</f>
        <v>2141939</v>
      </c>
      <c r="E60" s="154">
        <f>CSRM200SAL!F58</f>
        <v>23840587</v>
      </c>
      <c r="F60" s="204">
        <f t="shared" ref="F60:F65" si="5">H46</f>
        <v>26039258</v>
      </c>
      <c r="G60" s="204">
        <f t="shared" si="2"/>
        <v>2198671</v>
      </c>
      <c r="H60" s="117"/>
    </row>
    <row r="61" spans="1:10" ht="13.5">
      <c r="A61" s="73" t="s">
        <v>346</v>
      </c>
      <c r="B61" s="204">
        <f>CSRM200SAL!C59</f>
        <v>333474</v>
      </c>
      <c r="C61" s="204">
        <f t="shared" si="3"/>
        <v>329722</v>
      </c>
      <c r="D61" s="204">
        <f t="shared" si="4"/>
        <v>-3752</v>
      </c>
      <c r="E61" s="154">
        <f>CSRM200SAL!F59</f>
        <v>342306</v>
      </c>
      <c r="F61" s="204">
        <f t="shared" si="5"/>
        <v>338456</v>
      </c>
      <c r="G61" s="204">
        <f t="shared" si="2"/>
        <v>-3850</v>
      </c>
      <c r="H61" s="117"/>
    </row>
    <row r="62" spans="1:10" ht="13.5">
      <c r="A62" s="73" t="s">
        <v>220</v>
      </c>
      <c r="B62" s="204">
        <f>CSRM200SAL!C60</f>
        <v>325048</v>
      </c>
      <c r="C62" s="204">
        <f t="shared" si="3"/>
        <v>321391</v>
      </c>
      <c r="D62" s="204">
        <f t="shared" si="4"/>
        <v>-3657</v>
      </c>
      <c r="E62" s="154">
        <f>CSRM200SAL!F60</f>
        <v>333657</v>
      </c>
      <c r="F62" s="204">
        <f t="shared" si="5"/>
        <v>329904</v>
      </c>
      <c r="G62" s="204">
        <f t="shared" si="2"/>
        <v>-3753</v>
      </c>
      <c r="H62" s="117"/>
    </row>
    <row r="63" spans="1:10" ht="13.5">
      <c r="A63" s="73" t="s">
        <v>57</v>
      </c>
      <c r="B63" s="204">
        <f>CSRM200SAL!C61</f>
        <v>1501767</v>
      </c>
      <c r="C63" s="204">
        <f t="shared" si="3"/>
        <v>1484872</v>
      </c>
      <c r="D63" s="204">
        <f t="shared" si="4"/>
        <v>-16895</v>
      </c>
      <c r="E63" s="154">
        <f>CSRM200SAL!F61</f>
        <v>1541543</v>
      </c>
      <c r="F63" s="204">
        <f t="shared" si="5"/>
        <v>1524201</v>
      </c>
      <c r="G63" s="204">
        <f t="shared" si="2"/>
        <v>-17342</v>
      </c>
      <c r="H63" s="117"/>
    </row>
    <row r="64" spans="1:10" ht="13.5">
      <c r="A64" s="73" t="s">
        <v>221</v>
      </c>
      <c r="B64" s="204">
        <f>CSRM200SAL!C62</f>
        <v>14845066</v>
      </c>
      <c r="C64" s="204">
        <f t="shared" si="3"/>
        <v>14845066</v>
      </c>
      <c r="D64" s="204">
        <f t="shared" si="4"/>
        <v>0</v>
      </c>
      <c r="E64" s="154">
        <f>CSRM200SAL!F62</f>
        <v>14969950</v>
      </c>
      <c r="F64" s="204">
        <f t="shared" si="5"/>
        <v>14969950</v>
      </c>
      <c r="G64" s="204">
        <f t="shared" si="2"/>
        <v>0</v>
      </c>
      <c r="H64" s="117"/>
      <c r="I64" s="204"/>
      <c r="J64" s="204"/>
    </row>
    <row r="65" spans="1:8" ht="14.25" thickBot="1">
      <c r="A65" s="73" t="s">
        <v>58</v>
      </c>
      <c r="B65" s="204">
        <f>CSRM200SAL!C63</f>
        <v>578691</v>
      </c>
      <c r="C65" s="204">
        <f t="shared" si="3"/>
        <v>572181</v>
      </c>
      <c r="D65" s="204">
        <f t="shared" si="4"/>
        <v>-6510</v>
      </c>
      <c r="E65" s="154">
        <f>CSRM200SAL!F63</f>
        <v>594019</v>
      </c>
      <c r="F65" s="204">
        <f t="shared" si="5"/>
        <v>587336</v>
      </c>
      <c r="G65" s="204">
        <f t="shared" si="2"/>
        <v>-6683</v>
      </c>
      <c r="H65" s="117"/>
    </row>
    <row r="66" spans="1:8" ht="14.25" thickBot="1">
      <c r="A66" s="209"/>
      <c r="B66" s="523">
        <f t="shared" ref="B66:G66" si="6">SUM(B59:B65)</f>
        <v>148834745</v>
      </c>
      <c r="C66" s="524">
        <f t="shared" si="6"/>
        <v>149730585.74625</v>
      </c>
      <c r="D66" s="525">
        <f t="shared" si="6"/>
        <v>895840.74625000358</v>
      </c>
      <c r="E66" s="524">
        <f t="shared" si="6"/>
        <v>152508515</v>
      </c>
      <c r="F66" s="524">
        <f t="shared" si="6"/>
        <v>153428085.40375</v>
      </c>
      <c r="G66" s="526">
        <f t="shared" si="6"/>
        <v>919570.40375000238</v>
      </c>
      <c r="H66" s="408"/>
    </row>
  </sheetData>
  <mergeCells count="1">
    <mergeCell ref="A1:H1"/>
  </mergeCells>
  <phoneticPr fontId="0" type="noConversion"/>
  <printOptions horizontalCentered="1" headings="1"/>
  <pageMargins left="0.5" right="0.5" top="0.25" bottom="0.5" header="0.25" footer="0.25"/>
  <pageSetup scale="83" orientation="portrait" r:id="rId1"/>
  <headerFooter alignWithMargins="0">
    <oddFooter>&amp;L&amp;D &amp;T&amp;C&amp;P of &amp;N&amp;R&amp;F &amp;A</oddFooter>
  </headerFooter>
  <extLst>
    <ext xmlns:mx="http://schemas.microsoft.com/office/mac/excel/2008/main" uri="http://schemas.microsoft.com/office/mac/excel/2008/main">
      <mx:PLV Mode="0" OnePage="0" WScale="0"/>
    </ext>
  </extLst>
</worksheet>
</file>

<file path=xl/worksheets/sheet20.xml><?xml version="1.0" encoding="utf-8"?>
<worksheet xmlns="http://schemas.openxmlformats.org/spreadsheetml/2006/main" xmlns:r="http://schemas.openxmlformats.org/officeDocument/2006/relationships">
  <sheetPr codeName="Sheet16" enableFormatConditionsCalculation="0">
    <pageSetUpPr fitToPage="1"/>
  </sheetPr>
  <dimension ref="A1:H71"/>
  <sheetViews>
    <sheetView topLeftCell="A19" zoomScale="125" workbookViewId="0">
      <selection activeCell="H19" sqref="H19"/>
    </sheetView>
  </sheetViews>
  <sheetFormatPr defaultColWidth="8.85546875" defaultRowHeight="12.75"/>
  <cols>
    <col min="1" max="1" width="24.140625" style="13" bestFit="1" customWidth="1"/>
    <col min="2" max="3" width="8.85546875" style="9"/>
    <col min="4" max="4" width="10.7109375" style="9" bestFit="1" customWidth="1"/>
    <col min="5" max="6" width="8.85546875" style="9"/>
    <col min="7" max="7" width="10.7109375" style="9" bestFit="1" customWidth="1"/>
    <col min="8" max="16384" width="8.85546875" style="9"/>
  </cols>
  <sheetData>
    <row r="1" spans="1:8" ht="13.5">
      <c r="A1" s="1061" t="s">
        <v>623</v>
      </c>
      <c r="B1" s="1068"/>
      <c r="C1" s="1068"/>
      <c r="D1" s="1068"/>
      <c r="E1" s="1068"/>
      <c r="F1" s="1068"/>
      <c r="G1" s="1068"/>
      <c r="H1" s="1069"/>
    </row>
    <row r="2" spans="1:8" ht="13.5">
      <c r="A2" s="537"/>
      <c r="B2" s="198" t="str">
        <f>CSRM300SAL!B2</f>
        <v>FY10</v>
      </c>
      <c r="C2" s="198" t="str">
        <f>CSRM300SAL!C2</f>
        <v>FY11</v>
      </c>
      <c r="D2" s="198" t="str">
        <f>CSRM300SAL!D2</f>
        <v>FY11</v>
      </c>
      <c r="E2" s="198" t="str">
        <f>CSRM300SAL!E2</f>
        <v>FY12</v>
      </c>
      <c r="F2" s="198" t="str">
        <f>CSRM300SAL!F2</f>
        <v>FY12</v>
      </c>
      <c r="G2" s="198" t="str">
        <f>CSRM300SAL!G2</f>
        <v>FY13</v>
      </c>
      <c r="H2" s="199" t="str">
        <f>CSRM300SAL!H2</f>
        <v>FY13</v>
      </c>
    </row>
    <row r="3" spans="1:8" ht="13.5">
      <c r="A3" s="538"/>
      <c r="B3" s="202" t="s">
        <v>205</v>
      </c>
      <c r="C3" s="202" t="s">
        <v>205</v>
      </c>
      <c r="D3" s="202" t="s">
        <v>206</v>
      </c>
      <c r="E3" s="202" t="s">
        <v>205</v>
      </c>
      <c r="F3" s="202" t="s">
        <v>206</v>
      </c>
      <c r="G3" s="202" t="s">
        <v>205</v>
      </c>
      <c r="H3" s="203" t="s">
        <v>206</v>
      </c>
    </row>
    <row r="4" spans="1:8" ht="13.5">
      <c r="A4" s="62"/>
      <c r="B4" s="319"/>
      <c r="C4" s="319"/>
      <c r="D4" s="319"/>
      <c r="E4" s="319"/>
      <c r="F4" s="319"/>
      <c r="G4" s="319"/>
      <c r="H4" s="319"/>
    </row>
    <row r="5" spans="1:8" ht="13.5">
      <c r="A5" s="536" t="s">
        <v>299</v>
      </c>
      <c r="B5" s="31"/>
      <c r="C5" s="31"/>
      <c r="D5" s="31"/>
      <c r="E5" s="31"/>
      <c r="F5" s="31"/>
      <c r="G5" s="31"/>
      <c r="H5" s="31"/>
    </row>
    <row r="6" spans="1:8" ht="13.5">
      <c r="A6" s="11" t="s">
        <v>300</v>
      </c>
      <c r="B6" s="79">
        <f>CSRM300SAL!B5</f>
        <v>23.5</v>
      </c>
      <c r="C6" s="79">
        <f>CSRM300SAL!C5</f>
        <v>23.5</v>
      </c>
      <c r="D6" s="80">
        <f>ROUND(C6*B8,0)</f>
        <v>1169266</v>
      </c>
      <c r="E6" s="79">
        <f>CSRM300SAL!E5</f>
        <v>23.5</v>
      </c>
      <c r="F6" s="80">
        <f>ROUND((D6*1.02)*F$9,0)</f>
        <v>1162835</v>
      </c>
      <c r="G6" s="79">
        <f>CSRM300SAL!G5</f>
        <v>23.5</v>
      </c>
      <c r="H6" s="80">
        <f>ROUND((F6*1.02)*H9,0)</f>
        <v>1186092</v>
      </c>
    </row>
    <row r="7" spans="1:8" ht="13.5">
      <c r="A7" s="11" t="str">
        <f>+CSRM300SAL!A6</f>
        <v>FY 10 AVG SALARY</v>
      </c>
      <c r="B7" s="302">
        <f>CSRM300SAL!B6</f>
        <v>49263</v>
      </c>
      <c r="C7" s="80"/>
      <c r="E7" s="31"/>
      <c r="G7" s="528"/>
    </row>
    <row r="8" spans="1:8" ht="13.5">
      <c r="A8" s="11" t="str">
        <f>+CSRM300SAL!A7</f>
        <v>FY 11 @ 1% Roll-Up PLUS 0% Cola</v>
      </c>
      <c r="B8" s="302">
        <f>CSRM300SAL!B7</f>
        <v>49756</v>
      </c>
      <c r="C8" s="31"/>
      <c r="D8" s="31"/>
      <c r="E8" s="31"/>
      <c r="F8" s="31"/>
      <c r="G8" s="528"/>
      <c r="H8" s="31"/>
    </row>
    <row r="9" spans="1:8" ht="13.5">
      <c r="A9" s="11" t="s">
        <v>28</v>
      </c>
      <c r="B9" s="302"/>
      <c r="C9" s="31"/>
      <c r="D9" s="31"/>
      <c r="E9" s="31"/>
      <c r="F9" s="297">
        <f>DSADATABASE!J28</f>
        <v>0.97499999999999998</v>
      </c>
      <c r="G9" s="528"/>
      <c r="H9" s="297">
        <f>DSADATABASE!K28</f>
        <v>1</v>
      </c>
    </row>
    <row r="10" spans="1:8" ht="13.5">
      <c r="A10" s="11" t="s">
        <v>301</v>
      </c>
      <c r="B10" s="31"/>
      <c r="C10" s="31"/>
      <c r="D10" s="282">
        <f>CSRM300SAL!D8</f>
        <v>39166</v>
      </c>
      <c r="E10" s="31"/>
      <c r="F10" s="282">
        <f>D10</f>
        <v>39166</v>
      </c>
      <c r="G10" s="528"/>
      <c r="H10" s="282">
        <f>F10</f>
        <v>39166</v>
      </c>
    </row>
    <row r="11" spans="1:8" ht="13.5">
      <c r="A11" s="536" t="s">
        <v>302</v>
      </c>
      <c r="B11" s="31"/>
      <c r="C11" s="31"/>
      <c r="D11" s="31"/>
      <c r="E11" s="31"/>
      <c r="F11" s="31"/>
      <c r="G11" s="31"/>
      <c r="H11" s="31"/>
    </row>
    <row r="12" spans="1:8" ht="13.5">
      <c r="A12" s="11" t="s">
        <v>303</v>
      </c>
      <c r="B12" s="81">
        <f>CSRM300SAL!B10</f>
        <v>33849</v>
      </c>
      <c r="C12" s="81">
        <f>CSRM300SAL!C10</f>
        <v>33865</v>
      </c>
      <c r="D12" s="31"/>
      <c r="E12" s="81">
        <f>CSRM300SAL!E10</f>
        <v>33933</v>
      </c>
      <c r="F12" s="31"/>
      <c r="G12" s="81">
        <f>CSRM300SAL!G10</f>
        <v>34379</v>
      </c>
      <c r="H12" s="31"/>
    </row>
    <row r="13" spans="1:8" ht="13.5">
      <c r="A13" s="11" t="s">
        <v>304</v>
      </c>
      <c r="B13" s="81">
        <f>CSRM300SAL!B11</f>
        <v>1327.41</v>
      </c>
      <c r="C13" s="81">
        <f>CSRM300SAL!C11</f>
        <v>1328.04</v>
      </c>
      <c r="D13" s="31"/>
      <c r="E13" s="81">
        <f>CSRM300SAL!E11</f>
        <v>1330.71</v>
      </c>
      <c r="F13" s="31"/>
      <c r="G13" s="81">
        <f>CSRM300SAL!G11</f>
        <v>1348.2</v>
      </c>
      <c r="H13" s="31"/>
    </row>
    <row r="14" spans="1:8" ht="13.5">
      <c r="A14" s="11" t="s">
        <v>305</v>
      </c>
      <c r="B14" s="488">
        <f>CSRM300SAL!B12</f>
        <v>2115.56</v>
      </c>
      <c r="C14" s="488">
        <f>CSRM300SAL!C12</f>
        <v>2116.56</v>
      </c>
      <c r="D14" s="5"/>
      <c r="E14" s="488">
        <f>CSRM300SAL!E12</f>
        <v>2120.81</v>
      </c>
      <c r="F14" s="5"/>
      <c r="G14" s="488">
        <f>CSRM300SAL!G12</f>
        <v>2148.69</v>
      </c>
      <c r="H14" s="31"/>
    </row>
    <row r="15" spans="1:8" ht="13.5">
      <c r="A15" s="11" t="s">
        <v>306</v>
      </c>
      <c r="B15" s="81">
        <f>(B14-B13)</f>
        <v>788.14999999999986</v>
      </c>
      <c r="C15" s="81">
        <f>(C14-C13)-B15</f>
        <v>0.37000000000011823</v>
      </c>
      <c r="E15" s="81">
        <f>(E14-E13)</f>
        <v>790.09999999999991</v>
      </c>
      <c r="F15" s="31"/>
      <c r="G15" s="81">
        <f>(G14-G13)</f>
        <v>800.49</v>
      </c>
      <c r="H15" s="31"/>
    </row>
    <row r="16" spans="1:8" ht="13.5">
      <c r="A16" s="11"/>
      <c r="B16" s="528"/>
      <c r="C16" s="31"/>
      <c r="E16" s="528"/>
      <c r="F16" s="31"/>
      <c r="G16" s="528"/>
      <c r="H16" s="31"/>
    </row>
    <row r="17" spans="1:8" ht="13.5">
      <c r="A17" s="11" t="str">
        <f>+CSRM300SAL!A15</f>
        <v>FY 10 POSITIONS/SALARIES</v>
      </c>
      <c r="B17" s="528"/>
      <c r="C17" s="31"/>
      <c r="D17" s="80">
        <f>ROUND(B15*B$8,0)</f>
        <v>39215191</v>
      </c>
      <c r="E17" s="81">
        <f>(B15)</f>
        <v>788.14999999999986</v>
      </c>
      <c r="F17" s="80">
        <f>ROUND((D17*1.02)*F$9,0)</f>
        <v>38999507</v>
      </c>
      <c r="G17" s="529">
        <f>(E17+E19)</f>
        <v>789.72999999999979</v>
      </c>
      <c r="H17" s="80">
        <f>ROUND(((F17+F19)*1.02)*H$9,0)</f>
        <v>39841039</v>
      </c>
    </row>
    <row r="18" spans="1:8" ht="13.5">
      <c r="A18" s="11" t="str">
        <f>+CSRM300SAL!A16</f>
        <v>FY 11 NEW POSITIONS/SALARIES</v>
      </c>
      <c r="B18" s="528"/>
      <c r="C18" s="31"/>
      <c r="D18" s="80">
        <f>ROUND(C15*D$10,0)</f>
        <v>14491</v>
      </c>
      <c r="E18" s="81">
        <f>(C15)</f>
        <v>0.37000000000011823</v>
      </c>
      <c r="F18" s="80">
        <f>ROUND((D18*1.02)*F$9,0)</f>
        <v>14411</v>
      </c>
      <c r="G18" s="81">
        <f>+E18</f>
        <v>0.37000000000011823</v>
      </c>
      <c r="H18" s="80">
        <f>ROUND((F18*1.02)*H$9,0)</f>
        <v>14699</v>
      </c>
    </row>
    <row r="19" spans="1:8" ht="13.5">
      <c r="A19" s="11" t="s">
        <v>307</v>
      </c>
      <c r="B19" s="528"/>
      <c r="C19" s="31"/>
      <c r="D19" s="31"/>
      <c r="E19" s="488">
        <f>(E15-E17-E18)</f>
        <v>1.5799999999999272</v>
      </c>
      <c r="F19" s="27">
        <f>ROUND((E19*F$10)*F$9,0)</f>
        <v>60335</v>
      </c>
      <c r="G19" s="488">
        <f>(G15-G17-G18)</f>
        <v>10.3900000000001</v>
      </c>
      <c r="H19" s="27">
        <f>ROUND((G19*H$10)*H$9,0)</f>
        <v>406935</v>
      </c>
    </row>
    <row r="20" spans="1:8" ht="13.5">
      <c r="A20" s="11" t="s">
        <v>222</v>
      </c>
      <c r="B20" s="528"/>
      <c r="C20" s="31"/>
      <c r="D20" s="31"/>
      <c r="E20" s="81">
        <f>SUM(E17:E19)</f>
        <v>790.09999999999991</v>
      </c>
      <c r="F20" s="530">
        <f>SUM(F17:F19)</f>
        <v>39074253</v>
      </c>
      <c r="G20" s="81">
        <f>SUM(G17:G19)</f>
        <v>800.49</v>
      </c>
      <c r="H20" s="530">
        <f>SUM(H17:H19)</f>
        <v>40262673</v>
      </c>
    </row>
    <row r="21" spans="1:8" ht="13.5">
      <c r="A21" s="11"/>
      <c r="B21" s="528"/>
      <c r="C21" s="31"/>
      <c r="D21" s="31"/>
      <c r="E21" s="528"/>
      <c r="F21" s="31"/>
      <c r="G21" s="528"/>
      <c r="H21" s="31"/>
    </row>
    <row r="22" spans="1:8" ht="13.5">
      <c r="A22" s="536" t="s">
        <v>308</v>
      </c>
      <c r="B22" s="528"/>
      <c r="C22" s="31"/>
      <c r="D22" s="31"/>
      <c r="E22" s="31"/>
      <c r="F22" s="31"/>
      <c r="G22" s="31"/>
      <c r="H22" s="31"/>
    </row>
    <row r="23" spans="1:8" ht="13.5">
      <c r="A23" s="11" t="s">
        <v>303</v>
      </c>
      <c r="B23" s="81">
        <f>CSRM300SAL!B21</f>
        <v>33824</v>
      </c>
      <c r="C23" s="81">
        <f>CSRM300SAL!C21</f>
        <v>33447</v>
      </c>
      <c r="D23" s="31"/>
      <c r="E23" s="81">
        <f>CSRM300SAL!E21</f>
        <v>33688</v>
      </c>
      <c r="F23" s="31"/>
      <c r="G23" s="81">
        <f>CSRM300SAL!G21</f>
        <v>33848</v>
      </c>
      <c r="H23" s="31"/>
    </row>
    <row r="24" spans="1:8" ht="13.5">
      <c r="A24" s="11" t="s">
        <v>309</v>
      </c>
      <c r="B24" s="81">
        <f>CSRM300SAL!B22</f>
        <v>1316.11</v>
      </c>
      <c r="C24" s="81">
        <f>CSRM300SAL!C22</f>
        <v>1301.44</v>
      </c>
      <c r="D24" s="31"/>
      <c r="E24" s="81">
        <f>CSRM300SAL!E22</f>
        <v>1310.82</v>
      </c>
      <c r="F24" s="31"/>
      <c r="G24" s="81">
        <f>CSRM300SAL!G22</f>
        <v>1317.04</v>
      </c>
      <c r="H24" s="31"/>
    </row>
    <row r="25" spans="1:8" ht="13.5">
      <c r="A25" s="11" t="s">
        <v>305</v>
      </c>
      <c r="B25" s="488">
        <f>CSRM300SAL!B23</f>
        <v>2114</v>
      </c>
      <c r="C25" s="488">
        <f>CSRM300SAL!C23</f>
        <v>2090.44</v>
      </c>
      <c r="D25" s="5"/>
      <c r="E25" s="488">
        <f>CSRM300SAL!E23</f>
        <v>2105.5</v>
      </c>
      <c r="F25" s="5"/>
      <c r="G25" s="488">
        <f>CSRM300SAL!G23</f>
        <v>2115.5</v>
      </c>
      <c r="H25" s="31"/>
    </row>
    <row r="26" spans="1:8" ht="13.5">
      <c r="A26" s="11" t="s">
        <v>306</v>
      </c>
      <c r="B26" s="81">
        <f>(B25-B24)</f>
        <v>797.8900000000001</v>
      </c>
      <c r="C26" s="81">
        <f>(C25-C24)-B26</f>
        <v>-8.8900000000001</v>
      </c>
      <c r="E26" s="81">
        <f>(E25-E24)</f>
        <v>794.68000000000006</v>
      </c>
      <c r="F26" s="31"/>
      <c r="G26" s="81">
        <f>(G25-G24)</f>
        <v>798.46</v>
      </c>
      <c r="H26" s="31"/>
    </row>
    <row r="27" spans="1:8" ht="13.5">
      <c r="A27" s="11"/>
      <c r="B27" s="528"/>
      <c r="C27" s="31"/>
      <c r="E27" s="528"/>
      <c r="F27" s="31"/>
      <c r="G27" s="528"/>
      <c r="H27" s="31"/>
    </row>
    <row r="28" spans="1:8" ht="13.5">
      <c r="A28" s="11" t="str">
        <f>+CSRM300SAL!A26</f>
        <v>FY 10 POSITIONS/SALARIES</v>
      </c>
      <c r="B28" s="528"/>
      <c r="C28" s="31"/>
      <c r="D28" s="80">
        <f>ROUND(B26*B$8,0)</f>
        <v>39699815</v>
      </c>
      <c r="E28" s="81">
        <f>(B26)</f>
        <v>797.8900000000001</v>
      </c>
      <c r="F28" s="80">
        <f>ROUND((D28*1.02)*F$9,0)</f>
        <v>39481466</v>
      </c>
      <c r="G28" s="529">
        <f>(E28+E30)</f>
        <v>803.57000000000016</v>
      </c>
      <c r="H28" s="80">
        <f>ROUND(((F28+F30)*1.02)*H$9,0)</f>
        <v>40492334</v>
      </c>
    </row>
    <row r="29" spans="1:8" ht="13.5">
      <c r="A29" s="11" t="str">
        <f>+CSRM300SAL!A27</f>
        <v>FY 11 NEW POSITIONS/SALARIES</v>
      </c>
      <c r="B29" s="528"/>
      <c r="C29" s="31"/>
      <c r="D29" s="80">
        <f>ROUND(C26*D$10,0)</f>
        <v>-348186</v>
      </c>
      <c r="E29" s="81">
        <f>(C26)</f>
        <v>-8.8900000000001</v>
      </c>
      <c r="F29" s="80">
        <f>ROUND((D29*1.02)*F$9,0)</f>
        <v>-346271</v>
      </c>
      <c r="G29" s="81">
        <f>+E29</f>
        <v>-8.8900000000001</v>
      </c>
      <c r="H29" s="80">
        <f>ROUND((F29*1.02)*H$9,0)</f>
        <v>-353196</v>
      </c>
    </row>
    <row r="30" spans="1:8" ht="13.5">
      <c r="A30" s="11" t="s">
        <v>307</v>
      </c>
      <c r="B30" s="528"/>
      <c r="C30" s="31"/>
      <c r="D30" s="31"/>
      <c r="E30" s="488">
        <f>E26-E28-E29</f>
        <v>5.6800000000000637</v>
      </c>
      <c r="F30" s="27">
        <f>ROUND((E30*F$10)*F$9,0)</f>
        <v>216901</v>
      </c>
      <c r="G30" s="488">
        <f>G26-G28-G29</f>
        <v>3.7799999999999727</v>
      </c>
      <c r="H30" s="27">
        <f>ROUND((G30*H$10)*H$9,0)</f>
        <v>148047</v>
      </c>
    </row>
    <row r="31" spans="1:8" ht="13.5">
      <c r="A31" s="11" t="s">
        <v>222</v>
      </c>
      <c r="B31" s="528"/>
      <c r="C31" s="31"/>
      <c r="D31" s="31"/>
      <c r="E31" s="81">
        <f>SUM(E28:E30)</f>
        <v>794.68000000000006</v>
      </c>
      <c r="F31" s="530">
        <f>SUM(F28:F30)</f>
        <v>39352096</v>
      </c>
      <c r="G31" s="81">
        <f>SUM(G28:G30)</f>
        <v>798.46</v>
      </c>
      <c r="H31" s="530">
        <f>SUM(H28:H30)</f>
        <v>40287185</v>
      </c>
    </row>
    <row r="32" spans="1:8" ht="13.5">
      <c r="A32" s="11"/>
      <c r="B32" s="528"/>
      <c r="C32" s="31"/>
      <c r="D32" s="31"/>
      <c r="E32" s="528"/>
      <c r="F32" s="31"/>
      <c r="G32" s="528"/>
      <c r="H32" s="31"/>
    </row>
    <row r="33" spans="1:8" ht="13.5">
      <c r="A33" s="536" t="s">
        <v>26</v>
      </c>
      <c r="B33" s="31"/>
      <c r="C33" s="31"/>
      <c r="D33" s="31"/>
      <c r="E33" s="31"/>
      <c r="F33" s="31"/>
      <c r="G33" s="31"/>
      <c r="H33" s="31"/>
    </row>
    <row r="34" spans="1:8" ht="13.5">
      <c r="A34" s="11" t="s">
        <v>303</v>
      </c>
      <c r="B34" s="81">
        <f>CSRM300SAL!B32</f>
        <v>34068</v>
      </c>
      <c r="C34" s="81">
        <f>CSRM300SAL!C32</f>
        <v>33631</v>
      </c>
      <c r="D34" s="31"/>
      <c r="E34" s="81">
        <f>CSRM300SAL!E32</f>
        <v>33533</v>
      </c>
      <c r="F34" s="31"/>
      <c r="G34" s="81">
        <f>CSRM300SAL!G32</f>
        <v>33773</v>
      </c>
      <c r="H34" s="31"/>
    </row>
    <row r="35" spans="1:8" ht="13.5">
      <c r="A35" s="11" t="s">
        <v>311</v>
      </c>
      <c r="B35" s="81">
        <f>CSRM300SAL!B33</f>
        <v>1266.47</v>
      </c>
      <c r="C35" s="81">
        <f>CSRM300SAL!C33</f>
        <v>1250.22</v>
      </c>
      <c r="D35" s="31"/>
      <c r="E35" s="81">
        <f>CSRM300SAL!E33</f>
        <v>1246.58</v>
      </c>
      <c r="F35" s="31"/>
      <c r="G35" s="81">
        <f>CSRM300SAL!G33</f>
        <v>1255.5</v>
      </c>
      <c r="H35" s="31"/>
    </row>
    <row r="36" spans="1:8" ht="13.5">
      <c r="A36" s="11" t="s">
        <v>312</v>
      </c>
      <c r="B36" s="488">
        <f>CSRM300SAL!B34</f>
        <v>1793.05</v>
      </c>
      <c r="C36" s="488">
        <f>CSRM300SAL!C34</f>
        <v>1770.05</v>
      </c>
      <c r="D36" s="5"/>
      <c r="E36" s="488">
        <f>CSRM300SAL!E34</f>
        <v>1764.89</v>
      </c>
      <c r="F36" s="5"/>
      <c r="G36" s="488">
        <f>CSRM300SAL!G34</f>
        <v>1777.53</v>
      </c>
      <c r="H36" s="31"/>
    </row>
    <row r="37" spans="1:8" ht="13.5">
      <c r="A37" s="11" t="s">
        <v>306</v>
      </c>
      <c r="B37" s="81">
        <f>(B36-B35)</f>
        <v>526.57999999999993</v>
      </c>
      <c r="C37" s="81">
        <f>(C36-C35)-B37</f>
        <v>-6.75</v>
      </c>
      <c r="E37" s="81">
        <f>(E36-E35)</f>
        <v>518.31000000000017</v>
      </c>
      <c r="F37" s="31"/>
      <c r="G37" s="81">
        <f>(G36-G35)</f>
        <v>522.03</v>
      </c>
      <c r="H37" s="31"/>
    </row>
    <row r="38" spans="1:8" ht="13.5">
      <c r="A38" s="11"/>
      <c r="B38" s="528"/>
      <c r="C38" s="31"/>
      <c r="E38" s="81"/>
      <c r="F38" s="31"/>
      <c r="G38" s="81"/>
      <c r="H38" s="31"/>
    </row>
    <row r="39" spans="1:8" ht="13.5">
      <c r="A39" s="11" t="str">
        <f>+CSRM300SAL!A37</f>
        <v>FY 10 POSITIONS/SALARIES</v>
      </c>
      <c r="B39" s="528"/>
      <c r="C39" s="31"/>
      <c r="D39" s="80">
        <f>ROUND(B37*B$8,0)</f>
        <v>26200514</v>
      </c>
      <c r="E39" s="81">
        <f>(B37)</f>
        <v>526.57999999999993</v>
      </c>
      <c r="F39" s="80">
        <f>ROUND((D39*1.02)*F$9,0)</f>
        <v>26056411</v>
      </c>
      <c r="G39" s="529">
        <f>(E39+E41)</f>
        <v>525.06000000000017</v>
      </c>
      <c r="H39" s="80">
        <f>ROUND(((F39+F41)*1.02)*H$9,0)</f>
        <v>26518334</v>
      </c>
    </row>
    <row r="40" spans="1:8" ht="13.5">
      <c r="A40" s="11" t="str">
        <f>+CSRM300SAL!A38</f>
        <v>FY 11 NEW POSITIONS/SALARIES</v>
      </c>
      <c r="B40" s="528"/>
      <c r="C40" s="31"/>
      <c r="D40" s="80">
        <f>ROUND(C37*D$10,0)</f>
        <v>-264371</v>
      </c>
      <c r="E40" s="81">
        <f>(C37)</f>
        <v>-6.75</v>
      </c>
      <c r="F40" s="80">
        <f>ROUND((D40*1.02)*F$9,0)</f>
        <v>-262917</v>
      </c>
      <c r="G40" s="81">
        <f>+E40</f>
        <v>-6.75</v>
      </c>
      <c r="H40" s="80">
        <f>ROUND((F40*1.02)*H$9,0)</f>
        <v>-268175</v>
      </c>
    </row>
    <row r="41" spans="1:8" ht="13.5">
      <c r="A41" s="11" t="s">
        <v>307</v>
      </c>
      <c r="B41" s="528"/>
      <c r="C41" s="31"/>
      <c r="D41" s="31"/>
      <c r="E41" s="488">
        <f>E37-E39-E40</f>
        <v>-1.5199999999997544</v>
      </c>
      <c r="F41" s="27">
        <f>ROUND((E41*F$10)*F$9,0)</f>
        <v>-58044</v>
      </c>
      <c r="G41" s="488">
        <f>G37-G39-G40</f>
        <v>3.7199999999997999</v>
      </c>
      <c r="H41" s="27">
        <f>ROUND((G41*H$10)*H$9,0)</f>
        <v>145698</v>
      </c>
    </row>
    <row r="42" spans="1:8" ht="13.5">
      <c r="A42" s="11" t="s">
        <v>222</v>
      </c>
      <c r="B42" s="528"/>
      <c r="C42" s="31"/>
      <c r="D42" s="31"/>
      <c r="E42" s="81">
        <f>SUM(E39:E41)</f>
        <v>518.31000000000017</v>
      </c>
      <c r="F42" s="530">
        <f>SUM(F39:F41)</f>
        <v>25735450</v>
      </c>
      <c r="G42" s="81">
        <f>SUM(G39:G41)</f>
        <v>522.03</v>
      </c>
      <c r="H42" s="530">
        <f>SUM(H39:H41)</f>
        <v>26395857</v>
      </c>
    </row>
    <row r="43" spans="1:8" ht="13.5">
      <c r="A43" s="172"/>
      <c r="B43" s="31"/>
      <c r="C43" s="31"/>
      <c r="D43" s="31"/>
      <c r="E43" s="79"/>
      <c r="F43" s="31"/>
      <c r="G43" s="79"/>
      <c r="H43" s="31"/>
    </row>
    <row r="44" spans="1:8" ht="13.5">
      <c r="A44" s="11" t="s">
        <v>18</v>
      </c>
      <c r="B44" s="31"/>
      <c r="C44" s="531"/>
      <c r="D44" s="80"/>
      <c r="E44" s="707">
        <f>E6+E20+E31+E42</f>
        <v>2126.59</v>
      </c>
      <c r="F44" s="618">
        <f>F6+F20+F31+F42</f>
        <v>105324634</v>
      </c>
      <c r="G44" s="707">
        <f>G6+G20+G31+G42</f>
        <v>2144.48</v>
      </c>
      <c r="H44" s="618">
        <f>H6+H20+H31+H42</f>
        <v>108131807</v>
      </c>
    </row>
    <row r="45" spans="1:8" ht="13.5">
      <c r="A45" s="73" t="s">
        <v>152</v>
      </c>
      <c r="B45" s="181"/>
      <c r="C45" s="181"/>
      <c r="D45" s="126"/>
      <c r="E45" s="598"/>
      <c r="F45" s="599">
        <f>-F44*(0.2375-0.215)*0.5</f>
        <v>-1184902.1324999996</v>
      </c>
      <c r="G45" s="598"/>
      <c r="H45" s="599">
        <f>-H44*(0.2375-0.215)*0.5</f>
        <v>-1216482.8287499996</v>
      </c>
    </row>
    <row r="46" spans="1:8" ht="14.25" thickBot="1">
      <c r="A46" s="73" t="s">
        <v>472</v>
      </c>
      <c r="B46" s="181"/>
      <c r="C46" s="181"/>
      <c r="D46" s="126"/>
      <c r="E46" s="598"/>
      <c r="F46" s="600">
        <f>+F44+F45</f>
        <v>104139731.86750001</v>
      </c>
      <c r="G46" s="598"/>
      <c r="H46" s="600">
        <f>+H44+H45</f>
        <v>106915324.17125</v>
      </c>
    </row>
    <row r="47" spans="1:8" ht="14.25" thickTop="1">
      <c r="A47" s="172"/>
      <c r="B47" s="31"/>
      <c r="C47" s="31"/>
      <c r="D47" s="31"/>
      <c r="E47" s="31"/>
      <c r="F47" s="31"/>
      <c r="G47" s="31"/>
      <c r="H47" s="31"/>
    </row>
    <row r="48" spans="1:8" ht="13.5">
      <c r="A48" s="11" t="s">
        <v>219</v>
      </c>
      <c r="B48" s="31"/>
      <c r="C48" s="31"/>
      <c r="D48" s="31"/>
      <c r="E48" s="31"/>
      <c r="F48" s="31"/>
      <c r="G48" s="31"/>
      <c r="H48" s="31"/>
    </row>
    <row r="49" spans="1:8" ht="13.5">
      <c r="A49" s="11" t="s">
        <v>55</v>
      </c>
      <c r="B49" s="532">
        <f>CSRM300SAL!B46</f>
        <v>0.23749999999999999</v>
      </c>
      <c r="C49" s="532">
        <f>CSRM300SAL!C46</f>
        <v>0.23749999999999999</v>
      </c>
      <c r="D49" s="533"/>
      <c r="E49" s="31"/>
      <c r="F49" s="530">
        <f t="shared" ref="F49:F54" si="0">ROUND(F$46*B49,0)</f>
        <v>24733186</v>
      </c>
      <c r="G49" s="530"/>
      <c r="H49" s="530">
        <f t="shared" ref="H49:H54" si="1">ROUND(H$46*$C49,0)</f>
        <v>25392389</v>
      </c>
    </row>
    <row r="50" spans="1:8" ht="13.5">
      <c r="A50" s="11" t="s">
        <v>56</v>
      </c>
      <c r="B50" s="532">
        <f>CSRM300SAL!B47</f>
        <v>3.0869999999999999E-3</v>
      </c>
      <c r="C50" s="532">
        <f>CSRM300SAL!C47</f>
        <v>3.0869999999999999E-3</v>
      </c>
      <c r="D50" s="533"/>
      <c r="E50" s="31"/>
      <c r="F50" s="530">
        <f t="shared" si="0"/>
        <v>321479</v>
      </c>
      <c r="G50" s="530"/>
      <c r="H50" s="530">
        <f t="shared" si="1"/>
        <v>330048</v>
      </c>
    </row>
    <row r="51" spans="1:8" ht="13.5">
      <c r="A51" s="11" t="s">
        <v>220</v>
      </c>
      <c r="B51" s="532">
        <f>CSRM300SAL!B48</f>
        <v>3.009E-3</v>
      </c>
      <c r="C51" s="532">
        <f>CSRM300SAL!C48</f>
        <v>3.009E-3</v>
      </c>
      <c r="D51" s="533"/>
      <c r="E51" s="31"/>
      <c r="F51" s="530">
        <f t="shared" si="0"/>
        <v>313356</v>
      </c>
      <c r="G51" s="530"/>
      <c r="H51" s="530">
        <f t="shared" si="1"/>
        <v>321708</v>
      </c>
    </row>
    <row r="52" spans="1:8" ht="13.5">
      <c r="A52" s="11" t="s">
        <v>57</v>
      </c>
      <c r="B52" s="532">
        <f>CSRM300SAL!B49</f>
        <v>1.3901999999999999E-2</v>
      </c>
      <c r="C52" s="532">
        <f>CSRM300SAL!C49</f>
        <v>1.3901999999999999E-2</v>
      </c>
      <c r="D52" s="533"/>
      <c r="E52" s="31"/>
      <c r="F52" s="530">
        <f t="shared" si="0"/>
        <v>1447751</v>
      </c>
      <c r="G52" s="530"/>
      <c r="H52" s="530">
        <f t="shared" si="1"/>
        <v>1486337</v>
      </c>
    </row>
    <row r="53" spans="1:8" ht="13.5">
      <c r="A53" s="11" t="s">
        <v>221</v>
      </c>
      <c r="B53" s="706">
        <f>CSRM300SAL!B50</f>
        <v>6980.69</v>
      </c>
      <c r="C53" s="706">
        <f>CSRM300SAL!C50</f>
        <v>6980.69</v>
      </c>
      <c r="D53" s="533"/>
      <c r="E53" s="31"/>
      <c r="F53" s="530">
        <f>E44*B53</f>
        <v>14845065.5471</v>
      </c>
      <c r="G53" s="530"/>
      <c r="H53" s="530">
        <f>G44*C53</f>
        <v>14969950.0912</v>
      </c>
    </row>
    <row r="54" spans="1:8" ht="13.5">
      <c r="A54" s="11" t="s">
        <v>58</v>
      </c>
      <c r="B54" s="497">
        <f>CSRM300SAL!B51</f>
        <v>5.3569999999999998E-3</v>
      </c>
      <c r="C54" s="497">
        <f>CSRM300SAL!C51</f>
        <v>5.3569999999999998E-3</v>
      </c>
      <c r="D54" s="533"/>
      <c r="E54" s="31"/>
      <c r="F54" s="76">
        <f t="shared" si="0"/>
        <v>557877</v>
      </c>
      <c r="G54" s="76"/>
      <c r="H54" s="76">
        <f t="shared" si="1"/>
        <v>572745</v>
      </c>
    </row>
    <row r="55" spans="1:8" ht="13.5">
      <c r="A55" s="704"/>
      <c r="B55" s="705"/>
      <c r="C55" s="705"/>
      <c r="D55" s="31"/>
      <c r="E55" s="31"/>
      <c r="F55" s="530">
        <f>SUM(F49:F54)</f>
        <v>42218714.5471</v>
      </c>
      <c r="G55" s="530"/>
      <c r="H55" s="530">
        <f>SUM(H49:H54)</f>
        <v>43073177.091200002</v>
      </c>
    </row>
    <row r="56" spans="1:8" ht="13.5">
      <c r="A56" s="172"/>
      <c r="B56" s="31"/>
      <c r="C56" s="31"/>
      <c r="D56" s="31"/>
      <c r="E56" s="31"/>
      <c r="F56" s="31"/>
      <c r="G56" s="31"/>
      <c r="H56" s="31"/>
    </row>
    <row r="57" spans="1:8" ht="13.5">
      <c r="A57" s="172"/>
      <c r="B57" s="534" t="s">
        <v>20</v>
      </c>
      <c r="C57" s="82"/>
      <c r="D57" s="82"/>
      <c r="E57" s="82"/>
      <c r="F57" s="83">
        <f>F46+F55</f>
        <v>146358446.41460001</v>
      </c>
      <c r="G57" s="83"/>
      <c r="H57" s="83">
        <f>+H46+H55</f>
        <v>149988501.26245001</v>
      </c>
    </row>
    <row r="58" spans="1:8" ht="13.5">
      <c r="A58" s="172"/>
      <c r="B58" s="514"/>
      <c r="C58" s="60"/>
      <c r="D58" s="60"/>
      <c r="E58" s="60"/>
      <c r="F58" s="515"/>
      <c r="G58" s="515"/>
      <c r="H58" s="515"/>
    </row>
    <row r="59" spans="1:8" ht="13.5">
      <c r="A59" s="172" t="s">
        <v>224</v>
      </c>
      <c r="B59" s="280"/>
      <c r="C59" s="5"/>
      <c r="D59" s="5"/>
      <c r="E59" s="5"/>
      <c r="F59" s="513">
        <f>(F55/F44)</f>
        <v>0.40084368626526629</v>
      </c>
      <c r="G59" s="517"/>
      <c r="H59" s="513">
        <f>(H55/H44)</f>
        <v>0.39833956618518362</v>
      </c>
    </row>
    <row r="60" spans="1:8" s="13" customFormat="1" ht="13.5">
      <c r="A60" s="360"/>
      <c r="B60" s="198" t="str">
        <f>+CSRM300SAL!B57</f>
        <v>FY12</v>
      </c>
      <c r="C60" s="198" t="str">
        <f>+CSRM300SAL!C57</f>
        <v>FY12</v>
      </c>
      <c r="D60" s="198" t="s">
        <v>21</v>
      </c>
      <c r="E60" s="198" t="str">
        <f>+CSRM300SAL!E57</f>
        <v>FY13</v>
      </c>
      <c r="F60" s="198" t="str">
        <f>+CSRM300SAL!F57</f>
        <v>FY13</v>
      </c>
      <c r="G60" s="520" t="s">
        <v>21</v>
      </c>
    </row>
    <row r="61" spans="1:8" s="13" customFormat="1" ht="13.5">
      <c r="A61" s="235" t="s">
        <v>22</v>
      </c>
      <c r="B61" s="202" t="s">
        <v>239</v>
      </c>
      <c r="C61" s="202" t="s">
        <v>448</v>
      </c>
      <c r="D61" s="202" t="s">
        <v>24</v>
      </c>
      <c r="E61" s="202" t="s">
        <v>239</v>
      </c>
      <c r="F61" s="202" t="s">
        <v>448</v>
      </c>
      <c r="G61" s="522" t="s">
        <v>24</v>
      </c>
    </row>
    <row r="62" spans="1:8" ht="13.5">
      <c r="A62" s="172" t="s">
        <v>53</v>
      </c>
      <c r="B62" s="204">
        <f>CSRM300SAL!C59</f>
        <v>106809982.74625</v>
      </c>
      <c r="C62" s="204">
        <f>F46</f>
        <v>104139731.86750001</v>
      </c>
      <c r="D62" s="267">
        <f>C62-B62</f>
        <v>-2670250.8787499964</v>
      </c>
      <c r="E62" s="154">
        <f>CSRM300SAL!F59</f>
        <v>109638980.40375</v>
      </c>
      <c r="F62" s="204">
        <f>H46</f>
        <v>106915324.17125</v>
      </c>
      <c r="G62" s="267">
        <f t="shared" ref="G62:G68" si="2">F62-E62</f>
        <v>-2723656.2325000018</v>
      </c>
    </row>
    <row r="63" spans="1:8" ht="13.5">
      <c r="A63" s="11" t="s">
        <v>55</v>
      </c>
      <c r="B63" s="204">
        <f>CSRM300SAL!C60</f>
        <v>25367371</v>
      </c>
      <c r="C63" s="204">
        <f t="shared" ref="C63:C68" si="3">F49</f>
        <v>24733186</v>
      </c>
      <c r="D63" s="267">
        <f t="shared" ref="D63:D68" si="4">C63-B63</f>
        <v>-634185</v>
      </c>
      <c r="E63" s="154">
        <f>CSRM300SAL!F60</f>
        <v>26039258</v>
      </c>
      <c r="F63" s="204">
        <f t="shared" ref="F63:F68" si="5">H49</f>
        <v>25392389</v>
      </c>
      <c r="G63" s="267">
        <f t="shared" si="2"/>
        <v>-646869</v>
      </c>
    </row>
    <row r="64" spans="1:8" ht="13.5">
      <c r="A64" s="11" t="s">
        <v>461</v>
      </c>
      <c r="B64" s="204">
        <f>CSRM300SAL!C61</f>
        <v>329722</v>
      </c>
      <c r="C64" s="204">
        <f t="shared" si="3"/>
        <v>321479</v>
      </c>
      <c r="D64" s="267">
        <f t="shared" si="4"/>
        <v>-8243</v>
      </c>
      <c r="E64" s="154">
        <f>CSRM300SAL!F61</f>
        <v>338456</v>
      </c>
      <c r="F64" s="204">
        <f t="shared" si="5"/>
        <v>330048</v>
      </c>
      <c r="G64" s="267">
        <f t="shared" si="2"/>
        <v>-8408</v>
      </c>
    </row>
    <row r="65" spans="1:7" ht="13.5">
      <c r="A65" s="11" t="s">
        <v>220</v>
      </c>
      <c r="B65" s="204">
        <f>CSRM300SAL!C62</f>
        <v>321391</v>
      </c>
      <c r="C65" s="204">
        <f t="shared" si="3"/>
        <v>313356</v>
      </c>
      <c r="D65" s="267">
        <f t="shared" si="4"/>
        <v>-8035</v>
      </c>
      <c r="E65" s="154">
        <f>CSRM300SAL!F62</f>
        <v>329904</v>
      </c>
      <c r="F65" s="204">
        <f t="shared" si="5"/>
        <v>321708</v>
      </c>
      <c r="G65" s="267">
        <f t="shared" si="2"/>
        <v>-8196</v>
      </c>
    </row>
    <row r="66" spans="1:7" ht="13.5">
      <c r="A66" s="11" t="s">
        <v>57</v>
      </c>
      <c r="B66" s="204">
        <f>CSRM300SAL!C63</f>
        <v>1484872</v>
      </c>
      <c r="C66" s="204">
        <f t="shared" si="3"/>
        <v>1447751</v>
      </c>
      <c r="D66" s="267">
        <f t="shared" si="4"/>
        <v>-37121</v>
      </c>
      <c r="E66" s="154">
        <f>CSRM300SAL!F63</f>
        <v>1524201</v>
      </c>
      <c r="F66" s="204">
        <f t="shared" si="5"/>
        <v>1486337</v>
      </c>
      <c r="G66" s="267">
        <f t="shared" si="2"/>
        <v>-37864</v>
      </c>
    </row>
    <row r="67" spans="1:7" ht="13.5">
      <c r="A67" s="11" t="s">
        <v>221</v>
      </c>
      <c r="B67" s="204">
        <f>CSRM300SAL!C64</f>
        <v>14845066</v>
      </c>
      <c r="C67" s="204">
        <f t="shared" si="3"/>
        <v>14845065.5471</v>
      </c>
      <c r="D67" s="267">
        <f t="shared" si="4"/>
        <v>-0.4528999999165535</v>
      </c>
      <c r="E67" s="154">
        <f>CSRM300SAL!F64</f>
        <v>14969950</v>
      </c>
      <c r="F67" s="204">
        <f t="shared" si="5"/>
        <v>14969950.0912</v>
      </c>
      <c r="G67" s="267">
        <f t="shared" si="2"/>
        <v>9.1199999675154686E-2</v>
      </c>
    </row>
    <row r="68" spans="1:7" ht="13.5">
      <c r="A68" s="11" t="s">
        <v>58</v>
      </c>
      <c r="B68" s="264">
        <f>CSRM300SAL!C65</f>
        <v>572181</v>
      </c>
      <c r="C68" s="264">
        <f t="shared" si="3"/>
        <v>557877</v>
      </c>
      <c r="D68" s="265">
        <f t="shared" si="4"/>
        <v>-14304</v>
      </c>
      <c r="E68" s="535">
        <f>CSRM300SAL!F65</f>
        <v>587336</v>
      </c>
      <c r="F68" s="264">
        <f t="shared" si="5"/>
        <v>572745</v>
      </c>
      <c r="G68" s="265">
        <f t="shared" si="2"/>
        <v>-14591</v>
      </c>
    </row>
    <row r="69" spans="1:7" ht="13.5">
      <c r="A69" s="172"/>
      <c r="B69" s="204">
        <f t="shared" ref="B69:G69" si="6">SUM(B62:B68)</f>
        <v>149730585.74625</v>
      </c>
      <c r="C69" s="204">
        <f t="shared" si="6"/>
        <v>146358446.41460001</v>
      </c>
      <c r="D69" s="267">
        <f t="shared" si="6"/>
        <v>-3372139.3316499963</v>
      </c>
      <c r="E69" s="204">
        <f t="shared" si="6"/>
        <v>153428085.40375</v>
      </c>
      <c r="F69" s="204">
        <f t="shared" si="6"/>
        <v>149988501.26244998</v>
      </c>
      <c r="G69" s="267">
        <f t="shared" si="6"/>
        <v>-3439584.1413000021</v>
      </c>
    </row>
    <row r="70" spans="1:7" ht="13.5">
      <c r="A70" s="172"/>
      <c r="B70" s="204"/>
      <c r="C70" s="204"/>
      <c r="D70" s="267"/>
      <c r="E70" s="204"/>
      <c r="F70" s="204"/>
      <c r="G70" s="267"/>
    </row>
    <row r="71" spans="1:7">
      <c r="D71" s="780">
        <f>D69+D70</f>
        <v>-3372139.3316499963</v>
      </c>
      <c r="G71" s="780">
        <f>G69+G70</f>
        <v>-3439584.1413000021</v>
      </c>
    </row>
  </sheetData>
  <mergeCells count="1">
    <mergeCell ref="A1:H1"/>
  </mergeCells>
  <phoneticPr fontId="0" type="noConversion"/>
  <printOptions horizontalCentered="1" verticalCentered="1" headings="1"/>
  <pageMargins left="0.5" right="0.5" top="0.25" bottom="0.5" header="0.25" footer="0.25"/>
  <pageSetup scale="80" orientation="portrait" r:id="rId1"/>
  <headerFooter alignWithMargins="0">
    <oddFooter>&amp;L&amp;D &amp;T&amp;C&amp;P of &amp;N&amp;R&amp;F &amp;A</oddFooter>
  </headerFooter>
  <extLst>
    <ext xmlns:mx="http://schemas.microsoft.com/office/mac/excel/2008/main" uri="http://schemas.microsoft.com/office/mac/excel/2008/main">
      <mx:PLV Mode="0" OnePage="0" WScale="0"/>
    </ext>
  </extLst>
</worksheet>
</file>

<file path=xl/worksheets/sheet21.xml><?xml version="1.0" encoding="utf-8"?>
<worksheet xmlns="http://schemas.openxmlformats.org/spreadsheetml/2006/main" xmlns:r="http://schemas.openxmlformats.org/officeDocument/2006/relationships">
  <sheetPr codeName="Sheet19" enableFormatConditionsCalculation="0">
    <pageSetUpPr fitToPage="1"/>
  </sheetPr>
  <dimension ref="A1:H69"/>
  <sheetViews>
    <sheetView topLeftCell="A46" zoomScale="125" workbookViewId="0">
      <selection activeCell="H19" sqref="H19"/>
    </sheetView>
  </sheetViews>
  <sheetFormatPr defaultColWidth="8.85546875" defaultRowHeight="12.75"/>
  <cols>
    <col min="1" max="1" width="24.140625" style="13" bestFit="1" customWidth="1"/>
    <col min="2" max="16384" width="8.85546875" style="9"/>
  </cols>
  <sheetData>
    <row r="1" spans="1:8" ht="13.5">
      <c r="A1" s="1061" t="s">
        <v>485</v>
      </c>
      <c r="B1" s="1068"/>
      <c r="C1" s="1068"/>
      <c r="D1" s="1068"/>
      <c r="E1" s="1068"/>
      <c r="F1" s="1068"/>
      <c r="G1" s="1068"/>
      <c r="H1" s="1069"/>
    </row>
    <row r="2" spans="1:8" ht="13.5">
      <c r="A2" s="537"/>
      <c r="B2" s="198" t="str">
        <f>CSRM300SAL!B2</f>
        <v>FY10</v>
      </c>
      <c r="C2" s="198" t="str">
        <f>CSRM300SAL!C2</f>
        <v>FY11</v>
      </c>
      <c r="D2" s="198" t="str">
        <f>CSRM300SAL!D2</f>
        <v>FY11</v>
      </c>
      <c r="E2" s="198" t="str">
        <f>CSRM300SAL!E2</f>
        <v>FY12</v>
      </c>
      <c r="F2" s="198" t="str">
        <f>CSRM300SAL!F2</f>
        <v>FY12</v>
      </c>
      <c r="G2" s="198" t="str">
        <f>CSRM300SAL!G2</f>
        <v>FY13</v>
      </c>
      <c r="H2" s="199" t="str">
        <f>CSRM300SAL!H2</f>
        <v>FY13</v>
      </c>
    </row>
    <row r="3" spans="1:8" ht="13.5">
      <c r="A3" s="538"/>
      <c r="B3" s="202" t="s">
        <v>205</v>
      </c>
      <c r="C3" s="202" t="s">
        <v>205</v>
      </c>
      <c r="D3" s="202" t="s">
        <v>206</v>
      </c>
      <c r="E3" s="202" t="s">
        <v>205</v>
      </c>
      <c r="F3" s="202" t="s">
        <v>206</v>
      </c>
      <c r="G3" s="202" t="s">
        <v>205</v>
      </c>
      <c r="H3" s="203" t="s">
        <v>206</v>
      </c>
    </row>
    <row r="4" spans="1:8" ht="13.5">
      <c r="A4" s="62"/>
      <c r="B4" s="319"/>
      <c r="C4" s="319"/>
      <c r="D4" s="319"/>
      <c r="E4" s="319"/>
      <c r="F4" s="319"/>
      <c r="G4" s="319"/>
      <c r="H4" s="319"/>
    </row>
    <row r="5" spans="1:8" ht="13.5">
      <c r="A5" s="536" t="s">
        <v>299</v>
      </c>
      <c r="B5" s="31"/>
      <c r="C5" s="31"/>
      <c r="D5" s="31"/>
      <c r="E5" s="31"/>
      <c r="F5" s="31"/>
      <c r="G5" s="31"/>
      <c r="H5" s="31"/>
    </row>
    <row r="6" spans="1:8" ht="13.5">
      <c r="A6" s="11" t="s">
        <v>300</v>
      </c>
      <c r="B6" s="79">
        <f>CSRE670SAL!B6</f>
        <v>23.5</v>
      </c>
      <c r="C6" s="79">
        <f>CSRE670SAL!C6</f>
        <v>23.5</v>
      </c>
      <c r="D6" s="80">
        <f>ROUND(C6*B8,0)</f>
        <v>1169266</v>
      </c>
      <c r="E6" s="79">
        <f>CSRE670SAL!E6</f>
        <v>23.5</v>
      </c>
      <c r="F6" s="80">
        <f>ROUND((D6*1.02)*F$9,0)</f>
        <v>1162835</v>
      </c>
      <c r="G6" s="79">
        <f>CSRE670SAL!G6</f>
        <v>23.5</v>
      </c>
      <c r="H6" s="80">
        <f>ROUND((F6*1.02)*H9,0)</f>
        <v>1186092</v>
      </c>
    </row>
    <row r="7" spans="1:8" ht="13.5">
      <c r="A7" s="11" t="str">
        <f>+CSRM300SAL!A6</f>
        <v>FY 10 AVG SALARY</v>
      </c>
      <c r="B7" s="302">
        <f>CSRE670SAL!B7</f>
        <v>49263</v>
      </c>
      <c r="C7" s="80"/>
      <c r="E7" s="31"/>
      <c r="G7" s="528"/>
    </row>
    <row r="8" spans="1:8" ht="13.5">
      <c r="A8" s="11" t="str">
        <f>+CSRM300SAL!A7</f>
        <v>FY 11 @ 1% Roll-Up PLUS 0% Cola</v>
      </c>
      <c r="B8" s="302">
        <f>CSRE670SAL!B8</f>
        <v>49756</v>
      </c>
      <c r="C8" s="31"/>
      <c r="D8" s="31"/>
      <c r="E8" s="31"/>
      <c r="F8" s="31"/>
      <c r="G8" s="528"/>
      <c r="H8" s="31"/>
    </row>
    <row r="9" spans="1:8" ht="13.5">
      <c r="A9" s="11" t="s">
        <v>28</v>
      </c>
      <c r="B9" s="302"/>
      <c r="C9" s="31"/>
      <c r="D9" s="31"/>
      <c r="E9" s="31"/>
      <c r="F9" s="297">
        <f>DSADATABASE!J28</f>
        <v>0.97499999999999998</v>
      </c>
      <c r="G9" s="528"/>
      <c r="H9" s="297">
        <f>DSADATABASE!K28</f>
        <v>1</v>
      </c>
    </row>
    <row r="10" spans="1:8" ht="13.5">
      <c r="A10" s="11" t="s">
        <v>301</v>
      </c>
      <c r="B10" s="31"/>
      <c r="C10" s="31"/>
      <c r="D10" s="282">
        <f>CSRE670SAL!D10</f>
        <v>39166</v>
      </c>
      <c r="E10" s="31"/>
      <c r="F10" s="282">
        <f>D10</f>
        <v>39166</v>
      </c>
      <c r="G10" s="528"/>
      <c r="H10" s="282">
        <f>F10</f>
        <v>39166</v>
      </c>
    </row>
    <row r="11" spans="1:8" ht="13.5">
      <c r="A11" s="536" t="s">
        <v>302</v>
      </c>
      <c r="B11" s="31"/>
      <c r="C11" s="31"/>
      <c r="D11" s="31"/>
      <c r="E11" s="31"/>
      <c r="F11" s="31"/>
      <c r="G11" s="31"/>
      <c r="H11" s="31"/>
    </row>
    <row r="12" spans="1:8" ht="13.5">
      <c r="A12" s="11" t="s">
        <v>303</v>
      </c>
      <c r="B12" s="81">
        <f>CSRE670SAL!B12</f>
        <v>33849</v>
      </c>
      <c r="C12" s="81">
        <f>CSRE670SAL!C12</f>
        <v>33865</v>
      </c>
      <c r="D12" s="31"/>
      <c r="E12" s="81">
        <f>CSRE670SAL!E12</f>
        <v>33933</v>
      </c>
      <c r="F12" s="31"/>
      <c r="G12" s="81">
        <f>CSRE670SAL!G12</f>
        <v>34379</v>
      </c>
      <c r="H12" s="31"/>
    </row>
    <row r="13" spans="1:8" ht="13.5">
      <c r="A13" s="11" t="s">
        <v>304</v>
      </c>
      <c r="B13" s="81">
        <f>CSRE670SAL!B13</f>
        <v>1327.41</v>
      </c>
      <c r="C13" s="81">
        <f>CSRE670SAL!C13</f>
        <v>1328.04</v>
      </c>
      <c r="D13" s="31"/>
      <c r="E13" s="81">
        <f>CSRE670SAL!E13</f>
        <v>1330.71</v>
      </c>
      <c r="F13" s="31"/>
      <c r="G13" s="81">
        <f>CSRE670SAL!G13</f>
        <v>1348.2</v>
      </c>
      <c r="H13" s="31"/>
    </row>
    <row r="14" spans="1:8" ht="13.5">
      <c r="A14" s="11" t="s">
        <v>305</v>
      </c>
      <c r="B14" s="488">
        <f>CSRE670SAL!B14</f>
        <v>2115.56</v>
      </c>
      <c r="C14" s="488">
        <f>CSRE670SAL!C14</f>
        <v>2116.56</v>
      </c>
      <c r="D14" s="5"/>
      <c r="E14" s="488">
        <f>CSRE670SAL!E14</f>
        <v>2120.81</v>
      </c>
      <c r="F14" s="5"/>
      <c r="G14" s="488">
        <f>CSRE670SAL!G14</f>
        <v>2148.69</v>
      </c>
      <c r="H14" s="31"/>
    </row>
    <row r="15" spans="1:8" ht="13.5">
      <c r="A15" s="11" t="s">
        <v>306</v>
      </c>
      <c r="B15" s="81">
        <f>(B14-B13)</f>
        <v>788.14999999999986</v>
      </c>
      <c r="C15" s="81">
        <f>(C14-C13)-B15</f>
        <v>0.37000000000011823</v>
      </c>
      <c r="E15" s="81">
        <f>(E14-E13)</f>
        <v>790.09999999999991</v>
      </c>
      <c r="F15" s="31"/>
      <c r="G15" s="81">
        <f>(G14-G13)</f>
        <v>800.49</v>
      </c>
      <c r="H15" s="31"/>
    </row>
    <row r="16" spans="1:8" ht="13.5">
      <c r="A16" s="11"/>
      <c r="B16" s="528"/>
      <c r="C16" s="31"/>
      <c r="E16" s="528"/>
      <c r="F16" s="31"/>
      <c r="G16" s="528"/>
      <c r="H16" s="31"/>
    </row>
    <row r="17" spans="1:8" ht="13.5">
      <c r="A17" s="11" t="str">
        <f>+CSRM300SAL!A15</f>
        <v>FY 10 POSITIONS/SALARIES</v>
      </c>
      <c r="B17" s="528"/>
      <c r="C17" s="31"/>
      <c r="D17" s="80">
        <f>ROUND(B15*B$8,0)</f>
        <v>39215191</v>
      </c>
      <c r="E17" s="81">
        <f>(B15)</f>
        <v>788.14999999999986</v>
      </c>
      <c r="F17" s="80">
        <f>ROUND((D17*1.02)*F$9,0)</f>
        <v>38999507</v>
      </c>
      <c r="G17" s="529">
        <f>(E17+E19)</f>
        <v>789.72999999999979</v>
      </c>
      <c r="H17" s="80">
        <f>ROUND(((F17+F19)*1.02)*H$9,0)</f>
        <v>39841039</v>
      </c>
    </row>
    <row r="18" spans="1:8" ht="13.5">
      <c r="A18" s="11" t="str">
        <f>+CSRM300SAL!A16</f>
        <v>FY 11 NEW POSITIONS/SALARIES</v>
      </c>
      <c r="B18" s="528"/>
      <c r="C18" s="31"/>
      <c r="D18" s="80">
        <f>ROUND(C15*D$10,0)</f>
        <v>14491</v>
      </c>
      <c r="E18" s="81">
        <f>(C15)</f>
        <v>0.37000000000011823</v>
      </c>
      <c r="F18" s="80">
        <f>ROUND((D18*1.02)*F$9,0)</f>
        <v>14411</v>
      </c>
      <c r="G18" s="81">
        <f>+E18</f>
        <v>0.37000000000011823</v>
      </c>
      <c r="H18" s="80">
        <f>ROUND((F18*1.02)*H$9,0)</f>
        <v>14699</v>
      </c>
    </row>
    <row r="19" spans="1:8" ht="13.5">
      <c r="A19" s="11" t="s">
        <v>307</v>
      </c>
      <c r="B19" s="528"/>
      <c r="C19" s="31"/>
      <c r="D19" s="31"/>
      <c r="E19" s="488">
        <f>(E15-E17-E18)</f>
        <v>1.5799999999999272</v>
      </c>
      <c r="F19" s="27">
        <f>ROUND((E19*F$10)*F$9,0)*1</f>
        <v>60335</v>
      </c>
      <c r="G19" s="488">
        <f>(G15-G17-G18)</f>
        <v>10.3900000000001</v>
      </c>
      <c r="H19" s="27">
        <f>ROUND((G19*H$10)*H$9,0)*1</f>
        <v>406935</v>
      </c>
    </row>
    <row r="20" spans="1:8" ht="13.5">
      <c r="A20" s="11" t="s">
        <v>222</v>
      </c>
      <c r="B20" s="528"/>
      <c r="C20" s="31"/>
      <c r="D20" s="31"/>
      <c r="E20" s="81">
        <f>SUM(E17:E19)</f>
        <v>790.09999999999991</v>
      </c>
      <c r="F20" s="530">
        <f>SUM(F17:F19)</f>
        <v>39074253</v>
      </c>
      <c r="G20" s="81">
        <f>SUM(G17:G19)</f>
        <v>800.49</v>
      </c>
      <c r="H20" s="530">
        <f>SUM(H17:H19)</f>
        <v>40262673</v>
      </c>
    </row>
    <row r="21" spans="1:8" ht="13.5">
      <c r="A21" s="11"/>
      <c r="B21" s="528"/>
      <c r="C21" s="31"/>
      <c r="D21" s="31"/>
      <c r="E21" s="528"/>
      <c r="F21" s="31"/>
      <c r="G21" s="528"/>
      <c r="H21" s="31"/>
    </row>
    <row r="22" spans="1:8" ht="13.5">
      <c r="A22" s="536" t="s">
        <v>308</v>
      </c>
      <c r="B22" s="528"/>
      <c r="C22" s="31"/>
      <c r="D22" s="31"/>
      <c r="E22" s="31"/>
      <c r="F22" s="31"/>
      <c r="G22" s="31"/>
      <c r="H22" s="31"/>
    </row>
    <row r="23" spans="1:8" ht="13.5">
      <c r="A23" s="11" t="s">
        <v>303</v>
      </c>
      <c r="B23" s="81">
        <f>CSRE670SAL!B23</f>
        <v>33824</v>
      </c>
      <c r="C23" s="81">
        <f>CSRE670SAL!C23</f>
        <v>33447</v>
      </c>
      <c r="D23" s="31"/>
      <c r="E23" s="81">
        <f>CSRE670SAL!E23</f>
        <v>33688</v>
      </c>
      <c r="F23" s="31"/>
      <c r="G23" s="81">
        <f>CSRE670SAL!G23</f>
        <v>33848</v>
      </c>
      <c r="H23" s="31"/>
    </row>
    <row r="24" spans="1:8" ht="13.5">
      <c r="A24" s="11" t="s">
        <v>309</v>
      </c>
      <c r="B24" s="81">
        <f>CSRE670SAL!B24</f>
        <v>1316.11</v>
      </c>
      <c r="C24" s="81">
        <f>CSRE670SAL!C24</f>
        <v>1301.44</v>
      </c>
      <c r="D24" s="31"/>
      <c r="E24" s="81">
        <f>CSRE670SAL!E24</f>
        <v>1310.82</v>
      </c>
      <c r="F24" s="31"/>
      <c r="G24" s="81">
        <f>CSRE670SAL!G24</f>
        <v>1317.04</v>
      </c>
      <c r="H24" s="31"/>
    </row>
    <row r="25" spans="1:8" ht="13.5">
      <c r="A25" s="11" t="s">
        <v>305</v>
      </c>
      <c r="B25" s="488">
        <f>CSRE670SAL!B25</f>
        <v>2114</v>
      </c>
      <c r="C25" s="488">
        <f>CSRE670SAL!C25</f>
        <v>2090.44</v>
      </c>
      <c r="D25" s="5"/>
      <c r="E25" s="488">
        <f>CSRE670SAL!E25</f>
        <v>2105.5</v>
      </c>
      <c r="F25" s="5"/>
      <c r="G25" s="488">
        <f>CSRE670SAL!G25</f>
        <v>2115.5</v>
      </c>
      <c r="H25" s="31"/>
    </row>
    <row r="26" spans="1:8" ht="13.5">
      <c r="A26" s="11" t="s">
        <v>306</v>
      </c>
      <c r="B26" s="81">
        <f>(B25-B24)</f>
        <v>797.8900000000001</v>
      </c>
      <c r="C26" s="81">
        <f>(C25-C24)-B26</f>
        <v>-8.8900000000001</v>
      </c>
      <c r="E26" s="81">
        <f>(E25-E24)</f>
        <v>794.68000000000006</v>
      </c>
      <c r="F26" s="31"/>
      <c r="G26" s="81">
        <f>(G25-G24)</f>
        <v>798.46</v>
      </c>
      <c r="H26" s="31"/>
    </row>
    <row r="27" spans="1:8" ht="13.5">
      <c r="A27" s="11"/>
      <c r="B27" s="528"/>
      <c r="C27" s="31"/>
      <c r="E27" s="528"/>
      <c r="F27" s="31"/>
      <c r="G27" s="528"/>
      <c r="H27" s="31"/>
    </row>
    <row r="28" spans="1:8" ht="13.5">
      <c r="A28" s="11" t="str">
        <f>+CSRM300SAL!A26</f>
        <v>FY 10 POSITIONS/SALARIES</v>
      </c>
      <c r="B28" s="528"/>
      <c r="C28" s="31"/>
      <c r="D28" s="80">
        <f>ROUND(B26*B$8,0)</f>
        <v>39699815</v>
      </c>
      <c r="E28" s="81">
        <f>(B26)</f>
        <v>797.8900000000001</v>
      </c>
      <c r="F28" s="80">
        <f>ROUND((D28*1.02)*F$9,0)</f>
        <v>39481466</v>
      </c>
      <c r="G28" s="529">
        <f>(E28+E30)</f>
        <v>803.57000000000016</v>
      </c>
      <c r="H28" s="80">
        <f>ROUND(((F28+F30)*1.02)*H$9,0)</f>
        <v>40492334</v>
      </c>
    </row>
    <row r="29" spans="1:8" ht="13.5">
      <c r="A29" s="11" t="str">
        <f>+CSRM300SAL!A27</f>
        <v>FY 11 NEW POSITIONS/SALARIES</v>
      </c>
      <c r="B29" s="528"/>
      <c r="C29" s="31"/>
      <c r="D29" s="80">
        <f>ROUND(C26*D$10,0)</f>
        <v>-348186</v>
      </c>
      <c r="E29" s="81">
        <f>(C26)</f>
        <v>-8.8900000000001</v>
      </c>
      <c r="F29" s="80">
        <f>ROUND((D29*1.02)*F$9,0)</f>
        <v>-346271</v>
      </c>
      <c r="G29" s="81">
        <f>+E29</f>
        <v>-8.8900000000001</v>
      </c>
      <c r="H29" s="80">
        <f>ROUND((F29*1.02)*H$9,0)</f>
        <v>-353196</v>
      </c>
    </row>
    <row r="30" spans="1:8" ht="13.5">
      <c r="A30" s="11" t="s">
        <v>307</v>
      </c>
      <c r="B30" s="528"/>
      <c r="C30" s="31"/>
      <c r="D30" s="31"/>
      <c r="E30" s="488">
        <f>E26-E28-E29</f>
        <v>5.6800000000000637</v>
      </c>
      <c r="F30" s="27">
        <f>ROUND((E30*F$10)*F$9,0)*1</f>
        <v>216901</v>
      </c>
      <c r="G30" s="488">
        <f>G26-G28-G29</f>
        <v>3.7799999999999727</v>
      </c>
      <c r="H30" s="27">
        <f>ROUND((G30*H$10)*H$9,0)*1</f>
        <v>148047</v>
      </c>
    </row>
    <row r="31" spans="1:8" ht="13.5">
      <c r="A31" s="11" t="s">
        <v>222</v>
      </c>
      <c r="B31" s="528"/>
      <c r="C31" s="31"/>
      <c r="D31" s="31"/>
      <c r="E31" s="81">
        <f>SUM(E28:E30)</f>
        <v>794.68000000000006</v>
      </c>
      <c r="F31" s="530">
        <f>SUM(F28:F30)</f>
        <v>39352096</v>
      </c>
      <c r="G31" s="81">
        <f>SUM(G28:G30)</f>
        <v>798.46</v>
      </c>
      <c r="H31" s="530">
        <f>SUM(H28:H30)</f>
        <v>40287185</v>
      </c>
    </row>
    <row r="32" spans="1:8" ht="13.5">
      <c r="A32" s="11"/>
      <c r="B32" s="528"/>
      <c r="C32" s="31"/>
      <c r="D32" s="31"/>
      <c r="E32" s="528"/>
      <c r="F32" s="31"/>
      <c r="G32" s="528"/>
      <c r="H32" s="31"/>
    </row>
    <row r="33" spans="1:8" ht="13.5">
      <c r="A33" s="536" t="s">
        <v>26</v>
      </c>
      <c r="B33" s="31"/>
      <c r="C33" s="31"/>
      <c r="D33" s="31"/>
      <c r="E33" s="31"/>
      <c r="F33" s="31"/>
      <c r="G33" s="31"/>
      <c r="H33" s="31"/>
    </row>
    <row r="34" spans="1:8" ht="13.5">
      <c r="A34" s="11" t="s">
        <v>303</v>
      </c>
      <c r="B34" s="81">
        <f>CSRE670SAL!B34</f>
        <v>34068</v>
      </c>
      <c r="C34" s="81">
        <f>CSRE670SAL!C34</f>
        <v>33631</v>
      </c>
      <c r="D34" s="31"/>
      <c r="E34" s="81">
        <f>CSRE670SAL!E34</f>
        <v>33533</v>
      </c>
      <c r="F34" s="31"/>
      <c r="G34" s="81">
        <f>CSRE670SAL!G34</f>
        <v>33773</v>
      </c>
      <c r="H34" s="31"/>
    </row>
    <row r="35" spans="1:8" ht="13.5">
      <c r="A35" s="11" t="s">
        <v>311</v>
      </c>
      <c r="B35" s="81">
        <f>CSRE670SAL!B35</f>
        <v>1266.47</v>
      </c>
      <c r="C35" s="81">
        <f>CSRE670SAL!C35</f>
        <v>1250.22</v>
      </c>
      <c r="D35" s="31"/>
      <c r="E35" s="81">
        <f>CSRE670SAL!E35</f>
        <v>1246.58</v>
      </c>
      <c r="F35" s="31"/>
      <c r="G35" s="81">
        <f>CSRE670SAL!G35</f>
        <v>1255.5</v>
      </c>
      <c r="H35" s="31"/>
    </row>
    <row r="36" spans="1:8" ht="13.5">
      <c r="A36" s="11" t="s">
        <v>312</v>
      </c>
      <c r="B36" s="488">
        <f>CSRE670SAL!B36</f>
        <v>1793.05</v>
      </c>
      <c r="C36" s="488">
        <f>CSRE670SAL!C36</f>
        <v>1770.05</v>
      </c>
      <c r="D36" s="5"/>
      <c r="E36" s="488">
        <f>CSRE670SAL!E36</f>
        <v>1764.89</v>
      </c>
      <c r="F36" s="5"/>
      <c r="G36" s="488">
        <f>CSRE670SAL!G36</f>
        <v>1777.53</v>
      </c>
      <c r="H36" s="31"/>
    </row>
    <row r="37" spans="1:8" ht="13.5">
      <c r="A37" s="11" t="s">
        <v>306</v>
      </c>
      <c r="B37" s="81">
        <f>(B36-B35)</f>
        <v>526.57999999999993</v>
      </c>
      <c r="C37" s="81">
        <f>(C36-C35)-B37</f>
        <v>-6.75</v>
      </c>
      <c r="E37" s="81">
        <f>(E36-E35)</f>
        <v>518.31000000000017</v>
      </c>
      <c r="F37" s="31"/>
      <c r="G37" s="81">
        <f>(G36-G35)</f>
        <v>522.03</v>
      </c>
      <c r="H37" s="31"/>
    </row>
    <row r="38" spans="1:8" ht="13.5">
      <c r="A38" s="11"/>
      <c r="B38" s="528"/>
      <c r="C38" s="31"/>
      <c r="E38" s="81"/>
      <c r="F38" s="31"/>
      <c r="G38" s="81"/>
      <c r="H38" s="31"/>
    </row>
    <row r="39" spans="1:8" ht="13.5">
      <c r="A39" s="11" t="str">
        <f>+CSRM300SAL!A37</f>
        <v>FY 10 POSITIONS/SALARIES</v>
      </c>
      <c r="B39" s="528"/>
      <c r="C39" s="31"/>
      <c r="D39" s="80">
        <f>ROUND(B37*B$8,0)</f>
        <v>26200514</v>
      </c>
      <c r="E39" s="81">
        <f>(B37)</f>
        <v>526.57999999999993</v>
      </c>
      <c r="F39" s="80">
        <f>ROUND((D39*1.02)*F$9,0)</f>
        <v>26056411</v>
      </c>
      <c r="G39" s="529">
        <f>(E39+E41)</f>
        <v>525.06000000000017</v>
      </c>
      <c r="H39" s="80">
        <f>ROUND(((F39+F41)*1.02)*H$9,0)</f>
        <v>26518334</v>
      </c>
    </row>
    <row r="40" spans="1:8" ht="13.5">
      <c r="A40" s="11" t="str">
        <f>+CSRM300SAL!A38</f>
        <v>FY 11 NEW POSITIONS/SALARIES</v>
      </c>
      <c r="B40" s="528"/>
      <c r="C40" s="31"/>
      <c r="D40" s="80">
        <f>ROUND(C37*D$10,0)</f>
        <v>-264371</v>
      </c>
      <c r="E40" s="81">
        <f>(C37)</f>
        <v>-6.75</v>
      </c>
      <c r="F40" s="80">
        <f>ROUND((D40*1.02)*F$9,0)</f>
        <v>-262917</v>
      </c>
      <c r="G40" s="81">
        <f>+E40</f>
        <v>-6.75</v>
      </c>
      <c r="H40" s="80">
        <f>ROUND((F40*1.02)*H$9,0)</f>
        <v>-268175</v>
      </c>
    </row>
    <row r="41" spans="1:8" ht="13.5">
      <c r="A41" s="11" t="s">
        <v>307</v>
      </c>
      <c r="B41" s="528"/>
      <c r="C41" s="31"/>
      <c r="D41" s="31"/>
      <c r="E41" s="488">
        <f>E37-E39-E40</f>
        <v>-1.5199999999997544</v>
      </c>
      <c r="F41" s="27">
        <f>ROUND((E41*F$10)*F$9,0)*1</f>
        <v>-58044</v>
      </c>
      <c r="G41" s="488">
        <f>G37-G39-G40</f>
        <v>3.7199999999997999</v>
      </c>
      <c r="H41" s="27">
        <f>ROUND((G41*H$10)*H$9,0)*1</f>
        <v>145698</v>
      </c>
    </row>
    <row r="42" spans="1:8" ht="13.5">
      <c r="A42" s="11" t="s">
        <v>222</v>
      </c>
      <c r="B42" s="528"/>
      <c r="C42" s="31"/>
      <c r="D42" s="31"/>
      <c r="E42" s="81">
        <f>SUM(E39:E41)</f>
        <v>518.31000000000017</v>
      </c>
      <c r="F42" s="530">
        <f>SUM(F39:F41)</f>
        <v>25735450</v>
      </c>
      <c r="G42" s="81">
        <f>SUM(G39:G41)</f>
        <v>522.03</v>
      </c>
      <c r="H42" s="530">
        <f>SUM(H39:H41)</f>
        <v>26395857</v>
      </c>
    </row>
    <row r="43" spans="1:8" ht="13.5">
      <c r="A43" s="172"/>
      <c r="B43" s="31"/>
      <c r="C43" s="31"/>
      <c r="D43" s="31"/>
      <c r="E43" s="79"/>
      <c r="F43" s="31"/>
      <c r="G43" s="79"/>
      <c r="H43" s="31"/>
    </row>
    <row r="44" spans="1:8" ht="13.5">
      <c r="A44" s="11" t="s">
        <v>18</v>
      </c>
      <c r="B44" s="31"/>
      <c r="C44" s="531"/>
      <c r="D44" s="80"/>
      <c r="E44" s="707">
        <f>E6+E20+E31+E42</f>
        <v>2126.59</v>
      </c>
      <c r="F44" s="618">
        <f>F6+F20+F31+F42</f>
        <v>105324634</v>
      </c>
      <c r="G44" s="707">
        <f>G6+G20+G31+G42</f>
        <v>2144.48</v>
      </c>
      <c r="H44" s="618">
        <f>H6+H20+H31+H42</f>
        <v>108131807</v>
      </c>
    </row>
    <row r="45" spans="1:8" ht="13.5">
      <c r="A45" s="73" t="s">
        <v>152</v>
      </c>
      <c r="B45" s="181"/>
      <c r="C45" s="181"/>
      <c r="D45" s="126"/>
      <c r="E45" s="598"/>
      <c r="F45" s="599">
        <f>-F44*(0.2375-0.215)*0.5</f>
        <v>-1184902.1324999996</v>
      </c>
      <c r="G45" s="598"/>
      <c r="H45" s="599">
        <f>-H44*(0.2375-0.215)*0.5</f>
        <v>-1216482.8287499996</v>
      </c>
    </row>
    <row r="46" spans="1:8" ht="14.25" thickBot="1">
      <c r="A46" s="73" t="s">
        <v>472</v>
      </c>
      <c r="B46" s="181"/>
      <c r="C46" s="181"/>
      <c r="D46" s="126"/>
      <c r="E46" s="598"/>
      <c r="F46" s="600">
        <f>+F44+F45</f>
        <v>104139731.86750001</v>
      </c>
      <c r="G46" s="598"/>
      <c r="H46" s="600">
        <f>+H44+H45</f>
        <v>106915324.17125</v>
      </c>
    </row>
    <row r="47" spans="1:8" ht="14.25" thickTop="1">
      <c r="A47" s="172"/>
      <c r="B47" s="31"/>
      <c r="C47" s="31"/>
      <c r="D47" s="31"/>
      <c r="E47" s="31"/>
      <c r="F47" s="31"/>
      <c r="G47" s="31"/>
      <c r="H47" s="31"/>
    </row>
    <row r="48" spans="1:8" ht="13.5">
      <c r="A48" s="11" t="s">
        <v>219</v>
      </c>
      <c r="B48" s="31"/>
      <c r="C48" s="31"/>
      <c r="D48" s="31"/>
      <c r="E48" s="31"/>
      <c r="F48" s="31"/>
      <c r="G48" s="31"/>
      <c r="H48" s="31"/>
    </row>
    <row r="49" spans="1:8" ht="13.5">
      <c r="A49" s="11" t="s">
        <v>55</v>
      </c>
      <c r="B49" s="532">
        <f>CSRE670SAL!B49</f>
        <v>0.23749999999999999</v>
      </c>
      <c r="C49" s="532">
        <f>CSRE670SAL!C49</f>
        <v>0.23749999999999999</v>
      </c>
      <c r="D49" s="533"/>
      <c r="E49" s="31"/>
      <c r="F49" s="530">
        <f>ROUND(F$46*B49,0)</f>
        <v>24733186</v>
      </c>
      <c r="G49" s="530"/>
      <c r="H49" s="530">
        <f>ROUND(H$46*$C49,0)</f>
        <v>25392389</v>
      </c>
    </row>
    <row r="50" spans="1:8" ht="13.5">
      <c r="A50" s="11" t="s">
        <v>56</v>
      </c>
      <c r="B50" s="532">
        <f>CSRE670SAL!B50</f>
        <v>3.0869999999999999E-3</v>
      </c>
      <c r="C50" s="532">
        <f>CSRE670SAL!C50</f>
        <v>3.0869999999999999E-3</v>
      </c>
      <c r="D50" s="533"/>
      <c r="E50" s="31"/>
      <c r="F50" s="530">
        <f>ROUND(F$46*B50,0)</f>
        <v>321479</v>
      </c>
      <c r="G50" s="530"/>
      <c r="H50" s="530">
        <f>ROUND(H$46*$C50,0)</f>
        <v>330048</v>
      </c>
    </row>
    <row r="51" spans="1:8" ht="13.5">
      <c r="A51" s="11" t="s">
        <v>220</v>
      </c>
      <c r="B51" s="532">
        <f>CSRE670SAL!B51</f>
        <v>3.009E-3</v>
      </c>
      <c r="C51" s="532">
        <f>CSRE670SAL!C51</f>
        <v>3.009E-3</v>
      </c>
      <c r="D51" s="533"/>
      <c r="E51" s="31"/>
      <c r="F51" s="530">
        <f>ROUND(F$46*B51,0)</f>
        <v>313356</v>
      </c>
      <c r="G51" s="530"/>
      <c r="H51" s="530">
        <f>ROUND(H$46*$C51,0)</f>
        <v>321708</v>
      </c>
    </row>
    <row r="52" spans="1:8" ht="13.5">
      <c r="A52" s="11" t="s">
        <v>57</v>
      </c>
      <c r="B52" s="532">
        <f>CSRE670SAL!B52</f>
        <v>1.3901999999999999E-2</v>
      </c>
      <c r="C52" s="532">
        <f>CSRE670SAL!C52</f>
        <v>1.3901999999999999E-2</v>
      </c>
      <c r="D52" s="533"/>
      <c r="E52" s="31"/>
      <c r="F52" s="530">
        <f>ROUND(F$46*B52,0)</f>
        <v>1447751</v>
      </c>
      <c r="G52" s="530"/>
      <c r="H52" s="530">
        <f>ROUND(H$46*$C52,0)</f>
        <v>1486337</v>
      </c>
    </row>
    <row r="53" spans="1:8" ht="13.5">
      <c r="A53" s="11" t="s">
        <v>221</v>
      </c>
      <c r="B53" s="706">
        <f>CSRE670SAL!B53</f>
        <v>6980.69</v>
      </c>
      <c r="C53" s="706">
        <f>CSRE670SAL!C53</f>
        <v>6980.69</v>
      </c>
      <c r="D53" s="533"/>
      <c r="E53" s="31"/>
      <c r="F53" s="530">
        <f>ROUND(E$44*B53,0)</f>
        <v>14845066</v>
      </c>
      <c r="G53" s="530"/>
      <c r="H53" s="530">
        <f>ROUND(G$44*$C53,0)</f>
        <v>14969950</v>
      </c>
    </row>
    <row r="54" spans="1:8" ht="13.5">
      <c r="A54" s="11" t="s">
        <v>58</v>
      </c>
      <c r="B54" s="497">
        <f>CSRE670SAL!B54</f>
        <v>5.3569999999999998E-3</v>
      </c>
      <c r="C54" s="497">
        <f>CSRE670SAL!C54</f>
        <v>5.3569999999999998E-3</v>
      </c>
      <c r="D54" s="533"/>
      <c r="E54" s="31"/>
      <c r="F54" s="76">
        <f>ROUND(F$46*B54,0)</f>
        <v>557877</v>
      </c>
      <c r="G54" s="76"/>
      <c r="H54" s="76">
        <f>ROUND(H$46*$C54,0)</f>
        <v>572745</v>
      </c>
    </row>
    <row r="55" spans="1:8" ht="13.5">
      <c r="A55" s="704"/>
      <c r="B55" s="705"/>
      <c r="C55" s="705"/>
      <c r="D55" s="31"/>
      <c r="E55" s="31"/>
      <c r="F55" s="530">
        <f>SUM(F49:F54)</f>
        <v>42218715</v>
      </c>
      <c r="G55" s="530"/>
      <c r="H55" s="530">
        <f>SUM(H49:H54)</f>
        <v>43073177</v>
      </c>
    </row>
    <row r="56" spans="1:8" ht="13.5">
      <c r="A56" s="172"/>
      <c r="B56" s="31"/>
      <c r="C56" s="31"/>
      <c r="D56" s="31"/>
      <c r="E56" s="31"/>
      <c r="F56" s="31"/>
      <c r="G56" s="31"/>
      <c r="H56" s="31"/>
    </row>
    <row r="57" spans="1:8" ht="13.5">
      <c r="A57" s="172"/>
      <c r="B57" s="534" t="s">
        <v>20</v>
      </c>
      <c r="C57" s="82"/>
      <c r="D57" s="82"/>
      <c r="E57" s="82"/>
      <c r="F57" s="83">
        <f>F46+F55</f>
        <v>146358446.86750001</v>
      </c>
      <c r="G57" s="83"/>
      <c r="H57" s="83">
        <f>+H46+H55</f>
        <v>149988501.17124999</v>
      </c>
    </row>
    <row r="58" spans="1:8" ht="13.5">
      <c r="A58" s="172"/>
      <c r="B58" s="514"/>
      <c r="C58" s="60"/>
      <c r="D58" s="60"/>
      <c r="E58" s="60"/>
      <c r="F58" s="515"/>
      <c r="G58" s="515"/>
      <c r="H58" s="515"/>
    </row>
    <row r="59" spans="1:8" ht="13.5">
      <c r="A59" s="172" t="s">
        <v>224</v>
      </c>
      <c r="B59" s="280"/>
      <c r="C59" s="5"/>
      <c r="D59" s="5"/>
      <c r="E59" s="5"/>
      <c r="F59" s="513">
        <f>(F55/F44)</f>
        <v>0.400843690565305</v>
      </c>
      <c r="G59" s="517"/>
      <c r="H59" s="513">
        <f>(H55/H44)</f>
        <v>0.39833956534176851</v>
      </c>
    </row>
    <row r="60" spans="1:8" s="13" customFormat="1" ht="13.5">
      <c r="A60" s="360"/>
      <c r="B60" s="198" t="str">
        <f>+CSRM300SAL!B57</f>
        <v>FY12</v>
      </c>
      <c r="C60" s="198" t="str">
        <f>+CSRM300SAL!C57</f>
        <v>FY12</v>
      </c>
      <c r="D60" s="198" t="s">
        <v>21</v>
      </c>
      <c r="E60" s="198" t="str">
        <f>+CSRM300SAL!E57</f>
        <v>FY13</v>
      </c>
      <c r="F60" s="198" t="str">
        <f>+CSRM300SAL!F57</f>
        <v>FY13</v>
      </c>
      <c r="G60" s="520" t="s">
        <v>21</v>
      </c>
    </row>
    <row r="61" spans="1:8" s="13" customFormat="1" ht="13.5">
      <c r="A61" s="235" t="s">
        <v>22</v>
      </c>
      <c r="B61" s="202" t="s">
        <v>448</v>
      </c>
      <c r="C61" s="202" t="s">
        <v>445</v>
      </c>
      <c r="D61" s="202" t="s">
        <v>24</v>
      </c>
      <c r="E61" s="202" t="s">
        <v>448</v>
      </c>
      <c r="F61" s="202" t="s">
        <v>445</v>
      </c>
      <c r="G61" s="522" t="s">
        <v>24</v>
      </c>
    </row>
    <row r="62" spans="1:8" ht="13.5">
      <c r="A62" s="172" t="s">
        <v>53</v>
      </c>
      <c r="B62" s="204">
        <f>CSRE670SAL!C62</f>
        <v>104139731.86750001</v>
      </c>
      <c r="C62" s="204">
        <f>F46</f>
        <v>104139731.86750001</v>
      </c>
      <c r="D62" s="267">
        <f t="shared" ref="D62:D68" si="0">C62-B62</f>
        <v>0</v>
      </c>
      <c r="E62" s="204">
        <f>CSRE670SAL!F62</f>
        <v>106915324.17125</v>
      </c>
      <c r="F62" s="204">
        <f>H46</f>
        <v>106915324.17125</v>
      </c>
      <c r="G62" s="267">
        <f t="shared" ref="G62:G68" si="1">F62-E62</f>
        <v>0</v>
      </c>
    </row>
    <row r="63" spans="1:8" ht="13.5">
      <c r="A63" s="11" t="s">
        <v>55</v>
      </c>
      <c r="B63" s="204">
        <f>CSRE670SAL!C63</f>
        <v>24733186</v>
      </c>
      <c r="C63" s="204">
        <f t="shared" ref="C63:C68" si="2">F49</f>
        <v>24733186</v>
      </c>
      <c r="D63" s="267">
        <f t="shared" si="0"/>
        <v>0</v>
      </c>
      <c r="E63" s="204">
        <f>CSRE670SAL!F63</f>
        <v>25392389</v>
      </c>
      <c r="F63" s="204">
        <f t="shared" ref="F63:F68" si="3">H49</f>
        <v>25392389</v>
      </c>
      <c r="G63" s="267">
        <f t="shared" si="1"/>
        <v>0</v>
      </c>
    </row>
    <row r="64" spans="1:8" ht="13.5">
      <c r="A64" s="11" t="s">
        <v>461</v>
      </c>
      <c r="B64" s="204">
        <f>CSRE670SAL!C64</f>
        <v>321479</v>
      </c>
      <c r="C64" s="204">
        <f t="shared" si="2"/>
        <v>321479</v>
      </c>
      <c r="D64" s="267">
        <f t="shared" si="0"/>
        <v>0</v>
      </c>
      <c r="E64" s="204">
        <f>CSRE670SAL!F64</f>
        <v>330048</v>
      </c>
      <c r="F64" s="204">
        <f t="shared" si="3"/>
        <v>330048</v>
      </c>
      <c r="G64" s="267">
        <f t="shared" si="1"/>
        <v>0</v>
      </c>
    </row>
    <row r="65" spans="1:7" ht="13.5">
      <c r="A65" s="11" t="s">
        <v>220</v>
      </c>
      <c r="B65" s="204">
        <f>CSRE670SAL!C65</f>
        <v>313356</v>
      </c>
      <c r="C65" s="204">
        <f t="shared" si="2"/>
        <v>313356</v>
      </c>
      <c r="D65" s="267">
        <f t="shared" si="0"/>
        <v>0</v>
      </c>
      <c r="E65" s="204">
        <f>CSRE670SAL!F65</f>
        <v>321708</v>
      </c>
      <c r="F65" s="204">
        <f t="shared" si="3"/>
        <v>321708</v>
      </c>
      <c r="G65" s="267">
        <f t="shared" si="1"/>
        <v>0</v>
      </c>
    </row>
    <row r="66" spans="1:7" ht="13.5">
      <c r="A66" s="11" t="s">
        <v>57</v>
      </c>
      <c r="B66" s="204">
        <f>CSRE670SAL!C66</f>
        <v>1447751</v>
      </c>
      <c r="C66" s="204">
        <f t="shared" si="2"/>
        <v>1447751</v>
      </c>
      <c r="D66" s="267">
        <f t="shared" si="0"/>
        <v>0</v>
      </c>
      <c r="E66" s="204">
        <f>CSRE670SAL!F66</f>
        <v>1486337</v>
      </c>
      <c r="F66" s="204">
        <f t="shared" si="3"/>
        <v>1486337</v>
      </c>
      <c r="G66" s="267">
        <f t="shared" si="1"/>
        <v>0</v>
      </c>
    </row>
    <row r="67" spans="1:7" ht="13.5">
      <c r="A67" s="11" t="s">
        <v>221</v>
      </c>
      <c r="B67" s="204">
        <f>CSRE670SAL!C67</f>
        <v>14845065.5471</v>
      </c>
      <c r="C67" s="204">
        <f t="shared" si="2"/>
        <v>14845066</v>
      </c>
      <c r="D67" s="267">
        <f t="shared" si="0"/>
        <v>0.4528999999165535</v>
      </c>
      <c r="E67" s="204">
        <f>CSRE670SAL!F67</f>
        <v>14969950.0912</v>
      </c>
      <c r="F67" s="204">
        <f t="shared" si="3"/>
        <v>14969950</v>
      </c>
      <c r="G67" s="267">
        <f t="shared" si="1"/>
        <v>-9.1199999675154686E-2</v>
      </c>
    </row>
    <row r="68" spans="1:7" ht="13.5">
      <c r="A68" s="11" t="s">
        <v>58</v>
      </c>
      <c r="B68" s="264">
        <f>CSRE670SAL!C68</f>
        <v>557877</v>
      </c>
      <c r="C68" s="264">
        <f t="shared" si="2"/>
        <v>557877</v>
      </c>
      <c r="D68" s="265">
        <f t="shared" si="0"/>
        <v>0</v>
      </c>
      <c r="E68" s="264">
        <f>CSRE670SAL!F68</f>
        <v>572745</v>
      </c>
      <c r="F68" s="264">
        <f t="shared" si="3"/>
        <v>572745</v>
      </c>
      <c r="G68" s="265">
        <f t="shared" si="1"/>
        <v>0</v>
      </c>
    </row>
    <row r="69" spans="1:7" ht="13.5">
      <c r="A69" s="172"/>
      <c r="B69" s="204">
        <f t="shared" ref="B69:G69" si="4">SUM(B62:B68)</f>
        <v>146358446.41460001</v>
      </c>
      <c r="C69" s="204">
        <f t="shared" si="4"/>
        <v>146358446.86750001</v>
      </c>
      <c r="D69" s="267">
        <f t="shared" si="4"/>
        <v>0.4528999999165535</v>
      </c>
      <c r="E69" s="204">
        <f t="shared" si="4"/>
        <v>149988501.26244998</v>
      </c>
      <c r="F69" s="204">
        <f t="shared" si="4"/>
        <v>149988501.17124999</v>
      </c>
      <c r="G69" s="267">
        <f t="shared" si="4"/>
        <v>-9.1199999675154686E-2</v>
      </c>
    </row>
  </sheetData>
  <mergeCells count="1">
    <mergeCell ref="A1:H1"/>
  </mergeCells>
  <phoneticPr fontId="0" type="noConversion"/>
  <printOptions horizontalCentered="1" verticalCentered="1" headings="1"/>
  <pageMargins left="0.5" right="0.5" top="0.25" bottom="0.5" header="0.25" footer="0.25"/>
  <pageSetup scale="80" orientation="portrait" r:id="rId1"/>
  <headerFooter alignWithMargins="0">
    <oddFooter>&amp;L&amp;D &amp;T&amp;C&amp;P of &amp;N&amp;R&amp;F &amp;A</oddFooter>
  </headerFooter>
  <extLst>
    <ext xmlns:mx="http://schemas.microsoft.com/office/mac/excel/2008/main" uri="http://schemas.microsoft.com/office/mac/excel/2008/main">
      <mx:PLV Mode="0" OnePage="0" WScale="0"/>
    </ext>
  </extLst>
</worksheet>
</file>

<file path=xl/worksheets/sheet22.xml><?xml version="1.0" encoding="utf-8"?>
<worksheet xmlns="http://schemas.openxmlformats.org/spreadsheetml/2006/main" xmlns:r="http://schemas.openxmlformats.org/officeDocument/2006/relationships">
  <dimension ref="A1:H69"/>
  <sheetViews>
    <sheetView topLeftCell="A34" workbookViewId="0">
      <selection activeCell="H20" sqref="H20"/>
    </sheetView>
  </sheetViews>
  <sheetFormatPr defaultColWidth="8.85546875" defaultRowHeight="12.75"/>
  <cols>
    <col min="1" max="1" width="24.140625" style="13" bestFit="1" customWidth="1"/>
    <col min="2" max="16384" width="8.85546875" style="9"/>
  </cols>
  <sheetData>
    <row r="1" spans="1:8" ht="13.5">
      <c r="A1" s="1061" t="s">
        <v>592</v>
      </c>
      <c r="B1" s="1068"/>
      <c r="C1" s="1068"/>
      <c r="D1" s="1068"/>
      <c r="E1" s="1068"/>
      <c r="F1" s="1068"/>
      <c r="G1" s="1068"/>
      <c r="H1" s="1069"/>
    </row>
    <row r="2" spans="1:8" ht="13.5">
      <c r="A2" s="537"/>
      <c r="B2" s="198" t="str">
        <f>CSRM300SAL!B2</f>
        <v>FY10</v>
      </c>
      <c r="C2" s="198" t="str">
        <f>CSRM300SAL!C2</f>
        <v>FY11</v>
      </c>
      <c r="D2" s="198" t="str">
        <f>CSRM300SAL!D2</f>
        <v>FY11</v>
      </c>
      <c r="E2" s="198" t="str">
        <f>CSRM300SAL!E2</f>
        <v>FY12</v>
      </c>
      <c r="F2" s="198" t="str">
        <f>CSRM300SAL!F2</f>
        <v>FY12</v>
      </c>
      <c r="G2" s="198" t="str">
        <f>CSRM300SAL!G2</f>
        <v>FY13</v>
      </c>
      <c r="H2" s="199" t="str">
        <f>CSRM300SAL!H2</f>
        <v>FY13</v>
      </c>
    </row>
    <row r="3" spans="1:8" ht="13.5">
      <c r="A3" s="538"/>
      <c r="B3" s="202" t="s">
        <v>205</v>
      </c>
      <c r="C3" s="202" t="s">
        <v>205</v>
      </c>
      <c r="D3" s="202" t="s">
        <v>206</v>
      </c>
      <c r="E3" s="202" t="s">
        <v>205</v>
      </c>
      <c r="F3" s="202" t="s">
        <v>206</v>
      </c>
      <c r="G3" s="202" t="s">
        <v>205</v>
      </c>
      <c r="H3" s="203" t="s">
        <v>206</v>
      </c>
    </row>
    <row r="4" spans="1:8" ht="13.5">
      <c r="A4" s="62"/>
      <c r="B4" s="319"/>
      <c r="C4" s="319"/>
      <c r="D4" s="319"/>
      <c r="E4" s="319"/>
      <c r="F4" s="319"/>
      <c r="G4" s="319"/>
      <c r="H4" s="319"/>
    </row>
    <row r="5" spans="1:8" ht="13.5">
      <c r="A5" s="536" t="s">
        <v>299</v>
      </c>
      <c r="B5" s="31"/>
      <c r="C5" s="31"/>
      <c r="D5" s="31"/>
      <c r="E5" s="31"/>
      <c r="F5" s="31"/>
      <c r="G5" s="31"/>
      <c r="H5" s="31"/>
    </row>
    <row r="6" spans="1:8" ht="13.5">
      <c r="A6" s="11" t="s">
        <v>300</v>
      </c>
      <c r="B6" s="79">
        <f>CSRE670SAL!B6</f>
        <v>23.5</v>
      </c>
      <c r="C6" s="79">
        <f>CSRE670SAL!C6</f>
        <v>23.5</v>
      </c>
      <c r="D6" s="80">
        <f>ROUND(C6*B8,0)</f>
        <v>1169266</v>
      </c>
      <c r="E6" s="79">
        <f>CSRE670SAL!E6</f>
        <v>23.5</v>
      </c>
      <c r="F6" s="80">
        <f>ROUND((D6*1)*F$9,0)</f>
        <v>1140034</v>
      </c>
      <c r="G6" s="79">
        <f>CSRE670SAL!G6</f>
        <v>23.5</v>
      </c>
      <c r="H6" s="80">
        <f>ROUND((F6*1)*H9,0)</f>
        <v>1140034</v>
      </c>
    </row>
    <row r="7" spans="1:8" ht="13.5">
      <c r="A7" s="11" t="str">
        <f>+CSRM300SAL!A6</f>
        <v>FY 10 AVG SALARY</v>
      </c>
      <c r="B7" s="302">
        <f>CSRE670SAL!B7</f>
        <v>49263</v>
      </c>
      <c r="C7" s="80"/>
      <c r="E7" s="31"/>
      <c r="G7" s="528"/>
    </row>
    <row r="8" spans="1:8" ht="13.5">
      <c r="A8" s="11" t="str">
        <f>+CSRM300SAL!A7</f>
        <v>FY 11 @ 1% Roll-Up PLUS 0% Cola</v>
      </c>
      <c r="B8" s="302">
        <f>CSRE670SAL!B8</f>
        <v>49756</v>
      </c>
      <c r="C8" s="31"/>
      <c r="D8" s="31"/>
      <c r="E8" s="31"/>
      <c r="F8" s="31"/>
      <c r="G8" s="528"/>
      <c r="H8" s="31"/>
    </row>
    <row r="9" spans="1:8" ht="13.5">
      <c r="A9" s="11" t="s">
        <v>28</v>
      </c>
      <c r="B9" s="302"/>
      <c r="C9" s="31"/>
      <c r="D9" s="31"/>
      <c r="E9" s="31"/>
      <c r="F9" s="297">
        <f>DSADATABASE!J28</f>
        <v>0.97499999999999998</v>
      </c>
      <c r="G9" s="528"/>
      <c r="H9" s="297">
        <f>DSADATABASE!K28</f>
        <v>1</v>
      </c>
    </row>
    <row r="10" spans="1:8" ht="13.5">
      <c r="A10" s="11" t="s">
        <v>301</v>
      </c>
      <c r="B10" s="31"/>
      <c r="C10" s="31"/>
      <c r="D10" s="282">
        <f>CSRE670SAL!D10</f>
        <v>39166</v>
      </c>
      <c r="E10" s="31"/>
      <c r="F10" s="282">
        <f>D10</f>
        <v>39166</v>
      </c>
      <c r="G10" s="528"/>
      <c r="H10" s="282">
        <f>F10</f>
        <v>39166</v>
      </c>
    </row>
    <row r="11" spans="1:8" ht="13.5">
      <c r="A11" s="536" t="s">
        <v>302</v>
      </c>
      <c r="B11" s="31"/>
      <c r="C11" s="31"/>
      <c r="D11" s="31"/>
      <c r="E11" s="31"/>
      <c r="F11" s="31"/>
      <c r="G11" s="31"/>
      <c r="H11" s="31"/>
    </row>
    <row r="12" spans="1:8" ht="13.5">
      <c r="A12" s="11" t="s">
        <v>303</v>
      </c>
      <c r="B12" s="81">
        <f>CSRE670SAL!B12</f>
        <v>33849</v>
      </c>
      <c r="C12" s="81">
        <f>CSRE670SAL!C12</f>
        <v>33865</v>
      </c>
      <c r="D12" s="31"/>
      <c r="E12" s="81">
        <f>CSRE670SAL!E12</f>
        <v>33933</v>
      </c>
      <c r="F12" s="31"/>
      <c r="G12" s="81">
        <f>CSRE670SAL!G12</f>
        <v>34379</v>
      </c>
      <c r="H12" s="31"/>
    </row>
    <row r="13" spans="1:8" ht="13.5">
      <c r="A13" s="11" t="s">
        <v>304</v>
      </c>
      <c r="B13" s="81">
        <f>CSRE670SAL!B13</f>
        <v>1327.41</v>
      </c>
      <c r="C13" s="81">
        <f>CSRE670SAL!C13</f>
        <v>1328.04</v>
      </c>
      <c r="D13" s="31"/>
      <c r="E13" s="81">
        <f>CSRE670SAL!E13</f>
        <v>1330.71</v>
      </c>
      <c r="F13" s="31"/>
      <c r="G13" s="81">
        <f>CSRE670SAL!G13</f>
        <v>1348.2</v>
      </c>
      <c r="H13" s="31"/>
    </row>
    <row r="14" spans="1:8" ht="13.5">
      <c r="A14" s="11" t="s">
        <v>305</v>
      </c>
      <c r="B14" s="488">
        <f>CSRE670SAL!B14</f>
        <v>2115.56</v>
      </c>
      <c r="C14" s="488">
        <f>CSRE670SAL!C14</f>
        <v>2116.56</v>
      </c>
      <c r="D14" s="5"/>
      <c r="E14" s="488">
        <f>CSRE670SAL!E14</f>
        <v>2120.81</v>
      </c>
      <c r="F14" s="5"/>
      <c r="G14" s="488">
        <f>CSRE670SAL!G14</f>
        <v>2148.69</v>
      </c>
      <c r="H14" s="31"/>
    </row>
    <row r="15" spans="1:8" ht="13.5">
      <c r="A15" s="11" t="s">
        <v>306</v>
      </c>
      <c r="B15" s="81">
        <f>(B14-B13)</f>
        <v>788.14999999999986</v>
      </c>
      <c r="C15" s="81">
        <f>(C14-C13)-B15</f>
        <v>0.37000000000011823</v>
      </c>
      <c r="E15" s="81">
        <f>(E14-E13)</f>
        <v>790.09999999999991</v>
      </c>
      <c r="F15" s="31"/>
      <c r="G15" s="81">
        <f>(G14-G13)</f>
        <v>800.49</v>
      </c>
      <c r="H15" s="31"/>
    </row>
    <row r="16" spans="1:8" ht="13.5">
      <c r="A16" s="11"/>
      <c r="B16" s="528"/>
      <c r="C16" s="31"/>
      <c r="E16" s="528"/>
      <c r="F16" s="31"/>
      <c r="G16" s="528"/>
      <c r="H16" s="31"/>
    </row>
    <row r="17" spans="1:8" ht="13.5">
      <c r="A17" s="11" t="str">
        <f>+CSRM300SAL!A15</f>
        <v>FY 10 POSITIONS/SALARIES</v>
      </c>
      <c r="B17" s="528"/>
      <c r="C17" s="31"/>
      <c r="D17" s="80">
        <f>ROUND(B15*B$8,0)</f>
        <v>39215191</v>
      </c>
      <c r="E17" s="81">
        <f>(B15)</f>
        <v>788.14999999999986</v>
      </c>
      <c r="F17" s="80">
        <f>ROUND((D17*1.02)*F$9,0)</f>
        <v>38999507</v>
      </c>
      <c r="G17" s="529">
        <f>(E17+E19)</f>
        <v>789.72999999999979</v>
      </c>
      <c r="H17" s="80">
        <f>ROUND(((F17+F19)*1.02)*H$9,0)</f>
        <v>39841039</v>
      </c>
    </row>
    <row r="18" spans="1:8" ht="13.5">
      <c r="A18" s="11" t="str">
        <f>+CSRM300SAL!A16</f>
        <v>FY 11 NEW POSITIONS/SALARIES</v>
      </c>
      <c r="B18" s="528"/>
      <c r="C18" s="31"/>
      <c r="D18" s="80">
        <f>ROUND(C15*D$10,0)</f>
        <v>14491</v>
      </c>
      <c r="E18" s="81">
        <f>(C15)</f>
        <v>0.37000000000011823</v>
      </c>
      <c r="F18" s="80">
        <f>ROUND((D18*1.02)*F$9,0)</f>
        <v>14411</v>
      </c>
      <c r="G18" s="81">
        <f>+E18</f>
        <v>0.37000000000011823</v>
      </c>
      <c r="H18" s="80">
        <f>ROUND((F18*1.02)*H$9,0)</f>
        <v>14699</v>
      </c>
    </row>
    <row r="19" spans="1:8" ht="13.5">
      <c r="A19" s="11" t="s">
        <v>307</v>
      </c>
      <c r="B19" s="528"/>
      <c r="C19" s="31"/>
      <c r="D19" s="31"/>
      <c r="E19" s="488">
        <f>(E15-E17-E18)</f>
        <v>1.5799999999999272</v>
      </c>
      <c r="F19" s="27">
        <f>ROUND((E19*F$10)*F$9,0)*1</f>
        <v>60335</v>
      </c>
      <c r="G19" s="488">
        <f>(G15-G17-G18)</f>
        <v>10.3900000000001</v>
      </c>
      <c r="H19" s="27">
        <f>ROUND((G19*H$10)*H$9,0)*1</f>
        <v>406935</v>
      </c>
    </row>
    <row r="20" spans="1:8" ht="13.5">
      <c r="A20" s="11" t="s">
        <v>222</v>
      </c>
      <c r="B20" s="528"/>
      <c r="C20" s="31"/>
      <c r="D20" s="31"/>
      <c r="E20" s="81">
        <f>SUM(E17:E19)</f>
        <v>790.09999999999991</v>
      </c>
      <c r="F20" s="530">
        <f>SUM(F17:F19)</f>
        <v>39074253</v>
      </c>
      <c r="G20" s="81">
        <f>SUM(G17:G19)</f>
        <v>800.49</v>
      </c>
      <c r="H20" s="530">
        <f>SUM(H17:H19)</f>
        <v>40262673</v>
      </c>
    </row>
    <row r="21" spans="1:8" ht="13.5">
      <c r="A21" s="11"/>
      <c r="B21" s="528"/>
      <c r="C21" s="31"/>
      <c r="D21" s="31"/>
      <c r="E21" s="528"/>
      <c r="F21" s="31"/>
      <c r="G21" s="528"/>
      <c r="H21" s="31"/>
    </row>
    <row r="22" spans="1:8" ht="13.5">
      <c r="A22" s="536" t="s">
        <v>308</v>
      </c>
      <c r="B22" s="528"/>
      <c r="C22" s="31"/>
      <c r="D22" s="31"/>
      <c r="E22" s="31"/>
      <c r="F22" s="31"/>
      <c r="G22" s="31"/>
      <c r="H22" s="31"/>
    </row>
    <row r="23" spans="1:8" ht="13.5">
      <c r="A23" s="11" t="s">
        <v>303</v>
      </c>
      <c r="B23" s="81">
        <f>CSRE670SAL!B23</f>
        <v>33824</v>
      </c>
      <c r="C23" s="81">
        <f>CSRE670SAL!C23</f>
        <v>33447</v>
      </c>
      <c r="D23" s="31"/>
      <c r="E23" s="81">
        <f>CSRE670SAL!E23</f>
        <v>33688</v>
      </c>
      <c r="F23" s="31"/>
      <c r="G23" s="81">
        <f>CSRE670SAL!G23</f>
        <v>33848</v>
      </c>
      <c r="H23" s="31"/>
    </row>
    <row r="24" spans="1:8" ht="13.5">
      <c r="A24" s="11" t="s">
        <v>309</v>
      </c>
      <c r="B24" s="81">
        <f>CSRE670SAL!B24</f>
        <v>1316.11</v>
      </c>
      <c r="C24" s="81">
        <f>CSRE670SAL!C24</f>
        <v>1301.44</v>
      </c>
      <c r="D24" s="31"/>
      <c r="E24" s="81">
        <f>CSRE670SAL!E24</f>
        <v>1310.82</v>
      </c>
      <c r="F24" s="31"/>
      <c r="G24" s="81">
        <f>CSRE670SAL!G24</f>
        <v>1317.04</v>
      </c>
      <c r="H24" s="31"/>
    </row>
    <row r="25" spans="1:8" ht="13.5">
      <c r="A25" s="11" t="s">
        <v>305</v>
      </c>
      <c r="B25" s="488">
        <f>CSRE670SAL!B25</f>
        <v>2114</v>
      </c>
      <c r="C25" s="488">
        <f>CSRE670SAL!C25</f>
        <v>2090.44</v>
      </c>
      <c r="D25" s="5"/>
      <c r="E25" s="488">
        <f>CSRE670SAL!E25</f>
        <v>2105.5</v>
      </c>
      <c r="F25" s="5"/>
      <c r="G25" s="488">
        <f>CSRE670SAL!G25</f>
        <v>2115.5</v>
      </c>
      <c r="H25" s="31"/>
    </row>
    <row r="26" spans="1:8" ht="13.5">
      <c r="A26" s="11" t="s">
        <v>306</v>
      </c>
      <c r="B26" s="81">
        <f>(B25-B24)</f>
        <v>797.8900000000001</v>
      </c>
      <c r="C26" s="81">
        <f>(C25-C24)-B26</f>
        <v>-8.8900000000001</v>
      </c>
      <c r="E26" s="81">
        <f>(E25-E24)</f>
        <v>794.68000000000006</v>
      </c>
      <c r="F26" s="31"/>
      <c r="G26" s="81">
        <f>(G25-G24)</f>
        <v>798.46</v>
      </c>
      <c r="H26" s="31"/>
    </row>
    <row r="27" spans="1:8" ht="13.5">
      <c r="A27" s="11"/>
      <c r="B27" s="528"/>
      <c r="C27" s="31"/>
      <c r="E27" s="528"/>
      <c r="F27" s="31"/>
      <c r="G27" s="528"/>
      <c r="H27" s="31"/>
    </row>
    <row r="28" spans="1:8" ht="13.5">
      <c r="A28" s="11" t="str">
        <f>+CSRM300SAL!A26</f>
        <v>FY 10 POSITIONS/SALARIES</v>
      </c>
      <c r="B28" s="528"/>
      <c r="C28" s="31"/>
      <c r="D28" s="80">
        <f>ROUND(B26*B$8,0)</f>
        <v>39699815</v>
      </c>
      <c r="E28" s="81">
        <f>(B26)</f>
        <v>797.8900000000001</v>
      </c>
      <c r="F28" s="80">
        <f>ROUND((D28*1.02)*F$9,0)</f>
        <v>39481466</v>
      </c>
      <c r="G28" s="529">
        <f>(E28+E30)</f>
        <v>803.57000000000016</v>
      </c>
      <c r="H28" s="80">
        <f>ROUND(((F28+F30)*1.02)*H$9,0)</f>
        <v>40492334</v>
      </c>
    </row>
    <row r="29" spans="1:8" ht="13.5">
      <c r="A29" s="11" t="str">
        <f>+CSRM300SAL!A27</f>
        <v>FY 11 NEW POSITIONS/SALARIES</v>
      </c>
      <c r="B29" s="528"/>
      <c r="C29" s="31"/>
      <c r="D29" s="80">
        <f>ROUND(C26*D$10,0)</f>
        <v>-348186</v>
      </c>
      <c r="E29" s="81">
        <f>(C26)</f>
        <v>-8.8900000000001</v>
      </c>
      <c r="F29" s="80">
        <f>ROUND((D29*1.02)*F$9,0)</f>
        <v>-346271</v>
      </c>
      <c r="G29" s="81">
        <f>+E29</f>
        <v>-8.8900000000001</v>
      </c>
      <c r="H29" s="80">
        <f>ROUND((F29*1.02)*H$9,0)</f>
        <v>-353196</v>
      </c>
    </row>
    <row r="30" spans="1:8" ht="13.5">
      <c r="A30" s="11" t="s">
        <v>307</v>
      </c>
      <c r="B30" s="528"/>
      <c r="C30" s="31"/>
      <c r="D30" s="31"/>
      <c r="E30" s="488">
        <f>E26-E28-E29</f>
        <v>5.6800000000000637</v>
      </c>
      <c r="F30" s="27">
        <f>ROUND((E30*F$10)*F$9,0)*1</f>
        <v>216901</v>
      </c>
      <c r="G30" s="488">
        <f>G26-G28-G29</f>
        <v>3.7799999999999727</v>
      </c>
      <c r="H30" s="27">
        <f>ROUND((G30*H$10)*H$9,0)*1</f>
        <v>148047</v>
      </c>
    </row>
    <row r="31" spans="1:8" ht="13.5">
      <c r="A31" s="11" t="s">
        <v>222</v>
      </c>
      <c r="B31" s="528"/>
      <c r="C31" s="31"/>
      <c r="D31" s="31"/>
      <c r="E31" s="81">
        <f>SUM(E28:E30)</f>
        <v>794.68000000000006</v>
      </c>
      <c r="F31" s="530">
        <f>SUM(F28:F30)</f>
        <v>39352096</v>
      </c>
      <c r="G31" s="81">
        <f>SUM(G28:G30)</f>
        <v>798.46</v>
      </c>
      <c r="H31" s="530">
        <f>SUM(H28:H30)</f>
        <v>40287185</v>
      </c>
    </row>
    <row r="32" spans="1:8" ht="13.5">
      <c r="A32" s="11"/>
      <c r="B32" s="528"/>
      <c r="C32" s="31"/>
      <c r="D32" s="31"/>
      <c r="E32" s="528"/>
      <c r="F32" s="31"/>
      <c r="G32" s="528"/>
      <c r="H32" s="31"/>
    </row>
    <row r="33" spans="1:8" ht="13.5">
      <c r="A33" s="536" t="s">
        <v>26</v>
      </c>
      <c r="B33" s="31"/>
      <c r="C33" s="31"/>
      <c r="D33" s="31"/>
      <c r="E33" s="31"/>
      <c r="F33" s="31"/>
      <c r="G33" s="31"/>
      <c r="H33" s="31"/>
    </row>
    <row r="34" spans="1:8" ht="13.5">
      <c r="A34" s="11" t="s">
        <v>303</v>
      </c>
      <c r="B34" s="81">
        <f>CSRE670SAL!B34</f>
        <v>34068</v>
      </c>
      <c r="C34" s="81">
        <f>CSRE670SAL!C34</f>
        <v>33631</v>
      </c>
      <c r="D34" s="31"/>
      <c r="E34" s="81">
        <f>CSRE670SAL!E34</f>
        <v>33533</v>
      </c>
      <c r="F34" s="31"/>
      <c r="G34" s="81">
        <f>CSRE670SAL!G34</f>
        <v>33773</v>
      </c>
      <c r="H34" s="31"/>
    </row>
    <row r="35" spans="1:8" ht="13.5">
      <c r="A35" s="11" t="s">
        <v>311</v>
      </c>
      <c r="B35" s="81">
        <f>CSRE670SAL!B35</f>
        <v>1266.47</v>
      </c>
      <c r="C35" s="81">
        <f>CSRE670SAL!C35</f>
        <v>1250.22</v>
      </c>
      <c r="D35" s="31"/>
      <c r="E35" s="81">
        <f>CSRE670SAL!E35</f>
        <v>1246.58</v>
      </c>
      <c r="F35" s="31"/>
      <c r="G35" s="81">
        <f>CSRE670SAL!G35</f>
        <v>1255.5</v>
      </c>
      <c r="H35" s="31"/>
    </row>
    <row r="36" spans="1:8" ht="13.5">
      <c r="A36" s="11" t="s">
        <v>312</v>
      </c>
      <c r="B36" s="488">
        <f>CSRE670SAL!B36</f>
        <v>1793.05</v>
      </c>
      <c r="C36" s="488">
        <f>CSRE670SAL!C36</f>
        <v>1770.05</v>
      </c>
      <c r="D36" s="5"/>
      <c r="E36" s="488">
        <f>CSRE670SAL!E36</f>
        <v>1764.89</v>
      </c>
      <c r="F36" s="5"/>
      <c r="G36" s="488">
        <f>CSRE670SAL!G36</f>
        <v>1777.53</v>
      </c>
      <c r="H36" s="31"/>
    </row>
    <row r="37" spans="1:8" ht="13.5">
      <c r="A37" s="11" t="s">
        <v>306</v>
      </c>
      <c r="B37" s="81">
        <f>(B36-B35)</f>
        <v>526.57999999999993</v>
      </c>
      <c r="C37" s="81">
        <f>(C36-C35)-B37</f>
        <v>-6.75</v>
      </c>
      <c r="E37" s="81">
        <f>(E36-E35)</f>
        <v>518.31000000000017</v>
      </c>
      <c r="F37" s="31"/>
      <c r="G37" s="81">
        <f>(G36-G35)</f>
        <v>522.03</v>
      </c>
      <c r="H37" s="31"/>
    </row>
    <row r="38" spans="1:8" ht="13.5">
      <c r="A38" s="11"/>
      <c r="B38" s="528"/>
      <c r="C38" s="31"/>
      <c r="E38" s="81"/>
      <c r="F38" s="31"/>
      <c r="G38" s="81"/>
      <c r="H38" s="31"/>
    </row>
    <row r="39" spans="1:8" ht="13.5">
      <c r="A39" s="11" t="str">
        <f>+CSRM300SAL!A37</f>
        <v>FY 10 POSITIONS/SALARIES</v>
      </c>
      <c r="B39" s="528"/>
      <c r="C39" s="31"/>
      <c r="D39" s="80">
        <f>ROUND(B37*B$8,0)</f>
        <v>26200514</v>
      </c>
      <c r="E39" s="81">
        <f>(B37)</f>
        <v>526.57999999999993</v>
      </c>
      <c r="F39" s="80">
        <f>ROUND((D39*1.02)*F$9,0)</f>
        <v>26056411</v>
      </c>
      <c r="G39" s="529">
        <f>(E39+E41)</f>
        <v>525.06000000000017</v>
      </c>
      <c r="H39" s="80">
        <f>ROUND(((F39+F41)*1.02)*H$9,0)</f>
        <v>26518334</v>
      </c>
    </row>
    <row r="40" spans="1:8" ht="13.5">
      <c r="A40" s="11" t="str">
        <f>+CSRM300SAL!A38</f>
        <v>FY 11 NEW POSITIONS/SALARIES</v>
      </c>
      <c r="B40" s="528"/>
      <c r="C40" s="31"/>
      <c r="D40" s="80">
        <f>ROUND(C37*D$10,0)</f>
        <v>-264371</v>
      </c>
      <c r="E40" s="81">
        <f>(C37)</f>
        <v>-6.75</v>
      </c>
      <c r="F40" s="80">
        <f>ROUND((D40*1.02)*F$9,0)</f>
        <v>-262917</v>
      </c>
      <c r="G40" s="81">
        <f>+E40</f>
        <v>-6.75</v>
      </c>
      <c r="H40" s="80">
        <f>ROUND((F40*1.02)*H$9,0)</f>
        <v>-268175</v>
      </c>
    </row>
    <row r="41" spans="1:8" ht="13.5">
      <c r="A41" s="11" t="s">
        <v>307</v>
      </c>
      <c r="B41" s="528"/>
      <c r="C41" s="31"/>
      <c r="D41" s="31"/>
      <c r="E41" s="488">
        <f>E37-E39-E40</f>
        <v>-1.5199999999997544</v>
      </c>
      <c r="F41" s="27">
        <f>ROUND((E41*F$10)*F$9,0)*1</f>
        <v>-58044</v>
      </c>
      <c r="G41" s="488">
        <f>G37-G39-G40</f>
        <v>3.7199999999997999</v>
      </c>
      <c r="H41" s="27">
        <f>ROUND((G41*H$10)*H$9,0)*1</f>
        <v>145698</v>
      </c>
    </row>
    <row r="42" spans="1:8" ht="13.5">
      <c r="A42" s="11" t="s">
        <v>222</v>
      </c>
      <c r="B42" s="528"/>
      <c r="C42" s="31"/>
      <c r="D42" s="31"/>
      <c r="E42" s="81">
        <f>SUM(E39:E41)</f>
        <v>518.31000000000017</v>
      </c>
      <c r="F42" s="530">
        <f>SUM(F39:F41)</f>
        <v>25735450</v>
      </c>
      <c r="G42" s="81">
        <f>SUM(G39:G41)</f>
        <v>522.03</v>
      </c>
      <c r="H42" s="530">
        <f>SUM(H39:H41)</f>
        <v>26395857</v>
      </c>
    </row>
    <row r="43" spans="1:8" ht="13.5">
      <c r="A43" s="172"/>
      <c r="B43" s="31"/>
      <c r="C43" s="31"/>
      <c r="D43" s="31"/>
      <c r="E43" s="79"/>
      <c r="F43" s="31"/>
      <c r="G43" s="79"/>
      <c r="H43" s="31"/>
    </row>
    <row r="44" spans="1:8" ht="13.5">
      <c r="A44" s="11" t="s">
        <v>18</v>
      </c>
      <c r="B44" s="31"/>
      <c r="C44" s="531"/>
      <c r="D44" s="80"/>
      <c r="E44" s="707">
        <f>E6+E20+E31+E42</f>
        <v>2126.59</v>
      </c>
      <c r="F44" s="618">
        <f>F6+F20+F31+F42</f>
        <v>105301833</v>
      </c>
      <c r="G44" s="707">
        <f>G6+G20+G31+G42</f>
        <v>2144.48</v>
      </c>
      <c r="H44" s="618">
        <f>H6+H20+H31+H42</f>
        <v>108085749</v>
      </c>
    </row>
    <row r="45" spans="1:8" ht="13.5">
      <c r="A45" s="73" t="s">
        <v>595</v>
      </c>
      <c r="B45" s="181"/>
      <c r="C45" s="181"/>
      <c r="D45" s="126"/>
      <c r="E45" s="598"/>
      <c r="F45" s="599">
        <f>(F44*0.946925)-F44</f>
        <v>-5588894.7864750028</v>
      </c>
      <c r="G45" s="598"/>
      <c r="H45" s="218">
        <f>(H44*0.946925)-H44</f>
        <v>-5736651.1281750053</v>
      </c>
    </row>
    <row r="46" spans="1:8" ht="14.25" thickBot="1">
      <c r="A46" s="73" t="s">
        <v>472</v>
      </c>
      <c r="B46" s="181"/>
      <c r="C46" s="181"/>
      <c r="D46" s="126"/>
      <c r="E46" s="598"/>
      <c r="F46" s="600">
        <f>+F44+F45</f>
        <v>99712938.213524997</v>
      </c>
      <c r="G46" s="598"/>
      <c r="H46" s="600">
        <f>+H44+H45</f>
        <v>102349097.87182499</v>
      </c>
    </row>
    <row r="47" spans="1:8" ht="14.25" thickTop="1">
      <c r="A47" s="172"/>
      <c r="B47" s="31"/>
      <c r="C47" s="31"/>
      <c r="D47" s="31"/>
      <c r="E47" s="31"/>
      <c r="F47" s="31"/>
      <c r="G47" s="31"/>
      <c r="H47" s="31"/>
    </row>
    <row r="48" spans="1:8" ht="13.5">
      <c r="A48" s="11" t="s">
        <v>219</v>
      </c>
      <c r="B48" s="31"/>
      <c r="C48" s="31"/>
      <c r="D48" s="31"/>
      <c r="E48" s="31"/>
      <c r="F48" s="31"/>
      <c r="G48" s="31"/>
      <c r="H48" s="31"/>
    </row>
    <row r="49" spans="1:8" ht="13.5">
      <c r="A49" s="11" t="s">
        <v>55</v>
      </c>
      <c r="B49" s="532">
        <f>CSRE670SAL!B49</f>
        <v>0.23749999999999999</v>
      </c>
      <c r="C49" s="532">
        <f>CSRE670SAL!C49</f>
        <v>0.23749999999999999</v>
      </c>
      <c r="D49" s="533"/>
      <c r="E49" s="31"/>
      <c r="F49" s="530">
        <f>ROUND(F$46*B49,0)</f>
        <v>23681823</v>
      </c>
      <c r="G49" s="530"/>
      <c r="H49" s="530">
        <f>ROUND(H$46*$C49,0)</f>
        <v>24307911</v>
      </c>
    </row>
    <row r="50" spans="1:8" ht="13.5">
      <c r="A50" s="11" t="s">
        <v>56</v>
      </c>
      <c r="B50" s="532">
        <f>CSRE670SAL!B50</f>
        <v>3.0869999999999999E-3</v>
      </c>
      <c r="C50" s="532">
        <f>CSRE670SAL!C50</f>
        <v>3.0869999999999999E-3</v>
      </c>
      <c r="D50" s="533"/>
      <c r="E50" s="31"/>
      <c r="F50" s="530">
        <f>ROUND(F$46*B50,0)</f>
        <v>307814</v>
      </c>
      <c r="G50" s="530"/>
      <c r="H50" s="530">
        <f>ROUND(H$46*$C50,0)</f>
        <v>315952</v>
      </c>
    </row>
    <row r="51" spans="1:8" ht="13.5">
      <c r="A51" s="11" t="s">
        <v>220</v>
      </c>
      <c r="B51" s="532">
        <f>CSRE670SAL!B51</f>
        <v>3.009E-3</v>
      </c>
      <c r="C51" s="532">
        <f>CSRE670SAL!C51</f>
        <v>3.009E-3</v>
      </c>
      <c r="D51" s="533"/>
      <c r="E51" s="31"/>
      <c r="F51" s="530">
        <f>ROUND(F$46*B51,0)</f>
        <v>300036</v>
      </c>
      <c r="G51" s="530"/>
      <c r="H51" s="530">
        <f>ROUND(H$46*$C51,0)</f>
        <v>307968</v>
      </c>
    </row>
    <row r="52" spans="1:8" ht="13.5">
      <c r="A52" s="11" t="s">
        <v>57</v>
      </c>
      <c r="B52" s="532">
        <f>CSRE670SAL!B52</f>
        <v>1.3901999999999999E-2</v>
      </c>
      <c r="C52" s="532">
        <f>CSRE670SAL!C52</f>
        <v>1.3901999999999999E-2</v>
      </c>
      <c r="D52" s="533"/>
      <c r="E52" s="31"/>
      <c r="F52" s="530">
        <f>ROUND(F$46*B52,0)</f>
        <v>1386209</v>
      </c>
      <c r="G52" s="530"/>
      <c r="H52" s="530">
        <f>ROUND(H$46*$C52,0)</f>
        <v>1422857</v>
      </c>
    </row>
    <row r="53" spans="1:8" ht="13.5">
      <c r="A53" s="11" t="s">
        <v>221</v>
      </c>
      <c r="B53" s="706">
        <f>CSRE670SAL!B53</f>
        <v>6980.69</v>
      </c>
      <c r="C53" s="706">
        <f>CSRE670SAL!C53</f>
        <v>6980.69</v>
      </c>
      <c r="D53" s="533"/>
      <c r="E53" s="31"/>
      <c r="F53" s="530">
        <f>ROUND(E$44*B53,0)</f>
        <v>14845066</v>
      </c>
      <c r="G53" s="530"/>
      <c r="H53" s="530">
        <f>ROUND(G$44*$C53,0)</f>
        <v>14969950</v>
      </c>
    </row>
    <row r="54" spans="1:8" ht="13.5">
      <c r="A54" s="11" t="s">
        <v>58</v>
      </c>
      <c r="B54" s="497">
        <f>CSRE670SAL!B54</f>
        <v>5.3569999999999998E-3</v>
      </c>
      <c r="C54" s="497">
        <f>CSRE670SAL!C54</f>
        <v>5.3569999999999998E-3</v>
      </c>
      <c r="D54" s="533"/>
      <c r="E54" s="31"/>
      <c r="F54" s="76">
        <f>ROUND(F$46*B54,0)</f>
        <v>534162</v>
      </c>
      <c r="G54" s="76"/>
      <c r="H54" s="76">
        <f>ROUND(H$46*$C54,0)</f>
        <v>548284</v>
      </c>
    </row>
    <row r="55" spans="1:8" ht="13.5">
      <c r="A55" s="704"/>
      <c r="B55" s="705"/>
      <c r="C55" s="705"/>
      <c r="D55" s="31"/>
      <c r="E55" s="31"/>
      <c r="F55" s="530">
        <f>SUM(F49:F54)</f>
        <v>41055110</v>
      </c>
      <c r="G55" s="530"/>
      <c r="H55" s="530">
        <f>SUM(H49:H54)</f>
        <v>41872922</v>
      </c>
    </row>
    <row r="56" spans="1:8" ht="13.5">
      <c r="A56" s="172"/>
      <c r="B56" s="31"/>
      <c r="C56" s="31"/>
      <c r="D56" s="31"/>
      <c r="E56" s="31"/>
      <c r="F56" s="31"/>
      <c r="G56" s="31"/>
      <c r="H56" s="31"/>
    </row>
    <row r="57" spans="1:8" ht="13.5">
      <c r="A57" s="172"/>
      <c r="B57" s="534" t="s">
        <v>20</v>
      </c>
      <c r="C57" s="82"/>
      <c r="D57" s="82"/>
      <c r="E57" s="82"/>
      <c r="F57" s="83">
        <f>F46+F55</f>
        <v>140768048.213525</v>
      </c>
      <c r="G57" s="83"/>
      <c r="H57" s="83">
        <f>+H46+H55</f>
        <v>144222019.87182498</v>
      </c>
    </row>
    <row r="58" spans="1:8" ht="13.5">
      <c r="A58" s="172"/>
      <c r="B58" s="514"/>
      <c r="C58" s="60"/>
      <c r="D58" s="60"/>
      <c r="E58" s="60"/>
      <c r="F58" s="515"/>
      <c r="G58" s="515"/>
      <c r="H58" s="515"/>
    </row>
    <row r="59" spans="1:8" ht="13.5">
      <c r="A59" s="172" t="s">
        <v>224</v>
      </c>
      <c r="B59" s="280"/>
      <c r="C59" s="5"/>
      <c r="D59" s="5"/>
      <c r="E59" s="5"/>
      <c r="F59" s="513">
        <f>(F55/F44)</f>
        <v>0.38988029771523541</v>
      </c>
      <c r="G59" s="517"/>
      <c r="H59" s="513">
        <f>(H55/H44)</f>
        <v>0.38740465220812781</v>
      </c>
    </row>
    <row r="60" spans="1:8" s="13" customFormat="1" ht="13.5">
      <c r="A60" s="360"/>
      <c r="B60" s="198" t="str">
        <f>+CSRM300SAL!B57</f>
        <v>FY12</v>
      </c>
      <c r="C60" s="198" t="str">
        <f>+CSRM300SAL!C57</f>
        <v>FY12</v>
      </c>
      <c r="D60" s="198" t="s">
        <v>21</v>
      </c>
      <c r="E60" s="198" t="str">
        <f>+CSRM300SAL!E57</f>
        <v>FY13</v>
      </c>
      <c r="F60" s="198" t="str">
        <f>+CSRM300SAL!F57</f>
        <v>FY13</v>
      </c>
      <c r="G60" s="520" t="s">
        <v>21</v>
      </c>
    </row>
    <row r="61" spans="1:8" s="13" customFormat="1" ht="13.5">
      <c r="A61" s="235" t="s">
        <v>22</v>
      </c>
      <c r="B61" s="202" t="s">
        <v>445</v>
      </c>
      <c r="C61" s="202" t="s">
        <v>499</v>
      </c>
      <c r="D61" s="202" t="s">
        <v>24</v>
      </c>
      <c r="E61" s="202" t="s">
        <v>445</v>
      </c>
      <c r="F61" s="202" t="s">
        <v>499</v>
      </c>
      <c r="G61" s="522" t="s">
        <v>24</v>
      </c>
    </row>
    <row r="62" spans="1:8" ht="13.5">
      <c r="A62" s="172" t="s">
        <v>53</v>
      </c>
      <c r="B62" s="204">
        <f>CSRE671SAL!C62</f>
        <v>104139731.86750001</v>
      </c>
      <c r="C62" s="204">
        <f>F46</f>
        <v>99712938.213524997</v>
      </c>
      <c r="D62" s="267">
        <f t="shared" ref="D62:D68" si="0">C62-B62</f>
        <v>-4426793.6539750099</v>
      </c>
      <c r="E62" s="204">
        <f>CSRE671SAL!F62</f>
        <v>106915324.17125</v>
      </c>
      <c r="F62" s="204">
        <f>H46</f>
        <v>102349097.87182499</v>
      </c>
      <c r="G62" s="267">
        <f t="shared" ref="G62:G68" si="1">F62-E62</f>
        <v>-4566226.2994250059</v>
      </c>
    </row>
    <row r="63" spans="1:8" ht="13.5">
      <c r="A63" s="11" t="s">
        <v>55</v>
      </c>
      <c r="B63" s="204">
        <f>CSRE671SAL!C63</f>
        <v>24733186</v>
      </c>
      <c r="C63" s="204">
        <f t="shared" ref="C63:C68" si="2">F49</f>
        <v>23681823</v>
      </c>
      <c r="D63" s="267">
        <f t="shared" si="0"/>
        <v>-1051363</v>
      </c>
      <c r="E63" s="204">
        <f>CSRE671SAL!F63</f>
        <v>25392389</v>
      </c>
      <c r="F63" s="204">
        <f t="shared" ref="F63:F68" si="3">H49</f>
        <v>24307911</v>
      </c>
      <c r="G63" s="267">
        <f t="shared" si="1"/>
        <v>-1084478</v>
      </c>
    </row>
    <row r="64" spans="1:8" ht="13.5">
      <c r="A64" s="11" t="s">
        <v>461</v>
      </c>
      <c r="B64" s="204">
        <f>CSRE671SAL!C64</f>
        <v>321479</v>
      </c>
      <c r="C64" s="204">
        <f t="shared" si="2"/>
        <v>307814</v>
      </c>
      <c r="D64" s="267">
        <f t="shared" si="0"/>
        <v>-13665</v>
      </c>
      <c r="E64" s="204">
        <f>CSRE671SAL!F64</f>
        <v>330048</v>
      </c>
      <c r="F64" s="204">
        <f t="shared" si="3"/>
        <v>315952</v>
      </c>
      <c r="G64" s="267">
        <f t="shared" si="1"/>
        <v>-14096</v>
      </c>
    </row>
    <row r="65" spans="1:7" ht="13.5">
      <c r="A65" s="11" t="s">
        <v>220</v>
      </c>
      <c r="B65" s="204">
        <f>CSRE671SAL!C65</f>
        <v>313356</v>
      </c>
      <c r="C65" s="204">
        <f t="shared" si="2"/>
        <v>300036</v>
      </c>
      <c r="D65" s="267">
        <f t="shared" si="0"/>
        <v>-13320</v>
      </c>
      <c r="E65" s="204">
        <f>CSRE671SAL!F65</f>
        <v>321708</v>
      </c>
      <c r="F65" s="204">
        <f t="shared" si="3"/>
        <v>307968</v>
      </c>
      <c r="G65" s="267">
        <f t="shared" si="1"/>
        <v>-13740</v>
      </c>
    </row>
    <row r="66" spans="1:7" ht="13.5">
      <c r="A66" s="11" t="s">
        <v>57</v>
      </c>
      <c r="B66" s="204">
        <f>CSRE671SAL!C66</f>
        <v>1447751</v>
      </c>
      <c r="C66" s="204">
        <f t="shared" si="2"/>
        <v>1386209</v>
      </c>
      <c r="D66" s="267">
        <f t="shared" si="0"/>
        <v>-61542</v>
      </c>
      <c r="E66" s="204">
        <f>CSRE671SAL!F66</f>
        <v>1486337</v>
      </c>
      <c r="F66" s="204">
        <f t="shared" si="3"/>
        <v>1422857</v>
      </c>
      <c r="G66" s="267">
        <f t="shared" si="1"/>
        <v>-63480</v>
      </c>
    </row>
    <row r="67" spans="1:7" ht="13.5">
      <c r="A67" s="11" t="s">
        <v>221</v>
      </c>
      <c r="B67" s="204">
        <f>CSRE671SAL!C67</f>
        <v>14845066</v>
      </c>
      <c r="C67" s="204">
        <f t="shared" si="2"/>
        <v>14845066</v>
      </c>
      <c r="D67" s="267">
        <f t="shared" si="0"/>
        <v>0</v>
      </c>
      <c r="E67" s="204">
        <f>CSRE671SAL!F67</f>
        <v>14969950</v>
      </c>
      <c r="F67" s="204">
        <f t="shared" si="3"/>
        <v>14969950</v>
      </c>
      <c r="G67" s="267">
        <f t="shared" si="1"/>
        <v>0</v>
      </c>
    </row>
    <row r="68" spans="1:7" ht="13.5">
      <c r="A68" s="11" t="s">
        <v>58</v>
      </c>
      <c r="B68" s="264">
        <f>CSRE671SAL!C68</f>
        <v>557877</v>
      </c>
      <c r="C68" s="264">
        <f t="shared" si="2"/>
        <v>534162</v>
      </c>
      <c r="D68" s="265">
        <f t="shared" si="0"/>
        <v>-23715</v>
      </c>
      <c r="E68" s="264">
        <f>CSRE671SAL!F68</f>
        <v>572745</v>
      </c>
      <c r="F68" s="264">
        <f t="shared" si="3"/>
        <v>548284</v>
      </c>
      <c r="G68" s="265">
        <f t="shared" si="1"/>
        <v>-24461</v>
      </c>
    </row>
    <row r="69" spans="1:7" ht="13.5">
      <c r="A69" s="172"/>
      <c r="B69" s="204">
        <f t="shared" ref="B69:G69" si="4">SUM(B62:B68)</f>
        <v>146358446.86750001</v>
      </c>
      <c r="C69" s="204">
        <f t="shared" si="4"/>
        <v>140768048.213525</v>
      </c>
      <c r="D69" s="267">
        <f t="shared" si="4"/>
        <v>-5590398.6539750099</v>
      </c>
      <c r="E69" s="204">
        <f t="shared" si="4"/>
        <v>149988501.17124999</v>
      </c>
      <c r="F69" s="204">
        <f t="shared" si="4"/>
        <v>144222019.87182498</v>
      </c>
      <c r="G69" s="267">
        <f t="shared" si="4"/>
        <v>-5766481.2994250059</v>
      </c>
    </row>
  </sheetData>
  <mergeCells count="1">
    <mergeCell ref="A1:H1"/>
  </mergeCells>
  <pageMargins left="0.7" right="0.7" top="0.75" bottom="0.5" header="0.3" footer="0.3"/>
  <pageSetup paperSize="5" orientation="portrait" r:id="rId1"/>
</worksheet>
</file>

<file path=xl/worksheets/sheet23.xml><?xml version="1.0" encoding="utf-8"?>
<worksheet xmlns="http://schemas.openxmlformats.org/spreadsheetml/2006/main" xmlns:r="http://schemas.openxmlformats.org/officeDocument/2006/relationships">
  <sheetPr enableFormatConditionsCalculation="0">
    <pageSetUpPr fitToPage="1"/>
  </sheetPr>
  <dimension ref="A2:E74"/>
  <sheetViews>
    <sheetView topLeftCell="A25" zoomScale="115" zoomScaleNormal="115" workbookViewId="0">
      <selection activeCell="D62" sqref="D62"/>
    </sheetView>
  </sheetViews>
  <sheetFormatPr defaultColWidth="8.85546875" defaultRowHeight="12.75"/>
  <cols>
    <col min="1" max="1" width="25.85546875" customWidth="1"/>
    <col min="2" max="3" width="13.42578125" bestFit="1" customWidth="1"/>
    <col min="4" max="5" width="18.42578125" style="733" customWidth="1"/>
  </cols>
  <sheetData>
    <row r="2" spans="1:5">
      <c r="A2" s="732" t="s">
        <v>453</v>
      </c>
      <c r="D2" s="733">
        <f>CSRBASESAL!F5</f>
        <v>1192651</v>
      </c>
      <c r="E2" s="733">
        <f>CSRBASESAL!H5</f>
        <v>1216504</v>
      </c>
    </row>
    <row r="3" spans="1:5">
      <c r="A3" t="s">
        <v>219</v>
      </c>
      <c r="B3">
        <v>2012</v>
      </c>
      <c r="C3">
        <v>2013</v>
      </c>
    </row>
    <row r="4" spans="1:5">
      <c r="A4" t="s">
        <v>55</v>
      </c>
      <c r="B4" s="728">
        <f>CSRBASESAL!B44</f>
        <v>0.215</v>
      </c>
      <c r="C4" s="728">
        <f t="shared" ref="C4:C9" si="0">B4</f>
        <v>0.215</v>
      </c>
      <c r="D4" s="733">
        <f>$D$2*B4</f>
        <v>256419.965</v>
      </c>
      <c r="E4" s="733">
        <f>$E$2*C4</f>
        <v>261548.36</v>
      </c>
    </row>
    <row r="5" spans="1:5">
      <c r="A5" t="s">
        <v>346</v>
      </c>
      <c r="B5" s="728">
        <f>CSRBASESAL!B45</f>
        <v>3.0869999999999999E-3</v>
      </c>
      <c r="C5" s="728">
        <f t="shared" si="0"/>
        <v>3.0869999999999999E-3</v>
      </c>
      <c r="D5" s="733">
        <f>$D$2*B5</f>
        <v>3681.7136369999998</v>
      </c>
      <c r="E5" s="733">
        <f>$E$2*C5</f>
        <v>3755.3478479999999</v>
      </c>
    </row>
    <row r="6" spans="1:5">
      <c r="A6" t="s">
        <v>220</v>
      </c>
      <c r="B6" s="728">
        <f>CSRBASESAL!B46</f>
        <v>3.009E-3</v>
      </c>
      <c r="C6" s="728">
        <f t="shared" si="0"/>
        <v>3.009E-3</v>
      </c>
      <c r="D6" s="733">
        <f>$D$2*B6</f>
        <v>3588.6868589999999</v>
      </c>
      <c r="E6" s="733">
        <f>$E$2*C6</f>
        <v>3660.460536</v>
      </c>
    </row>
    <row r="7" spans="1:5">
      <c r="A7" t="s">
        <v>57</v>
      </c>
      <c r="B7" s="728">
        <f>CSRBASESAL!B47</f>
        <v>1.3901999999999999E-2</v>
      </c>
      <c r="C7" s="728">
        <f t="shared" si="0"/>
        <v>1.3901999999999999E-2</v>
      </c>
      <c r="D7" s="733">
        <f>$D$2*B7</f>
        <v>16580.234202</v>
      </c>
      <c r="E7" s="733">
        <f>$E$2*C7</f>
        <v>16911.838607999998</v>
      </c>
    </row>
    <row r="8" spans="1:5">
      <c r="A8" t="s">
        <v>221</v>
      </c>
      <c r="B8" s="729">
        <f>CSRBASESAL!B48</f>
        <v>6980.69</v>
      </c>
      <c r="C8" s="729">
        <f t="shared" si="0"/>
        <v>6980.69</v>
      </c>
      <c r="D8" s="733">
        <f>CSRBASESAL!C5*'CSR At risk K'!B8</f>
        <v>164046.215</v>
      </c>
      <c r="E8" s="733">
        <f>CSRBASESAL!C5*'CSR At risk K'!C8</f>
        <v>164046.215</v>
      </c>
    </row>
    <row r="9" spans="1:5" ht="13.5" thickBot="1">
      <c r="A9" t="s">
        <v>58</v>
      </c>
      <c r="B9" s="728">
        <f>CSRBASESAL!B49</f>
        <v>5.3569999999999998E-3</v>
      </c>
      <c r="C9" s="728">
        <f t="shared" si="0"/>
        <v>5.3569999999999998E-3</v>
      </c>
      <c r="D9" s="733">
        <f>$D$2*B9</f>
        <v>6389.0314069999995</v>
      </c>
      <c r="E9" s="733">
        <f>$E$2*C9</f>
        <v>6516.8119280000001</v>
      </c>
    </row>
    <row r="10" spans="1:5" ht="13.5" thickBot="1">
      <c r="A10" s="734" t="s">
        <v>44</v>
      </c>
      <c r="B10" s="735"/>
      <c r="C10" s="735"/>
      <c r="D10" s="736">
        <f>SUM(D2:D9)</f>
        <v>1643356.8461050002</v>
      </c>
      <c r="E10" s="737">
        <f>SUM(E2:E9)</f>
        <v>1672943.0339200001</v>
      </c>
    </row>
    <row r="12" spans="1:5">
      <c r="A12" s="732" t="s">
        <v>229</v>
      </c>
    </row>
    <row r="13" spans="1:5">
      <c r="A13" t="s">
        <v>53</v>
      </c>
      <c r="D13" s="733">
        <f>CSRM200SAL!F5-'CSR At risk K'!D2</f>
        <v>0</v>
      </c>
      <c r="E13" s="733">
        <f>CSRM200SAL!H5-'CSR At risk K'!E2</f>
        <v>0</v>
      </c>
    </row>
    <row r="14" spans="1:5">
      <c r="A14" t="s">
        <v>219</v>
      </c>
      <c r="B14">
        <f>$B$3</f>
        <v>2012</v>
      </c>
      <c r="C14">
        <f>$C$3</f>
        <v>2013</v>
      </c>
    </row>
    <row r="15" spans="1:5">
      <c r="A15" t="s">
        <v>55</v>
      </c>
      <c r="B15" s="730">
        <f t="shared" ref="B15:C20" si="1">B4</f>
        <v>0.215</v>
      </c>
      <c r="C15" s="730">
        <f t="shared" si="1"/>
        <v>0.215</v>
      </c>
      <c r="D15" s="733">
        <f>$D$13*B15</f>
        <v>0</v>
      </c>
      <c r="E15" s="733">
        <f>$E$13*C15</f>
        <v>0</v>
      </c>
    </row>
    <row r="16" spans="1:5">
      <c r="A16" t="s">
        <v>346</v>
      </c>
      <c r="B16" s="730">
        <f t="shared" si="1"/>
        <v>3.0869999999999999E-3</v>
      </c>
      <c r="C16" s="730">
        <f t="shared" si="1"/>
        <v>3.0869999999999999E-3</v>
      </c>
      <c r="D16" s="733">
        <f>$D$13*B16</f>
        <v>0</v>
      </c>
      <c r="E16" s="733">
        <f>$E$13*C16</f>
        <v>0</v>
      </c>
    </row>
    <row r="17" spans="1:5">
      <c r="A17" t="s">
        <v>220</v>
      </c>
      <c r="B17" s="730">
        <f t="shared" si="1"/>
        <v>3.009E-3</v>
      </c>
      <c r="C17" s="730">
        <f t="shared" si="1"/>
        <v>3.009E-3</v>
      </c>
      <c r="D17" s="733">
        <f>$D$13*B17</f>
        <v>0</v>
      </c>
      <c r="E17" s="733">
        <f>$E$13*C17</f>
        <v>0</v>
      </c>
    </row>
    <row r="18" spans="1:5">
      <c r="A18" t="s">
        <v>57</v>
      </c>
      <c r="B18" s="730">
        <f t="shared" si="1"/>
        <v>1.3901999999999999E-2</v>
      </c>
      <c r="C18" s="730">
        <f t="shared" si="1"/>
        <v>1.3901999999999999E-2</v>
      </c>
      <c r="D18" s="733">
        <f>$D$13*B18</f>
        <v>0</v>
      </c>
      <c r="E18" s="733">
        <f>$E$13*C18</f>
        <v>0</v>
      </c>
    </row>
    <row r="19" spans="1:5">
      <c r="A19" t="s">
        <v>221</v>
      </c>
      <c r="B19" s="729">
        <f t="shared" si="1"/>
        <v>6980.69</v>
      </c>
      <c r="C19" s="729">
        <f t="shared" si="1"/>
        <v>6980.69</v>
      </c>
      <c r="D19" s="733">
        <f>0*B19</f>
        <v>0</v>
      </c>
      <c r="E19" s="733">
        <f>0*C19</f>
        <v>0</v>
      </c>
    </row>
    <row r="20" spans="1:5" ht="13.5" thickBot="1">
      <c r="A20" t="s">
        <v>58</v>
      </c>
      <c r="B20" s="730">
        <f t="shared" si="1"/>
        <v>5.3569999999999998E-3</v>
      </c>
      <c r="C20" s="730">
        <f t="shared" si="1"/>
        <v>5.3569999999999998E-3</v>
      </c>
      <c r="D20" s="733">
        <f>$D$13*B20</f>
        <v>0</v>
      </c>
      <c r="E20" s="733">
        <f>$E$13*C20</f>
        <v>0</v>
      </c>
    </row>
    <row r="21" spans="1:5" ht="13.5" thickBot="1">
      <c r="A21" s="734" t="s">
        <v>44</v>
      </c>
      <c r="B21" s="738"/>
      <c r="C21" s="738"/>
      <c r="D21" s="736">
        <f>SUM(D13:D20)</f>
        <v>0</v>
      </c>
      <c r="E21" s="737">
        <f>SUM(E13:E20)</f>
        <v>0</v>
      </c>
    </row>
    <row r="23" spans="1:5">
      <c r="A23" s="732" t="s">
        <v>239</v>
      </c>
    </row>
    <row r="24" spans="1:5">
      <c r="A24" t="s">
        <v>53</v>
      </c>
      <c r="D24" s="733">
        <f>CSRM300SAL!F5</f>
        <v>1192651</v>
      </c>
      <c r="E24" s="733">
        <f>CSRM300SAL!H5</f>
        <v>1216504</v>
      </c>
    </row>
    <row r="25" spans="1:5">
      <c r="A25" t="s">
        <v>219</v>
      </c>
      <c r="B25">
        <f>$B$3</f>
        <v>2012</v>
      </c>
      <c r="C25">
        <f>$C$3</f>
        <v>2013</v>
      </c>
    </row>
    <row r="26" spans="1:5">
      <c r="A26" t="s">
        <v>55</v>
      </c>
      <c r="B26" s="730">
        <f>CSRM300SAL!B46</f>
        <v>0.23749999999999999</v>
      </c>
      <c r="C26" s="730">
        <f>B26</f>
        <v>0.23749999999999999</v>
      </c>
      <c r="D26" s="733">
        <f>$D$24*B26</f>
        <v>283254.61249999999</v>
      </c>
      <c r="E26" s="733">
        <f>$E$24*C26</f>
        <v>288919.7</v>
      </c>
    </row>
    <row r="27" spans="1:5" ht="13.5">
      <c r="A27" s="781"/>
      <c r="D27" s="733">
        <v>0</v>
      </c>
      <c r="E27" s="733">
        <v>0</v>
      </c>
    </row>
    <row r="28" spans="1:5">
      <c r="A28" t="s">
        <v>346</v>
      </c>
      <c r="B28" s="730">
        <f>CSRM300SAL!B47</f>
        <v>3.0869999999999999E-3</v>
      </c>
      <c r="C28" s="730">
        <f>B28</f>
        <v>3.0869999999999999E-3</v>
      </c>
      <c r="D28" s="733">
        <f>$D$24*B28</f>
        <v>3681.7136369999998</v>
      </c>
      <c r="E28" s="733">
        <f>$E$24*C28</f>
        <v>3755.3478479999999</v>
      </c>
    </row>
    <row r="29" spans="1:5">
      <c r="A29" t="s">
        <v>220</v>
      </c>
      <c r="B29" s="730">
        <f>CSRM300SAL!B48</f>
        <v>3.009E-3</v>
      </c>
      <c r="C29" s="730">
        <f>B29</f>
        <v>3.009E-3</v>
      </c>
      <c r="D29" s="733">
        <f>$D$24*B29</f>
        <v>3588.6868589999999</v>
      </c>
      <c r="E29" s="733">
        <f>$E$24*C29</f>
        <v>3660.460536</v>
      </c>
    </row>
    <row r="30" spans="1:5">
      <c r="A30" t="s">
        <v>57</v>
      </c>
      <c r="B30" s="730">
        <f>CSRM300SAL!B49</f>
        <v>1.3901999999999999E-2</v>
      </c>
      <c r="C30" s="730">
        <f>B30</f>
        <v>1.3901999999999999E-2</v>
      </c>
      <c r="D30" s="733">
        <f>$D$24*B30</f>
        <v>16580.234202</v>
      </c>
      <c r="E30" s="733">
        <f>$E$24*C30</f>
        <v>16911.838607999998</v>
      </c>
    </row>
    <row r="31" spans="1:5">
      <c r="A31" t="s">
        <v>221</v>
      </c>
      <c r="B31" s="729">
        <f>CSRM300SAL!B50</f>
        <v>6980.69</v>
      </c>
      <c r="C31" s="729">
        <f>M300SAL!C64</f>
        <v>6980.69</v>
      </c>
      <c r="D31" s="733">
        <f>23.5*B31</f>
        <v>164046.215</v>
      </c>
      <c r="E31" s="733">
        <f>23.5*C31</f>
        <v>164046.215</v>
      </c>
    </row>
    <row r="32" spans="1:5" ht="13.5" thickBot="1">
      <c r="A32" t="s">
        <v>58</v>
      </c>
      <c r="B32" s="730">
        <f>CSRM300SAL!B51</f>
        <v>5.3569999999999998E-3</v>
      </c>
      <c r="C32" s="730">
        <f>B32</f>
        <v>5.3569999999999998E-3</v>
      </c>
      <c r="D32" s="733">
        <f>$D$24*B32</f>
        <v>6389.0314069999995</v>
      </c>
      <c r="E32" s="733">
        <f>$E$24*C32</f>
        <v>6516.8119280000001</v>
      </c>
    </row>
    <row r="33" spans="1:5" ht="13.5" thickBot="1">
      <c r="A33" s="734" t="s">
        <v>44</v>
      </c>
      <c r="B33" s="739"/>
      <c r="C33" s="739"/>
      <c r="D33" s="736">
        <f>SUM(D24:D32)-D10</f>
        <v>26834.647499999963</v>
      </c>
      <c r="E33" s="737">
        <f>SUM(E24:E32)-E10</f>
        <v>27371.340000000084</v>
      </c>
    </row>
    <row r="35" spans="1:5">
      <c r="A35" s="732" t="s">
        <v>448</v>
      </c>
    </row>
    <row r="36" spans="1:5">
      <c r="A36" t="s">
        <v>53</v>
      </c>
      <c r="D36" s="733">
        <f>CSRE670SAL!F6-CSRBASESAL!F5</f>
        <v>-29816</v>
      </c>
      <c r="E36" s="733">
        <f>CSRE670SAL!H6-CSRBASESAL!H5</f>
        <v>-30412</v>
      </c>
    </row>
    <row r="37" spans="1:5">
      <c r="A37" t="s">
        <v>219</v>
      </c>
      <c r="B37">
        <f>$B$3</f>
        <v>2012</v>
      </c>
      <c r="C37">
        <f>$C$3</f>
        <v>2013</v>
      </c>
    </row>
    <row r="38" spans="1:5">
      <c r="A38" t="s">
        <v>55</v>
      </c>
      <c r="B38" s="730">
        <f>CSRE670SAL!B49</f>
        <v>0.23749999999999999</v>
      </c>
      <c r="C38" s="730">
        <f>B38</f>
        <v>0.23749999999999999</v>
      </c>
      <c r="D38" s="733">
        <f>$D$36*B38</f>
        <v>-7081.2999999999993</v>
      </c>
      <c r="E38" s="733">
        <f>$E$36*C38</f>
        <v>-7222.8499999999995</v>
      </c>
    </row>
    <row r="39" spans="1:5" ht="13.5">
      <c r="A39" s="781"/>
    </row>
    <row r="40" spans="1:5">
      <c r="A40" t="s">
        <v>346</v>
      </c>
      <c r="B40" s="730">
        <f>CSRE670SAL!B50</f>
        <v>3.0869999999999999E-3</v>
      </c>
      <c r="C40" s="730">
        <f>B40</f>
        <v>3.0869999999999999E-3</v>
      </c>
      <c r="D40" s="733">
        <f>$D$36*B40</f>
        <v>-92.041991999999993</v>
      </c>
      <c r="E40" s="733">
        <f>$E$36*C40</f>
        <v>-93.881844000000001</v>
      </c>
    </row>
    <row r="41" spans="1:5">
      <c r="A41" t="s">
        <v>220</v>
      </c>
      <c r="B41" s="730">
        <f>CSRE670SAL!B51</f>
        <v>3.009E-3</v>
      </c>
      <c r="C41" s="730">
        <f>B41</f>
        <v>3.009E-3</v>
      </c>
      <c r="D41" s="733">
        <f>$D$36*B41</f>
        <v>-89.716343999999992</v>
      </c>
      <c r="E41" s="733">
        <f>$E$36*C41</f>
        <v>-91.509708000000003</v>
      </c>
    </row>
    <row r="42" spans="1:5">
      <c r="A42" t="s">
        <v>57</v>
      </c>
      <c r="B42" s="730">
        <f>CSRE670SAL!B52</f>
        <v>1.3901999999999999E-2</v>
      </c>
      <c r="C42" s="730">
        <f>B42</f>
        <v>1.3901999999999999E-2</v>
      </c>
      <c r="D42" s="733">
        <f>$D$36*B42</f>
        <v>-414.50203199999999</v>
      </c>
      <c r="E42" s="733">
        <f>$E$36*C42</f>
        <v>-422.78762399999999</v>
      </c>
    </row>
    <row r="43" spans="1:5">
      <c r="A43" t="s">
        <v>221</v>
      </c>
      <c r="B43" s="729">
        <f>CSRE670SAL!B53</f>
        <v>6980.69</v>
      </c>
      <c r="C43" s="729">
        <f>C31</f>
        <v>6980.69</v>
      </c>
      <c r="D43" s="733">
        <f>0</f>
        <v>0</v>
      </c>
      <c r="E43" s="733">
        <v>0</v>
      </c>
    </row>
    <row r="44" spans="1:5" ht="13.5" thickBot="1">
      <c r="A44" t="s">
        <v>58</v>
      </c>
      <c r="B44" s="730">
        <f>CSRE670SAL!B54</f>
        <v>5.3569999999999998E-3</v>
      </c>
      <c r="C44" s="730">
        <f>B44</f>
        <v>5.3569999999999998E-3</v>
      </c>
      <c r="D44" s="733">
        <f>$D$36*B44</f>
        <v>-159.724312</v>
      </c>
      <c r="E44" s="733">
        <f>$E$36*C44</f>
        <v>-162.91708399999999</v>
      </c>
    </row>
    <row r="45" spans="1:5" ht="13.5" thickBot="1">
      <c r="A45" s="734" t="s">
        <v>44</v>
      </c>
      <c r="B45" s="739"/>
      <c r="C45" s="739"/>
      <c r="D45" s="736">
        <f>SUM(D36:D44)</f>
        <v>-37653.284679999997</v>
      </c>
      <c r="E45" s="737">
        <f>SUM(E36:E44)</f>
        <v>-38405.946259999997</v>
      </c>
    </row>
    <row r="47" spans="1:5">
      <c r="A47" s="732" t="s">
        <v>445</v>
      </c>
    </row>
    <row r="48" spans="1:5">
      <c r="A48" t="s">
        <v>53</v>
      </c>
      <c r="D48" s="733">
        <f>CSRE671SAL!F6-CSRE670SAL!F6</f>
        <v>0</v>
      </c>
      <c r="E48" s="733">
        <f>CSRE671SAL!H6-CSRE670SAL!H6</f>
        <v>0</v>
      </c>
    </row>
    <row r="49" spans="1:5">
      <c r="A49" t="s">
        <v>219</v>
      </c>
      <c r="B49">
        <f>$B$3</f>
        <v>2012</v>
      </c>
      <c r="C49">
        <f>$C$3</f>
        <v>2013</v>
      </c>
    </row>
    <row r="50" spans="1:5">
      <c r="A50" t="s">
        <v>55</v>
      </c>
      <c r="B50" s="730">
        <f>CSRE671SAL!B49</f>
        <v>0.23749999999999999</v>
      </c>
      <c r="C50" s="730">
        <f>CSRE671SAL!C49</f>
        <v>0.23749999999999999</v>
      </c>
      <c r="D50" s="733">
        <f>$D$48*B50</f>
        <v>0</v>
      </c>
      <c r="E50" s="733">
        <f>$E$48*C50</f>
        <v>0</v>
      </c>
    </row>
    <row r="51" spans="1:5" ht="13.5">
      <c r="A51" s="731"/>
    </row>
    <row r="52" spans="1:5">
      <c r="A52" t="s">
        <v>346</v>
      </c>
      <c r="B52" s="730">
        <f>CSRE671SAL!B50</f>
        <v>3.0869999999999999E-3</v>
      </c>
      <c r="C52" s="730">
        <f>CSRE671SAL!C50</f>
        <v>3.0869999999999999E-3</v>
      </c>
      <c r="D52" s="733">
        <f>$D$48*B52</f>
        <v>0</v>
      </c>
      <c r="E52" s="733">
        <f>$E$48*C52</f>
        <v>0</v>
      </c>
    </row>
    <row r="53" spans="1:5">
      <c r="A53" t="s">
        <v>220</v>
      </c>
      <c r="B53" s="730">
        <f>CSRE671SAL!B51</f>
        <v>3.009E-3</v>
      </c>
      <c r="C53" s="730">
        <f>CSRE671SAL!C51</f>
        <v>3.009E-3</v>
      </c>
      <c r="D53" s="733">
        <f>$D$48*B53</f>
        <v>0</v>
      </c>
      <c r="E53" s="733">
        <f>$E$48*C53</f>
        <v>0</v>
      </c>
    </row>
    <row r="54" spans="1:5">
      <c r="A54" t="s">
        <v>57</v>
      </c>
      <c r="B54" s="730">
        <f>CSRE671SAL!B52</f>
        <v>1.3901999999999999E-2</v>
      </c>
      <c r="C54" s="730">
        <f>CSRE671SAL!C52</f>
        <v>1.3901999999999999E-2</v>
      </c>
      <c r="D54" s="733">
        <f>$D$48*B54</f>
        <v>0</v>
      </c>
      <c r="E54" s="733">
        <f>$E$48*C54</f>
        <v>0</v>
      </c>
    </row>
    <row r="55" spans="1:5">
      <c r="A55" t="s">
        <v>221</v>
      </c>
      <c r="B55" s="729">
        <f>CSRE671SAL!B53</f>
        <v>6980.69</v>
      </c>
      <c r="C55" s="729">
        <f>CSRE671SAL!C53</f>
        <v>6980.69</v>
      </c>
      <c r="D55" s="733">
        <v>0</v>
      </c>
    </row>
    <row r="56" spans="1:5" ht="13.5" thickBot="1">
      <c r="A56" t="s">
        <v>58</v>
      </c>
      <c r="B56" s="730">
        <f>CSRE671SAL!B54</f>
        <v>5.3569999999999998E-3</v>
      </c>
      <c r="C56" s="730">
        <f>CSRE671SAL!C54</f>
        <v>5.3569999999999998E-3</v>
      </c>
      <c r="D56" s="733">
        <f>$D$48*B56</f>
        <v>0</v>
      </c>
      <c r="E56" s="733">
        <f>$E$48*C56</f>
        <v>0</v>
      </c>
    </row>
    <row r="57" spans="1:5" ht="13.5" thickBot="1">
      <c r="A57" s="734" t="s">
        <v>44</v>
      </c>
      <c r="B57" s="739"/>
      <c r="C57" s="739"/>
      <c r="D57" s="736">
        <f>SUM(D48:D56)</f>
        <v>0</v>
      </c>
      <c r="E57" s="737">
        <f>SUM(E48:E56)</f>
        <v>0</v>
      </c>
    </row>
    <row r="59" spans="1:5">
      <c r="A59" s="820" t="s">
        <v>498</v>
      </c>
    </row>
    <row r="60" spans="1:5">
      <c r="A60" t="s">
        <v>53</v>
      </c>
      <c r="D60" s="733">
        <f>(D24+D36+D48)*0.946925-(D24+D36+D48)</f>
        <v>-61717.467625000048</v>
      </c>
      <c r="E60" s="733">
        <f>(E24+E36+E48)*0.946925-(E24+E36+E48)</f>
        <v>-62951.832900000038</v>
      </c>
    </row>
    <row r="61" spans="1:5">
      <c r="A61" t="s">
        <v>219</v>
      </c>
      <c r="B61">
        <f>$B$3</f>
        <v>2012</v>
      </c>
      <c r="C61">
        <f>$C$3</f>
        <v>2013</v>
      </c>
    </row>
    <row r="62" spans="1:5">
      <c r="A62" t="s">
        <v>55</v>
      </c>
      <c r="B62" s="730">
        <f>B50</f>
        <v>0.23749999999999999</v>
      </c>
      <c r="C62" s="730">
        <f>C50</f>
        <v>0.23749999999999999</v>
      </c>
      <c r="D62" s="733">
        <f>D60*B62</f>
        <v>-14657.89856093751</v>
      </c>
      <c r="E62" s="733">
        <f>E60*C62</f>
        <v>-14951.060313750007</v>
      </c>
    </row>
    <row r="63" spans="1:5" ht="13.5">
      <c r="A63" s="731"/>
    </row>
    <row r="64" spans="1:5">
      <c r="A64" t="s">
        <v>346</v>
      </c>
      <c r="B64" s="730">
        <f>B52</f>
        <v>3.0869999999999999E-3</v>
      </c>
      <c r="C64" s="730">
        <f>C52</f>
        <v>3.0869999999999999E-3</v>
      </c>
      <c r="D64" s="733">
        <f>D60*B64</f>
        <v>-190.52182255837513</v>
      </c>
      <c r="E64" s="733">
        <f>E60*C64</f>
        <v>-194.33230816230011</v>
      </c>
    </row>
    <row r="65" spans="1:5">
      <c r="A65" t="s">
        <v>220</v>
      </c>
      <c r="B65" s="730">
        <f t="shared" ref="B65:C66" si="2">B53</f>
        <v>3.009E-3</v>
      </c>
      <c r="C65" s="730">
        <f t="shared" si="2"/>
        <v>3.009E-3</v>
      </c>
      <c r="D65" s="733">
        <f>D60*B65</f>
        <v>-185.70786008362515</v>
      </c>
      <c r="E65" s="733">
        <f>E60*C65</f>
        <v>-189.42206519610011</v>
      </c>
    </row>
    <row r="66" spans="1:5">
      <c r="A66" t="s">
        <v>57</v>
      </c>
      <c r="B66" s="730">
        <f t="shared" si="2"/>
        <v>1.3901999999999999E-2</v>
      </c>
      <c r="C66" s="730">
        <f t="shared" si="2"/>
        <v>1.3901999999999999E-2</v>
      </c>
      <c r="D66" s="733">
        <f>D60*B66</f>
        <v>-857.99623492275066</v>
      </c>
      <c r="E66" s="733">
        <f>E60*C66</f>
        <v>-875.15638097580052</v>
      </c>
    </row>
    <row r="67" spans="1:5">
      <c r="A67" t="s">
        <v>221</v>
      </c>
      <c r="B67" s="729">
        <v>0</v>
      </c>
      <c r="C67" s="729">
        <v>0</v>
      </c>
      <c r="D67" s="733">
        <v>0</v>
      </c>
      <c r="E67" s="733">
        <v>0</v>
      </c>
    </row>
    <row r="68" spans="1:5" ht="13.5" thickBot="1">
      <c r="A68" t="s">
        <v>58</v>
      </c>
      <c r="B68" s="730">
        <f>B56</f>
        <v>5.3569999999999998E-3</v>
      </c>
      <c r="C68" s="730">
        <f>C56</f>
        <v>5.3569999999999998E-3</v>
      </c>
      <c r="D68" s="733">
        <f>D60*B68</f>
        <v>-330.62047406712526</v>
      </c>
      <c r="E68" s="733">
        <f>E60*C68</f>
        <v>-337.23296884530021</v>
      </c>
    </row>
    <row r="69" spans="1:5" ht="13.5" thickBot="1">
      <c r="A69" s="734" t="s">
        <v>44</v>
      </c>
      <c r="B69" s="739"/>
      <c r="C69" s="739"/>
      <c r="D69" s="736">
        <f>SUM(D60:D68)</f>
        <v>-77940.212577569444</v>
      </c>
      <c r="E69" s="737">
        <f>SUM(E60:E68)</f>
        <v>-79499.036936929522</v>
      </c>
    </row>
    <row r="70" spans="1:5">
      <c r="A70" t="s">
        <v>221</v>
      </c>
      <c r="B70" s="740"/>
      <c r="C70" s="740"/>
    </row>
    <row r="71" spans="1:5" ht="13.5" thickBot="1"/>
    <row r="72" spans="1:5" ht="13.5" thickBot="1">
      <c r="A72" s="734" t="s">
        <v>433</v>
      </c>
      <c r="B72" s="739"/>
      <c r="C72" s="739"/>
      <c r="D72" s="736">
        <f>D10+D21+D33+D45+D57+D69</f>
        <v>1554597.9963474306</v>
      </c>
      <c r="E72" s="737">
        <f>E10+E21+E33+E45+E57+E69</f>
        <v>1582409.3907230706</v>
      </c>
    </row>
    <row r="74" spans="1:5">
      <c r="A74" t="s">
        <v>313</v>
      </c>
    </row>
  </sheetData>
  <phoneticPr fontId="21" type="noConversion"/>
  <pageMargins left="0.75" right="0.75" top="1" bottom="1" header="0.5" footer="0.5"/>
  <pageSetup scale="69" orientation="portrait" r:id="rId1"/>
  <headerFooter alignWithMargins="0">
    <oddHeader>&amp;C&amp;A</oddHeader>
  </headerFooter>
  <extLst>
    <ext xmlns:mx="http://schemas.microsoft.com/office/mac/excel/2008/main" uri="http://schemas.microsoft.com/office/mac/excel/2008/main">
      <mx:PLV Mode="0" OnePage="0" WScale="0"/>
    </ext>
  </extLst>
</worksheet>
</file>

<file path=xl/worksheets/sheet24.xml><?xml version="1.0" encoding="utf-8"?>
<worksheet xmlns="http://schemas.openxmlformats.org/spreadsheetml/2006/main" xmlns:r="http://schemas.openxmlformats.org/officeDocument/2006/relationships">
  <sheetPr codeName="Sheet17" enableFormatConditionsCalculation="0">
    <pageSetUpPr fitToPage="1"/>
  </sheetPr>
  <dimension ref="A1:S37"/>
  <sheetViews>
    <sheetView workbookViewId="0">
      <selection activeCell="E24" sqref="E24"/>
    </sheetView>
  </sheetViews>
  <sheetFormatPr defaultColWidth="8.85546875" defaultRowHeight="13.5"/>
  <cols>
    <col min="1" max="1" width="17.42578125" style="39" customWidth="1"/>
    <col min="2" max="11" width="9.7109375" style="64" customWidth="1"/>
    <col min="12" max="13" width="9.7109375" style="39" customWidth="1"/>
    <col min="14" max="14" width="9.7109375" style="9" customWidth="1"/>
    <col min="15" max="19" width="9.7109375" style="64" customWidth="1"/>
    <col min="20" max="16384" width="8.85546875" style="9"/>
  </cols>
  <sheetData>
    <row r="1" spans="1:19">
      <c r="A1" s="539" t="s">
        <v>70</v>
      </c>
      <c r="B1" s="540"/>
      <c r="C1" s="540"/>
      <c r="D1" s="540"/>
      <c r="E1" s="540"/>
      <c r="F1" s="540"/>
      <c r="G1" s="540"/>
      <c r="H1" s="540"/>
      <c r="I1" s="540"/>
      <c r="J1" s="540"/>
      <c r="K1" s="540"/>
      <c r="L1" s="541"/>
      <c r="M1" s="541"/>
      <c r="N1" s="542"/>
      <c r="O1" s="543"/>
      <c r="P1" s="543"/>
      <c r="Q1" s="543"/>
      <c r="R1" s="543"/>
      <c r="S1" s="543"/>
    </row>
    <row r="2" spans="1:19">
      <c r="A2" s="544" t="s">
        <v>71</v>
      </c>
      <c r="B2" s="545"/>
      <c r="C2" s="545"/>
      <c r="D2" s="545"/>
      <c r="E2" s="545"/>
      <c r="F2" s="545"/>
      <c r="G2" s="545"/>
      <c r="H2" s="545"/>
      <c r="I2" s="545"/>
      <c r="J2" s="545"/>
      <c r="K2" s="545"/>
      <c r="L2" s="546"/>
      <c r="M2" s="546"/>
      <c r="N2" s="546"/>
      <c r="O2" s="547"/>
      <c r="P2" s="547"/>
      <c r="Q2" s="547"/>
      <c r="R2" s="547"/>
      <c r="S2" s="547"/>
    </row>
    <row r="3" spans="1:19">
      <c r="A3" s="99" t="s">
        <v>72</v>
      </c>
      <c r="B3" s="548" t="s">
        <v>73</v>
      </c>
      <c r="C3" s="548" t="s">
        <v>74</v>
      </c>
      <c r="D3" s="548" t="s">
        <v>75</v>
      </c>
      <c r="E3" s="548" t="s">
        <v>76</v>
      </c>
      <c r="F3" s="548" t="s">
        <v>77</v>
      </c>
      <c r="G3" s="548" t="s">
        <v>78</v>
      </c>
      <c r="H3" s="548" t="s">
        <v>79</v>
      </c>
      <c r="I3" s="548" t="s">
        <v>80</v>
      </c>
      <c r="J3" s="548" t="s">
        <v>81</v>
      </c>
      <c r="K3" s="548" t="s">
        <v>82</v>
      </c>
      <c r="L3" s="100" t="s">
        <v>83</v>
      </c>
      <c r="M3" s="100" t="s">
        <v>84</v>
      </c>
      <c r="N3" s="100" t="s">
        <v>297</v>
      </c>
      <c r="O3" s="548" t="s">
        <v>298</v>
      </c>
      <c r="P3" s="548" t="s">
        <v>182</v>
      </c>
      <c r="Q3" s="549" t="s">
        <v>183</v>
      </c>
      <c r="R3" s="549" t="s">
        <v>269</v>
      </c>
      <c r="S3" s="549" t="s">
        <v>268</v>
      </c>
    </row>
    <row r="4" spans="1:19">
      <c r="A4" s="39" t="s">
        <v>85</v>
      </c>
      <c r="B4" s="64">
        <v>1323514</v>
      </c>
      <c r="C4" s="64">
        <v>299943</v>
      </c>
      <c r="D4" s="64">
        <v>252483.97</v>
      </c>
      <c r="E4" s="64">
        <v>486502</v>
      </c>
      <c r="F4" s="64">
        <v>425613</v>
      </c>
      <c r="G4" s="64">
        <v>500285</v>
      </c>
      <c r="H4" s="64">
        <v>685390</v>
      </c>
      <c r="I4" s="550">
        <v>370593.22</v>
      </c>
      <c r="J4" s="550">
        <v>692836.62</v>
      </c>
      <c r="K4" s="64">
        <v>520234.62</v>
      </c>
      <c r="L4" s="64">
        <v>1028468.68</v>
      </c>
      <c r="M4" s="64">
        <v>2267817.02</v>
      </c>
      <c r="N4" s="64">
        <v>1051453.8899999999</v>
      </c>
      <c r="O4" s="64">
        <v>1784732.35</v>
      </c>
      <c r="P4" s="64">
        <v>711629.07</v>
      </c>
      <c r="Q4" s="64">
        <v>689666.73</v>
      </c>
      <c r="R4" s="64">
        <v>748353.93</v>
      </c>
      <c r="S4" s="64">
        <v>35582.35</v>
      </c>
    </row>
    <row r="5" spans="1:19">
      <c r="A5" s="39" t="s">
        <v>86</v>
      </c>
      <c r="B5" s="64">
        <v>2421923</v>
      </c>
      <c r="C5" s="64">
        <v>182753</v>
      </c>
      <c r="D5" s="64">
        <v>858390.86</v>
      </c>
      <c r="E5" s="64">
        <v>315766</v>
      </c>
      <c r="F5" s="64">
        <v>1355203</v>
      </c>
      <c r="G5" s="64">
        <v>968898</v>
      </c>
      <c r="H5" s="64">
        <v>561722</v>
      </c>
      <c r="I5" s="550">
        <v>788956.04</v>
      </c>
      <c r="J5" s="550">
        <v>322330.65000000002</v>
      </c>
      <c r="K5" s="64">
        <v>1065999.57</v>
      </c>
      <c r="L5" s="64">
        <v>15729199.73</v>
      </c>
      <c r="M5" s="64">
        <v>1273249.8999999999</v>
      </c>
      <c r="N5" s="64">
        <v>1184425.99</v>
      </c>
      <c r="O5" s="64">
        <v>893088.22</v>
      </c>
      <c r="P5" s="64">
        <v>941499.59</v>
      </c>
      <c r="Q5" s="64">
        <v>870547.18</v>
      </c>
      <c r="R5" s="64">
        <v>765632.77</v>
      </c>
      <c r="S5" s="64">
        <v>33874.58</v>
      </c>
    </row>
    <row r="6" spans="1:19">
      <c r="A6" s="39" t="s">
        <v>87</v>
      </c>
      <c r="B6" s="64">
        <v>106915</v>
      </c>
      <c r="C6" s="64">
        <v>107785</v>
      </c>
      <c r="D6" s="64">
        <v>58707.89</v>
      </c>
      <c r="E6" s="64">
        <v>349888.86</v>
      </c>
      <c r="F6" s="64">
        <v>795812</v>
      </c>
      <c r="G6" s="64">
        <v>2705015</v>
      </c>
      <c r="H6" s="64">
        <v>4916368</v>
      </c>
      <c r="I6" s="550">
        <v>1356557</v>
      </c>
      <c r="J6" s="550">
        <v>1845389.33</v>
      </c>
      <c r="K6" s="64">
        <v>441970.04</v>
      </c>
      <c r="L6" s="64">
        <v>827459.03</v>
      </c>
      <c r="M6" s="64">
        <v>1900690.12</v>
      </c>
      <c r="N6" s="64">
        <v>837368.3</v>
      </c>
      <c r="O6" s="64">
        <v>2525666.14</v>
      </c>
      <c r="P6" s="64">
        <v>3135248.59</v>
      </c>
      <c r="Q6" s="64">
        <v>3003811.9</v>
      </c>
      <c r="R6" s="64">
        <v>892660.9</v>
      </c>
      <c r="S6" s="64">
        <v>304493.69</v>
      </c>
    </row>
    <row r="7" spans="1:19">
      <c r="A7" s="39" t="s">
        <v>88</v>
      </c>
      <c r="B7" s="64">
        <v>196001</v>
      </c>
      <c r="C7" s="64">
        <v>107785</v>
      </c>
      <c r="D7" s="64">
        <v>135073.69</v>
      </c>
      <c r="E7" s="64">
        <v>2917780.02</v>
      </c>
      <c r="F7" s="64">
        <v>1022304</v>
      </c>
      <c r="G7" s="64">
        <v>1795996</v>
      </c>
      <c r="H7" s="64">
        <v>441313</v>
      </c>
      <c r="I7" s="550">
        <v>1005939.79</v>
      </c>
      <c r="J7" s="550">
        <v>1107998.1599999999</v>
      </c>
      <c r="K7" s="64">
        <v>954260.67</v>
      </c>
      <c r="L7" s="64">
        <v>944921.34</v>
      </c>
      <c r="M7" s="64">
        <v>612870.24</v>
      </c>
      <c r="N7" s="64">
        <v>1294072.48</v>
      </c>
      <c r="O7" s="64">
        <v>1118851.08</v>
      </c>
      <c r="P7" s="64">
        <v>345663.32</v>
      </c>
      <c r="Q7" s="64">
        <v>1211895.71</v>
      </c>
      <c r="R7" s="64">
        <v>81675.08</v>
      </c>
      <c r="S7" s="64">
        <v>5377.48</v>
      </c>
    </row>
    <row r="8" spans="1:19">
      <c r="A8" s="39" t="s">
        <v>89</v>
      </c>
      <c r="B8" s="64">
        <v>248200</v>
      </c>
      <c r="C8" s="64">
        <v>601822</v>
      </c>
      <c r="D8" s="64">
        <v>219974.35</v>
      </c>
      <c r="E8" s="64">
        <v>235261</v>
      </c>
      <c r="F8" s="64">
        <v>255252</v>
      </c>
      <c r="G8" s="64">
        <v>625817</v>
      </c>
      <c r="H8" s="64">
        <v>610097</v>
      </c>
      <c r="I8" s="550">
        <v>1202398.94</v>
      </c>
      <c r="J8" s="550">
        <v>2015210.16</v>
      </c>
      <c r="K8" s="64">
        <v>541157.93000000005</v>
      </c>
      <c r="L8" s="64">
        <v>1162726.1100000001</v>
      </c>
      <c r="M8" s="64">
        <v>2737134.7</v>
      </c>
      <c r="N8" s="64">
        <v>711739.23</v>
      </c>
      <c r="O8" s="64">
        <v>1830766.68</v>
      </c>
      <c r="P8" s="64">
        <v>1123804.74</v>
      </c>
      <c r="Q8" s="64">
        <v>640579.03</v>
      </c>
      <c r="R8" s="64">
        <v>53674.12</v>
      </c>
    </row>
    <row r="9" spans="1:19">
      <c r="A9" s="39" t="s">
        <v>90</v>
      </c>
      <c r="B9" s="64">
        <v>34950</v>
      </c>
      <c r="C9" s="64">
        <v>865616</v>
      </c>
      <c r="D9" s="64">
        <v>337192</v>
      </c>
      <c r="E9" s="64">
        <v>1266388</v>
      </c>
      <c r="F9" s="64">
        <v>2564003</v>
      </c>
      <c r="G9" s="64">
        <v>524698</v>
      </c>
      <c r="H9" s="64">
        <v>360998</v>
      </c>
      <c r="I9" s="550">
        <v>1243388.1499999999</v>
      </c>
      <c r="J9" s="550">
        <v>1205294.0900000001</v>
      </c>
      <c r="K9" s="64">
        <v>407531.38</v>
      </c>
      <c r="L9" s="64">
        <v>1626641.43</v>
      </c>
      <c r="M9" s="64">
        <v>953441.99</v>
      </c>
      <c r="N9" s="64">
        <v>2156869.38</v>
      </c>
      <c r="O9" s="64">
        <v>1017170.06</v>
      </c>
      <c r="P9" s="64">
        <v>408855.93</v>
      </c>
      <c r="Q9" s="64">
        <v>914351.9</v>
      </c>
      <c r="R9" s="64">
        <v>83585.899999999994</v>
      </c>
    </row>
    <row r="10" spans="1:19">
      <c r="A10" s="39" t="s">
        <v>91</v>
      </c>
      <c r="B10" s="64">
        <v>122364</v>
      </c>
      <c r="C10" s="64">
        <v>70677</v>
      </c>
      <c r="D10" s="64">
        <v>411128.5</v>
      </c>
      <c r="E10" s="64">
        <v>331987</v>
      </c>
      <c r="F10" s="64">
        <v>1563948</v>
      </c>
      <c r="G10" s="64">
        <v>338079</v>
      </c>
      <c r="H10" s="64">
        <v>599090</v>
      </c>
      <c r="I10" s="550">
        <v>642847.15</v>
      </c>
      <c r="J10" s="550">
        <v>572944.12</v>
      </c>
      <c r="K10" s="64">
        <v>529126.65</v>
      </c>
      <c r="L10" s="64">
        <v>976206.13</v>
      </c>
      <c r="M10" s="64">
        <v>1019154.89</v>
      </c>
      <c r="N10" s="64">
        <v>1013032.51</v>
      </c>
      <c r="O10" s="64">
        <v>870263.46</v>
      </c>
      <c r="P10" s="64">
        <v>482118.82</v>
      </c>
      <c r="Q10" s="64">
        <v>501609.65</v>
      </c>
      <c r="R10" s="64">
        <v>409426</v>
      </c>
    </row>
    <row r="11" spans="1:19">
      <c r="A11" s="39" t="s">
        <v>92</v>
      </c>
      <c r="B11" s="64">
        <v>135470</v>
      </c>
      <c r="C11" s="64">
        <v>373243</v>
      </c>
      <c r="D11" s="64">
        <v>507366.15</v>
      </c>
      <c r="E11" s="64">
        <v>374947</v>
      </c>
      <c r="F11" s="64">
        <v>440556</v>
      </c>
      <c r="G11" s="64">
        <v>345384</v>
      </c>
      <c r="H11" s="64">
        <v>1047192</v>
      </c>
      <c r="I11" s="550">
        <v>631818.49</v>
      </c>
      <c r="J11" s="550">
        <v>2070338.23</v>
      </c>
      <c r="K11" s="64">
        <v>605334.18000000005</v>
      </c>
      <c r="L11" s="64">
        <v>283804.96000000002</v>
      </c>
      <c r="M11" s="64">
        <v>3809073.89</v>
      </c>
      <c r="N11" s="64">
        <v>365840.17</v>
      </c>
      <c r="O11" s="64">
        <v>713005.42</v>
      </c>
      <c r="P11" s="64">
        <v>699861.09</v>
      </c>
      <c r="Q11" s="64">
        <v>662631.51</v>
      </c>
      <c r="R11" s="64">
        <v>30944.53</v>
      </c>
    </row>
    <row r="12" spans="1:19">
      <c r="A12" s="39" t="s">
        <v>93</v>
      </c>
      <c r="B12" s="64">
        <v>122641</v>
      </c>
      <c r="C12" s="64">
        <v>522088</v>
      </c>
      <c r="D12" s="64">
        <v>244005.64</v>
      </c>
      <c r="E12" s="64">
        <v>1506524</v>
      </c>
      <c r="F12" s="64">
        <v>1329438</v>
      </c>
      <c r="G12" s="64">
        <v>803215</v>
      </c>
      <c r="H12" s="64">
        <v>3846855</v>
      </c>
      <c r="I12" s="550">
        <v>2960069.77</v>
      </c>
      <c r="J12" s="64">
        <v>1378277.73</v>
      </c>
      <c r="K12" s="64">
        <v>719584.75</v>
      </c>
      <c r="L12" s="64">
        <v>14010911.800000001</v>
      </c>
      <c r="M12" s="64">
        <v>1954484.83</v>
      </c>
      <c r="N12" s="64">
        <v>2406418.7799999998</v>
      </c>
      <c r="O12" s="64">
        <v>818189.6</v>
      </c>
      <c r="P12" s="64">
        <v>1899531.55</v>
      </c>
      <c r="Q12" s="64">
        <v>625685.82999999996</v>
      </c>
      <c r="R12" s="64">
        <v>75338.789999999994</v>
      </c>
    </row>
    <row r="13" spans="1:19">
      <c r="A13" s="39" t="s">
        <v>94</v>
      </c>
      <c r="B13" s="64">
        <v>140392</v>
      </c>
      <c r="C13" s="64">
        <v>623905</v>
      </c>
      <c r="D13" s="64">
        <v>202785.92000000001</v>
      </c>
      <c r="E13" s="64">
        <v>204061.63</v>
      </c>
      <c r="F13" s="64">
        <v>258551</v>
      </c>
      <c r="G13" s="64">
        <v>983723</v>
      </c>
      <c r="H13" s="64">
        <v>352806</v>
      </c>
      <c r="I13" s="550">
        <v>706350.47</v>
      </c>
      <c r="J13" s="64">
        <v>910680.32</v>
      </c>
      <c r="K13" s="64">
        <v>872410</v>
      </c>
      <c r="L13" s="64">
        <v>279283.19</v>
      </c>
      <c r="M13" s="64">
        <v>1298822.8400000001</v>
      </c>
      <c r="N13" s="64">
        <v>1744542.88</v>
      </c>
      <c r="O13" s="64">
        <v>741614.29</v>
      </c>
      <c r="P13" s="64">
        <v>921223.45</v>
      </c>
      <c r="Q13" s="64">
        <v>230132.51</v>
      </c>
      <c r="R13" s="64">
        <v>25173.9</v>
      </c>
    </row>
    <row r="14" spans="1:19">
      <c r="A14" s="39" t="s">
        <v>95</v>
      </c>
      <c r="B14" s="64">
        <v>287432</v>
      </c>
      <c r="C14" s="64">
        <v>302594</v>
      </c>
      <c r="D14" s="64">
        <v>860735</v>
      </c>
      <c r="E14" s="64">
        <v>97761.9</v>
      </c>
      <c r="F14" s="64">
        <v>282777</v>
      </c>
      <c r="G14" s="64">
        <v>863409</v>
      </c>
      <c r="H14" s="64">
        <v>251216</v>
      </c>
      <c r="I14" s="550">
        <v>1079426.74</v>
      </c>
      <c r="J14" s="64">
        <v>270701.84999999998</v>
      </c>
      <c r="K14" s="64">
        <v>520053.48</v>
      </c>
      <c r="L14" s="64">
        <v>581344.46</v>
      </c>
      <c r="M14" s="64">
        <v>1255368.07</v>
      </c>
      <c r="N14" s="64">
        <v>1440565.95</v>
      </c>
      <c r="O14" s="64">
        <v>993364.38</v>
      </c>
      <c r="P14" s="64">
        <v>705506.27</v>
      </c>
      <c r="Q14" s="64">
        <v>285598.36</v>
      </c>
      <c r="R14" s="64">
        <v>20085.02</v>
      </c>
    </row>
    <row r="15" spans="1:19">
      <c r="A15" s="39" t="s">
        <v>96</v>
      </c>
      <c r="B15" s="55">
        <v>620402</v>
      </c>
      <c r="C15" s="55">
        <v>627518</v>
      </c>
      <c r="D15" s="55">
        <v>160578.4</v>
      </c>
      <c r="E15" s="55">
        <v>511437.36</v>
      </c>
      <c r="F15" s="55">
        <v>343063</v>
      </c>
      <c r="G15" s="55">
        <v>222939</v>
      </c>
      <c r="H15" s="55">
        <v>4033318</v>
      </c>
      <c r="I15" s="551">
        <v>707136.55</v>
      </c>
      <c r="J15" s="55">
        <v>1180415.8899999999</v>
      </c>
      <c r="K15" s="55">
        <v>4276760</v>
      </c>
      <c r="L15" s="55">
        <v>473574.28</v>
      </c>
      <c r="M15" s="55">
        <v>827760.7</v>
      </c>
      <c r="N15" s="55">
        <f>818683.71+18772.71</f>
        <v>837456.41999999993</v>
      </c>
      <c r="O15" s="55">
        <f>5305771.33+12294.6</f>
        <v>5318065.93</v>
      </c>
      <c r="P15" s="55">
        <f>885859.41+8836.22+1898.9+2581.37</f>
        <v>899175.9</v>
      </c>
      <c r="Q15" s="55">
        <f>619223.67+2285.72</f>
        <v>621509.39</v>
      </c>
      <c r="R15" s="55">
        <f>17140.32+3804.23</f>
        <v>20944.55</v>
      </c>
      <c r="S15" s="55"/>
    </row>
    <row r="16" spans="1:19">
      <c r="A16" s="39" t="s">
        <v>97</v>
      </c>
      <c r="B16" s="52">
        <f>SUM(B4:B15)</f>
        <v>5760204</v>
      </c>
      <c r="C16" s="52">
        <f t="shared" ref="C16:S16" si="0">SUM(C4:C15)</f>
        <v>4685729</v>
      </c>
      <c r="D16" s="52">
        <f t="shared" si="0"/>
        <v>4248422.37</v>
      </c>
      <c r="E16" s="52">
        <f t="shared" si="0"/>
        <v>8598304.7699999996</v>
      </c>
      <c r="F16" s="52">
        <f t="shared" si="0"/>
        <v>10636520</v>
      </c>
      <c r="G16" s="52">
        <f t="shared" si="0"/>
        <v>10677458</v>
      </c>
      <c r="H16" s="52">
        <f t="shared" si="0"/>
        <v>17706365</v>
      </c>
      <c r="I16" s="52">
        <f t="shared" si="0"/>
        <v>12695482.310000002</v>
      </c>
      <c r="J16" s="52">
        <f t="shared" si="0"/>
        <v>13572417.15</v>
      </c>
      <c r="K16" s="52">
        <f t="shared" si="0"/>
        <v>11454423.27</v>
      </c>
      <c r="L16" s="52">
        <f t="shared" si="0"/>
        <v>37924541.140000001</v>
      </c>
      <c r="M16" s="52">
        <f t="shared" si="0"/>
        <v>19909869.190000001</v>
      </c>
      <c r="N16" s="52">
        <f t="shared" si="0"/>
        <v>15043785.979999999</v>
      </c>
      <c r="O16" s="52">
        <f t="shared" si="0"/>
        <v>18624777.609999999</v>
      </c>
      <c r="P16" s="52">
        <f t="shared" si="0"/>
        <v>12274118.32</v>
      </c>
      <c r="Q16" s="52">
        <f t="shared" si="0"/>
        <v>10258019.700000001</v>
      </c>
      <c r="R16" s="52">
        <f t="shared" si="0"/>
        <v>3207495.4899999998</v>
      </c>
      <c r="S16" s="52">
        <f t="shared" si="0"/>
        <v>379328.1</v>
      </c>
    </row>
    <row r="17" spans="1:19">
      <c r="A17" s="39" t="s">
        <v>98</v>
      </c>
      <c r="B17" s="64">
        <f>AVERAGE(B4:B15)</f>
        <v>480017</v>
      </c>
      <c r="C17" s="64">
        <f>AVERAGE(C4:C15)</f>
        <v>390477.41666666669</v>
      </c>
      <c r="D17" s="64">
        <f t="shared" ref="D17:N17" si="1">AVERAGE(D4:D15)</f>
        <v>354035.19750000001</v>
      </c>
      <c r="E17" s="64">
        <f t="shared" si="1"/>
        <v>716525.39749999996</v>
      </c>
      <c r="F17" s="64">
        <f t="shared" si="1"/>
        <v>886376.66666666663</v>
      </c>
      <c r="G17" s="64">
        <f t="shared" si="1"/>
        <v>889788.16666666663</v>
      </c>
      <c r="H17" s="64">
        <f t="shared" si="1"/>
        <v>1475530.4166666667</v>
      </c>
      <c r="I17" s="64">
        <f t="shared" si="1"/>
        <v>1057956.8591666669</v>
      </c>
      <c r="J17" s="64">
        <f t="shared" si="1"/>
        <v>1131034.7625</v>
      </c>
      <c r="K17" s="64">
        <f t="shared" si="1"/>
        <v>954535.27249999996</v>
      </c>
      <c r="L17" s="64">
        <f t="shared" si="1"/>
        <v>3160378.4283333332</v>
      </c>
      <c r="M17" s="64">
        <f t="shared" si="1"/>
        <v>1659155.7658333334</v>
      </c>
      <c r="N17" s="64">
        <f t="shared" si="1"/>
        <v>1253648.8316666665</v>
      </c>
      <c r="O17" s="64">
        <f>AVERAGE(O4:O15)</f>
        <v>1552064.8008333333</v>
      </c>
      <c r="P17" s="64">
        <f>AVERAGE(P4:P15)</f>
        <v>1022843.1933333334</v>
      </c>
      <c r="Q17" s="64">
        <f>AVERAGE(Q4:Q15)</f>
        <v>854834.97500000009</v>
      </c>
      <c r="R17" s="64">
        <f>AVERAGE(R4:R15)</f>
        <v>267291.29083333333</v>
      </c>
      <c r="S17" s="64">
        <f>AVERAGE(S4:S15)</f>
        <v>94832.024999999994</v>
      </c>
    </row>
    <row r="18" spans="1:19">
      <c r="L18" s="64"/>
      <c r="M18" s="64"/>
    </row>
    <row r="19" spans="1:19">
      <c r="A19" s="39" t="s">
        <v>99</v>
      </c>
      <c r="C19" s="64">
        <f>(B16+C16)/24</f>
        <v>435247.20833333331</v>
      </c>
      <c r="L19" s="64"/>
      <c r="M19" s="64"/>
    </row>
    <row r="20" spans="1:19">
      <c r="A20" s="39" t="s">
        <v>100</v>
      </c>
      <c r="D20" s="64">
        <f>(B16+C16+D16)/36</f>
        <v>408176.5380555556</v>
      </c>
      <c r="L20" s="64"/>
      <c r="M20" s="64"/>
    </row>
    <row r="21" spans="1:19">
      <c r="A21" s="39" t="s">
        <v>252</v>
      </c>
      <c r="E21" s="64">
        <f>(B16+C16+D16+E16)/48</f>
        <v>485263.75291666668</v>
      </c>
      <c r="L21" s="64"/>
      <c r="M21" s="64"/>
    </row>
    <row r="22" spans="1:19">
      <c r="A22" s="39" t="s">
        <v>253</v>
      </c>
      <c r="F22" s="64">
        <f>(B16+C16+D16+E16+F16)/60</f>
        <v>565486.33566666662</v>
      </c>
      <c r="L22" s="64"/>
      <c r="M22" s="64"/>
    </row>
    <row r="23" spans="1:19">
      <c r="A23" s="39" t="s">
        <v>254</v>
      </c>
      <c r="G23" s="64">
        <f>(B16+C16+D16+E16+F16+G16)/72</f>
        <v>619536.64083333337</v>
      </c>
      <c r="L23" s="64"/>
      <c r="M23" s="64"/>
    </row>
    <row r="24" spans="1:19">
      <c r="A24" s="39" t="s">
        <v>255</v>
      </c>
      <c r="H24" s="64">
        <f>(B16+C16+D16+E16+F16+G16+H16)/84</f>
        <v>741821.46595238091</v>
      </c>
      <c r="L24" s="64"/>
      <c r="M24" s="64"/>
    </row>
    <row r="25" spans="1:19">
      <c r="A25" s="39" t="s">
        <v>256</v>
      </c>
      <c r="I25" s="64">
        <f>(B16+C16+D16+E16+F16+G16+H16+I16)/96</f>
        <v>781338.3901041667</v>
      </c>
      <c r="L25" s="64"/>
      <c r="M25" s="64"/>
    </row>
    <row r="26" spans="1:19">
      <c r="A26" s="39" t="s">
        <v>257</v>
      </c>
      <c r="J26" s="64">
        <f>(B16+C16+D16+E16+F16+G16+H16+I16+J16)/108</f>
        <v>820193.54259259265</v>
      </c>
      <c r="L26" s="64"/>
      <c r="M26" s="64"/>
    </row>
    <row r="27" spans="1:19">
      <c r="A27" s="39" t="s">
        <v>258</v>
      </c>
      <c r="K27" s="64">
        <f>(B16+C16+D16+E16+F16+G16+H16+I16+J16+K16)/120</f>
        <v>833627.7155833334</v>
      </c>
      <c r="L27" s="64"/>
      <c r="M27" s="64"/>
    </row>
    <row r="28" spans="1:19">
      <c r="A28" s="39" t="s">
        <v>259</v>
      </c>
      <c r="L28" s="64">
        <f>(B16+C16+D16+E16+F16+G16+H16+I16+J16+K16+L16)/132</f>
        <v>1045150.5076515151</v>
      </c>
      <c r="M28" s="64"/>
    </row>
    <row r="29" spans="1:19">
      <c r="A29" s="39" t="s">
        <v>260</v>
      </c>
      <c r="L29" s="64"/>
      <c r="M29" s="64">
        <f>(B16+C16+D16+E16+F16+G16+H16+I16+J16+K16+L16+M16)/144</f>
        <v>1096317.6124999998</v>
      </c>
    </row>
    <row r="30" spans="1:19">
      <c r="A30" s="39" t="s">
        <v>261</v>
      </c>
      <c r="N30" s="64">
        <f>(B16+C16+D16+E16+F16+G16+H16+I16+J16+K16+L16+M16+N16)/156</f>
        <v>1108420.0139743588</v>
      </c>
    </row>
    <row r="31" spans="1:19">
      <c r="A31" s="39" t="s">
        <v>336</v>
      </c>
      <c r="L31" s="64"/>
      <c r="M31" s="64"/>
      <c r="N31" s="64"/>
      <c r="O31" s="64">
        <f>SUM(B16:O16)/COUNT(B4:O15)</f>
        <v>1140108.9273214284</v>
      </c>
    </row>
    <row r="32" spans="1:19">
      <c r="A32" s="39" t="s">
        <v>337</v>
      </c>
      <c r="L32" s="64"/>
      <c r="M32" s="64"/>
      <c r="N32" s="64"/>
      <c r="P32" s="64">
        <f>SUM(B16:P16)/COUNT(B5:P16)</f>
        <v>1132291.2117222219</v>
      </c>
    </row>
    <row r="33" spans="1:19">
      <c r="A33" s="39" t="s">
        <v>457</v>
      </c>
      <c r="L33" s="64"/>
      <c r="Q33" s="64">
        <f>SUM(A16:Q16)/COUNT(A4:Q15)</f>
        <v>1114950.196927083</v>
      </c>
    </row>
    <row r="34" spans="1:19">
      <c r="A34" s="39" t="s">
        <v>458</v>
      </c>
      <c r="R34" s="64">
        <f>SUM(A16:R16)/COUNT(A4:R15)</f>
        <v>1065087.9083333332</v>
      </c>
    </row>
    <row r="35" spans="1:19">
      <c r="A35" s="39" t="s">
        <v>459</v>
      </c>
      <c r="S35" s="64">
        <f>SUM(B16:S16)/COUNT(B4:S15)</f>
        <v>1046429.1413461536</v>
      </c>
    </row>
    <row r="37" spans="1:19">
      <c r="N37" s="64"/>
      <c r="O37" s="552" t="s">
        <v>460</v>
      </c>
      <c r="S37" s="64">
        <f>ROUND(R17*(12-COUNT(S4:S15)),0)+S16</f>
        <v>2517658.1</v>
      </c>
    </row>
  </sheetData>
  <phoneticPr fontId="0" type="noConversion"/>
  <printOptions horizontalCentered="1"/>
  <pageMargins left="0.75" right="0.75" top="1" bottom="1" header="0.5" footer="0.5"/>
  <pageSetup scale="47" orientation="portrait" r:id="rId1"/>
  <headerFooter alignWithMargins="0">
    <oddFooter>&amp;L&amp;D &amp;T&amp;CPage &amp;P&amp;R&amp;F</oddFooter>
  </headerFooter>
  <legacyDrawing r:id="rId2"/>
  <extLst>
    <ext xmlns:mx="http://schemas.microsoft.com/office/mac/excel/2008/main" uri="http://schemas.microsoft.com/office/mac/excel/2008/main">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BC3AA229BE58489B454ADBB1755505" ma:contentTypeVersion="0" ma:contentTypeDescription="Create a new document." ma:contentTypeScope="" ma:versionID="3baf47217fcfaaaccf184422db6e59f3">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AF9E9ED6-5558-4320-8A6D-8D398E2F6450}"/>
</file>

<file path=customXml/itemProps2.xml><?xml version="1.0" encoding="utf-8"?>
<ds:datastoreItem xmlns:ds="http://schemas.openxmlformats.org/officeDocument/2006/customXml" ds:itemID="{9B2C310C-1F0C-4222-A892-25FDF856F980}"/>
</file>

<file path=customXml/itemProps3.xml><?xml version="1.0" encoding="utf-8"?>
<ds:datastoreItem xmlns:ds="http://schemas.openxmlformats.org/officeDocument/2006/customXml" ds:itemID="{87E0599F-C5D4-4746-BEAF-53EAB77147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26</vt:i4>
      </vt:variant>
    </vt:vector>
  </HeadingPairs>
  <TitlesOfParts>
    <vt:vector size="50" baseType="lpstr">
      <vt:lpstr>GF Recon</vt:lpstr>
      <vt:lpstr>DSA</vt:lpstr>
      <vt:lpstr>DSABUDGET</vt:lpstr>
      <vt:lpstr>DSADATABASE</vt:lpstr>
      <vt:lpstr>DSASUMM</vt:lpstr>
      <vt:lpstr>AVG SAL</vt:lpstr>
      <vt:lpstr>BASESAL</vt:lpstr>
      <vt:lpstr>M200SAL</vt:lpstr>
      <vt:lpstr>M300SAL</vt:lpstr>
      <vt:lpstr>E670SAL</vt:lpstr>
      <vt:lpstr>E671SAL</vt:lpstr>
      <vt:lpstr>E601 SAL</vt:lpstr>
      <vt:lpstr>Adult Ed</vt:lpstr>
      <vt:lpstr>M200OPR</vt:lpstr>
      <vt:lpstr>M101INF</vt:lpstr>
      <vt:lpstr>M200EQP</vt:lpstr>
      <vt:lpstr>CSRBASESAL</vt:lpstr>
      <vt:lpstr>CSRM200SAL</vt:lpstr>
      <vt:lpstr>CSRM300SAL</vt:lpstr>
      <vt:lpstr>CSRE670SAL</vt:lpstr>
      <vt:lpstr>CSRE671SAL</vt:lpstr>
      <vt:lpstr>CSRE601 SAL</vt:lpstr>
      <vt:lpstr>CSR At risk K</vt:lpstr>
      <vt:lpstr>ESTATETAXHIST</vt:lpstr>
      <vt:lpstr>'AVG SAL'!Print_Area</vt:lpstr>
      <vt:lpstr>BASESAL!Print_Area</vt:lpstr>
      <vt:lpstr>CSRBASESAL!Print_Area</vt:lpstr>
      <vt:lpstr>CSRE670SAL!Print_Area</vt:lpstr>
      <vt:lpstr>CSRE671SAL!Print_Area</vt:lpstr>
      <vt:lpstr>CSRM200SAL!Print_Area</vt:lpstr>
      <vt:lpstr>CSRM300SAL!Print_Area</vt:lpstr>
      <vt:lpstr>DSABUDGET!Print_Area</vt:lpstr>
      <vt:lpstr>DSASUMM!Print_Area</vt:lpstr>
      <vt:lpstr>E670SAL!Print_Area</vt:lpstr>
      <vt:lpstr>E671SAL!Print_Area</vt:lpstr>
      <vt:lpstr>'GF Recon'!Print_Area</vt:lpstr>
      <vt:lpstr>M200EQP!Print_Area</vt:lpstr>
      <vt:lpstr>M200OPR!Print_Area</vt:lpstr>
      <vt:lpstr>M200SAL!Print_Area</vt:lpstr>
      <vt:lpstr>M300SAL!Print_Area</vt:lpstr>
      <vt:lpstr>BASESAL!Print_Titles</vt:lpstr>
      <vt:lpstr>DSA!Print_Titles</vt:lpstr>
      <vt:lpstr>DSABUDGET!Print_Titles</vt:lpstr>
      <vt:lpstr>DSASUMM!Print_Titles</vt:lpstr>
      <vt:lpstr>E670SAL!Print_Titles</vt:lpstr>
      <vt:lpstr>E671SAL!Print_Titles</vt:lpstr>
      <vt:lpstr>M101INF!Print_Titles</vt:lpstr>
      <vt:lpstr>M200OPR!Print_Titles</vt:lpstr>
      <vt:lpstr>M200SAL!Print_Titles</vt:lpstr>
      <vt:lpstr>M300SAL!Print_Titles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distributive school account</dc:title>
  <dc:subject>executive budget for 1997-99</dc:subject>
  <dc:creator>hataway</dc:creator>
  <cp:keywords>dsabud</cp:keywords>
  <cp:lastModifiedBy>jteska</cp:lastModifiedBy>
  <cp:lastPrinted>2012-05-04T15:44:23Z</cp:lastPrinted>
  <dcterms:created xsi:type="dcterms:W3CDTF">1998-12-02T00:27:17Z</dcterms:created>
  <dcterms:modified xsi:type="dcterms:W3CDTF">2012-08-16T01:04:43Z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0x010100D0BC3AA229BE58489B454ADBB1755505</vt:lpwstr>
  </property>
</Properties>
</file>