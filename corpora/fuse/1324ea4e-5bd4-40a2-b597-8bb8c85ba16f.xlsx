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8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5" i="1" l="1"/>
  <c r="D16" i="1"/>
  <c r="E16" i="1"/>
  <c r="F16" i="1"/>
  <c r="G16" i="1"/>
  <c r="C16" i="1"/>
  <c r="F15" i="1"/>
  <c r="G15" i="1"/>
  <c r="D15" i="1"/>
  <c r="E15" i="1"/>
  <c r="D14" i="1"/>
  <c r="E14" i="1"/>
  <c r="C14" i="1"/>
  <c r="D8" i="1"/>
  <c r="E8" i="1"/>
  <c r="C8" i="1"/>
  <c r="E7" i="1"/>
  <c r="D7" i="1"/>
  <c r="C7" i="1"/>
</calcChain>
</file>

<file path=xl/sharedStrings.xml><?xml version="1.0" encoding="utf-8"?>
<sst xmlns="http://schemas.openxmlformats.org/spreadsheetml/2006/main" count="22" uniqueCount="22">
  <si>
    <t>Criteria</t>
  </si>
  <si>
    <t>A</t>
  </si>
  <si>
    <t>N/A</t>
  </si>
  <si>
    <t>B</t>
  </si>
  <si>
    <t>Opportunites Alloted from USAT</t>
  </si>
  <si>
    <t>D</t>
  </si>
  <si>
    <t>C</t>
  </si>
  <si>
    <t>E</t>
  </si>
  <si>
    <t>F</t>
  </si>
  <si>
    <t xml:space="preserve">3/race </t>
  </si>
  <si>
    <t>Total Membership</t>
  </si>
  <si>
    <t>Number of Elites</t>
  </si>
  <si>
    <t>Number of New Elites</t>
  </si>
  <si>
    <t>New Elites/ Opportunity</t>
  </si>
  <si>
    <t>Elites/ Total Membership</t>
  </si>
  <si>
    <t>New Elites/Elites</t>
  </si>
  <si>
    <t>These numbers are high because of the the difficulty in evaluating criteria A</t>
  </si>
  <si>
    <t>Total*</t>
  </si>
  <si>
    <t>*Total witout Criteria A</t>
  </si>
  <si>
    <t>2008 &amp; 2007 were not evaluated because there is no data from membership on new elites</t>
  </si>
  <si>
    <t>These years were evaluated with the same criteria as 2011</t>
  </si>
  <si>
    <t>As of 11/10/11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</si>
</sst>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zoomScale="115" zoomScaleNormal="115" workbookViewId="0">
      <selection activeCell="C25" sqref="C25"/>
    </sheetView>
  </sheetViews>
  <sheetFormatPr defaultRowHeight="15" x14ac:dyDescent="0.25"/>
  <cols>
    <col min="1" max="1" width="9.140625" style="2"/>
    <col min="2" max="2" width="30.140625" customWidth="1"/>
  </cols>
  <sheetData>
    <row r="1" spans="1:18" x14ac:dyDescent="0.25">
      <c r="A1" s="5" t="s">
        <v>0</v>
      </c>
      <c r="B1" s="5" t="s">
        <v>4</v>
      </c>
      <c r="C1" s="5">
        <v>2011</v>
      </c>
      <c r="D1" s="6">
        <v>2010</v>
      </c>
      <c r="E1" s="6">
        <v>2009</v>
      </c>
      <c r="F1" s="8">
        <v>2008</v>
      </c>
      <c r="G1" s="8">
        <v>2007</v>
      </c>
    </row>
    <row r="2" spans="1:18" x14ac:dyDescent="0.25">
      <c r="A2" s="5" t="s">
        <v>1</v>
      </c>
      <c r="B2" s="3" t="s">
        <v>2</v>
      </c>
      <c r="C2" s="3"/>
      <c r="D2" s="4"/>
      <c r="E2" s="4"/>
      <c r="F2" s="9"/>
      <c r="G2" s="9"/>
    </row>
    <row r="3" spans="1:18" x14ac:dyDescent="0.25">
      <c r="A3" s="5" t="s">
        <v>3</v>
      </c>
      <c r="B3" s="3">
        <v>10</v>
      </c>
      <c r="C3" s="3">
        <v>5</v>
      </c>
      <c r="D3" s="4">
        <v>4</v>
      </c>
      <c r="E3" s="4">
        <v>0</v>
      </c>
      <c r="F3" s="9"/>
      <c r="G3" s="9"/>
      <c r="J3" s="1" t="s">
        <v>20</v>
      </c>
      <c r="K3" s="1"/>
      <c r="L3" s="1"/>
      <c r="M3" s="1"/>
      <c r="N3" s="1"/>
      <c r="O3" s="1"/>
    </row>
    <row r="4" spans="1:18" x14ac:dyDescent="0.25">
      <c r="A4" s="5" t="s">
        <v>6</v>
      </c>
      <c r="B4" s="3">
        <v>10</v>
      </c>
      <c r="C4" s="3">
        <v>8</v>
      </c>
      <c r="D4" s="4">
        <v>7</v>
      </c>
      <c r="E4" s="4">
        <v>7</v>
      </c>
      <c r="F4" s="9"/>
      <c r="G4" s="9"/>
      <c r="J4" s="10" t="s">
        <v>19</v>
      </c>
      <c r="K4" s="10"/>
      <c r="L4" s="10"/>
      <c r="M4" s="10"/>
      <c r="N4" s="10"/>
      <c r="O4" s="10"/>
      <c r="P4" s="10"/>
      <c r="Q4" s="10"/>
      <c r="R4" s="10"/>
    </row>
    <row r="5" spans="1:18" x14ac:dyDescent="0.25">
      <c r="A5" s="5" t="s">
        <v>5</v>
      </c>
      <c r="B5" s="3">
        <v>5</v>
      </c>
      <c r="C5" s="3">
        <v>5</v>
      </c>
      <c r="D5" s="4">
        <v>5</v>
      </c>
      <c r="E5" s="4">
        <v>5</v>
      </c>
      <c r="F5" s="9"/>
      <c r="G5" s="9"/>
    </row>
    <row r="6" spans="1:18" x14ac:dyDescent="0.25">
      <c r="A6" s="5" t="s">
        <v>7</v>
      </c>
      <c r="B6" s="3">
        <v>5</v>
      </c>
      <c r="C6" s="3">
        <v>5</v>
      </c>
      <c r="D6" s="4">
        <v>5</v>
      </c>
      <c r="E6" s="4">
        <v>5</v>
      </c>
      <c r="F6" s="9"/>
      <c r="G6" s="9"/>
    </row>
    <row r="7" spans="1:18" x14ac:dyDescent="0.25">
      <c r="A7" s="5" t="s">
        <v>8</v>
      </c>
      <c r="B7" s="3" t="s">
        <v>9</v>
      </c>
      <c r="C7" s="3">
        <f>(36*3)</f>
        <v>108</v>
      </c>
      <c r="D7" s="4">
        <f>(16*3)</f>
        <v>48</v>
      </c>
      <c r="E7" s="4">
        <f>(16*3)</f>
        <v>48</v>
      </c>
      <c r="F7" s="9"/>
      <c r="G7" s="9"/>
    </row>
    <row r="8" spans="1:18" s="2" customFormat="1" x14ac:dyDescent="0.25">
      <c r="A8" s="5" t="s">
        <v>17</v>
      </c>
      <c r="B8" s="5"/>
      <c r="C8" s="5">
        <f>SUM(C2:C7)</f>
        <v>131</v>
      </c>
      <c r="D8" s="6">
        <f t="shared" ref="D8:E8" si="0">SUM(D2:D7)</f>
        <v>69</v>
      </c>
      <c r="E8" s="6">
        <f t="shared" si="0"/>
        <v>65</v>
      </c>
      <c r="F8" s="8"/>
      <c r="G8" s="8"/>
      <c r="J8" s="2" t="s">
        <v>18</v>
      </c>
    </row>
    <row r="10" spans="1:18" x14ac:dyDescent="0.25">
      <c r="A10" s="7" t="s">
        <v>10</v>
      </c>
      <c r="B10" s="7"/>
      <c r="C10" s="11">
        <v>98195</v>
      </c>
      <c r="D10" s="3">
        <v>100832</v>
      </c>
      <c r="E10" s="3">
        <v>99073</v>
      </c>
      <c r="F10" s="3">
        <v>99009</v>
      </c>
      <c r="G10" s="3">
        <v>92642</v>
      </c>
      <c r="J10" s="12" t="s">
        <v>21</v>
      </c>
      <c r="K10" s="12"/>
    </row>
    <row r="11" spans="1:18" x14ac:dyDescent="0.25">
      <c r="A11" s="7" t="s">
        <v>11</v>
      </c>
      <c r="B11" s="7"/>
      <c r="C11" s="3">
        <v>442</v>
      </c>
      <c r="D11" s="3">
        <v>384</v>
      </c>
      <c r="E11" s="3">
        <v>387</v>
      </c>
      <c r="F11" s="3">
        <v>323</v>
      </c>
      <c r="G11" s="3">
        <v>317</v>
      </c>
    </row>
    <row r="12" spans="1:18" x14ac:dyDescent="0.25">
      <c r="A12" s="7" t="s">
        <v>12</v>
      </c>
      <c r="B12" s="7"/>
      <c r="C12" s="3">
        <v>132</v>
      </c>
      <c r="D12" s="3">
        <v>23</v>
      </c>
      <c r="E12" s="3">
        <v>67</v>
      </c>
      <c r="F12" s="3"/>
      <c r="G12" s="3"/>
    </row>
    <row r="13" spans="1:18" x14ac:dyDescent="0.25">
      <c r="B13" s="2"/>
    </row>
    <row r="14" spans="1:18" x14ac:dyDescent="0.25">
      <c r="A14" s="7" t="s">
        <v>13</v>
      </c>
      <c r="B14" s="7"/>
      <c r="C14" s="3">
        <f>C12/C8</f>
        <v>1.0076335877862594</v>
      </c>
      <c r="D14" s="3">
        <f t="shared" ref="D14:E14" si="1">D12/D8</f>
        <v>0.33333333333333331</v>
      </c>
      <c r="E14" s="3">
        <f t="shared" si="1"/>
        <v>1.0307692307692307</v>
      </c>
      <c r="F14" s="3"/>
      <c r="G14" s="3"/>
      <c r="J14" t="s">
        <v>16</v>
      </c>
    </row>
    <row r="15" spans="1:18" x14ac:dyDescent="0.25">
      <c r="A15" s="7" t="s">
        <v>14</v>
      </c>
      <c r="B15" s="7"/>
      <c r="C15" s="3">
        <f>C11/C10</f>
        <v>4.5012475176943838E-3</v>
      </c>
      <c r="D15" s="3">
        <f t="shared" ref="D15:G15" si="2">D11/D10</f>
        <v>3.8083148206918441E-3</v>
      </c>
      <c r="E15" s="3">
        <f t="shared" si="2"/>
        <v>3.906210572002463E-3</v>
      </c>
      <c r="F15" s="3">
        <f>F11/F10</f>
        <v>3.2623296872001536E-3</v>
      </c>
      <c r="G15" s="3">
        <f t="shared" si="2"/>
        <v>3.4217741413181926E-3</v>
      </c>
    </row>
    <row r="16" spans="1:18" x14ac:dyDescent="0.25">
      <c r="A16" s="7" t="s">
        <v>15</v>
      </c>
      <c r="B16" s="7"/>
      <c r="C16" s="3">
        <f>C12/C11</f>
        <v>0.29864253393665158</v>
      </c>
      <c r="D16" s="3">
        <f t="shared" ref="D16:G16" si="3">D12/D11</f>
        <v>5.9895833333333336E-2</v>
      </c>
      <c r="E16" s="3">
        <f t="shared" si="3"/>
        <v>0.1731266149870801</v>
      </c>
      <c r="F16" s="3">
        <f t="shared" si="3"/>
        <v>0</v>
      </c>
      <c r="G16" s="3">
        <f t="shared" si="3"/>
        <v>0</v>
      </c>
    </row>
  </sheetData>
  <mergeCells count="6">
    <mergeCell ref="A10:B10"/>
    <mergeCell ref="A11:B11"/>
    <mergeCell ref="A12:B12"/>
    <mergeCell ref="A14:B14"/>
    <mergeCell ref="A15:B15"/>
    <mergeCell ref="A16:B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Kask's</dc:creator>
  <cp:lastModifiedBy>Jason Kask's</cp:lastModifiedBy>
  <dcterms:created xsi:type="dcterms:W3CDTF">2011-11-22T18:01:44Z</dcterms:created>
  <dcterms:modified xsi:type="dcterms:W3CDTF">2011-11-22T18:34:07Z</dcterms:modified>
</cp:coreProperties>
</file>