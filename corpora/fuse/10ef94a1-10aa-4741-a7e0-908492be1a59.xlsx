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ate1904="1" showInkAnnotation="0" autoCompressPictures="0"/>
  <bookViews>
    <workbookView xWindow="0" yWindow="0" windowWidth="15480" windowHeight="11640" tabRatio="500" firstSheet="1" activeTab="1"/>
  </bookViews>
  <sheets>
    <sheet name="4mills" sheetId="1" state="hidden" r:id="rId1"/>
    <sheet name="4millshare" sheetId="3" r:id="rId2"/>
    <sheet name="rescom" sheetId="2" state="hidden" r:id="rId3"/>
  </sheets>
  <calcPr calcId="130407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D5" i="1"/>
  <c r="H70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B70"/>
  <c r="D70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H70" i="3"/>
  <c r="B70"/>
  <c r="D70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B32" i="2"/>
  <c r="C32"/>
  <c r="C31"/>
  <c r="C30"/>
  <c r="C29"/>
  <c r="C28"/>
  <c r="C27"/>
  <c r="C26"/>
  <c r="C25"/>
  <c r="F8"/>
  <c r="F12"/>
  <c r="E8"/>
  <c r="E12"/>
  <c r="C8"/>
  <c r="C12"/>
  <c r="B8"/>
  <c r="B12"/>
</calcChain>
</file>

<file path=xl/sharedStrings.xml><?xml version="1.0" encoding="utf-8"?>
<sst xmlns="http://schemas.openxmlformats.org/spreadsheetml/2006/main" count="175" uniqueCount="104">
  <si>
    <t>525 Million</t>
    <phoneticPr fontId="1" type="noConversion"/>
  </si>
  <si>
    <t>Metro Tax</t>
    <phoneticPr fontId="1" type="noConversion"/>
  </si>
  <si>
    <t>Adams</t>
    <phoneticPr fontId="1" type="noConversion"/>
  </si>
  <si>
    <t>Arapahoe</t>
    <phoneticPr fontId="1" type="noConversion"/>
  </si>
  <si>
    <t>Boulder</t>
    <phoneticPr fontId="1" type="noConversion"/>
  </si>
  <si>
    <t>Broomfield</t>
    <phoneticPr fontId="1" type="noConversion"/>
  </si>
  <si>
    <t xml:space="preserve">Denver </t>
    <phoneticPr fontId="1" type="noConversion"/>
  </si>
  <si>
    <t>Douglas</t>
    <phoneticPr fontId="1" type="noConversion"/>
  </si>
  <si>
    <t>Jefferson</t>
    <phoneticPr fontId="1" type="noConversion"/>
  </si>
  <si>
    <t xml:space="preserve">     Total</t>
    <phoneticPr fontId="1" type="noConversion"/>
  </si>
  <si>
    <t>Assessed Value</t>
    <phoneticPr fontId="1" type="noConversion"/>
  </si>
  <si>
    <t>4 Mills</t>
    <phoneticPr fontId="1" type="noConversion"/>
  </si>
  <si>
    <t>Morgan</t>
    <phoneticPr fontId="1" type="noConversion"/>
  </si>
  <si>
    <t>Otero</t>
    <phoneticPr fontId="1" type="noConversion"/>
  </si>
  <si>
    <t>Ouray</t>
    <phoneticPr fontId="1" type="noConversion"/>
  </si>
  <si>
    <t xml:space="preserve">Park </t>
    <phoneticPr fontId="1" type="noConversion"/>
  </si>
  <si>
    <t>Phillips</t>
    <phoneticPr fontId="1" type="noConversion"/>
  </si>
  <si>
    <t>Pitkin</t>
    <phoneticPr fontId="1" type="noConversion"/>
  </si>
  <si>
    <t>Prowers</t>
    <phoneticPr fontId="1" type="noConversion"/>
  </si>
  <si>
    <t>Pueblo</t>
    <phoneticPr fontId="1" type="noConversion"/>
  </si>
  <si>
    <t>Rio Blanco</t>
    <phoneticPr fontId="1" type="noConversion"/>
  </si>
  <si>
    <t>Rio Grande</t>
    <phoneticPr fontId="1" type="noConversion"/>
  </si>
  <si>
    <t>Routt</t>
    <phoneticPr fontId="1" type="noConversion"/>
  </si>
  <si>
    <t>Saguache</t>
    <phoneticPr fontId="1" type="noConversion"/>
  </si>
  <si>
    <t>San Juan</t>
    <phoneticPr fontId="1" type="noConversion"/>
  </si>
  <si>
    <t>San Miguel</t>
    <phoneticPr fontId="1" type="noConversion"/>
  </si>
  <si>
    <t>Sedgwick</t>
    <phoneticPr fontId="1" type="noConversion"/>
  </si>
  <si>
    <t>Summit</t>
    <phoneticPr fontId="1" type="noConversion"/>
  </si>
  <si>
    <t>Teller</t>
    <phoneticPr fontId="1" type="noConversion"/>
  </si>
  <si>
    <t>Washington</t>
    <phoneticPr fontId="1" type="noConversion"/>
  </si>
  <si>
    <t>Weld</t>
    <phoneticPr fontId="1" type="noConversion"/>
  </si>
  <si>
    <t>Yuma</t>
    <phoneticPr fontId="1" type="noConversion"/>
  </si>
  <si>
    <t>State</t>
    <phoneticPr fontId="1" type="noConversion"/>
  </si>
  <si>
    <t>Adams</t>
    <phoneticPr fontId="1" type="noConversion"/>
  </si>
  <si>
    <t>Alamosa</t>
    <phoneticPr fontId="1" type="noConversion"/>
  </si>
  <si>
    <t>Arapahoe</t>
    <phoneticPr fontId="1" type="noConversion"/>
  </si>
  <si>
    <t>Archuleta</t>
    <phoneticPr fontId="1" type="noConversion"/>
  </si>
  <si>
    <t>Baca</t>
    <phoneticPr fontId="1" type="noConversion"/>
  </si>
  <si>
    <t>Bent</t>
    <phoneticPr fontId="1" type="noConversion"/>
  </si>
  <si>
    <t>Boulder</t>
    <phoneticPr fontId="1" type="noConversion"/>
  </si>
  <si>
    <t>Broomfield</t>
    <phoneticPr fontId="1" type="noConversion"/>
  </si>
  <si>
    <t>Chaffee</t>
    <phoneticPr fontId="1" type="noConversion"/>
  </si>
  <si>
    <t>Cheyenne</t>
    <phoneticPr fontId="1" type="noConversion"/>
  </si>
  <si>
    <t>Clear Creek</t>
    <phoneticPr fontId="1" type="noConversion"/>
  </si>
  <si>
    <t>Conejos</t>
    <phoneticPr fontId="1" type="noConversion"/>
  </si>
  <si>
    <t>Costilla</t>
    <phoneticPr fontId="1" type="noConversion"/>
  </si>
  <si>
    <t>Crowley</t>
    <phoneticPr fontId="1" type="noConversion"/>
  </si>
  <si>
    <t>Custer</t>
    <phoneticPr fontId="1" type="noConversion"/>
  </si>
  <si>
    <t>Delta</t>
    <phoneticPr fontId="1" type="noConversion"/>
  </si>
  <si>
    <t>Denver</t>
    <phoneticPr fontId="1" type="noConversion"/>
  </si>
  <si>
    <t>Dolores</t>
    <phoneticPr fontId="1" type="noConversion"/>
  </si>
  <si>
    <t>Douglas</t>
    <phoneticPr fontId="1" type="noConversion"/>
  </si>
  <si>
    <t>Eagle</t>
    <phoneticPr fontId="1" type="noConversion"/>
  </si>
  <si>
    <t>El Paso</t>
    <phoneticPr fontId="1" type="noConversion"/>
  </si>
  <si>
    <t>Fremont</t>
    <phoneticPr fontId="1" type="noConversion"/>
  </si>
  <si>
    <t>Garfield</t>
    <phoneticPr fontId="1" type="noConversion"/>
  </si>
  <si>
    <t>Gunnison</t>
    <phoneticPr fontId="1" type="noConversion"/>
  </si>
  <si>
    <t xml:space="preserve">Gilpin </t>
    <phoneticPr fontId="1" type="noConversion"/>
  </si>
  <si>
    <t>Grand</t>
    <phoneticPr fontId="1" type="noConversion"/>
  </si>
  <si>
    <t>Hinsdale</t>
    <phoneticPr fontId="1" type="noConversion"/>
  </si>
  <si>
    <t>Huefano</t>
    <phoneticPr fontId="1" type="noConversion"/>
  </si>
  <si>
    <t>Jackson</t>
    <phoneticPr fontId="1" type="noConversion"/>
  </si>
  <si>
    <t>Jefferson</t>
    <phoneticPr fontId="1" type="noConversion"/>
  </si>
  <si>
    <t>Kiowa</t>
    <phoneticPr fontId="1" type="noConversion"/>
  </si>
  <si>
    <t>Kit Carson</t>
    <phoneticPr fontId="1" type="noConversion"/>
  </si>
  <si>
    <t>Lake</t>
    <phoneticPr fontId="1" type="noConversion"/>
  </si>
  <si>
    <t>La Plata</t>
    <phoneticPr fontId="1" type="noConversion"/>
  </si>
  <si>
    <t>Larimer</t>
    <phoneticPr fontId="1" type="noConversion"/>
  </si>
  <si>
    <t>Las Animas</t>
    <phoneticPr fontId="1" type="noConversion"/>
  </si>
  <si>
    <t>Lincoln</t>
    <phoneticPr fontId="1" type="noConversion"/>
  </si>
  <si>
    <t>Logan</t>
    <phoneticPr fontId="1" type="noConversion"/>
  </si>
  <si>
    <t>Mesa</t>
    <phoneticPr fontId="1" type="noConversion"/>
  </si>
  <si>
    <t>Mineral</t>
    <phoneticPr fontId="1" type="noConversion"/>
  </si>
  <si>
    <t>Montezuma</t>
    <phoneticPr fontId="1" type="noConversion"/>
  </si>
  <si>
    <t>Montrose</t>
    <phoneticPr fontId="1" type="noConversion"/>
  </si>
  <si>
    <t>Elbert</t>
    <phoneticPr fontId="1" type="noConversion"/>
  </si>
  <si>
    <t>2008 AV</t>
    <phoneticPr fontId="1" type="noConversion"/>
  </si>
  <si>
    <t>Moffat</t>
    <phoneticPr fontId="1" type="noConversion"/>
  </si>
  <si>
    <t>If 4 mills</t>
    <phoneticPr fontId="1" type="noConversion"/>
  </si>
  <si>
    <t>County</t>
    <phoneticPr fontId="1" type="noConversion"/>
  </si>
  <si>
    <t>Avg Mill Levy</t>
    <phoneticPr fontId="1" type="noConversion"/>
  </si>
  <si>
    <t>4 Mills as a</t>
    <phoneticPr fontId="1" type="noConversion"/>
  </si>
  <si>
    <t>Percent of Total</t>
    <phoneticPr fontId="1" type="noConversion"/>
  </si>
  <si>
    <t>Total</t>
    <phoneticPr fontId="1" type="noConversion"/>
  </si>
  <si>
    <t>Revenue</t>
    <phoneticPr fontId="1" type="noConversion"/>
  </si>
  <si>
    <t>Revenue</t>
    <phoneticPr fontId="1" type="noConversion"/>
  </si>
  <si>
    <t>from 4 mills</t>
    <phoneticPr fontId="1" type="noConversion"/>
  </si>
  <si>
    <t>4 mill share</t>
    <phoneticPr fontId="1" type="noConversion"/>
  </si>
  <si>
    <t>SOURCE: Colo. Division of Property Taxation, 2008 Annual Report</t>
    <phoneticPr fontId="1" type="noConversion"/>
  </si>
  <si>
    <t>Statewide 4 Mill Levy by County</t>
    <phoneticPr fontId="1" type="noConversion"/>
  </si>
  <si>
    <t>Residential</t>
    <phoneticPr fontId="1" type="noConversion"/>
  </si>
  <si>
    <t>Commercial</t>
    <phoneticPr fontId="1" type="noConversion"/>
  </si>
  <si>
    <t>Assessment Rate</t>
    <phoneticPr fontId="1" type="noConversion"/>
  </si>
  <si>
    <t>Assessed Value</t>
    <phoneticPr fontId="1" type="noConversion"/>
  </si>
  <si>
    <t>Actual Value</t>
    <phoneticPr fontId="1" type="noConversion"/>
  </si>
  <si>
    <t>Mill Levy</t>
    <phoneticPr fontId="1" type="noConversion"/>
  </si>
  <si>
    <t>Property Tax</t>
    <phoneticPr fontId="1" type="noConversion"/>
  </si>
  <si>
    <t>Property Tax of 4 Mills  on Residential and Commercial Property</t>
    <phoneticPr fontId="1" type="noConversion"/>
  </si>
  <si>
    <t>Statewide</t>
    <phoneticPr fontId="1" type="noConversion"/>
  </si>
  <si>
    <t>4 mills =</t>
    <phoneticPr fontId="1" type="noConversion"/>
  </si>
  <si>
    <t>350 Million</t>
    <phoneticPr fontId="1" type="noConversion"/>
  </si>
  <si>
    <t>6 mills =</t>
    <phoneticPr fontId="1" type="noConversion"/>
  </si>
  <si>
    <t>8 mills=</t>
    <phoneticPr fontId="1" type="noConversion"/>
  </si>
  <si>
    <t>700 Million</t>
    <phoneticPr fontId="1" type="noConversion"/>
  </si>
</sst>
</file>

<file path=xl/styles.xml><?xml version="1.0" encoding="utf-8"?>
<styleSheet xmlns="http://schemas.openxmlformats.org/spreadsheetml/2006/main">
  <numFmts count="3">
    <numFmt numFmtId="164" formatCode="#,##0.0000"/>
    <numFmt numFmtId="165" formatCode="0.000"/>
    <numFmt numFmtId="166" formatCode="0.0%"/>
  </numFmts>
  <fonts count="7">
    <font>
      <sz val="10"/>
      <name val="Verdana"/>
    </font>
    <font>
      <sz val="8"/>
      <name val="Verdana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2"/>
      <name val="Times New Roman"/>
    </font>
    <font>
      <b/>
      <sz val="1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3" fontId="2" fillId="0" borderId="0" xfId="0" applyNumberFormat="1" applyFont="1"/>
    <xf numFmtId="3" fontId="0" fillId="0" borderId="0" xfId="0" applyNumberFormat="1"/>
    <xf numFmtId="3" fontId="2" fillId="0" borderId="0" xfId="0" applyNumberFormat="1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164" fontId="3" fillId="0" borderId="0" xfId="0" applyNumberFormat="1" applyFont="1"/>
    <xf numFmtId="3" fontId="3" fillId="0" borderId="0" xfId="0" applyNumberFormat="1" applyFont="1" applyAlignment="1">
      <alignment horizontal="center"/>
    </xf>
    <xf numFmtId="3" fontId="3" fillId="0" borderId="1" xfId="0" applyNumberFormat="1" applyFont="1" applyBorder="1"/>
    <xf numFmtId="165" fontId="2" fillId="0" borderId="0" xfId="0" applyNumberFormat="1" applyFont="1"/>
    <xf numFmtId="166" fontId="2" fillId="0" borderId="0" xfId="0" applyNumberFormat="1" applyFont="1"/>
    <xf numFmtId="166" fontId="2" fillId="0" borderId="0" xfId="0" applyNumberFormat="1" applyFont="1"/>
    <xf numFmtId="0" fontId="5" fillId="0" borderId="0" xfId="0" applyFont="1" applyAlignment="1">
      <alignment horizontal="center"/>
    </xf>
    <xf numFmtId="3" fontId="6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pageSetUpPr fitToPage="1"/>
  </sheetPr>
  <dimension ref="A1:H150"/>
  <sheetViews>
    <sheetView zoomScale="140" workbookViewId="0">
      <selection activeCell="D6" sqref="D5:D70"/>
    </sheetView>
  </sheetViews>
  <sheetFormatPr defaultColWidth="11" defaultRowHeight="12.75"/>
  <cols>
    <col min="1" max="1" width="11.875" customWidth="1"/>
    <col min="2" max="2" width="11.875" bestFit="1" customWidth="1"/>
    <col min="3" max="3" width="3.625" customWidth="1"/>
    <col min="5" max="5" width="3" customWidth="1"/>
    <col min="7" max="7" width="3" customWidth="1"/>
    <col min="8" max="8" width="12.125" customWidth="1"/>
  </cols>
  <sheetData>
    <row r="1" spans="1:8" ht="15.75">
      <c r="A1" s="15" t="s">
        <v>89</v>
      </c>
      <c r="B1" s="15"/>
      <c r="C1" s="15"/>
      <c r="D1" s="15"/>
      <c r="E1" s="1"/>
    </row>
    <row r="2" spans="1:8" ht="15.75">
      <c r="A2" s="1" t="s">
        <v>79</v>
      </c>
      <c r="B2" s="5" t="s">
        <v>76</v>
      </c>
      <c r="C2" s="5"/>
      <c r="D2" s="5" t="s">
        <v>78</v>
      </c>
      <c r="E2" s="1"/>
      <c r="F2" s="5" t="s">
        <v>80</v>
      </c>
      <c r="H2" s="1" t="s">
        <v>81</v>
      </c>
    </row>
    <row r="3" spans="1:8" ht="15.75">
      <c r="A3" s="1"/>
      <c r="B3" s="5"/>
      <c r="C3" s="5"/>
      <c r="D3" s="5"/>
      <c r="E3" s="1"/>
      <c r="F3" s="5"/>
      <c r="H3" s="1" t="s">
        <v>82</v>
      </c>
    </row>
    <row r="4" spans="1:8" ht="15.75">
      <c r="A4" s="1"/>
      <c r="B4" s="1"/>
      <c r="C4" s="1"/>
      <c r="D4" s="1"/>
      <c r="E4" s="1"/>
      <c r="H4" s="1"/>
    </row>
    <row r="5" spans="1:8" ht="15.75">
      <c r="A5" s="1" t="s">
        <v>33</v>
      </c>
      <c r="B5" s="2">
        <v>4663107410</v>
      </c>
      <c r="C5" s="1"/>
      <c r="D5" s="4">
        <f>B5*0.004</f>
        <v>18652429.640000001</v>
      </c>
      <c r="E5" s="1"/>
      <c r="F5" s="12">
        <v>103.57299999999999</v>
      </c>
      <c r="H5" s="13">
        <f>4/F5</f>
        <v>3.8620103694978425E-2</v>
      </c>
    </row>
    <row r="6" spans="1:8" ht="15.75">
      <c r="A6" s="1" t="s">
        <v>34</v>
      </c>
      <c r="B6" s="2">
        <v>131935340</v>
      </c>
      <c r="C6" s="1"/>
      <c r="D6" s="4">
        <f t="shared" ref="D6:D68" si="0">B6*0.004</f>
        <v>527741.36</v>
      </c>
      <c r="E6" s="1"/>
      <c r="F6" s="12">
        <v>74.83</v>
      </c>
      <c r="H6" s="13">
        <f t="shared" ref="H6:H68" si="1">4/F6</f>
        <v>5.3454496859548312E-2</v>
      </c>
    </row>
    <row r="7" spans="1:8" ht="15.75">
      <c r="A7" s="1" t="s">
        <v>35</v>
      </c>
      <c r="B7" s="2">
        <v>7737071230</v>
      </c>
      <c r="C7" s="1"/>
      <c r="D7" s="4">
        <f t="shared" si="0"/>
        <v>30948284.920000002</v>
      </c>
      <c r="E7" s="1"/>
      <c r="F7" s="12">
        <v>91.914000000000001</v>
      </c>
      <c r="H7" s="13">
        <f t="shared" si="1"/>
        <v>4.3518941619339814E-2</v>
      </c>
    </row>
    <row r="8" spans="1:8" ht="15.75">
      <c r="A8" s="1" t="s">
        <v>36</v>
      </c>
      <c r="B8" s="2">
        <v>362456800</v>
      </c>
      <c r="C8" s="1"/>
      <c r="D8" s="4">
        <f t="shared" si="0"/>
        <v>1449827.2</v>
      </c>
      <c r="E8" s="1"/>
      <c r="F8" s="12">
        <v>60.095999999999997</v>
      </c>
      <c r="H8" s="13">
        <f t="shared" si="1"/>
        <v>6.6560170394036208E-2</v>
      </c>
    </row>
    <row r="9" spans="1:8" ht="15.75">
      <c r="A9" s="1" t="s">
        <v>37</v>
      </c>
      <c r="B9" s="2">
        <v>73315713</v>
      </c>
      <c r="C9" s="1"/>
      <c r="D9" s="4">
        <f t="shared" si="0"/>
        <v>293262.85200000001</v>
      </c>
      <c r="E9" s="1"/>
      <c r="F9" s="12">
        <v>58.203000000000003</v>
      </c>
      <c r="H9" s="13">
        <f t="shared" si="1"/>
        <v>6.8724979812037179E-2</v>
      </c>
    </row>
    <row r="10" spans="1:8" ht="15.75">
      <c r="A10" s="1" t="s">
        <v>38</v>
      </c>
      <c r="B10" s="2">
        <v>64823088</v>
      </c>
      <c r="C10" s="1"/>
      <c r="D10" s="4">
        <f t="shared" si="0"/>
        <v>259292.35200000001</v>
      </c>
      <c r="E10" s="1"/>
      <c r="F10" s="12">
        <v>66.793000000000006</v>
      </c>
      <c r="H10" s="13">
        <f t="shared" si="1"/>
        <v>5.9886515053972716E-2</v>
      </c>
    </row>
    <row r="11" spans="1:8" ht="15.75">
      <c r="A11" s="1" t="s">
        <v>39</v>
      </c>
      <c r="B11" s="2">
        <v>5620401630</v>
      </c>
      <c r="C11" s="1"/>
      <c r="D11" s="4">
        <f t="shared" si="0"/>
        <v>22481606.52</v>
      </c>
      <c r="E11" s="1"/>
      <c r="F11" s="12">
        <v>78.853999999999999</v>
      </c>
      <c r="H11" s="13">
        <f t="shared" si="1"/>
        <v>5.0726659395845489E-2</v>
      </c>
    </row>
    <row r="12" spans="1:8" ht="15.75">
      <c r="A12" s="1" t="s">
        <v>40</v>
      </c>
      <c r="B12" s="2">
        <v>1065139700</v>
      </c>
      <c r="C12" s="1"/>
      <c r="D12" s="4">
        <f t="shared" si="0"/>
        <v>4260558.8</v>
      </c>
      <c r="E12" s="1"/>
      <c r="F12" s="12">
        <v>101.25</v>
      </c>
      <c r="H12" s="13">
        <f t="shared" si="1"/>
        <v>3.9506172839506172E-2</v>
      </c>
    </row>
    <row r="13" spans="1:8" ht="15.75">
      <c r="A13" s="1" t="s">
        <v>41</v>
      </c>
      <c r="B13" s="2">
        <v>336715811</v>
      </c>
      <c r="C13" s="1"/>
      <c r="D13" s="4">
        <f t="shared" si="0"/>
        <v>1346863.2439999999</v>
      </c>
      <c r="E13" s="1"/>
      <c r="F13" s="12">
        <v>44.308999999999997</v>
      </c>
      <c r="H13" s="13">
        <f t="shared" si="1"/>
        <v>9.0275113408111229E-2</v>
      </c>
    </row>
    <row r="14" spans="1:8" ht="15.75">
      <c r="A14" s="1" t="s">
        <v>42</v>
      </c>
      <c r="B14" s="2">
        <v>149021170</v>
      </c>
      <c r="C14" s="1"/>
      <c r="D14" s="4">
        <f t="shared" si="0"/>
        <v>596084.68000000005</v>
      </c>
      <c r="E14" s="1"/>
      <c r="F14" s="12">
        <v>39.267000000000003</v>
      </c>
      <c r="H14" s="13">
        <f t="shared" si="1"/>
        <v>0.10186670741334962</v>
      </c>
    </row>
    <row r="15" spans="1:8" ht="15.75">
      <c r="A15" s="1" t="s">
        <v>43</v>
      </c>
      <c r="B15" s="2">
        <v>435303310</v>
      </c>
      <c r="C15" s="1"/>
      <c r="D15" s="4">
        <f t="shared" si="0"/>
        <v>1741213.24</v>
      </c>
      <c r="E15" s="1"/>
      <c r="F15" s="12">
        <v>70.078999999999994</v>
      </c>
      <c r="H15" s="13">
        <f t="shared" si="1"/>
        <v>5.7078440046233539E-2</v>
      </c>
    </row>
    <row r="16" spans="1:8" ht="15.75">
      <c r="A16" s="1" t="s">
        <v>44</v>
      </c>
      <c r="B16" s="2">
        <v>48827180</v>
      </c>
      <c r="C16" s="1"/>
      <c r="D16" s="4">
        <f t="shared" si="0"/>
        <v>195308.72</v>
      </c>
      <c r="E16" s="1"/>
      <c r="F16" s="12">
        <v>70.352999999999994</v>
      </c>
      <c r="H16" s="13">
        <f t="shared" si="1"/>
        <v>5.6856139752391517E-2</v>
      </c>
    </row>
    <row r="17" spans="1:8" ht="15.75">
      <c r="A17" s="1" t="s">
        <v>45</v>
      </c>
      <c r="B17" s="2">
        <v>111152646</v>
      </c>
      <c r="C17" s="1"/>
      <c r="D17" s="4">
        <f t="shared" si="0"/>
        <v>444610.58400000003</v>
      </c>
      <c r="E17" s="1"/>
      <c r="F17" s="12">
        <v>58.942999999999998</v>
      </c>
      <c r="H17" s="13">
        <f t="shared" si="1"/>
        <v>6.7862171928812581E-2</v>
      </c>
    </row>
    <row r="18" spans="1:8" ht="15.75">
      <c r="A18" s="1" t="s">
        <v>46</v>
      </c>
      <c r="B18" s="2">
        <v>34796904</v>
      </c>
      <c r="C18" s="1"/>
      <c r="D18" s="4">
        <f t="shared" si="0"/>
        <v>139187.61600000001</v>
      </c>
      <c r="E18" s="1"/>
      <c r="F18" s="12">
        <v>64.319000000000003</v>
      </c>
      <c r="H18" s="13">
        <f t="shared" si="1"/>
        <v>6.2190021611032507E-2</v>
      </c>
    </row>
    <row r="19" spans="1:8" ht="15.75">
      <c r="A19" s="1" t="s">
        <v>47</v>
      </c>
      <c r="B19" s="2">
        <v>87846930</v>
      </c>
      <c r="C19" s="1"/>
      <c r="D19" s="4">
        <f t="shared" si="0"/>
        <v>351387.72000000003</v>
      </c>
      <c r="E19" s="1"/>
      <c r="F19" s="12">
        <v>60.328000000000003</v>
      </c>
      <c r="H19" s="13">
        <f t="shared" si="1"/>
        <v>6.6304203686513727E-2</v>
      </c>
    </row>
    <row r="20" spans="1:8" ht="15.75">
      <c r="A20" s="1" t="s">
        <v>48</v>
      </c>
      <c r="B20" s="2">
        <v>318049330</v>
      </c>
      <c r="C20" s="1"/>
      <c r="D20" s="4">
        <f t="shared" si="0"/>
        <v>1272197.32</v>
      </c>
      <c r="E20" s="1"/>
      <c r="F20" s="12">
        <v>58.527999999999999</v>
      </c>
      <c r="H20" s="13">
        <f t="shared" si="1"/>
        <v>6.8343357025697105E-2</v>
      </c>
    </row>
    <row r="21" spans="1:8" ht="15.75">
      <c r="A21" s="1" t="s">
        <v>49</v>
      </c>
      <c r="B21" s="2">
        <v>10863244130</v>
      </c>
      <c r="C21" s="1"/>
      <c r="D21" s="4">
        <f t="shared" si="0"/>
        <v>43452976.520000003</v>
      </c>
      <c r="E21" s="1"/>
      <c r="F21" s="12">
        <v>70.626000000000005</v>
      </c>
      <c r="H21" s="13">
        <f t="shared" si="1"/>
        <v>5.6636366210743916E-2</v>
      </c>
    </row>
    <row r="22" spans="1:8" ht="15.75">
      <c r="A22" s="1" t="s">
        <v>50</v>
      </c>
      <c r="B22" s="2">
        <v>54135179</v>
      </c>
      <c r="C22" s="1"/>
      <c r="D22" s="4">
        <f t="shared" si="0"/>
        <v>216540.71600000001</v>
      </c>
      <c r="E22" s="1"/>
      <c r="F22" s="12">
        <v>61.652999999999999</v>
      </c>
      <c r="H22" s="13">
        <f t="shared" si="1"/>
        <v>6.4879243508020698E-2</v>
      </c>
    </row>
    <row r="23" spans="1:8" ht="15.75">
      <c r="A23" s="1" t="s">
        <v>51</v>
      </c>
      <c r="B23" s="2">
        <v>4678184640</v>
      </c>
      <c r="C23" s="1"/>
      <c r="D23" s="4">
        <f t="shared" si="0"/>
        <v>18712738.559999999</v>
      </c>
      <c r="E23" s="1"/>
      <c r="F23" s="12">
        <v>102.75</v>
      </c>
      <c r="H23" s="13">
        <f t="shared" si="1"/>
        <v>3.8929440389294405E-2</v>
      </c>
    </row>
    <row r="24" spans="1:8" ht="15.75">
      <c r="A24" s="1" t="s">
        <v>52</v>
      </c>
      <c r="B24" s="2">
        <v>3187469090</v>
      </c>
      <c r="C24" s="1"/>
      <c r="D24" s="4">
        <f t="shared" si="0"/>
        <v>12749876.359999999</v>
      </c>
      <c r="E24" s="1"/>
      <c r="F24" s="12">
        <v>58.88</v>
      </c>
      <c r="H24" s="13">
        <f t="shared" si="1"/>
        <v>6.7934782608695649E-2</v>
      </c>
    </row>
    <row r="25" spans="1:8" ht="15.75">
      <c r="A25" s="1" t="s">
        <v>75</v>
      </c>
      <c r="B25" s="2">
        <v>284691190</v>
      </c>
      <c r="C25" s="1"/>
      <c r="D25" s="4">
        <f t="shared" si="0"/>
        <v>1138764.76</v>
      </c>
      <c r="E25" s="1"/>
      <c r="F25" s="12">
        <v>82.965999999999994</v>
      </c>
      <c r="H25" s="13">
        <f t="shared" si="1"/>
        <v>4.8212520791649595E-2</v>
      </c>
    </row>
    <row r="26" spans="1:8" ht="15.75">
      <c r="A26" s="1" t="s">
        <v>53</v>
      </c>
      <c r="B26" s="2">
        <v>6578146500</v>
      </c>
      <c r="C26" s="1"/>
      <c r="D26" s="4">
        <f t="shared" si="0"/>
        <v>26312586</v>
      </c>
      <c r="E26" s="1"/>
      <c r="F26" s="12">
        <v>67.299000000000007</v>
      </c>
      <c r="H26" s="13">
        <f t="shared" si="1"/>
        <v>5.9436247195352079E-2</v>
      </c>
    </row>
    <row r="27" spans="1:8" ht="15.75">
      <c r="A27" s="1" t="s">
        <v>54</v>
      </c>
      <c r="B27" s="2">
        <v>433619100</v>
      </c>
      <c r="C27" s="1"/>
      <c r="D27" s="4">
        <f t="shared" si="0"/>
        <v>1734476.4000000001</v>
      </c>
      <c r="E27" s="1"/>
      <c r="F27" s="12">
        <v>58.670999999999999</v>
      </c>
      <c r="H27" s="13">
        <f t="shared" si="1"/>
        <v>6.8176782396754787E-2</v>
      </c>
    </row>
    <row r="28" spans="1:8" ht="15.75">
      <c r="A28" s="1" t="s">
        <v>55</v>
      </c>
      <c r="B28" s="2">
        <v>3270585030</v>
      </c>
      <c r="C28" s="1"/>
      <c r="D28" s="4">
        <f t="shared" si="0"/>
        <v>13082340.120000001</v>
      </c>
      <c r="E28" s="1"/>
      <c r="F28" s="12">
        <v>45.604999999999997</v>
      </c>
      <c r="H28" s="13">
        <f t="shared" si="1"/>
        <v>8.7709680956035527E-2</v>
      </c>
    </row>
    <row r="29" spans="1:8" ht="15.75">
      <c r="A29" s="1" t="s">
        <v>57</v>
      </c>
      <c r="B29" s="2">
        <v>352492340</v>
      </c>
      <c r="C29" s="1"/>
      <c r="D29" s="4">
        <f t="shared" si="0"/>
        <v>1409969.36</v>
      </c>
      <c r="E29" s="1"/>
      <c r="F29" s="12">
        <v>40.017000000000003</v>
      </c>
      <c r="H29" s="13">
        <f t="shared" si="1"/>
        <v>9.9957518054826694E-2</v>
      </c>
    </row>
    <row r="30" spans="1:8" ht="15.75">
      <c r="A30" s="1" t="s">
        <v>58</v>
      </c>
      <c r="B30" s="2">
        <v>857090230</v>
      </c>
      <c r="C30" s="1"/>
      <c r="D30" s="4">
        <f t="shared" si="0"/>
        <v>3428360.92</v>
      </c>
      <c r="E30" s="1"/>
      <c r="F30" s="12">
        <v>57.142000000000003</v>
      </c>
      <c r="H30" s="13">
        <f t="shared" si="1"/>
        <v>7.000105001575023E-2</v>
      </c>
    </row>
    <row r="31" spans="1:8" ht="15.75">
      <c r="A31" s="1" t="s">
        <v>56</v>
      </c>
      <c r="B31" s="2">
        <v>780639940</v>
      </c>
      <c r="C31" s="1"/>
      <c r="D31" s="4">
        <f t="shared" si="0"/>
        <v>3122559.7600000002</v>
      </c>
      <c r="E31" s="1"/>
      <c r="F31" s="12">
        <v>48.954999999999998</v>
      </c>
      <c r="H31" s="13">
        <f t="shared" si="1"/>
        <v>8.1707690736390559E-2</v>
      </c>
    </row>
    <row r="32" spans="1:8" ht="15.75">
      <c r="A32" s="1" t="s">
        <v>59</v>
      </c>
      <c r="B32" s="2">
        <v>49996800</v>
      </c>
      <c r="C32" s="1"/>
      <c r="D32" s="4">
        <f t="shared" si="0"/>
        <v>199987.20000000001</v>
      </c>
      <c r="E32" s="1"/>
      <c r="F32" s="12">
        <v>45.66</v>
      </c>
      <c r="H32" s="13">
        <f t="shared" si="1"/>
        <v>8.760402978537013E-2</v>
      </c>
    </row>
    <row r="33" spans="1:8" ht="15.75">
      <c r="A33" s="1" t="s">
        <v>60</v>
      </c>
      <c r="B33" s="2">
        <v>113230890</v>
      </c>
      <c r="C33" s="1"/>
      <c r="D33" s="4">
        <f t="shared" si="0"/>
        <v>452923.56</v>
      </c>
      <c r="E33" s="1"/>
      <c r="F33" s="12">
        <v>71.795000000000002</v>
      </c>
      <c r="H33" s="13">
        <f t="shared" si="1"/>
        <v>5.5714186224667457E-2</v>
      </c>
    </row>
    <row r="34" spans="1:8" ht="15.75">
      <c r="A34" s="1" t="s">
        <v>61</v>
      </c>
      <c r="B34" s="2">
        <v>30766370</v>
      </c>
      <c r="C34" s="1"/>
      <c r="D34" s="4">
        <f t="shared" si="0"/>
        <v>123065.48</v>
      </c>
      <c r="E34" s="1"/>
      <c r="F34" s="12">
        <v>45.768999999999998</v>
      </c>
      <c r="H34" s="13">
        <f t="shared" si="1"/>
        <v>8.739539863226202E-2</v>
      </c>
    </row>
    <row r="35" spans="1:8" ht="15.75">
      <c r="A35" s="1" t="s">
        <v>62</v>
      </c>
      <c r="B35" s="2">
        <v>7356400430</v>
      </c>
      <c r="C35" s="1"/>
      <c r="D35" s="4">
        <f t="shared" si="0"/>
        <v>29425601.719999999</v>
      </c>
      <c r="E35" s="1"/>
      <c r="F35" s="12">
        <v>94.268000000000001</v>
      </c>
      <c r="H35" s="13">
        <f t="shared" si="1"/>
        <v>4.2432214537276698E-2</v>
      </c>
    </row>
    <row r="36" spans="1:8" ht="15.75">
      <c r="A36" s="1" t="s">
        <v>63</v>
      </c>
      <c r="B36" s="2">
        <v>33136560</v>
      </c>
      <c r="C36" s="1"/>
      <c r="D36" s="4">
        <f t="shared" si="0"/>
        <v>132546.23999999999</v>
      </c>
      <c r="E36" s="1"/>
      <c r="F36" s="12">
        <v>84.524000000000001</v>
      </c>
      <c r="H36" s="13">
        <f t="shared" si="1"/>
        <v>4.7323837016705311E-2</v>
      </c>
    </row>
    <row r="37" spans="1:8" ht="15.75">
      <c r="A37" s="1" t="s">
        <v>64</v>
      </c>
      <c r="B37" s="2">
        <v>115718463</v>
      </c>
      <c r="C37" s="1"/>
      <c r="D37" s="4">
        <f t="shared" si="0"/>
        <v>462873.85200000001</v>
      </c>
      <c r="E37" s="1"/>
      <c r="F37" s="12">
        <v>78.938000000000002</v>
      </c>
      <c r="H37" s="13">
        <f t="shared" si="1"/>
        <v>5.0672679824672523E-2</v>
      </c>
    </row>
    <row r="38" spans="1:8" ht="15.75">
      <c r="A38" s="1" t="s">
        <v>65</v>
      </c>
      <c r="B38" s="2">
        <v>94093301</v>
      </c>
      <c r="C38" s="1"/>
      <c r="D38" s="4">
        <f t="shared" si="0"/>
        <v>376373.20400000003</v>
      </c>
      <c r="E38" s="1"/>
      <c r="F38" s="12">
        <v>82.635000000000005</v>
      </c>
      <c r="H38" s="13">
        <f t="shared" si="1"/>
        <v>4.8405639256973436E-2</v>
      </c>
    </row>
    <row r="39" spans="1:8" ht="15.75">
      <c r="A39" s="1" t="s">
        <v>66</v>
      </c>
      <c r="B39" s="2">
        <v>3017991395</v>
      </c>
      <c r="C39" s="1"/>
      <c r="D39" s="4">
        <f t="shared" si="0"/>
        <v>12071965.58</v>
      </c>
      <c r="E39" s="1"/>
      <c r="F39" s="12">
        <v>28.073</v>
      </c>
      <c r="H39" s="13">
        <f t="shared" si="1"/>
        <v>0.14248566238022298</v>
      </c>
    </row>
    <row r="40" spans="1:8" ht="15.75">
      <c r="A40" s="1" t="s">
        <v>67</v>
      </c>
      <c r="B40" s="2">
        <v>4121837079</v>
      </c>
      <c r="C40" s="1"/>
      <c r="D40" s="4">
        <f t="shared" si="0"/>
        <v>16487348.316</v>
      </c>
      <c r="E40" s="1"/>
      <c r="F40" s="12">
        <v>84.441999999999993</v>
      </c>
      <c r="H40" s="13">
        <f t="shared" si="1"/>
        <v>4.7369792283460839E-2</v>
      </c>
    </row>
    <row r="41" spans="1:8" ht="15.75">
      <c r="A41" s="1" t="s">
        <v>68</v>
      </c>
      <c r="B41" s="2">
        <v>691068530</v>
      </c>
      <c r="C41" s="1"/>
      <c r="D41" s="4">
        <f t="shared" si="0"/>
        <v>2764274.12</v>
      </c>
      <c r="E41" s="1"/>
      <c r="F41" s="12">
        <v>28.710999999999999</v>
      </c>
      <c r="H41" s="13">
        <f t="shared" si="1"/>
        <v>0.13931942461077637</v>
      </c>
    </row>
    <row r="42" spans="1:8" ht="15.75">
      <c r="A42" s="1" t="s">
        <v>69</v>
      </c>
      <c r="B42" s="2">
        <v>71583233</v>
      </c>
      <c r="C42" s="1"/>
      <c r="D42" s="4">
        <f t="shared" si="0"/>
        <v>286332.93200000003</v>
      </c>
      <c r="E42" s="1"/>
      <c r="F42" s="12">
        <v>78.492999999999995</v>
      </c>
      <c r="H42" s="13">
        <f t="shared" si="1"/>
        <v>5.0959958212834271E-2</v>
      </c>
    </row>
    <row r="43" spans="1:8" ht="15.75">
      <c r="A43" s="1" t="s">
        <v>70</v>
      </c>
      <c r="B43" s="2">
        <v>242402790</v>
      </c>
      <c r="C43" s="1"/>
      <c r="D43" s="4">
        <f t="shared" si="0"/>
        <v>969611.16</v>
      </c>
      <c r="E43" s="1"/>
      <c r="F43" s="12">
        <v>76.147000000000006</v>
      </c>
      <c r="H43" s="13">
        <f t="shared" si="1"/>
        <v>5.2529974916936971E-2</v>
      </c>
    </row>
    <row r="44" spans="1:8" ht="15.75">
      <c r="A44" s="1" t="s">
        <v>71</v>
      </c>
      <c r="B44" s="2">
        <v>1880987220</v>
      </c>
      <c r="C44" s="1"/>
      <c r="D44" s="4">
        <f t="shared" si="0"/>
        <v>7523948.8799999999</v>
      </c>
      <c r="E44" s="1"/>
      <c r="F44" s="12">
        <v>62.411000000000001</v>
      </c>
      <c r="H44" s="13">
        <f t="shared" si="1"/>
        <v>6.4091265962730931E-2</v>
      </c>
    </row>
    <row r="45" spans="1:8" ht="15.75">
      <c r="A45" s="1" t="s">
        <v>72</v>
      </c>
      <c r="B45" s="2">
        <v>30386390</v>
      </c>
      <c r="C45" s="1"/>
      <c r="D45" s="4">
        <f t="shared" si="0"/>
        <v>121545.56</v>
      </c>
      <c r="E45" s="1"/>
      <c r="F45" s="12">
        <v>56.191000000000003</v>
      </c>
      <c r="H45" s="13">
        <f t="shared" si="1"/>
        <v>7.1185777081739066E-2</v>
      </c>
    </row>
    <row r="46" spans="1:8" ht="15.75">
      <c r="A46" s="1" t="s">
        <v>77</v>
      </c>
      <c r="B46" s="2">
        <v>443165070</v>
      </c>
      <c r="C46" s="1"/>
      <c r="D46" s="4">
        <f t="shared" si="0"/>
        <v>1772660.28</v>
      </c>
      <c r="E46" s="1"/>
      <c r="F46" s="12">
        <v>64.286000000000001</v>
      </c>
      <c r="H46" s="13">
        <f t="shared" si="1"/>
        <v>6.2221945680241419E-2</v>
      </c>
    </row>
    <row r="47" spans="1:8" ht="15.75">
      <c r="A47" s="1" t="s">
        <v>73</v>
      </c>
      <c r="B47" s="2">
        <v>437366540</v>
      </c>
      <c r="C47" s="1"/>
      <c r="D47" s="4">
        <f t="shared" si="0"/>
        <v>1749466.1600000001</v>
      </c>
      <c r="E47" s="1"/>
      <c r="F47" s="12">
        <v>49.695</v>
      </c>
      <c r="H47" s="13">
        <f t="shared" si="1"/>
        <v>8.0490995069926546E-2</v>
      </c>
    </row>
    <row r="48" spans="1:8" ht="15.75">
      <c r="A48" s="1" t="s">
        <v>74</v>
      </c>
      <c r="B48" s="2">
        <v>578622313</v>
      </c>
      <c r="C48" s="1"/>
      <c r="D48" s="4">
        <f t="shared" si="0"/>
        <v>2314489.2519999999</v>
      </c>
      <c r="E48" s="1"/>
      <c r="F48" s="12">
        <v>57.054000000000002</v>
      </c>
      <c r="H48" s="13">
        <f t="shared" si="1"/>
        <v>7.0109019525361929E-2</v>
      </c>
    </row>
    <row r="49" spans="1:8" ht="15.75">
      <c r="A49" s="1" t="s">
        <v>12</v>
      </c>
      <c r="B49" s="2">
        <v>382848100</v>
      </c>
      <c r="C49" s="1"/>
      <c r="D49" s="4">
        <f t="shared" si="0"/>
        <v>1531392.4000000001</v>
      </c>
      <c r="E49" s="1"/>
      <c r="F49" s="12">
        <v>80.465000000000003</v>
      </c>
      <c r="H49" s="13">
        <f t="shared" si="1"/>
        <v>4.9711054495743486E-2</v>
      </c>
    </row>
    <row r="50" spans="1:8" ht="15.75">
      <c r="A50" s="1" t="s">
        <v>13</v>
      </c>
      <c r="B50" s="2">
        <v>116770834</v>
      </c>
      <c r="C50" s="1"/>
      <c r="D50" s="4">
        <f t="shared" si="0"/>
        <v>467083.33600000001</v>
      </c>
      <c r="E50" s="1"/>
      <c r="F50" s="12">
        <v>63.33</v>
      </c>
      <c r="H50" s="13">
        <f t="shared" si="1"/>
        <v>6.3161219011526923E-2</v>
      </c>
    </row>
    <row r="51" spans="1:8" ht="15.75">
      <c r="A51" s="1" t="s">
        <v>14</v>
      </c>
      <c r="B51" s="2">
        <v>196889200</v>
      </c>
      <c r="C51" s="1"/>
      <c r="D51" s="4">
        <f t="shared" si="0"/>
        <v>787556.8</v>
      </c>
      <c r="E51" s="1"/>
      <c r="F51" s="12">
        <v>50.872</v>
      </c>
      <c r="H51" s="13">
        <f t="shared" si="1"/>
        <v>7.8628715206793515E-2</v>
      </c>
    </row>
    <row r="52" spans="1:8" ht="15.75">
      <c r="A52" s="1" t="s">
        <v>15</v>
      </c>
      <c r="B52" s="2">
        <v>417184635</v>
      </c>
      <c r="C52" s="1"/>
      <c r="D52" s="4">
        <f t="shared" si="0"/>
        <v>1668738.54</v>
      </c>
      <c r="E52" s="1"/>
      <c r="F52" s="12">
        <v>52.048999999999999</v>
      </c>
      <c r="H52" s="13">
        <f t="shared" si="1"/>
        <v>7.6850659955042366E-2</v>
      </c>
    </row>
    <row r="53" spans="1:8" ht="15.75">
      <c r="A53" s="1" t="s">
        <v>16</v>
      </c>
      <c r="B53" s="2">
        <v>48975466</v>
      </c>
      <c r="C53" s="1"/>
      <c r="D53" s="4">
        <f t="shared" si="0"/>
        <v>195901.864</v>
      </c>
      <c r="E53" s="1"/>
      <c r="F53" s="12">
        <v>86.287999999999997</v>
      </c>
      <c r="H53" s="13">
        <f t="shared" si="1"/>
        <v>4.6356387910254038E-2</v>
      </c>
    </row>
    <row r="54" spans="1:8" ht="15.75">
      <c r="A54" s="1" t="s">
        <v>17</v>
      </c>
      <c r="B54" s="2">
        <v>2777168530</v>
      </c>
      <c r="C54" s="1"/>
      <c r="D54" s="4">
        <f t="shared" si="0"/>
        <v>11108674.120000001</v>
      </c>
      <c r="E54" s="1"/>
      <c r="F54" s="12">
        <v>35.396999999999998</v>
      </c>
      <c r="H54" s="13">
        <f t="shared" si="1"/>
        <v>0.11300392688645931</v>
      </c>
    </row>
    <row r="55" spans="1:8" ht="15.75">
      <c r="A55" s="1" t="s">
        <v>18</v>
      </c>
      <c r="B55" s="2">
        <v>120442280</v>
      </c>
      <c r="C55" s="1"/>
      <c r="D55" s="4">
        <f t="shared" si="0"/>
        <v>481769.12</v>
      </c>
      <c r="E55" s="1"/>
      <c r="F55" s="12">
        <v>66.596000000000004</v>
      </c>
      <c r="H55" s="13">
        <f t="shared" si="1"/>
        <v>6.0063667487536783E-2</v>
      </c>
    </row>
    <row r="56" spans="1:8" ht="15.75">
      <c r="A56" s="1" t="s">
        <v>19</v>
      </c>
      <c r="B56" s="2">
        <v>1256800490</v>
      </c>
      <c r="C56" s="1"/>
      <c r="D56" s="4">
        <f t="shared" si="0"/>
        <v>5027201.96</v>
      </c>
      <c r="E56" s="1"/>
      <c r="F56" s="12">
        <v>92.736000000000004</v>
      </c>
      <c r="H56" s="13">
        <f t="shared" si="1"/>
        <v>4.3133195307108352E-2</v>
      </c>
    </row>
    <row r="57" spans="1:8" ht="15.75">
      <c r="A57" s="1" t="s">
        <v>20</v>
      </c>
      <c r="B57" s="2">
        <v>821281380</v>
      </c>
      <c r="C57" s="1"/>
      <c r="D57" s="4">
        <f t="shared" si="0"/>
        <v>3285125.52</v>
      </c>
      <c r="E57" s="1"/>
      <c r="F57" s="12">
        <v>41.398000000000003</v>
      </c>
      <c r="H57" s="13">
        <f t="shared" si="1"/>
        <v>9.6623025266921098E-2</v>
      </c>
    </row>
    <row r="58" spans="1:8" ht="15.75">
      <c r="A58" s="1" t="s">
        <v>21</v>
      </c>
      <c r="B58" s="2">
        <v>173323350</v>
      </c>
      <c r="C58" s="1"/>
      <c r="D58" s="4">
        <f t="shared" si="0"/>
        <v>693293.4</v>
      </c>
      <c r="E58" s="1"/>
      <c r="F58" s="12">
        <v>57.42</v>
      </c>
      <c r="H58" s="13">
        <f t="shared" si="1"/>
        <v>6.966213862765587E-2</v>
      </c>
    </row>
    <row r="59" spans="1:8" ht="15.75">
      <c r="A59" s="1" t="s">
        <v>22</v>
      </c>
      <c r="B59" s="2">
        <v>1120440200</v>
      </c>
      <c r="C59" s="1"/>
      <c r="D59" s="4">
        <f t="shared" si="0"/>
        <v>4481760.8</v>
      </c>
      <c r="E59" s="1"/>
      <c r="F59" s="12">
        <v>49.558</v>
      </c>
      <c r="H59" s="13">
        <f t="shared" si="1"/>
        <v>8.0713507405464305E-2</v>
      </c>
    </row>
    <row r="60" spans="1:8" ht="15.75">
      <c r="A60" s="1" t="s">
        <v>23</v>
      </c>
      <c r="B60" s="2">
        <v>62008408</v>
      </c>
      <c r="C60" s="1"/>
      <c r="D60" s="4">
        <f t="shared" si="0"/>
        <v>248033.63200000001</v>
      </c>
      <c r="E60" s="1"/>
      <c r="F60" s="12">
        <v>73.712999999999994</v>
      </c>
      <c r="H60" s="13">
        <f t="shared" si="1"/>
        <v>5.4264512365525756E-2</v>
      </c>
    </row>
    <row r="61" spans="1:8" ht="15.75">
      <c r="A61" s="1" t="s">
        <v>24</v>
      </c>
      <c r="B61" s="2">
        <v>55547330</v>
      </c>
      <c r="C61" s="1"/>
      <c r="D61" s="4">
        <f t="shared" si="0"/>
        <v>222189.32</v>
      </c>
      <c r="E61" s="1"/>
      <c r="F61" s="12">
        <v>38.899000000000001</v>
      </c>
      <c r="H61" s="13">
        <f t="shared" si="1"/>
        <v>0.10283040695133551</v>
      </c>
    </row>
    <row r="62" spans="1:8" ht="15.75">
      <c r="A62" s="1" t="s">
        <v>25</v>
      </c>
      <c r="B62" s="2">
        <v>893064930</v>
      </c>
      <c r="C62" s="1"/>
      <c r="D62" s="4">
        <f t="shared" si="0"/>
        <v>3572259.72</v>
      </c>
      <c r="E62" s="1"/>
      <c r="F62" s="12">
        <v>38.146000000000001</v>
      </c>
      <c r="H62" s="13">
        <f t="shared" si="1"/>
        <v>0.10486027368531432</v>
      </c>
    </row>
    <row r="63" spans="1:8" ht="15.75">
      <c r="A63" s="1" t="s">
        <v>26</v>
      </c>
      <c r="B63" s="2">
        <v>57766970</v>
      </c>
      <c r="C63" s="1"/>
      <c r="D63" s="4">
        <f t="shared" si="0"/>
        <v>231067.88</v>
      </c>
      <c r="E63" s="1"/>
      <c r="F63" s="12">
        <v>67.638999999999996</v>
      </c>
      <c r="H63" s="13">
        <f t="shared" si="1"/>
        <v>5.913747985629593E-2</v>
      </c>
    </row>
    <row r="64" spans="1:8" ht="15.75">
      <c r="A64" s="1" t="s">
        <v>27</v>
      </c>
      <c r="B64" s="2">
        <v>1583254970</v>
      </c>
      <c r="C64" s="1"/>
      <c r="D64" s="4">
        <f t="shared" si="0"/>
        <v>6333019.8799999999</v>
      </c>
      <c r="E64" s="1"/>
      <c r="F64" s="12">
        <v>51.841999999999999</v>
      </c>
      <c r="H64" s="13">
        <f t="shared" si="1"/>
        <v>7.7157517071100648E-2</v>
      </c>
    </row>
    <row r="65" spans="1:8" ht="15.75">
      <c r="A65" s="1" t="s">
        <v>28</v>
      </c>
      <c r="B65" s="2">
        <v>470899780</v>
      </c>
      <c r="C65" s="1"/>
      <c r="D65" s="4">
        <f t="shared" si="0"/>
        <v>1883599.12</v>
      </c>
      <c r="E65" s="1"/>
      <c r="F65" s="12">
        <v>59.683</v>
      </c>
      <c r="H65" s="13">
        <f t="shared" si="1"/>
        <v>6.7020759680310973E-2</v>
      </c>
    </row>
    <row r="66" spans="1:8" ht="15.75">
      <c r="A66" s="1" t="s">
        <v>29</v>
      </c>
      <c r="B66" s="2">
        <v>113226075</v>
      </c>
      <c r="C66" s="1"/>
      <c r="D66" s="4">
        <f t="shared" si="0"/>
        <v>452904.3</v>
      </c>
      <c r="E66" s="1"/>
      <c r="F66" s="12">
        <v>60.404000000000003</v>
      </c>
      <c r="H66" s="13">
        <f t="shared" si="1"/>
        <v>6.6220780080789354E-2</v>
      </c>
    </row>
    <row r="67" spans="1:8" ht="15.75">
      <c r="A67" s="1" t="s">
        <v>30</v>
      </c>
      <c r="B67" s="2">
        <v>4565823440</v>
      </c>
      <c r="C67" s="1"/>
      <c r="D67" s="4">
        <f t="shared" si="0"/>
        <v>18263293.760000002</v>
      </c>
      <c r="E67" s="1"/>
      <c r="F67" s="12">
        <v>71.332999999999998</v>
      </c>
      <c r="H67" s="13">
        <f t="shared" si="1"/>
        <v>5.6075028387983124E-2</v>
      </c>
    </row>
    <row r="68" spans="1:8" ht="15.75">
      <c r="A68" s="1" t="s">
        <v>31</v>
      </c>
      <c r="B68" s="2">
        <v>326902670</v>
      </c>
      <c r="C68" s="1"/>
      <c r="D68" s="4">
        <f t="shared" si="0"/>
        <v>1307610.68</v>
      </c>
      <c r="E68" s="1"/>
      <c r="F68" s="12">
        <v>60.784999999999997</v>
      </c>
      <c r="H68" s="13">
        <f t="shared" si="1"/>
        <v>6.5805708645224975E-2</v>
      </c>
    </row>
    <row r="69" spans="1:8" ht="15.75">
      <c r="A69" s="1"/>
      <c r="C69" s="1"/>
      <c r="D69" s="4"/>
      <c r="E69" s="1"/>
      <c r="F69" s="12"/>
      <c r="H69" s="13"/>
    </row>
    <row r="70" spans="1:8" ht="15.75">
      <c r="A70" s="1" t="s">
        <v>32</v>
      </c>
      <c r="B70" s="2">
        <f>SUM(B5:B68)</f>
        <v>87449633973</v>
      </c>
      <c r="C70" s="1"/>
      <c r="D70" s="4">
        <f t="shared" ref="D70" si="2">B70*0.004</f>
        <v>349798535.89200002</v>
      </c>
      <c r="E70" s="1"/>
      <c r="F70" s="12">
        <v>72.748000000000005</v>
      </c>
      <c r="H70" s="13">
        <f t="shared" ref="H70" si="3">4/F70</f>
        <v>5.4984329466102155E-2</v>
      </c>
    </row>
    <row r="71" spans="1:8" ht="15.75">
      <c r="A71" s="1"/>
      <c r="B71" s="2"/>
      <c r="C71" s="1"/>
      <c r="D71" s="1"/>
      <c r="E71" s="1"/>
      <c r="F71" s="12"/>
      <c r="H71" s="1"/>
    </row>
    <row r="72" spans="1:8" ht="15.75">
      <c r="A72" s="7" t="s">
        <v>88</v>
      </c>
      <c r="B72" s="1"/>
      <c r="C72" s="1"/>
      <c r="D72" s="1"/>
      <c r="F72" s="12"/>
      <c r="H72" s="1"/>
    </row>
    <row r="73" spans="1:8" ht="15.75">
      <c r="A73" s="7"/>
      <c r="F73" s="12"/>
      <c r="H73" s="1"/>
    </row>
    <row r="74" spans="1:8" ht="15.75">
      <c r="F74" s="12"/>
      <c r="H74" s="1"/>
    </row>
    <row r="75" spans="1:8" ht="15.75">
      <c r="F75" s="12"/>
      <c r="H75" s="1"/>
    </row>
    <row r="76" spans="1:8" ht="15.75">
      <c r="F76" s="12"/>
      <c r="H76" s="1"/>
    </row>
    <row r="77" spans="1:8" ht="15.75">
      <c r="F77" s="12"/>
      <c r="H77" s="1"/>
    </row>
    <row r="78" spans="1:8" ht="15.75">
      <c r="B78" s="3"/>
      <c r="F78" s="12"/>
      <c r="H78" s="1"/>
    </row>
    <row r="79" spans="1:8" ht="15.75">
      <c r="B79" s="3"/>
      <c r="F79" s="12"/>
      <c r="H79" s="1"/>
    </row>
    <row r="80" spans="1:8" ht="15.75">
      <c r="B80" s="3"/>
      <c r="F80" s="12"/>
      <c r="H80" s="1"/>
    </row>
    <row r="81" spans="2:8" ht="15.75">
      <c r="B81" s="3"/>
      <c r="F81" s="12"/>
      <c r="H81" s="1"/>
    </row>
    <row r="82" spans="2:8" ht="15.75">
      <c r="B82" s="3"/>
      <c r="F82" s="12"/>
      <c r="H82" s="1"/>
    </row>
    <row r="83" spans="2:8" ht="15.75">
      <c r="B83" s="3"/>
      <c r="F83" s="12"/>
      <c r="H83" s="1"/>
    </row>
    <row r="84" spans="2:8" ht="15.75">
      <c r="B84" s="3"/>
      <c r="F84" s="12"/>
      <c r="H84" s="1"/>
    </row>
    <row r="85" spans="2:8" ht="15.75">
      <c r="B85" s="3"/>
      <c r="F85" s="12"/>
      <c r="H85" s="1"/>
    </row>
    <row r="86" spans="2:8" ht="15.75">
      <c r="B86" s="3"/>
      <c r="F86" s="12"/>
      <c r="H86" s="1"/>
    </row>
    <row r="87" spans="2:8" ht="15.75">
      <c r="B87" s="3"/>
      <c r="F87" s="12"/>
      <c r="H87" s="1"/>
    </row>
    <row r="88" spans="2:8" ht="15.75">
      <c r="B88" s="3"/>
      <c r="F88" s="12"/>
      <c r="H88" s="1"/>
    </row>
    <row r="89" spans="2:8" ht="15.75">
      <c r="B89" s="3"/>
      <c r="F89" s="12"/>
      <c r="H89" s="1"/>
    </row>
    <row r="90" spans="2:8" ht="15.75">
      <c r="B90" s="3"/>
      <c r="F90" s="12"/>
      <c r="H90" s="1"/>
    </row>
    <row r="91" spans="2:8" ht="15.75">
      <c r="B91" s="3"/>
      <c r="F91" s="12"/>
      <c r="H91" s="1"/>
    </row>
    <row r="92" spans="2:8" ht="15.75">
      <c r="B92" s="3"/>
      <c r="F92" s="12"/>
      <c r="H92" s="1"/>
    </row>
    <row r="93" spans="2:8" ht="15.75">
      <c r="B93" s="3"/>
      <c r="F93" s="12"/>
      <c r="H93" s="1"/>
    </row>
    <row r="94" spans="2:8" ht="15.75">
      <c r="B94" s="3"/>
      <c r="F94" s="12"/>
      <c r="H94" s="1"/>
    </row>
    <row r="95" spans="2:8" ht="15.75">
      <c r="B95" s="3"/>
      <c r="F95" s="12"/>
      <c r="H95" s="1"/>
    </row>
    <row r="96" spans="2:8" ht="15.75">
      <c r="B96" s="3"/>
      <c r="F96" s="12"/>
      <c r="H96" s="1"/>
    </row>
    <row r="97" spans="2:8" ht="15.75">
      <c r="B97" s="3"/>
      <c r="F97" s="12"/>
      <c r="H97" s="1"/>
    </row>
    <row r="98" spans="2:8" ht="15.75">
      <c r="B98" s="3"/>
      <c r="F98" s="12"/>
      <c r="H98" s="1"/>
    </row>
    <row r="99" spans="2:8" ht="15.75">
      <c r="B99" s="3"/>
      <c r="F99" s="12"/>
      <c r="H99" s="1"/>
    </row>
    <row r="100" spans="2:8" ht="15.75">
      <c r="B100" s="3"/>
      <c r="F100" s="12"/>
      <c r="H100" s="1"/>
    </row>
    <row r="101" spans="2:8" ht="15.75">
      <c r="B101" s="3"/>
      <c r="F101" s="12"/>
      <c r="H101" s="1"/>
    </row>
    <row r="102" spans="2:8" ht="15.75">
      <c r="B102" s="3"/>
      <c r="F102" s="12"/>
      <c r="H102" s="1"/>
    </row>
    <row r="103" spans="2:8" ht="15.75">
      <c r="B103" s="3"/>
      <c r="F103" s="12"/>
      <c r="H103" s="1"/>
    </row>
    <row r="104" spans="2:8" ht="15.75">
      <c r="B104" s="3"/>
      <c r="F104" s="12"/>
      <c r="H104" s="1"/>
    </row>
    <row r="105" spans="2:8" ht="15.75">
      <c r="B105" s="3"/>
      <c r="F105" s="12"/>
      <c r="H105" s="1"/>
    </row>
    <row r="106" spans="2:8" ht="15.75">
      <c r="B106" s="3"/>
      <c r="H106" s="1"/>
    </row>
    <row r="107" spans="2:8" ht="15.75">
      <c r="B107" s="3"/>
      <c r="H107" s="1"/>
    </row>
    <row r="108" spans="2:8" ht="15.75">
      <c r="B108" s="3"/>
      <c r="H108" s="1"/>
    </row>
    <row r="109" spans="2:8" ht="15.75">
      <c r="B109" s="3"/>
      <c r="H109" s="1"/>
    </row>
    <row r="110" spans="2:8" ht="15.75">
      <c r="B110" s="3"/>
      <c r="H110" s="1"/>
    </row>
    <row r="111" spans="2:8" ht="15.75">
      <c r="B111" s="3"/>
      <c r="H111" s="1"/>
    </row>
    <row r="112" spans="2:8" ht="15.75">
      <c r="B112" s="3"/>
      <c r="H112" s="1"/>
    </row>
    <row r="113" spans="2:8" ht="15.75">
      <c r="B113" s="3"/>
      <c r="H113" s="1"/>
    </row>
    <row r="114" spans="2:8" ht="15.75">
      <c r="B114" s="3"/>
      <c r="H114" s="1"/>
    </row>
    <row r="115" spans="2:8" ht="15.75">
      <c r="B115" s="3"/>
      <c r="H115" s="1"/>
    </row>
    <row r="116" spans="2:8" ht="15.75">
      <c r="B116" s="3"/>
      <c r="H116" s="1"/>
    </row>
    <row r="117" spans="2:8" ht="15.75">
      <c r="B117" s="3"/>
      <c r="H117" s="1"/>
    </row>
    <row r="118" spans="2:8" ht="15.75">
      <c r="B118" s="3"/>
      <c r="H118" s="1"/>
    </row>
    <row r="119" spans="2:8" ht="15.75">
      <c r="B119" s="3"/>
      <c r="H119" s="1"/>
    </row>
    <row r="120" spans="2:8" ht="15.75">
      <c r="B120" s="3"/>
      <c r="H120" s="1"/>
    </row>
    <row r="121" spans="2:8" ht="15.75">
      <c r="B121" s="3"/>
      <c r="H121" s="1"/>
    </row>
    <row r="122" spans="2:8" ht="15.75">
      <c r="B122" s="3"/>
      <c r="H122" s="1"/>
    </row>
    <row r="123" spans="2:8" ht="15.75">
      <c r="B123" s="3"/>
      <c r="H123" s="1"/>
    </row>
    <row r="124" spans="2:8" ht="15.75">
      <c r="B124" s="3"/>
      <c r="H124" s="1"/>
    </row>
    <row r="125" spans="2:8" ht="15.75">
      <c r="B125" s="3"/>
      <c r="H125" s="1"/>
    </row>
    <row r="126" spans="2:8" ht="15.75">
      <c r="B126" s="3"/>
      <c r="H126" s="1"/>
    </row>
    <row r="127" spans="2:8" ht="15.75">
      <c r="B127" s="3"/>
      <c r="H127" s="1"/>
    </row>
    <row r="128" spans="2:8" ht="15.75">
      <c r="H128" s="1"/>
    </row>
    <row r="129" spans="8:8" ht="15.75">
      <c r="H129" s="1"/>
    </row>
    <row r="130" spans="8:8" ht="15.75">
      <c r="H130" s="1"/>
    </row>
    <row r="131" spans="8:8" ht="15.75">
      <c r="H131" s="1"/>
    </row>
    <row r="132" spans="8:8" ht="15.75">
      <c r="H132" s="1"/>
    </row>
    <row r="133" spans="8:8" ht="15.75">
      <c r="H133" s="1"/>
    </row>
    <row r="134" spans="8:8" ht="15.75">
      <c r="H134" s="1"/>
    </row>
    <row r="135" spans="8:8" ht="15.75">
      <c r="H135" s="1"/>
    </row>
    <row r="136" spans="8:8" ht="15.75">
      <c r="H136" s="1"/>
    </row>
    <row r="137" spans="8:8" ht="15.75">
      <c r="H137" s="1"/>
    </row>
    <row r="138" spans="8:8" ht="15.75">
      <c r="H138" s="1"/>
    </row>
    <row r="139" spans="8:8" ht="15.75">
      <c r="H139" s="1"/>
    </row>
    <row r="140" spans="8:8" ht="15.75">
      <c r="H140" s="1"/>
    </row>
    <row r="141" spans="8:8" ht="15.75">
      <c r="H141" s="1"/>
    </row>
    <row r="142" spans="8:8" ht="15.75">
      <c r="H142" s="1"/>
    </row>
    <row r="143" spans="8:8" ht="15.75">
      <c r="H143" s="1"/>
    </row>
    <row r="144" spans="8:8" ht="15.75">
      <c r="H144" s="1"/>
    </row>
    <row r="145" spans="8:8" ht="15.75">
      <c r="H145" s="1"/>
    </row>
    <row r="146" spans="8:8" ht="15.75">
      <c r="H146" s="1"/>
    </row>
    <row r="147" spans="8:8" ht="15.75">
      <c r="H147" s="1"/>
    </row>
    <row r="148" spans="8:8" ht="15.75">
      <c r="H148" s="1"/>
    </row>
    <row r="149" spans="8:8" ht="15.75">
      <c r="H149" s="1"/>
    </row>
    <row r="150" spans="8:8" ht="15.75">
      <c r="H150" s="1"/>
    </row>
  </sheetData>
  <mergeCells count="1">
    <mergeCell ref="A1:D1"/>
  </mergeCells>
  <phoneticPr fontId="1" type="noConversion"/>
  <pageMargins left="0.75" right="0.75" top="0.25" bottom="0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 enableFormatConditionsCalculation="0">
    <pageSetUpPr fitToPage="1"/>
  </sheetPr>
  <dimension ref="A1:H72"/>
  <sheetViews>
    <sheetView tabSelected="1" view="pageLayout" zoomScale="150" zoomScalePageLayoutView="150" workbookViewId="0">
      <selection activeCell="D5" sqref="D5"/>
    </sheetView>
  </sheetViews>
  <sheetFormatPr defaultColWidth="11" defaultRowHeight="12.75"/>
  <cols>
    <col min="2" max="2" width="12.75" customWidth="1"/>
  </cols>
  <sheetData>
    <row r="1" spans="1:8" ht="15.75">
      <c r="A1" s="15" t="s">
        <v>89</v>
      </c>
      <c r="B1" s="15"/>
      <c r="C1" s="15"/>
      <c r="D1" s="15"/>
      <c r="E1" s="1"/>
    </row>
    <row r="2" spans="1:8" ht="15.75">
      <c r="A2" s="1" t="s">
        <v>79</v>
      </c>
      <c r="B2" s="5" t="s">
        <v>83</v>
      </c>
      <c r="C2" s="5" t="s">
        <v>85</v>
      </c>
      <c r="D2" s="5"/>
      <c r="E2" s="1"/>
      <c r="F2" s="5" t="s">
        <v>80</v>
      </c>
      <c r="H2" s="1" t="s">
        <v>81</v>
      </c>
    </row>
    <row r="3" spans="1:8" ht="15.75">
      <c r="A3" s="1"/>
      <c r="B3" s="5" t="s">
        <v>84</v>
      </c>
      <c r="C3" s="5" t="s">
        <v>86</v>
      </c>
      <c r="D3" s="5" t="s">
        <v>87</v>
      </c>
      <c r="E3" s="1"/>
      <c r="F3" s="5"/>
      <c r="H3" s="1" t="s">
        <v>82</v>
      </c>
    </row>
    <row r="4" spans="1:8" ht="15.75">
      <c r="A4" s="1"/>
      <c r="B4" s="1"/>
      <c r="C4" s="1"/>
      <c r="D4" s="1"/>
      <c r="E4" s="1"/>
      <c r="H4" s="1"/>
    </row>
    <row r="5" spans="1:8" ht="15.75">
      <c r="A5" s="1" t="s">
        <v>2</v>
      </c>
      <c r="B5" s="4">
        <v>482970670</v>
      </c>
      <c r="C5" s="4">
        <v>18652429.640000001</v>
      </c>
      <c r="D5" s="14">
        <f>C5/B5</f>
        <v>3.8620211947860104E-2</v>
      </c>
      <c r="E5" s="1"/>
      <c r="F5" s="12">
        <v>103.57299999999999</v>
      </c>
      <c r="H5" s="13">
        <f>4/F5</f>
        <v>3.8620103694978425E-2</v>
      </c>
    </row>
    <row r="6" spans="1:8" ht="15.75">
      <c r="A6" s="1" t="s">
        <v>34</v>
      </c>
      <c r="B6" s="4">
        <v>9872719</v>
      </c>
      <c r="C6" s="4">
        <v>527741.36</v>
      </c>
      <c r="D6" s="14">
        <f t="shared" ref="D6:D68" si="0">C6/B6</f>
        <v>5.3454510353226903E-2</v>
      </c>
      <c r="E6" s="1"/>
      <c r="F6" s="12">
        <v>74.83</v>
      </c>
      <c r="H6" s="13">
        <f t="shared" ref="H6:H68" si="1">4/F6</f>
        <v>5.3454496859548312E-2</v>
      </c>
    </row>
    <row r="7" spans="1:8" ht="15.75">
      <c r="A7" s="1" t="s">
        <v>3</v>
      </c>
      <c r="B7" s="4">
        <v>711144261</v>
      </c>
      <c r="C7" s="4">
        <v>30948284.920000002</v>
      </c>
      <c r="D7" s="14">
        <f t="shared" si="0"/>
        <v>4.3518996942309575E-2</v>
      </c>
      <c r="E7" s="1"/>
      <c r="F7" s="12">
        <v>91.914000000000001</v>
      </c>
      <c r="H7" s="13">
        <f t="shared" si="1"/>
        <v>4.3518941619339814E-2</v>
      </c>
    </row>
    <row r="8" spans="1:8" ht="15.75">
      <c r="A8" s="1" t="s">
        <v>36</v>
      </c>
      <c r="B8" s="4">
        <v>21782357</v>
      </c>
      <c r="C8" s="4">
        <v>1449827.2</v>
      </c>
      <c r="D8" s="14">
        <f t="shared" si="0"/>
        <v>6.6559702423387879E-2</v>
      </c>
      <c r="E8" s="1"/>
      <c r="F8" s="12">
        <v>60.095999999999997</v>
      </c>
      <c r="H8" s="13">
        <f t="shared" si="1"/>
        <v>6.6560170394036208E-2</v>
      </c>
    </row>
    <row r="9" spans="1:8" ht="15.75">
      <c r="A9" s="1" t="s">
        <v>37</v>
      </c>
      <c r="B9" s="4">
        <v>4267208</v>
      </c>
      <c r="C9" s="4">
        <v>293262.85200000001</v>
      </c>
      <c r="D9" s="14">
        <f t="shared" si="0"/>
        <v>6.8724761483386798E-2</v>
      </c>
      <c r="E9" s="1"/>
      <c r="F9" s="12">
        <v>58.203000000000003</v>
      </c>
      <c r="H9" s="13">
        <f t="shared" si="1"/>
        <v>6.8724979812037179E-2</v>
      </c>
    </row>
    <row r="10" spans="1:8" ht="15.75">
      <c r="A10" s="1" t="s">
        <v>38</v>
      </c>
      <c r="B10" s="4">
        <v>4329703</v>
      </c>
      <c r="C10" s="4">
        <v>259292.35200000001</v>
      </c>
      <c r="D10" s="14">
        <f t="shared" si="0"/>
        <v>5.9886867990714375E-2</v>
      </c>
      <c r="E10" s="1"/>
      <c r="F10" s="12">
        <v>66.793000000000006</v>
      </c>
      <c r="H10" s="13">
        <f t="shared" si="1"/>
        <v>5.9886515053972716E-2</v>
      </c>
    </row>
    <row r="11" spans="1:8" ht="15.75">
      <c r="A11" s="1" t="s">
        <v>4</v>
      </c>
      <c r="B11" s="4">
        <v>443193762</v>
      </c>
      <c r="C11" s="4">
        <v>22481606.52</v>
      </c>
      <c r="D11" s="14">
        <f t="shared" si="0"/>
        <v>5.0726360449089535E-2</v>
      </c>
      <c r="E11" s="1"/>
      <c r="F11" s="12">
        <v>78.853999999999999</v>
      </c>
      <c r="H11" s="13">
        <f t="shared" si="1"/>
        <v>5.0726659395845489E-2</v>
      </c>
    </row>
    <row r="12" spans="1:8" ht="15.75">
      <c r="A12" s="1" t="s">
        <v>5</v>
      </c>
      <c r="B12" s="4">
        <v>107845683</v>
      </c>
      <c r="C12" s="4">
        <v>4260558.8</v>
      </c>
      <c r="D12" s="14">
        <f t="shared" si="0"/>
        <v>3.9506067201595822E-2</v>
      </c>
      <c r="E12" s="1"/>
      <c r="F12" s="12">
        <v>101.25</v>
      </c>
      <c r="H12" s="13">
        <f t="shared" si="1"/>
        <v>3.9506172839506172E-2</v>
      </c>
    </row>
    <row r="13" spans="1:8" ht="15.75">
      <c r="A13" s="1" t="s">
        <v>41</v>
      </c>
      <c r="B13" s="4">
        <v>14919431</v>
      </c>
      <c r="C13" s="4">
        <v>1346863.2439999999</v>
      </c>
      <c r="D13" s="14">
        <f t="shared" si="0"/>
        <v>9.0275778211648949E-2</v>
      </c>
      <c r="E13" s="1"/>
      <c r="F13" s="12">
        <v>44.308999999999997</v>
      </c>
      <c r="H13" s="13">
        <f t="shared" si="1"/>
        <v>9.0275113408111229E-2</v>
      </c>
    </row>
    <row r="14" spans="1:8" ht="15.75">
      <c r="A14" s="1" t="s">
        <v>42</v>
      </c>
      <c r="B14" s="4">
        <v>5851683</v>
      </c>
      <c r="C14" s="4">
        <v>596084.68000000005</v>
      </c>
      <c r="D14" s="14">
        <f t="shared" si="0"/>
        <v>0.10186551117003434</v>
      </c>
      <c r="E14" s="1"/>
      <c r="F14" s="12">
        <v>39.267000000000003</v>
      </c>
      <c r="H14" s="13">
        <f t="shared" si="1"/>
        <v>0.10186670741334962</v>
      </c>
    </row>
    <row r="15" spans="1:8" ht="15.75">
      <c r="A15" s="1" t="s">
        <v>43</v>
      </c>
      <c r="B15" s="4">
        <v>30505601</v>
      </c>
      <c r="C15" s="4">
        <v>1741213.24</v>
      </c>
      <c r="D15" s="14">
        <f t="shared" si="0"/>
        <v>5.7078476834467221E-2</v>
      </c>
      <c r="E15" s="1"/>
      <c r="F15" s="12">
        <v>70.078999999999994</v>
      </c>
      <c r="H15" s="13">
        <f t="shared" si="1"/>
        <v>5.7078440046233539E-2</v>
      </c>
    </row>
    <row r="16" spans="1:8" ht="15.75">
      <c r="A16" s="1" t="s">
        <v>44</v>
      </c>
      <c r="B16" s="4">
        <v>3435129</v>
      </c>
      <c r="C16" s="4">
        <v>195308.72</v>
      </c>
      <c r="D16" s="14">
        <f t="shared" si="0"/>
        <v>5.6856298555308986E-2</v>
      </c>
      <c r="E16" s="1"/>
      <c r="F16" s="12">
        <v>70.352999999999994</v>
      </c>
      <c r="H16" s="13">
        <f t="shared" si="1"/>
        <v>5.6856139752391517E-2</v>
      </c>
    </row>
    <row r="17" spans="1:8" ht="15.75">
      <c r="A17" s="1" t="s">
        <v>45</v>
      </c>
      <c r="B17" s="4">
        <v>6551628</v>
      </c>
      <c r="C17" s="4">
        <v>444610.58400000003</v>
      </c>
      <c r="D17" s="14">
        <f t="shared" si="0"/>
        <v>6.7862611247158727E-2</v>
      </c>
      <c r="E17" s="1"/>
      <c r="F17" s="12">
        <v>58.942999999999998</v>
      </c>
      <c r="H17" s="13">
        <f t="shared" si="1"/>
        <v>6.7862171928812581E-2</v>
      </c>
    </row>
    <row r="18" spans="1:8" ht="15.75">
      <c r="A18" s="1" t="s">
        <v>46</v>
      </c>
      <c r="B18" s="4">
        <v>2238109</v>
      </c>
      <c r="C18" s="4">
        <v>139187.61600000001</v>
      </c>
      <c r="D18" s="14">
        <f t="shared" si="0"/>
        <v>6.2189829002966344E-2</v>
      </c>
      <c r="E18" s="1"/>
      <c r="F18" s="12">
        <v>64.319000000000003</v>
      </c>
      <c r="H18" s="13">
        <f t="shared" si="1"/>
        <v>6.2190021611032507E-2</v>
      </c>
    </row>
    <row r="19" spans="1:8" ht="15.75">
      <c r="A19" s="1" t="s">
        <v>47</v>
      </c>
      <c r="B19" s="4">
        <v>5299611</v>
      </c>
      <c r="C19" s="4">
        <v>351387.72000000003</v>
      </c>
      <c r="D19" s="14">
        <f t="shared" si="0"/>
        <v>6.6304436306740253E-2</v>
      </c>
      <c r="E19" s="1"/>
      <c r="F19" s="12">
        <v>60.328000000000003</v>
      </c>
      <c r="H19" s="13">
        <f t="shared" si="1"/>
        <v>6.6304203686513727E-2</v>
      </c>
    </row>
    <row r="20" spans="1:8" ht="15.75">
      <c r="A20" s="1" t="s">
        <v>48</v>
      </c>
      <c r="B20" s="4">
        <v>18614798</v>
      </c>
      <c r="C20" s="4">
        <v>1272197.32</v>
      </c>
      <c r="D20" s="14">
        <f t="shared" si="0"/>
        <v>6.8343332009297125E-2</v>
      </c>
      <c r="E20" s="1"/>
      <c r="F20" s="12">
        <v>58.527999999999999</v>
      </c>
      <c r="H20" s="13">
        <f t="shared" si="1"/>
        <v>6.8343357025697105E-2</v>
      </c>
    </row>
    <row r="21" spans="1:8" ht="15.75">
      <c r="A21" s="1" t="s">
        <v>49</v>
      </c>
      <c r="B21" s="4">
        <v>767226660</v>
      </c>
      <c r="C21" s="4">
        <v>43452976.520000003</v>
      </c>
      <c r="D21" s="14">
        <f t="shared" si="0"/>
        <v>5.6636426737308634E-2</v>
      </c>
      <c r="E21" s="1"/>
      <c r="F21" s="12">
        <v>70.626000000000005</v>
      </c>
      <c r="H21" s="13">
        <f t="shared" si="1"/>
        <v>5.6636366210743916E-2</v>
      </c>
    </row>
    <row r="22" spans="1:8" ht="15.75">
      <c r="A22" s="1" t="s">
        <v>50</v>
      </c>
      <c r="B22" s="4">
        <v>3337608</v>
      </c>
      <c r="C22" s="4">
        <v>216540.71600000001</v>
      </c>
      <c r="D22" s="14">
        <f t="shared" si="0"/>
        <v>6.4879013952507308E-2</v>
      </c>
      <c r="E22" s="1"/>
      <c r="F22" s="12">
        <v>61.652999999999999</v>
      </c>
      <c r="H22" s="13">
        <f t="shared" si="1"/>
        <v>6.4879243508020698E-2</v>
      </c>
    </row>
    <row r="23" spans="1:8" ht="15.75">
      <c r="A23" s="1" t="s">
        <v>51</v>
      </c>
      <c r="B23" s="4">
        <v>480682814</v>
      </c>
      <c r="C23" s="4">
        <v>18712738.559999999</v>
      </c>
      <c r="D23" s="14">
        <f t="shared" si="0"/>
        <v>3.8929493659825329E-2</v>
      </c>
      <c r="E23" s="1"/>
      <c r="F23" s="12">
        <v>102.75</v>
      </c>
      <c r="H23" s="13">
        <f t="shared" si="1"/>
        <v>3.8929440389294405E-2</v>
      </c>
    </row>
    <row r="24" spans="1:8" ht="15.75">
      <c r="A24" s="1" t="s">
        <v>52</v>
      </c>
      <c r="B24" s="4">
        <v>187677342</v>
      </c>
      <c r="C24" s="4">
        <v>12749876.359999999</v>
      </c>
      <c r="D24" s="14">
        <f t="shared" si="0"/>
        <v>6.7935085951931262E-2</v>
      </c>
      <c r="E24" s="1"/>
      <c r="F24" s="12">
        <v>58.88</v>
      </c>
      <c r="H24" s="13">
        <f t="shared" si="1"/>
        <v>6.7934782608695649E-2</v>
      </c>
    </row>
    <row r="25" spans="1:8" ht="15.75">
      <c r="A25" s="1" t="s">
        <v>75</v>
      </c>
      <c r="B25" s="4">
        <v>23619794</v>
      </c>
      <c r="C25" s="4">
        <v>1138764.76</v>
      </c>
      <c r="D25" s="14">
        <f t="shared" si="0"/>
        <v>4.8212307016733506E-2</v>
      </c>
      <c r="E25" s="1"/>
      <c r="F25" s="12">
        <v>82.965999999999994</v>
      </c>
      <c r="H25" s="13">
        <f t="shared" si="1"/>
        <v>4.8212520791649595E-2</v>
      </c>
    </row>
    <row r="26" spans="1:8" ht="15.75">
      <c r="A26" s="1" t="s">
        <v>53</v>
      </c>
      <c r="B26" s="4">
        <v>442704665</v>
      </c>
      <c r="C26" s="4">
        <v>26312586</v>
      </c>
      <c r="D26" s="14">
        <f t="shared" si="0"/>
        <v>5.9435980870000543E-2</v>
      </c>
      <c r="E26" s="1"/>
      <c r="F26" s="12">
        <v>67.299000000000007</v>
      </c>
      <c r="H26" s="13">
        <f t="shared" si="1"/>
        <v>5.9436247195352079E-2</v>
      </c>
    </row>
    <row r="27" spans="1:8" ht="15.75">
      <c r="A27" s="1" t="s">
        <v>54</v>
      </c>
      <c r="B27" s="4">
        <v>25441075</v>
      </c>
      <c r="C27" s="4">
        <v>1734476.4000000001</v>
      </c>
      <c r="D27" s="14">
        <f t="shared" si="0"/>
        <v>6.817622289938613E-2</v>
      </c>
      <c r="E27" s="1"/>
      <c r="F27" s="12">
        <v>58.670999999999999</v>
      </c>
      <c r="H27" s="13">
        <f t="shared" si="1"/>
        <v>6.8176782396754787E-2</v>
      </c>
    </row>
    <row r="28" spans="1:8" ht="15.75">
      <c r="A28" s="1" t="s">
        <v>55</v>
      </c>
      <c r="B28" s="4">
        <v>149156235</v>
      </c>
      <c r="C28" s="4">
        <v>13082340.120000001</v>
      </c>
      <c r="D28" s="14">
        <f t="shared" si="0"/>
        <v>8.7708972541442873E-2</v>
      </c>
      <c r="E28" s="1"/>
      <c r="F28" s="12">
        <v>45.604999999999997</v>
      </c>
      <c r="H28" s="13">
        <f t="shared" si="1"/>
        <v>8.7709680956035527E-2</v>
      </c>
    </row>
    <row r="29" spans="1:8" ht="15.75">
      <c r="A29" s="1" t="s">
        <v>57</v>
      </c>
      <c r="B29" s="4">
        <v>14105613</v>
      </c>
      <c r="C29" s="4">
        <v>1409969.36</v>
      </c>
      <c r="D29" s="14">
        <f t="shared" si="0"/>
        <v>9.9958035145299967E-2</v>
      </c>
      <c r="E29" s="1"/>
      <c r="F29" s="12">
        <v>40.017000000000003</v>
      </c>
      <c r="H29" s="13">
        <f t="shared" si="1"/>
        <v>9.9957518054826694E-2</v>
      </c>
    </row>
    <row r="30" spans="1:8" ht="15.75">
      <c r="A30" s="1" t="s">
        <v>58</v>
      </c>
      <c r="B30" s="4">
        <v>48975451</v>
      </c>
      <c r="C30" s="4">
        <v>3428360.92</v>
      </c>
      <c r="D30" s="14">
        <f t="shared" si="0"/>
        <v>7.0001620199475034E-2</v>
      </c>
      <c r="E30" s="1"/>
      <c r="F30" s="12">
        <v>57.142000000000003</v>
      </c>
      <c r="H30" s="13">
        <f t="shared" si="1"/>
        <v>7.000105001575023E-2</v>
      </c>
    </row>
    <row r="31" spans="1:8" ht="15.75">
      <c r="A31" s="1" t="s">
        <v>56</v>
      </c>
      <c r="B31" s="4">
        <v>38215967</v>
      </c>
      <c r="C31" s="4">
        <v>3122559.7600000002</v>
      </c>
      <c r="D31" s="14">
        <f t="shared" si="0"/>
        <v>8.1708249329396798E-2</v>
      </c>
      <c r="E31" s="1"/>
      <c r="F31" s="12">
        <v>48.954999999999998</v>
      </c>
      <c r="H31" s="13">
        <f t="shared" si="1"/>
        <v>8.1707690736390559E-2</v>
      </c>
    </row>
    <row r="32" spans="1:8" ht="15.75">
      <c r="A32" s="1" t="s">
        <v>59</v>
      </c>
      <c r="B32" s="4">
        <v>2282856</v>
      </c>
      <c r="C32" s="4">
        <v>199987.20000000001</v>
      </c>
      <c r="D32" s="14">
        <f t="shared" si="0"/>
        <v>8.7603948737896745E-2</v>
      </c>
      <c r="E32" s="1"/>
      <c r="F32" s="12">
        <v>45.66</v>
      </c>
      <c r="H32" s="13">
        <f t="shared" si="1"/>
        <v>8.760402978537013E-2</v>
      </c>
    </row>
    <row r="33" spans="1:8" ht="15.75">
      <c r="A33" s="1" t="s">
        <v>60</v>
      </c>
      <c r="B33" s="4">
        <v>8129424</v>
      </c>
      <c r="C33" s="4">
        <v>452923.56</v>
      </c>
      <c r="D33" s="14">
        <f t="shared" si="0"/>
        <v>5.571410225373901E-2</v>
      </c>
      <c r="E33" s="1"/>
      <c r="F33" s="12">
        <v>71.795000000000002</v>
      </c>
      <c r="H33" s="13">
        <f t="shared" si="1"/>
        <v>5.5714186224667457E-2</v>
      </c>
    </row>
    <row r="34" spans="1:8" ht="15.75">
      <c r="A34" s="1" t="s">
        <v>61</v>
      </c>
      <c r="B34" s="4">
        <v>1408148</v>
      </c>
      <c r="C34" s="4">
        <v>123065.48</v>
      </c>
      <c r="D34" s="14">
        <f t="shared" si="0"/>
        <v>8.7395273792243419E-2</v>
      </c>
      <c r="E34" s="1"/>
      <c r="F34" s="12">
        <v>45.768999999999998</v>
      </c>
      <c r="H34" s="13">
        <f t="shared" si="1"/>
        <v>8.739539863226202E-2</v>
      </c>
    </row>
    <row r="35" spans="1:8" ht="15.75">
      <c r="A35" s="1" t="s">
        <v>8</v>
      </c>
      <c r="B35" s="4">
        <v>693474310</v>
      </c>
      <c r="C35" s="4">
        <v>29425601.719999999</v>
      </c>
      <c r="D35" s="14">
        <f t="shared" si="0"/>
        <v>4.2432143910276936E-2</v>
      </c>
      <c r="E35" s="1"/>
      <c r="F35" s="12">
        <v>94.268000000000001</v>
      </c>
      <c r="H35" s="13">
        <f t="shared" si="1"/>
        <v>4.2432214537276698E-2</v>
      </c>
    </row>
    <row r="36" spans="1:8" ht="15.75">
      <c r="A36" s="1" t="s">
        <v>63</v>
      </c>
      <c r="B36" s="4">
        <v>2800824</v>
      </c>
      <c r="C36" s="4">
        <v>132546.23999999999</v>
      </c>
      <c r="D36" s="14">
        <f t="shared" si="0"/>
        <v>4.7324016075269273E-2</v>
      </c>
      <c r="E36" s="1"/>
      <c r="F36" s="12">
        <v>84.524000000000001</v>
      </c>
      <c r="H36" s="13">
        <f t="shared" si="1"/>
        <v>4.7323837016705311E-2</v>
      </c>
    </row>
    <row r="37" spans="1:8" ht="15.75">
      <c r="A37" s="1" t="s">
        <v>64</v>
      </c>
      <c r="B37" s="4">
        <v>9134622</v>
      </c>
      <c r="C37" s="4">
        <v>462873.85200000001</v>
      </c>
      <c r="D37" s="14">
        <f t="shared" si="0"/>
        <v>5.0672469205622302E-2</v>
      </c>
      <c r="E37" s="1"/>
      <c r="F37" s="12">
        <v>78.938000000000002</v>
      </c>
      <c r="H37" s="13">
        <f t="shared" si="1"/>
        <v>5.0672679824672523E-2</v>
      </c>
    </row>
    <row r="38" spans="1:8" ht="15.75">
      <c r="A38" s="1" t="s">
        <v>65</v>
      </c>
      <c r="B38" s="4">
        <v>7775388</v>
      </c>
      <c r="C38" s="4">
        <v>376373.20400000003</v>
      </c>
      <c r="D38" s="14">
        <f t="shared" si="0"/>
        <v>4.8405713515518457E-2</v>
      </c>
      <c r="E38" s="1"/>
      <c r="F38" s="12">
        <v>82.635000000000005</v>
      </c>
      <c r="H38" s="13">
        <f t="shared" si="1"/>
        <v>4.8405639256973436E-2</v>
      </c>
    </row>
    <row r="39" spans="1:8" ht="15.75">
      <c r="A39" s="1" t="s">
        <v>66</v>
      </c>
      <c r="B39" s="4">
        <v>84723898</v>
      </c>
      <c r="C39" s="4">
        <v>12071965.58</v>
      </c>
      <c r="D39" s="14">
        <f t="shared" si="0"/>
        <v>0.14248595573352868</v>
      </c>
      <c r="E39" s="1"/>
      <c r="F39" s="12">
        <v>28.073</v>
      </c>
      <c r="H39" s="13">
        <f t="shared" si="1"/>
        <v>0.14248566238022298</v>
      </c>
    </row>
    <row r="40" spans="1:8" ht="15.75">
      <c r="A40" s="1" t="s">
        <v>67</v>
      </c>
      <c r="B40" s="4">
        <v>348055392</v>
      </c>
      <c r="C40" s="4">
        <v>16487348.316</v>
      </c>
      <c r="D40" s="14">
        <f t="shared" si="0"/>
        <v>4.7369897708695749E-2</v>
      </c>
      <c r="E40" s="1"/>
      <c r="F40" s="12">
        <v>84.441999999999993</v>
      </c>
      <c r="H40" s="13">
        <f t="shared" si="1"/>
        <v>4.7369792283460839E-2</v>
      </c>
    </row>
    <row r="41" spans="1:8" ht="15.75">
      <c r="A41" s="1" t="s">
        <v>68</v>
      </c>
      <c r="B41" s="4">
        <v>19841612</v>
      </c>
      <c r="C41" s="4">
        <v>2764274.12</v>
      </c>
      <c r="D41" s="14">
        <f t="shared" si="0"/>
        <v>0.13931701315397158</v>
      </c>
      <c r="E41" s="1"/>
      <c r="F41" s="12">
        <v>28.710999999999999</v>
      </c>
      <c r="H41" s="13">
        <f t="shared" si="1"/>
        <v>0.13931942461077637</v>
      </c>
    </row>
    <row r="42" spans="1:8" ht="15.75">
      <c r="A42" s="1" t="s">
        <v>69</v>
      </c>
      <c r="B42" s="4">
        <v>5618786</v>
      </c>
      <c r="C42" s="4">
        <v>286332.93200000003</v>
      </c>
      <c r="D42" s="14">
        <f t="shared" si="0"/>
        <v>5.0959928354630347E-2</v>
      </c>
      <c r="E42" s="1"/>
      <c r="F42" s="12">
        <v>78.492999999999995</v>
      </c>
      <c r="H42" s="13">
        <f t="shared" si="1"/>
        <v>5.0959958212834271E-2</v>
      </c>
    </row>
    <row r="43" spans="1:8" ht="15.75">
      <c r="A43" s="1" t="s">
        <v>70</v>
      </c>
      <c r="B43" s="4">
        <v>18458227</v>
      </c>
      <c r="C43" s="4">
        <v>969611.16</v>
      </c>
      <c r="D43" s="14">
        <f t="shared" si="0"/>
        <v>5.253002685469195E-2</v>
      </c>
      <c r="E43" s="1"/>
      <c r="F43" s="12">
        <v>76.147000000000006</v>
      </c>
      <c r="H43" s="13">
        <f t="shared" si="1"/>
        <v>5.2529974916936971E-2</v>
      </c>
    </row>
    <row r="44" spans="1:8" ht="15.75">
      <c r="A44" s="1" t="s">
        <v>71</v>
      </c>
      <c r="B44" s="4">
        <v>117395174</v>
      </c>
      <c r="C44" s="4">
        <v>7523948.8799999999</v>
      </c>
      <c r="D44" s="14">
        <f t="shared" si="0"/>
        <v>6.4090785197013292E-2</v>
      </c>
      <c r="E44" s="1"/>
      <c r="F44" s="12">
        <v>62.411000000000001</v>
      </c>
      <c r="H44" s="13">
        <f t="shared" si="1"/>
        <v>6.4091265962730931E-2</v>
      </c>
    </row>
    <row r="45" spans="1:8" ht="15.75">
      <c r="A45" s="1" t="s">
        <v>72</v>
      </c>
      <c r="B45" s="4">
        <v>1707454</v>
      </c>
      <c r="C45" s="4">
        <v>121545.56</v>
      </c>
      <c r="D45" s="14">
        <f t="shared" si="0"/>
        <v>7.1185261799146568E-2</v>
      </c>
      <c r="E45" s="1"/>
      <c r="F45" s="12">
        <v>56.191000000000003</v>
      </c>
      <c r="H45" s="13">
        <f t="shared" si="1"/>
        <v>7.1185777081739066E-2</v>
      </c>
    </row>
    <row r="46" spans="1:8" ht="15.75">
      <c r="A46" s="1" t="s">
        <v>77</v>
      </c>
      <c r="B46" s="4">
        <v>28489281</v>
      </c>
      <c r="C46" s="4">
        <v>1772660.28</v>
      </c>
      <c r="D46" s="14">
        <f t="shared" si="0"/>
        <v>6.2222008340610632E-2</v>
      </c>
      <c r="E46" s="1"/>
      <c r="F46" s="12">
        <v>64.286000000000001</v>
      </c>
      <c r="H46" s="13">
        <f t="shared" si="1"/>
        <v>6.2221945680241419E-2</v>
      </c>
    </row>
    <row r="47" spans="1:8" ht="15.75">
      <c r="A47" s="1" t="s">
        <v>73</v>
      </c>
      <c r="B47" s="4">
        <v>21734843</v>
      </c>
      <c r="C47" s="4">
        <v>1749466.1600000001</v>
      </c>
      <c r="D47" s="14">
        <f t="shared" si="0"/>
        <v>8.0491318018722294E-2</v>
      </c>
      <c r="E47" s="1"/>
      <c r="F47" s="12">
        <v>49.695</v>
      </c>
      <c r="H47" s="13">
        <f t="shared" si="1"/>
        <v>8.0490995069926546E-2</v>
      </c>
    </row>
    <row r="48" spans="1:8" ht="15.75">
      <c r="A48" s="1" t="s">
        <v>74</v>
      </c>
      <c r="B48" s="4">
        <v>33012642</v>
      </c>
      <c r="C48" s="4">
        <v>2314489.2519999999</v>
      </c>
      <c r="D48" s="14">
        <f t="shared" si="0"/>
        <v>7.0109179749987899E-2</v>
      </c>
      <c r="E48" s="1"/>
      <c r="F48" s="12">
        <v>57.054000000000002</v>
      </c>
      <c r="H48" s="13">
        <f t="shared" si="1"/>
        <v>7.0109019525361929E-2</v>
      </c>
    </row>
    <row r="49" spans="1:8" ht="15.75">
      <c r="A49" s="1" t="s">
        <v>12</v>
      </c>
      <c r="B49" s="4">
        <v>30805868</v>
      </c>
      <c r="C49" s="4">
        <v>1531392.4000000001</v>
      </c>
      <c r="D49" s="14">
        <f t="shared" si="0"/>
        <v>4.9711061541911433E-2</v>
      </c>
      <c r="E49" s="1"/>
      <c r="F49" s="12">
        <v>80.465000000000003</v>
      </c>
      <c r="H49" s="13">
        <f t="shared" si="1"/>
        <v>4.9711054495743486E-2</v>
      </c>
    </row>
    <row r="50" spans="1:8" ht="15.75">
      <c r="A50" s="1" t="s">
        <v>13</v>
      </c>
      <c r="B50" s="4">
        <v>7395126</v>
      </c>
      <c r="C50" s="4">
        <v>467083.33600000001</v>
      </c>
      <c r="D50" s="14">
        <f t="shared" si="0"/>
        <v>6.3160970617674395E-2</v>
      </c>
      <c r="E50" s="1"/>
      <c r="F50" s="12">
        <v>63.33</v>
      </c>
      <c r="H50" s="13">
        <f t="shared" si="1"/>
        <v>6.3161219011526923E-2</v>
      </c>
    </row>
    <row r="51" spans="1:8" ht="15.75">
      <c r="A51" s="1" t="s">
        <v>14</v>
      </c>
      <c r="B51" s="4">
        <v>10016060</v>
      </c>
      <c r="C51" s="4">
        <v>787556.8</v>
      </c>
      <c r="D51" s="14">
        <f t="shared" si="0"/>
        <v>7.8629401181702196E-2</v>
      </c>
      <c r="E51" s="1"/>
      <c r="F51" s="12">
        <v>50.872</v>
      </c>
      <c r="H51" s="13">
        <f t="shared" si="1"/>
        <v>7.8628715206793515E-2</v>
      </c>
    </row>
    <row r="52" spans="1:8" ht="15.75">
      <c r="A52" s="1" t="s">
        <v>15</v>
      </c>
      <c r="B52" s="4">
        <v>21714138</v>
      </c>
      <c r="C52" s="4">
        <v>1668738.54</v>
      </c>
      <c r="D52" s="14">
        <f t="shared" si="0"/>
        <v>7.6850323968651213E-2</v>
      </c>
      <c r="E52" s="1"/>
      <c r="F52" s="12">
        <v>52.048999999999999</v>
      </c>
      <c r="H52" s="13">
        <f t="shared" si="1"/>
        <v>7.6850659955042366E-2</v>
      </c>
    </row>
    <row r="53" spans="1:8" ht="15.75">
      <c r="A53" s="1" t="s">
        <v>16</v>
      </c>
      <c r="B53" s="4">
        <v>4225999</v>
      </c>
      <c r="C53" s="4">
        <v>195901.864</v>
      </c>
      <c r="D53" s="14">
        <f t="shared" si="0"/>
        <v>4.6356344144899232E-2</v>
      </c>
      <c r="E53" s="1"/>
      <c r="F53" s="12">
        <v>86.287999999999997</v>
      </c>
      <c r="H53" s="13">
        <f t="shared" si="1"/>
        <v>4.6356387910254038E-2</v>
      </c>
    </row>
    <row r="54" spans="1:8" ht="15.75">
      <c r="A54" s="1" t="s">
        <v>17</v>
      </c>
      <c r="B54" s="4">
        <v>98302691</v>
      </c>
      <c r="C54" s="4">
        <v>11108674.120000001</v>
      </c>
      <c r="D54" s="14">
        <f t="shared" si="0"/>
        <v>0.1130047815272931</v>
      </c>
      <c r="E54" s="1"/>
      <c r="F54" s="12">
        <v>35.396999999999998</v>
      </c>
      <c r="H54" s="13">
        <f t="shared" si="1"/>
        <v>0.11300392688645931</v>
      </c>
    </row>
    <row r="55" spans="1:8" ht="15.75">
      <c r="A55" s="1" t="s">
        <v>18</v>
      </c>
      <c r="B55" s="4">
        <v>8021021</v>
      </c>
      <c r="C55" s="4">
        <v>481769.12</v>
      </c>
      <c r="D55" s="14">
        <f t="shared" si="0"/>
        <v>6.0063316128956649E-2</v>
      </c>
      <c r="E55" s="1"/>
      <c r="F55" s="12">
        <v>66.596000000000004</v>
      </c>
      <c r="H55" s="13">
        <f t="shared" si="1"/>
        <v>6.0063667487536783E-2</v>
      </c>
    </row>
    <row r="56" spans="1:8" ht="15.75">
      <c r="A56" s="1" t="s">
        <v>19</v>
      </c>
      <c r="B56" s="4">
        <v>116550482</v>
      </c>
      <c r="C56" s="4">
        <v>5027201.96</v>
      </c>
      <c r="D56" s="14">
        <f t="shared" si="0"/>
        <v>4.3133257569882892E-2</v>
      </c>
      <c r="E56" s="1"/>
      <c r="F56" s="12">
        <v>92.736000000000004</v>
      </c>
      <c r="H56" s="13">
        <f t="shared" si="1"/>
        <v>4.3133195307108352E-2</v>
      </c>
    </row>
    <row r="57" spans="1:8" ht="15.75">
      <c r="A57" s="1" t="s">
        <v>20</v>
      </c>
      <c r="B57" s="4">
        <v>33999155</v>
      </c>
      <c r="C57" s="4">
        <v>3285125.52</v>
      </c>
      <c r="D57" s="14">
        <f t="shared" si="0"/>
        <v>9.6623740207661041E-2</v>
      </c>
      <c r="E57" s="1"/>
      <c r="F57" s="12">
        <v>41.398000000000003</v>
      </c>
      <c r="H57" s="13">
        <f t="shared" si="1"/>
        <v>9.6623025266921098E-2</v>
      </c>
    </row>
    <row r="58" spans="1:8" ht="15.75">
      <c r="A58" s="1" t="s">
        <v>21</v>
      </c>
      <c r="B58" s="4">
        <v>9952183</v>
      </c>
      <c r="C58" s="4">
        <v>693293.4</v>
      </c>
      <c r="D58" s="14">
        <f t="shared" si="0"/>
        <v>6.9662444912839724E-2</v>
      </c>
      <c r="E58" s="1"/>
      <c r="F58" s="12">
        <v>57.42</v>
      </c>
      <c r="H58" s="13">
        <f t="shared" si="1"/>
        <v>6.966213862765587E-2</v>
      </c>
    </row>
    <row r="59" spans="1:8" ht="15.75">
      <c r="A59" s="1" t="s">
        <v>22</v>
      </c>
      <c r="B59" s="4">
        <v>55526427</v>
      </c>
      <c r="C59" s="4">
        <v>4481760.8</v>
      </c>
      <c r="D59" s="14">
        <f t="shared" si="0"/>
        <v>8.0714013887477398E-2</v>
      </c>
      <c r="E59" s="1"/>
      <c r="F59" s="12">
        <v>49.558</v>
      </c>
      <c r="H59" s="13">
        <f t="shared" si="1"/>
        <v>8.0713507405464305E-2</v>
      </c>
    </row>
    <row r="60" spans="1:8" ht="15.75">
      <c r="A60" s="1" t="s">
        <v>23</v>
      </c>
      <c r="B60" s="4">
        <v>4570811</v>
      </c>
      <c r="C60" s="4">
        <v>248033.63200000001</v>
      </c>
      <c r="D60" s="14">
        <f t="shared" si="0"/>
        <v>5.4264687820170208E-2</v>
      </c>
      <c r="E60" s="1"/>
      <c r="F60" s="12">
        <v>73.712999999999994</v>
      </c>
      <c r="H60" s="13">
        <f t="shared" si="1"/>
        <v>5.4264512365525756E-2</v>
      </c>
    </row>
    <row r="61" spans="1:8" ht="15.75">
      <c r="A61" s="1" t="s">
        <v>24</v>
      </c>
      <c r="B61" s="4">
        <v>2160760</v>
      </c>
      <c r="C61" s="4">
        <v>222189.32</v>
      </c>
      <c r="D61" s="14">
        <f t="shared" si="0"/>
        <v>0.10282924526555472</v>
      </c>
      <c r="E61" s="1"/>
      <c r="F61" s="12">
        <v>38.899000000000001</v>
      </c>
      <c r="H61" s="13">
        <f t="shared" si="1"/>
        <v>0.10283040695133551</v>
      </c>
    </row>
    <row r="62" spans="1:8" ht="15.75">
      <c r="A62" s="1" t="s">
        <v>25</v>
      </c>
      <c r="B62" s="4">
        <v>34066980</v>
      </c>
      <c r="C62" s="4">
        <v>3572259.72</v>
      </c>
      <c r="D62" s="14">
        <f t="shared" si="0"/>
        <v>0.10485988837284667</v>
      </c>
      <c r="E62" s="1"/>
      <c r="F62" s="12">
        <v>38.146000000000001</v>
      </c>
      <c r="H62" s="13">
        <f t="shared" si="1"/>
        <v>0.10486027368531432</v>
      </c>
    </row>
    <row r="63" spans="1:8" ht="15.75">
      <c r="A63" s="1" t="s">
        <v>26</v>
      </c>
      <c r="B63" s="4">
        <v>3907287</v>
      </c>
      <c r="C63" s="4">
        <v>231067.88</v>
      </c>
      <c r="D63" s="14">
        <f t="shared" si="0"/>
        <v>5.9137677882377213E-2</v>
      </c>
      <c r="E63" s="1"/>
      <c r="F63" s="12">
        <v>67.638999999999996</v>
      </c>
      <c r="H63" s="13">
        <f t="shared" si="1"/>
        <v>5.913747985629593E-2</v>
      </c>
    </row>
    <row r="64" spans="1:8" ht="15.75">
      <c r="A64" s="1" t="s">
        <v>27</v>
      </c>
      <c r="B64" s="4">
        <v>82079449</v>
      </c>
      <c r="C64" s="4">
        <v>6333019.8799999999</v>
      </c>
      <c r="D64" s="14">
        <f t="shared" si="0"/>
        <v>7.7157192904645344E-2</v>
      </c>
      <c r="E64" s="1"/>
      <c r="F64" s="12">
        <v>51.841999999999999</v>
      </c>
      <c r="H64" s="13">
        <f t="shared" si="1"/>
        <v>7.7157517071100648E-2</v>
      </c>
    </row>
    <row r="65" spans="1:8" ht="15.75">
      <c r="A65" s="1" t="s">
        <v>28</v>
      </c>
      <c r="B65" s="4">
        <v>28104906</v>
      </c>
      <c r="C65" s="4">
        <v>1883599.12</v>
      </c>
      <c r="D65" s="14">
        <f t="shared" si="0"/>
        <v>6.7020296029454793E-2</v>
      </c>
      <c r="E65" s="1"/>
      <c r="F65" s="12">
        <v>59.683</v>
      </c>
      <c r="H65" s="13">
        <f t="shared" si="1"/>
        <v>6.7020759680310973E-2</v>
      </c>
    </row>
    <row r="66" spans="1:8" ht="15.75">
      <c r="A66" s="1" t="s">
        <v>29</v>
      </c>
      <c r="B66" s="4">
        <v>6839296</v>
      </c>
      <c r="C66" s="4">
        <v>452904.3</v>
      </c>
      <c r="D66" s="14">
        <f t="shared" si="0"/>
        <v>6.6220894665181912E-2</v>
      </c>
      <c r="E66" s="1"/>
      <c r="F66" s="12">
        <v>60.404000000000003</v>
      </c>
      <c r="H66" s="13">
        <f t="shared" si="1"/>
        <v>6.6220780080789354E-2</v>
      </c>
    </row>
    <row r="67" spans="1:8" ht="15.75">
      <c r="A67" s="1" t="s">
        <v>30</v>
      </c>
      <c r="B67" s="4">
        <v>325694188</v>
      </c>
      <c r="C67" s="4">
        <v>18263293.760000002</v>
      </c>
      <c r="D67" s="14">
        <f t="shared" si="0"/>
        <v>5.6074975952595141E-2</v>
      </c>
      <c r="E67" s="1"/>
      <c r="F67" s="12">
        <v>71.332999999999998</v>
      </c>
      <c r="H67" s="13">
        <f t="shared" si="1"/>
        <v>5.6075028387983124E-2</v>
      </c>
    </row>
    <row r="68" spans="1:8" ht="15.75">
      <c r="A68" s="1" t="s">
        <v>31</v>
      </c>
      <c r="B68" s="4">
        <v>19870921</v>
      </c>
      <c r="C68" s="4">
        <v>1307610.68</v>
      </c>
      <c r="D68" s="14">
        <f t="shared" si="0"/>
        <v>6.5805237713943907E-2</v>
      </c>
      <c r="E68" s="1"/>
      <c r="F68" s="12">
        <v>60.784999999999997</v>
      </c>
      <c r="H68" s="13">
        <f t="shared" si="1"/>
        <v>6.5805708645224975E-2</v>
      </c>
    </row>
    <row r="69" spans="1:8" ht="15.75">
      <c r="A69" s="1"/>
      <c r="C69" s="4"/>
      <c r="D69" s="14"/>
      <c r="E69" s="1"/>
      <c r="F69" s="12"/>
      <c r="H69" s="13"/>
    </row>
    <row r="70" spans="1:8" ht="15.75">
      <c r="A70" s="1" t="s">
        <v>32</v>
      </c>
      <c r="B70" s="4">
        <f>SUM(B5:B68)</f>
        <v>6361812206</v>
      </c>
      <c r="C70" s="4">
        <v>349798535.89200002</v>
      </c>
      <c r="D70" s="14">
        <f t="shared" ref="D70" si="2">C70/B70</f>
        <v>5.4984102731309076E-2</v>
      </c>
      <c r="E70" s="1"/>
      <c r="F70" s="12">
        <v>72.748000000000005</v>
      </c>
      <c r="H70" s="13">
        <f>4/F70</f>
        <v>5.4984329466102155E-2</v>
      </c>
    </row>
    <row r="71" spans="1:8" ht="15.75">
      <c r="A71" s="1"/>
      <c r="B71" s="4"/>
      <c r="C71" s="1"/>
      <c r="D71" s="1"/>
      <c r="E71" s="1"/>
      <c r="F71" s="12"/>
      <c r="H71" s="1"/>
    </row>
    <row r="72" spans="1:8" ht="15.75">
      <c r="A72" s="7" t="s">
        <v>88</v>
      </c>
      <c r="B72" s="1"/>
      <c r="C72" s="1"/>
      <c r="D72" s="1"/>
      <c r="F72" s="12"/>
      <c r="H72" s="1"/>
    </row>
  </sheetData>
  <mergeCells count="1">
    <mergeCell ref="A1:D1"/>
  </mergeCells>
  <phoneticPr fontId="1" type="noConversion"/>
  <pageMargins left="0.75" right="0.75" top="1" bottom="1" header="0.5" footer="0.5"/>
  <pageSetup scale="55" orientation="portrait" horizontalDpi="4294967292" verticalDpi="4294967292" r:id="rId1"/>
  <extLst>
    <ext xmlns:mx="http://schemas.microsoft.com/office/mac/excel/2008/main" uri="http://schemas.microsoft.com/office/mac/excel/2008/main">
      <mx:PLV Mode="1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H33"/>
  <sheetViews>
    <sheetView view="pageLayout" topLeftCell="B1" zoomScale="200" workbookViewId="0">
      <selection activeCell="E20" sqref="E20"/>
    </sheetView>
  </sheetViews>
  <sheetFormatPr defaultColWidth="11" defaultRowHeight="12.75"/>
  <cols>
    <col min="2" max="2" width="12.75" bestFit="1" customWidth="1"/>
    <col min="4" max="4" width="4.875" customWidth="1"/>
  </cols>
  <sheetData>
    <row r="1" spans="1:8">
      <c r="A1" s="16" t="s">
        <v>97</v>
      </c>
      <c r="B1" s="16"/>
      <c r="C1" s="16"/>
      <c r="D1" s="16"/>
      <c r="E1" s="16"/>
      <c r="F1" s="16"/>
      <c r="G1" s="8"/>
      <c r="H1" s="8"/>
    </row>
    <row r="2" spans="1:8">
      <c r="A2" s="8"/>
      <c r="B2" s="8"/>
      <c r="C2" s="8"/>
      <c r="D2" s="8"/>
      <c r="E2" s="8"/>
      <c r="F2" s="8"/>
      <c r="G2" s="8"/>
      <c r="H2" s="8"/>
    </row>
    <row r="3" spans="1:8">
      <c r="A3" s="8"/>
      <c r="B3" s="17" t="s">
        <v>90</v>
      </c>
      <c r="C3" s="17"/>
      <c r="D3" s="8"/>
      <c r="E3" s="17" t="s">
        <v>91</v>
      </c>
      <c r="F3" s="17"/>
      <c r="G3" s="8"/>
      <c r="H3" s="8"/>
    </row>
    <row r="4" spans="1:8">
      <c r="A4" s="8"/>
      <c r="B4" s="8"/>
      <c r="C4" s="8"/>
      <c r="D4" s="8"/>
      <c r="E4" s="8"/>
      <c r="F4" s="8"/>
      <c r="G4" s="8"/>
      <c r="H4" s="8"/>
    </row>
    <row r="5" spans="1:8">
      <c r="A5" s="8" t="s">
        <v>94</v>
      </c>
      <c r="B5" s="8">
        <v>200000</v>
      </c>
      <c r="C5" s="8">
        <v>400000</v>
      </c>
      <c r="D5" s="8"/>
      <c r="E5" s="8">
        <v>200000</v>
      </c>
      <c r="F5" s="8">
        <v>400000</v>
      </c>
      <c r="G5" s="8"/>
      <c r="H5" s="8"/>
    </row>
    <row r="6" spans="1:8">
      <c r="A6" s="8" t="s">
        <v>92</v>
      </c>
      <c r="B6" s="9">
        <v>7.9600000000000004E-2</v>
      </c>
      <c r="C6" s="9">
        <v>7.9600000000000004E-2</v>
      </c>
      <c r="D6" s="9"/>
      <c r="E6" s="9">
        <v>0.21</v>
      </c>
      <c r="F6" s="9">
        <v>0.21</v>
      </c>
      <c r="G6" s="8"/>
      <c r="H6" s="8"/>
    </row>
    <row r="7" spans="1:8">
      <c r="A7" s="8"/>
      <c r="B7" s="8"/>
      <c r="C7" s="8"/>
      <c r="D7" s="8"/>
      <c r="E7" s="8"/>
      <c r="F7" s="8"/>
      <c r="G7" s="8"/>
      <c r="H7" s="8"/>
    </row>
    <row r="8" spans="1:8">
      <c r="A8" s="8" t="s">
        <v>93</v>
      </c>
      <c r="B8" s="8">
        <f>B5*B6</f>
        <v>15920</v>
      </c>
      <c r="C8" s="8">
        <f t="shared" ref="C8:F8" si="0">C5*C6</f>
        <v>31840</v>
      </c>
      <c r="D8" s="8"/>
      <c r="E8" s="8">
        <f t="shared" si="0"/>
        <v>42000</v>
      </c>
      <c r="F8" s="8">
        <f t="shared" si="0"/>
        <v>84000</v>
      </c>
      <c r="G8" s="8"/>
      <c r="H8" s="8"/>
    </row>
    <row r="9" spans="1:8">
      <c r="A9" s="8"/>
      <c r="B9" s="8"/>
      <c r="C9" s="8"/>
      <c r="D9" s="8"/>
      <c r="E9" s="8"/>
      <c r="F9" s="8"/>
      <c r="G9" s="8"/>
      <c r="H9" s="8"/>
    </row>
    <row r="10" spans="1:8">
      <c r="A10" s="8" t="s">
        <v>95</v>
      </c>
      <c r="B10" s="8">
        <v>4</v>
      </c>
      <c r="C10" s="8">
        <v>4</v>
      </c>
      <c r="D10" s="8"/>
      <c r="E10" s="8">
        <v>4</v>
      </c>
      <c r="F10" s="8">
        <v>4</v>
      </c>
      <c r="G10" s="8"/>
      <c r="H10" s="8"/>
    </row>
    <row r="11" spans="1:8">
      <c r="A11" s="8"/>
      <c r="B11" s="8"/>
      <c r="C11" s="8"/>
      <c r="D11" s="8"/>
      <c r="E11" s="8"/>
      <c r="F11" s="8"/>
      <c r="G11" s="8"/>
      <c r="H11" s="8"/>
    </row>
    <row r="12" spans="1:8">
      <c r="A12" s="8" t="s">
        <v>96</v>
      </c>
      <c r="B12" s="8">
        <f>B8*0.004</f>
        <v>63.68</v>
      </c>
      <c r="C12" s="8">
        <f t="shared" ref="C12:F12" si="1">C8*0.004</f>
        <v>127.36</v>
      </c>
      <c r="D12" s="8"/>
      <c r="E12" s="8">
        <f t="shared" si="1"/>
        <v>168</v>
      </c>
      <c r="F12" s="8">
        <f t="shared" si="1"/>
        <v>336</v>
      </c>
      <c r="G12" s="8"/>
      <c r="H12" s="8"/>
    </row>
    <row r="13" spans="1:8">
      <c r="A13" s="8"/>
      <c r="B13" s="8"/>
      <c r="C13" s="8"/>
      <c r="D13" s="8"/>
      <c r="E13" s="8"/>
      <c r="F13" s="8"/>
      <c r="G13" s="8"/>
      <c r="H13" s="8"/>
    </row>
    <row r="14" spans="1:8">
      <c r="A14" s="8"/>
      <c r="B14" s="8"/>
      <c r="C14" s="8"/>
      <c r="D14" s="8"/>
      <c r="E14" s="8"/>
      <c r="F14" s="8"/>
      <c r="G14" s="8"/>
      <c r="H14" s="8"/>
    </row>
    <row r="15" spans="1:8">
      <c r="A15" s="8"/>
      <c r="B15" s="8"/>
      <c r="C15" s="8"/>
      <c r="D15" s="8"/>
      <c r="E15" s="8"/>
      <c r="F15" s="8"/>
      <c r="G15" s="8"/>
      <c r="H15" s="8"/>
    </row>
    <row r="16" spans="1:8">
      <c r="A16" s="8" t="s">
        <v>98</v>
      </c>
      <c r="B16" s="8"/>
      <c r="C16" s="8"/>
      <c r="D16" s="8"/>
      <c r="E16" s="8"/>
      <c r="F16" s="8"/>
      <c r="G16" s="8"/>
      <c r="H16" s="8"/>
    </row>
    <row r="17" spans="1:8">
      <c r="A17" s="8" t="s">
        <v>99</v>
      </c>
      <c r="B17" s="8" t="s">
        <v>100</v>
      </c>
      <c r="C17" s="8"/>
      <c r="D17" s="8"/>
      <c r="E17" s="8"/>
      <c r="F17" s="8"/>
      <c r="G17" s="8"/>
      <c r="H17" s="8"/>
    </row>
    <row r="18" spans="1:8">
      <c r="A18" s="8" t="s">
        <v>101</v>
      </c>
      <c r="B18" s="8" t="s">
        <v>0</v>
      </c>
      <c r="C18" s="8"/>
      <c r="D18" s="8"/>
      <c r="E18" s="8"/>
      <c r="F18" s="8"/>
      <c r="G18" s="8"/>
      <c r="H18" s="8"/>
    </row>
    <row r="19" spans="1:8">
      <c r="A19" s="8" t="s">
        <v>102</v>
      </c>
      <c r="B19" s="8" t="s">
        <v>103</v>
      </c>
      <c r="C19" s="8"/>
      <c r="D19" s="8"/>
      <c r="E19" s="8"/>
      <c r="F19" s="8"/>
      <c r="G19" s="8"/>
      <c r="H19" s="8"/>
    </row>
    <row r="20" spans="1:8">
      <c r="A20" s="8"/>
      <c r="B20" s="8"/>
      <c r="C20" s="8"/>
      <c r="D20" s="8"/>
      <c r="E20" s="8"/>
      <c r="F20" s="8"/>
      <c r="G20" s="8"/>
      <c r="H20" s="8"/>
    </row>
    <row r="21" spans="1:8">
      <c r="A21" s="8"/>
      <c r="B21" s="8"/>
      <c r="C21" s="8"/>
      <c r="D21" s="8"/>
      <c r="E21" s="8"/>
      <c r="F21" s="8"/>
      <c r="G21" s="8"/>
      <c r="H21" s="8"/>
    </row>
    <row r="22" spans="1:8">
      <c r="A22" s="8"/>
      <c r="B22" s="8"/>
      <c r="C22" s="8"/>
      <c r="D22" s="8"/>
      <c r="E22" s="8"/>
      <c r="F22" s="8"/>
      <c r="G22" s="8"/>
      <c r="H22" s="8"/>
    </row>
    <row r="23" spans="1:8">
      <c r="A23" s="10" t="s">
        <v>1</v>
      </c>
      <c r="B23" s="10" t="s">
        <v>10</v>
      </c>
      <c r="C23" s="10" t="s">
        <v>11</v>
      </c>
      <c r="D23" s="8"/>
      <c r="E23" s="8"/>
      <c r="F23" s="8"/>
      <c r="G23" s="8"/>
      <c r="H23" s="8"/>
    </row>
    <row r="24" spans="1:8">
      <c r="A24" s="8"/>
      <c r="B24" s="8"/>
      <c r="C24" s="8"/>
      <c r="D24" s="8"/>
      <c r="E24" s="8"/>
      <c r="F24" s="8"/>
      <c r="G24" s="8"/>
      <c r="H24" s="8"/>
    </row>
    <row r="25" spans="1:8">
      <c r="A25" s="8" t="s">
        <v>2</v>
      </c>
      <c r="B25" s="8">
        <v>4663107410</v>
      </c>
      <c r="C25" s="8">
        <f>B25*0.004</f>
        <v>18652429.640000001</v>
      </c>
      <c r="D25" s="8"/>
      <c r="E25" s="8"/>
      <c r="F25" s="8"/>
      <c r="G25" s="8"/>
      <c r="H25" s="8"/>
    </row>
    <row r="26" spans="1:8">
      <c r="A26" s="8" t="s">
        <v>3</v>
      </c>
      <c r="B26" s="8">
        <v>7737071230</v>
      </c>
      <c r="C26" s="8">
        <f t="shared" ref="C26:C32" si="2">B26*0.004</f>
        <v>30948284.920000002</v>
      </c>
      <c r="D26" s="8"/>
      <c r="E26" s="8"/>
      <c r="F26" s="8"/>
      <c r="G26" s="8"/>
      <c r="H26" s="8"/>
    </row>
    <row r="27" spans="1:8">
      <c r="A27" s="8" t="s">
        <v>4</v>
      </c>
      <c r="B27" s="8">
        <v>5620401630</v>
      </c>
      <c r="C27" s="8">
        <f t="shared" si="2"/>
        <v>22481606.52</v>
      </c>
      <c r="D27" s="8"/>
      <c r="E27" s="8"/>
      <c r="F27" s="8"/>
      <c r="G27" s="8"/>
      <c r="H27" s="8"/>
    </row>
    <row r="28" spans="1:8">
      <c r="A28" s="8" t="s">
        <v>5</v>
      </c>
      <c r="B28" s="8">
        <v>1065139700</v>
      </c>
      <c r="C28" s="8">
        <f t="shared" si="2"/>
        <v>4260558.8</v>
      </c>
      <c r="D28" s="8"/>
      <c r="E28" s="8"/>
      <c r="F28" s="8"/>
      <c r="G28" s="8"/>
      <c r="H28" s="8"/>
    </row>
    <row r="29" spans="1:8">
      <c r="A29" s="8" t="s">
        <v>6</v>
      </c>
      <c r="B29" s="8">
        <v>10863244130</v>
      </c>
      <c r="C29" s="8">
        <f t="shared" si="2"/>
        <v>43452976.520000003</v>
      </c>
      <c r="D29" s="8"/>
      <c r="E29" s="8"/>
      <c r="F29" s="8"/>
      <c r="G29" s="8"/>
      <c r="H29" s="8"/>
    </row>
    <row r="30" spans="1:8">
      <c r="A30" s="8" t="s">
        <v>7</v>
      </c>
      <c r="B30" s="8">
        <v>4678184640</v>
      </c>
      <c r="C30" s="8">
        <f t="shared" si="2"/>
        <v>18712738.559999999</v>
      </c>
      <c r="D30" s="6"/>
      <c r="E30" s="6"/>
      <c r="F30" s="6"/>
      <c r="G30" s="6"/>
    </row>
    <row r="31" spans="1:8">
      <c r="A31" s="11" t="s">
        <v>8</v>
      </c>
      <c r="B31" s="11">
        <v>7356400430</v>
      </c>
      <c r="C31" s="11">
        <f t="shared" si="2"/>
        <v>29425601.719999999</v>
      </c>
      <c r="D31" s="6"/>
      <c r="E31" s="6"/>
      <c r="F31" s="6"/>
      <c r="G31" s="6"/>
    </row>
    <row r="32" spans="1:8">
      <c r="A32" s="8" t="s">
        <v>9</v>
      </c>
      <c r="B32" s="8">
        <f>SUM(B25:B31)</f>
        <v>41983549170</v>
      </c>
      <c r="C32" s="8">
        <f t="shared" si="2"/>
        <v>167934196.68000001</v>
      </c>
      <c r="D32" s="6"/>
      <c r="E32" s="6"/>
      <c r="F32" s="6"/>
      <c r="G32" s="6"/>
    </row>
    <row r="33" spans="1:7">
      <c r="A33" s="6"/>
      <c r="B33" s="6"/>
      <c r="C33" s="6"/>
      <c r="D33" s="6"/>
      <c r="E33" s="6"/>
      <c r="F33" s="6"/>
      <c r="G33" s="6"/>
    </row>
  </sheetData>
  <mergeCells count="3">
    <mergeCell ref="A1:F1"/>
    <mergeCell ref="B3:C3"/>
    <mergeCell ref="E3:F3"/>
  </mergeCells>
  <phoneticPr fontId="1" type="noConversion"/>
  <pageMargins left="0.75" right="0.75" top="1" bottom="1" header="0.5" footer="0.5"/>
  <pageSetup orientation="landscape" horizontalDpi="4294967292" verticalDpi="4294967292" r:id="rId1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4mills</vt:lpstr>
      <vt:lpstr>4millshare</vt:lpstr>
      <vt:lpstr>rescom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Jacobs</dc:creator>
  <cp:lastModifiedBy>mcavanaugh</cp:lastModifiedBy>
  <cp:lastPrinted>2010-03-27T18:03:11Z</cp:lastPrinted>
  <dcterms:created xsi:type="dcterms:W3CDTF">2010-03-26T21:21:47Z</dcterms:created>
  <dcterms:modified xsi:type="dcterms:W3CDTF">2010-04-23T23:33:56Z</dcterms:modified>
</cp:coreProperties>
</file>