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30" windowWidth="15480" windowHeight="9015" activeTab="2"/>
  </bookViews>
  <sheets>
    <sheet name="    INSTRUCTIONS    " sheetId="5" r:id="rId1"/>
    <sheet name="   Finance Report   " sheetId="2" r:id="rId2"/>
    <sheet name="Detailed Cash Report" sheetId="1" r:id="rId3"/>
    <sheet name="Copy bank statements here" sheetId="3" r:id="rId4"/>
  </sheets>
  <definedNames>
    <definedName name="_xlnm.Print_Area" localSheetId="0">'    INSTRUCTIONS    '!$A$1:$I$24</definedName>
    <definedName name="_xlnm.Print_Area" localSheetId="1">'   Finance Report   '!$B$1:$Z$50</definedName>
    <definedName name="_xlnm.Print_Area" localSheetId="3">'Copy bank statements here'!$A$1:$J$41</definedName>
    <definedName name="_xlnm.Print_Area" localSheetId="2">'Detailed Cash Report'!$A$8:$U$97</definedName>
    <definedName name="_xlnm.Print_Titles" localSheetId="2">'Detailed Cash Report'!$1:$7</definedName>
  </definedNames>
  <calcPr calcId="145621"/>
  <customWorkbookViews>
    <customWorkbookView name="ed bueche - Personal View" guid="{88176D30-6E16-4223-A8E7-895898BE0B1F}" mergeInterval="0" personalView="1" maximized="1" xWindow="1" yWindow="1" windowWidth="1436" windowHeight="670" activeSheetId="1"/>
  </customWorkbookViews>
</workbook>
</file>

<file path=xl/calcChain.xml><?xml version="1.0" encoding="utf-8"?>
<calcChain xmlns="http://schemas.openxmlformats.org/spreadsheetml/2006/main">
  <c r="S11" i="1" l="1"/>
  <c r="E64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11" i="1"/>
  <c r="U11" i="1" s="1"/>
  <c r="E69" i="1"/>
  <c r="E67" i="1"/>
  <c r="W38" i="2"/>
  <c r="S57" i="1"/>
  <c r="A51" i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F94" i="1"/>
  <c r="C86" i="1"/>
  <c r="C85" i="1"/>
  <c r="C84" i="1"/>
  <c r="C83" i="1"/>
  <c r="C82" i="1"/>
  <c r="C81" i="1"/>
  <c r="C67" i="1"/>
  <c r="C74" i="1"/>
  <c r="C73" i="1"/>
  <c r="Z15" i="2"/>
  <c r="F64" i="1"/>
  <c r="F73" i="1" s="1"/>
  <c r="S42" i="1"/>
  <c r="S43" i="1"/>
  <c r="S44" i="1"/>
  <c r="S45" i="1"/>
  <c r="S46" i="1"/>
  <c r="S47" i="1"/>
  <c r="S48" i="1"/>
  <c r="S49" i="1"/>
  <c r="S50" i="1"/>
  <c r="S51" i="1"/>
  <c r="S52" i="1"/>
  <c r="S53" i="1"/>
  <c r="S24" i="1"/>
  <c r="S25" i="1"/>
  <c r="S26" i="1"/>
  <c r="S27" i="1"/>
  <c r="S28" i="1"/>
  <c r="S29" i="1"/>
  <c r="S30" i="1"/>
  <c r="S31" i="1"/>
  <c r="S32" i="1"/>
  <c r="S33" i="1"/>
  <c r="S21" i="1"/>
  <c r="S22" i="1"/>
  <c r="S23" i="1"/>
  <c r="S34" i="1"/>
  <c r="S35" i="1"/>
  <c r="S36" i="1"/>
  <c r="S37" i="1"/>
  <c r="R64" i="1" l="1"/>
  <c r="Q64" i="1"/>
  <c r="F86" i="1" s="1"/>
  <c r="P64" i="1"/>
  <c r="F85" i="1" s="1"/>
  <c r="O64" i="1"/>
  <c r="F84" i="1" s="1"/>
  <c r="N64" i="1"/>
  <c r="F83" i="1" s="1"/>
  <c r="M64" i="1"/>
  <c r="F82" i="1" s="1"/>
  <c r="K64" i="1"/>
  <c r="F81" i="1" s="1"/>
  <c r="S12" i="1"/>
  <c r="S13" i="1"/>
  <c r="S14" i="1"/>
  <c r="S15" i="1"/>
  <c r="S16" i="1"/>
  <c r="S17" i="1"/>
  <c r="S18" i="1"/>
  <c r="S19" i="1"/>
  <c r="S20" i="1"/>
  <c r="S38" i="1"/>
  <c r="S39" i="1"/>
  <c r="S40" i="1"/>
  <c r="S41" i="1"/>
  <c r="S54" i="1"/>
  <c r="S55" i="1"/>
  <c r="S56" i="1"/>
  <c r="S58" i="1"/>
  <c r="S59" i="1"/>
  <c r="S60" i="1"/>
  <c r="S61" i="1"/>
  <c r="S62" i="1"/>
  <c r="G64" i="1"/>
  <c r="F74" i="1" s="1"/>
  <c r="U12" i="1" l="1"/>
  <c r="U13" i="1" s="1"/>
  <c r="U14" i="1" s="1"/>
  <c r="U15" i="1" s="1"/>
  <c r="I64" i="1"/>
  <c r="S64" i="1"/>
  <c r="U16" i="1" l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4" i="1" s="1"/>
  <c r="F77" i="1"/>
  <c r="Z18" i="2"/>
  <c r="Z21" i="2" s="1"/>
  <c r="F89" i="1"/>
  <c r="Z25" i="2"/>
  <c r="G89" i="1" l="1"/>
  <c r="G77" i="1"/>
  <c r="F92" i="1"/>
  <c r="G73" i="1"/>
  <c r="G83" i="1"/>
  <c r="G74" i="1"/>
  <c r="G84" i="1"/>
  <c r="G81" i="1"/>
  <c r="G85" i="1"/>
  <c r="G82" i="1"/>
  <c r="G86" i="1"/>
  <c r="G92" i="1" l="1"/>
  <c r="F97" i="1"/>
  <c r="Z28" i="2" l="1"/>
</calcChain>
</file>

<file path=xl/sharedStrings.xml><?xml version="1.0" encoding="utf-8"?>
<sst xmlns="http://schemas.openxmlformats.org/spreadsheetml/2006/main" count="102" uniqueCount="95">
  <si>
    <t>GIRL SCOUTS OF MICHIGAN SHORE TO SHORE</t>
  </si>
  <si>
    <t>Date</t>
  </si>
  <si>
    <t>Activity / Description</t>
  </si>
  <si>
    <t>Dues</t>
  </si>
  <si>
    <t>INCOME</t>
  </si>
  <si>
    <t>Fall Product / Cookie Sales</t>
  </si>
  <si>
    <t>EXPENSES</t>
  </si>
  <si>
    <t>Program Events</t>
  </si>
  <si>
    <t>Badges &amp; Pin Awards</t>
  </si>
  <si>
    <t>Supplies</t>
  </si>
  <si>
    <t>Service Projects</t>
  </si>
  <si>
    <t>Trips &amp; Fees</t>
  </si>
  <si>
    <t>Copies / Postage</t>
  </si>
  <si>
    <t>Running Balance</t>
  </si>
  <si>
    <t>Beginning Balance</t>
  </si>
  <si>
    <t>TOTAL          INCOME</t>
  </si>
  <si>
    <t>TOTAL          EXPENSES</t>
  </si>
  <si>
    <t>TOTALS</t>
  </si>
  <si>
    <t>Other Funds / Sponsorship</t>
  </si>
  <si>
    <t>-</t>
  </si>
  <si>
    <t xml:space="preserve">FOR THE YEAR  </t>
  </si>
  <si>
    <t xml:space="preserve">TROOP  #  </t>
  </si>
  <si>
    <t xml:space="preserve">PREPARED BY:  </t>
  </si>
  <si>
    <t>Finance Report</t>
  </si>
  <si>
    <t>Financial Institution:</t>
  </si>
  <si>
    <t xml:space="preserve">Account # </t>
  </si>
  <si>
    <t>Authorized Signatures:</t>
  </si>
  <si>
    <t xml:space="preserve">INCOME AND EXPENSES </t>
  </si>
  <si>
    <t>Total Income</t>
  </si>
  <si>
    <t>Subtotal</t>
  </si>
  <si>
    <t>Less:</t>
  </si>
  <si>
    <t>Total Expenses</t>
  </si>
  <si>
    <t>TOTAL BALANCE</t>
  </si>
  <si>
    <t>during summer months</t>
  </si>
  <si>
    <t>Person completing this report:</t>
  </si>
  <si>
    <t>Name</t>
  </si>
  <si>
    <t xml:space="preserve">Phone                                                    </t>
  </si>
  <si>
    <t>E-mail</t>
  </si>
  <si>
    <t xml:space="preserve">Signature                                                          </t>
  </si>
  <si>
    <t xml:space="preserve">  Date</t>
  </si>
  <si>
    <t>The Annual Finance Report is required to be completed for each group and submitted to a Girl Scout Service Center by</t>
  </si>
  <si>
    <t xml:space="preserve">For the year ending: </t>
  </si>
  <si>
    <t>Group #</t>
  </si>
  <si>
    <t>Service Unit name:</t>
  </si>
  <si>
    <t>Level (check one)</t>
  </si>
  <si>
    <t>D</t>
  </si>
  <si>
    <t>B</t>
  </si>
  <si>
    <t>J</t>
  </si>
  <si>
    <t>C</t>
  </si>
  <si>
    <t>S</t>
  </si>
  <si>
    <t>A</t>
  </si>
  <si>
    <t xml:space="preserve">May 31, </t>
  </si>
  <si>
    <t>Leader/Advisor name:</t>
  </si>
  <si>
    <t>E-mail:</t>
  </si>
  <si>
    <t>Home</t>
  </si>
  <si>
    <t xml:space="preserve">Phone: </t>
  </si>
  <si>
    <t>Cell</t>
  </si>
  <si>
    <t xml:space="preserve">Address: </t>
  </si>
  <si>
    <t>City:</t>
  </si>
  <si>
    <t>ZIP</t>
  </si>
  <si>
    <t>1.</t>
  </si>
  <si>
    <t>2.</t>
  </si>
  <si>
    <t>3.</t>
  </si>
  <si>
    <t>etc.) and the name and address where the equipment is stored:</t>
  </si>
  <si>
    <t xml:space="preserve">Please list any equipment (flags, books, camping gear, supplies, </t>
  </si>
  <si>
    <t>(Previous year’s ending balance)</t>
  </si>
  <si>
    <t xml:space="preserve">Amount to be used      </t>
  </si>
  <si>
    <t>Used for:</t>
  </si>
  <si>
    <t xml:space="preserve">  End of Year</t>
  </si>
  <si>
    <t xml:space="preserve">  Chang e in Leadership</t>
  </si>
  <si>
    <t xml:space="preserve">  Group Divided</t>
  </si>
  <si>
    <t xml:space="preserve">  Group Disbanded</t>
  </si>
  <si>
    <t>Reason for report</t>
  </si>
  <si>
    <t>As of:</t>
  </si>
  <si>
    <t>_ _ / _ _ / _ _</t>
  </si>
  <si>
    <t>TOTAL</t>
  </si>
  <si>
    <t xml:space="preserve">YEAR ENDING </t>
  </si>
  <si>
    <t>ADD:   Beginning Balance</t>
  </si>
  <si>
    <t>N E T</t>
  </si>
  <si>
    <t>ENDING BALANCE</t>
  </si>
  <si>
    <t>Click to Submit &amp; Attach File</t>
  </si>
  <si>
    <t>Annual Finance Report Instructions</t>
  </si>
  <si>
    <t>Please Attach (or cut &amp; paste) your 12 months of bank activity here</t>
  </si>
  <si>
    <r>
      <t xml:space="preserve">June 1 of each year.  Please attach a copy of the Detailed Cash Report &amp; </t>
    </r>
    <r>
      <rPr>
        <b/>
        <i/>
        <u/>
        <sz val="11"/>
        <color theme="1"/>
        <rFont val="Omnes_GirlScouts Regular"/>
        <family val="3"/>
      </rPr>
      <t xml:space="preserve">12 months </t>
    </r>
    <r>
      <rPr>
        <sz val="11"/>
        <color theme="1"/>
        <rFont val="Omnes_GirlScouts Regular"/>
        <family val="3"/>
      </rPr>
      <t>ofcurrent bank statement to this report.</t>
    </r>
  </si>
  <si>
    <t>New this year, please attach 12 months of current bank statement to the report.</t>
  </si>
  <si>
    <t>In the upper right hand of the Finance Report page (TAB), click on the picture and</t>
  </si>
  <si>
    <t>this will create an email;  attach a saved copy of the file to this email and send</t>
  </si>
  <si>
    <t>it to MVP@gsmists.org.</t>
  </si>
  <si>
    <t>We have created an electronic form of the Annual Finance Report to make it easier and quicker</t>
  </si>
  <si>
    <t>for you to file this report with GSMISTS.</t>
  </si>
  <si>
    <t>We are requesting that you send it via email, but faxed and mailed copies are acceptable.</t>
  </si>
  <si>
    <t>On each of the TABS, please fill in the information for the YELLOW highlights only</t>
  </si>
  <si>
    <t>because these cell auto-fill from information already entered.</t>
  </si>
  <si>
    <t>(yellow highlighted areas).   Do not input any information in the GREEN highlights</t>
  </si>
  <si>
    <t>Product Sales Sweep/   Square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</si>
</sst>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Omnes_GirlScouts Black"/>
      <family val="3"/>
    </font>
    <font>
      <sz val="14"/>
      <color theme="1"/>
      <name val="Omnes_GirlScouts Regular"/>
      <family val="3"/>
    </font>
    <font>
      <b/>
      <sz val="8"/>
      <color theme="1"/>
      <name val="Omnes_GirlScouts Regular"/>
      <family val="3"/>
    </font>
    <font>
      <sz val="10"/>
      <color theme="1"/>
      <name val="Omnes_GirlScouts Regular"/>
      <family val="3"/>
    </font>
    <font>
      <b/>
      <sz val="10"/>
      <color theme="1"/>
      <name val="Omnes_GirlScouts Regular"/>
      <family val="3"/>
    </font>
    <font>
      <sz val="8"/>
      <color theme="1"/>
      <name val="Omnes_GirlScouts Regular"/>
      <family val="3"/>
    </font>
    <font>
      <sz val="11"/>
      <color theme="1"/>
      <name val="Omnes_GirlScouts Regular"/>
      <family val="3"/>
    </font>
    <font>
      <b/>
      <sz val="11"/>
      <color theme="1"/>
      <name val="Omnes_GirlScouts Regular"/>
      <family val="3"/>
    </font>
    <font>
      <u/>
      <sz val="18"/>
      <color theme="1"/>
      <name val="Omnes_GirlScouts Black"/>
      <family val="3"/>
    </font>
    <font>
      <u/>
      <sz val="11"/>
      <color theme="1"/>
      <name val="Calibri"/>
      <family val="2"/>
      <scheme val="minor"/>
    </font>
    <font>
      <b/>
      <u/>
      <sz val="11"/>
      <color theme="1"/>
      <name val="Omnes_GirlScouts Regular"/>
      <family val="3"/>
    </font>
    <font>
      <sz val="20"/>
      <color theme="1"/>
      <name val="Omnes_GirlScouts Black"/>
      <family val="3"/>
    </font>
    <font>
      <u/>
      <sz val="11"/>
      <color theme="10"/>
      <name val="Calibri"/>
      <family val="2"/>
    </font>
    <font>
      <sz val="11"/>
      <color theme="1"/>
      <name val="Omnes_GirlScouts Black"/>
      <family val="3"/>
    </font>
    <font>
      <b/>
      <u/>
      <sz val="18"/>
      <color theme="1"/>
      <name val="Calibri"/>
      <family val="2"/>
      <scheme val="minor"/>
    </font>
    <font>
      <b/>
      <i/>
      <u/>
      <sz val="11"/>
      <color theme="1"/>
      <name val="Omnes_GirlScouts Regular"/>
      <family val="3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100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5" fillId="0" borderId="0" xfId="0" applyFont="1"/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Font="1"/>
    <xf numFmtId="0" fontId="0" fillId="0" borderId="0" xfId="0" applyAlignment="1">
      <alignment horizontal="center"/>
    </xf>
    <xf numFmtId="0" fontId="0" fillId="0" borderId="6" xfId="0" applyBorder="1" applyAlignment="1">
      <alignment vertical="center"/>
    </xf>
    <xf numFmtId="0" fontId="5" fillId="0" borderId="4" xfId="0" applyFont="1" applyBorder="1" applyAlignment="1">
      <alignment vertical="center"/>
    </xf>
    <xf numFmtId="0" fontId="0" fillId="2" borderId="6" xfId="0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39" fontId="5" fillId="0" borderId="0" xfId="0" applyNumberFormat="1" applyFont="1" applyBorder="1" applyAlignment="1">
      <alignment vertical="center"/>
    </xf>
    <xf numFmtId="0" fontId="3" fillId="0" borderId="0" xfId="0" applyFont="1"/>
    <xf numFmtId="0" fontId="0" fillId="0" borderId="13" xfId="0" applyBorder="1"/>
    <xf numFmtId="0" fontId="3" fillId="0" borderId="0" xfId="0" applyFont="1" applyBorder="1"/>
    <xf numFmtId="0" fontId="0" fillId="0" borderId="0" xfId="0" quotePrefix="1" applyBorder="1" applyAlignment="1">
      <alignment horizontal="right"/>
    </xf>
    <xf numFmtId="0" fontId="0" fillId="0" borderId="0" xfId="0" quotePrefix="1" applyBorder="1"/>
    <xf numFmtId="0" fontId="5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quotePrefix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12" fillId="0" borderId="0" xfId="0" applyFont="1" applyAlignment="1">
      <alignment horizontal="left"/>
    </xf>
    <xf numFmtId="0" fontId="9" fillId="0" borderId="13" xfId="0" applyFont="1" applyBorder="1" applyAlignment="1">
      <alignment horizontal="left"/>
    </xf>
    <xf numFmtId="0" fontId="9" fillId="0" borderId="13" xfId="0" applyFont="1" applyBorder="1"/>
    <xf numFmtId="0" fontId="0" fillId="0" borderId="9" xfId="0" applyFont="1" applyBorder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12" fillId="0" borderId="0" xfId="0" applyFont="1"/>
    <xf numFmtId="0" fontId="0" fillId="0" borderId="0" xfId="0" quotePrefix="1" applyFont="1"/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7" fillId="0" borderId="0" xfId="0" applyFont="1" applyAlignment="1"/>
    <xf numFmtId="0" fontId="18" fillId="0" borderId="0" xfId="2" applyAlignment="1" applyProtection="1"/>
    <xf numFmtId="0" fontId="19" fillId="0" borderId="0" xfId="0" applyFont="1" applyAlignment="1">
      <alignment wrapText="1"/>
    </xf>
    <xf numFmtId="0" fontId="3" fillId="3" borderId="13" xfId="0" applyFont="1" applyFill="1" applyBorder="1" applyAlignment="1">
      <alignment horizontal="center"/>
    </xf>
    <xf numFmtId="39" fontId="5" fillId="3" borderId="5" xfId="0" applyNumberFormat="1" applyFont="1" applyFill="1" applyBorder="1" applyAlignment="1">
      <alignment vertical="center"/>
    </xf>
    <xf numFmtId="0" fontId="0" fillId="3" borderId="1" xfId="0" applyFill="1" applyBorder="1"/>
    <xf numFmtId="39" fontId="0" fillId="4" borderId="9" xfId="0" applyNumberFormat="1" applyFont="1" applyFill="1" applyBorder="1"/>
    <xf numFmtId="0" fontId="0" fillId="3" borderId="9" xfId="0" applyFill="1" applyBorder="1"/>
    <xf numFmtId="0" fontId="0" fillId="3" borderId="9" xfId="0" applyFont="1" applyFill="1" applyBorder="1"/>
    <xf numFmtId="39" fontId="0" fillId="3" borderId="9" xfId="0" applyNumberFormat="1" applyFont="1" applyFill="1" applyBorder="1"/>
    <xf numFmtId="0" fontId="0" fillId="3" borderId="0" xfId="0" applyFill="1"/>
    <xf numFmtId="0" fontId="12" fillId="3" borderId="0" xfId="0" applyFont="1" applyFill="1" applyAlignment="1">
      <alignment horizontal="left"/>
    </xf>
    <xf numFmtId="0" fontId="0" fillId="3" borderId="0" xfId="0" applyFont="1" applyFill="1"/>
    <xf numFmtId="0" fontId="0" fillId="0" borderId="1" xfId="0" applyFont="1" applyFill="1" applyBorder="1" applyAlignment="1">
      <alignment horizontal="center"/>
    </xf>
    <xf numFmtId="0" fontId="0" fillId="0" borderId="0" xfId="0" quotePrefix="1"/>
    <xf numFmtId="0" fontId="2" fillId="4" borderId="0" xfId="0" applyFont="1" applyFill="1" applyAlignment="1">
      <alignment horizontal="center"/>
    </xf>
    <xf numFmtId="39" fontId="0" fillId="4" borderId="0" xfId="0" applyNumberFormat="1" applyFill="1"/>
    <xf numFmtId="164" fontId="0" fillId="4" borderId="0" xfId="1" applyNumberFormat="1" applyFont="1" applyFill="1"/>
    <xf numFmtId="0" fontId="0" fillId="4" borderId="9" xfId="0" applyFill="1" applyBorder="1"/>
    <xf numFmtId="0" fontId="0" fillId="4" borderId="0" xfId="0" applyFill="1"/>
    <xf numFmtId="0" fontId="5" fillId="4" borderId="4" xfId="0" applyFont="1" applyFill="1" applyBorder="1" applyAlignment="1">
      <alignment horizontal="center" vertical="center"/>
    </xf>
    <xf numFmtId="0" fontId="0" fillId="4" borderId="6" xfId="0" applyFill="1" applyBorder="1" applyAlignment="1">
      <alignment vertical="center"/>
    </xf>
    <xf numFmtId="39" fontId="0" fillId="4" borderId="6" xfId="0" applyNumberFormat="1" applyFill="1" applyBorder="1" applyAlignment="1">
      <alignment vertical="center"/>
    </xf>
    <xf numFmtId="39" fontId="5" fillId="4" borderId="6" xfId="0" applyNumberFormat="1" applyFont="1" applyFill="1" applyBorder="1" applyAlignment="1">
      <alignment vertical="center"/>
    </xf>
    <xf numFmtId="39" fontId="5" fillId="4" borderId="5" xfId="0" applyNumberFormat="1" applyFont="1" applyFill="1" applyBorder="1" applyAlignment="1">
      <alignment vertical="center"/>
    </xf>
    <xf numFmtId="39" fontId="0" fillId="4" borderId="7" xfId="0" applyNumberFormat="1" applyFill="1" applyBorder="1"/>
    <xf numFmtId="39" fontId="2" fillId="4" borderId="7" xfId="0" applyNumberFormat="1" applyFont="1" applyFill="1" applyBorder="1"/>
    <xf numFmtId="0" fontId="0" fillId="4" borderId="7" xfId="0" applyFill="1" applyBorder="1"/>
    <xf numFmtId="0" fontId="16" fillId="3" borderId="0" xfId="0" applyFont="1" applyFill="1"/>
    <xf numFmtId="0" fontId="14" fillId="3" borderId="0" xfId="0" applyFont="1" applyFill="1" applyAlignment="1">
      <alignment horizontal="left"/>
    </xf>
    <xf numFmtId="0" fontId="15" fillId="3" borderId="0" xfId="0" applyFont="1" applyFill="1"/>
    <xf numFmtId="0" fontId="0" fillId="0" borderId="0" xfId="0" applyBorder="1"/>
    <xf numFmtId="0" fontId="5" fillId="0" borderId="2" xfId="0" applyFont="1" applyBorder="1" applyAlignment="1">
      <alignment horizontal="center" vertical="center" wrapText="1"/>
    </xf>
    <xf numFmtId="0" fontId="22" fillId="5" borderId="4" xfId="0" applyFont="1" applyFill="1" applyBorder="1" applyAlignment="1">
      <alignment horizontal="center" vertical="center"/>
    </xf>
    <xf numFmtId="0" fontId="22" fillId="5" borderId="6" xfId="0" applyFont="1" applyFill="1" applyBorder="1" applyAlignment="1">
      <alignment horizontal="center" vertical="center"/>
    </xf>
    <xf numFmtId="0" fontId="22" fillId="5" borderId="5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3" borderId="9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0" xfId="0" quotePrefix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19" fillId="0" borderId="0" xfId="0" applyFont="1" applyAlignment="1">
      <alignment horizontal="left" vertical="center" wrapText="1"/>
    </xf>
    <xf numFmtId="0" fontId="0" fillId="4" borderId="9" xfId="0" applyFill="1" applyBorder="1" applyAlignment="1">
      <alignment horizontal="center"/>
    </xf>
    <xf numFmtId="0" fontId="18" fillId="3" borderId="9" xfId="2" applyFill="1" applyBorder="1" applyAlignment="1" applyProtection="1">
      <alignment horizontal="center"/>
    </xf>
    <xf numFmtId="0" fontId="3" fillId="7" borderId="4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4" fillId="3" borderId="1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 wrapText="1"/>
    </xf>
    <xf numFmtId="0" fontId="3" fillId="6" borderId="6" xfId="0" applyFont="1" applyFill="1" applyBorder="1" applyAlignment="1">
      <alignment horizontal="center" wrapText="1"/>
    </xf>
    <xf numFmtId="0" fontId="3" fillId="6" borderId="5" xfId="0" applyFont="1" applyFill="1" applyBorder="1" applyAlignment="1">
      <alignment horizontal="center" wrapText="1"/>
    </xf>
    <xf numFmtId="0" fontId="20" fillId="3" borderId="0" xfId="0" applyFont="1" applyFill="1" applyAlignment="1">
      <alignment horizontal="center" vertical="center"/>
    </xf>
    <xf numFmtId="0" fontId="3" fillId="3" borderId="0" xfId="0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mailto:mvp@gsmists.org?subject=Finance%20Report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6</xdr:row>
      <xdr:rowOff>152400</xdr:rowOff>
    </xdr:from>
    <xdr:to>
      <xdr:col>13</xdr:col>
      <xdr:colOff>476251</xdr:colOff>
      <xdr:row>8</xdr:row>
      <xdr:rowOff>161925</xdr:rowOff>
    </xdr:to>
    <xdr:sp macro="" textlink="">
      <xdr:nvSpPr>
        <xdr:cNvPr id="2051" name="Text Box 3"/>
        <xdr:cNvSpPr txBox="1">
          <a:spLocks noChangeArrowheads="1"/>
        </xdr:cNvSpPr>
      </xdr:nvSpPr>
      <xdr:spPr bwMode="auto">
        <a:xfrm>
          <a:off x="666750" y="1219200"/>
          <a:ext cx="2247901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 sz="800" b="1" i="0" u="none" strike="noStrike" baseline="0">
            <a:solidFill>
              <a:srgbClr val="000000"/>
            </a:solidFill>
            <a:latin typeface="Omnes_GirlScouts Regular"/>
          </a:endParaRPr>
        </a:p>
      </xdr:txBody>
    </xdr:sp>
    <xdr:clientData/>
  </xdr:twoCellAnchor>
  <xdr:twoCellAnchor>
    <xdr:from>
      <xdr:col>15</xdr:col>
      <xdr:colOff>133350</xdr:colOff>
      <xdr:row>43</xdr:row>
      <xdr:rowOff>66674</xdr:rowOff>
    </xdr:from>
    <xdr:to>
      <xdr:col>25</xdr:col>
      <xdr:colOff>628649</xdr:colOff>
      <xdr:row>49</xdr:row>
      <xdr:rowOff>161925</xdr:rowOff>
    </xdr:to>
    <xdr:sp macro="" textlink="">
      <xdr:nvSpPr>
        <xdr:cNvPr id="2052" name="Text Box 4"/>
        <xdr:cNvSpPr txBox="1">
          <a:spLocks noChangeArrowheads="1"/>
        </xdr:cNvSpPr>
      </xdr:nvSpPr>
      <xdr:spPr bwMode="auto">
        <a:xfrm>
          <a:off x="4286250" y="8543924"/>
          <a:ext cx="2886074" cy="12573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Omnes_GirlScouts Regular"/>
            </a:rPr>
            <a:t>FOR OFFICE USE ONLY</a:t>
          </a:r>
          <a:endParaRPr lang="en-US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Omnes_GirlScouts Regular"/>
            </a:rPr>
            <a:t> </a:t>
          </a:r>
          <a:endParaRPr lang="en-US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Omnes_GirlScouts Regular"/>
            </a:rPr>
            <a:t>Date received:  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_________________________</a:t>
          </a:r>
          <a:endParaRPr lang="en-US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Omnes_GirlScouts Regular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Omnes_GirlScouts Regular"/>
            </a:rPr>
            <a:t>Received by: 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___________________________</a:t>
          </a:r>
          <a:endParaRPr lang="en-US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Omnes_GirlScouts Regular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Omnes_GirlScouts Regular"/>
            </a:rPr>
            <a:t>Submit to:  MCDM, MVPAA, MR</a:t>
          </a:r>
        </a:p>
      </xdr:txBody>
    </xdr:sp>
    <xdr:clientData/>
  </xdr:twoCellAnchor>
  <xdr:twoCellAnchor>
    <xdr:from>
      <xdr:col>1</xdr:col>
      <xdr:colOff>190500</xdr:colOff>
      <xdr:row>1</xdr:row>
      <xdr:rowOff>9525</xdr:rowOff>
    </xdr:from>
    <xdr:to>
      <xdr:col>6</xdr:col>
      <xdr:colOff>180975</xdr:colOff>
      <xdr:row>6</xdr:row>
      <xdr:rowOff>73384</xdr:rowOff>
    </xdr:to>
    <xdr:pic>
      <xdr:nvPicPr>
        <xdr:cNvPr id="7" name="Picture 19" descr="GS_MICHIGANshore2shor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0100" y="361950"/>
          <a:ext cx="1819275" cy="949684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95250</xdr:colOff>
      <xdr:row>0</xdr:row>
      <xdr:rowOff>66675</xdr:rowOff>
    </xdr:from>
    <xdr:to>
      <xdr:col>22</xdr:col>
      <xdr:colOff>133349</xdr:colOff>
      <xdr:row>0</xdr:row>
      <xdr:rowOff>381000</xdr:rowOff>
    </xdr:to>
    <xdr:pic macro="[0]!Macro1">
      <xdr:nvPicPr>
        <xdr:cNvPr id="6" name="Picture 5" descr="Penguins.jpg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38750" y="66675"/>
          <a:ext cx="419099" cy="314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I18"/>
  <sheetViews>
    <sheetView workbookViewId="0">
      <selection activeCell="D21" sqref="D21"/>
    </sheetView>
  </sheetViews>
  <sheetFormatPr defaultRowHeight="15" x14ac:dyDescent="0.25"/>
  <sheetData>
    <row r="1" spans="1:9" ht="31.5" customHeight="1" thickBot="1" x14ac:dyDescent="0.3">
      <c r="A1" s="79" t="s">
        <v>81</v>
      </c>
      <c r="B1" s="80"/>
      <c r="C1" s="80"/>
      <c r="D1" s="80"/>
      <c r="E1" s="80"/>
      <c r="F1" s="80"/>
      <c r="G1" s="80"/>
      <c r="H1" s="80"/>
      <c r="I1" s="81"/>
    </row>
    <row r="3" spans="1:9" x14ac:dyDescent="0.25">
      <c r="A3" t="s">
        <v>88</v>
      </c>
    </row>
    <row r="4" spans="1:9" x14ac:dyDescent="0.25">
      <c r="A4" t="s">
        <v>89</v>
      </c>
    </row>
    <row r="6" spans="1:9" x14ac:dyDescent="0.25">
      <c r="A6" t="s">
        <v>90</v>
      </c>
    </row>
    <row r="10" spans="1:9" x14ac:dyDescent="0.25">
      <c r="A10" s="60" t="s">
        <v>60</v>
      </c>
      <c r="B10" t="s">
        <v>91</v>
      </c>
    </row>
    <row r="11" spans="1:9" x14ac:dyDescent="0.25">
      <c r="B11" t="s">
        <v>93</v>
      </c>
    </row>
    <row r="12" spans="1:9" x14ac:dyDescent="0.25">
      <c r="B12" t="s">
        <v>92</v>
      </c>
    </row>
    <row r="14" spans="1:9" x14ac:dyDescent="0.25">
      <c r="A14" s="60" t="s">
        <v>61</v>
      </c>
      <c r="B14" t="s">
        <v>84</v>
      </c>
    </row>
    <row r="16" spans="1:9" x14ac:dyDescent="0.25">
      <c r="A16" s="60" t="s">
        <v>62</v>
      </c>
      <c r="B16" t="s">
        <v>85</v>
      </c>
    </row>
    <row r="17" spans="2:2" x14ac:dyDescent="0.25">
      <c r="B17" t="s">
        <v>86</v>
      </c>
    </row>
    <row r="18" spans="2:2" x14ac:dyDescent="0.25">
      <c r="B18" t="s">
        <v>87</v>
      </c>
    </row>
  </sheetData>
  <mergeCells count="1">
    <mergeCell ref="A1:I1"/>
  </mergeCells>
  <printOptions horizontalCentered="1"/>
  <pageMargins left="0.45" right="0.4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54"/>
  <sheetViews>
    <sheetView workbookViewId="0">
      <selection activeCell="G4" sqref="G4"/>
    </sheetView>
  </sheetViews>
  <sheetFormatPr defaultRowHeight="15" x14ac:dyDescent="0.25"/>
  <cols>
    <col min="3" max="3" width="9.7109375" customWidth="1"/>
    <col min="4" max="15" width="2.85546875" customWidth="1"/>
    <col min="16" max="17" width="4" customWidth="1"/>
    <col min="18" max="23" width="2.85546875" customWidth="1"/>
    <col min="24" max="24" width="4.140625" customWidth="1"/>
    <col min="25" max="25" width="8.28515625" customWidth="1"/>
    <col min="26" max="26" width="11.140625" customWidth="1"/>
  </cols>
  <sheetData>
    <row r="1" spans="2:27" ht="35.25" customHeight="1" x14ac:dyDescent="0.5">
      <c r="B1" s="46" t="s">
        <v>23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  <c r="W1" s="46"/>
      <c r="X1" s="88" t="s">
        <v>80</v>
      </c>
      <c r="Y1" s="88"/>
      <c r="Z1" s="88"/>
      <c r="AA1" s="48"/>
    </row>
    <row r="2" spans="2:27" ht="4.5" customHeight="1" x14ac:dyDescent="0.45">
      <c r="B2" s="30"/>
      <c r="H2" s="30"/>
      <c r="R2" s="28"/>
      <c r="S2" s="28"/>
      <c r="T2" s="28"/>
      <c r="U2" s="28"/>
      <c r="V2" s="30"/>
    </row>
    <row r="3" spans="2:27" ht="20.25" customHeight="1" x14ac:dyDescent="0.45">
      <c r="B3" s="30"/>
      <c r="H3" s="30"/>
      <c r="S3" s="28"/>
      <c r="T3" s="28"/>
      <c r="U3" s="74" t="s">
        <v>72</v>
      </c>
      <c r="V3" s="75"/>
      <c r="W3" s="76"/>
      <c r="X3" s="76"/>
      <c r="Y3" s="56"/>
    </row>
    <row r="4" spans="2:27" ht="15" customHeight="1" x14ac:dyDescent="0.3">
      <c r="R4" s="27"/>
      <c r="S4" s="28"/>
      <c r="T4" s="28"/>
      <c r="U4" s="45"/>
      <c r="V4" s="42" t="s">
        <v>68</v>
      </c>
    </row>
    <row r="5" spans="2:27" ht="15" customHeight="1" x14ac:dyDescent="0.35">
      <c r="B5" s="31"/>
      <c r="R5" s="27"/>
      <c r="S5" s="28"/>
      <c r="T5" s="28"/>
      <c r="U5" s="45"/>
      <c r="V5" s="42" t="s">
        <v>69</v>
      </c>
    </row>
    <row r="6" spans="2:27" ht="15" customHeight="1" x14ac:dyDescent="0.3">
      <c r="B6" s="32"/>
      <c r="R6" s="29"/>
      <c r="S6" s="28"/>
      <c r="T6" s="28"/>
      <c r="U6" s="45"/>
      <c r="V6" s="42" t="s">
        <v>70</v>
      </c>
    </row>
    <row r="7" spans="2:27" ht="15" customHeight="1" x14ac:dyDescent="0.3">
      <c r="B7" s="33"/>
      <c r="R7" s="27"/>
      <c r="S7" s="28"/>
      <c r="T7" s="28"/>
      <c r="U7" s="45"/>
      <c r="V7" s="42" t="s">
        <v>71</v>
      </c>
    </row>
    <row r="8" spans="2:27" ht="5.25" customHeight="1" thickBot="1" x14ac:dyDescent="0.3">
      <c r="B8" s="36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37"/>
      <c r="S8" s="37"/>
      <c r="T8" s="37"/>
      <c r="U8" s="37"/>
      <c r="V8" s="37"/>
      <c r="W8" s="20"/>
      <c r="X8" s="20"/>
      <c r="Y8" s="20"/>
      <c r="Z8" s="20"/>
    </row>
    <row r="9" spans="2:27" ht="9" customHeight="1" x14ac:dyDescent="0.25">
      <c r="B9" s="33"/>
      <c r="R9" s="27"/>
      <c r="S9" s="27"/>
      <c r="T9" s="27"/>
      <c r="U9" s="27"/>
    </row>
    <row r="10" spans="2:27" ht="15.75" x14ac:dyDescent="0.3">
      <c r="B10" s="35" t="s">
        <v>40</v>
      </c>
      <c r="R10" s="27"/>
      <c r="S10" s="27"/>
      <c r="T10" s="27"/>
      <c r="U10" s="27"/>
      <c r="V10" s="27"/>
    </row>
    <row r="11" spans="2:27" ht="15.75" x14ac:dyDescent="0.3">
      <c r="B11" s="35" t="s">
        <v>83</v>
      </c>
      <c r="R11" s="27"/>
      <c r="S11" s="27"/>
      <c r="T11" s="27"/>
      <c r="U11" s="27"/>
    </row>
    <row r="12" spans="2:27" ht="24.75" customHeight="1" x14ac:dyDescent="0.25">
      <c r="B12" s="34"/>
      <c r="R12" s="27"/>
      <c r="S12" s="27"/>
      <c r="T12" s="27"/>
      <c r="U12" s="27"/>
    </row>
    <row r="13" spans="2:27" ht="15.75" x14ac:dyDescent="0.3">
      <c r="B13" s="35" t="s">
        <v>41</v>
      </c>
      <c r="C13" s="11"/>
      <c r="D13" s="38" t="s">
        <v>51</v>
      </c>
      <c r="E13" s="38"/>
      <c r="F13" s="38"/>
      <c r="G13" s="87"/>
      <c r="H13" s="87"/>
      <c r="I13" s="11"/>
      <c r="J13" s="39" t="s">
        <v>42</v>
      </c>
      <c r="K13" s="40"/>
      <c r="L13" s="11"/>
      <c r="M13" s="87"/>
      <c r="N13" s="87"/>
      <c r="O13" s="87"/>
      <c r="P13" s="11"/>
      <c r="Q13" s="11"/>
      <c r="R13" s="41" t="s">
        <v>27</v>
      </c>
      <c r="S13" s="41"/>
      <c r="T13" s="41"/>
      <c r="U13" s="41"/>
      <c r="V13" s="11"/>
      <c r="W13" s="11"/>
      <c r="X13" s="11"/>
      <c r="Y13" s="11"/>
      <c r="Z13" s="11"/>
      <c r="AA13" s="11"/>
    </row>
    <row r="14" spans="2:27" ht="15.75" x14ac:dyDescent="0.3">
      <c r="B14" s="35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35"/>
      <c r="S14" s="35"/>
      <c r="T14" s="35"/>
      <c r="U14" s="35"/>
      <c r="V14" s="11"/>
      <c r="W14" s="11"/>
      <c r="X14" s="11"/>
      <c r="Y14" s="11"/>
      <c r="Z14" s="11"/>
      <c r="AA14" s="11"/>
    </row>
    <row r="15" spans="2:27" ht="15.75" x14ac:dyDescent="0.3">
      <c r="B15" s="35" t="s">
        <v>43</v>
      </c>
      <c r="C15" s="11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11"/>
      <c r="Q15" s="11"/>
      <c r="R15" s="35" t="s">
        <v>14</v>
      </c>
      <c r="S15" s="35"/>
      <c r="T15" s="35"/>
      <c r="U15" s="35"/>
      <c r="V15" s="42"/>
      <c r="W15" s="11"/>
      <c r="X15" s="11"/>
      <c r="Y15" s="11"/>
      <c r="Z15" s="52">
        <f>+'Detailed Cash Report'!U9</f>
        <v>0</v>
      </c>
      <c r="AA15" s="11"/>
    </row>
    <row r="16" spans="2:27" ht="15.75" x14ac:dyDescent="0.3">
      <c r="B16" s="35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35" t="s">
        <v>65</v>
      </c>
      <c r="S16" s="35"/>
      <c r="T16" s="35"/>
      <c r="U16" s="35"/>
      <c r="V16" s="11"/>
      <c r="W16" s="11"/>
      <c r="X16" s="11"/>
      <c r="Y16" s="11"/>
      <c r="Z16" s="11"/>
      <c r="AA16" s="11"/>
    </row>
    <row r="17" spans="2:27" ht="15.75" x14ac:dyDescent="0.3">
      <c r="B17" s="57" t="s">
        <v>44</v>
      </c>
      <c r="C17" s="58"/>
      <c r="D17" s="40" t="s">
        <v>45</v>
      </c>
      <c r="E17" s="59"/>
      <c r="F17" s="40" t="s">
        <v>46</v>
      </c>
      <c r="G17" s="59"/>
      <c r="H17" s="40" t="s">
        <v>47</v>
      </c>
      <c r="I17" s="59"/>
      <c r="J17" s="40" t="s">
        <v>48</v>
      </c>
      <c r="K17" s="59"/>
      <c r="L17" s="40" t="s">
        <v>49</v>
      </c>
      <c r="M17" s="59"/>
      <c r="N17" s="40" t="s">
        <v>50</v>
      </c>
      <c r="O17" s="59"/>
      <c r="P17" s="11"/>
      <c r="Q17" s="11"/>
      <c r="R17" s="35"/>
      <c r="S17" s="35"/>
      <c r="T17" s="35"/>
      <c r="U17" s="35"/>
      <c r="V17" s="11"/>
      <c r="W17" s="11"/>
      <c r="X17" s="11"/>
      <c r="Y17" s="11"/>
      <c r="Z17" s="11"/>
      <c r="AA17" s="11"/>
    </row>
    <row r="18" spans="2:27" ht="15.75" x14ac:dyDescent="0.3">
      <c r="B18" s="35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35" t="s">
        <v>28</v>
      </c>
      <c r="S18" s="35"/>
      <c r="T18" s="35"/>
      <c r="U18" s="35"/>
      <c r="V18" s="42"/>
      <c r="W18" s="11"/>
      <c r="X18" s="11"/>
      <c r="Y18" s="11"/>
      <c r="Z18" s="52">
        <f>+'Detailed Cash Report'!I64</f>
        <v>0</v>
      </c>
      <c r="AA18" s="11"/>
    </row>
    <row r="19" spans="2:27" ht="15.75" x14ac:dyDescent="0.3">
      <c r="B19" s="35" t="s">
        <v>52</v>
      </c>
      <c r="C19" s="11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11"/>
      <c r="Q19" s="11"/>
      <c r="R19" s="35"/>
      <c r="S19" s="35"/>
      <c r="T19" s="35"/>
      <c r="U19" s="35"/>
      <c r="V19" s="11"/>
      <c r="W19" s="11"/>
      <c r="X19" s="11"/>
      <c r="Y19" s="11"/>
      <c r="Z19" s="11"/>
      <c r="AA19" s="11"/>
    </row>
    <row r="20" spans="2:27" ht="15.75" x14ac:dyDescent="0.3">
      <c r="B20" s="35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35"/>
      <c r="S20" s="35"/>
      <c r="T20" s="35"/>
      <c r="U20" s="35"/>
      <c r="V20" s="42"/>
      <c r="W20" s="11"/>
      <c r="X20" s="11"/>
      <c r="Y20" s="11"/>
      <c r="Z20" s="11"/>
      <c r="AA20" s="11"/>
    </row>
    <row r="21" spans="2:27" ht="15.75" x14ac:dyDescent="0.3">
      <c r="B21" s="35" t="s">
        <v>53</v>
      </c>
      <c r="C21" s="11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11"/>
      <c r="Q21" s="11"/>
      <c r="R21" s="35" t="s">
        <v>29</v>
      </c>
      <c r="S21" s="35"/>
      <c r="T21" s="35"/>
      <c r="U21" s="35"/>
      <c r="V21" s="11"/>
      <c r="W21" s="11"/>
      <c r="X21" s="11"/>
      <c r="Y21" s="11"/>
      <c r="Z21" s="52">
        <f>+Z15+Z18</f>
        <v>0</v>
      </c>
      <c r="AA21" s="11"/>
    </row>
    <row r="22" spans="2:27" ht="15.75" x14ac:dyDescent="0.3">
      <c r="B22" s="35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35"/>
      <c r="S22" s="35"/>
      <c r="T22" s="35"/>
      <c r="U22" s="35"/>
      <c r="V22" s="11"/>
      <c r="W22" s="11"/>
      <c r="X22" s="11"/>
      <c r="Y22" s="11"/>
      <c r="Z22" s="11"/>
      <c r="AA22" s="11"/>
    </row>
    <row r="23" spans="2:27" ht="15.75" x14ac:dyDescent="0.3">
      <c r="B23" s="35" t="s">
        <v>55</v>
      </c>
      <c r="C23" s="40" t="s">
        <v>54</v>
      </c>
      <c r="D23" s="83"/>
      <c r="E23" s="83"/>
      <c r="F23" s="83"/>
      <c r="G23" s="83"/>
      <c r="H23" s="83"/>
      <c r="I23" s="82" t="s">
        <v>56</v>
      </c>
      <c r="J23" s="82"/>
      <c r="K23" s="83"/>
      <c r="L23" s="83"/>
      <c r="M23" s="83"/>
      <c r="N23" s="83"/>
      <c r="O23" s="83"/>
      <c r="P23" s="11"/>
      <c r="Q23" s="11"/>
      <c r="R23" s="41" t="s">
        <v>30</v>
      </c>
      <c r="S23" s="41"/>
      <c r="T23" s="41"/>
      <c r="U23" s="41"/>
      <c r="V23" s="11"/>
      <c r="W23" s="11"/>
      <c r="X23" s="11"/>
      <c r="Y23" s="11"/>
      <c r="Z23" s="11"/>
      <c r="AA23" s="11"/>
    </row>
    <row r="24" spans="2:27" ht="15.75" x14ac:dyDescent="0.3">
      <c r="B24" s="35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35"/>
      <c r="S24" s="35"/>
      <c r="T24" s="35"/>
      <c r="U24" s="35"/>
      <c r="V24" s="11"/>
      <c r="W24" s="11"/>
      <c r="X24" s="11"/>
      <c r="Y24" s="11"/>
      <c r="Z24" s="11"/>
      <c r="AA24" s="11"/>
    </row>
    <row r="25" spans="2:27" ht="15.75" x14ac:dyDescent="0.3">
      <c r="B25" s="35" t="s">
        <v>57</v>
      </c>
      <c r="C25" s="11"/>
      <c r="D25" s="53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11"/>
      <c r="Q25" s="11"/>
      <c r="R25" s="35" t="s">
        <v>31</v>
      </c>
      <c r="S25" s="35"/>
      <c r="T25" s="35"/>
      <c r="U25" s="35"/>
      <c r="V25" s="42"/>
      <c r="W25" s="11"/>
      <c r="X25" s="11"/>
      <c r="Y25" s="11"/>
      <c r="Z25" s="52">
        <f>+'Detailed Cash Report'!S64</f>
        <v>0</v>
      </c>
      <c r="AA25" s="11"/>
    </row>
    <row r="26" spans="2:27" ht="15.75" x14ac:dyDescent="0.3">
      <c r="B26" s="35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35"/>
      <c r="S26" s="35"/>
      <c r="T26" s="35"/>
      <c r="U26" s="35"/>
      <c r="V26" s="11"/>
      <c r="W26" s="11"/>
      <c r="X26" s="11"/>
      <c r="Y26" s="11"/>
      <c r="Z26" s="11"/>
      <c r="AA26" s="11"/>
    </row>
    <row r="27" spans="2:27" ht="15.75" x14ac:dyDescent="0.3">
      <c r="B27" s="35" t="s">
        <v>58</v>
      </c>
      <c r="C27" s="11"/>
      <c r="D27" s="54"/>
      <c r="E27" s="54"/>
      <c r="F27" s="54"/>
      <c r="G27" s="54"/>
      <c r="H27" s="54"/>
      <c r="I27" s="54"/>
      <c r="J27" s="54"/>
      <c r="K27" s="82" t="s">
        <v>59</v>
      </c>
      <c r="L27" s="82"/>
      <c r="M27" s="83"/>
      <c r="N27" s="83"/>
      <c r="O27" s="83"/>
      <c r="P27" s="11"/>
      <c r="Q27" s="11"/>
      <c r="R27" s="35"/>
      <c r="S27" s="35"/>
      <c r="T27" s="35"/>
      <c r="U27" s="35"/>
      <c r="V27" s="11"/>
      <c r="W27" s="11"/>
      <c r="X27" s="11"/>
      <c r="Y27" s="11"/>
      <c r="Z27" s="11"/>
      <c r="AA27" s="11"/>
    </row>
    <row r="28" spans="2:27" ht="15.75" x14ac:dyDescent="0.3">
      <c r="B28" s="35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35" t="s">
        <v>32</v>
      </c>
      <c r="S28" s="35"/>
      <c r="T28" s="35"/>
      <c r="U28" s="35"/>
      <c r="V28" s="42"/>
      <c r="W28" s="11"/>
      <c r="X28" s="11"/>
      <c r="Y28" s="11"/>
      <c r="Z28" s="52">
        <f>IF(('Detailed Cash Report'!U62)=(Z21-Z25),Z21-Z25,FALSE)</f>
        <v>0</v>
      </c>
      <c r="AA28" s="11"/>
    </row>
    <row r="29" spans="2:27" ht="15.75" x14ac:dyDescent="0.3">
      <c r="B29" s="35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35"/>
      <c r="S29" s="35"/>
      <c r="T29" s="35"/>
      <c r="U29" s="35"/>
      <c r="V29" s="11"/>
      <c r="W29" s="11"/>
      <c r="X29" s="11"/>
      <c r="Y29" s="11"/>
      <c r="Z29" s="11"/>
      <c r="AA29" s="11"/>
    </row>
    <row r="30" spans="2:27" ht="15.75" x14ac:dyDescent="0.3">
      <c r="B30" s="35" t="s">
        <v>24</v>
      </c>
      <c r="C30" s="11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11"/>
      <c r="Q30" s="11"/>
      <c r="R30" s="35" t="s">
        <v>73</v>
      </c>
      <c r="S30" s="35"/>
      <c r="T30" s="35"/>
      <c r="U30" s="35"/>
      <c r="V30" s="11"/>
      <c r="W30" s="11"/>
      <c r="X30" s="11"/>
      <c r="Y30" s="85" t="s">
        <v>74</v>
      </c>
      <c r="Z30" s="86"/>
      <c r="AA30" s="11"/>
    </row>
    <row r="31" spans="2:27" ht="15.75" x14ac:dyDescent="0.3">
      <c r="B31" s="35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35"/>
      <c r="S31" s="35"/>
      <c r="T31" s="35"/>
      <c r="U31" s="35"/>
      <c r="V31" s="11"/>
      <c r="W31" s="11"/>
      <c r="X31" s="11"/>
      <c r="Y31" s="11"/>
      <c r="Z31" s="11"/>
      <c r="AA31" s="11"/>
    </row>
    <row r="32" spans="2:27" ht="15.75" x14ac:dyDescent="0.3">
      <c r="B32" s="35" t="s">
        <v>25</v>
      </c>
      <c r="C32" s="11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11"/>
      <c r="Q32" s="11"/>
      <c r="R32" s="35" t="s">
        <v>66</v>
      </c>
      <c r="S32" s="35"/>
      <c r="T32" s="35"/>
      <c r="U32" s="35"/>
      <c r="V32" s="11"/>
      <c r="W32" s="11"/>
      <c r="X32" s="11"/>
      <c r="Y32" s="11"/>
      <c r="Z32" s="55"/>
      <c r="AA32" s="11"/>
    </row>
    <row r="33" spans="2:27" ht="15.75" x14ac:dyDescent="0.3">
      <c r="B33" s="35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35" t="s">
        <v>33</v>
      </c>
      <c r="S33" s="35"/>
      <c r="T33" s="35"/>
      <c r="U33" s="35"/>
      <c r="V33" s="11"/>
      <c r="W33" s="11"/>
      <c r="X33" s="11"/>
      <c r="Y33" s="11"/>
      <c r="Z33" s="11"/>
      <c r="AA33" s="11"/>
    </row>
    <row r="34" spans="2:27" ht="15.75" x14ac:dyDescent="0.3">
      <c r="B34" s="35" t="s">
        <v>26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35" t="s">
        <v>67</v>
      </c>
      <c r="S34" s="35"/>
      <c r="T34" s="35"/>
      <c r="U34" s="35"/>
      <c r="V34" s="54"/>
      <c r="W34" s="54"/>
      <c r="X34" s="54"/>
      <c r="Y34" s="54"/>
      <c r="Z34" s="54"/>
      <c r="AA34" s="11"/>
    </row>
    <row r="35" spans="2:27" ht="15.75" x14ac:dyDescent="0.3">
      <c r="B35" s="35"/>
      <c r="C35" s="43" t="s">
        <v>60</v>
      </c>
      <c r="D35" s="53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11"/>
      <c r="Q35" s="11"/>
      <c r="R35" s="35"/>
      <c r="S35" s="35"/>
      <c r="T35" s="35"/>
      <c r="U35" s="35"/>
      <c r="V35" s="11"/>
      <c r="W35" s="11"/>
      <c r="X35" s="11"/>
      <c r="Y35" s="11"/>
      <c r="Z35" s="11"/>
      <c r="AA35" s="11"/>
    </row>
    <row r="36" spans="2:27" ht="15.75" x14ac:dyDescent="0.3">
      <c r="B36" s="35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35" t="s">
        <v>34</v>
      </c>
      <c r="S36" s="35"/>
      <c r="T36" s="35"/>
      <c r="U36" s="35"/>
      <c r="V36" s="11"/>
      <c r="W36" s="11"/>
      <c r="X36" s="11"/>
      <c r="Y36" s="11"/>
      <c r="Z36" s="11"/>
      <c r="AA36" s="11"/>
    </row>
    <row r="37" spans="2:27" ht="15.75" x14ac:dyDescent="0.3">
      <c r="B37" s="35"/>
      <c r="C37" s="43" t="s">
        <v>61</v>
      </c>
      <c r="D37" s="53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11"/>
      <c r="Q37" s="11"/>
      <c r="R37" s="35"/>
      <c r="S37" s="35"/>
      <c r="T37" s="35"/>
      <c r="U37" s="35"/>
      <c r="V37" s="11"/>
      <c r="W37" s="11"/>
      <c r="X37" s="11"/>
      <c r="Y37" s="11"/>
      <c r="Z37" s="11"/>
      <c r="AA37" s="11"/>
    </row>
    <row r="38" spans="2:27" ht="15.75" x14ac:dyDescent="0.3">
      <c r="B38" s="35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35" t="s">
        <v>35</v>
      </c>
      <c r="S38" s="35"/>
      <c r="T38" s="35"/>
      <c r="U38" s="35"/>
      <c r="V38" s="11"/>
      <c r="W38" s="89">
        <f>+'Detailed Cash Report'!Q1</f>
        <v>0</v>
      </c>
      <c r="X38" s="89"/>
      <c r="Y38" s="89"/>
      <c r="Z38" s="89"/>
      <c r="AA38" s="11"/>
    </row>
    <row r="39" spans="2:27" ht="15.75" x14ac:dyDescent="0.3">
      <c r="B39" s="35"/>
      <c r="C39" s="43" t="s">
        <v>62</v>
      </c>
      <c r="D39" s="53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11"/>
      <c r="Q39" s="11"/>
      <c r="R39" s="35"/>
      <c r="S39" s="35"/>
      <c r="T39" s="35"/>
      <c r="U39" s="35"/>
      <c r="V39" s="11"/>
      <c r="W39" s="11"/>
      <c r="X39" s="11"/>
      <c r="Y39" s="11"/>
      <c r="Z39" s="11"/>
      <c r="AA39" s="11"/>
    </row>
    <row r="40" spans="2:27" ht="15.75" x14ac:dyDescent="0.3">
      <c r="B40" s="35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35" t="s">
        <v>36</v>
      </c>
      <c r="S40" s="35"/>
      <c r="T40" s="35"/>
      <c r="U40" s="35"/>
      <c r="V40" s="11"/>
      <c r="W40" s="84"/>
      <c r="X40" s="84"/>
      <c r="Y40" s="84"/>
      <c r="Z40" s="84"/>
      <c r="AA40" s="11"/>
    </row>
    <row r="41" spans="2:27" ht="15.75" x14ac:dyDescent="0.3">
      <c r="B41" s="35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2:27" ht="15.75" x14ac:dyDescent="0.3">
      <c r="B42" s="35" t="s">
        <v>64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35" t="s">
        <v>37</v>
      </c>
      <c r="S42" s="35"/>
      <c r="T42" s="35"/>
      <c r="U42" s="35"/>
      <c r="V42" s="11"/>
      <c r="W42" s="90"/>
      <c r="X42" s="90"/>
      <c r="Y42" s="90"/>
      <c r="Z42" s="90"/>
      <c r="AA42" s="11"/>
    </row>
    <row r="43" spans="2:27" ht="15.75" x14ac:dyDescent="0.3">
      <c r="B43" s="35" t="s">
        <v>63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35"/>
      <c r="S43" s="35"/>
      <c r="T43" s="35"/>
      <c r="U43" s="35"/>
      <c r="V43" s="11"/>
      <c r="W43" s="11"/>
      <c r="X43" s="11"/>
      <c r="Y43" s="11"/>
      <c r="Z43" s="11"/>
      <c r="AA43" s="11"/>
    </row>
    <row r="44" spans="2:27" ht="15.75" x14ac:dyDescent="0.3">
      <c r="B44" s="35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35" t="s">
        <v>38</v>
      </c>
      <c r="S44" s="35"/>
      <c r="T44" s="35"/>
      <c r="U44" s="35"/>
      <c r="V44" s="11"/>
      <c r="W44" s="42" t="s">
        <v>39</v>
      </c>
      <c r="X44" s="11"/>
      <c r="Y44" s="11"/>
      <c r="Z44" s="11"/>
      <c r="AA44" s="11"/>
    </row>
    <row r="45" spans="2:27" ht="15.75" x14ac:dyDescent="0.3">
      <c r="B45" s="35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11"/>
      <c r="P45" s="11"/>
      <c r="Q45" s="11"/>
      <c r="R45" s="35"/>
      <c r="S45" s="35"/>
      <c r="T45" s="35"/>
      <c r="U45" s="35"/>
      <c r="V45" s="11"/>
      <c r="W45" s="11"/>
      <c r="X45" s="11"/>
      <c r="Y45" s="11"/>
      <c r="Z45" s="11"/>
      <c r="AA45" s="11"/>
    </row>
    <row r="46" spans="2:27" ht="15.75" x14ac:dyDescent="0.3">
      <c r="B46" s="35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2:27" ht="15.75" x14ac:dyDescent="0.3">
      <c r="B47" s="35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2:27" ht="15.75" x14ac:dyDescent="0.3">
      <c r="B48" s="35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2:15" ht="15.75" x14ac:dyDescent="0.3">
      <c r="B49" s="35"/>
      <c r="M49" s="11"/>
      <c r="N49" s="11"/>
      <c r="O49" s="11"/>
    </row>
    <row r="50" spans="2:15" ht="15.75" x14ac:dyDescent="0.3">
      <c r="B50" s="35"/>
      <c r="M50" s="11"/>
      <c r="N50" s="11"/>
      <c r="O50" s="11"/>
    </row>
    <row r="51" spans="2:15" x14ac:dyDescent="0.25">
      <c r="B51" s="33"/>
    </row>
    <row r="52" spans="2:15" x14ac:dyDescent="0.25">
      <c r="B52" s="33"/>
    </row>
    <row r="53" spans="2:15" x14ac:dyDescent="0.25">
      <c r="B53" s="34"/>
    </row>
    <row r="54" spans="2:15" x14ac:dyDescent="0.25">
      <c r="B54" s="34"/>
    </row>
  </sheetData>
  <customSheetViews>
    <customSheetView guid="{88176D30-6E16-4223-A8E7-895898BE0B1F}" showPageBreaks="1">
      <pageMargins left="0.7" right="0.7" top="0.75" bottom="0.75" header="0.3" footer="0.3"/>
    </customSheetView>
  </customSheetViews>
  <mergeCells count="14">
    <mergeCell ref="X1:Z1"/>
    <mergeCell ref="W38:Z38"/>
    <mergeCell ref="W40:Z40"/>
    <mergeCell ref="W42:Z42"/>
    <mergeCell ref="M27:O27"/>
    <mergeCell ref="K27:L27"/>
    <mergeCell ref="D32:O32"/>
    <mergeCell ref="D30:O30"/>
    <mergeCell ref="Y30:Z30"/>
    <mergeCell ref="M13:O13"/>
    <mergeCell ref="G13:H13"/>
    <mergeCell ref="I23:J23"/>
    <mergeCell ref="K23:O23"/>
    <mergeCell ref="D23:H23"/>
  </mergeCells>
  <printOptions horizontalCentered="1"/>
  <pageMargins left="0" right="0" top="0.25" bottom="0.25" header="0.3" footer="0.3"/>
  <pageSetup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7"/>
  <sheetViews>
    <sheetView tabSelected="1" zoomScale="90" zoomScaleNormal="90" workbookViewId="0">
      <selection activeCell="L14" sqref="L14"/>
    </sheetView>
  </sheetViews>
  <sheetFormatPr defaultRowHeight="15" x14ac:dyDescent="0.25"/>
  <cols>
    <col min="1" max="1" width="3.85546875" customWidth="1"/>
    <col min="2" max="2" width="8.140625" customWidth="1"/>
    <col min="3" max="3" width="24.7109375" customWidth="1"/>
    <col min="4" max="4" width="0.85546875" customWidth="1"/>
    <col min="6" max="6" width="12.140625" customWidth="1"/>
    <col min="7" max="7" width="12.28515625" customWidth="1"/>
    <col min="8" max="8" width="0.7109375" customWidth="1"/>
    <col min="9" max="9" width="11" customWidth="1"/>
    <col min="10" max="10" width="1.28515625" customWidth="1"/>
    <col min="11" max="17" width="10" customWidth="1"/>
    <col min="18" max="18" width="0.7109375" customWidth="1"/>
    <col min="19" max="19" width="10.85546875" customWidth="1"/>
    <col min="20" max="20" width="0.85546875" customWidth="1"/>
    <col min="21" max="21" width="11.5703125" customWidth="1"/>
  </cols>
  <sheetData>
    <row r="1" spans="1:28" ht="19.5" thickBot="1" x14ac:dyDescent="0.35">
      <c r="A1" s="19" t="s">
        <v>0</v>
      </c>
      <c r="G1" s="24" t="s">
        <v>21</v>
      </c>
      <c r="H1" s="21"/>
      <c r="I1" s="49"/>
      <c r="P1" s="25" t="s">
        <v>22</v>
      </c>
      <c r="Q1" s="94"/>
      <c r="R1" s="94"/>
      <c r="S1" s="94"/>
    </row>
    <row r="2" spans="1:28" ht="9.75" customHeight="1" x14ac:dyDescent="0.3">
      <c r="A2" s="19"/>
      <c r="G2" s="19"/>
      <c r="H2" s="21"/>
      <c r="I2" s="21"/>
      <c r="K2" s="5"/>
      <c r="L2" s="5"/>
      <c r="N2" s="22"/>
      <c r="O2" s="23"/>
    </row>
    <row r="3" spans="1:28" ht="19.5" thickBot="1" x14ac:dyDescent="0.35">
      <c r="G3" s="24" t="s">
        <v>20</v>
      </c>
      <c r="I3" s="49"/>
      <c r="J3" s="26" t="s">
        <v>19</v>
      </c>
      <c r="K3" s="49"/>
      <c r="L3" s="99"/>
    </row>
    <row r="4" spans="1:28" ht="7.5" customHeight="1" thickBot="1" x14ac:dyDescent="0.3"/>
    <row r="5" spans="1:28" ht="19.5" thickBot="1" x14ac:dyDescent="0.35">
      <c r="B5" s="1"/>
      <c r="C5" s="1"/>
      <c r="E5" s="95" t="s">
        <v>4</v>
      </c>
      <c r="F5" s="96"/>
      <c r="G5" s="96"/>
      <c r="H5" s="96"/>
      <c r="I5" s="97"/>
      <c r="K5" s="91" t="s">
        <v>6</v>
      </c>
      <c r="L5" s="92"/>
      <c r="M5" s="92"/>
      <c r="N5" s="92"/>
      <c r="O5" s="92"/>
      <c r="P5" s="92"/>
      <c r="Q5" s="92"/>
      <c r="R5" s="92"/>
      <c r="S5" s="93"/>
      <c r="U5" s="1"/>
      <c r="V5" s="1"/>
      <c r="W5" s="1"/>
      <c r="X5" s="1"/>
      <c r="Y5" s="1"/>
      <c r="Z5" s="1"/>
      <c r="AA5" s="1"/>
      <c r="AB5" s="1"/>
    </row>
    <row r="6" spans="1:28" ht="75.75" thickBot="1" x14ac:dyDescent="0.3">
      <c r="B6" s="2" t="s">
        <v>1</v>
      </c>
      <c r="C6" s="2" t="s">
        <v>2</v>
      </c>
      <c r="E6" s="3" t="s">
        <v>3</v>
      </c>
      <c r="F6" s="3" t="s">
        <v>5</v>
      </c>
      <c r="G6" s="3" t="s">
        <v>18</v>
      </c>
      <c r="I6" s="4" t="s">
        <v>15</v>
      </c>
      <c r="K6" s="3" t="s">
        <v>7</v>
      </c>
      <c r="L6" s="3" t="s">
        <v>94</v>
      </c>
      <c r="M6" s="3" t="s">
        <v>8</v>
      </c>
      <c r="N6" s="3" t="s">
        <v>9</v>
      </c>
      <c r="O6" s="3" t="s">
        <v>10</v>
      </c>
      <c r="P6" s="3" t="s">
        <v>11</v>
      </c>
      <c r="Q6" s="3" t="s">
        <v>12</v>
      </c>
      <c r="S6" s="4" t="s">
        <v>16</v>
      </c>
      <c r="U6" s="78" t="s">
        <v>13</v>
      </c>
      <c r="V6" s="1"/>
      <c r="W6" s="1"/>
      <c r="X6" s="1"/>
      <c r="Y6" s="1"/>
      <c r="Z6" s="1"/>
      <c r="AA6" s="1"/>
      <c r="AB6" s="1"/>
    </row>
    <row r="7" spans="1:28" ht="10.5" customHeight="1" x14ac:dyDescent="0.25">
      <c r="B7" s="8"/>
      <c r="U7" s="77"/>
    </row>
    <row r="8" spans="1:28" ht="10.5" customHeight="1" thickBot="1" x14ac:dyDescent="0.3">
      <c r="B8" s="9"/>
      <c r="U8" s="77"/>
    </row>
    <row r="9" spans="1:28" ht="24" customHeight="1" thickBot="1" x14ac:dyDescent="0.3">
      <c r="B9" s="9"/>
      <c r="C9" s="14" t="s">
        <v>14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3"/>
      <c r="U9" s="50"/>
    </row>
    <row r="10" spans="1:28" ht="8.25" customHeight="1" x14ac:dyDescent="0.25">
      <c r="B10" s="9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7"/>
      <c r="U10" s="18"/>
    </row>
    <row r="11" spans="1:28" x14ac:dyDescent="0.25">
      <c r="A11" s="12">
        <v>1</v>
      </c>
      <c r="B11" s="51"/>
      <c r="C11" s="51"/>
      <c r="E11" s="51"/>
      <c r="F11" s="51"/>
      <c r="G11" s="51"/>
      <c r="I11" s="62">
        <f>SUM(E11:G11)</f>
        <v>0</v>
      </c>
      <c r="K11" s="51"/>
      <c r="L11" s="51"/>
      <c r="M11" s="51"/>
      <c r="N11" s="51"/>
      <c r="O11" s="51"/>
      <c r="P11" s="51"/>
      <c r="Q11" s="51"/>
      <c r="S11" s="62">
        <f>SUM(K11:Q11)</f>
        <v>0</v>
      </c>
      <c r="U11" s="71">
        <f>+U9+I11-S11</f>
        <v>0</v>
      </c>
    </row>
    <row r="12" spans="1:28" x14ac:dyDescent="0.25">
      <c r="A12" s="12">
        <v>2</v>
      </c>
      <c r="B12" s="51"/>
      <c r="C12" s="51"/>
      <c r="E12" s="51"/>
      <c r="F12" s="51"/>
      <c r="G12" s="51"/>
      <c r="I12" s="62">
        <f t="shared" ref="I12:I62" si="0">SUM(E12:G12)</f>
        <v>0</v>
      </c>
      <c r="K12" s="51"/>
      <c r="L12" s="51"/>
      <c r="M12" s="51"/>
      <c r="N12" s="51"/>
      <c r="O12" s="51"/>
      <c r="P12" s="51"/>
      <c r="Q12" s="51"/>
      <c r="S12" s="62">
        <f>SUM(K12:Q12)</f>
        <v>0</v>
      </c>
      <c r="U12" s="71">
        <f>+U11+I12-S12</f>
        <v>0</v>
      </c>
    </row>
    <row r="13" spans="1:28" x14ac:dyDescent="0.25">
      <c r="A13" s="12">
        <v>3</v>
      </c>
      <c r="B13" s="51"/>
      <c r="C13" s="51"/>
      <c r="E13" s="51"/>
      <c r="F13" s="51"/>
      <c r="G13" s="51"/>
      <c r="I13" s="62">
        <f t="shared" si="0"/>
        <v>0</v>
      </c>
      <c r="K13" s="51"/>
      <c r="L13" s="51"/>
      <c r="M13" s="51"/>
      <c r="N13" s="51"/>
      <c r="O13" s="51"/>
      <c r="P13" s="51"/>
      <c r="Q13" s="51"/>
      <c r="S13" s="62">
        <f>SUM(K13:Q13)</f>
        <v>0</v>
      </c>
      <c r="U13" s="71">
        <f>+U12+I13-S13</f>
        <v>0</v>
      </c>
    </row>
    <row r="14" spans="1:28" x14ac:dyDescent="0.25">
      <c r="A14" s="12">
        <v>4</v>
      </c>
      <c r="B14" s="51"/>
      <c r="C14" s="51"/>
      <c r="E14" s="51"/>
      <c r="F14" s="51"/>
      <c r="G14" s="51"/>
      <c r="I14" s="62">
        <f t="shared" si="0"/>
        <v>0</v>
      </c>
      <c r="K14" s="51"/>
      <c r="L14" s="51"/>
      <c r="M14" s="51"/>
      <c r="N14" s="51"/>
      <c r="O14" s="51"/>
      <c r="P14" s="51"/>
      <c r="Q14" s="51"/>
      <c r="S14" s="62">
        <f>SUM(K14:Q14)</f>
        <v>0</v>
      </c>
      <c r="U14" s="71">
        <f>+U13+I14-S14</f>
        <v>0</v>
      </c>
    </row>
    <row r="15" spans="1:28" x14ac:dyDescent="0.25">
      <c r="A15" s="12">
        <v>5</v>
      </c>
      <c r="B15" s="51"/>
      <c r="C15" s="51"/>
      <c r="E15" s="51"/>
      <c r="F15" s="51"/>
      <c r="G15" s="51"/>
      <c r="I15" s="62">
        <f t="shared" si="0"/>
        <v>0</v>
      </c>
      <c r="K15" s="51"/>
      <c r="L15" s="51"/>
      <c r="M15" s="51"/>
      <c r="N15" s="51"/>
      <c r="O15" s="51"/>
      <c r="P15" s="51"/>
      <c r="Q15" s="51"/>
      <c r="S15" s="62">
        <f>SUM(K15:Q15)</f>
        <v>0</v>
      </c>
      <c r="U15" s="71">
        <f>+U14+I15-S15</f>
        <v>0</v>
      </c>
    </row>
    <row r="16" spans="1:28" x14ac:dyDescent="0.25">
      <c r="A16" s="12">
        <v>6</v>
      </c>
      <c r="B16" s="51"/>
      <c r="C16" s="51"/>
      <c r="E16" s="51"/>
      <c r="F16" s="51"/>
      <c r="G16" s="51"/>
      <c r="I16" s="62">
        <f t="shared" si="0"/>
        <v>0</v>
      </c>
      <c r="K16" s="51"/>
      <c r="L16" s="51"/>
      <c r="M16" s="51"/>
      <c r="N16" s="51"/>
      <c r="O16" s="51"/>
      <c r="P16" s="51"/>
      <c r="Q16" s="51"/>
      <c r="S16" s="62">
        <f>SUM(K16:Q16)</f>
        <v>0</v>
      </c>
      <c r="U16" s="71">
        <f>+U15+I16-S16</f>
        <v>0</v>
      </c>
    </row>
    <row r="17" spans="1:21" x14ac:dyDescent="0.25">
      <c r="A17" s="12">
        <v>7</v>
      </c>
      <c r="B17" s="51"/>
      <c r="C17" s="51"/>
      <c r="E17" s="51"/>
      <c r="F17" s="51"/>
      <c r="G17" s="51"/>
      <c r="I17" s="62">
        <f t="shared" si="0"/>
        <v>0</v>
      </c>
      <c r="K17" s="51"/>
      <c r="L17" s="51"/>
      <c r="M17" s="51"/>
      <c r="N17" s="51"/>
      <c r="O17" s="51"/>
      <c r="P17" s="51"/>
      <c r="Q17" s="51"/>
      <c r="S17" s="62">
        <f>SUM(K17:Q17)</f>
        <v>0</v>
      </c>
      <c r="U17" s="71">
        <f>+U16+I17-S17</f>
        <v>0</v>
      </c>
    </row>
    <row r="18" spans="1:21" x14ac:dyDescent="0.25">
      <c r="A18" s="12">
        <v>8</v>
      </c>
      <c r="B18" s="51"/>
      <c r="C18" s="51"/>
      <c r="E18" s="51"/>
      <c r="F18" s="51"/>
      <c r="G18" s="51"/>
      <c r="I18" s="62">
        <f t="shared" si="0"/>
        <v>0</v>
      </c>
      <c r="K18" s="51"/>
      <c r="L18" s="51"/>
      <c r="M18" s="51"/>
      <c r="N18" s="51"/>
      <c r="O18" s="51"/>
      <c r="P18" s="51"/>
      <c r="Q18" s="51"/>
      <c r="S18" s="62">
        <f>SUM(K18:Q18)</f>
        <v>0</v>
      </c>
      <c r="U18" s="71">
        <f>+U17+I18-S18</f>
        <v>0</v>
      </c>
    </row>
    <row r="19" spans="1:21" x14ac:dyDescent="0.25">
      <c r="A19" s="12">
        <v>9</v>
      </c>
      <c r="B19" s="51"/>
      <c r="C19" s="51"/>
      <c r="E19" s="51"/>
      <c r="F19" s="51"/>
      <c r="G19" s="51"/>
      <c r="I19" s="62">
        <f t="shared" si="0"/>
        <v>0</v>
      </c>
      <c r="K19" s="51"/>
      <c r="L19" s="51"/>
      <c r="M19" s="51"/>
      <c r="N19" s="51"/>
      <c r="O19" s="51"/>
      <c r="P19" s="51"/>
      <c r="Q19" s="51"/>
      <c r="S19" s="62">
        <f>SUM(K19:Q19)</f>
        <v>0</v>
      </c>
      <c r="U19" s="71">
        <f>+U18+I19-S19</f>
        <v>0</v>
      </c>
    </row>
    <row r="20" spans="1:21" x14ac:dyDescent="0.25">
      <c r="A20" s="12">
        <v>10</v>
      </c>
      <c r="B20" s="51"/>
      <c r="C20" s="51"/>
      <c r="E20" s="51"/>
      <c r="F20" s="51"/>
      <c r="G20" s="51"/>
      <c r="I20" s="62">
        <f t="shared" si="0"/>
        <v>0</v>
      </c>
      <c r="K20" s="51"/>
      <c r="L20" s="51"/>
      <c r="M20" s="51"/>
      <c r="N20" s="51"/>
      <c r="O20" s="51"/>
      <c r="P20" s="51"/>
      <c r="Q20" s="51"/>
      <c r="S20" s="62">
        <f>SUM(K20:Q20)</f>
        <v>0</v>
      </c>
      <c r="U20" s="71">
        <f>+U19+I20-S20</f>
        <v>0</v>
      </c>
    </row>
    <row r="21" spans="1:21" x14ac:dyDescent="0.25">
      <c r="A21" s="12">
        <v>11</v>
      </c>
      <c r="B21" s="51"/>
      <c r="C21" s="51"/>
      <c r="E21" s="51"/>
      <c r="F21" s="51"/>
      <c r="G21" s="51"/>
      <c r="I21" s="62">
        <f t="shared" si="0"/>
        <v>0</v>
      </c>
      <c r="K21" s="51"/>
      <c r="L21" s="51"/>
      <c r="M21" s="51"/>
      <c r="N21" s="51"/>
      <c r="O21" s="51"/>
      <c r="P21" s="51"/>
      <c r="Q21" s="51"/>
      <c r="S21" s="62">
        <f>SUM(K21:Q21)</f>
        <v>0</v>
      </c>
      <c r="U21" s="71">
        <f>+U20+I21-S21</f>
        <v>0</v>
      </c>
    </row>
    <row r="22" spans="1:21" x14ac:dyDescent="0.25">
      <c r="A22" s="12">
        <v>12</v>
      </c>
      <c r="B22" s="51"/>
      <c r="C22" s="51"/>
      <c r="E22" s="51"/>
      <c r="F22" s="51"/>
      <c r="G22" s="51"/>
      <c r="I22" s="62">
        <f t="shared" si="0"/>
        <v>0</v>
      </c>
      <c r="K22" s="51"/>
      <c r="L22" s="51"/>
      <c r="M22" s="51"/>
      <c r="N22" s="51"/>
      <c r="O22" s="51"/>
      <c r="P22" s="51"/>
      <c r="Q22" s="51"/>
      <c r="S22" s="62">
        <f>SUM(K22:Q22)</f>
        <v>0</v>
      </c>
      <c r="U22" s="71">
        <f>+U21+I22-S22</f>
        <v>0</v>
      </c>
    </row>
    <row r="23" spans="1:21" x14ac:dyDescent="0.25">
      <c r="A23" s="12">
        <v>13</v>
      </c>
      <c r="B23" s="51"/>
      <c r="C23" s="51"/>
      <c r="E23" s="51"/>
      <c r="F23" s="51"/>
      <c r="G23" s="51"/>
      <c r="I23" s="62">
        <f t="shared" si="0"/>
        <v>0</v>
      </c>
      <c r="K23" s="51"/>
      <c r="L23" s="51"/>
      <c r="M23" s="51"/>
      <c r="N23" s="51"/>
      <c r="O23" s="51"/>
      <c r="P23" s="51"/>
      <c r="Q23" s="51"/>
      <c r="S23" s="62">
        <f>SUM(K23:Q23)</f>
        <v>0</v>
      </c>
      <c r="U23" s="71">
        <f>+U22+I23-S23</f>
        <v>0</v>
      </c>
    </row>
    <row r="24" spans="1:21" x14ac:dyDescent="0.25">
      <c r="A24" s="12">
        <v>14</v>
      </c>
      <c r="B24" s="51"/>
      <c r="C24" s="51"/>
      <c r="E24" s="51"/>
      <c r="F24" s="51"/>
      <c r="G24" s="51"/>
      <c r="I24" s="62">
        <f t="shared" si="0"/>
        <v>0</v>
      </c>
      <c r="K24" s="51"/>
      <c r="L24" s="51"/>
      <c r="M24" s="51"/>
      <c r="N24" s="51"/>
      <c r="O24" s="51"/>
      <c r="P24" s="51"/>
      <c r="Q24" s="51"/>
      <c r="S24" s="62">
        <f>SUM(K24:Q24)</f>
        <v>0</v>
      </c>
      <c r="U24" s="71">
        <f>+U23+I24-S24</f>
        <v>0</v>
      </c>
    </row>
    <row r="25" spans="1:21" x14ac:dyDescent="0.25">
      <c r="A25" s="12">
        <v>15</v>
      </c>
      <c r="B25" s="51"/>
      <c r="C25" s="51"/>
      <c r="E25" s="51"/>
      <c r="F25" s="51"/>
      <c r="G25" s="51"/>
      <c r="I25" s="62">
        <f t="shared" si="0"/>
        <v>0</v>
      </c>
      <c r="K25" s="51"/>
      <c r="L25" s="51"/>
      <c r="M25" s="51"/>
      <c r="N25" s="51"/>
      <c r="O25" s="51"/>
      <c r="P25" s="51"/>
      <c r="Q25" s="51"/>
      <c r="S25" s="62">
        <f>SUM(K25:Q25)</f>
        <v>0</v>
      </c>
      <c r="U25" s="71">
        <f>+U24+I25-S25</f>
        <v>0</v>
      </c>
    </row>
    <row r="26" spans="1:21" x14ac:dyDescent="0.25">
      <c r="A26" s="12">
        <v>16</v>
      </c>
      <c r="B26" s="51"/>
      <c r="C26" s="51"/>
      <c r="E26" s="51"/>
      <c r="F26" s="51"/>
      <c r="G26" s="51"/>
      <c r="I26" s="62">
        <f t="shared" si="0"/>
        <v>0</v>
      </c>
      <c r="K26" s="51"/>
      <c r="L26" s="51"/>
      <c r="M26" s="51"/>
      <c r="N26" s="51"/>
      <c r="O26" s="51"/>
      <c r="P26" s="51"/>
      <c r="Q26" s="51"/>
      <c r="S26" s="62">
        <f>SUM(K26:Q26)</f>
        <v>0</v>
      </c>
      <c r="U26" s="71">
        <f>+U25+I26-S26</f>
        <v>0</v>
      </c>
    </row>
    <row r="27" spans="1:21" x14ac:dyDescent="0.25">
      <c r="A27" s="12">
        <v>17</v>
      </c>
      <c r="B27" s="51"/>
      <c r="C27" s="51"/>
      <c r="E27" s="51"/>
      <c r="F27" s="51"/>
      <c r="G27" s="51"/>
      <c r="I27" s="62">
        <f t="shared" si="0"/>
        <v>0</v>
      </c>
      <c r="K27" s="51"/>
      <c r="L27" s="51"/>
      <c r="M27" s="51"/>
      <c r="N27" s="51"/>
      <c r="O27" s="51"/>
      <c r="P27" s="51"/>
      <c r="Q27" s="51"/>
      <c r="S27" s="62">
        <f>SUM(K27:Q27)</f>
        <v>0</v>
      </c>
      <c r="U27" s="71">
        <f>+U26+I27-S27</f>
        <v>0</v>
      </c>
    </row>
    <row r="28" spans="1:21" x14ac:dyDescent="0.25">
      <c r="A28" s="12">
        <v>18</v>
      </c>
      <c r="B28" s="51"/>
      <c r="C28" s="51"/>
      <c r="E28" s="51"/>
      <c r="F28" s="51"/>
      <c r="G28" s="51"/>
      <c r="I28" s="62">
        <f t="shared" si="0"/>
        <v>0</v>
      </c>
      <c r="K28" s="51"/>
      <c r="L28" s="51"/>
      <c r="M28" s="51"/>
      <c r="N28" s="51"/>
      <c r="O28" s="51"/>
      <c r="P28" s="51"/>
      <c r="Q28" s="51"/>
      <c r="S28" s="62">
        <f>SUM(K28:Q28)</f>
        <v>0</v>
      </c>
      <c r="U28" s="71">
        <f>+U27+I28-S28</f>
        <v>0</v>
      </c>
    </row>
    <row r="29" spans="1:21" x14ac:dyDescent="0.25">
      <c r="A29" s="12">
        <v>19</v>
      </c>
      <c r="B29" s="51"/>
      <c r="C29" s="51"/>
      <c r="E29" s="51"/>
      <c r="F29" s="51"/>
      <c r="G29" s="51"/>
      <c r="I29" s="62">
        <f t="shared" si="0"/>
        <v>0</v>
      </c>
      <c r="K29" s="51"/>
      <c r="L29" s="51"/>
      <c r="M29" s="51"/>
      <c r="N29" s="51"/>
      <c r="O29" s="51"/>
      <c r="P29" s="51"/>
      <c r="Q29" s="51"/>
      <c r="S29" s="62">
        <f>SUM(K29:Q29)</f>
        <v>0</v>
      </c>
      <c r="U29" s="71">
        <f>+U28+I29-S29</f>
        <v>0</v>
      </c>
    </row>
    <row r="30" spans="1:21" x14ac:dyDescent="0.25">
      <c r="A30" s="12">
        <v>20</v>
      </c>
      <c r="B30" s="51"/>
      <c r="C30" s="51"/>
      <c r="E30" s="51"/>
      <c r="F30" s="51"/>
      <c r="G30" s="51"/>
      <c r="I30" s="62">
        <f t="shared" si="0"/>
        <v>0</v>
      </c>
      <c r="K30" s="51"/>
      <c r="L30" s="51"/>
      <c r="M30" s="51"/>
      <c r="N30" s="51"/>
      <c r="O30" s="51"/>
      <c r="P30" s="51"/>
      <c r="Q30" s="51"/>
      <c r="S30" s="62">
        <f>SUM(K30:Q30)</f>
        <v>0</v>
      </c>
      <c r="U30" s="71">
        <f>+U29+I30-S30</f>
        <v>0</v>
      </c>
    </row>
    <row r="31" spans="1:21" x14ac:dyDescent="0.25">
      <c r="A31" s="12">
        <v>21</v>
      </c>
      <c r="B31" s="51"/>
      <c r="C31" s="51"/>
      <c r="E31" s="51"/>
      <c r="F31" s="51"/>
      <c r="G31" s="51"/>
      <c r="I31" s="62">
        <f t="shared" si="0"/>
        <v>0</v>
      </c>
      <c r="K31" s="51"/>
      <c r="L31" s="51"/>
      <c r="M31" s="51"/>
      <c r="N31" s="51"/>
      <c r="O31" s="51"/>
      <c r="P31" s="51"/>
      <c r="Q31" s="51"/>
      <c r="S31" s="62">
        <f>SUM(K31:Q31)</f>
        <v>0</v>
      </c>
      <c r="U31" s="71">
        <f>+U30+I31-S31</f>
        <v>0</v>
      </c>
    </row>
    <row r="32" spans="1:21" x14ac:dyDescent="0.25">
      <c r="A32" s="12">
        <v>22</v>
      </c>
      <c r="B32" s="51"/>
      <c r="C32" s="51"/>
      <c r="E32" s="51"/>
      <c r="F32" s="51"/>
      <c r="G32" s="51"/>
      <c r="I32" s="62">
        <f t="shared" si="0"/>
        <v>0</v>
      </c>
      <c r="K32" s="51"/>
      <c r="L32" s="51"/>
      <c r="M32" s="51"/>
      <c r="N32" s="51"/>
      <c r="O32" s="51"/>
      <c r="P32" s="51"/>
      <c r="Q32" s="51"/>
      <c r="S32" s="62">
        <f>SUM(K32:Q32)</f>
        <v>0</v>
      </c>
      <c r="U32" s="71">
        <f>+U31+I32-S32</f>
        <v>0</v>
      </c>
    </row>
    <row r="33" spans="1:21" x14ac:dyDescent="0.25">
      <c r="A33" s="12">
        <v>23</v>
      </c>
      <c r="B33" s="51"/>
      <c r="C33" s="51"/>
      <c r="E33" s="51"/>
      <c r="F33" s="51"/>
      <c r="G33" s="51"/>
      <c r="I33" s="62">
        <f t="shared" si="0"/>
        <v>0</v>
      </c>
      <c r="K33" s="51"/>
      <c r="L33" s="51"/>
      <c r="M33" s="51"/>
      <c r="N33" s="51"/>
      <c r="O33" s="51"/>
      <c r="P33" s="51"/>
      <c r="Q33" s="51"/>
      <c r="S33" s="62">
        <f>SUM(K33:Q33)</f>
        <v>0</v>
      </c>
      <c r="U33" s="71">
        <f>+U32+I33-S33</f>
        <v>0</v>
      </c>
    </row>
    <row r="34" spans="1:21" x14ac:dyDescent="0.25">
      <c r="A34" s="12">
        <v>24</v>
      </c>
      <c r="B34" s="51"/>
      <c r="C34" s="51"/>
      <c r="E34" s="51"/>
      <c r="F34" s="51"/>
      <c r="G34" s="51"/>
      <c r="I34" s="62">
        <f t="shared" si="0"/>
        <v>0</v>
      </c>
      <c r="K34" s="51"/>
      <c r="L34" s="51"/>
      <c r="M34" s="51"/>
      <c r="N34" s="51"/>
      <c r="O34" s="51"/>
      <c r="P34" s="51"/>
      <c r="Q34" s="51"/>
      <c r="S34" s="62">
        <f>SUM(K34:Q34)</f>
        <v>0</v>
      </c>
      <c r="U34" s="71">
        <f>+U33+I34-S34</f>
        <v>0</v>
      </c>
    </row>
    <row r="35" spans="1:21" x14ac:dyDescent="0.25">
      <c r="A35" s="12">
        <v>25</v>
      </c>
      <c r="B35" s="51"/>
      <c r="C35" s="51"/>
      <c r="E35" s="51"/>
      <c r="F35" s="51"/>
      <c r="G35" s="51"/>
      <c r="I35" s="62">
        <f t="shared" si="0"/>
        <v>0</v>
      </c>
      <c r="K35" s="51"/>
      <c r="L35" s="51"/>
      <c r="M35" s="51"/>
      <c r="N35" s="51"/>
      <c r="O35" s="51"/>
      <c r="P35" s="51"/>
      <c r="Q35" s="51"/>
      <c r="S35" s="62">
        <f>SUM(K35:Q35)</f>
        <v>0</v>
      </c>
      <c r="U35" s="71">
        <f>+U34+I35-S35</f>
        <v>0</v>
      </c>
    </row>
    <row r="36" spans="1:21" x14ac:dyDescent="0.25">
      <c r="A36" s="12">
        <v>26</v>
      </c>
      <c r="B36" s="51"/>
      <c r="C36" s="51"/>
      <c r="E36" s="51"/>
      <c r="F36" s="51"/>
      <c r="G36" s="51"/>
      <c r="I36" s="62">
        <f t="shared" si="0"/>
        <v>0</v>
      </c>
      <c r="K36" s="51"/>
      <c r="L36" s="51"/>
      <c r="M36" s="51"/>
      <c r="N36" s="51"/>
      <c r="O36" s="51"/>
      <c r="P36" s="51"/>
      <c r="Q36" s="51"/>
      <c r="S36" s="62">
        <f>SUM(K36:Q36)</f>
        <v>0</v>
      </c>
      <c r="U36" s="71">
        <f>+U35+I36-S36</f>
        <v>0</v>
      </c>
    </row>
    <row r="37" spans="1:21" x14ac:dyDescent="0.25">
      <c r="A37" s="12">
        <v>27</v>
      </c>
      <c r="B37" s="51"/>
      <c r="C37" s="51"/>
      <c r="E37" s="51"/>
      <c r="F37" s="51"/>
      <c r="G37" s="51"/>
      <c r="I37" s="62">
        <f t="shared" si="0"/>
        <v>0</v>
      </c>
      <c r="K37" s="51"/>
      <c r="L37" s="51"/>
      <c r="M37" s="51"/>
      <c r="N37" s="51"/>
      <c r="O37" s="51"/>
      <c r="P37" s="51"/>
      <c r="Q37" s="51"/>
      <c r="S37" s="62">
        <f>SUM(K37:Q37)</f>
        <v>0</v>
      </c>
      <c r="U37" s="71">
        <f>+U36+I37-S37</f>
        <v>0</v>
      </c>
    </row>
    <row r="38" spans="1:21" x14ac:dyDescent="0.25">
      <c r="A38" s="12">
        <v>28</v>
      </c>
      <c r="B38" s="51"/>
      <c r="C38" s="51"/>
      <c r="E38" s="51"/>
      <c r="F38" s="51"/>
      <c r="G38" s="51"/>
      <c r="I38" s="62">
        <f t="shared" si="0"/>
        <v>0</v>
      </c>
      <c r="K38" s="51"/>
      <c r="L38" s="51"/>
      <c r="M38" s="51"/>
      <c r="N38" s="51"/>
      <c r="O38" s="51"/>
      <c r="P38" s="51"/>
      <c r="Q38" s="51"/>
      <c r="S38" s="62">
        <f>SUM(K38:Q38)</f>
        <v>0</v>
      </c>
      <c r="U38" s="71">
        <f>+U37+I38-S38</f>
        <v>0</v>
      </c>
    </row>
    <row r="39" spans="1:21" x14ac:dyDescent="0.25">
      <c r="A39" s="12">
        <v>29</v>
      </c>
      <c r="B39" s="51"/>
      <c r="C39" s="51"/>
      <c r="E39" s="51"/>
      <c r="F39" s="51"/>
      <c r="G39" s="51"/>
      <c r="I39" s="62">
        <f t="shared" si="0"/>
        <v>0</v>
      </c>
      <c r="K39" s="51"/>
      <c r="L39" s="51"/>
      <c r="M39" s="51"/>
      <c r="N39" s="51"/>
      <c r="O39" s="51"/>
      <c r="P39" s="51"/>
      <c r="Q39" s="51"/>
      <c r="S39" s="62">
        <f>SUM(K39:Q39)</f>
        <v>0</v>
      </c>
      <c r="U39" s="71">
        <f>+U38+I39-S39</f>
        <v>0</v>
      </c>
    </row>
    <row r="40" spans="1:21" x14ac:dyDescent="0.25">
      <c r="A40" s="12">
        <v>30</v>
      </c>
      <c r="B40" s="51"/>
      <c r="C40" s="51"/>
      <c r="E40" s="51"/>
      <c r="F40" s="51"/>
      <c r="G40" s="51"/>
      <c r="I40" s="62">
        <f t="shared" si="0"/>
        <v>0</v>
      </c>
      <c r="K40" s="51"/>
      <c r="L40" s="51"/>
      <c r="M40" s="51"/>
      <c r="N40" s="51"/>
      <c r="O40" s="51"/>
      <c r="P40" s="51"/>
      <c r="Q40" s="51"/>
      <c r="S40" s="62">
        <f>SUM(K40:Q40)</f>
        <v>0</v>
      </c>
      <c r="U40" s="71">
        <f>+U39+I40-S40</f>
        <v>0</v>
      </c>
    </row>
    <row r="41" spans="1:21" x14ac:dyDescent="0.25">
      <c r="A41" s="12">
        <v>31</v>
      </c>
      <c r="B41" s="51"/>
      <c r="C41" s="51"/>
      <c r="E41" s="51"/>
      <c r="F41" s="51"/>
      <c r="G41" s="51"/>
      <c r="I41" s="62">
        <f t="shared" si="0"/>
        <v>0</v>
      </c>
      <c r="K41" s="51"/>
      <c r="L41" s="51"/>
      <c r="M41" s="51"/>
      <c r="N41" s="51"/>
      <c r="O41" s="51"/>
      <c r="P41" s="51"/>
      <c r="Q41" s="51"/>
      <c r="S41" s="62">
        <f>SUM(K41:Q41)</f>
        <v>0</v>
      </c>
      <c r="U41" s="71">
        <f>+U40+I41-S41</f>
        <v>0</v>
      </c>
    </row>
    <row r="42" spans="1:21" x14ac:dyDescent="0.25">
      <c r="A42" s="12">
        <v>32</v>
      </c>
      <c r="B42" s="51"/>
      <c r="C42" s="51"/>
      <c r="E42" s="51"/>
      <c r="F42" s="51"/>
      <c r="G42" s="51"/>
      <c r="I42" s="62">
        <f t="shared" si="0"/>
        <v>0</v>
      </c>
      <c r="K42" s="51"/>
      <c r="L42" s="51"/>
      <c r="M42" s="51"/>
      <c r="N42" s="51"/>
      <c r="O42" s="51"/>
      <c r="P42" s="51"/>
      <c r="Q42" s="51"/>
      <c r="S42" s="62">
        <f>SUM(K42:Q42)</f>
        <v>0</v>
      </c>
      <c r="U42" s="71">
        <f>+U41+I42-S42</f>
        <v>0</v>
      </c>
    </row>
    <row r="43" spans="1:21" x14ac:dyDescent="0.25">
      <c r="A43" s="12">
        <v>33</v>
      </c>
      <c r="B43" s="51"/>
      <c r="C43" s="51"/>
      <c r="E43" s="51"/>
      <c r="F43" s="51"/>
      <c r="G43" s="51"/>
      <c r="I43" s="62">
        <f t="shared" si="0"/>
        <v>0</v>
      </c>
      <c r="K43" s="51"/>
      <c r="L43" s="51"/>
      <c r="M43" s="51"/>
      <c r="N43" s="51"/>
      <c r="O43" s="51"/>
      <c r="P43" s="51"/>
      <c r="Q43" s="51"/>
      <c r="S43" s="62">
        <f>SUM(K43:Q43)</f>
        <v>0</v>
      </c>
      <c r="U43" s="71">
        <f>+U42+I43-S43</f>
        <v>0</v>
      </c>
    </row>
    <row r="44" spans="1:21" x14ac:dyDescent="0.25">
      <c r="A44" s="12">
        <v>34</v>
      </c>
      <c r="B44" s="51"/>
      <c r="C44" s="51"/>
      <c r="E44" s="51"/>
      <c r="F44" s="51"/>
      <c r="G44" s="51"/>
      <c r="I44" s="62">
        <f t="shared" si="0"/>
        <v>0</v>
      </c>
      <c r="K44" s="51"/>
      <c r="L44" s="51"/>
      <c r="M44" s="51"/>
      <c r="N44" s="51"/>
      <c r="O44" s="51"/>
      <c r="P44" s="51"/>
      <c r="Q44" s="51"/>
      <c r="S44" s="62">
        <f>SUM(K44:Q44)</f>
        <v>0</v>
      </c>
      <c r="U44" s="71">
        <f>+U43+I44-S44</f>
        <v>0</v>
      </c>
    </row>
    <row r="45" spans="1:21" x14ac:dyDescent="0.25">
      <c r="A45" s="12">
        <v>35</v>
      </c>
      <c r="B45" s="51"/>
      <c r="C45" s="51"/>
      <c r="E45" s="51"/>
      <c r="F45" s="51"/>
      <c r="G45" s="51"/>
      <c r="I45" s="62">
        <f t="shared" si="0"/>
        <v>0</v>
      </c>
      <c r="K45" s="51"/>
      <c r="L45" s="51"/>
      <c r="M45" s="51"/>
      <c r="N45" s="51"/>
      <c r="O45" s="51"/>
      <c r="P45" s="51"/>
      <c r="Q45" s="51"/>
      <c r="S45" s="62">
        <f>SUM(K45:Q45)</f>
        <v>0</v>
      </c>
      <c r="U45" s="71">
        <f>+U44+I45-S45</f>
        <v>0</v>
      </c>
    </row>
    <row r="46" spans="1:21" x14ac:dyDescent="0.25">
      <c r="A46" s="12">
        <v>36</v>
      </c>
      <c r="B46" s="51"/>
      <c r="C46" s="51"/>
      <c r="E46" s="51"/>
      <c r="F46" s="51"/>
      <c r="G46" s="51"/>
      <c r="I46" s="62">
        <f t="shared" si="0"/>
        <v>0</v>
      </c>
      <c r="K46" s="51"/>
      <c r="L46" s="51"/>
      <c r="M46" s="51"/>
      <c r="N46" s="51"/>
      <c r="O46" s="51"/>
      <c r="P46" s="51"/>
      <c r="Q46" s="51"/>
      <c r="S46" s="62">
        <f>SUM(K46:Q46)</f>
        <v>0</v>
      </c>
      <c r="U46" s="71">
        <f>+U45+I46-S46</f>
        <v>0</v>
      </c>
    </row>
    <row r="47" spans="1:21" x14ac:dyDescent="0.25">
      <c r="A47" s="12">
        <v>37</v>
      </c>
      <c r="B47" s="51"/>
      <c r="C47" s="51"/>
      <c r="E47" s="51"/>
      <c r="F47" s="51"/>
      <c r="G47" s="51"/>
      <c r="I47" s="62">
        <f t="shared" si="0"/>
        <v>0</v>
      </c>
      <c r="K47" s="51"/>
      <c r="L47" s="51"/>
      <c r="M47" s="51"/>
      <c r="N47" s="51"/>
      <c r="O47" s="51"/>
      <c r="P47" s="51"/>
      <c r="Q47" s="51"/>
      <c r="S47" s="62">
        <f>SUM(K47:Q47)</f>
        <v>0</v>
      </c>
      <c r="U47" s="71">
        <f>+U46+I47-S47</f>
        <v>0</v>
      </c>
    </row>
    <row r="48" spans="1:21" x14ac:dyDescent="0.25">
      <c r="A48" s="12">
        <v>38</v>
      </c>
      <c r="B48" s="51"/>
      <c r="C48" s="51"/>
      <c r="E48" s="51"/>
      <c r="F48" s="51"/>
      <c r="G48" s="51"/>
      <c r="I48" s="62">
        <f t="shared" si="0"/>
        <v>0</v>
      </c>
      <c r="K48" s="51"/>
      <c r="L48" s="51"/>
      <c r="M48" s="51"/>
      <c r="N48" s="51"/>
      <c r="O48" s="51"/>
      <c r="P48" s="51"/>
      <c r="Q48" s="51"/>
      <c r="S48" s="62">
        <f>SUM(K48:Q48)</f>
        <v>0</v>
      </c>
      <c r="U48" s="71">
        <f>+U47+I48-S48</f>
        <v>0</v>
      </c>
    </row>
    <row r="49" spans="1:21" x14ac:dyDescent="0.25">
      <c r="A49" s="12">
        <v>39</v>
      </c>
      <c r="B49" s="51"/>
      <c r="C49" s="51"/>
      <c r="E49" s="51"/>
      <c r="F49" s="51"/>
      <c r="G49" s="51"/>
      <c r="I49" s="62">
        <f t="shared" si="0"/>
        <v>0</v>
      </c>
      <c r="K49" s="51"/>
      <c r="L49" s="51"/>
      <c r="M49" s="51"/>
      <c r="N49" s="51"/>
      <c r="O49" s="51"/>
      <c r="P49" s="51"/>
      <c r="Q49" s="51"/>
      <c r="S49" s="62">
        <f>SUM(K49:Q49)</f>
        <v>0</v>
      </c>
      <c r="U49" s="71">
        <f>+U48+I49-S49</f>
        <v>0</v>
      </c>
    </row>
    <row r="50" spans="1:21" x14ac:dyDescent="0.25">
      <c r="A50" s="12">
        <v>40</v>
      </c>
      <c r="B50" s="51"/>
      <c r="C50" s="51"/>
      <c r="E50" s="51"/>
      <c r="F50" s="51"/>
      <c r="G50" s="51"/>
      <c r="I50" s="62">
        <f t="shared" si="0"/>
        <v>0</v>
      </c>
      <c r="K50" s="51"/>
      <c r="L50" s="51"/>
      <c r="M50" s="51"/>
      <c r="N50" s="51"/>
      <c r="O50" s="51"/>
      <c r="P50" s="51"/>
      <c r="Q50" s="51"/>
      <c r="S50" s="62">
        <f>SUM(K50:Q50)</f>
        <v>0</v>
      </c>
      <c r="U50" s="71">
        <f>+U49+I50-S50</f>
        <v>0</v>
      </c>
    </row>
    <row r="51" spans="1:21" x14ac:dyDescent="0.25">
      <c r="A51" s="12">
        <f>+A50+1</f>
        <v>41</v>
      </c>
      <c r="B51" s="51"/>
      <c r="C51" s="51"/>
      <c r="E51" s="51"/>
      <c r="F51" s="51"/>
      <c r="G51" s="51"/>
      <c r="I51" s="62">
        <f t="shared" si="0"/>
        <v>0</v>
      </c>
      <c r="K51" s="51"/>
      <c r="L51" s="51"/>
      <c r="M51" s="51"/>
      <c r="N51" s="51"/>
      <c r="O51" s="51"/>
      <c r="P51" s="51"/>
      <c r="Q51" s="51"/>
      <c r="S51" s="62">
        <f>SUM(K51:Q51)</f>
        <v>0</v>
      </c>
      <c r="U51" s="71">
        <f>+U50+I51-S51</f>
        <v>0</v>
      </c>
    </row>
    <row r="52" spans="1:21" x14ac:dyDescent="0.25">
      <c r="A52" s="12">
        <f t="shared" ref="A52:A62" si="1">+A51+1</f>
        <v>42</v>
      </c>
      <c r="B52" s="51"/>
      <c r="C52" s="51"/>
      <c r="E52" s="51"/>
      <c r="F52" s="51"/>
      <c r="G52" s="51"/>
      <c r="I52" s="62">
        <f t="shared" si="0"/>
        <v>0</v>
      </c>
      <c r="K52" s="51"/>
      <c r="L52" s="51"/>
      <c r="M52" s="51"/>
      <c r="N52" s="51"/>
      <c r="O52" s="51"/>
      <c r="P52" s="51"/>
      <c r="Q52" s="51"/>
      <c r="S52" s="62">
        <f>SUM(K52:Q52)</f>
        <v>0</v>
      </c>
      <c r="U52" s="71">
        <f>+U51+I52-S52</f>
        <v>0</v>
      </c>
    </row>
    <row r="53" spans="1:21" x14ac:dyDescent="0.25">
      <c r="A53" s="12">
        <f t="shared" si="1"/>
        <v>43</v>
      </c>
      <c r="B53" s="51"/>
      <c r="C53" s="51"/>
      <c r="E53" s="51"/>
      <c r="F53" s="51"/>
      <c r="G53" s="51"/>
      <c r="I53" s="62">
        <f t="shared" si="0"/>
        <v>0</v>
      </c>
      <c r="K53" s="51"/>
      <c r="L53" s="51"/>
      <c r="M53" s="51"/>
      <c r="N53" s="51"/>
      <c r="O53" s="51"/>
      <c r="P53" s="51"/>
      <c r="Q53" s="51"/>
      <c r="S53" s="62">
        <f>SUM(K53:Q53)</f>
        <v>0</v>
      </c>
      <c r="U53" s="71">
        <f>+U52+I53-S53</f>
        <v>0</v>
      </c>
    </row>
    <row r="54" spans="1:21" x14ac:dyDescent="0.25">
      <c r="A54" s="12">
        <f t="shared" si="1"/>
        <v>44</v>
      </c>
      <c r="B54" s="51"/>
      <c r="C54" s="51"/>
      <c r="E54" s="51"/>
      <c r="F54" s="51"/>
      <c r="G54" s="51"/>
      <c r="I54" s="62">
        <f t="shared" si="0"/>
        <v>0</v>
      </c>
      <c r="K54" s="51"/>
      <c r="L54" s="51"/>
      <c r="M54" s="51"/>
      <c r="N54" s="51"/>
      <c r="O54" s="51"/>
      <c r="P54" s="51"/>
      <c r="Q54" s="51"/>
      <c r="S54" s="62">
        <f>SUM(K54:Q54)</f>
        <v>0</v>
      </c>
      <c r="U54" s="71">
        <f>+U53+I54-S54</f>
        <v>0</v>
      </c>
    </row>
    <row r="55" spans="1:21" x14ac:dyDescent="0.25">
      <c r="A55" s="12">
        <f t="shared" si="1"/>
        <v>45</v>
      </c>
      <c r="B55" s="51"/>
      <c r="C55" s="51"/>
      <c r="E55" s="51"/>
      <c r="F55" s="51"/>
      <c r="G55" s="51"/>
      <c r="I55" s="62">
        <f t="shared" si="0"/>
        <v>0</v>
      </c>
      <c r="K55" s="51"/>
      <c r="L55" s="51"/>
      <c r="M55" s="51"/>
      <c r="N55" s="51"/>
      <c r="O55" s="51"/>
      <c r="P55" s="51"/>
      <c r="Q55" s="51"/>
      <c r="S55" s="62">
        <f>SUM(K55:Q55)</f>
        <v>0</v>
      </c>
      <c r="U55" s="71">
        <f>+U54+I55-S55</f>
        <v>0</v>
      </c>
    </row>
    <row r="56" spans="1:21" x14ac:dyDescent="0.25">
      <c r="A56" s="12">
        <f t="shared" si="1"/>
        <v>46</v>
      </c>
      <c r="B56" s="51"/>
      <c r="C56" s="51"/>
      <c r="E56" s="51"/>
      <c r="F56" s="51"/>
      <c r="G56" s="51"/>
      <c r="I56" s="62">
        <f t="shared" si="0"/>
        <v>0</v>
      </c>
      <c r="K56" s="51"/>
      <c r="L56" s="51"/>
      <c r="M56" s="51"/>
      <c r="N56" s="51"/>
      <c r="O56" s="51"/>
      <c r="P56" s="51"/>
      <c r="Q56" s="51"/>
      <c r="S56" s="62">
        <f>SUM(K56:Q56)</f>
        <v>0</v>
      </c>
      <c r="U56" s="71">
        <f>+U55+I56-S56</f>
        <v>0</v>
      </c>
    </row>
    <row r="57" spans="1:21" x14ac:dyDescent="0.25">
      <c r="A57" s="12">
        <f t="shared" si="1"/>
        <v>47</v>
      </c>
      <c r="B57" s="51"/>
      <c r="C57" s="51"/>
      <c r="E57" s="51"/>
      <c r="F57" s="51"/>
      <c r="G57" s="51"/>
      <c r="I57" s="62">
        <f t="shared" si="0"/>
        <v>0</v>
      </c>
      <c r="K57" s="51"/>
      <c r="L57" s="51"/>
      <c r="M57" s="51"/>
      <c r="N57" s="51"/>
      <c r="O57" s="51"/>
      <c r="P57" s="51"/>
      <c r="Q57" s="51"/>
      <c r="S57" s="62">
        <f>SUM(K57:Q57)</f>
        <v>0</v>
      </c>
      <c r="U57" s="71">
        <f>+U56+I57-S57</f>
        <v>0</v>
      </c>
    </row>
    <row r="58" spans="1:21" x14ac:dyDescent="0.25">
      <c r="A58" s="12">
        <f t="shared" si="1"/>
        <v>48</v>
      </c>
      <c r="B58" s="51"/>
      <c r="C58" s="51"/>
      <c r="E58" s="51"/>
      <c r="F58" s="51"/>
      <c r="G58" s="51"/>
      <c r="I58" s="62">
        <f t="shared" si="0"/>
        <v>0</v>
      </c>
      <c r="K58" s="51"/>
      <c r="L58" s="51"/>
      <c r="M58" s="51"/>
      <c r="N58" s="51"/>
      <c r="O58" s="51"/>
      <c r="P58" s="51"/>
      <c r="Q58" s="51"/>
      <c r="S58" s="62">
        <f>SUM(K58:Q58)</f>
        <v>0</v>
      </c>
      <c r="U58" s="71">
        <f>+U57+I58-S58</f>
        <v>0</v>
      </c>
    </row>
    <row r="59" spans="1:21" x14ac:dyDescent="0.25">
      <c r="A59" s="12">
        <f t="shared" si="1"/>
        <v>49</v>
      </c>
      <c r="B59" s="51"/>
      <c r="C59" s="51"/>
      <c r="E59" s="51"/>
      <c r="F59" s="51"/>
      <c r="G59" s="51"/>
      <c r="I59" s="62">
        <f t="shared" si="0"/>
        <v>0</v>
      </c>
      <c r="K59" s="51"/>
      <c r="L59" s="51"/>
      <c r="M59" s="51"/>
      <c r="N59" s="51"/>
      <c r="O59" s="51"/>
      <c r="P59" s="51"/>
      <c r="Q59" s="51"/>
      <c r="S59" s="62">
        <f>SUM(K59:Q59)</f>
        <v>0</v>
      </c>
      <c r="U59" s="71">
        <f>+U58+I59-S59</f>
        <v>0</v>
      </c>
    </row>
    <row r="60" spans="1:21" x14ac:dyDescent="0.25">
      <c r="A60" s="12">
        <f t="shared" si="1"/>
        <v>50</v>
      </c>
      <c r="B60" s="51"/>
      <c r="C60" s="51"/>
      <c r="E60" s="51"/>
      <c r="F60" s="51"/>
      <c r="G60" s="51"/>
      <c r="I60" s="62">
        <f t="shared" si="0"/>
        <v>0</v>
      </c>
      <c r="K60" s="51"/>
      <c r="L60" s="51"/>
      <c r="M60" s="51"/>
      <c r="N60" s="51"/>
      <c r="O60" s="51"/>
      <c r="P60" s="51"/>
      <c r="Q60" s="51"/>
      <c r="S60" s="62">
        <f>SUM(K60:Q60)</f>
        <v>0</v>
      </c>
      <c r="U60" s="71">
        <f>+U59+I60-S60</f>
        <v>0</v>
      </c>
    </row>
    <row r="61" spans="1:21" x14ac:dyDescent="0.25">
      <c r="A61" s="12">
        <f t="shared" si="1"/>
        <v>51</v>
      </c>
      <c r="B61" s="51"/>
      <c r="C61" s="51"/>
      <c r="E61" s="51"/>
      <c r="F61" s="51"/>
      <c r="G61" s="51"/>
      <c r="I61" s="62">
        <f t="shared" si="0"/>
        <v>0</v>
      </c>
      <c r="K61" s="51"/>
      <c r="L61" s="51"/>
      <c r="M61" s="51"/>
      <c r="N61" s="51"/>
      <c r="O61" s="51"/>
      <c r="P61" s="51"/>
      <c r="Q61" s="51"/>
      <c r="S61" s="62">
        <f>SUM(K61:Q61)</f>
        <v>0</v>
      </c>
      <c r="U61" s="71">
        <f>+U60+I61-S61</f>
        <v>0</v>
      </c>
    </row>
    <row r="62" spans="1:21" x14ac:dyDescent="0.25">
      <c r="A62" s="12">
        <f t="shared" si="1"/>
        <v>52</v>
      </c>
      <c r="B62" s="51"/>
      <c r="C62" s="51"/>
      <c r="E62" s="51"/>
      <c r="F62" s="51"/>
      <c r="G62" s="51"/>
      <c r="I62" s="62">
        <f t="shared" si="0"/>
        <v>0</v>
      </c>
      <c r="K62" s="51"/>
      <c r="L62" s="51"/>
      <c r="M62" s="51"/>
      <c r="N62" s="51"/>
      <c r="O62" s="51"/>
      <c r="P62" s="51"/>
      <c r="Q62" s="51"/>
      <c r="S62" s="62">
        <f>SUM(K62:Q62)</f>
        <v>0</v>
      </c>
      <c r="U62" s="72">
        <f>+U61+I62-S62</f>
        <v>0</v>
      </c>
    </row>
    <row r="63" spans="1:21" ht="15.75" thickBot="1" x14ac:dyDescent="0.3">
      <c r="B63" s="9"/>
      <c r="I63" s="65"/>
      <c r="S63" s="65"/>
      <c r="U63" s="73"/>
    </row>
    <row r="64" spans="1:21" ht="24.75" customHeight="1" thickBot="1" x14ac:dyDescent="0.3">
      <c r="B64" s="9"/>
      <c r="C64" s="66" t="s">
        <v>17</v>
      </c>
      <c r="D64" s="67"/>
      <c r="E64" s="68">
        <f>SUM(E9:E63)</f>
        <v>0</v>
      </c>
      <c r="F64" s="68">
        <f>SUM(F9:F63)</f>
        <v>0</v>
      </c>
      <c r="G64" s="68">
        <f t="shared" ref="G64:I64" si="2">SUM(G9:G63)</f>
        <v>0</v>
      </c>
      <c r="H64" s="68"/>
      <c r="I64" s="69">
        <f t="shared" si="2"/>
        <v>0</v>
      </c>
      <c r="J64" s="68"/>
      <c r="K64" s="68">
        <f t="shared" ref="K64:S64" si="3">SUM(K9:K63)</f>
        <v>0</v>
      </c>
      <c r="L64" s="68"/>
      <c r="M64" s="68">
        <f t="shared" si="3"/>
        <v>0</v>
      </c>
      <c r="N64" s="68">
        <f t="shared" si="3"/>
        <v>0</v>
      </c>
      <c r="O64" s="68">
        <f t="shared" si="3"/>
        <v>0</v>
      </c>
      <c r="P64" s="68">
        <f t="shared" si="3"/>
        <v>0</v>
      </c>
      <c r="Q64" s="68">
        <f t="shared" si="3"/>
        <v>0</v>
      </c>
      <c r="R64" s="68">
        <f t="shared" si="3"/>
        <v>0</v>
      </c>
      <c r="S64" s="69">
        <f t="shared" si="3"/>
        <v>0</v>
      </c>
      <c r="T64" s="67"/>
      <c r="U64" s="70">
        <f>IF((U9+I64-S64)=U62,U9+I64-S64,0)</f>
        <v>0</v>
      </c>
    </row>
    <row r="65" spans="2:21" ht="7.5" customHeight="1" x14ac:dyDescent="0.25">
      <c r="B65" s="10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7"/>
    </row>
    <row r="67" spans="2:21" x14ac:dyDescent="0.25">
      <c r="C67" s="12" t="str">
        <f>+G1</f>
        <v xml:space="preserve">TROOP  #  </v>
      </c>
      <c r="E67" s="61">
        <f>+K1</f>
        <v>0</v>
      </c>
    </row>
    <row r="68" spans="2:21" ht="6.75" customHeight="1" x14ac:dyDescent="0.25">
      <c r="C68" s="12"/>
    </row>
    <row r="69" spans="2:21" x14ac:dyDescent="0.25">
      <c r="C69" s="12" t="s">
        <v>76</v>
      </c>
      <c r="E69" s="61">
        <f>+N3</f>
        <v>0</v>
      </c>
    </row>
    <row r="70" spans="2:21" ht="12.75" customHeight="1" x14ac:dyDescent="0.25"/>
    <row r="71" spans="2:21" ht="12.75" customHeight="1" x14ac:dyDescent="0.25"/>
    <row r="72" spans="2:21" ht="18.75" x14ac:dyDescent="0.3">
      <c r="C72" s="44" t="s">
        <v>4</v>
      </c>
    </row>
    <row r="73" spans="2:21" x14ac:dyDescent="0.25">
      <c r="C73" t="str">
        <f>+F6</f>
        <v>Fall Product / Cookie Sales</v>
      </c>
      <c r="F73" s="62">
        <f>+F64</f>
        <v>0</v>
      </c>
      <c r="G73" s="63" t="e">
        <f>+F73/F$77</f>
        <v>#DIV/0!</v>
      </c>
    </row>
    <row r="74" spans="2:21" x14ac:dyDescent="0.25">
      <c r="C74" t="str">
        <f>+G6</f>
        <v>Other Funds / Sponsorship</v>
      </c>
      <c r="F74" s="62">
        <f>+G64</f>
        <v>0</v>
      </c>
      <c r="G74" s="63" t="e">
        <f>+F74/F$77</f>
        <v>#DIV/0!</v>
      </c>
    </row>
    <row r="75" spans="2:21" ht="6" customHeight="1" x14ac:dyDescent="0.25">
      <c r="F75" s="64"/>
      <c r="G75" s="64"/>
    </row>
    <row r="76" spans="2:21" ht="6" customHeight="1" x14ac:dyDescent="0.25">
      <c r="F76" s="65"/>
      <c r="G76" s="65"/>
    </row>
    <row r="77" spans="2:21" x14ac:dyDescent="0.25">
      <c r="C77" s="12" t="s">
        <v>75</v>
      </c>
      <c r="F77" s="62">
        <f>+I64</f>
        <v>0</v>
      </c>
      <c r="G77" s="63" t="e">
        <f>+F77/F$77</f>
        <v>#DIV/0!</v>
      </c>
    </row>
    <row r="78" spans="2:21" ht="9.75" customHeight="1" x14ac:dyDescent="0.25">
      <c r="F78" s="65"/>
      <c r="G78" s="63"/>
    </row>
    <row r="79" spans="2:21" ht="9.75" customHeight="1" x14ac:dyDescent="0.25">
      <c r="F79" s="65"/>
      <c r="G79" s="63"/>
    </row>
    <row r="80" spans="2:21" ht="18.75" x14ac:dyDescent="0.3">
      <c r="C80" s="44" t="s">
        <v>6</v>
      </c>
      <c r="F80" s="65"/>
      <c r="G80" s="63"/>
    </row>
    <row r="81" spans="3:7" x14ac:dyDescent="0.25">
      <c r="C81" t="str">
        <f>+K6</f>
        <v>Program Events</v>
      </c>
      <c r="F81" s="62">
        <f>+K64</f>
        <v>0</v>
      </c>
      <c r="G81" s="63" t="e">
        <f t="shared" ref="G81:G86" si="4">+F81/F$77</f>
        <v>#DIV/0!</v>
      </c>
    </row>
    <row r="82" spans="3:7" x14ac:dyDescent="0.25">
      <c r="C82" t="str">
        <f>+M6</f>
        <v>Badges &amp; Pin Awards</v>
      </c>
      <c r="F82" s="62">
        <f>+M64</f>
        <v>0</v>
      </c>
      <c r="G82" s="63" t="e">
        <f t="shared" si="4"/>
        <v>#DIV/0!</v>
      </c>
    </row>
    <row r="83" spans="3:7" x14ac:dyDescent="0.25">
      <c r="C83" t="str">
        <f>+N6</f>
        <v>Supplies</v>
      </c>
      <c r="F83" s="62">
        <f>+N64</f>
        <v>0</v>
      </c>
      <c r="G83" s="63" t="e">
        <f t="shared" si="4"/>
        <v>#DIV/0!</v>
      </c>
    </row>
    <row r="84" spans="3:7" x14ac:dyDescent="0.25">
      <c r="C84" t="str">
        <f>+O6</f>
        <v>Service Projects</v>
      </c>
      <c r="F84" s="62">
        <f>+O64</f>
        <v>0</v>
      </c>
      <c r="G84" s="63" t="e">
        <f t="shared" si="4"/>
        <v>#DIV/0!</v>
      </c>
    </row>
    <row r="85" spans="3:7" x14ac:dyDescent="0.25">
      <c r="C85" t="str">
        <f>+P6</f>
        <v>Trips &amp; Fees</v>
      </c>
      <c r="F85" s="62">
        <f>+P64</f>
        <v>0</v>
      </c>
      <c r="G85" s="63" t="e">
        <f t="shared" si="4"/>
        <v>#DIV/0!</v>
      </c>
    </row>
    <row r="86" spans="3:7" x14ac:dyDescent="0.25">
      <c r="C86" t="str">
        <f>+Q6</f>
        <v>Copies / Postage</v>
      </c>
      <c r="F86" s="62">
        <f>+Q64</f>
        <v>0</v>
      </c>
      <c r="G86" s="63" t="e">
        <f t="shared" si="4"/>
        <v>#DIV/0!</v>
      </c>
    </row>
    <row r="87" spans="3:7" ht="6" customHeight="1" x14ac:dyDescent="0.25">
      <c r="F87" s="64"/>
      <c r="G87" s="64"/>
    </row>
    <row r="88" spans="3:7" ht="6" customHeight="1" x14ac:dyDescent="0.25">
      <c r="F88" s="65"/>
      <c r="G88" s="65"/>
    </row>
    <row r="89" spans="3:7" x14ac:dyDescent="0.25">
      <c r="C89" s="12" t="s">
        <v>75</v>
      </c>
      <c r="F89" s="62">
        <f>+S64</f>
        <v>0</v>
      </c>
      <c r="G89" s="63" t="e">
        <f>+F89/F$77</f>
        <v>#DIV/0!</v>
      </c>
    </row>
    <row r="90" spans="3:7" x14ac:dyDescent="0.25">
      <c r="F90" s="64"/>
      <c r="G90" s="64"/>
    </row>
    <row r="91" spans="3:7" ht="6" customHeight="1" x14ac:dyDescent="0.25">
      <c r="F91" s="65"/>
      <c r="G91" s="65"/>
    </row>
    <row r="92" spans="3:7" ht="18.75" x14ac:dyDescent="0.3">
      <c r="C92" s="44" t="s">
        <v>78</v>
      </c>
      <c r="F92" s="62">
        <f>+F77-F89</f>
        <v>0</v>
      </c>
      <c r="G92" s="63" t="e">
        <f>+F92/F$77</f>
        <v>#DIV/0!</v>
      </c>
    </row>
    <row r="93" spans="3:7" ht="18" customHeight="1" x14ac:dyDescent="0.25">
      <c r="F93" s="65"/>
      <c r="G93" s="65"/>
    </row>
    <row r="94" spans="3:7" x14ac:dyDescent="0.25">
      <c r="C94" t="s">
        <v>77</v>
      </c>
      <c r="F94" s="62">
        <f>+U9</f>
        <v>0</v>
      </c>
      <c r="G94" s="65"/>
    </row>
    <row r="95" spans="3:7" ht="8.25" customHeight="1" x14ac:dyDescent="0.25">
      <c r="F95" s="65"/>
      <c r="G95" s="65"/>
    </row>
    <row r="96" spans="3:7" ht="8.25" customHeight="1" x14ac:dyDescent="0.25">
      <c r="F96" s="65"/>
      <c r="G96" s="65"/>
    </row>
    <row r="97" spans="3:7" ht="18.75" x14ac:dyDescent="0.3">
      <c r="C97" s="19" t="s">
        <v>79</v>
      </c>
      <c r="F97" s="62">
        <f>+F92+F94</f>
        <v>0</v>
      </c>
      <c r="G97" s="65"/>
    </row>
  </sheetData>
  <customSheetViews>
    <customSheetView guid="{88176D30-6E16-4223-A8E7-895898BE0B1F}" scale="90" showPageBreaks="1" topLeftCell="A54">
      <selection activeCell="A70" sqref="A1:T70"/>
      <pageMargins left="0.7" right="0.7" top="0.75" bottom="0.75" header="0.3" footer="0.3"/>
      <pageSetup orientation="portrait" r:id="rId1"/>
    </customSheetView>
  </customSheetViews>
  <mergeCells count="3">
    <mergeCell ref="K5:S5"/>
    <mergeCell ref="Q1:S1"/>
    <mergeCell ref="E5:I5"/>
  </mergeCells>
  <printOptions horizontalCentered="1"/>
  <pageMargins left="0" right="0" top="0.25" bottom="0.25" header="0.3" footer="0.3"/>
  <pageSetup scale="75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G4" sqref="G4"/>
    </sheetView>
  </sheetViews>
  <sheetFormatPr defaultRowHeight="15" x14ac:dyDescent="0.25"/>
  <cols>
    <col min="1" max="10" width="9.5703125" customWidth="1"/>
  </cols>
  <sheetData>
    <row r="1" spans="1:10" ht="30" customHeight="1" x14ac:dyDescent="0.25">
      <c r="A1" s="98" t="s">
        <v>82</v>
      </c>
      <c r="B1" s="98"/>
      <c r="C1" s="98"/>
      <c r="D1" s="98"/>
      <c r="E1" s="98"/>
      <c r="F1" s="98"/>
      <c r="G1" s="98"/>
      <c r="H1" s="98"/>
      <c r="I1" s="98"/>
      <c r="J1" s="98"/>
    </row>
  </sheetData>
  <customSheetViews>
    <customSheetView guid="{88176D30-6E16-4223-A8E7-895898BE0B1F}" showPageBreaks="1">
      <pageMargins left="0.7" right="0.7" top="0.75" bottom="0.75" header="0.3" footer="0.3"/>
    </customSheetView>
  </customSheetViews>
  <mergeCells count="1">
    <mergeCell ref="A1:J1"/>
  </mergeCells>
  <printOptions horizontalCentered="1"/>
  <pageMargins left="0.2" right="0.2" top="0.75" bottom="0.2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    INSTRUCTIONS    </vt:lpstr>
      <vt:lpstr>   Finance Report   </vt:lpstr>
      <vt:lpstr>Detailed Cash Report</vt:lpstr>
      <vt:lpstr>Copy bank statements here</vt:lpstr>
      <vt:lpstr>'    INSTRUCTIONS    '!Print_Area</vt:lpstr>
      <vt:lpstr>'   Finance Report   '!Print_Area</vt:lpstr>
      <vt:lpstr>'Copy bank statements here'!Print_Area</vt:lpstr>
      <vt:lpstr>'Detailed Cash Report'!Print_Area</vt:lpstr>
      <vt:lpstr>'Detailed Cash Report'!Print_Titles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bueche</dc:creator>
  <cp:lastModifiedBy>Samara McIntosh</cp:lastModifiedBy>
  <cp:lastPrinted>2013-03-04T18:04:37Z</cp:lastPrinted>
  <dcterms:created xsi:type="dcterms:W3CDTF">2013-02-11T15:06:46Z</dcterms:created>
  <dcterms:modified xsi:type="dcterms:W3CDTF">2014-07-22T18:08:29Z</dcterms:modified>
</cp:coreProperties>
</file>