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6" windowWidth="19440" windowHeight="7428"/>
  </bookViews>
  <sheets>
    <sheet name="Calculator Prestretch on Load" sheetId="1" r:id="rId1"/>
  </sheets>
  <calcPr calcId="145621"/>
</workbook>
</file>

<file path=xl/calcChain.xml><?xml version="1.0" encoding="utf-8"?>
<calcChain xmlns="http://schemas.openxmlformats.org/spreadsheetml/2006/main">
  <c r="C15" i="1" l="1"/>
  <c r="C8" i="1" l="1"/>
  <c r="C13" i="1"/>
  <c r="C14" i="1" s="1"/>
  <c r="C17" i="1" s="1"/>
  <c r="C19" i="1" s="1"/>
</calcChain>
</file>

<file path=xl/sharedStrings.xml><?xml version="1.0" encoding="utf-8"?>
<sst xmlns="http://schemas.openxmlformats.org/spreadsheetml/2006/main" count="30" uniqueCount="30">
  <si>
    <t>Calculator for Pre-Stretch on Load</t>
  </si>
  <si>
    <t>Stretch Film Data</t>
  </si>
  <si>
    <t>Current</t>
  </si>
  <si>
    <t>Film Width ( inches )</t>
  </si>
  <si>
    <t>Mil ( 80 gauge = .8 )</t>
  </si>
  <si>
    <t>Film Length (feet)</t>
  </si>
  <si>
    <t>Net Poly Weight (calculated)</t>
  </si>
  <si>
    <t>Calculated stretch</t>
  </si>
  <si>
    <t>Turn Table Revolutions</t>
  </si>
  <si>
    <t>Load Height (inches)</t>
  </si>
  <si>
    <t>Load Length (inches)</t>
  </si>
  <si>
    <t>Load Width   (inches)</t>
  </si>
  <si>
    <t>Load Perimeter (feet)</t>
  </si>
  <si>
    <t>Feet of Stretched Film</t>
  </si>
  <si>
    <t>Feet of Un-Stretched Film</t>
  </si>
  <si>
    <t>Enter Actual Cut &amp; Weigh ounces</t>
  </si>
  <si>
    <t>Without Pre-stretch ounces</t>
  </si>
  <si>
    <t>Imput Data Needed:</t>
  </si>
  <si>
    <t>1. Pallet size: width, length, height</t>
  </si>
  <si>
    <t>2. Stretch Film: gauge, width, length</t>
  </si>
  <si>
    <t>3. Number of film rotations around the pallet during wrapping.</t>
  </si>
  <si>
    <t>4. Number of ounces of film used from Cut &amp; Weigh test</t>
  </si>
  <si>
    <t>Net Poly Weight = Film Width (in) x Mil x Film Length (ft) x .0004</t>
  </si>
  <si>
    <t>Load perimeter= [(Load Length + Load Width) x 2]/12</t>
  </si>
  <si>
    <t>Feet of unstretched film = Load Perimeter x # turntable revolutions</t>
  </si>
  <si>
    <t>Feet of un-streched film = Feet of unstretched film x (1/(1+stretch %))</t>
  </si>
  <si>
    <t>Weight without prestretch=  Film width x  Mil x Feet of stretched film x 0.0004 x 16</t>
  </si>
  <si>
    <t>Calculated stretch = (Weight without prestretch-Actual cut film weight)/Weight without prestretch</t>
  </si>
  <si>
    <t>Calculated stretch = [(Film Width x  Mil x Feet of Stretched Film x 0.0004 x 16)-Actual Cut Film Weight]/(Film Width x  Mil x Feet of Stretched Film x 0.0004 x 16)</t>
  </si>
  <si>
    <t>Calculated stretch = [(20 x  0.8 x 165 x 0.0004 x 16)-Actual Cut Film Weight]/(20 x  0.8 x 165 x 0.0004 x 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</si>
</sst>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i/>
      <sz val="16"/>
      <color rgb="FFFF0000"/>
      <name val="Arial"/>
      <family val="2"/>
    </font>
    <font>
      <sz val="1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1" applyFill="1"/>
    <xf numFmtId="43" fontId="3" fillId="2" borderId="3" xfId="1" applyNumberFormat="1" applyFont="1" applyFill="1" applyBorder="1" applyAlignment="1" applyProtection="1">
      <alignment horizontal="left"/>
      <protection locked="0" hidden="1"/>
    </xf>
    <xf numFmtId="43" fontId="3" fillId="2" borderId="3" xfId="1" applyNumberFormat="1" applyFont="1" applyFill="1" applyBorder="1" applyAlignment="1" applyProtection="1">
      <alignment horizontal="center"/>
      <protection locked="0" hidden="1"/>
    </xf>
    <xf numFmtId="43" fontId="5" fillId="2" borderId="3" xfId="1" applyNumberFormat="1" applyFont="1" applyFill="1" applyBorder="1" applyAlignment="1" applyProtection="1">
      <alignment horizontal="left"/>
      <protection hidden="1"/>
    </xf>
    <xf numFmtId="164" fontId="5" fillId="3" borderId="3" xfId="1" applyNumberFormat="1" applyFont="1" applyFill="1" applyBorder="1" applyAlignment="1" applyProtection="1">
      <alignment horizontal="center"/>
      <protection locked="0" hidden="1"/>
    </xf>
    <xf numFmtId="43" fontId="5" fillId="3" borderId="3" xfId="1" applyNumberFormat="1" applyFont="1" applyFill="1" applyBorder="1" applyAlignment="1" applyProtection="1">
      <alignment horizontal="center"/>
      <protection locked="0" hidden="1"/>
    </xf>
    <xf numFmtId="43" fontId="5" fillId="2" borderId="3" xfId="1" quotePrefix="1" applyNumberFormat="1" applyFont="1" applyFill="1" applyBorder="1" applyAlignment="1" applyProtection="1">
      <alignment horizontal="left"/>
      <protection hidden="1"/>
    </xf>
    <xf numFmtId="43" fontId="5" fillId="3" borderId="3" xfId="1" applyNumberFormat="1" applyFont="1" applyFill="1" applyBorder="1" applyAlignment="1" applyProtection="1">
      <alignment horizontal="right"/>
      <protection locked="0" hidden="1"/>
    </xf>
    <xf numFmtId="43" fontId="6" fillId="2" borderId="3" xfId="1" applyNumberFormat="1" applyFont="1" applyFill="1" applyBorder="1" applyAlignment="1" applyProtection="1">
      <alignment horizontal="left"/>
      <protection hidden="1"/>
    </xf>
    <xf numFmtId="43" fontId="6" fillId="2" borderId="3" xfId="1" applyNumberFormat="1" applyFont="1" applyFill="1" applyBorder="1" applyProtection="1">
      <protection hidden="1"/>
    </xf>
    <xf numFmtId="165" fontId="5" fillId="3" borderId="3" xfId="1" applyNumberFormat="1" applyFont="1" applyFill="1" applyBorder="1" applyAlignment="1" applyProtection="1">
      <alignment horizontal="center"/>
      <protection locked="0" hidden="1"/>
    </xf>
    <xf numFmtId="43" fontId="6" fillId="2" borderId="3" xfId="1" quotePrefix="1" applyNumberFormat="1" applyFont="1" applyFill="1" applyBorder="1" applyAlignment="1" applyProtection="1">
      <alignment horizontal="left"/>
      <protection hidden="1"/>
    </xf>
    <xf numFmtId="43" fontId="6" fillId="2" borderId="3" xfId="1" applyNumberFormat="1" applyFont="1" applyFill="1" applyBorder="1" applyAlignment="1" applyProtection="1">
      <alignment horizontal="center"/>
      <protection hidden="1"/>
    </xf>
    <xf numFmtId="0" fontId="2" fillId="0" borderId="0" xfId="1"/>
    <xf numFmtId="0" fontId="2" fillId="2" borderId="0" xfId="1" applyFill="1" applyBorder="1"/>
    <xf numFmtId="0" fontId="2" fillId="0" borderId="0" xfId="1" applyBorder="1"/>
    <xf numFmtId="43" fontId="4" fillId="2" borderId="0" xfId="1" applyNumberFormat="1" applyFont="1" applyFill="1" applyBorder="1" applyAlignment="1" applyProtection="1">
      <alignment horizontal="left"/>
      <protection hidden="1"/>
    </xf>
    <xf numFmtId="0" fontId="2" fillId="2" borderId="0" xfId="1" applyFont="1" applyFill="1" applyBorder="1"/>
    <xf numFmtId="0" fontId="7" fillId="2" borderId="0" xfId="1" applyFont="1" applyFill="1"/>
    <xf numFmtId="43" fontId="6" fillId="2" borderId="3" xfId="3" applyFont="1" applyFill="1" applyBorder="1"/>
    <xf numFmtId="43" fontId="6" fillId="2" borderId="3" xfId="1" applyNumberFormat="1" applyFont="1" applyFill="1" applyBorder="1"/>
    <xf numFmtId="43" fontId="8" fillId="2" borderId="3" xfId="1" applyNumberFormat="1" applyFont="1" applyFill="1" applyBorder="1" applyAlignment="1" applyProtection="1">
      <alignment horizontal="left"/>
      <protection hidden="1"/>
    </xf>
    <xf numFmtId="9" fontId="9" fillId="2" borderId="3" xfId="1" applyNumberFormat="1" applyFont="1" applyFill="1" applyBorder="1" applyProtection="1">
      <protection hidden="1"/>
    </xf>
    <xf numFmtId="0" fontId="3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8"/>
  <sheetViews>
    <sheetView tabSelected="1" topLeftCell="B3" zoomScale="160" zoomScaleNormal="160" workbookViewId="0">
      <selection activeCell="D19" sqref="D19"/>
    </sheetView>
  </sheetViews>
  <sheetFormatPr defaultColWidth="9.109375" defaultRowHeight="13.2" x14ac:dyDescent="0.25"/>
  <cols>
    <col min="1" max="1" width="5" style="1" customWidth="1"/>
    <col min="2" max="2" width="31.6640625" style="1" customWidth="1"/>
    <col min="3" max="3" width="23.109375" style="1" customWidth="1"/>
    <col min="4" max="4" width="70.44140625" style="1" bestFit="1" customWidth="1"/>
    <col min="5" max="5" width="15.44140625" style="1" customWidth="1"/>
    <col min="6" max="18" width="9.109375" style="1"/>
    <col min="19" max="16384" width="9.109375" style="14"/>
  </cols>
  <sheetData>
    <row r="1" spans="2:4" ht="13.5" thickBot="1" x14ac:dyDescent="0.25"/>
    <row r="2" spans="2:4" ht="18.75" thickBot="1" x14ac:dyDescent="0.3">
      <c r="B2" s="24" t="s">
        <v>0</v>
      </c>
      <c r="C2" s="25"/>
    </row>
    <row r="4" spans="2:4" ht="18" x14ac:dyDescent="0.25">
      <c r="B4" s="2" t="s">
        <v>1</v>
      </c>
      <c r="C4" s="3" t="s">
        <v>2</v>
      </c>
    </row>
    <row r="5" spans="2:4" ht="12.75" x14ac:dyDescent="0.2">
      <c r="B5" s="4" t="s">
        <v>3</v>
      </c>
      <c r="C5" s="5">
        <v>19.684999999999999</v>
      </c>
    </row>
    <row r="6" spans="2:4" ht="12.75" x14ac:dyDescent="0.2">
      <c r="B6" s="4" t="s">
        <v>4</v>
      </c>
      <c r="C6" s="6">
        <v>0.8</v>
      </c>
    </row>
    <row r="7" spans="2:4" ht="12.75" x14ac:dyDescent="0.2">
      <c r="B7" s="7" t="s">
        <v>5</v>
      </c>
      <c r="C7" s="8">
        <v>6500</v>
      </c>
    </row>
    <row r="8" spans="2:4" ht="12.75" x14ac:dyDescent="0.2">
      <c r="B8" s="9" t="s">
        <v>6</v>
      </c>
      <c r="C8" s="10">
        <f>C5*C6*C7*0.0004</f>
        <v>40.944800000000001</v>
      </c>
      <c r="D8" s="1" t="s">
        <v>22</v>
      </c>
    </row>
    <row r="9" spans="2:4" ht="12.75" x14ac:dyDescent="0.2">
      <c r="B9" s="4" t="s">
        <v>8</v>
      </c>
      <c r="C9" s="11">
        <v>11</v>
      </c>
    </row>
    <row r="10" spans="2:4" ht="12.75" x14ac:dyDescent="0.2">
      <c r="B10" s="7" t="s">
        <v>9</v>
      </c>
      <c r="C10" s="6">
        <v>45.5</v>
      </c>
    </row>
    <row r="11" spans="2:4" ht="12.75" x14ac:dyDescent="0.2">
      <c r="B11" s="7" t="s">
        <v>10</v>
      </c>
      <c r="C11" s="6">
        <v>49</v>
      </c>
    </row>
    <row r="12" spans="2:4" ht="12.75" x14ac:dyDescent="0.2">
      <c r="B12" s="7" t="s">
        <v>11</v>
      </c>
      <c r="C12" s="6">
        <v>41</v>
      </c>
    </row>
    <row r="13" spans="2:4" ht="12.75" x14ac:dyDescent="0.2">
      <c r="B13" s="12" t="s">
        <v>12</v>
      </c>
      <c r="C13" s="13">
        <f>((C11+C12)*2)/12</f>
        <v>15</v>
      </c>
      <c r="D13" s="1" t="s">
        <v>23</v>
      </c>
    </row>
    <row r="14" spans="2:4" ht="12.75" x14ac:dyDescent="0.2">
      <c r="B14" s="9" t="s">
        <v>13</v>
      </c>
      <c r="C14" s="13">
        <f>C13*C9</f>
        <v>165</v>
      </c>
      <c r="D14" s="1" t="s">
        <v>24</v>
      </c>
    </row>
    <row r="15" spans="2:4" ht="12.75" x14ac:dyDescent="0.2">
      <c r="B15" s="9" t="s">
        <v>14</v>
      </c>
      <c r="C15" s="20">
        <f>C14*(1/(1+C19))</f>
        <v>76.537496824993653</v>
      </c>
      <c r="D15" s="1" t="s">
        <v>25</v>
      </c>
    </row>
    <row r="16" spans="2:4" ht="12.75" x14ac:dyDescent="0.2">
      <c r="B16" s="7" t="s">
        <v>15</v>
      </c>
      <c r="C16" s="8">
        <v>7.7140000000000004</v>
      </c>
    </row>
    <row r="17" spans="1:18" ht="12.75" x14ac:dyDescent="0.2">
      <c r="B17" s="9" t="s">
        <v>16</v>
      </c>
      <c r="C17" s="21">
        <f>C5*C6*C14*0.0004*16</f>
        <v>16.629888000000001</v>
      </c>
      <c r="D17" s="1" t="s">
        <v>26</v>
      </c>
    </row>
    <row r="18" spans="1:18" ht="12.75" x14ac:dyDescent="0.2">
      <c r="B18" s="15"/>
      <c r="C18" s="15"/>
    </row>
    <row r="19" spans="1:18" s="16" customFormat="1" ht="20.25" x14ac:dyDescent="0.3">
      <c r="A19" s="15"/>
      <c r="B19" s="22" t="s">
        <v>7</v>
      </c>
      <c r="C19" s="23">
        <f>(C17-C16)/C16</f>
        <v>1.1558060668913663</v>
      </c>
      <c r="D19" s="15" t="s">
        <v>27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s="16" customFormat="1" ht="12.75" x14ac:dyDescent="0.2">
      <c r="A20" s="15"/>
      <c r="D20" s="15" t="s">
        <v>28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s="16" customFormat="1" ht="12.75" x14ac:dyDescent="0.2">
      <c r="A21" s="15"/>
      <c r="B21" s="17" t="s">
        <v>17</v>
      </c>
      <c r="C21" s="15"/>
      <c r="D21" s="15" t="s">
        <v>29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s="16" customFormat="1" ht="12.75" x14ac:dyDescent="0.2">
      <c r="A22" s="15"/>
      <c r="B22" s="18" t="s">
        <v>18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x14ac:dyDescent="0.25">
      <c r="B23" s="18" t="s">
        <v>19</v>
      </c>
      <c r="C23" s="15"/>
    </row>
    <row r="24" spans="1:18" x14ac:dyDescent="0.25">
      <c r="B24" s="18" t="s">
        <v>20</v>
      </c>
    </row>
    <row r="25" spans="1:18" x14ac:dyDescent="0.25">
      <c r="B25" s="18" t="s">
        <v>21</v>
      </c>
    </row>
    <row r="28" spans="1:18" x14ac:dyDescent="0.25">
      <c r="B28" s="19"/>
      <c r="C28" s="19"/>
    </row>
  </sheetData>
  <mergeCells count="1">
    <mergeCell ref="B2:C2"/>
  </mergeCells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 Prestretch on 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Jackson</dc:creator>
  <cp:lastModifiedBy>Evan</cp:lastModifiedBy>
  <cp:lastPrinted>2012-07-03T16:08:25Z</cp:lastPrinted>
  <dcterms:created xsi:type="dcterms:W3CDTF">2012-07-03T15:17:44Z</dcterms:created>
  <dcterms:modified xsi:type="dcterms:W3CDTF">2012-07-23T06:59:26Z</dcterms:modified>
</cp:coreProperties>
</file>