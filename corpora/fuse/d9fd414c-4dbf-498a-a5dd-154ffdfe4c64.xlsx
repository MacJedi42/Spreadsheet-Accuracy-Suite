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1340" windowHeight="6540"/>
  </bookViews>
  <sheets>
    <sheet name="Sheet1" sheetId="1" r:id="rId1"/>
  </sheets>
  <definedNames>
    <definedName name="_xlnm.Print_Area" localSheetId="0">Sheet1!$A$1:$N$47</definedName>
    <definedName name="_xlnm.Print_Titles" localSheetId="0">Sheet1!$1:$5</definedName>
  </definedNames>
  <calcPr calcId="145621"/>
</workbook>
</file>

<file path=xl/calcChain.xml><?xml version="1.0" encoding="utf-8"?>
<calcChain xmlns="http://schemas.openxmlformats.org/spreadsheetml/2006/main">
  <c r="D44" i="1" l="1"/>
  <c r="D43" i="1"/>
  <c r="D42" i="1"/>
  <c r="D41" i="1"/>
  <c r="D40" i="1"/>
  <c r="D39" i="1"/>
  <c r="D37" i="1"/>
  <c r="D36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X24" i="1"/>
  <c r="I24" i="1"/>
  <c r="I23" i="1"/>
  <c r="I22" i="1"/>
  <c r="I21" i="1"/>
  <c r="I20" i="1"/>
  <c r="I19" i="1"/>
  <c r="I18" i="1"/>
  <c r="I17" i="1"/>
  <c r="I16" i="1"/>
</calcChain>
</file>

<file path=xl/sharedStrings.xml><?xml version="1.0" encoding="utf-8"?>
<sst xmlns="http://schemas.openxmlformats.org/spreadsheetml/2006/main" count="98" uniqueCount="72">
  <si>
    <t>UNIVERSITY OF COLORADO AT BOULDER</t>
  </si>
  <si>
    <t xml:space="preserve">      RECHARGE RATE HISTORY</t>
  </si>
  <si>
    <t>NOT USED</t>
  </si>
  <si>
    <t>STUDENT</t>
  </si>
  <si>
    <t>LASP</t>
  </si>
  <si>
    <t>SHORT TERM</t>
  </si>
  <si>
    <t>GAR</t>
  </si>
  <si>
    <t>GIR</t>
  </si>
  <si>
    <t>UNEMPLOY</t>
  </si>
  <si>
    <t>FACULTY</t>
  </si>
  <si>
    <t>STAFF</t>
  </si>
  <si>
    <t>HOURLY</t>
  </si>
  <si>
    <t>LEAVE</t>
  </si>
  <si>
    <t>DISABILITY</t>
  </si>
  <si>
    <t>77-78</t>
  </si>
  <si>
    <t>78-79</t>
  </si>
  <si>
    <t>79-80</t>
  </si>
  <si>
    <t>80-81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</si>
  <si>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</si>
  <si>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</si>
  <si>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</si>
  <si>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</si>
  <si>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</si>
  <si>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</si>
  <si>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</si>
  <si>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</si>
  <si>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</si>
  <si>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</si>
  <si>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</si>
  <si>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</si>
  <si>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</si>
  <si>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</si>
  <si>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</si>
  <si>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 xml:space="preserve">      REVISED 1/96</t>
  </si>
  <si>
    <t>96-97</t>
  </si>
  <si>
    <t>97-98</t>
  </si>
  <si>
    <t xml:space="preserve">  </t>
  </si>
  <si>
    <t>98-99</t>
  </si>
  <si>
    <t>99-00</t>
  </si>
  <si>
    <t>00-01</t>
  </si>
  <si>
    <t>01-02</t>
  </si>
  <si>
    <t>02-03</t>
  </si>
  <si>
    <t>STUDENT FACULTY</t>
  </si>
  <si>
    <t>COMBINED GAIR RATES</t>
  </si>
  <si>
    <t>REGULAR FACULTY</t>
  </si>
  <si>
    <t>–</t>
  </si>
  <si>
    <t>03-04</t>
  </si>
  <si>
    <t>04-05</t>
  </si>
  <si>
    <t>05-06</t>
  </si>
  <si>
    <t>BASE FY</t>
  </si>
  <si>
    <t>EFFECTIVE FY</t>
  </si>
  <si>
    <t>WORKERS' COMP</t>
  </si>
  <si>
    <t>ANNUITANTS INSURANCE</t>
  </si>
  <si>
    <t>COMBINED BENF RATES</t>
  </si>
  <si>
    <t>GAR/GIR</t>
  </si>
  <si>
    <t>06-07</t>
  </si>
  <si>
    <t>Current FY</t>
  </si>
  <si>
    <t>07-08</t>
  </si>
  <si>
    <r>
      <t xml:space="preserve">CLASSIFIED </t>
    </r>
    <r>
      <rPr>
        <sz val="8"/>
        <rFont val="Arial Narrow"/>
        <family val="2"/>
      </rPr>
      <t>Temp FT/PT</t>
    </r>
  </si>
  <si>
    <r>
      <t xml:space="preserve">CLASSIFIED </t>
    </r>
    <r>
      <rPr>
        <sz val="8"/>
        <rFont val="Arial Narrow"/>
        <family val="2"/>
      </rPr>
      <t>Perm FT/PT</t>
    </r>
  </si>
  <si>
    <r>
      <t>CAMPUS-WIDE FRINGE BENEFIT RATES</t>
    </r>
    <r>
      <rPr>
        <b/>
        <vertAlign val="superscript"/>
        <sz val="9"/>
        <color indexed="9"/>
        <rFont val="Arial"/>
        <family val="2"/>
      </rPr>
      <t>1</t>
    </r>
  </si>
  <si>
    <r>
      <t xml:space="preserve">RSCH FAC &amp; PROF </t>
    </r>
    <r>
      <rPr>
        <sz val="8"/>
        <rFont val="Arial Narrow"/>
        <family val="2"/>
      </rPr>
      <t>Perm FT</t>
    </r>
    <r>
      <rPr>
        <vertAlign val="superscript"/>
        <sz val="8"/>
        <rFont val="Arial Narrow"/>
        <family val="2"/>
      </rPr>
      <t>2</t>
    </r>
  </si>
  <si>
    <r>
      <t>2</t>
    </r>
    <r>
      <rPr>
        <sz val="8"/>
        <rFont val="Arial"/>
        <family val="2"/>
      </rPr>
      <t xml:space="preserve"> Part time (PT) means less than 50%. Full time (FT) is 50% or greater.</t>
    </r>
  </si>
  <si>
    <r>
      <t xml:space="preserve">RSCH FAC &amp; PROF </t>
    </r>
    <r>
      <rPr>
        <sz val="8"/>
        <rFont val="Arial Narrow"/>
        <family val="2"/>
      </rPr>
      <t>Perm  PT &amp; All Temp</t>
    </r>
  </si>
  <si>
    <r>
      <t xml:space="preserve">1 </t>
    </r>
    <r>
      <rPr>
        <sz val="8"/>
        <rFont val="Arial"/>
        <family val="2"/>
      </rPr>
      <t>Note: The Campus-wide fringe benefit rates have replaced the Workers' Compensation, Unemployment and Annuitiant's Insurance Rates</t>
    </r>
  </si>
  <si>
    <t>08-09</t>
  </si>
  <si>
    <t>AUXILIARY RECHARGE</t>
  </si>
  <si>
    <t>ECO PASS</t>
  </si>
  <si>
    <t>ECO PASS AUX RECHRG</t>
  </si>
  <si>
    <t>09-10</t>
  </si>
  <si>
    <r>
      <t xml:space="preserve">LASP
</t>
    </r>
    <r>
      <rPr>
        <sz val="8.5"/>
        <rFont val="Arial Narrow"/>
        <family val="2"/>
      </rPr>
      <t>Leave Rate</t>
    </r>
  </si>
  <si>
    <t>10-11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</si>
</sst>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%"/>
    <numFmt numFmtId="165" formatCode="0.0%"/>
    <numFmt numFmtId="166" formatCode="0.00000%"/>
  </numFmts>
  <fonts count="18" x14ac:knownFonts="1">
    <font>
      <sz val="10"/>
      <name val="Arial"/>
    </font>
    <font>
      <sz val="10"/>
      <name val="Arial"/>
    </font>
    <font>
      <sz val="8.5"/>
      <name val="MS Sans Serif"/>
      <family val="2"/>
    </font>
    <font>
      <b/>
      <sz val="8.5"/>
      <name val="MS Sans Serif"/>
      <family val="2"/>
    </font>
    <font>
      <b/>
      <sz val="10"/>
      <name val="Arial"/>
    </font>
    <font>
      <b/>
      <sz val="8.5"/>
      <name val="Arial Narrow"/>
      <family val="2"/>
    </font>
    <font>
      <sz val="8.5"/>
      <name val="Arial"/>
    </font>
    <font>
      <b/>
      <sz val="9"/>
      <color indexed="9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b/>
      <sz val="8"/>
      <name val="Arial Narrow"/>
      <family val="2"/>
    </font>
    <font>
      <sz val="8"/>
      <name val="MS Sans Serif"/>
      <family val="2"/>
    </font>
    <font>
      <b/>
      <vertAlign val="superscript"/>
      <sz val="9"/>
      <color indexed="9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vertAlign val="superscript"/>
      <sz val="8"/>
      <name val="Arial Narrow"/>
      <family val="2"/>
    </font>
    <font>
      <sz val="10"/>
      <name val="MS Sans Serif"/>
      <family val="2"/>
    </font>
    <font>
      <sz val="8.5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/>
    <xf numFmtId="10" fontId="2" fillId="0" borderId="0" xfId="0" applyNumberFormat="1" applyFont="1"/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10" fontId="2" fillId="0" borderId="0" xfId="0" applyNumberFormat="1" applyFont="1" applyAlignment="1" applyProtection="1">
      <alignment horizontal="center"/>
    </xf>
    <xf numFmtId="10" fontId="2" fillId="0" borderId="0" xfId="0" applyNumberFormat="1" applyFont="1" applyAlignment="1">
      <alignment horizontal="fill"/>
    </xf>
    <xf numFmtId="0" fontId="2" fillId="0" borderId="0" xfId="0" applyFont="1" applyAlignment="1">
      <alignment horizontal="fill"/>
    </xf>
    <xf numFmtId="164" fontId="2" fillId="0" borderId="0" xfId="0" applyNumberFormat="1" applyFont="1" applyAlignment="1" applyProtection="1">
      <alignment horizontal="center"/>
    </xf>
    <xf numFmtId="164" fontId="2" fillId="0" borderId="0" xfId="1" applyNumberFormat="1" applyFont="1"/>
    <xf numFmtId="0" fontId="2" fillId="0" borderId="0" xfId="0" quotePrefix="1" applyFont="1" applyAlignment="1">
      <alignment horizontal="left"/>
    </xf>
    <xf numFmtId="10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10" fontId="2" fillId="0" borderId="0" xfId="1" applyNumberFormat="1" applyFont="1" applyFill="1" applyAlignment="1">
      <alignment horizontal="center"/>
    </xf>
    <xf numFmtId="16" fontId="2" fillId="0" borderId="0" xfId="0" quotePrefix="1" applyNumberFormat="1" applyFont="1" applyAlignment="1">
      <alignment horizontal="center"/>
    </xf>
    <xf numFmtId="165" fontId="2" fillId="0" borderId="0" xfId="0" applyNumberFormat="1" applyFont="1" applyFill="1" applyAlignment="1" applyProtection="1">
      <alignment horizontal="center"/>
    </xf>
    <xf numFmtId="165" fontId="2" fillId="0" borderId="0" xfId="0" quotePrefix="1" applyNumberFormat="1" applyFont="1" applyAlignment="1">
      <alignment horizontal="center"/>
    </xf>
    <xf numFmtId="10" fontId="3" fillId="0" borderId="0" xfId="0" applyNumberFormat="1" applyFont="1" applyFill="1"/>
    <xf numFmtId="0" fontId="4" fillId="0" borderId="0" xfId="0" applyFont="1" applyFill="1"/>
    <xf numFmtId="0" fontId="3" fillId="0" borderId="0" xfId="0" applyFont="1" applyFill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2" fillId="0" borderId="0" xfId="0" quotePrefix="1" applyFont="1" applyFill="1" applyAlignment="1">
      <alignment horizontal="center"/>
    </xf>
    <xf numFmtId="10" fontId="2" fillId="0" borderId="0" xfId="0" applyNumberFormat="1" applyFont="1" applyFill="1"/>
    <xf numFmtId="165" fontId="2" fillId="0" borderId="0" xfId="0" quotePrefix="1" applyNumberFormat="1" applyFont="1" applyFill="1" applyAlignment="1">
      <alignment horizontal="center"/>
    </xf>
    <xf numFmtId="164" fontId="5" fillId="0" borderId="1" xfId="1" applyNumberFormat="1" applyFont="1" applyBorder="1" applyAlignment="1">
      <alignment horizontal="center" wrapText="1"/>
    </xf>
    <xf numFmtId="10" fontId="6" fillId="0" borderId="0" xfId="0" quotePrefix="1" applyNumberFormat="1" applyFont="1" applyAlignment="1">
      <alignment horizontal="center"/>
    </xf>
    <xf numFmtId="0" fontId="6" fillId="0" borderId="0" xfId="0" quotePrefix="1" applyFont="1" applyFill="1" applyAlignment="1">
      <alignment horizontal="center"/>
    </xf>
    <xf numFmtId="0" fontId="2" fillId="0" borderId="0" xfId="0" applyFont="1" applyFill="1" applyAlignment="1">
      <alignment horizontal="fill"/>
    </xf>
    <xf numFmtId="164" fontId="2" fillId="0" borderId="0" xfId="0" applyNumberFormat="1" applyFont="1" applyFill="1" applyAlignment="1" applyProtection="1">
      <alignment horizontal="center"/>
    </xf>
    <xf numFmtId="10" fontId="2" fillId="0" borderId="1" xfId="1" applyNumberFormat="1" applyFont="1" applyBorder="1" applyAlignment="1">
      <alignment horizontal="center"/>
    </xf>
    <xf numFmtId="10" fontId="2" fillId="0" borderId="1" xfId="1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 applyProtection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Fill="1" applyAlignment="1">
      <alignment horizontal="center"/>
    </xf>
    <xf numFmtId="165" fontId="2" fillId="0" borderId="0" xfId="0" applyNumberFormat="1" applyFont="1"/>
    <xf numFmtId="0" fontId="0" fillId="0" borderId="0" xfId="0" applyAlignment="1"/>
    <xf numFmtId="0" fontId="2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0" fontId="2" fillId="0" borderId="0" xfId="1" applyNumberFormat="1" applyFont="1" applyBorder="1" applyAlignment="1">
      <alignment horizontal="center"/>
    </xf>
    <xf numFmtId="10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0" fontId="2" fillId="0" borderId="0" xfId="0" applyNumberFormat="1" applyFont="1" applyAlignment="1"/>
    <xf numFmtId="10" fontId="2" fillId="0" borderId="3" xfId="0" applyNumberFormat="1" applyFont="1" applyFill="1" applyBorder="1" applyAlignment="1" applyProtection="1">
      <alignment horizontal="center"/>
    </xf>
    <xf numFmtId="10" fontId="2" fillId="0" borderId="4" xfId="0" applyNumberFormat="1" applyFont="1" applyFill="1" applyBorder="1" applyAlignment="1" applyProtection="1">
      <alignment horizontal="center"/>
    </xf>
    <xf numFmtId="0" fontId="2" fillId="0" borderId="0" xfId="0" applyFont="1" applyFill="1"/>
    <xf numFmtId="10" fontId="2" fillId="0" borderId="0" xfId="0" applyNumberFormat="1" applyFont="1" applyFill="1" applyAlignment="1"/>
    <xf numFmtId="0" fontId="2" fillId="0" borderId="0" xfId="0" applyFont="1" applyFill="1" applyAlignment="1"/>
    <xf numFmtId="0" fontId="3" fillId="2" borderId="0" xfId="0" quotePrefix="1" applyFont="1" applyFill="1" applyAlignment="1">
      <alignment horizontal="center"/>
    </xf>
    <xf numFmtId="10" fontId="2" fillId="2" borderId="0" xfId="0" applyNumberFormat="1" applyFont="1" applyFill="1"/>
    <xf numFmtId="10" fontId="2" fillId="2" borderId="0" xfId="1" applyNumberFormat="1" applyFont="1" applyFill="1" applyAlignment="1">
      <alignment horizontal="center"/>
    </xf>
    <xf numFmtId="10" fontId="3" fillId="2" borderId="4" xfId="0" applyNumberFormat="1" applyFont="1" applyFill="1" applyBorder="1" applyAlignment="1" applyProtection="1">
      <alignment horizontal="center"/>
    </xf>
    <xf numFmtId="165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 applyProtection="1">
      <alignment horizontal="center"/>
    </xf>
    <xf numFmtId="165" fontId="3" fillId="2" borderId="0" xfId="0" quotePrefix="1" applyNumberFormat="1" applyFont="1" applyFill="1" applyAlignment="1">
      <alignment horizontal="center"/>
    </xf>
    <xf numFmtId="10" fontId="2" fillId="0" borderId="1" xfId="0" applyNumberFormat="1" applyFont="1" applyFill="1" applyBorder="1" applyAlignment="1">
      <alignment horizontal="center"/>
    </xf>
    <xf numFmtId="10" fontId="2" fillId="0" borderId="5" xfId="0" applyNumberFormat="1" applyFont="1" applyFill="1" applyBorder="1" applyAlignment="1">
      <alignment horizontal="center"/>
    </xf>
    <xf numFmtId="10" fontId="2" fillId="0" borderId="0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0" fontId="2" fillId="0" borderId="6" xfId="0" applyNumberFormat="1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10" fontId="2" fillId="0" borderId="5" xfId="0" applyNumberFormat="1" applyFont="1" applyFill="1" applyBorder="1" applyAlignment="1">
      <alignment horizontal="fill"/>
    </xf>
    <xf numFmtId="10" fontId="2" fillId="0" borderId="0" xfId="0" applyNumberFormat="1" applyFont="1" applyFill="1" applyBorder="1" applyAlignment="1">
      <alignment horizontal="fill"/>
    </xf>
    <xf numFmtId="0" fontId="2" fillId="0" borderId="2" xfId="0" applyFont="1" applyFill="1" applyBorder="1" applyAlignment="1">
      <alignment horizontal="fill"/>
    </xf>
    <xf numFmtId="10" fontId="2" fillId="0" borderId="5" xfId="0" applyNumberFormat="1" applyFont="1" applyFill="1" applyBorder="1" applyAlignment="1" applyProtection="1">
      <alignment horizontal="center"/>
    </xf>
    <xf numFmtId="10" fontId="2" fillId="0" borderId="0" xfId="0" applyNumberFormat="1" applyFont="1" applyFill="1" applyBorder="1" applyAlignment="1" applyProtection="1">
      <alignment horizontal="center"/>
    </xf>
    <xf numFmtId="164" fontId="2" fillId="0" borderId="2" xfId="0" applyNumberFormat="1" applyFont="1" applyFill="1" applyBorder="1" applyAlignment="1" applyProtection="1">
      <alignment horizontal="center"/>
    </xf>
    <xf numFmtId="10" fontId="2" fillId="0" borderId="5" xfId="1" applyNumberFormat="1" applyFont="1" applyFill="1" applyBorder="1" applyAlignment="1">
      <alignment horizontal="center"/>
    </xf>
    <xf numFmtId="164" fontId="2" fillId="0" borderId="2" xfId="1" applyNumberFormat="1" applyFont="1" applyFill="1" applyBorder="1" applyAlignment="1">
      <alignment horizontal="center"/>
    </xf>
    <xf numFmtId="0" fontId="2" fillId="0" borderId="2" xfId="0" applyFont="1" applyFill="1" applyBorder="1"/>
    <xf numFmtId="10" fontId="2" fillId="0" borderId="6" xfId="0" applyNumberFormat="1" applyFont="1" applyFill="1" applyBorder="1"/>
    <xf numFmtId="10" fontId="2" fillId="0" borderId="1" xfId="0" applyNumberFormat="1" applyFont="1" applyFill="1" applyBorder="1"/>
    <xf numFmtId="0" fontId="2" fillId="0" borderId="7" xfId="0" applyFont="1" applyFill="1" applyBorder="1"/>
    <xf numFmtId="49" fontId="2" fillId="2" borderId="0" xfId="0" applyNumberFormat="1" applyFont="1" applyFill="1" applyAlignment="1">
      <alignment horizontal="center"/>
    </xf>
    <xf numFmtId="10" fontId="3" fillId="2" borderId="0" xfId="0" applyNumberFormat="1" applyFont="1" applyFill="1"/>
    <xf numFmtId="10" fontId="2" fillId="0" borderId="0" xfId="0" applyNumberFormat="1" applyFont="1" applyFill="1" applyAlignment="1" applyProtection="1">
      <alignment horizontal="center"/>
    </xf>
    <xf numFmtId="10" fontId="10" fillId="0" borderId="1" xfId="0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 wrapText="1"/>
    </xf>
    <xf numFmtId="164" fontId="10" fillId="0" borderId="1" xfId="1" applyNumberFormat="1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3" fillId="0" borderId="0" xfId="0" applyFont="1"/>
    <xf numFmtId="0" fontId="10" fillId="0" borderId="8" xfId="0" applyFont="1" applyFill="1" applyBorder="1" applyAlignment="1">
      <alignment horizontal="center" wrapText="1"/>
    </xf>
    <xf numFmtId="0" fontId="8" fillId="3" borderId="9" xfId="0" applyFont="1" applyFill="1" applyBorder="1" applyAlignment="1">
      <alignment horizontal="center" vertical="center" wrapText="1"/>
    </xf>
    <xf numFmtId="166" fontId="2" fillId="0" borderId="0" xfId="0" applyNumberFormat="1" applyFont="1" applyFill="1" applyAlignment="1" applyProtection="1">
      <alignment horizontal="center"/>
    </xf>
    <xf numFmtId="166" fontId="2" fillId="0" borderId="0" xfId="0" applyNumberFormat="1" applyFont="1" applyFill="1" applyBorder="1" applyAlignment="1" applyProtection="1">
      <alignment horizontal="center"/>
    </xf>
    <xf numFmtId="166" fontId="3" fillId="2" borderId="0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 wrapText="1"/>
    </xf>
    <xf numFmtId="0" fontId="10" fillId="0" borderId="1" xfId="0" applyFont="1" applyFill="1" applyBorder="1" applyAlignment="1">
      <alignment horizontal="center" wrapText="1"/>
    </xf>
    <xf numFmtId="0" fontId="11" fillId="0" borderId="0" xfId="0" applyFont="1" applyAlignment="1"/>
    <xf numFmtId="0" fontId="11" fillId="0" borderId="1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/>
    <xf numFmtId="0" fontId="10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10" fillId="0" borderId="0" xfId="0" applyFont="1" applyFill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7" fillId="4" borderId="5" xfId="1" applyNumberFormat="1" applyFont="1" applyFill="1" applyBorder="1" applyAlignment="1">
      <alignment horizontal="center"/>
    </xf>
    <xf numFmtId="0" fontId="7" fillId="4" borderId="0" xfId="1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/>
    <xf numFmtId="10" fontId="16" fillId="0" borderId="10" xfId="0" applyNumberFormat="1" applyFont="1" applyFill="1" applyBorder="1" applyAlignment="1">
      <alignment horizontal="center" vertical="center"/>
    </xf>
    <xf numFmtId="10" fontId="16" fillId="0" borderId="11" xfId="0" applyNumberFormat="1" applyFont="1" applyFill="1" applyBorder="1" applyAlignment="1">
      <alignment horizontal="center" vertical="center"/>
    </xf>
    <xf numFmtId="10" fontId="16" fillId="0" borderId="1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/>
    <xf numFmtId="10" fontId="8" fillId="5" borderId="10" xfId="1" applyNumberFormat="1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13" xfId="0" applyFont="1" applyFill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0" fillId="0" borderId="1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9"/>
  <sheetViews>
    <sheetView tabSelected="1" workbookViewId="0">
      <pane ySplit="5" topLeftCell="A9" activePane="bottomLeft" state="frozen"/>
      <selection pane="bottomLeft" activeCell="C46" sqref="C46"/>
    </sheetView>
  </sheetViews>
  <sheetFormatPr defaultColWidth="11" defaultRowHeight="12.75" x14ac:dyDescent="0.2"/>
  <cols>
    <col min="1" max="1" width="8" style="1" customWidth="1"/>
    <col min="2" max="3" width="6.7109375" style="2" customWidth="1"/>
    <col min="4" max="6" width="10.7109375" style="2" customWidth="1"/>
    <col min="7" max="8" width="14.7109375" style="2" customWidth="1"/>
    <col min="9" max="12" width="10.7109375" style="1" customWidth="1"/>
    <col min="13" max="13" width="11" style="1" customWidth="1"/>
    <col min="14" max="14" width="10.7109375" customWidth="1"/>
    <col min="15" max="15" width="2.7109375" style="2" customWidth="1"/>
    <col min="16" max="16" width="7.42578125" style="2" customWidth="1"/>
    <col min="17" max="17" width="8.140625" style="2" customWidth="1"/>
    <col min="18" max="20" width="6.7109375" style="2" customWidth="1"/>
    <col min="21" max="21" width="12.28515625" style="1" customWidth="1"/>
    <col min="22" max="23" width="9.140625" customWidth="1"/>
    <col min="24" max="16384" width="11" style="1"/>
  </cols>
  <sheetData>
    <row r="1" spans="1:23" s="21" customFormat="1" ht="12.75" customHeight="1" x14ac:dyDescent="0.2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07"/>
      <c r="O1" s="23"/>
      <c r="P1" s="23"/>
      <c r="Q1" s="23"/>
      <c r="R1" s="23"/>
      <c r="S1" s="23"/>
      <c r="T1" s="23"/>
      <c r="U1" s="23"/>
      <c r="V1" s="22"/>
      <c r="W1" s="22"/>
    </row>
    <row r="2" spans="1:23" s="21" customFormat="1" ht="12.75" customHeight="1" x14ac:dyDescent="0.2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07"/>
      <c r="O2" s="23"/>
      <c r="P2" s="23"/>
      <c r="Q2" s="23"/>
      <c r="R2" s="23"/>
      <c r="S2" s="23"/>
      <c r="T2" s="23"/>
      <c r="U2" s="23"/>
      <c r="V2" s="22"/>
      <c r="W2" s="22"/>
    </row>
    <row r="3" spans="1:23" ht="12.75" customHeight="1" x14ac:dyDescent="0.2">
      <c r="A3" s="112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P3" s="108" t="s">
        <v>2</v>
      </c>
      <c r="Q3" s="109"/>
      <c r="R3" s="109"/>
      <c r="S3" s="109"/>
      <c r="T3" s="109"/>
      <c r="U3" s="110"/>
    </row>
    <row r="4" spans="1:23" ht="12.75" customHeight="1" x14ac:dyDescent="0.2">
      <c r="A4" s="100" t="s">
        <v>50</v>
      </c>
      <c r="B4" s="116" t="s">
        <v>6</v>
      </c>
      <c r="C4" s="116" t="s">
        <v>7</v>
      </c>
      <c r="D4" s="91" t="s">
        <v>43</v>
      </c>
      <c r="E4" s="91" t="s">
        <v>68</v>
      </c>
      <c r="F4" s="98" t="s">
        <v>51</v>
      </c>
      <c r="G4" s="100" t="s">
        <v>8</v>
      </c>
      <c r="H4" s="98" t="s">
        <v>52</v>
      </c>
      <c r="I4" s="91" t="s">
        <v>53</v>
      </c>
      <c r="J4" s="101"/>
      <c r="K4" s="101"/>
      <c r="L4" s="93"/>
      <c r="M4" s="93"/>
      <c r="N4" s="95" t="s">
        <v>49</v>
      </c>
      <c r="O4" s="4"/>
      <c r="P4" s="60"/>
      <c r="Q4" s="61" t="s">
        <v>3</v>
      </c>
      <c r="R4" s="61"/>
      <c r="S4" s="61"/>
      <c r="T4" s="61" t="s">
        <v>4</v>
      </c>
      <c r="U4" s="62" t="s">
        <v>5</v>
      </c>
    </row>
    <row r="5" spans="1:23" ht="12.75" customHeight="1" x14ac:dyDescent="0.2">
      <c r="A5" s="99"/>
      <c r="B5" s="117"/>
      <c r="C5" s="117"/>
      <c r="D5" s="92"/>
      <c r="E5" s="103"/>
      <c r="F5" s="99"/>
      <c r="G5" s="99"/>
      <c r="H5" s="99"/>
      <c r="I5" s="92"/>
      <c r="J5" s="102"/>
      <c r="K5" s="102"/>
      <c r="L5" s="94"/>
      <c r="M5" s="97"/>
      <c r="N5" s="96"/>
      <c r="P5" s="63" t="s">
        <v>9</v>
      </c>
      <c r="Q5" s="59" t="s">
        <v>9</v>
      </c>
      <c r="R5" s="59" t="s">
        <v>10</v>
      </c>
      <c r="S5" s="59" t="s">
        <v>11</v>
      </c>
      <c r="T5" s="59" t="s">
        <v>12</v>
      </c>
      <c r="U5" s="64" t="s">
        <v>13</v>
      </c>
    </row>
    <row r="6" spans="1:23" ht="12.75" customHeight="1" x14ac:dyDescent="0.2">
      <c r="A6" s="3" t="s">
        <v>14</v>
      </c>
      <c r="B6" s="5">
        <v>4.2999999999999997E-2</v>
      </c>
      <c r="C6" s="6"/>
      <c r="D6" s="30"/>
      <c r="E6" s="30"/>
      <c r="F6" s="7"/>
      <c r="G6" s="7"/>
      <c r="H6" s="7"/>
      <c r="I6" s="30"/>
      <c r="J6" s="30"/>
      <c r="K6" s="30"/>
      <c r="L6" s="7"/>
      <c r="M6" s="7"/>
      <c r="P6" s="65"/>
      <c r="Q6" s="66"/>
      <c r="R6" s="66"/>
      <c r="S6" s="66"/>
      <c r="T6" s="66"/>
      <c r="U6" s="67"/>
    </row>
    <row r="7" spans="1:23" ht="12.75" customHeight="1" x14ac:dyDescent="0.2">
      <c r="A7" s="3" t="s">
        <v>15</v>
      </c>
      <c r="B7" s="5">
        <v>4.4999999999999998E-2</v>
      </c>
      <c r="C7" s="6"/>
      <c r="D7" s="30"/>
      <c r="E7" s="30"/>
      <c r="F7" s="7"/>
      <c r="G7" s="7"/>
      <c r="H7" s="7"/>
      <c r="I7" s="30"/>
      <c r="J7" s="30"/>
      <c r="K7" s="30"/>
      <c r="L7" s="7"/>
      <c r="M7" s="7"/>
      <c r="P7" s="65"/>
      <c r="Q7" s="66"/>
      <c r="R7" s="66"/>
      <c r="S7" s="66"/>
      <c r="T7" s="66"/>
      <c r="U7" s="67"/>
    </row>
    <row r="8" spans="1:23" ht="12.75" customHeight="1" x14ac:dyDescent="0.2">
      <c r="A8" s="3" t="s">
        <v>16</v>
      </c>
      <c r="B8" s="5">
        <v>4.4999999999999998E-2</v>
      </c>
      <c r="C8" s="6"/>
      <c r="D8" s="30"/>
      <c r="E8" s="30"/>
      <c r="F8" s="8"/>
      <c r="G8" s="7"/>
      <c r="H8" s="7"/>
      <c r="I8" s="30"/>
      <c r="J8" s="30"/>
      <c r="K8" s="30"/>
      <c r="L8" s="7"/>
      <c r="M8" s="7"/>
      <c r="P8" s="65"/>
      <c r="Q8" s="66"/>
      <c r="R8" s="66"/>
      <c r="S8" s="66"/>
      <c r="T8" s="66"/>
      <c r="U8" s="67"/>
    </row>
    <row r="9" spans="1:23" ht="12.75" customHeight="1" x14ac:dyDescent="0.2">
      <c r="A9" s="3" t="s">
        <v>17</v>
      </c>
      <c r="B9" s="5">
        <v>4.4999999999999998E-2</v>
      </c>
      <c r="C9" s="6"/>
      <c r="D9" s="30"/>
      <c r="E9" s="30"/>
      <c r="F9" s="7"/>
      <c r="G9" s="7"/>
      <c r="H9" s="7"/>
      <c r="I9" s="30"/>
      <c r="J9" s="30"/>
      <c r="K9" s="30"/>
      <c r="L9" s="7"/>
      <c r="M9" s="7"/>
      <c r="P9" s="65"/>
      <c r="Q9" s="66"/>
      <c r="R9" s="66"/>
      <c r="S9" s="66"/>
      <c r="T9" s="66"/>
      <c r="U9" s="67"/>
    </row>
    <row r="10" spans="1:23" ht="12.75" customHeight="1" x14ac:dyDescent="0.2">
      <c r="A10" s="3" t="s">
        <v>18</v>
      </c>
      <c r="B10" s="5">
        <v>4.4999999999999998E-2</v>
      </c>
      <c r="C10" s="6"/>
      <c r="D10" s="30"/>
      <c r="E10" s="30"/>
      <c r="F10" s="7"/>
      <c r="G10" s="7"/>
      <c r="H10" s="7"/>
      <c r="I10" s="30"/>
      <c r="J10" s="30"/>
      <c r="K10" s="30"/>
      <c r="L10" s="7"/>
      <c r="M10" s="7"/>
      <c r="P10" s="65"/>
      <c r="Q10" s="66"/>
      <c r="R10" s="66"/>
      <c r="S10" s="66"/>
      <c r="T10" s="66"/>
      <c r="U10" s="67"/>
    </row>
    <row r="11" spans="1:23" ht="12.75" customHeight="1" x14ac:dyDescent="0.2">
      <c r="A11" s="3" t="s">
        <v>19</v>
      </c>
      <c r="B11" s="5">
        <v>4.8800000000000003E-2</v>
      </c>
      <c r="C11" s="6"/>
      <c r="D11" s="30"/>
      <c r="E11" s="30"/>
      <c r="F11" s="7"/>
      <c r="G11" s="7"/>
      <c r="H11" s="7"/>
      <c r="I11" s="30"/>
      <c r="J11" s="30"/>
      <c r="K11" s="30"/>
      <c r="L11" s="7"/>
      <c r="M11" s="7"/>
      <c r="P11" s="65"/>
      <c r="Q11" s="66"/>
      <c r="R11" s="66"/>
      <c r="S11" s="66"/>
      <c r="T11" s="66"/>
      <c r="U11" s="67"/>
    </row>
    <row r="12" spans="1:23" ht="12.75" customHeight="1" x14ac:dyDescent="0.2">
      <c r="A12" s="3" t="s">
        <v>20</v>
      </c>
      <c r="B12" s="5">
        <v>4.8099999999999997E-2</v>
      </c>
      <c r="C12" s="6"/>
      <c r="D12" s="30"/>
      <c r="E12" s="30"/>
      <c r="F12" s="7"/>
      <c r="G12" s="7"/>
      <c r="H12" s="7"/>
      <c r="I12" s="30"/>
      <c r="J12" s="30"/>
      <c r="K12" s="30"/>
      <c r="L12" s="7"/>
      <c r="M12" s="7"/>
      <c r="P12" s="65"/>
      <c r="Q12" s="66"/>
      <c r="R12" s="66"/>
      <c r="S12" s="66"/>
      <c r="T12" s="66"/>
      <c r="U12" s="67"/>
    </row>
    <row r="13" spans="1:23" ht="12.75" customHeight="1" x14ac:dyDescent="0.2">
      <c r="A13" s="3" t="s">
        <v>21</v>
      </c>
      <c r="B13" s="5">
        <v>4.8099999999999997E-2</v>
      </c>
      <c r="C13" s="6"/>
      <c r="D13" s="30"/>
      <c r="E13" s="30"/>
      <c r="F13" s="7"/>
      <c r="G13" s="7"/>
      <c r="H13" s="7"/>
      <c r="I13" s="30"/>
      <c r="J13" s="30"/>
      <c r="K13" s="30"/>
      <c r="L13" s="7"/>
      <c r="M13" s="7"/>
      <c r="P13" s="65"/>
      <c r="Q13" s="66"/>
      <c r="R13" s="66"/>
      <c r="S13" s="66"/>
      <c r="T13" s="66"/>
      <c r="U13" s="67"/>
    </row>
    <row r="14" spans="1:23" ht="12.75" customHeight="1" x14ac:dyDescent="0.2">
      <c r="A14" s="3" t="s">
        <v>22</v>
      </c>
      <c r="B14" s="5">
        <v>4.8599999999999997E-2</v>
      </c>
      <c r="C14" s="6"/>
      <c r="D14" s="30"/>
      <c r="E14" s="30"/>
      <c r="F14" s="7"/>
      <c r="G14" s="7"/>
      <c r="H14" s="7"/>
      <c r="I14" s="30"/>
      <c r="J14" s="30"/>
      <c r="K14" s="30"/>
      <c r="L14" s="7"/>
      <c r="M14" s="7"/>
      <c r="P14" s="65"/>
      <c r="Q14" s="66"/>
      <c r="R14" s="66"/>
      <c r="S14" s="66"/>
      <c r="T14" s="66"/>
      <c r="U14" s="67"/>
    </row>
    <row r="15" spans="1:23" ht="12.75" customHeight="1" x14ac:dyDescent="0.2">
      <c r="A15" s="3" t="s">
        <v>23</v>
      </c>
      <c r="B15" s="5">
        <v>4.5999999999999999E-2</v>
      </c>
      <c r="C15" s="6"/>
      <c r="D15" s="30"/>
      <c r="E15" s="30"/>
      <c r="F15" s="7"/>
      <c r="G15" s="7"/>
      <c r="H15" s="7"/>
      <c r="I15" s="30"/>
      <c r="J15" s="30"/>
      <c r="K15" s="30"/>
      <c r="L15" s="7"/>
      <c r="M15" s="7"/>
      <c r="P15" s="65"/>
      <c r="Q15" s="66"/>
      <c r="R15" s="66"/>
      <c r="S15" s="66"/>
      <c r="T15" s="66"/>
      <c r="U15" s="67"/>
    </row>
    <row r="16" spans="1:23" ht="12.75" customHeight="1" x14ac:dyDescent="0.2">
      <c r="A16" s="3" t="s">
        <v>24</v>
      </c>
      <c r="B16" s="5">
        <v>4.6100000000000002E-2</v>
      </c>
      <c r="C16" s="5"/>
      <c r="D16" s="31"/>
      <c r="E16" s="31"/>
      <c r="F16" s="8">
        <v>4.81E-3</v>
      </c>
      <c r="G16" s="8">
        <v>4.2999999999999999E-4</v>
      </c>
      <c r="H16" s="8">
        <v>0</v>
      </c>
      <c r="I16" s="31">
        <f t="shared" ref="I16:I24" si="0">SUM(F16:H16)</f>
        <v>5.2399999999999999E-3</v>
      </c>
      <c r="J16" s="31"/>
      <c r="K16" s="31"/>
      <c r="N16" s="3" t="s">
        <v>22</v>
      </c>
      <c r="P16" s="68"/>
      <c r="Q16" s="69"/>
      <c r="R16" s="69"/>
      <c r="S16" s="69"/>
      <c r="T16" s="69"/>
      <c r="U16" s="70"/>
    </row>
    <row r="17" spans="1:24" ht="12.75" customHeight="1" x14ac:dyDescent="0.2">
      <c r="A17" s="3" t="s">
        <v>25</v>
      </c>
      <c r="B17" s="5">
        <v>4.48E-2</v>
      </c>
      <c r="C17" s="5"/>
      <c r="D17" s="31"/>
      <c r="E17" s="31"/>
      <c r="F17" s="8">
        <v>4.6600000000000001E-3</v>
      </c>
      <c r="G17" s="8">
        <v>0</v>
      </c>
      <c r="H17" s="8">
        <v>1.81E-3</v>
      </c>
      <c r="I17" s="31">
        <f t="shared" si="0"/>
        <v>6.4700000000000001E-3</v>
      </c>
      <c r="J17" s="31"/>
      <c r="K17" s="31"/>
      <c r="N17" s="3" t="s">
        <v>23</v>
      </c>
      <c r="P17" s="68"/>
      <c r="Q17" s="69"/>
      <c r="R17" s="69"/>
      <c r="S17" s="69"/>
      <c r="T17" s="69"/>
      <c r="U17" s="70"/>
    </row>
    <row r="18" spans="1:24" ht="12.75" customHeight="1" x14ac:dyDescent="0.2">
      <c r="A18" s="3" t="s">
        <v>26</v>
      </c>
      <c r="B18" s="5">
        <v>4.9000000000000002E-2</v>
      </c>
      <c r="C18" s="5"/>
      <c r="D18" s="31"/>
      <c r="E18" s="31"/>
      <c r="F18" s="8">
        <v>5.2700000000000004E-3</v>
      </c>
      <c r="G18" s="8">
        <v>7.1000000000000002E-4</v>
      </c>
      <c r="H18" s="8">
        <v>1.72E-3</v>
      </c>
      <c r="I18" s="31">
        <f t="shared" si="0"/>
        <v>7.7000000000000002E-3</v>
      </c>
      <c r="J18" s="31"/>
      <c r="K18" s="31"/>
      <c r="N18" s="3" t="s">
        <v>24</v>
      </c>
      <c r="P18" s="68"/>
      <c r="Q18" s="69"/>
      <c r="R18" s="69"/>
      <c r="S18" s="69"/>
      <c r="T18" s="69"/>
      <c r="U18" s="70">
        <v>4.1000000000000003E-3</v>
      </c>
    </row>
    <row r="19" spans="1:24" ht="12.75" customHeight="1" x14ac:dyDescent="0.2">
      <c r="A19" s="3" t="s">
        <v>27</v>
      </c>
      <c r="B19" s="5">
        <v>4.9300000000000004E-2</v>
      </c>
      <c r="C19" s="5"/>
      <c r="D19" s="31"/>
      <c r="E19" s="31"/>
      <c r="F19" s="8">
        <v>7.9000000000000008E-3</v>
      </c>
      <c r="G19" s="8">
        <v>1.7000000000000001E-3</v>
      </c>
      <c r="H19" s="8">
        <v>2.32E-3</v>
      </c>
      <c r="I19" s="31">
        <f t="shared" si="0"/>
        <v>1.192E-2</v>
      </c>
      <c r="J19" s="31"/>
      <c r="K19" s="31"/>
      <c r="N19" s="8" t="s">
        <v>25</v>
      </c>
      <c r="P19" s="68"/>
      <c r="Q19" s="69"/>
      <c r="R19" s="69"/>
      <c r="S19" s="69"/>
      <c r="T19" s="69"/>
      <c r="U19" s="70">
        <v>4.1000000000000003E-3</v>
      </c>
    </row>
    <row r="20" spans="1:24" ht="12.75" customHeight="1" x14ac:dyDescent="0.2">
      <c r="A20" s="3" t="s">
        <v>28</v>
      </c>
      <c r="B20" s="5">
        <v>5.0100000000000006E-2</v>
      </c>
      <c r="C20" s="5"/>
      <c r="D20" s="31"/>
      <c r="E20" s="31"/>
      <c r="F20" s="8">
        <v>1.312E-2</v>
      </c>
      <c r="G20" s="8">
        <v>7.2000000000000005E-4</v>
      </c>
      <c r="H20" s="8">
        <v>2.9000000000000002E-3</v>
      </c>
      <c r="I20" s="31">
        <f t="shared" si="0"/>
        <v>1.6740000000000001E-2</v>
      </c>
      <c r="J20" s="31"/>
      <c r="K20" s="31"/>
      <c r="N20" s="8" t="s">
        <v>26</v>
      </c>
      <c r="P20" s="68"/>
      <c r="Q20" s="69"/>
      <c r="R20" s="69"/>
      <c r="S20" s="69"/>
      <c r="T20" s="69"/>
      <c r="U20" s="70">
        <v>2E-3</v>
      </c>
    </row>
    <row r="21" spans="1:24" ht="12.75" customHeight="1" x14ac:dyDescent="0.2">
      <c r="A21" s="3" t="s">
        <v>29</v>
      </c>
      <c r="B21" s="5">
        <v>5.0700000000000002E-2</v>
      </c>
      <c r="C21" s="5"/>
      <c r="D21" s="31"/>
      <c r="E21" s="31"/>
      <c r="F21" s="8">
        <v>9.300000000000001E-3</v>
      </c>
      <c r="G21" s="8">
        <v>8.0999999999999996E-4</v>
      </c>
      <c r="H21" s="8">
        <v>4.3500000000000006E-3</v>
      </c>
      <c r="I21" s="31">
        <f t="shared" si="0"/>
        <v>1.4460000000000001E-2</v>
      </c>
      <c r="J21" s="31"/>
      <c r="K21" s="31"/>
      <c r="N21" s="8" t="s">
        <v>27</v>
      </c>
      <c r="P21" s="68"/>
      <c r="Q21" s="69"/>
      <c r="R21" s="69"/>
      <c r="S21" s="69"/>
      <c r="T21" s="69"/>
      <c r="U21" s="70">
        <v>2.1000000000000003E-3</v>
      </c>
    </row>
    <row r="22" spans="1:24" ht="12.75" customHeight="1" x14ac:dyDescent="0.2">
      <c r="A22" s="3" t="s">
        <v>30</v>
      </c>
      <c r="B22" s="5">
        <v>4.8100000000000004E-2</v>
      </c>
      <c r="C22" s="5"/>
      <c r="D22" s="31"/>
      <c r="E22" s="31"/>
      <c r="F22" s="8">
        <v>1.302E-2</v>
      </c>
      <c r="G22" s="8">
        <v>1.41E-3</v>
      </c>
      <c r="H22" s="8">
        <v>3.31E-3</v>
      </c>
      <c r="I22" s="31">
        <f t="shared" si="0"/>
        <v>1.7739999999999999E-2</v>
      </c>
      <c r="J22" s="31"/>
      <c r="K22" s="31"/>
      <c r="N22" s="8" t="s">
        <v>28</v>
      </c>
      <c r="P22" s="68"/>
      <c r="Q22" s="69"/>
      <c r="R22" s="69"/>
      <c r="S22" s="69"/>
      <c r="T22" s="69"/>
      <c r="U22" s="70">
        <v>0</v>
      </c>
    </row>
    <row r="23" spans="1:24" ht="12.75" customHeight="1" x14ac:dyDescent="0.2">
      <c r="A23" s="3" t="s">
        <v>31</v>
      </c>
      <c r="B23" s="5">
        <v>4.48E-2</v>
      </c>
      <c r="C23" s="5">
        <v>3.8E-3</v>
      </c>
      <c r="D23" s="31"/>
      <c r="E23" s="31"/>
      <c r="F23" s="8">
        <v>1.9050000000000001E-2</v>
      </c>
      <c r="G23" s="8">
        <v>1.6100000000000001E-3</v>
      </c>
      <c r="H23" s="8">
        <v>5.7200000000000003E-3</v>
      </c>
      <c r="I23" s="31">
        <f t="shared" si="0"/>
        <v>2.6380000000000001E-2</v>
      </c>
      <c r="J23" s="31"/>
      <c r="K23" s="31"/>
      <c r="N23" s="3" t="s">
        <v>29</v>
      </c>
      <c r="P23" s="68"/>
      <c r="Q23" s="69"/>
      <c r="R23" s="69"/>
      <c r="S23" s="69"/>
      <c r="T23" s="69"/>
      <c r="U23" s="70">
        <v>1.47E-3</v>
      </c>
    </row>
    <row r="24" spans="1:24" ht="12.75" customHeight="1" x14ac:dyDescent="0.2">
      <c r="A24" s="3" t="s">
        <v>32</v>
      </c>
      <c r="B24" s="5">
        <v>4.7600000000000003E-2</v>
      </c>
      <c r="C24" s="5">
        <v>2.3E-3</v>
      </c>
      <c r="D24" s="31"/>
      <c r="E24" s="31"/>
      <c r="F24" s="8">
        <v>1.8800000000000001E-2</v>
      </c>
      <c r="G24" s="8">
        <v>3.4000000000000002E-4</v>
      </c>
      <c r="H24" s="8">
        <v>4.7000000000000002E-3</v>
      </c>
      <c r="I24" s="31">
        <f t="shared" si="0"/>
        <v>2.384E-2</v>
      </c>
      <c r="J24" s="31"/>
      <c r="K24" s="31"/>
      <c r="N24" s="3" t="s">
        <v>30</v>
      </c>
      <c r="P24" s="68"/>
      <c r="Q24" s="69"/>
      <c r="R24" s="69"/>
      <c r="S24" s="69"/>
      <c r="T24" s="69"/>
      <c r="U24" s="70">
        <v>2.0300000000000001E-3</v>
      </c>
      <c r="X24" s="9">
        <f>(F24+F25)/2</f>
        <v>1.43E-2</v>
      </c>
    </row>
    <row r="25" spans="1:24" ht="12.75" customHeight="1" x14ac:dyDescent="0.2">
      <c r="A25" s="10" t="s">
        <v>33</v>
      </c>
      <c r="B25" s="5"/>
      <c r="C25" s="5"/>
      <c r="D25" s="31"/>
      <c r="E25" s="31"/>
      <c r="F25" s="8">
        <v>9.7999999999999997E-3</v>
      </c>
      <c r="G25" s="8"/>
      <c r="H25" s="8"/>
      <c r="I25" s="31">
        <f>F25+G24+H24</f>
        <v>1.4839999999999999E-2</v>
      </c>
      <c r="J25" s="31"/>
      <c r="K25" s="31"/>
      <c r="N25" s="3"/>
      <c r="P25" s="68"/>
      <c r="Q25" s="69"/>
      <c r="R25" s="69"/>
      <c r="S25" s="69"/>
      <c r="T25" s="69"/>
      <c r="U25" s="70"/>
    </row>
    <row r="26" spans="1:24" ht="12.75" customHeight="1" x14ac:dyDescent="0.2">
      <c r="A26" s="3" t="s">
        <v>34</v>
      </c>
      <c r="B26" s="5">
        <v>4.99E-2</v>
      </c>
      <c r="C26" s="5">
        <v>3.2000000000000002E-3</v>
      </c>
      <c r="D26" s="79">
        <f>SUM(B26:C26)</f>
        <v>5.3100000000000001E-2</v>
      </c>
      <c r="E26" s="79"/>
      <c r="F26" s="8">
        <v>9.0699999999999999E-3</v>
      </c>
      <c r="G26" s="8">
        <v>1.39E-3</v>
      </c>
      <c r="H26" s="8">
        <v>4.7000000000000002E-3</v>
      </c>
      <c r="I26" s="31">
        <f t="shared" ref="I26:I32" si="1">SUM(F26:H26)</f>
        <v>1.516E-2</v>
      </c>
      <c r="J26" s="31"/>
      <c r="K26" s="31"/>
      <c r="N26" s="3" t="s">
        <v>31</v>
      </c>
      <c r="P26" s="68"/>
      <c r="Q26" s="69"/>
      <c r="R26" s="69"/>
      <c r="S26" s="69"/>
      <c r="T26" s="69"/>
      <c r="U26" s="70"/>
    </row>
    <row r="27" spans="1:24" ht="12.75" customHeight="1" x14ac:dyDescent="0.2">
      <c r="A27" s="3" t="s">
        <v>35</v>
      </c>
      <c r="B27" s="11">
        <v>5.0299999999999997E-2</v>
      </c>
      <c r="C27" s="11">
        <v>2.5000000000000001E-3</v>
      </c>
      <c r="D27" s="79">
        <f t="shared" ref="D27:D36" si="2">SUM(B27:C27)</f>
        <v>5.28E-2</v>
      </c>
      <c r="E27" s="79"/>
      <c r="F27" s="12">
        <v>1.4840000000000001E-2</v>
      </c>
      <c r="G27" s="12">
        <v>9.1E-4</v>
      </c>
      <c r="H27" s="12">
        <v>5.0800000000000003E-3</v>
      </c>
      <c r="I27" s="31">
        <f t="shared" si="1"/>
        <v>2.0830000000000001E-2</v>
      </c>
      <c r="J27" s="31"/>
      <c r="K27" s="31"/>
      <c r="N27" s="3" t="s">
        <v>32</v>
      </c>
      <c r="P27" s="71"/>
      <c r="Q27" s="44"/>
      <c r="R27" s="44"/>
      <c r="S27" s="44"/>
      <c r="T27" s="44"/>
      <c r="U27" s="72" t="s">
        <v>36</v>
      </c>
    </row>
    <row r="28" spans="1:24" ht="12.75" customHeight="1" x14ac:dyDescent="0.2">
      <c r="A28" s="3" t="s">
        <v>37</v>
      </c>
      <c r="B28" s="11">
        <v>4.6600000000000003E-2</v>
      </c>
      <c r="C28" s="11">
        <v>2.3999999999999998E-3</v>
      </c>
      <c r="D28" s="79">
        <f t="shared" si="2"/>
        <v>4.9000000000000002E-2</v>
      </c>
      <c r="E28" s="87">
        <v>1.5885999999999999E-3</v>
      </c>
      <c r="F28" s="12">
        <v>1.4409999999999999E-2</v>
      </c>
      <c r="G28" s="12">
        <v>3.1E-4</v>
      </c>
      <c r="H28" s="12">
        <v>5.1599999999999997E-3</v>
      </c>
      <c r="I28" s="31">
        <f t="shared" si="1"/>
        <v>1.9879999999999998E-2</v>
      </c>
      <c r="J28" s="31"/>
      <c r="K28" s="31"/>
      <c r="N28" s="3" t="s">
        <v>34</v>
      </c>
      <c r="P28" s="71"/>
      <c r="Q28" s="44"/>
      <c r="R28" s="44"/>
      <c r="S28" s="44"/>
      <c r="T28" s="44"/>
      <c r="U28" s="62"/>
    </row>
    <row r="29" spans="1:24" ht="12.75" customHeight="1" x14ac:dyDescent="0.2">
      <c r="A29" s="13" t="s">
        <v>38</v>
      </c>
      <c r="B29" s="11">
        <v>4.6699999999999998E-2</v>
      </c>
      <c r="C29" s="11">
        <v>2.7000000000000001E-3</v>
      </c>
      <c r="D29" s="79">
        <f t="shared" si="2"/>
        <v>4.9399999999999999E-2</v>
      </c>
      <c r="E29" s="87">
        <v>2.0489000000000002E-3</v>
      </c>
      <c r="F29" s="12">
        <v>1.337E-2</v>
      </c>
      <c r="G29" s="12">
        <v>8.0000000000000004E-4</v>
      </c>
      <c r="H29" s="12">
        <v>5.5700000000000003E-3</v>
      </c>
      <c r="I29" s="31">
        <f t="shared" si="1"/>
        <v>1.9740000000000001E-2</v>
      </c>
      <c r="J29" s="31"/>
      <c r="K29" s="31"/>
      <c r="N29" s="3" t="s">
        <v>35</v>
      </c>
      <c r="P29" s="71"/>
      <c r="Q29" s="44"/>
      <c r="R29" s="44"/>
      <c r="S29" s="44"/>
      <c r="T29" s="44"/>
      <c r="U29" s="62"/>
    </row>
    <row r="30" spans="1:24" ht="12.75" customHeight="1" x14ac:dyDescent="0.2">
      <c r="A30" s="3" t="s">
        <v>39</v>
      </c>
      <c r="B30" s="11">
        <v>4.6800000000000001E-2</v>
      </c>
      <c r="C30" s="14">
        <v>3.5000000000000001E-3</v>
      </c>
      <c r="D30" s="79">
        <f t="shared" si="2"/>
        <v>5.0300000000000004E-2</v>
      </c>
      <c r="E30" s="87">
        <v>2.1327E-3</v>
      </c>
      <c r="F30" s="12">
        <v>1.025E-2</v>
      </c>
      <c r="G30" s="12">
        <v>2.5999999999999998E-4</v>
      </c>
      <c r="H30" s="12">
        <v>5.1900000000000002E-3</v>
      </c>
      <c r="I30" s="31">
        <f t="shared" si="1"/>
        <v>1.5699999999999999E-2</v>
      </c>
      <c r="J30" s="31"/>
      <c r="K30" s="31"/>
      <c r="N30" s="3" t="s">
        <v>37</v>
      </c>
      <c r="P30" s="71"/>
      <c r="Q30" s="44"/>
      <c r="R30" s="44"/>
      <c r="S30" s="44"/>
      <c r="T30" s="44">
        <v>0.182</v>
      </c>
      <c r="U30" s="73"/>
    </row>
    <row r="31" spans="1:24" ht="12.75" customHeight="1" x14ac:dyDescent="0.2">
      <c r="A31" s="15" t="s">
        <v>40</v>
      </c>
      <c r="B31" s="11">
        <v>4.6899999999999997E-2</v>
      </c>
      <c r="C31" s="14">
        <v>3.3999999999999998E-3</v>
      </c>
      <c r="D31" s="79">
        <f t="shared" si="2"/>
        <v>5.0299999999999997E-2</v>
      </c>
      <c r="E31" s="87">
        <v>1.8238E-3</v>
      </c>
      <c r="F31" s="12">
        <v>6.6E-3</v>
      </c>
      <c r="G31" s="12">
        <v>5.1999999999999995E-4</v>
      </c>
      <c r="H31" s="12">
        <v>5.1500000000000001E-3</v>
      </c>
      <c r="I31" s="31">
        <f t="shared" si="1"/>
        <v>1.227E-2</v>
      </c>
      <c r="J31" s="31"/>
      <c r="K31" s="31"/>
      <c r="N31" s="3" t="s">
        <v>38</v>
      </c>
      <c r="P31" s="71"/>
      <c r="Q31" s="44"/>
      <c r="R31" s="44"/>
      <c r="S31" s="44"/>
      <c r="T31" s="44">
        <v>0.22</v>
      </c>
      <c r="U31" s="73"/>
    </row>
    <row r="32" spans="1:24" ht="12.75" customHeight="1" x14ac:dyDescent="0.2">
      <c r="A32" s="41" t="s">
        <v>41</v>
      </c>
      <c r="B32" s="43">
        <v>4.6800000000000001E-2</v>
      </c>
      <c r="C32" s="44">
        <v>3.3E-3</v>
      </c>
      <c r="D32" s="69">
        <f t="shared" si="2"/>
        <v>5.0099999999999999E-2</v>
      </c>
      <c r="E32" s="87">
        <v>1.9537000000000001E-3</v>
      </c>
      <c r="F32" s="45">
        <v>8.0199999999999994E-3</v>
      </c>
      <c r="G32" s="12">
        <v>7.2999999999999996E-4</v>
      </c>
      <c r="H32" s="12">
        <v>7.2399999999999999E-3</v>
      </c>
      <c r="I32" s="31">
        <f t="shared" si="1"/>
        <v>1.5989999999999997E-2</v>
      </c>
      <c r="J32" s="31"/>
      <c r="K32" s="31"/>
      <c r="N32" s="40" t="s">
        <v>39</v>
      </c>
      <c r="P32" s="74">
        <v>0.20300000000000001</v>
      </c>
      <c r="Q32" s="75">
        <v>3.6999999999999998E-2</v>
      </c>
      <c r="R32" s="75">
        <v>0.188</v>
      </c>
      <c r="S32" s="75">
        <v>2.5999999999999999E-2</v>
      </c>
      <c r="T32" s="75">
        <v>0.23599999999999999</v>
      </c>
      <c r="U32" s="76"/>
    </row>
    <row r="33" spans="1:23" ht="12.75" customHeight="1" x14ac:dyDescent="0.2">
      <c r="A33" s="41"/>
      <c r="B33" s="32"/>
      <c r="C33" s="33"/>
      <c r="D33" s="34"/>
      <c r="E33" s="34"/>
      <c r="F33" s="45"/>
      <c r="G33" s="12"/>
      <c r="H33" s="12"/>
      <c r="I33" s="31"/>
      <c r="J33" s="31"/>
      <c r="K33" s="31"/>
      <c r="N33" s="40"/>
      <c r="P33" s="25"/>
      <c r="Q33" s="25"/>
      <c r="R33" s="25"/>
      <c r="S33" s="25"/>
      <c r="T33" s="25"/>
      <c r="U33" s="49"/>
    </row>
    <row r="34" spans="1:23" ht="12.75" customHeight="1" x14ac:dyDescent="0.25">
      <c r="A34" s="42"/>
      <c r="B34" s="113" t="s">
        <v>54</v>
      </c>
      <c r="C34" s="114"/>
      <c r="D34" s="115"/>
      <c r="E34" s="86" t="s">
        <v>67</v>
      </c>
      <c r="F34" s="104" t="s">
        <v>60</v>
      </c>
      <c r="G34" s="105"/>
      <c r="H34" s="105"/>
      <c r="I34" s="105"/>
      <c r="J34" s="105"/>
      <c r="K34" s="105"/>
      <c r="L34" s="105"/>
      <c r="M34" s="106"/>
      <c r="N34" s="107"/>
      <c r="P34" s="25"/>
      <c r="Q34" s="25"/>
      <c r="R34" s="25"/>
      <c r="S34" s="25"/>
      <c r="T34" s="25"/>
      <c r="U34" s="49"/>
    </row>
    <row r="35" spans="1:23" s="39" customFormat="1" ht="27.95" customHeight="1" x14ac:dyDescent="0.25">
      <c r="A35" s="83" t="s">
        <v>50</v>
      </c>
      <c r="B35" s="80" t="s">
        <v>6</v>
      </c>
      <c r="C35" s="80" t="s">
        <v>7</v>
      </c>
      <c r="D35" s="85" t="s">
        <v>43</v>
      </c>
      <c r="E35" s="81" t="s">
        <v>66</v>
      </c>
      <c r="F35" s="81" t="s">
        <v>44</v>
      </c>
      <c r="G35" s="81" t="s">
        <v>61</v>
      </c>
      <c r="H35" s="81" t="s">
        <v>63</v>
      </c>
      <c r="I35" s="81" t="s">
        <v>42</v>
      </c>
      <c r="J35" s="82" t="s">
        <v>59</v>
      </c>
      <c r="K35" s="81" t="s">
        <v>58</v>
      </c>
      <c r="L35" s="81" t="s">
        <v>11</v>
      </c>
      <c r="M35" s="27" t="s">
        <v>70</v>
      </c>
      <c r="N35" s="81" t="s">
        <v>49</v>
      </c>
      <c r="O35" s="46"/>
      <c r="P35" s="50"/>
      <c r="Q35" s="50"/>
      <c r="R35" s="50"/>
      <c r="S35" s="50"/>
      <c r="T35" s="50"/>
      <c r="U35" s="51"/>
      <c r="V35" s="38"/>
      <c r="W35" s="38"/>
    </row>
    <row r="36" spans="1:23" ht="12.75" customHeight="1" x14ac:dyDescent="0.2">
      <c r="A36" s="13">
        <v>2004</v>
      </c>
      <c r="B36" s="2">
        <v>5.3100000000000001E-2</v>
      </c>
      <c r="C36" s="14">
        <v>3.3E-3</v>
      </c>
      <c r="D36" s="47">
        <f t="shared" si="2"/>
        <v>5.6399999999999999E-2</v>
      </c>
      <c r="E36" s="88">
        <v>2.2017999999999999E-3</v>
      </c>
      <c r="F36" s="28" t="s">
        <v>45</v>
      </c>
      <c r="G36" s="35">
        <v>0.21199999999999999</v>
      </c>
      <c r="H36" s="35">
        <v>8.6999999999999994E-2</v>
      </c>
      <c r="I36" s="35">
        <v>3.2000000000000001E-2</v>
      </c>
      <c r="J36" s="16">
        <v>0.193</v>
      </c>
      <c r="K36" s="17">
        <v>0.128</v>
      </c>
      <c r="L36" s="17">
        <v>2.1999999999999999E-2</v>
      </c>
      <c r="M36" s="17"/>
      <c r="N36" s="15" t="s">
        <v>40</v>
      </c>
    </row>
    <row r="37" spans="1:23" s="20" customFormat="1" ht="12.75" customHeight="1" x14ac:dyDescent="0.2">
      <c r="A37" s="24">
        <v>2005</v>
      </c>
      <c r="B37" s="25">
        <v>4.9799999999999997E-2</v>
      </c>
      <c r="C37" s="14">
        <v>3.2000000000000002E-3</v>
      </c>
      <c r="D37" s="48">
        <f>SUM(B37:C37)</f>
        <v>5.2999999999999999E-2</v>
      </c>
      <c r="E37" s="88">
        <v>2.3622000000000001E-3</v>
      </c>
      <c r="F37" s="29" t="s">
        <v>45</v>
      </c>
      <c r="G37" s="36">
        <v>0.21199999999999999</v>
      </c>
      <c r="H37" s="36">
        <v>8.6999999999999994E-2</v>
      </c>
      <c r="I37" s="36">
        <v>3.2000000000000001E-2</v>
      </c>
      <c r="J37" s="16">
        <v>0.193</v>
      </c>
      <c r="K37" s="26">
        <v>0.128</v>
      </c>
      <c r="L37" s="26">
        <v>2.1999999999999999E-2</v>
      </c>
      <c r="M37" s="26"/>
      <c r="N37" s="15" t="s">
        <v>41</v>
      </c>
      <c r="O37" s="18"/>
      <c r="P37" s="18"/>
      <c r="Q37" s="18"/>
      <c r="R37" s="18"/>
      <c r="S37" s="18"/>
      <c r="T37" s="18"/>
      <c r="V37" s="19"/>
      <c r="W37" s="19"/>
    </row>
    <row r="38" spans="1:23" ht="12.75" customHeight="1" x14ac:dyDescent="0.2">
      <c r="A38" s="24">
        <v>2006</v>
      </c>
      <c r="B38" s="25">
        <v>4.9500000000000002E-2</v>
      </c>
      <c r="C38" s="14">
        <v>3.3E-3</v>
      </c>
      <c r="D38" s="48">
        <v>5.28E-2</v>
      </c>
      <c r="E38" s="88">
        <v>2.6389999999999999E-3</v>
      </c>
      <c r="F38" s="35">
        <v>0.23599999999999999</v>
      </c>
      <c r="G38" s="36">
        <v>0.216</v>
      </c>
      <c r="H38" s="36">
        <v>0.108</v>
      </c>
      <c r="I38" s="36">
        <v>6.3E-2</v>
      </c>
      <c r="J38" s="16">
        <v>0.19800000000000001</v>
      </c>
      <c r="K38" s="26">
        <v>7.1999999999999995E-2</v>
      </c>
      <c r="L38" s="26">
        <v>8.9999999999999993E-3</v>
      </c>
      <c r="M38" s="26"/>
      <c r="N38" s="15" t="s">
        <v>46</v>
      </c>
    </row>
    <row r="39" spans="1:23" ht="12.75" customHeight="1" x14ac:dyDescent="0.2">
      <c r="A39" s="24">
        <v>2007</v>
      </c>
      <c r="B39" s="25">
        <v>5.1700000000000003E-2</v>
      </c>
      <c r="C39" s="14">
        <v>3.3E-3</v>
      </c>
      <c r="D39" s="48">
        <f t="shared" ref="D39:D44" si="3">SUM(B39:C39)</f>
        <v>5.5E-2</v>
      </c>
      <c r="E39" s="88">
        <v>2.2315999999999998E-3</v>
      </c>
      <c r="F39" s="35">
        <v>0.23400000000000001</v>
      </c>
      <c r="G39" s="36">
        <v>0.25</v>
      </c>
      <c r="H39" s="36">
        <v>0.107</v>
      </c>
      <c r="I39" s="36">
        <v>7.3999999999999996E-2</v>
      </c>
      <c r="J39" s="16">
        <v>0.20899999999999999</v>
      </c>
      <c r="K39" s="26">
        <v>6.9000000000000006E-2</v>
      </c>
      <c r="L39" s="26">
        <v>4.0000000000000001E-3</v>
      </c>
      <c r="M39" s="26">
        <v>0.22700000000000001</v>
      </c>
      <c r="N39" s="15" t="s">
        <v>47</v>
      </c>
      <c r="T39" s="37"/>
    </row>
    <row r="40" spans="1:23" ht="12.75" customHeight="1" x14ac:dyDescent="0.2">
      <c r="A40" s="24">
        <v>2008</v>
      </c>
      <c r="B40" s="25">
        <v>5.3800000000000001E-2</v>
      </c>
      <c r="C40" s="14">
        <v>5.4999999999999997E-3</v>
      </c>
      <c r="D40" s="48">
        <f t="shared" si="3"/>
        <v>5.9299999999999999E-2</v>
      </c>
      <c r="E40" s="88">
        <v>2.6389999999999999E-3</v>
      </c>
      <c r="F40" s="35">
        <v>0.26400000000000001</v>
      </c>
      <c r="G40" s="36">
        <v>0.27500000000000002</v>
      </c>
      <c r="H40" s="36">
        <v>0.14299999999999999</v>
      </c>
      <c r="I40" s="36">
        <v>6.8000000000000005E-2</v>
      </c>
      <c r="J40" s="16">
        <v>0.25900000000000001</v>
      </c>
      <c r="K40" s="26">
        <v>0.183</v>
      </c>
      <c r="L40" s="26">
        <v>4.0000000000000001E-3</v>
      </c>
      <c r="M40" s="26">
        <v>0.224</v>
      </c>
      <c r="N40" s="15" t="s">
        <v>48</v>
      </c>
      <c r="T40" s="37"/>
    </row>
    <row r="41" spans="1:23" ht="12.75" customHeight="1" x14ac:dyDescent="0.2">
      <c r="A41" s="24">
        <v>2009</v>
      </c>
      <c r="B41" s="25">
        <v>5.4600000000000003E-2</v>
      </c>
      <c r="C41" s="14">
        <v>4.4000000000000003E-3</v>
      </c>
      <c r="D41" s="48">
        <f t="shared" si="3"/>
        <v>5.9000000000000004E-2</v>
      </c>
      <c r="E41" s="88">
        <v>2.6389999999999999E-3</v>
      </c>
      <c r="F41" s="35">
        <v>0.26800000000000002</v>
      </c>
      <c r="G41" s="36">
        <v>0.27700000000000002</v>
      </c>
      <c r="H41" s="36">
        <v>0.17</v>
      </c>
      <c r="I41" s="36">
        <v>6.2E-2</v>
      </c>
      <c r="J41" s="16">
        <v>0.27700000000000002</v>
      </c>
      <c r="K41" s="26">
        <v>0.17</v>
      </c>
      <c r="L41" s="26">
        <v>1.0999999999999999E-2</v>
      </c>
      <c r="M41" s="26">
        <v>0.26100000000000001</v>
      </c>
      <c r="N41" s="15" t="s">
        <v>55</v>
      </c>
      <c r="T41" s="37"/>
    </row>
    <row r="42" spans="1:23" ht="12.75" customHeight="1" x14ac:dyDescent="0.2">
      <c r="A42" s="24">
        <v>2010</v>
      </c>
      <c r="B42" s="25">
        <v>5.4199999999999998E-2</v>
      </c>
      <c r="C42" s="14">
        <v>4.3E-3</v>
      </c>
      <c r="D42" s="48">
        <f t="shared" si="3"/>
        <v>5.8499999999999996E-2</v>
      </c>
      <c r="E42" s="88">
        <v>2.6389999999999999E-3</v>
      </c>
      <c r="F42" s="35">
        <v>0.24399999999999999</v>
      </c>
      <c r="G42" s="36">
        <v>0.27700000000000002</v>
      </c>
      <c r="H42" s="36">
        <v>0.13300000000000001</v>
      </c>
      <c r="I42" s="36">
        <v>5.2999999999999999E-2</v>
      </c>
      <c r="J42" s="16">
        <v>0.27700000000000002</v>
      </c>
      <c r="K42" s="26">
        <v>0.13300000000000001</v>
      </c>
      <c r="L42" s="26">
        <v>1.4E-2</v>
      </c>
      <c r="M42" s="26">
        <v>0.22500000000000001</v>
      </c>
      <c r="N42" s="15" t="s">
        <v>57</v>
      </c>
      <c r="Q42" s="25"/>
    </row>
    <row r="43" spans="1:23" ht="12.75" customHeight="1" x14ac:dyDescent="0.2">
      <c r="A43" s="24">
        <v>2011</v>
      </c>
      <c r="B43" s="25">
        <v>5.5399999999999998E-2</v>
      </c>
      <c r="C43" s="14">
        <v>4.1999999999999997E-3</v>
      </c>
      <c r="D43" s="48">
        <f t="shared" si="3"/>
        <v>5.96E-2</v>
      </c>
      <c r="E43" s="88">
        <v>2.6389999999999999E-3</v>
      </c>
      <c r="F43" s="36">
        <v>0.24399999999999999</v>
      </c>
      <c r="G43" s="36">
        <v>0.29199999999999998</v>
      </c>
      <c r="H43" s="36">
        <v>0.158</v>
      </c>
      <c r="I43" s="36">
        <v>7.0000000000000007E-2</v>
      </c>
      <c r="J43" s="16">
        <v>0.29199999999999998</v>
      </c>
      <c r="K43" s="26">
        <v>0.158</v>
      </c>
      <c r="L43" s="26">
        <v>1.2E-2</v>
      </c>
      <c r="M43" s="26">
        <v>0.22600000000000001</v>
      </c>
      <c r="N43" s="90" t="s">
        <v>65</v>
      </c>
      <c r="O43" s="25"/>
      <c r="P43" s="25"/>
      <c r="T43" s="37"/>
    </row>
    <row r="44" spans="1:23" ht="12.75" customHeight="1" x14ac:dyDescent="0.2">
      <c r="A44" s="24">
        <v>2012</v>
      </c>
      <c r="B44" s="25">
        <v>5.1299999999999998E-2</v>
      </c>
      <c r="C44" s="14">
        <v>3.7000000000000002E-3</v>
      </c>
      <c r="D44" s="48">
        <f t="shared" si="3"/>
        <v>5.5E-2</v>
      </c>
      <c r="E44" s="88">
        <v>2.6389999999999999E-3</v>
      </c>
      <c r="F44" s="35">
        <v>0.26200000000000001</v>
      </c>
      <c r="G44" s="36">
        <v>0.311</v>
      </c>
      <c r="H44" s="36">
        <v>0.127</v>
      </c>
      <c r="I44" s="36">
        <v>8.1000000000000003E-2</v>
      </c>
      <c r="J44" s="16">
        <v>0.311</v>
      </c>
      <c r="K44" s="26">
        <v>0.127</v>
      </c>
      <c r="L44" s="26">
        <v>8.9999999999999993E-3</v>
      </c>
      <c r="M44" s="26">
        <v>0.221</v>
      </c>
      <c r="N44" s="15" t="s">
        <v>69</v>
      </c>
      <c r="T44" s="37"/>
    </row>
    <row r="45" spans="1:23" ht="12.75" customHeight="1" x14ac:dyDescent="0.2">
      <c r="A45" s="52">
        <v>2013</v>
      </c>
      <c r="B45" s="53">
        <v>5.1499999999999997E-2</v>
      </c>
      <c r="C45" s="54">
        <v>3.8999999999999998E-3</v>
      </c>
      <c r="D45" s="55">
        <v>5.5399999999999998E-2</v>
      </c>
      <c r="E45" s="89">
        <v>2.6389999999999999E-3</v>
      </c>
      <c r="F45" s="56">
        <v>0.27500000000000002</v>
      </c>
      <c r="G45" s="56">
        <v>0.309</v>
      </c>
      <c r="H45" s="56">
        <v>0.106</v>
      </c>
      <c r="I45" s="56">
        <v>7.9000000000000001E-2</v>
      </c>
      <c r="J45" s="57">
        <v>0.309</v>
      </c>
      <c r="K45" s="58">
        <v>0.106</v>
      </c>
      <c r="L45" s="58">
        <v>0.01</v>
      </c>
      <c r="M45" s="58">
        <v>0.21099999999999999</v>
      </c>
      <c r="N45" s="77" t="s">
        <v>71</v>
      </c>
      <c r="O45" s="78" t="s">
        <v>56</v>
      </c>
      <c r="P45" s="78"/>
      <c r="Q45" s="25"/>
    </row>
    <row r="46" spans="1:23" ht="12.75" customHeight="1" x14ac:dyDescent="0.2"/>
    <row r="47" spans="1:23" ht="12.75" customHeight="1" x14ac:dyDescent="0.2">
      <c r="A47" s="84" t="s">
        <v>64</v>
      </c>
    </row>
    <row r="48" spans="1:23" ht="12.75" customHeight="1" x14ac:dyDescent="0.2">
      <c r="A48" s="84" t="s">
        <v>62</v>
      </c>
    </row>
    <row r="49" ht="12.75" customHeight="1" x14ac:dyDescent="0.2"/>
  </sheetData>
  <mergeCells count="20">
    <mergeCell ref="F34:N34"/>
    <mergeCell ref="P3:U3"/>
    <mergeCell ref="A1:N1"/>
    <mergeCell ref="A2:N2"/>
    <mergeCell ref="A3:N3"/>
    <mergeCell ref="B34:D34"/>
    <mergeCell ref="A4:A5"/>
    <mergeCell ref="B4:B5"/>
    <mergeCell ref="C4:C5"/>
    <mergeCell ref="D4:D5"/>
    <mergeCell ref="L4:L5"/>
    <mergeCell ref="N4:N5"/>
    <mergeCell ref="M4:M5"/>
    <mergeCell ref="F4:F5"/>
    <mergeCell ref="G4:G5"/>
    <mergeCell ref="H4:H5"/>
    <mergeCell ref="I4:I5"/>
    <mergeCell ref="J4:J5"/>
    <mergeCell ref="K4:K5"/>
    <mergeCell ref="E4:E5"/>
  </mergeCells>
  <phoneticPr fontId="0" type="noConversion"/>
  <printOptions gridLines="1"/>
  <pageMargins left="0.75" right="0.75" top="1" bottom="1" header="0.5" footer="0.5"/>
  <pageSetup scale="77" orientation="portrait" horizontalDpi="300" verticalDpi="300" r:id="rId1"/>
  <headerFooter alignWithMargins="0"/>
  <ignoredErrors>
    <ignoredError sqref="D39:D43 D36:D37" formulaRange="1"/>
    <ignoredError sqref="I2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University Of Colorado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JOERIS_D</dc:creator>
  <cp:lastModifiedBy>Barry Northrop</cp:lastModifiedBy>
  <cp:lastPrinted>2007-05-25T21:58:55Z</cp:lastPrinted>
  <dcterms:created xsi:type="dcterms:W3CDTF">2003-08-14T19:49:02Z</dcterms:created>
  <dcterms:modified xsi:type="dcterms:W3CDTF">2013-01-03T18:55:01Z</dcterms:modified>
</cp:coreProperties>
</file>