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8195" windowHeight="7935"/>
  </bookViews>
  <sheets>
    <sheet name="Sheet1" sheetId="1" r:id="rId1"/>
    <sheet name="Sheet2" sheetId="2" r:id="rId2"/>
  </sheets>
  <calcPr calcId="145621"/>
</workbook>
</file>

<file path=xl/calcChain.xml><?xml version="1.0" encoding="utf-8"?>
<calcChain xmlns="http://schemas.openxmlformats.org/spreadsheetml/2006/main">
  <c r="G46" i="1" l="1"/>
  <c r="G24" i="2" l="1"/>
  <c r="G26" i="2"/>
  <c r="G30" i="2" l="1"/>
  <c r="G35" i="2" s="1"/>
  <c r="G32" i="1"/>
  <c r="G42" i="1"/>
  <c r="G36" i="1"/>
  <c r="G35" i="1"/>
  <c r="G33" i="1"/>
  <c r="G31" i="1"/>
  <c r="G37" i="1" l="1"/>
  <c r="G49" i="1" s="1"/>
  <c r="G53" i="1" l="1"/>
</calcChain>
</file>

<file path=xl/sharedStrings.xml><?xml version="1.0" encoding="utf-8"?>
<sst xmlns="http://schemas.openxmlformats.org/spreadsheetml/2006/main" count="113" uniqueCount="78">
  <si>
    <t>CITY OF SAINT PAUL</t>
  </si>
  <si>
    <t>Department of Fire and Safety Services</t>
  </si>
  <si>
    <t>Fire Prevention Division</t>
  </si>
  <si>
    <t>PERMIT APPLICATION</t>
  </si>
  <si>
    <t>375 Jackson Suite 220</t>
  </si>
  <si>
    <t>*All areas must be completed or application will be returned.</t>
  </si>
  <si>
    <t>Project Name and Address:</t>
  </si>
  <si>
    <t>Contractor Name and Address:</t>
  </si>
  <si>
    <t>Property Owner Name and Address:</t>
  </si>
  <si>
    <t>Estimated Start and End Date:</t>
  </si>
  <si>
    <t>Estimated Value of Project:</t>
  </si>
  <si>
    <t xml:space="preserve">Calculation Fee: </t>
  </si>
  <si>
    <t>Quantity:</t>
  </si>
  <si>
    <t>Fee:</t>
  </si>
  <si>
    <t>TOTAL PREMIT FEE:</t>
  </si>
  <si>
    <t>Detailed Description of Work:</t>
  </si>
  <si>
    <t xml:space="preserve">            </t>
  </si>
  <si>
    <t>and city ordinances will be complied with in performing the work for which this permit is issued.</t>
  </si>
  <si>
    <t>SUMMARY FEE:</t>
  </si>
  <si>
    <t>Charges per Quantity:</t>
  </si>
  <si>
    <t>Updated June 2014</t>
  </si>
  <si>
    <r>
      <rPr>
        <b/>
        <sz val="12"/>
        <rFont val="Times New Roman"/>
        <family val="1"/>
      </rPr>
      <t>*</t>
    </r>
    <r>
      <rPr>
        <sz val="12"/>
        <rFont val="Times New Roman"/>
        <family val="1"/>
      </rPr>
      <t>Correct fee must be enclosed or application will be returned.</t>
    </r>
  </si>
  <si>
    <t xml:space="preserve">                         Monday – Friday 8:00 AM – 4:00 PM</t>
  </si>
  <si>
    <t>State Surcharge $5.00</t>
  </si>
  <si>
    <r>
      <rPr>
        <b/>
        <sz val="12"/>
        <color theme="1"/>
        <rFont val="Times New Roman"/>
        <family val="1"/>
      </rPr>
      <t>*</t>
    </r>
    <r>
      <rPr>
        <sz val="12"/>
        <color theme="1"/>
        <rFont val="Times New Roman"/>
        <family val="1"/>
      </rPr>
      <t xml:space="preserve"> If you have questions please call (651) 266-8989.</t>
    </r>
  </si>
  <si>
    <t>Contact Information:</t>
  </si>
  <si>
    <t>Residential</t>
  </si>
  <si>
    <r>
      <rPr>
        <b/>
        <sz val="12"/>
        <color theme="1"/>
        <rFont val="Times New Roman"/>
        <family val="1"/>
      </rPr>
      <t>Select one:</t>
    </r>
    <r>
      <rPr>
        <sz val="12"/>
        <color theme="1"/>
        <rFont val="Times New Roman"/>
        <family val="1"/>
      </rPr>
      <t xml:space="preserve"> </t>
    </r>
  </si>
  <si>
    <t xml:space="preserve">Commercial    </t>
  </si>
  <si>
    <t xml:space="preserve">New Building   </t>
  </si>
  <si>
    <t>6)Water Flow</t>
  </si>
  <si>
    <t xml:space="preserve">5)Plan Review </t>
  </si>
  <si>
    <t>4)Fire Pump</t>
  </si>
  <si>
    <t>3)Standpipes</t>
  </si>
  <si>
    <t>2)Sprinkler Heads Installation</t>
  </si>
  <si>
    <t>Existing Building</t>
  </si>
  <si>
    <t>Signature of Cardholder (required for all charges):</t>
  </si>
  <si>
    <t xml:space="preserve">□ AMEX □ Discover □ MasterCard □ Visa </t>
  </si>
  <si>
    <t>Enter Account Number ►►</t>
  </si>
  <si>
    <r>
      <t xml:space="preserve">              Security Code</t>
    </r>
    <r>
      <rPr>
        <sz val="8"/>
        <color theme="1"/>
        <rFont val="Times New Roman"/>
        <family val="1"/>
      </rPr>
      <t xml:space="preserve"> ►</t>
    </r>
  </si>
  <si>
    <t>Expiration Month/Year►</t>
  </si>
  <si>
    <r>
      <t xml:space="preserve">   </t>
    </r>
    <r>
      <rPr>
        <sz val="10"/>
        <color theme="1"/>
        <rFont val="Times New Roman"/>
        <family val="1"/>
      </rPr>
      <t xml:space="preserve">  *Exception if premit fee is greater than $10,000.00 then the permit cost times 0.0005</t>
    </r>
  </si>
  <si>
    <t>Signature_________________________________________</t>
  </si>
  <si>
    <t xml:space="preserve"> Date:_______________</t>
  </si>
  <si>
    <t xml:space="preserve">       *$65.00 when required for hydraulic calculation</t>
  </si>
  <si>
    <t xml:space="preserve">      *Fee is 1% of value of work and minimum of $65.00</t>
  </si>
  <si>
    <t xml:space="preserve">       *First 5 floors cost $64.00 per standpipes</t>
  </si>
  <si>
    <t xml:space="preserve">       *Add $7.00 per each additional floors above 5th floors</t>
  </si>
  <si>
    <t>*Applicant certifies that all information is correct and that all pertinent state regulations</t>
  </si>
  <si>
    <t>Permit application information can be obtained by calling (651) 266-8989</t>
  </si>
  <si>
    <t>Fax inspection request form to (651) 266-8951 when you are ready for an inspection.</t>
  </si>
  <si>
    <t>An inspector will contact you within 48 hours to set up an inspection time.</t>
  </si>
  <si>
    <t>7)Other Sprinkler Work that is not cover by items 2-4</t>
  </si>
  <si>
    <t xml:space="preserve">       *Place a 1 in the green box if there is a plan review</t>
  </si>
  <si>
    <t xml:space="preserve">       *Place a 1 in the green box if you obtained water flow data from the City</t>
  </si>
  <si>
    <t>*Make checks payable to the City of Saint Paul or Fill out the credit cards section</t>
  </si>
  <si>
    <t>1)Special Suppression System</t>
  </si>
  <si>
    <t xml:space="preserve">       *Required for new systems</t>
  </si>
  <si>
    <t>FIRE SPECIAL SUPPRESSION SYSTEM</t>
  </si>
  <si>
    <t xml:space="preserve">       *Place a 1 in the green box if using this calculation</t>
  </si>
  <si>
    <t>TOTAL PERMIT FEE:</t>
  </si>
  <si>
    <t xml:space="preserve">      *Required for new systems and plans with over 25 Heads </t>
  </si>
  <si>
    <r>
      <t xml:space="preserve">Contact Information </t>
    </r>
    <r>
      <rPr>
        <b/>
        <sz val="10"/>
        <color theme="1"/>
        <rFont val="Times New Roman"/>
        <family val="1"/>
      </rPr>
      <t>(including email)</t>
    </r>
    <r>
      <rPr>
        <b/>
        <sz val="12"/>
        <color theme="1"/>
        <rFont val="Times New Roman"/>
        <family val="1"/>
      </rPr>
      <t>:</t>
    </r>
  </si>
  <si>
    <t>SUPPRESSION SYSTEM</t>
  </si>
  <si>
    <t>End Date:</t>
  </si>
  <si>
    <t xml:space="preserve">Estimated Start: </t>
  </si>
  <si>
    <t>Updated July 2014</t>
  </si>
  <si>
    <t xml:space="preserve">       *Fee is 1% of value of work and minimum of $65.00</t>
  </si>
  <si>
    <t>Monday – Friday 8:00 AM – 4:00 PM</t>
  </si>
  <si>
    <t xml:space="preserve"> Date: __________________</t>
  </si>
  <si>
    <t xml:space="preserve">        *Place a 1 in the green box if there is a plan review</t>
  </si>
  <si>
    <t>Fire Safety Inspection Division</t>
  </si>
  <si>
    <t>**This application is designed to be saved to your computer and filled out for each project**</t>
  </si>
  <si>
    <t>FIRE SPRINKLER</t>
  </si>
  <si>
    <t>1)Initial Fee:</t>
  </si>
  <si>
    <r>
      <t xml:space="preserve">   </t>
    </r>
    <r>
      <rPr>
        <sz val="10"/>
        <color theme="1"/>
        <rFont val="Times New Roman"/>
        <family val="1"/>
      </rPr>
      <t xml:space="preserve">  *Exception if permit fee is greater than $10,000.00 then the permit cost times 0.0005</t>
    </r>
  </si>
  <si>
    <t xml:space="preserve">      *Place a 1 in the green box if using this calculation</t>
  </si>
  <si>
    <t>375 Jackson Suite 220, Saint Paul, MN 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</si>
</sst>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44" fontId="7" fillId="0" borderId="0" applyFont="0" applyFill="0" applyBorder="0" applyAlignment="0" applyProtection="0"/>
    <xf numFmtId="0" fontId="8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1" fillId="0" borderId="0" xfId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1" fillId="0" borderId="0" xfId="1" applyFill="1" applyBorder="1" applyAlignment="1"/>
    <xf numFmtId="0" fontId="2" fillId="0" borderId="0" xfId="1" applyFont="1" applyFill="1" applyBorder="1" applyAlignment="1"/>
    <xf numFmtId="0" fontId="3" fillId="0" borderId="0" xfId="1" applyFont="1"/>
    <xf numFmtId="0" fontId="6" fillId="0" borderId="0" xfId="0" applyFont="1"/>
    <xf numFmtId="0" fontId="5" fillId="0" borderId="1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0" xfId="0" applyFont="1" applyBorder="1"/>
    <xf numFmtId="0" fontId="6" fillId="0" borderId="1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14" xfId="0" applyFont="1" applyBorder="1"/>
    <xf numFmtId="0" fontId="6" fillId="0" borderId="12" xfId="0" applyFont="1" applyBorder="1"/>
    <xf numFmtId="0" fontId="6" fillId="0" borderId="13" xfId="0" applyFont="1" applyBorder="1"/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6" fillId="0" borderId="10" xfId="0" applyFont="1" applyBorder="1"/>
    <xf numFmtId="0" fontId="6" fillId="0" borderId="9" xfId="0" applyFont="1" applyBorder="1"/>
    <xf numFmtId="0" fontId="6" fillId="0" borderId="1" xfId="0" applyFont="1" applyFill="1" applyBorder="1"/>
    <xf numFmtId="0" fontId="6" fillId="0" borderId="3" xfId="0" applyFont="1" applyBorder="1"/>
    <xf numFmtId="0" fontId="6" fillId="0" borderId="8" xfId="0" applyFont="1" applyBorder="1"/>
    <xf numFmtId="0" fontId="6" fillId="0" borderId="5" xfId="0" applyFont="1" applyBorder="1"/>
    <xf numFmtId="0" fontId="5" fillId="0" borderId="7" xfId="0" applyFont="1" applyBorder="1" applyAlignment="1"/>
    <xf numFmtId="0" fontId="6" fillId="0" borderId="14" xfId="0" applyFont="1" applyBorder="1" applyAlignment="1">
      <alignment horizontal="center"/>
    </xf>
    <xf numFmtId="0" fontId="8" fillId="2" borderId="14" xfId="4" applyBorder="1" applyAlignment="1">
      <alignment horizontal="center"/>
    </xf>
    <xf numFmtId="0" fontId="8" fillId="2" borderId="1" xfId="4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2" borderId="6" xfId="4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3" xfId="0" applyFont="1" applyBorder="1"/>
    <xf numFmtId="0" fontId="5" fillId="0" borderId="15" xfId="0" applyFont="1" applyBorder="1" applyAlignment="1">
      <alignment horizontal="center"/>
    </xf>
    <xf numFmtId="44" fontId="6" fillId="0" borderId="3" xfId="3" applyFont="1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44" fontId="6" fillId="0" borderId="13" xfId="3" applyFont="1" applyBorder="1"/>
    <xf numFmtId="44" fontId="6" fillId="0" borderId="8" xfId="3" applyFont="1" applyBorder="1"/>
    <xf numFmtId="0" fontId="6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 wrapText="1"/>
    </xf>
    <xf numFmtId="8" fontId="6" fillId="0" borderId="15" xfId="0" applyNumberFormat="1" applyFont="1" applyBorder="1" applyAlignment="1">
      <alignment horizontal="center"/>
    </xf>
    <xf numFmtId="8" fontId="6" fillId="0" borderId="9" xfId="0" applyNumberFormat="1" applyFont="1" applyBorder="1" applyAlignment="1">
      <alignment horizontal="center"/>
    </xf>
    <xf numFmtId="8" fontId="6" fillId="0" borderId="11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0" xfId="0" applyAlignment="1"/>
    <xf numFmtId="0" fontId="0" fillId="0" borderId="7" xfId="0" applyFill="1" applyBorder="1"/>
    <xf numFmtId="0" fontId="10" fillId="0" borderId="15" xfId="0" applyFont="1" applyBorder="1"/>
    <xf numFmtId="0" fontId="9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/>
    </xf>
    <xf numFmtId="44" fontId="6" fillId="0" borderId="11" xfId="0" applyNumberFormat="1" applyFont="1" applyBorder="1"/>
    <xf numFmtId="0" fontId="6" fillId="0" borderId="12" xfId="0" applyFont="1" applyFill="1" applyBorder="1"/>
    <xf numFmtId="0" fontId="6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5" fillId="0" borderId="1" xfId="0" applyFont="1" applyBorder="1" applyAlignment="1"/>
    <xf numFmtId="0" fontId="5" fillId="0" borderId="2" xfId="0" applyFont="1" applyBorder="1" applyAlignment="1"/>
    <xf numFmtId="44" fontId="8" fillId="2" borderId="10" xfId="3" applyFont="1" applyFill="1" applyBorder="1"/>
    <xf numFmtId="0" fontId="5" fillId="0" borderId="6" xfId="0" applyFont="1" applyBorder="1"/>
    <xf numFmtId="44" fontId="6" fillId="0" borderId="13" xfId="3" applyFont="1" applyBorder="1" applyAlignment="1">
      <alignment horizontal="left" vertical="center"/>
    </xf>
    <xf numFmtId="0" fontId="0" fillId="0" borderId="0" xfId="0" applyBorder="1" applyAlignment="1">
      <alignment horizontal="left" indent="2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/>
    </xf>
    <xf numFmtId="0" fontId="5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0" fillId="0" borderId="0" xfId="0" applyFill="1" applyBorder="1"/>
    <xf numFmtId="0" fontId="8" fillId="2" borderId="11" xfId="4" applyBorder="1" applyAlignment="1">
      <alignment horizontal="center" vertical="center"/>
    </xf>
    <xf numFmtId="0" fontId="6" fillId="0" borderId="4" xfId="0" applyFont="1" applyFill="1" applyBorder="1"/>
    <xf numFmtId="0" fontId="4" fillId="0" borderId="6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8" fontId="6" fillId="0" borderId="9" xfId="0" applyNumberFormat="1" applyFont="1" applyBorder="1" applyAlignment="1">
      <alignment horizontal="center" vertical="center"/>
    </xf>
    <xf numFmtId="8" fontId="6" fillId="0" borderId="10" xfId="0" applyNumberFormat="1" applyFont="1" applyBorder="1" applyAlignment="1">
      <alignment horizontal="center" vertical="center"/>
    </xf>
    <xf numFmtId="8" fontId="6" fillId="0" borderId="11" xfId="0" applyNumberFormat="1" applyFont="1" applyBorder="1" applyAlignment="1">
      <alignment horizontal="center" vertical="center"/>
    </xf>
    <xf numFmtId="44" fontId="6" fillId="0" borderId="9" xfId="3" applyFont="1" applyBorder="1" applyAlignment="1">
      <alignment horizontal="center" vertical="center"/>
    </xf>
    <xf numFmtId="44" fontId="6" fillId="0" borderId="10" xfId="3" applyFont="1" applyBorder="1" applyAlignment="1">
      <alignment horizontal="center" vertical="center"/>
    </xf>
    <xf numFmtId="44" fontId="6" fillId="0" borderId="11" xfId="3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14" fontId="6" fillId="0" borderId="2" xfId="0" applyNumberFormat="1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2" borderId="10" xfId="4" applyBorder="1" applyAlignment="1">
      <alignment horizontal="center" vertical="center"/>
    </xf>
    <xf numFmtId="0" fontId="8" fillId="2" borderId="11" xfId="4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4" fontId="6" fillId="0" borderId="5" xfId="3" applyFont="1" applyBorder="1" applyAlignment="1">
      <alignment horizontal="center" vertical="center"/>
    </xf>
    <xf numFmtId="44" fontId="6" fillId="0" borderId="8" xfId="3" applyFont="1" applyBorder="1" applyAlignment="1">
      <alignment horizontal="center" vertical="center"/>
    </xf>
    <xf numFmtId="0" fontId="8" fillId="2" borderId="9" xfId="4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6" fillId="0" borderId="16" xfId="0" applyFont="1" applyBorder="1" applyAlignment="1">
      <alignment horizontal="left" shrinkToFit="1"/>
    </xf>
    <xf numFmtId="0" fontId="6" fillId="0" borderId="17" xfId="0" applyFont="1" applyBorder="1" applyAlignment="1">
      <alignment horizontal="left" shrinkToFit="1"/>
    </xf>
    <xf numFmtId="0" fontId="6" fillId="0" borderId="18" xfId="0" applyFont="1" applyBorder="1" applyAlignment="1">
      <alignment horizontal="left" shrinkToFit="1"/>
    </xf>
    <xf numFmtId="0" fontId="6" fillId="0" borderId="22" xfId="0" applyFont="1" applyBorder="1" applyAlignment="1">
      <alignment horizontal="left" shrinkToFit="1"/>
    </xf>
    <xf numFmtId="0" fontId="6" fillId="0" borderId="23" xfId="0" applyFont="1" applyBorder="1" applyAlignment="1">
      <alignment horizontal="left" shrinkToFit="1"/>
    </xf>
    <xf numFmtId="0" fontId="6" fillId="0" borderId="24" xfId="0" applyFont="1" applyBorder="1" applyAlignment="1">
      <alignment horizontal="left" shrinkToFit="1"/>
    </xf>
    <xf numFmtId="0" fontId="8" fillId="2" borderId="2" xfId="4" applyBorder="1" applyAlignment="1">
      <alignment horizontal="center" vertical="center"/>
    </xf>
    <xf numFmtId="0" fontId="8" fillId="2" borderId="7" xfId="4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3" fillId="0" borderId="4" xfId="2" applyBorder="1" applyAlignment="1">
      <alignment horizontal="center"/>
    </xf>
    <xf numFmtId="0" fontId="3" fillId="0" borderId="0" xfId="2" applyBorder="1" applyAlignment="1">
      <alignment horizontal="center"/>
    </xf>
    <xf numFmtId="0" fontId="3" fillId="0" borderId="5" xfId="2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3" fillId="0" borderId="6" xfId="2" applyBorder="1" applyAlignment="1">
      <alignment horizontal="center"/>
    </xf>
    <xf numFmtId="0" fontId="3" fillId="0" borderId="7" xfId="2" applyBorder="1" applyAlignment="1">
      <alignment horizontal="center"/>
    </xf>
    <xf numFmtId="0" fontId="3" fillId="0" borderId="8" xfId="2" applyBorder="1" applyAlignment="1">
      <alignment horizontal="center"/>
    </xf>
    <xf numFmtId="0" fontId="2" fillId="0" borderId="4" xfId="2" applyFont="1" applyFill="1" applyBorder="1" applyAlignment="1">
      <alignment horizontal="center"/>
    </xf>
    <xf numFmtId="0" fontId="2" fillId="0" borderId="5" xfId="2" applyFont="1" applyFill="1" applyBorder="1" applyAlignment="1">
      <alignment horizontal="center"/>
    </xf>
    <xf numFmtId="0" fontId="1" fillId="0" borderId="6" xfId="2" applyFont="1" applyFill="1" applyBorder="1" applyAlignment="1">
      <alignment horizontal="center"/>
    </xf>
    <xf numFmtId="0" fontId="3" fillId="0" borderId="8" xfId="2" applyFill="1" applyBorder="1" applyAlignment="1">
      <alignment horizontal="center"/>
    </xf>
    <xf numFmtId="0" fontId="2" fillId="0" borderId="1" xfId="2" applyFont="1" applyFill="1" applyBorder="1" applyAlignment="1">
      <alignment horizontal="center" wrapText="1"/>
    </xf>
    <xf numFmtId="0" fontId="2" fillId="0" borderId="3" xfId="2" applyFont="1" applyFill="1" applyBorder="1" applyAlignment="1">
      <alignment horizontal="center" wrapText="1"/>
    </xf>
    <xf numFmtId="0" fontId="2" fillId="0" borderId="4" xfId="2" applyFont="1" applyFill="1" applyBorder="1" applyAlignment="1">
      <alignment horizontal="center" wrapText="1"/>
    </xf>
    <xf numFmtId="0" fontId="2" fillId="0" borderId="5" xfId="2" applyFont="1" applyFill="1" applyBorder="1" applyAlignment="1">
      <alignment horizontal="center" wrapText="1"/>
    </xf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3" fillId="0" borderId="0" xfId="1" applyFont="1" applyAlignment="1">
      <alignment horizontal="center"/>
    </xf>
    <xf numFmtId="0" fontId="6" fillId="0" borderId="16" xfId="0" applyFont="1" applyBorder="1" applyAlignment="1">
      <alignment horizontal="left" vertical="center" shrinkToFit="1"/>
    </xf>
    <xf numFmtId="0" fontId="6" fillId="0" borderId="17" xfId="0" applyFont="1" applyBorder="1" applyAlignment="1">
      <alignment horizontal="left" vertical="center" shrinkToFit="1"/>
    </xf>
    <xf numFmtId="0" fontId="6" fillId="0" borderId="18" xfId="0" applyFont="1" applyBorder="1" applyAlignment="1">
      <alignment horizontal="left" vertical="center" shrinkToFit="1"/>
    </xf>
    <xf numFmtId="0" fontId="6" fillId="0" borderId="22" xfId="0" applyFont="1" applyBorder="1" applyAlignment="1">
      <alignment horizontal="left" vertical="center" shrinkToFit="1"/>
    </xf>
    <xf numFmtId="0" fontId="6" fillId="0" borderId="23" xfId="0" applyFont="1" applyBorder="1" applyAlignment="1">
      <alignment horizontal="left" vertical="center" shrinkToFit="1"/>
    </xf>
    <xf numFmtId="0" fontId="6" fillId="0" borderId="24" xfId="0" applyFont="1" applyBorder="1" applyAlignment="1">
      <alignment horizontal="left" vertical="center" shrinkToFit="1"/>
    </xf>
    <xf numFmtId="0" fontId="6" fillId="0" borderId="0" xfId="0" applyFont="1" applyAlignment="1">
      <alignment horizontal="center"/>
    </xf>
    <xf numFmtId="0" fontId="13" fillId="0" borderId="4" xfId="5" applyBorder="1" applyAlignment="1">
      <alignment horizontal="center"/>
    </xf>
    <xf numFmtId="0" fontId="13" fillId="0" borderId="0" xfId="5" applyBorder="1" applyAlignment="1">
      <alignment horizontal="center"/>
    </xf>
    <xf numFmtId="0" fontId="13" fillId="0" borderId="5" xfId="5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2" borderId="2" xfId="4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9" fillId="0" borderId="14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" fillId="0" borderId="6" xfId="2" applyFont="1" applyBorder="1" applyAlignment="1">
      <alignment horizontal="center"/>
    </xf>
  </cellXfs>
  <cellStyles count="6">
    <cellStyle name="Currency" xfId="3" builtinId="4"/>
    <cellStyle name="Good" xfId="4" builtinId="26"/>
    <cellStyle name="Hyperlink" xfId="5" builtinId="8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265263</xdr:colOff>
      <xdr:row>0</xdr:row>
      <xdr:rowOff>0</xdr:rowOff>
    </xdr:from>
    <xdr:to>
      <xdr:col>1</xdr:col>
      <xdr:colOff>228600</xdr:colOff>
      <xdr:row>4</xdr:row>
      <xdr:rowOff>19050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263" y="0"/>
          <a:ext cx="49673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75</xdr:row>
      <xdr:rowOff>133349</xdr:rowOff>
    </xdr:from>
    <xdr:to>
      <xdr:col>6</xdr:col>
      <xdr:colOff>1019174</xdr:colOff>
      <xdr:row>80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16249649"/>
          <a:ext cx="6267449" cy="914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306457</xdr:colOff>
      <xdr:row>0</xdr:row>
      <xdr:rowOff>76200</xdr:rowOff>
    </xdr:from>
    <xdr:to>
      <xdr:col>1</xdr:col>
      <xdr:colOff>364184</xdr:colOff>
      <xdr:row>4</xdr:row>
      <xdr:rowOff>171450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457" y="76200"/>
          <a:ext cx="51492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paul.gov/DocumentCenter/Home/View/136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zoomScaleNormal="100" workbookViewId="0">
      <selection activeCell="H8" sqref="H8"/>
    </sheetView>
  </sheetViews>
  <sheetFormatPr defaultRowHeight="15" x14ac:dyDescent="0.25"/>
  <cols>
    <col min="1" max="1" width="8" customWidth="1"/>
    <col min="2" max="2" width="8.7109375" customWidth="1"/>
    <col min="3" max="3" width="12.5703125" customWidth="1"/>
    <col min="4" max="4" width="19.42578125" customWidth="1"/>
    <col min="5" max="5" width="13.42578125" customWidth="1"/>
    <col min="6" max="6" width="18" customWidth="1"/>
    <col min="7" max="7" width="17" customWidth="1"/>
    <col min="8" max="8" width="12.28515625" customWidth="1"/>
  </cols>
  <sheetData>
    <row r="1" spans="1:10" ht="22.5" customHeight="1" x14ac:dyDescent="0.25">
      <c r="B1" s="5"/>
      <c r="C1" s="172" t="s">
        <v>0</v>
      </c>
      <c r="D1" s="173"/>
      <c r="E1" s="174"/>
      <c r="F1" s="168" t="s">
        <v>73</v>
      </c>
      <c r="G1" s="169"/>
      <c r="H1" s="9"/>
      <c r="I1" s="5"/>
    </row>
    <row r="2" spans="1:10" ht="15.75" x14ac:dyDescent="0.25">
      <c r="B2" s="5"/>
      <c r="C2" s="157" t="s">
        <v>1</v>
      </c>
      <c r="D2" s="158"/>
      <c r="E2" s="159"/>
      <c r="F2" s="170" t="s">
        <v>63</v>
      </c>
      <c r="G2" s="171"/>
      <c r="H2" s="10"/>
      <c r="I2" s="5"/>
    </row>
    <row r="3" spans="1:10" ht="18" customHeight="1" x14ac:dyDescent="0.25">
      <c r="B3" s="5"/>
      <c r="C3" s="160" t="s">
        <v>71</v>
      </c>
      <c r="D3" s="158"/>
      <c r="E3" s="159"/>
      <c r="F3" s="164" t="s">
        <v>3</v>
      </c>
      <c r="G3" s="165"/>
      <c r="H3" s="10"/>
      <c r="I3" s="5"/>
    </row>
    <row r="4" spans="1:10" ht="17.25" customHeight="1" thickBot="1" x14ac:dyDescent="0.3">
      <c r="B4" s="5"/>
      <c r="C4" s="211" t="s">
        <v>77</v>
      </c>
      <c r="D4" s="162"/>
      <c r="E4" s="163"/>
      <c r="F4" s="166" t="s">
        <v>66</v>
      </c>
      <c r="G4" s="167"/>
      <c r="H4" s="9"/>
      <c r="I4" s="5"/>
    </row>
    <row r="5" spans="1:10" ht="22.5" customHeight="1" x14ac:dyDescent="0.25">
      <c r="A5" s="182" t="s">
        <v>72</v>
      </c>
      <c r="B5" s="182"/>
      <c r="C5" s="182"/>
      <c r="D5" s="182"/>
      <c r="E5" s="182"/>
      <c r="F5" s="182"/>
      <c r="G5" s="182"/>
      <c r="H5" s="9"/>
      <c r="I5" s="5"/>
    </row>
    <row r="6" spans="1:10" ht="20.25" customHeight="1" x14ac:dyDescent="0.25">
      <c r="A6" s="175" t="s">
        <v>5</v>
      </c>
      <c r="B6" s="175"/>
      <c r="C6" s="175"/>
      <c r="D6" s="175"/>
      <c r="E6" s="175"/>
      <c r="F6" s="175"/>
      <c r="G6" s="175"/>
      <c r="H6" s="1"/>
    </row>
    <row r="7" spans="1:10" ht="18.75" customHeight="1" x14ac:dyDescent="0.25">
      <c r="A7" s="175" t="s">
        <v>21</v>
      </c>
      <c r="B7" s="175"/>
      <c r="C7" s="175"/>
      <c r="D7" s="175"/>
      <c r="E7" s="175"/>
      <c r="F7" s="175"/>
      <c r="G7" s="175"/>
      <c r="H7" s="1"/>
    </row>
    <row r="8" spans="1:10" ht="19.5" customHeight="1" thickBot="1" x14ac:dyDescent="0.3">
      <c r="A8" s="153" t="s">
        <v>24</v>
      </c>
      <c r="B8" s="153"/>
      <c r="C8" s="153"/>
      <c r="D8" s="153"/>
      <c r="E8" s="153"/>
      <c r="F8" s="153"/>
      <c r="G8" s="153"/>
    </row>
    <row r="9" spans="1:10" ht="18.75" customHeight="1" x14ac:dyDescent="0.25">
      <c r="A9" s="154" t="s">
        <v>6</v>
      </c>
      <c r="B9" s="155"/>
      <c r="C9" s="155"/>
      <c r="D9" s="155"/>
      <c r="E9" s="155"/>
      <c r="F9" s="155"/>
      <c r="G9" s="156"/>
      <c r="H9" s="5"/>
    </row>
    <row r="10" spans="1:10" ht="17.25" customHeight="1" x14ac:dyDescent="0.25">
      <c r="A10" s="176"/>
      <c r="B10" s="177"/>
      <c r="C10" s="177"/>
      <c r="D10" s="177"/>
      <c r="E10" s="177"/>
      <c r="F10" s="177"/>
      <c r="G10" s="178"/>
      <c r="H10" s="5"/>
      <c r="I10" s="5"/>
      <c r="J10" s="5"/>
    </row>
    <row r="11" spans="1:10" ht="18" customHeight="1" thickBot="1" x14ac:dyDescent="0.3">
      <c r="A11" s="179"/>
      <c r="B11" s="180"/>
      <c r="C11" s="180"/>
      <c r="D11" s="180"/>
      <c r="E11" s="180"/>
      <c r="F11" s="180"/>
      <c r="G11" s="181"/>
      <c r="H11" s="5"/>
      <c r="I11" s="5"/>
      <c r="J11" s="5"/>
    </row>
    <row r="12" spans="1:10" ht="15.75" customHeight="1" x14ac:dyDescent="0.25">
      <c r="A12" s="74" t="s">
        <v>8</v>
      </c>
      <c r="B12" s="75"/>
      <c r="C12" s="75"/>
      <c r="D12" s="76"/>
      <c r="E12" s="154" t="s">
        <v>25</v>
      </c>
      <c r="F12" s="155"/>
      <c r="G12" s="156"/>
      <c r="H12" s="5"/>
      <c r="I12" s="5"/>
      <c r="J12" s="5"/>
    </row>
    <row r="13" spans="1:10" ht="15.75" x14ac:dyDescent="0.25">
      <c r="A13" s="124"/>
      <c r="B13" s="125"/>
      <c r="C13" s="125"/>
      <c r="D13" s="126"/>
      <c r="E13" s="124"/>
      <c r="F13" s="125"/>
      <c r="G13" s="126"/>
      <c r="H13" s="5"/>
      <c r="I13" s="5"/>
      <c r="J13" s="5"/>
    </row>
    <row r="14" spans="1:10" ht="16.5" thickBot="1" x14ac:dyDescent="0.3">
      <c r="A14" s="127"/>
      <c r="B14" s="128"/>
      <c r="C14" s="128"/>
      <c r="D14" s="129"/>
      <c r="E14" s="127"/>
      <c r="F14" s="128"/>
      <c r="G14" s="129"/>
      <c r="H14" s="5"/>
      <c r="I14" s="5"/>
      <c r="J14" s="5"/>
    </row>
    <row r="15" spans="1:10" ht="15.75" x14ac:dyDescent="0.25">
      <c r="A15" s="154" t="s">
        <v>7</v>
      </c>
      <c r="B15" s="155"/>
      <c r="C15" s="155"/>
      <c r="D15" s="156"/>
      <c r="E15" s="154" t="s">
        <v>62</v>
      </c>
      <c r="F15" s="155"/>
      <c r="G15" s="156"/>
      <c r="H15" s="5"/>
      <c r="I15" s="5"/>
      <c r="J15" s="5"/>
    </row>
    <row r="16" spans="1:10" ht="15.75" x14ac:dyDescent="0.25">
      <c r="A16" s="124"/>
      <c r="B16" s="125"/>
      <c r="C16" s="125"/>
      <c r="D16" s="126"/>
      <c r="E16" s="124"/>
      <c r="F16" s="125"/>
      <c r="G16" s="126"/>
      <c r="H16" s="5"/>
      <c r="I16" s="5"/>
      <c r="J16" s="5"/>
    </row>
    <row r="17" spans="1:10" ht="16.5" thickBot="1" x14ac:dyDescent="0.3">
      <c r="A17" s="127"/>
      <c r="B17" s="128"/>
      <c r="C17" s="128"/>
      <c r="D17" s="129"/>
      <c r="E17" s="127"/>
      <c r="F17" s="128"/>
      <c r="G17" s="129"/>
      <c r="H17" s="5"/>
      <c r="I17" s="5"/>
      <c r="J17" s="5"/>
    </row>
    <row r="18" spans="1:10" ht="19.5" customHeight="1" thickBot="1" x14ac:dyDescent="0.3">
      <c r="A18" s="20" t="s">
        <v>27</v>
      </c>
      <c r="B18" s="21"/>
      <c r="C18" s="21" t="s">
        <v>28</v>
      </c>
      <c r="D18" s="22" t="s">
        <v>26</v>
      </c>
      <c r="E18" s="20" t="s">
        <v>27</v>
      </c>
      <c r="F18" s="60" t="s">
        <v>29</v>
      </c>
      <c r="G18" s="73" t="s">
        <v>35</v>
      </c>
      <c r="H18" s="5"/>
      <c r="I18" s="5"/>
      <c r="J18" s="5"/>
    </row>
    <row r="19" spans="1:10" ht="20.25" customHeight="1" x14ac:dyDescent="0.25">
      <c r="A19" s="99" t="s">
        <v>65</v>
      </c>
      <c r="B19" s="100"/>
      <c r="C19" s="103"/>
      <c r="D19" s="104"/>
      <c r="E19" s="95" t="s">
        <v>64</v>
      </c>
      <c r="F19" s="107"/>
      <c r="G19" s="108"/>
      <c r="H19" s="5"/>
      <c r="I19" s="5"/>
      <c r="J19" s="5"/>
    </row>
    <row r="20" spans="1:10" ht="9.75" customHeight="1" thickBot="1" x14ac:dyDescent="0.3">
      <c r="A20" s="101"/>
      <c r="B20" s="102"/>
      <c r="C20" s="105"/>
      <c r="D20" s="106"/>
      <c r="E20" s="97"/>
      <c r="F20" s="109"/>
      <c r="G20" s="110"/>
      <c r="H20" s="5"/>
      <c r="I20" s="5"/>
      <c r="J20" s="5"/>
    </row>
    <row r="21" spans="1:10" ht="15.75" x14ac:dyDescent="0.25">
      <c r="A21" s="95" t="s">
        <v>10</v>
      </c>
      <c r="B21" s="96"/>
      <c r="C21" s="96"/>
      <c r="D21" s="130"/>
      <c r="E21" s="130"/>
      <c r="F21" s="14"/>
      <c r="G21" s="28"/>
      <c r="H21" s="5"/>
      <c r="I21" s="5"/>
      <c r="J21" s="5"/>
    </row>
    <row r="22" spans="1:10" ht="16.5" thickBot="1" x14ac:dyDescent="0.3">
      <c r="A22" s="97"/>
      <c r="B22" s="98"/>
      <c r="C22" s="98"/>
      <c r="D22" s="131"/>
      <c r="E22" s="131"/>
      <c r="G22" s="30"/>
      <c r="H22" s="5"/>
      <c r="I22" s="5"/>
      <c r="J22" s="5"/>
    </row>
    <row r="23" spans="1:10" ht="18" customHeight="1" x14ac:dyDescent="0.25">
      <c r="A23" s="111" t="s">
        <v>15</v>
      </c>
      <c r="B23" s="112"/>
      <c r="C23" s="112"/>
      <c r="D23" s="14"/>
      <c r="E23" s="14"/>
      <c r="F23" s="14"/>
      <c r="G23" s="28"/>
      <c r="H23" s="5"/>
      <c r="I23" s="5"/>
      <c r="J23" s="5"/>
    </row>
    <row r="24" spans="1:10" x14ac:dyDescent="0.25">
      <c r="A24" s="132"/>
      <c r="B24" s="133"/>
      <c r="C24" s="133"/>
      <c r="D24" s="133"/>
      <c r="E24" s="133"/>
      <c r="F24" s="133"/>
      <c r="G24" s="134"/>
      <c r="H24" s="5"/>
      <c r="I24" s="5"/>
      <c r="J24" s="5"/>
    </row>
    <row r="25" spans="1:10" ht="17.25" customHeight="1" x14ac:dyDescent="0.25">
      <c r="A25" s="132"/>
      <c r="B25" s="133"/>
      <c r="C25" s="133"/>
      <c r="D25" s="133"/>
      <c r="E25" s="133"/>
      <c r="F25" s="133"/>
      <c r="G25" s="134"/>
      <c r="H25" s="5"/>
      <c r="I25" s="5"/>
      <c r="J25" s="5"/>
    </row>
    <row r="26" spans="1:10" ht="17.25" customHeight="1" x14ac:dyDescent="0.25">
      <c r="A26" s="132"/>
      <c r="B26" s="133"/>
      <c r="C26" s="133"/>
      <c r="D26" s="133"/>
      <c r="E26" s="133"/>
      <c r="F26" s="133"/>
      <c r="G26" s="134"/>
      <c r="H26" s="5"/>
      <c r="I26" s="5"/>
      <c r="J26" s="5"/>
    </row>
    <row r="27" spans="1:10" ht="18" customHeight="1" x14ac:dyDescent="0.25">
      <c r="A27" s="132"/>
      <c r="B27" s="133"/>
      <c r="C27" s="133"/>
      <c r="D27" s="133"/>
      <c r="E27" s="133"/>
      <c r="F27" s="133"/>
      <c r="G27" s="134"/>
      <c r="H27" s="5"/>
      <c r="I27" s="5"/>
      <c r="J27" s="5"/>
    </row>
    <row r="28" spans="1:10" ht="17.25" customHeight="1" x14ac:dyDescent="0.25">
      <c r="A28" s="132"/>
      <c r="B28" s="133"/>
      <c r="C28" s="133"/>
      <c r="D28" s="133"/>
      <c r="E28" s="133"/>
      <c r="F28" s="133"/>
      <c r="G28" s="134"/>
      <c r="H28" s="5"/>
      <c r="I28" s="5"/>
      <c r="J28" s="5"/>
    </row>
    <row r="29" spans="1:10" ht="18.75" customHeight="1" thickBot="1" x14ac:dyDescent="0.3">
      <c r="A29" s="135"/>
      <c r="B29" s="136"/>
      <c r="C29" s="136"/>
      <c r="D29" s="136"/>
      <c r="E29" s="136"/>
      <c r="F29" s="136"/>
      <c r="G29" s="137"/>
      <c r="H29" s="5"/>
      <c r="I29" s="5"/>
      <c r="J29" s="5"/>
    </row>
    <row r="30" spans="1:10" ht="32.25" customHeight="1" thickBot="1" x14ac:dyDescent="0.3">
      <c r="A30" s="67" t="s">
        <v>11</v>
      </c>
      <c r="B30" s="19"/>
      <c r="C30" s="19"/>
      <c r="D30" s="19"/>
      <c r="E30" s="70" t="s">
        <v>12</v>
      </c>
      <c r="F30" s="72" t="s">
        <v>19</v>
      </c>
      <c r="G30" s="71" t="s">
        <v>13</v>
      </c>
      <c r="H30" s="5"/>
      <c r="I30" s="5"/>
      <c r="J30" s="5"/>
    </row>
    <row r="31" spans="1:10" ht="20.25" customHeight="1" thickBot="1" x14ac:dyDescent="0.3">
      <c r="A31" s="20" t="s">
        <v>74</v>
      </c>
      <c r="B31" s="21"/>
      <c r="C31" s="21"/>
      <c r="D31" s="21"/>
      <c r="E31" s="32"/>
      <c r="F31" s="49">
        <v>65</v>
      </c>
      <c r="G31" s="68">
        <f>65</f>
        <v>65</v>
      </c>
      <c r="H31" s="5"/>
      <c r="I31" s="5"/>
      <c r="J31" s="5"/>
    </row>
    <row r="32" spans="1:10" ht="16.5" thickBot="1" x14ac:dyDescent="0.3">
      <c r="A32" s="20" t="s">
        <v>34</v>
      </c>
      <c r="B32" s="21"/>
      <c r="C32" s="21"/>
      <c r="D32" s="21"/>
      <c r="E32" s="33"/>
      <c r="F32" s="49">
        <v>20</v>
      </c>
      <c r="G32" s="45">
        <f>ROUNDUP((E32/10),0)*20</f>
        <v>0</v>
      </c>
      <c r="H32" s="5"/>
      <c r="I32" s="5"/>
      <c r="J32" s="5"/>
    </row>
    <row r="33" spans="1:10" ht="15.75" x14ac:dyDescent="0.25">
      <c r="A33" s="17" t="s">
        <v>33</v>
      </c>
      <c r="B33" s="14"/>
      <c r="C33" s="14"/>
      <c r="D33" s="14"/>
      <c r="E33" s="34"/>
      <c r="F33" s="50">
        <v>64</v>
      </c>
      <c r="G33" s="41">
        <f>E33*64</f>
        <v>0</v>
      </c>
      <c r="H33" s="5"/>
      <c r="I33" s="5"/>
      <c r="J33" s="5"/>
    </row>
    <row r="34" spans="1:10" ht="15.75" x14ac:dyDescent="0.25">
      <c r="A34" s="62" t="s">
        <v>46</v>
      </c>
      <c r="B34" s="16"/>
      <c r="C34" s="16"/>
      <c r="D34" s="16"/>
      <c r="E34" s="35"/>
      <c r="F34" s="38"/>
      <c r="G34" s="30"/>
      <c r="H34" s="5"/>
      <c r="I34" s="5"/>
      <c r="J34" s="5"/>
    </row>
    <row r="35" spans="1:10" ht="16.5" thickBot="1" x14ac:dyDescent="0.3">
      <c r="A35" s="63" t="s">
        <v>47</v>
      </c>
      <c r="B35" s="19"/>
      <c r="C35" s="19"/>
      <c r="D35" s="19"/>
      <c r="E35" s="36"/>
      <c r="F35" s="51">
        <v>7</v>
      </c>
      <c r="G35" s="46">
        <f>E35*7*E33</f>
        <v>0</v>
      </c>
      <c r="H35" s="5"/>
      <c r="I35" s="5"/>
      <c r="J35" s="5"/>
    </row>
    <row r="36" spans="1:10" ht="16.5" thickBot="1" x14ac:dyDescent="0.3">
      <c r="A36" s="20" t="s">
        <v>32</v>
      </c>
      <c r="B36" s="21"/>
      <c r="C36" s="21"/>
      <c r="D36" s="21"/>
      <c r="E36" s="33"/>
      <c r="F36" s="49">
        <v>50</v>
      </c>
      <c r="G36" s="45">
        <f>E36*50</f>
        <v>0</v>
      </c>
      <c r="H36" s="5"/>
      <c r="I36" s="5"/>
      <c r="J36" s="5"/>
    </row>
    <row r="37" spans="1:10" ht="15.75" x14ac:dyDescent="0.25">
      <c r="A37" s="17" t="s">
        <v>31</v>
      </c>
      <c r="B37" s="14"/>
      <c r="C37" s="14"/>
      <c r="D37" s="14"/>
      <c r="E37" s="119"/>
      <c r="F37" s="120"/>
      <c r="G37" s="86">
        <f>SUM(G31:G36)*0.65*E37</f>
        <v>0</v>
      </c>
      <c r="H37" s="5"/>
      <c r="I37" s="5"/>
      <c r="J37" s="5"/>
    </row>
    <row r="38" spans="1:10" x14ac:dyDescent="0.25">
      <c r="A38" s="141" t="s">
        <v>61</v>
      </c>
      <c r="B38" s="142"/>
      <c r="C38" s="142"/>
      <c r="D38" s="143"/>
      <c r="E38" s="113"/>
      <c r="F38" s="115"/>
      <c r="G38" s="87"/>
      <c r="H38" s="5"/>
      <c r="I38" s="5"/>
      <c r="J38" s="5"/>
    </row>
    <row r="39" spans="1:10" ht="15.75" thickBot="1" x14ac:dyDescent="0.3">
      <c r="A39" s="92" t="s">
        <v>70</v>
      </c>
      <c r="B39" s="93"/>
      <c r="C39" s="93"/>
      <c r="D39" s="94"/>
      <c r="E39" s="114"/>
      <c r="F39" s="116"/>
      <c r="G39" s="88"/>
      <c r="H39" s="5"/>
      <c r="I39" s="5"/>
      <c r="J39" s="5"/>
    </row>
    <row r="40" spans="1:10" x14ac:dyDescent="0.25">
      <c r="H40" s="5"/>
      <c r="I40" s="5"/>
      <c r="J40" s="5"/>
    </row>
    <row r="41" spans="1:10" ht="15.75" thickBot="1" x14ac:dyDescent="0.3">
      <c r="H41" s="5"/>
      <c r="I41" s="5"/>
      <c r="J41" s="5"/>
    </row>
    <row r="42" spans="1:10" ht="26.25" customHeight="1" x14ac:dyDescent="0.25">
      <c r="A42" s="17" t="s">
        <v>30</v>
      </c>
      <c r="B42" s="14"/>
      <c r="C42" s="14"/>
      <c r="D42" s="14"/>
      <c r="E42" s="119"/>
      <c r="F42" s="83">
        <v>65</v>
      </c>
      <c r="G42" s="86">
        <f>E42*65</f>
        <v>0</v>
      </c>
      <c r="H42" s="5"/>
      <c r="I42" s="5"/>
      <c r="J42" s="5"/>
    </row>
    <row r="43" spans="1:10" ht="15" customHeight="1" x14ac:dyDescent="0.25">
      <c r="A43" s="138" t="s">
        <v>44</v>
      </c>
      <c r="B43" s="139"/>
      <c r="C43" s="139"/>
      <c r="D43" s="140"/>
      <c r="E43" s="113"/>
      <c r="F43" s="84"/>
      <c r="G43" s="87"/>
      <c r="H43" s="5"/>
      <c r="I43" s="5"/>
      <c r="J43" s="5"/>
    </row>
    <row r="44" spans="1:10" ht="15.75" customHeight="1" x14ac:dyDescent="0.25">
      <c r="A44" s="121" t="s">
        <v>54</v>
      </c>
      <c r="B44" s="122"/>
      <c r="C44" s="122"/>
      <c r="D44" s="123"/>
      <c r="E44" s="113"/>
      <c r="F44" s="84"/>
      <c r="G44" s="87"/>
      <c r="H44" s="5"/>
      <c r="I44" s="5"/>
      <c r="J44" s="5"/>
    </row>
    <row r="45" spans="1:10" ht="15.75" customHeight="1" thickBot="1" x14ac:dyDescent="0.3">
      <c r="A45" s="80" t="s">
        <v>76</v>
      </c>
      <c r="B45" s="81"/>
      <c r="C45" s="81"/>
      <c r="D45" s="82"/>
      <c r="E45" s="78"/>
      <c r="F45" s="85"/>
      <c r="G45" s="88"/>
      <c r="H45" s="5"/>
      <c r="I45" s="5"/>
      <c r="J45" s="5"/>
    </row>
    <row r="46" spans="1:10" ht="25.5" customHeight="1" x14ac:dyDescent="0.25">
      <c r="A46" s="79" t="s">
        <v>52</v>
      </c>
      <c r="B46" s="16"/>
      <c r="C46" s="16"/>
      <c r="D46" s="16"/>
      <c r="E46" s="113"/>
      <c r="F46" s="115"/>
      <c r="G46" s="117">
        <f>IF(E46=0,0,IF(D21*0.01&lt;65,65,D21*0.01))</f>
        <v>0</v>
      </c>
      <c r="H46" s="5"/>
      <c r="I46" s="5"/>
      <c r="J46" s="5"/>
    </row>
    <row r="47" spans="1:10" ht="15.75" x14ac:dyDescent="0.25">
      <c r="A47" s="62" t="s">
        <v>67</v>
      </c>
      <c r="B47" s="16"/>
      <c r="C47" s="16"/>
      <c r="D47" s="16"/>
      <c r="E47" s="113"/>
      <c r="F47" s="115"/>
      <c r="G47" s="117"/>
      <c r="H47" s="5"/>
      <c r="I47" s="5"/>
      <c r="J47" s="5"/>
    </row>
    <row r="48" spans="1:10" ht="15.75" thickBot="1" x14ac:dyDescent="0.3">
      <c r="A48" s="92" t="s">
        <v>59</v>
      </c>
      <c r="B48" s="93"/>
      <c r="C48" s="93"/>
      <c r="D48" s="94"/>
      <c r="E48" s="114"/>
      <c r="F48" s="116"/>
      <c r="G48" s="118"/>
      <c r="H48" s="5"/>
      <c r="I48" s="5"/>
      <c r="J48" s="5"/>
    </row>
    <row r="49" spans="1:10" ht="15.75" customHeight="1" x14ac:dyDescent="0.25">
      <c r="A49" s="150" t="s">
        <v>16</v>
      </c>
      <c r="B49" s="151"/>
      <c r="C49" s="151"/>
      <c r="D49" s="151"/>
      <c r="E49" s="146" t="s">
        <v>18</v>
      </c>
      <c r="F49" s="147"/>
      <c r="G49" s="144">
        <f>IF(E46=0,SUM(G31:G42),G46)</f>
        <v>65</v>
      </c>
      <c r="H49" s="5"/>
      <c r="I49" s="5"/>
      <c r="J49" s="5"/>
    </row>
    <row r="50" spans="1:10" ht="15.75" thickBot="1" x14ac:dyDescent="0.3">
      <c r="A50" s="152"/>
      <c r="B50" s="153"/>
      <c r="C50" s="153"/>
      <c r="D50" s="153"/>
      <c r="E50" s="148"/>
      <c r="F50" s="149"/>
      <c r="G50" s="145"/>
      <c r="H50" s="5"/>
      <c r="I50" s="5"/>
      <c r="J50" s="69"/>
    </row>
    <row r="51" spans="1:10" ht="21.75" customHeight="1" x14ac:dyDescent="0.25">
      <c r="A51" s="186" t="s">
        <v>23</v>
      </c>
      <c r="B51" s="187"/>
      <c r="C51" s="187"/>
      <c r="D51" s="187"/>
      <c r="E51" s="187"/>
      <c r="F51" s="188"/>
      <c r="G51" s="26"/>
      <c r="H51" s="5"/>
      <c r="I51" s="5"/>
      <c r="J51" s="5"/>
    </row>
    <row r="52" spans="1:10" ht="18.75" customHeight="1" thickBot="1" x14ac:dyDescent="0.3">
      <c r="A52" s="189" t="s">
        <v>75</v>
      </c>
      <c r="B52" s="190"/>
      <c r="C52" s="190"/>
      <c r="D52" s="190"/>
      <c r="E52" s="190"/>
      <c r="F52" s="191"/>
      <c r="G52" s="66">
        <v>5</v>
      </c>
      <c r="H52" s="5"/>
      <c r="I52" s="5"/>
      <c r="J52" s="5"/>
    </row>
    <row r="53" spans="1:10" ht="15.75" customHeight="1" x14ac:dyDescent="0.25">
      <c r="A53" s="150"/>
      <c r="B53" s="151"/>
      <c r="C53" s="151"/>
      <c r="D53" s="151"/>
      <c r="E53" s="146" t="s">
        <v>60</v>
      </c>
      <c r="F53" s="147"/>
      <c r="G53" s="144">
        <f>SUM(G49,G52)</f>
        <v>70</v>
      </c>
      <c r="H53" s="5"/>
      <c r="I53" s="5"/>
      <c r="J53" s="5"/>
    </row>
    <row r="54" spans="1:10" ht="15.75" thickBot="1" x14ac:dyDescent="0.3">
      <c r="A54" s="152"/>
      <c r="B54" s="153"/>
      <c r="C54" s="153"/>
      <c r="D54" s="153"/>
      <c r="E54" s="148"/>
      <c r="F54" s="149"/>
      <c r="G54" s="145"/>
      <c r="H54" s="5"/>
      <c r="I54" s="5"/>
      <c r="J54" s="5"/>
    </row>
    <row r="55" spans="1:10" x14ac:dyDescent="0.25">
      <c r="A55" s="8"/>
      <c r="B55" s="2"/>
      <c r="C55" s="2"/>
      <c r="D55" s="2"/>
      <c r="E55" s="2"/>
      <c r="F55" s="2"/>
      <c r="G55" s="3"/>
      <c r="H55" s="5"/>
      <c r="I55" s="5"/>
      <c r="J55" s="5"/>
    </row>
    <row r="56" spans="1:10" ht="15.75" x14ac:dyDescent="0.25">
      <c r="A56" s="89" t="s">
        <v>48</v>
      </c>
      <c r="B56" s="90"/>
      <c r="C56" s="90"/>
      <c r="D56" s="90"/>
      <c r="E56" s="90"/>
      <c r="F56" s="90"/>
      <c r="G56" s="91"/>
      <c r="H56" s="5"/>
      <c r="I56" s="5"/>
      <c r="J56" s="5"/>
    </row>
    <row r="57" spans="1:10" ht="15.75" customHeight="1" x14ac:dyDescent="0.25">
      <c r="A57" s="89" t="s">
        <v>17</v>
      </c>
      <c r="B57" s="90"/>
      <c r="C57" s="90"/>
      <c r="D57" s="90"/>
      <c r="E57" s="90"/>
      <c r="F57" s="90"/>
      <c r="G57" s="91"/>
      <c r="H57" s="5"/>
      <c r="I57" s="5"/>
      <c r="J57" s="5"/>
    </row>
    <row r="58" spans="1:10" ht="19.5" customHeight="1" x14ac:dyDescent="0.25">
      <c r="A58" s="15"/>
      <c r="B58" s="16"/>
      <c r="C58" s="16"/>
      <c r="D58" s="16"/>
      <c r="E58" s="16"/>
      <c r="F58" s="16"/>
      <c r="G58" s="30"/>
      <c r="H58" s="5"/>
      <c r="I58" s="5"/>
      <c r="J58" s="5"/>
    </row>
    <row r="59" spans="1:10" ht="19.5" customHeight="1" x14ac:dyDescent="0.25">
      <c r="A59" s="89" t="s">
        <v>42</v>
      </c>
      <c r="B59" s="90"/>
      <c r="C59" s="90"/>
      <c r="D59" s="90"/>
      <c r="E59" s="90"/>
      <c r="F59" s="90" t="s">
        <v>69</v>
      </c>
      <c r="G59" s="91"/>
      <c r="H59" s="5"/>
      <c r="I59" s="5"/>
      <c r="J59" s="5"/>
    </row>
    <row r="60" spans="1:10" ht="15.75" customHeight="1" x14ac:dyDescent="0.25">
      <c r="A60" s="15"/>
      <c r="B60" s="16"/>
      <c r="C60" s="16"/>
      <c r="D60" s="16"/>
      <c r="E60" s="16"/>
      <c r="F60" s="16"/>
      <c r="G60" s="30"/>
      <c r="H60" s="5"/>
      <c r="I60" s="5"/>
      <c r="J60" s="5"/>
    </row>
    <row r="61" spans="1:10" ht="15.75" customHeight="1" x14ac:dyDescent="0.25">
      <c r="A61" s="4"/>
      <c r="B61" s="5"/>
      <c r="C61" s="5"/>
      <c r="D61" s="5"/>
      <c r="E61" s="5"/>
      <c r="F61" s="5"/>
      <c r="G61" s="42"/>
      <c r="H61" s="5"/>
      <c r="I61" s="5"/>
      <c r="J61" s="5"/>
    </row>
    <row r="62" spans="1:10" x14ac:dyDescent="0.25">
      <c r="A62" s="4"/>
      <c r="B62" s="5"/>
      <c r="C62" s="5"/>
      <c r="D62" s="5"/>
      <c r="E62" s="5"/>
      <c r="F62" s="5"/>
      <c r="G62" s="42"/>
      <c r="H62" s="5"/>
      <c r="I62" s="5"/>
      <c r="J62" s="5"/>
    </row>
    <row r="63" spans="1:10" x14ac:dyDescent="0.25">
      <c r="A63" s="183" t="s">
        <v>50</v>
      </c>
      <c r="B63" s="184"/>
      <c r="C63" s="184"/>
      <c r="D63" s="184"/>
      <c r="E63" s="184"/>
      <c r="F63" s="184"/>
      <c r="G63" s="185"/>
      <c r="H63" s="5"/>
      <c r="I63" s="5"/>
      <c r="J63" s="5"/>
    </row>
    <row r="64" spans="1:10" ht="15.75" customHeight="1" x14ac:dyDescent="0.25">
      <c r="A64" s="89" t="s">
        <v>51</v>
      </c>
      <c r="B64" s="90"/>
      <c r="C64" s="90"/>
      <c r="D64" s="90"/>
      <c r="E64" s="90"/>
      <c r="F64" s="90"/>
      <c r="G64" s="91"/>
      <c r="H64" s="5"/>
      <c r="I64" s="5"/>
      <c r="J64" s="5"/>
    </row>
    <row r="65" spans="1:10" ht="15.75" x14ac:dyDescent="0.25">
      <c r="A65" s="89" t="s">
        <v>49</v>
      </c>
      <c r="B65" s="90"/>
      <c r="C65" s="90"/>
      <c r="D65" s="90"/>
      <c r="E65" s="90"/>
      <c r="F65" s="90"/>
      <c r="G65" s="91"/>
      <c r="H65" s="5"/>
      <c r="I65" s="5"/>
      <c r="J65" s="5"/>
    </row>
    <row r="66" spans="1:10" ht="15.75" x14ac:dyDescent="0.25">
      <c r="A66" s="89" t="s">
        <v>68</v>
      </c>
      <c r="B66" s="90"/>
      <c r="C66" s="90"/>
      <c r="D66" s="90"/>
      <c r="E66" s="90"/>
      <c r="F66" s="90"/>
      <c r="G66" s="91"/>
      <c r="H66" s="5"/>
      <c r="I66" s="5"/>
      <c r="J66" s="5"/>
    </row>
    <row r="67" spans="1:10" ht="15.75" x14ac:dyDescent="0.25">
      <c r="A67" s="4"/>
      <c r="B67" s="5"/>
      <c r="C67" s="5"/>
      <c r="D67" s="5"/>
      <c r="E67" s="5"/>
      <c r="F67" s="5"/>
      <c r="G67" s="30"/>
      <c r="I67" s="5"/>
      <c r="J67" s="5"/>
    </row>
    <row r="68" spans="1:10" ht="15.75" x14ac:dyDescent="0.25">
      <c r="A68" s="4"/>
      <c r="B68" s="5"/>
      <c r="C68" s="5"/>
      <c r="D68" s="5"/>
      <c r="E68" s="5"/>
      <c r="F68" s="5"/>
      <c r="G68" s="30"/>
      <c r="J68" s="5"/>
    </row>
    <row r="69" spans="1:10" x14ac:dyDescent="0.25">
      <c r="A69" s="4"/>
      <c r="B69" s="5"/>
      <c r="C69" s="5"/>
      <c r="D69" s="5"/>
      <c r="E69" s="77"/>
      <c r="F69" s="5"/>
      <c r="G69" s="42"/>
      <c r="J69" s="5"/>
    </row>
    <row r="70" spans="1:10" x14ac:dyDescent="0.25">
      <c r="A70" s="4"/>
      <c r="B70" s="5"/>
      <c r="C70" s="5"/>
      <c r="D70" s="5"/>
      <c r="E70" s="5"/>
      <c r="F70" s="5"/>
      <c r="G70" s="42"/>
    </row>
    <row r="71" spans="1:10" ht="15.75" customHeight="1" x14ac:dyDescent="0.25">
      <c r="A71" s="4"/>
      <c r="B71" s="5"/>
      <c r="C71" s="5"/>
      <c r="D71" s="5"/>
      <c r="E71" s="5"/>
      <c r="F71" s="5"/>
      <c r="G71" s="42"/>
    </row>
    <row r="72" spans="1:10" ht="15.75" customHeight="1" x14ac:dyDescent="0.25">
      <c r="A72" s="4"/>
      <c r="B72" s="5"/>
      <c r="C72" s="5"/>
      <c r="D72" s="5"/>
      <c r="E72" s="5"/>
      <c r="F72" s="5"/>
      <c r="G72" s="42"/>
    </row>
    <row r="73" spans="1:10" ht="15.75" customHeight="1" x14ac:dyDescent="0.25">
      <c r="A73" s="4"/>
      <c r="B73" s="5"/>
      <c r="C73" s="5"/>
      <c r="D73" s="5"/>
      <c r="E73" s="5"/>
      <c r="F73" s="5"/>
      <c r="G73" s="42"/>
    </row>
    <row r="74" spans="1:10" ht="15.75" customHeight="1" x14ac:dyDescent="0.25">
      <c r="A74" s="89" t="s">
        <v>55</v>
      </c>
      <c r="B74" s="90"/>
      <c r="C74" s="90"/>
      <c r="D74" s="90"/>
      <c r="E74" s="90"/>
      <c r="F74" s="90"/>
      <c r="G74" s="91"/>
    </row>
    <row r="75" spans="1:10" x14ac:dyDescent="0.25">
      <c r="A75" s="89"/>
      <c r="B75" s="90"/>
      <c r="C75" s="90"/>
      <c r="D75" s="90"/>
      <c r="E75" s="90"/>
      <c r="F75" s="90"/>
      <c r="G75" s="91"/>
      <c r="H75" s="54"/>
    </row>
    <row r="76" spans="1:10" x14ac:dyDescent="0.25">
      <c r="A76" s="4"/>
      <c r="B76" s="5"/>
      <c r="C76" s="5"/>
      <c r="D76" s="5"/>
      <c r="E76" s="5"/>
      <c r="F76" s="5"/>
      <c r="G76" s="42"/>
    </row>
    <row r="77" spans="1:10" x14ac:dyDescent="0.25">
      <c r="A77" s="4"/>
      <c r="B77" s="5"/>
      <c r="C77" s="5"/>
      <c r="D77" s="5"/>
      <c r="E77" s="5"/>
      <c r="F77" s="5"/>
      <c r="G77" s="42"/>
    </row>
    <row r="78" spans="1:10" x14ac:dyDescent="0.25">
      <c r="A78" s="4"/>
      <c r="B78" s="5"/>
      <c r="C78" s="5"/>
      <c r="D78" s="5"/>
      <c r="E78" s="5"/>
      <c r="F78" s="5"/>
      <c r="G78" s="42"/>
    </row>
    <row r="79" spans="1:10" x14ac:dyDescent="0.25">
      <c r="A79" s="4"/>
      <c r="B79" s="5"/>
      <c r="C79" s="5"/>
      <c r="D79" s="5"/>
      <c r="E79" s="5"/>
      <c r="F79" s="5"/>
      <c r="G79" s="42"/>
    </row>
    <row r="80" spans="1:10" x14ac:dyDescent="0.25">
      <c r="A80" s="4"/>
      <c r="B80" s="5"/>
      <c r="C80" s="5"/>
      <c r="D80" s="5"/>
      <c r="E80" s="5"/>
      <c r="F80" s="5"/>
      <c r="G80" s="42"/>
    </row>
    <row r="81" spans="1:7" x14ac:dyDescent="0.25">
      <c r="A81" s="4"/>
      <c r="B81" s="5"/>
      <c r="C81" s="5"/>
      <c r="D81" s="5"/>
      <c r="E81" s="5"/>
      <c r="F81" s="5"/>
      <c r="G81" s="42"/>
    </row>
    <row r="82" spans="1:7" x14ac:dyDescent="0.25">
      <c r="A82" s="4"/>
      <c r="B82" s="5"/>
      <c r="C82" s="5"/>
      <c r="D82" s="5"/>
      <c r="E82" s="5"/>
      <c r="F82" s="5"/>
      <c r="G82" s="42"/>
    </row>
    <row r="83" spans="1:7" ht="15.75" customHeight="1" x14ac:dyDescent="0.25">
      <c r="A83" s="4"/>
      <c r="B83" s="5"/>
      <c r="C83" s="5"/>
      <c r="D83" s="5"/>
      <c r="E83" s="5"/>
      <c r="F83" s="5"/>
      <c r="G83" s="42"/>
    </row>
    <row r="84" spans="1:7" ht="15.75" thickBot="1" x14ac:dyDescent="0.3">
      <c r="A84" s="6"/>
      <c r="B84" s="7"/>
      <c r="C84" s="7"/>
      <c r="D84" s="7"/>
      <c r="E84" s="7"/>
      <c r="F84" s="7"/>
      <c r="G84" s="43"/>
    </row>
    <row r="86" spans="1:7" ht="17.25" customHeight="1" x14ac:dyDescent="0.25"/>
    <row r="92" spans="1:7" ht="20.25" customHeight="1" x14ac:dyDescent="0.25"/>
    <row r="97" spans="11:11" x14ac:dyDescent="0.25">
      <c r="K97" s="5"/>
    </row>
  </sheetData>
  <mergeCells count="66">
    <mergeCell ref="A65:G65"/>
    <mergeCell ref="A66:G66"/>
    <mergeCell ref="A51:F51"/>
    <mergeCell ref="A52:F52"/>
    <mergeCell ref="A59:E59"/>
    <mergeCell ref="F59:G59"/>
    <mergeCell ref="A56:G56"/>
    <mergeCell ref="A57:G57"/>
    <mergeCell ref="F1:G1"/>
    <mergeCell ref="F2:G2"/>
    <mergeCell ref="E12:G12"/>
    <mergeCell ref="C1:E1"/>
    <mergeCell ref="A6:G6"/>
    <mergeCell ref="A7:G7"/>
    <mergeCell ref="A8:G8"/>
    <mergeCell ref="A10:G10"/>
    <mergeCell ref="A11:G11"/>
    <mergeCell ref="A9:G9"/>
    <mergeCell ref="A5:G5"/>
    <mergeCell ref="A13:D13"/>
    <mergeCell ref="A14:D14"/>
    <mergeCell ref="A15:D15"/>
    <mergeCell ref="E15:G15"/>
    <mergeCell ref="C2:E2"/>
    <mergeCell ref="C3:E3"/>
    <mergeCell ref="C4:E4"/>
    <mergeCell ref="F3:G3"/>
    <mergeCell ref="F4:G4"/>
    <mergeCell ref="E13:G13"/>
    <mergeCell ref="E14:G14"/>
    <mergeCell ref="E16:G16"/>
    <mergeCell ref="E17:G17"/>
    <mergeCell ref="D21:E22"/>
    <mergeCell ref="E19:E20"/>
    <mergeCell ref="A24:G29"/>
    <mergeCell ref="A16:D16"/>
    <mergeCell ref="A17:D17"/>
    <mergeCell ref="E37:E39"/>
    <mergeCell ref="F37:F39"/>
    <mergeCell ref="G37:G39"/>
    <mergeCell ref="A44:D44"/>
    <mergeCell ref="E42:E44"/>
    <mergeCell ref="A39:D39"/>
    <mergeCell ref="A43:D43"/>
    <mergeCell ref="A38:D38"/>
    <mergeCell ref="A21:C22"/>
    <mergeCell ref="A19:B20"/>
    <mergeCell ref="C19:D20"/>
    <mergeCell ref="F19:G20"/>
    <mergeCell ref="A23:C23"/>
    <mergeCell ref="A45:D45"/>
    <mergeCell ref="F42:F45"/>
    <mergeCell ref="G42:G45"/>
    <mergeCell ref="A74:G75"/>
    <mergeCell ref="A48:D48"/>
    <mergeCell ref="E46:E48"/>
    <mergeCell ref="F46:F48"/>
    <mergeCell ref="G46:G48"/>
    <mergeCell ref="G49:G50"/>
    <mergeCell ref="E49:F50"/>
    <mergeCell ref="E53:F54"/>
    <mergeCell ref="G53:G54"/>
    <mergeCell ref="A49:D50"/>
    <mergeCell ref="A53:D54"/>
    <mergeCell ref="A63:G63"/>
    <mergeCell ref="A64:G64"/>
  </mergeCells>
  <hyperlinks>
    <hyperlink ref="A63" r:id="rId1"/>
  </hyperlinks>
  <pageMargins left="0.25" right="0.25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workbookViewId="0">
      <selection activeCell="F2" sqref="F2:G5"/>
    </sheetView>
  </sheetViews>
  <sheetFormatPr defaultRowHeight="15" x14ac:dyDescent="0.25"/>
  <cols>
    <col min="1" max="1" width="8" customWidth="1"/>
    <col min="2" max="2" width="5.7109375" customWidth="1"/>
    <col min="3" max="3" width="16.85546875" customWidth="1"/>
    <col min="4" max="4" width="17.5703125" customWidth="1"/>
    <col min="5" max="5" width="10.85546875" customWidth="1"/>
    <col min="6" max="6" width="14.85546875" customWidth="1"/>
    <col min="7" max="7" width="17" customWidth="1"/>
    <col min="8" max="8" width="12.28515625" customWidth="1"/>
  </cols>
  <sheetData>
    <row r="1" spans="1:10" ht="15.75" thickBot="1" x14ac:dyDescent="0.3"/>
    <row r="2" spans="1:10" ht="15.75" x14ac:dyDescent="0.25">
      <c r="B2" s="5"/>
      <c r="C2" s="172" t="s">
        <v>0</v>
      </c>
      <c r="D2" s="173"/>
      <c r="E2" s="174"/>
      <c r="F2" s="168" t="s">
        <v>58</v>
      </c>
      <c r="G2" s="169"/>
      <c r="H2" s="9"/>
      <c r="I2" s="5"/>
    </row>
    <row r="3" spans="1:10" ht="15.75" x14ac:dyDescent="0.25">
      <c r="B3" s="5"/>
      <c r="C3" s="157" t="s">
        <v>1</v>
      </c>
      <c r="D3" s="158"/>
      <c r="E3" s="159"/>
      <c r="F3" s="170"/>
      <c r="G3" s="171"/>
      <c r="H3" s="10"/>
      <c r="I3" s="5"/>
    </row>
    <row r="4" spans="1:10" ht="15.75" x14ac:dyDescent="0.25">
      <c r="B4" s="5"/>
      <c r="C4" s="157" t="s">
        <v>2</v>
      </c>
      <c r="D4" s="158"/>
      <c r="E4" s="159"/>
      <c r="F4" s="164" t="s">
        <v>3</v>
      </c>
      <c r="G4" s="165"/>
      <c r="H4" s="10"/>
      <c r="I4" s="5"/>
    </row>
    <row r="5" spans="1:10" ht="16.5" thickBot="1" x14ac:dyDescent="0.3">
      <c r="B5" s="5"/>
      <c r="C5" s="161" t="s">
        <v>4</v>
      </c>
      <c r="D5" s="162"/>
      <c r="E5" s="163"/>
      <c r="F5" s="166" t="s">
        <v>20</v>
      </c>
      <c r="G5" s="167"/>
      <c r="H5" s="9"/>
      <c r="I5" s="5"/>
    </row>
    <row r="6" spans="1:10" ht="15.75" x14ac:dyDescent="0.25">
      <c r="A6" s="11" t="s">
        <v>5</v>
      </c>
      <c r="B6" s="11"/>
      <c r="C6" s="11"/>
      <c r="D6" s="11"/>
      <c r="E6" s="11"/>
      <c r="F6" s="11"/>
      <c r="G6" s="11"/>
      <c r="H6" s="1"/>
    </row>
    <row r="7" spans="1:10" ht="15.75" x14ac:dyDescent="0.25">
      <c r="A7" s="11" t="s">
        <v>21</v>
      </c>
      <c r="B7" s="11"/>
      <c r="C7" s="11"/>
      <c r="D7" s="11"/>
      <c r="E7" s="11"/>
      <c r="F7" s="11"/>
      <c r="G7" s="11"/>
      <c r="H7" s="1"/>
    </row>
    <row r="8" spans="1:10" ht="16.5" thickBot="1" x14ac:dyDescent="0.3">
      <c r="A8" s="12" t="s">
        <v>24</v>
      </c>
      <c r="B8" s="12"/>
      <c r="C8" s="12"/>
      <c r="D8" s="12"/>
      <c r="E8" s="12"/>
      <c r="F8" s="12"/>
      <c r="G8" s="12"/>
    </row>
    <row r="9" spans="1:10" ht="15.75" x14ac:dyDescent="0.25">
      <c r="A9" s="13" t="s">
        <v>6</v>
      </c>
      <c r="B9" s="14"/>
      <c r="C9" s="14"/>
      <c r="D9" s="14"/>
      <c r="E9" s="14"/>
      <c r="F9" s="14"/>
      <c r="G9" s="28"/>
      <c r="H9" s="5"/>
      <c r="I9" s="5"/>
      <c r="J9" s="5"/>
    </row>
    <row r="10" spans="1:10" ht="15.75" x14ac:dyDescent="0.25">
      <c r="A10" s="195"/>
      <c r="B10" s="196"/>
      <c r="C10" s="196"/>
      <c r="D10" s="196"/>
      <c r="E10" s="196"/>
      <c r="F10" s="16"/>
      <c r="G10" s="30"/>
      <c r="H10" s="5"/>
      <c r="I10" s="5"/>
      <c r="J10" s="5"/>
    </row>
    <row r="11" spans="1:10" ht="16.5" thickBot="1" x14ac:dyDescent="0.3">
      <c r="A11" s="189"/>
      <c r="B11" s="190"/>
      <c r="C11" s="190"/>
      <c r="D11" s="190"/>
      <c r="E11" s="190"/>
      <c r="F11" s="16"/>
      <c r="G11" s="30"/>
      <c r="H11" s="5"/>
      <c r="I11" s="5"/>
      <c r="J11" s="5"/>
    </row>
    <row r="12" spans="1:10" ht="15.75" x14ac:dyDescent="0.25">
      <c r="A12" s="13" t="s">
        <v>8</v>
      </c>
      <c r="B12" s="14"/>
      <c r="C12" s="14"/>
      <c r="D12" s="14"/>
      <c r="E12" s="13" t="s">
        <v>25</v>
      </c>
      <c r="F12" s="14"/>
      <c r="G12" s="39"/>
      <c r="H12" s="5"/>
      <c r="I12" s="5"/>
      <c r="J12" s="5"/>
    </row>
    <row r="13" spans="1:10" ht="15.75" x14ac:dyDescent="0.25">
      <c r="A13" s="195"/>
      <c r="B13" s="196"/>
      <c r="C13" s="196"/>
      <c r="D13" s="197"/>
      <c r="E13" s="195"/>
      <c r="F13" s="196"/>
      <c r="G13" s="197"/>
      <c r="H13" s="5"/>
      <c r="I13" s="5"/>
      <c r="J13" s="5"/>
    </row>
    <row r="14" spans="1:10" ht="16.5" thickBot="1" x14ac:dyDescent="0.3">
      <c r="A14" s="189"/>
      <c r="B14" s="190"/>
      <c r="C14" s="190"/>
      <c r="D14" s="191"/>
      <c r="E14" s="189"/>
      <c r="F14" s="190"/>
      <c r="G14" s="191"/>
      <c r="H14" s="5"/>
      <c r="I14" s="5"/>
      <c r="J14" s="5"/>
    </row>
    <row r="15" spans="1:10" ht="15.75" x14ac:dyDescent="0.25">
      <c r="A15" s="13" t="s">
        <v>7</v>
      </c>
      <c r="B15" s="14"/>
      <c r="C15" s="14"/>
      <c r="D15" s="14"/>
      <c r="E15" s="13" t="s">
        <v>25</v>
      </c>
      <c r="F15" s="14"/>
      <c r="G15" s="39"/>
      <c r="H15" s="5"/>
      <c r="I15" s="5"/>
      <c r="J15" s="5"/>
    </row>
    <row r="16" spans="1:10" ht="15.75" x14ac:dyDescent="0.25">
      <c r="A16" s="195"/>
      <c r="B16" s="196"/>
      <c r="C16" s="196"/>
      <c r="D16" s="197"/>
      <c r="E16" s="195"/>
      <c r="F16" s="196"/>
      <c r="G16" s="197"/>
      <c r="H16" s="5"/>
      <c r="I16" s="5"/>
      <c r="J16" s="5"/>
    </row>
    <row r="17" spans="1:10" ht="16.5" thickBot="1" x14ac:dyDescent="0.3">
      <c r="A17" s="189"/>
      <c r="B17" s="190"/>
      <c r="C17" s="190"/>
      <c r="D17" s="191"/>
      <c r="E17" s="189"/>
      <c r="F17" s="190"/>
      <c r="G17" s="191"/>
      <c r="H17" s="5"/>
      <c r="I17" s="5"/>
      <c r="J17" s="5"/>
    </row>
    <row r="18" spans="1:10" ht="20.25" customHeight="1" thickBot="1" x14ac:dyDescent="0.3">
      <c r="A18" s="20" t="s">
        <v>27</v>
      </c>
      <c r="B18" s="21"/>
      <c r="C18" s="21" t="s">
        <v>28</v>
      </c>
      <c r="D18" s="22" t="s">
        <v>26</v>
      </c>
      <c r="E18" s="20" t="s">
        <v>27</v>
      </c>
      <c r="F18" s="60" t="s">
        <v>29</v>
      </c>
      <c r="G18" s="47" t="s">
        <v>35</v>
      </c>
      <c r="H18" s="5"/>
      <c r="I18" s="5"/>
      <c r="J18" s="5"/>
    </row>
    <row r="19" spans="1:10" ht="15.75" x14ac:dyDescent="0.25">
      <c r="A19" s="64" t="s">
        <v>9</v>
      </c>
      <c r="B19" s="65"/>
      <c r="C19" s="65"/>
      <c r="D19" s="65"/>
      <c r="E19" s="14"/>
      <c r="F19" s="14"/>
      <c r="G19" s="28"/>
      <c r="H19" s="5"/>
      <c r="I19" s="5"/>
      <c r="J19" s="5"/>
    </row>
    <row r="20" spans="1:10" ht="16.5" thickBot="1" x14ac:dyDescent="0.3">
      <c r="A20" s="18"/>
      <c r="B20" s="19"/>
      <c r="C20" s="19"/>
      <c r="D20" s="19"/>
      <c r="E20" s="19"/>
      <c r="F20" s="19"/>
      <c r="G20" s="29"/>
      <c r="H20" s="5"/>
      <c r="I20" s="5"/>
      <c r="J20" s="5"/>
    </row>
    <row r="21" spans="1:10" ht="15.75" x14ac:dyDescent="0.25">
      <c r="A21" s="13" t="s">
        <v>10</v>
      </c>
      <c r="B21" s="14"/>
      <c r="C21" s="14"/>
      <c r="D21" s="198">
        <v>4000</v>
      </c>
      <c r="E21" s="198"/>
      <c r="F21" s="14"/>
      <c r="G21" s="28"/>
      <c r="H21" s="5"/>
      <c r="I21" s="5"/>
      <c r="J21" s="5"/>
    </row>
    <row r="22" spans="1:10" ht="16.5" thickBot="1" x14ac:dyDescent="0.3">
      <c r="A22" s="18"/>
      <c r="B22" s="19"/>
      <c r="C22" s="19"/>
      <c r="D22" s="19"/>
      <c r="E22" s="19"/>
      <c r="F22" s="19"/>
      <c r="G22" s="29"/>
      <c r="H22" s="5"/>
      <c r="I22" s="5"/>
      <c r="J22" s="5"/>
    </row>
    <row r="23" spans="1:10" ht="32.25" customHeight="1" thickBot="1" x14ac:dyDescent="0.3">
      <c r="A23" s="23" t="s">
        <v>11</v>
      </c>
      <c r="B23" s="21"/>
      <c r="C23" s="21"/>
      <c r="D23" s="21"/>
      <c r="E23" s="24" t="s">
        <v>12</v>
      </c>
      <c r="F23" s="48" t="s">
        <v>19</v>
      </c>
      <c r="G23" s="40" t="s">
        <v>13</v>
      </c>
      <c r="H23" s="5"/>
      <c r="I23" s="5"/>
      <c r="J23" s="5"/>
    </row>
    <row r="24" spans="1:10" ht="15.75" x14ac:dyDescent="0.25">
      <c r="A24" s="27" t="s">
        <v>56</v>
      </c>
      <c r="B24" s="14"/>
      <c r="C24" s="14"/>
      <c r="D24" s="14"/>
      <c r="E24" s="1"/>
      <c r="F24" s="38"/>
      <c r="G24" s="41">
        <f>0.01*D21</f>
        <v>40</v>
      </c>
      <c r="H24" s="5"/>
      <c r="I24" s="5"/>
      <c r="J24" s="5"/>
    </row>
    <row r="25" spans="1:10" ht="16.5" thickBot="1" x14ac:dyDescent="0.3">
      <c r="A25" s="62" t="s">
        <v>45</v>
      </c>
      <c r="B25" s="16"/>
      <c r="C25" s="16"/>
      <c r="D25" s="16"/>
      <c r="E25" s="61"/>
      <c r="F25" s="53"/>
      <c r="G25" s="30"/>
      <c r="H25" s="5"/>
      <c r="I25" s="5"/>
      <c r="J25" s="5"/>
    </row>
    <row r="26" spans="1:10" ht="15.75" x14ac:dyDescent="0.25">
      <c r="A26" s="17" t="s">
        <v>31</v>
      </c>
      <c r="B26" s="14"/>
      <c r="C26" s="14"/>
      <c r="D26" s="14"/>
      <c r="E26" s="34">
        <v>1</v>
      </c>
      <c r="F26" s="52"/>
      <c r="G26" s="41" t="e">
        <f>SUM(#REF!)*0.65*E26</f>
        <v>#REF!</v>
      </c>
      <c r="H26" s="5"/>
      <c r="I26" s="5"/>
      <c r="J26" s="5"/>
    </row>
    <row r="27" spans="1:10" ht="15.75" x14ac:dyDescent="0.25">
      <c r="A27" s="192" t="s">
        <v>57</v>
      </c>
      <c r="B27" s="193"/>
      <c r="C27" s="193"/>
      <c r="D27" s="194"/>
      <c r="E27" s="61"/>
      <c r="F27" s="38"/>
      <c r="G27" s="30"/>
      <c r="H27" s="5"/>
      <c r="I27" s="5"/>
      <c r="J27" s="5"/>
    </row>
    <row r="28" spans="1:10" ht="16.5" thickBot="1" x14ac:dyDescent="0.3">
      <c r="A28" s="92" t="s">
        <v>53</v>
      </c>
      <c r="B28" s="93"/>
      <c r="C28" s="93"/>
      <c r="D28" s="94"/>
      <c r="E28" s="37"/>
      <c r="F28" s="53"/>
      <c r="G28" s="29"/>
      <c r="H28" s="5"/>
      <c r="I28" s="5"/>
      <c r="J28" s="5"/>
    </row>
    <row r="29" spans="1:10" ht="15.75" x14ac:dyDescent="0.25">
      <c r="A29" s="17"/>
      <c r="B29" s="14"/>
      <c r="C29" s="14"/>
      <c r="D29" s="14"/>
      <c r="E29" s="2"/>
      <c r="F29" s="16"/>
      <c r="G29" s="26"/>
      <c r="H29" s="5"/>
      <c r="I29" s="5"/>
      <c r="J29" s="5"/>
    </row>
    <row r="30" spans="1:10" ht="16.5" thickBot="1" x14ac:dyDescent="0.3">
      <c r="A30" s="18" t="s">
        <v>16</v>
      </c>
      <c r="B30" s="19"/>
      <c r="C30" s="19"/>
      <c r="D30" s="19"/>
      <c r="E30" s="31" t="s">
        <v>18</v>
      </c>
      <c r="F30" s="7"/>
      <c r="G30" s="59" t="e">
        <f>SUM(G26:G28)</f>
        <v>#REF!</v>
      </c>
      <c r="H30" s="5"/>
      <c r="I30" s="5"/>
      <c r="J30" s="5"/>
    </row>
    <row r="31" spans="1:10" ht="15.75" x14ac:dyDescent="0.25">
      <c r="A31" s="15" t="s">
        <v>23</v>
      </c>
      <c r="B31" s="16"/>
      <c r="C31" s="16"/>
      <c r="D31" s="16"/>
      <c r="E31" s="16"/>
      <c r="F31" s="16"/>
      <c r="G31" s="26"/>
      <c r="H31" s="5"/>
      <c r="I31" s="5"/>
      <c r="J31" s="5"/>
    </row>
    <row r="32" spans="1:10" ht="15.75" x14ac:dyDescent="0.25">
      <c r="A32" s="15" t="s">
        <v>41</v>
      </c>
      <c r="B32" s="16"/>
      <c r="C32" s="16"/>
      <c r="D32" s="16"/>
      <c r="E32" s="16"/>
      <c r="F32" s="16"/>
      <c r="G32" s="66">
        <v>5</v>
      </c>
      <c r="H32" s="5"/>
      <c r="I32" s="5"/>
      <c r="J32" s="5"/>
    </row>
    <row r="33" spans="1:10" ht="16.5" thickBot="1" x14ac:dyDescent="0.3">
      <c r="A33" s="15"/>
      <c r="B33" s="16"/>
      <c r="C33" s="16"/>
      <c r="D33" s="16"/>
      <c r="E33" s="16"/>
      <c r="F33" s="16"/>
      <c r="G33" s="25"/>
      <c r="H33" s="5"/>
      <c r="I33" s="5"/>
      <c r="J33" s="5"/>
    </row>
    <row r="34" spans="1:10" ht="15.75" x14ac:dyDescent="0.25">
      <c r="A34" s="17"/>
      <c r="B34" s="14"/>
      <c r="C34" s="14"/>
      <c r="D34" s="2"/>
      <c r="E34" s="2"/>
      <c r="F34" s="3"/>
      <c r="G34" s="44"/>
      <c r="H34" s="5"/>
      <c r="I34" s="5"/>
      <c r="J34" s="5"/>
    </row>
    <row r="35" spans="1:10" ht="16.5" thickBot="1" x14ac:dyDescent="0.3">
      <c r="A35" s="6"/>
      <c r="B35" s="7"/>
      <c r="C35" s="7"/>
      <c r="D35" s="7"/>
      <c r="E35" s="31" t="s">
        <v>14</v>
      </c>
      <c r="F35" s="29"/>
      <c r="G35" s="59" t="e">
        <f>SUM(G30,G32)</f>
        <v>#REF!</v>
      </c>
      <c r="H35" s="5"/>
      <c r="I35" s="5"/>
      <c r="J35" s="5"/>
    </row>
    <row r="36" spans="1:10" ht="15.75" x14ac:dyDescent="0.25">
      <c r="A36" s="5"/>
      <c r="B36" s="5"/>
      <c r="C36" s="5"/>
      <c r="D36" s="16"/>
      <c r="E36" s="16"/>
      <c r="F36" s="5"/>
      <c r="G36" s="16"/>
      <c r="H36" s="5"/>
      <c r="I36" s="5"/>
      <c r="J36" s="5"/>
    </row>
    <row r="37" spans="1:10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thickBot="1" x14ac:dyDescent="0.3">
      <c r="A38" s="5"/>
      <c r="B38" s="16"/>
      <c r="C38" s="16"/>
      <c r="D38" s="16"/>
      <c r="E38" s="16"/>
      <c r="F38" s="16"/>
      <c r="G38" s="16"/>
      <c r="H38" s="5"/>
      <c r="I38" s="5"/>
      <c r="J38" s="5"/>
    </row>
    <row r="39" spans="1:10" ht="15.75" x14ac:dyDescent="0.25">
      <c r="A39" s="17" t="s">
        <v>15</v>
      </c>
      <c r="B39" s="14"/>
      <c r="C39" s="14"/>
      <c r="D39" s="14"/>
      <c r="E39" s="14"/>
      <c r="F39" s="14"/>
      <c r="G39" s="28"/>
      <c r="H39" s="5"/>
      <c r="I39" s="5"/>
      <c r="J39" s="5"/>
    </row>
    <row r="40" spans="1:10" ht="15.75" customHeight="1" x14ac:dyDescent="0.25">
      <c r="A40" s="132"/>
      <c r="B40" s="133"/>
      <c r="C40" s="133"/>
      <c r="D40" s="133"/>
      <c r="E40" s="133"/>
      <c r="F40" s="133"/>
      <c r="G40" s="134"/>
      <c r="H40" s="5"/>
      <c r="I40" s="5"/>
      <c r="J40" s="5"/>
    </row>
    <row r="41" spans="1:10" ht="15.75" customHeight="1" x14ac:dyDescent="0.25">
      <c r="A41" s="132"/>
      <c r="B41" s="133"/>
      <c r="C41" s="133"/>
      <c r="D41" s="133"/>
      <c r="E41" s="133"/>
      <c r="F41" s="133"/>
      <c r="G41" s="134"/>
      <c r="H41" s="5"/>
      <c r="I41" s="5"/>
      <c r="J41" s="5"/>
    </row>
    <row r="42" spans="1:10" ht="15.75" customHeight="1" x14ac:dyDescent="0.25">
      <c r="A42" s="132"/>
      <c r="B42" s="133"/>
      <c r="C42" s="133"/>
      <c r="D42" s="133"/>
      <c r="E42" s="133"/>
      <c r="F42" s="133"/>
      <c r="G42" s="134"/>
      <c r="H42" s="5"/>
      <c r="I42" s="5"/>
      <c r="J42" s="5"/>
    </row>
    <row r="43" spans="1:10" ht="15.75" customHeight="1" x14ac:dyDescent="0.25">
      <c r="A43" s="132"/>
      <c r="B43" s="133"/>
      <c r="C43" s="133"/>
      <c r="D43" s="133"/>
      <c r="E43" s="133"/>
      <c r="F43" s="133"/>
      <c r="G43" s="134"/>
      <c r="H43" s="5"/>
      <c r="I43" s="5"/>
      <c r="J43" s="5"/>
    </row>
    <row r="44" spans="1:10" ht="15.75" customHeight="1" x14ac:dyDescent="0.25">
      <c r="A44" s="132"/>
      <c r="B44" s="133"/>
      <c r="C44" s="133"/>
      <c r="D44" s="133"/>
      <c r="E44" s="133"/>
      <c r="F44" s="133"/>
      <c r="G44" s="134"/>
      <c r="H44" s="5"/>
      <c r="I44" s="5"/>
      <c r="J44" s="5"/>
    </row>
    <row r="45" spans="1:10" ht="15.75" thickBot="1" x14ac:dyDescent="0.3">
      <c r="A45" s="135"/>
      <c r="B45" s="136"/>
      <c r="C45" s="136"/>
      <c r="D45" s="136"/>
      <c r="E45" s="136"/>
      <c r="F45" s="136"/>
      <c r="G45" s="137"/>
      <c r="H45" s="5"/>
      <c r="I45" s="5"/>
      <c r="J45" s="5"/>
    </row>
    <row r="46" spans="1:10" x14ac:dyDescent="0.25">
      <c r="A46" s="8"/>
      <c r="B46" s="2"/>
      <c r="C46" s="2"/>
      <c r="D46" s="2"/>
      <c r="E46" s="2"/>
      <c r="F46" s="2"/>
      <c r="G46" s="3"/>
      <c r="H46" s="5"/>
      <c r="I46" s="5"/>
      <c r="J46" s="5"/>
    </row>
    <row r="47" spans="1:10" ht="15.75" x14ac:dyDescent="0.25">
      <c r="A47" s="89" t="s">
        <v>48</v>
      </c>
      <c r="B47" s="90"/>
      <c r="C47" s="90"/>
      <c r="D47" s="90"/>
      <c r="E47" s="90"/>
      <c r="F47" s="90"/>
      <c r="G47" s="91"/>
      <c r="H47" s="5"/>
      <c r="I47" s="5"/>
      <c r="J47" s="5"/>
    </row>
    <row r="48" spans="1:10" ht="15.75" x14ac:dyDescent="0.25">
      <c r="A48" s="89" t="s">
        <v>17</v>
      </c>
      <c r="B48" s="90"/>
      <c r="C48" s="90"/>
      <c r="D48" s="90"/>
      <c r="E48" s="90"/>
      <c r="F48" s="90"/>
      <c r="G48" s="91"/>
      <c r="H48" s="5"/>
      <c r="I48" s="5"/>
      <c r="J48" s="5"/>
    </row>
    <row r="49" spans="1:10" ht="15.75" x14ac:dyDescent="0.25">
      <c r="A49" s="15"/>
      <c r="B49" s="16"/>
      <c r="C49" s="16"/>
      <c r="D49" s="16"/>
      <c r="E49" s="16"/>
      <c r="F49" s="16"/>
      <c r="G49" s="30"/>
      <c r="H49" s="5"/>
      <c r="I49" s="5"/>
      <c r="J49" s="5"/>
    </row>
    <row r="50" spans="1:10" ht="15.75" x14ac:dyDescent="0.25">
      <c r="A50" s="89" t="s">
        <v>42</v>
      </c>
      <c r="B50" s="90"/>
      <c r="C50" s="90"/>
      <c r="D50" s="90"/>
      <c r="E50" s="90"/>
      <c r="F50" s="90" t="s">
        <v>43</v>
      </c>
      <c r="G50" s="91"/>
      <c r="H50" s="5"/>
      <c r="I50" s="5"/>
      <c r="J50" s="5"/>
    </row>
    <row r="51" spans="1:10" ht="15.75" x14ac:dyDescent="0.25">
      <c r="A51" s="15"/>
      <c r="B51" s="16"/>
      <c r="C51" s="16"/>
      <c r="D51" s="16"/>
      <c r="E51" s="16"/>
      <c r="F51" s="16"/>
      <c r="G51" s="30"/>
      <c r="H51" s="5"/>
      <c r="I51" s="5"/>
      <c r="J51" s="5"/>
    </row>
    <row r="52" spans="1:10" x14ac:dyDescent="0.25">
      <c r="A52" s="4"/>
      <c r="B52" s="5"/>
      <c r="C52" s="5"/>
      <c r="D52" s="5"/>
      <c r="E52" s="5"/>
      <c r="F52" s="5"/>
      <c r="G52" s="42"/>
      <c r="H52" s="5"/>
      <c r="I52" s="5"/>
      <c r="J52" s="5"/>
    </row>
    <row r="53" spans="1:10" x14ac:dyDescent="0.25">
      <c r="A53" s="4"/>
      <c r="B53" s="5"/>
      <c r="C53" s="5"/>
      <c r="D53" s="5"/>
      <c r="E53" s="5"/>
      <c r="F53" s="5"/>
      <c r="G53" s="42"/>
      <c r="H53" s="5"/>
    </row>
    <row r="54" spans="1:10" ht="15.75" customHeight="1" x14ac:dyDescent="0.25">
      <c r="A54" s="4"/>
      <c r="B54" s="16" t="s">
        <v>50</v>
      </c>
      <c r="C54" s="16"/>
      <c r="D54" s="16"/>
      <c r="E54" s="16"/>
      <c r="F54" s="16"/>
      <c r="G54" s="30"/>
      <c r="H54" s="5"/>
    </row>
    <row r="55" spans="1:10" ht="15.75" customHeight="1" x14ac:dyDescent="0.25">
      <c r="A55" s="4"/>
      <c r="B55" s="16" t="s">
        <v>51</v>
      </c>
      <c r="C55" s="16"/>
      <c r="D55" s="16"/>
      <c r="E55" s="16"/>
      <c r="F55" s="16"/>
      <c r="G55" s="30"/>
      <c r="H55" s="5"/>
    </row>
    <row r="56" spans="1:10" ht="15.75" customHeight="1" x14ac:dyDescent="0.25">
      <c r="A56" s="4"/>
      <c r="B56" s="16"/>
      <c r="C56" s="16"/>
      <c r="D56" s="16"/>
      <c r="E56" s="16"/>
      <c r="F56" s="16"/>
      <c r="G56" s="30"/>
      <c r="H56" s="5"/>
    </row>
    <row r="57" spans="1:10" ht="15.75" x14ac:dyDescent="0.25">
      <c r="A57" s="4"/>
      <c r="B57" s="16"/>
      <c r="C57" s="16"/>
      <c r="D57" s="16"/>
      <c r="E57" s="16"/>
      <c r="F57" s="16"/>
      <c r="G57" s="30"/>
      <c r="H57" s="5"/>
    </row>
    <row r="58" spans="1:10" ht="15.75" x14ac:dyDescent="0.25">
      <c r="A58" s="4"/>
      <c r="B58" s="16" t="s">
        <v>49</v>
      </c>
      <c r="C58" s="16"/>
      <c r="D58" s="16"/>
      <c r="E58" s="16"/>
      <c r="F58" s="16"/>
      <c r="G58" s="30"/>
      <c r="H58" s="5"/>
    </row>
    <row r="59" spans="1:10" ht="15.75" x14ac:dyDescent="0.25">
      <c r="A59" s="4"/>
      <c r="B59" s="16" t="s">
        <v>22</v>
      </c>
      <c r="C59" s="16"/>
      <c r="D59" s="16"/>
      <c r="E59" s="16"/>
      <c r="F59" s="16"/>
      <c r="G59" s="30"/>
    </row>
    <row r="60" spans="1:10" ht="15.75" thickBot="1" x14ac:dyDescent="0.3">
      <c r="A60" s="6"/>
      <c r="B60" s="7"/>
      <c r="C60" s="7"/>
      <c r="D60" s="7"/>
      <c r="E60" s="55"/>
      <c r="F60" s="7"/>
      <c r="G60" s="43"/>
    </row>
    <row r="67" spans="1:11" x14ac:dyDescent="0.25">
      <c r="H67" s="54"/>
    </row>
    <row r="69" spans="1:11" ht="17.25" customHeight="1" x14ac:dyDescent="0.25"/>
    <row r="71" spans="1:11" ht="15.75" x14ac:dyDescent="0.25">
      <c r="A71" s="12" t="s">
        <v>55</v>
      </c>
      <c r="B71" s="12"/>
      <c r="C71" s="12"/>
      <c r="D71" s="12"/>
      <c r="E71" s="12"/>
      <c r="F71" s="12"/>
    </row>
    <row r="72" spans="1:11" ht="15.75" thickBot="1" x14ac:dyDescent="0.3"/>
    <row r="73" spans="1:11" ht="15.75" thickBot="1" x14ac:dyDescent="0.3">
      <c r="A73" s="204" t="s">
        <v>36</v>
      </c>
      <c r="B73" s="205"/>
      <c r="C73" s="205"/>
      <c r="D73" s="205"/>
      <c r="E73" s="206"/>
      <c r="F73" s="206"/>
      <c r="G73" s="207"/>
    </row>
    <row r="74" spans="1:11" ht="21.75" thickBot="1" x14ac:dyDescent="0.3">
      <c r="A74" s="208" t="s">
        <v>37</v>
      </c>
      <c r="B74" s="209"/>
      <c r="C74" s="210"/>
      <c r="D74" s="58" t="s">
        <v>39</v>
      </c>
      <c r="E74" s="56"/>
      <c r="F74" s="57" t="s">
        <v>40</v>
      </c>
      <c r="G74" s="56"/>
    </row>
    <row r="75" spans="1:11" ht="20.25" customHeight="1" thickBot="1" x14ac:dyDescent="0.3">
      <c r="A75" s="199" t="s">
        <v>38</v>
      </c>
      <c r="B75" s="200"/>
      <c r="C75" s="201"/>
      <c r="D75" s="202"/>
      <c r="E75" s="202"/>
      <c r="F75" s="202"/>
      <c r="G75" s="203"/>
    </row>
    <row r="80" spans="1:11" x14ac:dyDescent="0.25">
      <c r="K80" s="5"/>
    </row>
    <row r="84" spans="6:6" x14ac:dyDescent="0.25">
      <c r="F84" s="5"/>
    </row>
  </sheetData>
  <mergeCells count="30">
    <mergeCell ref="A75:B75"/>
    <mergeCell ref="C75:G75"/>
    <mergeCell ref="A28:D28"/>
    <mergeCell ref="A40:G45"/>
    <mergeCell ref="A47:G47"/>
    <mergeCell ref="A48:G48"/>
    <mergeCell ref="A50:E50"/>
    <mergeCell ref="F50:G50"/>
    <mergeCell ref="A73:D73"/>
    <mergeCell ref="E73:G73"/>
    <mergeCell ref="A74:C74"/>
    <mergeCell ref="A27:D27"/>
    <mergeCell ref="A10:E10"/>
    <mergeCell ref="A11:E11"/>
    <mergeCell ref="A13:D13"/>
    <mergeCell ref="E13:G13"/>
    <mergeCell ref="A14:D14"/>
    <mergeCell ref="E14:G14"/>
    <mergeCell ref="A16:D16"/>
    <mergeCell ref="E16:G16"/>
    <mergeCell ref="A17:D17"/>
    <mergeCell ref="E17:G17"/>
    <mergeCell ref="D21:E21"/>
    <mergeCell ref="C2:E2"/>
    <mergeCell ref="C3:E3"/>
    <mergeCell ref="C4:E4"/>
    <mergeCell ref="F4:G4"/>
    <mergeCell ref="C5:E5"/>
    <mergeCell ref="F5:G5"/>
    <mergeCell ref="F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City of Saint Paul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See Her</dc:creator>
  <cp:lastModifiedBy>Angie Wiese</cp:lastModifiedBy>
  <cp:lastPrinted>2014-08-18T12:38:28Z</cp:lastPrinted>
  <dcterms:created xsi:type="dcterms:W3CDTF">2014-06-20T15:59:31Z</dcterms:created>
  <dcterms:modified xsi:type="dcterms:W3CDTF">2014-08-27T16:10:06Z</dcterms:modified>
</cp:coreProperties>
</file>