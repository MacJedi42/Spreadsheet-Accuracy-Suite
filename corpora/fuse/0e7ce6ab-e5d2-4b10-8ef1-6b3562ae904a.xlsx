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600" yWindow="120" windowWidth="14115" windowHeight="8670"/>
  </bookViews>
  <sheets>
    <sheet name="Summary" sheetId="1" r:id="rId1"/>
    <sheet name="ALA Guide to Reference" sheetId="2" r:id="rId2"/>
    <sheet name="ARTstor" sheetId="3" r:id="rId3"/>
    <sheet name="CIAO" sheetId="4" r:id="rId4"/>
    <sheet name="Cochrane" sheetId="5" r:id="rId5"/>
    <sheet name="Compendex(EI)" sheetId="6" r:id="rId6"/>
    <sheet name="CQ Researcher" sheetId="7" r:id="rId7"/>
    <sheet name="CSA" sheetId="8" r:id="rId8"/>
    <sheet name="EBSCOhost" sheetId="9" r:id="rId9"/>
    <sheet name="Elsevier" sheetId="10" r:id="rId10"/>
    <sheet name="EMBASE" sheetId="11" r:id="rId11"/>
    <sheet name="FirstSearch" sheetId="12" r:id="rId12"/>
    <sheet name="Greenwood" sheetId="13" r:id="rId13"/>
    <sheet name="InfoTrac" sheetId="14" r:id="rId14"/>
    <sheet name="ICPSR" sheetId="15" r:id="rId15"/>
    <sheet name="KCDL" sheetId="16" r:id="rId16"/>
    <sheet name="Lexi-Comp" sheetId="17" r:id="rId17"/>
    <sheet name="LexisNexis" sheetId="18" r:id="rId18"/>
    <sheet name="MathSciNet" sheetId="19" r:id="rId19"/>
    <sheet name="Mergent" sheetId="20" r:id="rId20"/>
    <sheet name="MetaPress" sheetId="21" r:id="rId21"/>
    <sheet name="netLibrary" sheetId="22" r:id="rId22"/>
    <sheet name="Newsbank" sheetId="23" r:id="rId23"/>
    <sheet name="OVID" sheetId="24" r:id="rId24"/>
    <sheet name="Oxford" sheetId="25" r:id="rId25"/>
    <sheet name="ProQuest" sheetId="26" r:id="rId26"/>
    <sheet name="ReferenceUSA" sheetId="27" r:id="rId27"/>
    <sheet name="RefWorks" sheetId="28" r:id="rId28"/>
    <sheet name="SciFinderScholar" sheetId="29" r:id="rId29"/>
    <sheet name="WebofScience" sheetId="30" r:id="rId30"/>
    <sheet name="WilsonWeb" sheetId="31" r:id="rId31"/>
  </sheets>
  <calcPr calcId="125725"/>
</workbook>
</file>

<file path=xl/calcChain.xml><?xml version="1.0" encoding="utf-8"?>
<calcChain xmlns="http://schemas.openxmlformats.org/spreadsheetml/2006/main">
  <c r="J7" i="1"/>
  <c r="J11"/>
  <c r="J12"/>
  <c r="J15"/>
  <c r="J17"/>
  <c r="H18"/>
  <c r="J18"/>
  <c r="J21"/>
  <c r="J27"/>
  <c r="J29"/>
  <c r="J31"/>
  <c r="J35"/>
  <c r="J36"/>
  <c r="J37"/>
  <c r="J39"/>
  <c r="J40"/>
  <c r="J41"/>
  <c r="H42"/>
  <c r="J42"/>
  <c r="J44"/>
  <c r="J49"/>
  <c r="J52"/>
  <c r="J53"/>
  <c r="J56"/>
  <c r="J57"/>
  <c r="J58"/>
  <c r="J60"/>
  <c r="D63"/>
  <c r="D67"/>
  <c r="E67"/>
  <c r="J67"/>
  <c r="J69"/>
  <c r="J70"/>
  <c r="J73"/>
  <c r="H75"/>
  <c r="J77"/>
  <c r="J80"/>
  <c r="J83"/>
  <c r="J85"/>
  <c r="J86"/>
  <c r="J88"/>
  <c r="J90"/>
  <c r="J92"/>
  <c r="J94"/>
  <c r="H95"/>
  <c r="J95"/>
  <c r="J103"/>
  <c r="J104"/>
  <c r="J106"/>
  <c r="J110"/>
  <c r="J111"/>
  <c r="H119"/>
  <c r="J119"/>
  <c r="J121"/>
  <c r="J123"/>
  <c r="J124"/>
  <c r="J129"/>
  <c r="K129"/>
  <c r="J130"/>
  <c r="J131"/>
  <c r="K131"/>
  <c r="J132"/>
  <c r="J133"/>
  <c r="J134"/>
  <c r="J135"/>
  <c r="J139"/>
  <c r="J142"/>
  <c r="J143"/>
  <c r="J145"/>
  <c r="J147"/>
  <c r="J150"/>
  <c r="J159"/>
  <c r="N8" i="2"/>
  <c r="D12" i="1" s="1"/>
  <c r="N8" i="3"/>
  <c r="P8" s="1"/>
  <c r="N9"/>
  <c r="P9" s="1"/>
  <c r="N10"/>
  <c r="P10" s="1"/>
  <c r="N11"/>
  <c r="P11" s="1"/>
  <c r="N12"/>
  <c r="P12" s="1"/>
  <c r="N8" i="4"/>
  <c r="I36" i="1" s="1"/>
  <c r="N9" i="4"/>
  <c r="D36" i="1" s="1"/>
  <c r="N10" i="4"/>
  <c r="P10" s="1"/>
  <c r="N11"/>
  <c r="N12"/>
  <c r="P12"/>
  <c r="N8" i="5"/>
  <c r="D39" i="1" s="1"/>
  <c r="N9" i="5"/>
  <c r="E39" i="1" s="1"/>
  <c r="N10" i="5"/>
  <c r="P10" s="1"/>
  <c r="N11"/>
  <c r="N8" i="6"/>
  <c r="D42" i="1" s="1"/>
  <c r="N9" i="6"/>
  <c r="P9" s="1"/>
  <c r="K42" i="1" s="1"/>
  <c r="N8" i="7"/>
  <c r="D44" i="1" s="1"/>
  <c r="N9" i="7"/>
  <c r="E44" i="1" s="1"/>
  <c r="P9" i="7"/>
  <c r="K44" i="1" s="1"/>
  <c r="N10" i="7"/>
  <c r="I44" i="1" s="1"/>
  <c r="P10" i="7"/>
  <c r="N11"/>
  <c r="H44" i="1" s="1"/>
  <c r="B8" i="8"/>
  <c r="N8" s="1"/>
  <c r="C8"/>
  <c r="D8"/>
  <c r="E8"/>
  <c r="F8"/>
  <c r="B13"/>
  <c r="C13"/>
  <c r="D13"/>
  <c r="E13"/>
  <c r="F13"/>
  <c r="N13"/>
  <c r="E22" i="1" s="1"/>
  <c r="N18" i="8"/>
  <c r="E23" i="1" s="1"/>
  <c r="B23" i="8"/>
  <c r="N23" s="1"/>
  <c r="E24" i="1" s="1"/>
  <c r="C23" i="8"/>
  <c r="D23"/>
  <c r="E23"/>
  <c r="F23"/>
  <c r="B28"/>
  <c r="N28" s="1"/>
  <c r="E25" i="1" s="1"/>
  <c r="C28" i="8"/>
  <c r="D28"/>
  <c r="E28"/>
  <c r="F28"/>
  <c r="B33"/>
  <c r="N33" s="1"/>
  <c r="E26" i="1" s="1"/>
  <c r="C33" i="8"/>
  <c r="D33"/>
  <c r="E33"/>
  <c r="F33"/>
  <c r="N38"/>
  <c r="E28" i="1" s="1"/>
  <c r="N43" i="8"/>
  <c r="E34" i="1" s="1"/>
  <c r="B48" i="8"/>
  <c r="N48" s="1"/>
  <c r="C48"/>
  <c r="D48"/>
  <c r="E48"/>
  <c r="F48"/>
  <c r="N53"/>
  <c r="E41" i="1" s="1"/>
  <c r="P53" i="8"/>
  <c r="K41" i="1" s="1"/>
  <c r="N58" i="8"/>
  <c r="E43" i="1" s="1"/>
  <c r="P58" i="8"/>
  <c r="B63"/>
  <c r="C63"/>
  <c r="D63"/>
  <c r="E63"/>
  <c r="F63"/>
  <c r="N63"/>
  <c r="E55" i="1" s="1"/>
  <c r="N68" i="8"/>
  <c r="E51" i="1" s="1"/>
  <c r="B73" i="8"/>
  <c r="N73" s="1"/>
  <c r="C73"/>
  <c r="D73"/>
  <c r="E73"/>
  <c r="F73"/>
  <c r="N78"/>
  <c r="E61" i="1" s="1"/>
  <c r="N83" i="8"/>
  <c r="E62" i="1" s="1"/>
  <c r="N88" i="8"/>
  <c r="E64" i="1" s="1"/>
  <c r="B93" i="8"/>
  <c r="N93" s="1"/>
  <c r="C93"/>
  <c r="D93"/>
  <c r="E93"/>
  <c r="F93"/>
  <c r="B98"/>
  <c r="C98"/>
  <c r="D98"/>
  <c r="E98"/>
  <c r="F98"/>
  <c r="N98"/>
  <c r="E74" i="1" s="1"/>
  <c r="N103" i="8"/>
  <c r="E78" i="1" s="1"/>
  <c r="N108" i="8"/>
  <c r="E84" i="1" s="1"/>
  <c r="B113" i="8"/>
  <c r="C113"/>
  <c r="D113"/>
  <c r="E113"/>
  <c r="F113"/>
  <c r="N113"/>
  <c r="P113" s="1"/>
  <c r="K86" i="1" s="1"/>
  <c r="N118" i="8"/>
  <c r="P118" s="1"/>
  <c r="K110" i="1" s="1"/>
  <c r="N123" i="8"/>
  <c r="E109" i="1" s="1"/>
  <c r="B128" i="8"/>
  <c r="C128"/>
  <c r="D128"/>
  <c r="E128"/>
  <c r="F128"/>
  <c r="N128"/>
  <c r="P128" s="1"/>
  <c r="K106" i="1" s="1"/>
  <c r="B133" i="8"/>
  <c r="N133" s="1"/>
  <c r="E115" i="1" s="1"/>
  <c r="C133" i="8"/>
  <c r="D133"/>
  <c r="E133"/>
  <c r="F133"/>
  <c r="N138"/>
  <c r="E121" i="1" s="1"/>
  <c r="N143" i="8"/>
  <c r="E120" i="1" s="1"/>
  <c r="N148" i="8"/>
  <c r="E123" i="1" s="1"/>
  <c r="P148" i="8"/>
  <c r="K123" i="1" s="1"/>
  <c r="B153" i="8"/>
  <c r="C153"/>
  <c r="D153"/>
  <c r="E153"/>
  <c r="F153"/>
  <c r="N153"/>
  <c r="P153" s="1"/>
  <c r="K124" i="1" s="1"/>
  <c r="N158" i="8"/>
  <c r="E125" i="1" s="1"/>
  <c r="N163" i="8"/>
  <c r="E126" i="1" s="1"/>
  <c r="N168" i="8"/>
  <c r="E134" i="1" s="1"/>
  <c r="N173" i="8"/>
  <c r="E141" i="1" s="1"/>
  <c r="N178" i="8"/>
  <c r="E146" i="1" s="1"/>
  <c r="N183" i="8"/>
  <c r="E147" i="1" s="1"/>
  <c r="N188" i="8"/>
  <c r="E148" i="1" s="1"/>
  <c r="N193" i="8"/>
  <c r="E152" i="1" s="1"/>
  <c r="N198" i="8"/>
  <c r="E153" i="1" s="1"/>
  <c r="N203" i="8"/>
  <c r="E156" i="1" s="1"/>
  <c r="B208" i="8"/>
  <c r="N208" s="1"/>
  <c r="D46" i="1" s="1"/>
  <c r="C208" i="8"/>
  <c r="D208"/>
  <c r="E208"/>
  <c r="F208"/>
  <c r="B209"/>
  <c r="N209" s="1"/>
  <c r="E46" i="1" s="1"/>
  <c r="C209" i="8"/>
  <c r="D209"/>
  <c r="E209"/>
  <c r="F209"/>
  <c r="O209"/>
  <c r="J46" i="1" s="1"/>
  <c r="N8" i="9"/>
  <c r="D10" i="1" s="1"/>
  <c r="N9" i="9"/>
  <c r="E10" i="1" s="1"/>
  <c r="N14" i="9"/>
  <c r="D11" i="1" s="1"/>
  <c r="N15" i="9"/>
  <c r="E11" i="1" s="1"/>
  <c r="P15" i="9"/>
  <c r="K11" i="1" s="1"/>
  <c r="N20" i="9"/>
  <c r="D15" i="1" s="1"/>
  <c r="N21" i="9"/>
  <c r="E15" i="1" s="1"/>
  <c r="N26" i="9"/>
  <c r="D37" i="1" s="1"/>
  <c r="N27" i="9"/>
  <c r="E37" i="1" s="1"/>
  <c r="P27" i="9"/>
  <c r="K37" i="1" s="1"/>
  <c r="N32" i="9"/>
  <c r="D52" i="1" s="1"/>
  <c r="N33" i="9"/>
  <c r="E52" i="1" s="1"/>
  <c r="N38" i="9"/>
  <c r="D71" i="1" s="1"/>
  <c r="N39" i="9"/>
  <c r="E71" i="1" s="1"/>
  <c r="N44" i="9"/>
  <c r="N45"/>
  <c r="P45"/>
  <c r="K67" i="1" s="1"/>
  <c r="N50" i="9"/>
  <c r="D70" i="1" s="1"/>
  <c r="N51" i="9"/>
  <c r="P51" s="1"/>
  <c r="K70" i="1" s="1"/>
  <c r="N53" i="9"/>
  <c r="N58"/>
  <c r="N59"/>
  <c r="N64"/>
  <c r="D76" i="1" s="1"/>
  <c r="N65" i="9"/>
  <c r="E76" i="1" s="1"/>
  <c r="N70" i="9"/>
  <c r="D79" i="1" s="1"/>
  <c r="N71" i="9"/>
  <c r="E79" i="1" s="1"/>
  <c r="N76" i="9"/>
  <c r="D80" i="1" s="1"/>
  <c r="N77" i="9"/>
  <c r="P77" s="1"/>
  <c r="K80" i="1" s="1"/>
  <c r="N82" i="9"/>
  <c r="D81" i="1" s="1"/>
  <c r="N83" i="9"/>
  <c r="E81" i="1" s="1"/>
  <c r="N88" i="9"/>
  <c r="D85" i="1" s="1"/>
  <c r="N89" i="9"/>
  <c r="E85" i="1" s="1"/>
  <c r="P89" i="9"/>
  <c r="K85" i="1" s="1"/>
  <c r="N94" i="9"/>
  <c r="D93" i="1" s="1"/>
  <c r="N95" i="9"/>
  <c r="E93" i="1" s="1"/>
  <c r="N100" i="9"/>
  <c r="D94" i="1" s="1"/>
  <c r="N101" i="9"/>
  <c r="E94" i="1" s="1"/>
  <c r="N106" i="9"/>
  <c r="D97" i="1" s="1"/>
  <c r="N107" i="9"/>
  <c r="E97" i="1" s="1"/>
  <c r="N112" i="9"/>
  <c r="D98" i="1" s="1"/>
  <c r="N113" i="9"/>
  <c r="E98" i="1" s="1"/>
  <c r="N118" i="9"/>
  <c r="D101" i="1" s="1"/>
  <c r="N119" i="9"/>
  <c r="E101" i="1" s="1"/>
  <c r="N124" i="9"/>
  <c r="D103" i="1" s="1"/>
  <c r="N125" i="9"/>
  <c r="E103" i="1" s="1"/>
  <c r="P125" i="9"/>
  <c r="K103" i="1" s="1"/>
  <c r="N127" i="9"/>
  <c r="H103" i="1" s="1"/>
  <c r="N132" i="9"/>
  <c r="D107" i="1" s="1"/>
  <c r="N133" i="9"/>
  <c r="E107" i="1" s="1"/>
  <c r="N138" i="9"/>
  <c r="D108" i="1" s="1"/>
  <c r="N139" i="9"/>
  <c r="E108" i="1" s="1"/>
  <c r="N144" i="9"/>
  <c r="D111" i="1" s="1"/>
  <c r="N145" i="9"/>
  <c r="E111" i="1" s="1"/>
  <c r="P145" i="9"/>
  <c r="K111" i="1" s="1"/>
  <c r="N150" i="9"/>
  <c r="D127" i="1" s="1"/>
  <c r="N151" i="9"/>
  <c r="E127" i="1" s="1"/>
  <c r="N156" i="9"/>
  <c r="D133" i="1" s="1"/>
  <c r="N157" i="9"/>
  <c r="E50" i="1" s="1"/>
  <c r="N162" i="9"/>
  <c r="D140" i="1" s="1"/>
  <c r="N163" i="9"/>
  <c r="E140" i="1" s="1"/>
  <c r="N168" i="9"/>
  <c r="D149" i="1" s="1"/>
  <c r="N169" i="9"/>
  <c r="E149" i="1" s="1"/>
  <c r="N174" i="9"/>
  <c r="D150" i="1" s="1"/>
  <c r="N175" i="9"/>
  <c r="E150" i="1" s="1"/>
  <c r="P175" i="9"/>
  <c r="K150" i="1" s="1"/>
  <c r="N180" i="9"/>
  <c r="D151" i="1" s="1"/>
  <c r="N181" i="9"/>
  <c r="E151" i="1" s="1"/>
  <c r="N186" i="9"/>
  <c r="D159" i="1" s="1"/>
  <c r="N187" i="9"/>
  <c r="E159" i="1" s="1"/>
  <c r="N192" i="9"/>
  <c r="N193"/>
  <c r="O193"/>
  <c r="P193" s="1"/>
  <c r="N194"/>
  <c r="N8" i="10"/>
  <c r="P8"/>
  <c r="K57" i="1" s="1"/>
  <c r="N13" i="10"/>
  <c r="P13"/>
  <c r="K58" i="1" s="1"/>
  <c r="N8" i="11"/>
  <c r="D56" i="1" s="1"/>
  <c r="N9" i="11"/>
  <c r="P9" s="1"/>
  <c r="K56" i="1" s="1"/>
  <c r="N8" i="12"/>
  <c r="E13" i="1" s="1"/>
  <c r="N13" i="12"/>
  <c r="E14" i="1" s="1"/>
  <c r="N18" i="12"/>
  <c r="D20" i="1" s="1"/>
  <c r="N19" i="12"/>
  <c r="E20" i="1" s="1"/>
  <c r="N21" i="12"/>
  <c r="H20" i="1" s="1"/>
  <c r="N26" i="12"/>
  <c r="D38" i="1" s="1"/>
  <c r="N27" i="12"/>
  <c r="E38" i="1" s="1"/>
  <c r="N29" i="12"/>
  <c r="H38" i="1" s="1"/>
  <c r="N34" i="12"/>
  <c r="D66" i="1" s="1"/>
  <c r="N35" i="12"/>
  <c r="E66" i="1" s="1"/>
  <c r="N37" i="12"/>
  <c r="H66" i="1" s="1"/>
  <c r="N42" i="12"/>
  <c r="E72" i="1" s="1"/>
  <c r="N47" i="12"/>
  <c r="D75" i="1" s="1"/>
  <c r="N48" i="12"/>
  <c r="E75" i="1" s="1"/>
  <c r="N50" i="12"/>
  <c r="N55"/>
  <c r="D102" i="1" s="1"/>
  <c r="N56" i="12"/>
  <c r="E102" i="1" s="1"/>
  <c r="N58" i="12"/>
  <c r="N63"/>
  <c r="D114" i="1" s="1"/>
  <c r="N64" i="12"/>
  <c r="E114" i="1" s="1"/>
  <c r="N66" i="12"/>
  <c r="H114" i="1" s="1"/>
  <c r="N71" i="12"/>
  <c r="D116" i="1" s="1"/>
  <c r="N72" i="12"/>
  <c r="E116" i="1" s="1"/>
  <c r="N74" i="12"/>
  <c r="H116" i="1" s="1"/>
  <c r="N79" i="12"/>
  <c r="D117" i="1" s="1"/>
  <c r="N80" i="12"/>
  <c r="E117" i="1" s="1"/>
  <c r="N82" i="12"/>
  <c r="H117" i="1" s="1"/>
  <c r="N87" i="12"/>
  <c r="D122" i="1" s="1"/>
  <c r="N88" i="12"/>
  <c r="E122" i="1" s="1"/>
  <c r="N90" i="12"/>
  <c r="H102" i="1" s="1"/>
  <c r="N95" i="12"/>
  <c r="D128" i="1" s="1"/>
  <c r="N96" i="12"/>
  <c r="E128" i="1" s="1"/>
  <c r="N98" i="12"/>
  <c r="H128" i="1" s="1"/>
  <c r="N103" i="12"/>
  <c r="D160" i="1" s="1"/>
  <c r="N104" i="12"/>
  <c r="E160" i="1" s="1"/>
  <c r="N106" i="12"/>
  <c r="H160" i="1" s="1"/>
  <c r="N111" i="12"/>
  <c r="D162" i="1" s="1"/>
  <c r="N112" i="12"/>
  <c r="E162" i="1" s="1"/>
  <c r="P112" i="12"/>
  <c r="N114"/>
  <c r="H162" i="1" s="1"/>
  <c r="N119" i="12"/>
  <c r="D161" i="1" s="1"/>
  <c r="N120" i="12"/>
  <c r="E161" i="1" s="1"/>
  <c r="N122" i="12"/>
  <c r="H161" i="1" s="1"/>
  <c r="N128" i="12"/>
  <c r="D69" i="1" s="1"/>
  <c r="N129" i="12"/>
  <c r="E69" i="1" s="1"/>
  <c r="N131" i="12"/>
  <c r="H69" i="1" s="1"/>
  <c r="N136" i="12"/>
  <c r="E68" i="1" s="1"/>
  <c r="N8" i="13"/>
  <c r="P8" s="1"/>
  <c r="K17" i="1" s="1"/>
  <c r="N9" i="13"/>
  <c r="D17" i="1" s="1"/>
  <c r="N8" i="14"/>
  <c r="E95" i="1" s="1"/>
  <c r="P8" i="14"/>
  <c r="K95" i="1" s="1"/>
  <c r="N9" i="14"/>
  <c r="D95" i="1" s="1"/>
  <c r="N10" i="14"/>
  <c r="N11"/>
  <c r="P11"/>
  <c r="N8" i="15"/>
  <c r="P8"/>
  <c r="N9"/>
  <c r="H83" i="1" s="1"/>
  <c r="P9" i="15"/>
  <c r="K83" i="1" s="1"/>
  <c r="N10" i="15"/>
  <c r="P10"/>
  <c r="N11"/>
  <c r="P11"/>
  <c r="N12"/>
  <c r="P12"/>
  <c r="N13"/>
  <c r="P13"/>
  <c r="N14"/>
  <c r="P14"/>
  <c r="N15"/>
  <c r="P15"/>
  <c r="N16"/>
  <c r="P16"/>
  <c r="N17"/>
  <c r="P17"/>
  <c r="N8" i="16"/>
  <c r="E88" i="1" s="1"/>
  <c r="P8" i="16"/>
  <c r="K88" i="1" s="1"/>
  <c r="N9" i="16"/>
  <c r="N8" i="17"/>
  <c r="D89" i="1" s="1"/>
  <c r="N9" i="17"/>
  <c r="E89" i="1" s="1"/>
  <c r="N10" i="17"/>
  <c r="N8" i="18"/>
  <c r="D90" i="1" s="1"/>
  <c r="N9" i="18"/>
  <c r="P9" s="1"/>
  <c r="K90" i="1" s="1"/>
  <c r="N14" i="18"/>
  <c r="D91" i="1" s="1"/>
  <c r="N15" i="18"/>
  <c r="E91" i="1" s="1"/>
  <c r="P15" i="18"/>
  <c r="N8" i="19"/>
  <c r="D99" i="1" s="1"/>
  <c r="N9" i="19"/>
  <c r="P9" s="1"/>
  <c r="N8" i="20"/>
  <c r="D104" i="1" s="1"/>
  <c r="N9" i="20"/>
  <c r="E104" i="1" s="1"/>
  <c r="P9" i="20"/>
  <c r="K104" i="1" s="1"/>
  <c r="N10" i="20"/>
  <c r="P10"/>
  <c r="N16"/>
  <c r="D105" i="1" s="1"/>
  <c r="N17" i="20"/>
  <c r="E105" i="1" s="1"/>
  <c r="N18" i="20"/>
  <c r="N8" i="21"/>
  <c r="I9" i="1" s="1"/>
  <c r="N8" i="22"/>
  <c r="D112" i="1" s="1"/>
  <c r="N9" i="22"/>
  <c r="H112" i="1" s="1"/>
  <c r="N8" i="23"/>
  <c r="E16" i="1" s="1"/>
  <c r="N14" i="23"/>
  <c r="E144" i="1" s="1"/>
  <c r="N20" i="23"/>
  <c r="E154" i="1" s="1"/>
  <c r="N26" i="23"/>
  <c r="E113" i="1" s="1"/>
  <c r="N27" i="23"/>
  <c r="D113" i="1" s="1"/>
  <c r="N8" i="24"/>
  <c r="E30" i="1" s="1"/>
  <c r="N9" i="24"/>
  <c r="D30" i="1" s="1"/>
  <c r="N10" i="24"/>
  <c r="H30" i="1" s="1"/>
  <c r="N15" i="24"/>
  <c r="E32" i="1" s="1"/>
  <c r="N16" i="24"/>
  <c r="D32" i="1" s="1"/>
  <c r="N17" i="24"/>
  <c r="H32" i="1" s="1"/>
  <c r="N22" i="24"/>
  <c r="E100" i="1" s="1"/>
  <c r="N23" i="24"/>
  <c r="D100" i="1" s="1"/>
  <c r="N24" i="24"/>
  <c r="H100" i="1" s="1"/>
  <c r="N29" i="24"/>
  <c r="E87" i="1" s="1"/>
  <c r="N30" i="24"/>
  <c r="D87" i="1" s="1"/>
  <c r="N31" i="24"/>
  <c r="H88" i="1" s="1"/>
  <c r="N37" i="24"/>
  <c r="E163" i="1" s="1"/>
  <c r="N38" i="24"/>
  <c r="D163" i="1" s="1"/>
  <c r="N39" i="24"/>
  <c r="H163" i="1" s="1"/>
  <c r="N44" i="24"/>
  <c r="E118" i="1" s="1"/>
  <c r="N45" i="24"/>
  <c r="D118" i="1" s="1"/>
  <c r="N46" i="24"/>
  <c r="H118" i="1" s="1"/>
  <c r="N8" i="25"/>
  <c r="D77" i="1" s="1"/>
  <c r="N9" i="25"/>
  <c r="I77" i="1" s="1"/>
  <c r="N10" i="25"/>
  <c r="E77" i="1" s="1"/>
  <c r="N11" i="25"/>
  <c r="H77" i="1" s="1"/>
  <c r="N14" i="25"/>
  <c r="I119" i="1" s="1"/>
  <c r="N15" i="25"/>
  <c r="N16"/>
  <c r="E119" i="1" s="1"/>
  <c r="P16" i="25"/>
  <c r="K119" i="1" s="1"/>
  <c r="N17" i="25"/>
  <c r="N8" i="26"/>
  <c r="E6" i="1" s="1"/>
  <c r="N9" i="26"/>
  <c r="D6" i="1" s="1"/>
  <c r="N14" i="26"/>
  <c r="E7" i="1" s="1"/>
  <c r="N15" i="26"/>
  <c r="D7" i="1" s="1"/>
  <c r="N20" i="26"/>
  <c r="E8" i="1" s="1"/>
  <c r="N21" i="26"/>
  <c r="D8" i="1" s="1"/>
  <c r="N26" i="26"/>
  <c r="E47" i="1" s="1"/>
  <c r="N31" i="26"/>
  <c r="E49" i="1" s="1"/>
  <c r="N32" i="26"/>
  <c r="D49" i="1" s="1"/>
  <c r="N37" i="26"/>
  <c r="E48" i="1" s="1"/>
  <c r="N38" i="26"/>
  <c r="D48" i="1" s="1"/>
  <c r="N43" i="26"/>
  <c r="E96" i="1" s="1"/>
  <c r="N44" i="26"/>
  <c r="D96" i="1" s="1"/>
  <c r="N49" i="26"/>
  <c r="E129" i="1" s="1"/>
  <c r="N50" i="26"/>
  <c r="D129" i="1" s="1"/>
  <c r="N55" i="26"/>
  <c r="E130" i="1" s="1"/>
  <c r="P55" i="26"/>
  <c r="K130" i="1" s="1"/>
  <c r="N56" i="26"/>
  <c r="D130" i="1" s="1"/>
  <c r="N61" i="26"/>
  <c r="E131" i="1" s="1"/>
  <c r="N66" i="26"/>
  <c r="E132" i="1" s="1"/>
  <c r="P66" i="26"/>
  <c r="K132" i="1" s="1"/>
  <c r="N67" i="26"/>
  <c r="D132" i="1" s="1"/>
  <c r="N71" i="26"/>
  <c r="D142" i="1" s="1"/>
  <c r="N72" i="26"/>
  <c r="E142" i="1" s="1"/>
  <c r="N76" i="26"/>
  <c r="E155" i="1" s="1"/>
  <c r="N77" i="26"/>
  <c r="D155" i="1" s="1"/>
  <c r="N8" i="27"/>
  <c r="N9"/>
  <c r="E136" i="1" s="1"/>
  <c r="N10" i="27"/>
  <c r="I136" i="1" s="1"/>
  <c r="N11" i="27"/>
  <c r="N12"/>
  <c r="N13"/>
  <c r="N14"/>
  <c r="N15"/>
  <c r="N16"/>
  <c r="N17"/>
  <c r="N18"/>
  <c r="N19"/>
  <c r="N20"/>
  <c r="N21"/>
  <c r="N26"/>
  <c r="N27"/>
  <c r="E137" i="1" s="1"/>
  <c r="N28" i="27"/>
  <c r="I137" i="1" s="1"/>
  <c r="N29" i="27"/>
  <c r="N30"/>
  <c r="N31"/>
  <c r="N32"/>
  <c r="N33"/>
  <c r="N34"/>
  <c r="N35"/>
  <c r="N36"/>
  <c r="N37"/>
  <c r="N38"/>
  <c r="N39"/>
  <c r="B44"/>
  <c r="C44"/>
  <c r="D44"/>
  <c r="E44"/>
  <c r="F44"/>
  <c r="G44"/>
  <c r="H44"/>
  <c r="I44"/>
  <c r="J44"/>
  <c r="K44"/>
  <c r="L44"/>
  <c r="M44"/>
  <c r="N44"/>
  <c r="D138" i="1" s="1"/>
  <c r="B45" i="27"/>
  <c r="C45"/>
  <c r="N45" s="1"/>
  <c r="D45"/>
  <c r="E45"/>
  <c r="F45"/>
  <c r="G45"/>
  <c r="H45"/>
  <c r="I45"/>
  <c r="J45"/>
  <c r="K45"/>
  <c r="L45"/>
  <c r="M45"/>
  <c r="B46"/>
  <c r="C46"/>
  <c r="N46" s="1"/>
  <c r="I138" i="1" s="1"/>
  <c r="D46" i="27"/>
  <c r="E46"/>
  <c r="F46"/>
  <c r="G46"/>
  <c r="H46"/>
  <c r="I46"/>
  <c r="J46"/>
  <c r="K46"/>
  <c r="L46"/>
  <c r="M46"/>
  <c r="B47"/>
  <c r="C47"/>
  <c r="D47"/>
  <c r="E47"/>
  <c r="F47"/>
  <c r="G47"/>
  <c r="H47"/>
  <c r="I47"/>
  <c r="J47"/>
  <c r="K47"/>
  <c r="L47"/>
  <c r="M47"/>
  <c r="N47"/>
  <c r="B48"/>
  <c r="C48"/>
  <c r="N48" s="1"/>
  <c r="D48"/>
  <c r="E48"/>
  <c r="F48"/>
  <c r="G48"/>
  <c r="H48"/>
  <c r="I48"/>
  <c r="J48"/>
  <c r="K48"/>
  <c r="L48"/>
  <c r="M48"/>
  <c r="B49"/>
  <c r="C49"/>
  <c r="D49"/>
  <c r="E49"/>
  <c r="F49"/>
  <c r="G49"/>
  <c r="H49"/>
  <c r="I49"/>
  <c r="J49"/>
  <c r="K49"/>
  <c r="L49"/>
  <c r="M49"/>
  <c r="N49"/>
  <c r="B50"/>
  <c r="C50"/>
  <c r="N50" s="1"/>
  <c r="D50"/>
  <c r="E50"/>
  <c r="F50"/>
  <c r="G50"/>
  <c r="H50"/>
  <c r="I50"/>
  <c r="J50"/>
  <c r="K50"/>
  <c r="L50"/>
  <c r="M50"/>
  <c r="B51"/>
  <c r="C51"/>
  <c r="D51"/>
  <c r="E51"/>
  <c r="F51"/>
  <c r="G51"/>
  <c r="H51"/>
  <c r="I51"/>
  <c r="J51"/>
  <c r="K51"/>
  <c r="L51"/>
  <c r="M51"/>
  <c r="N51"/>
  <c r="B52"/>
  <c r="C52"/>
  <c r="N52" s="1"/>
  <c r="D52"/>
  <c r="E52"/>
  <c r="F52"/>
  <c r="G52"/>
  <c r="H52"/>
  <c r="I52"/>
  <c r="J52"/>
  <c r="K52"/>
  <c r="L52"/>
  <c r="M52"/>
  <c r="B53"/>
  <c r="C53"/>
  <c r="D53"/>
  <c r="E53"/>
  <c r="F53"/>
  <c r="G53"/>
  <c r="H53"/>
  <c r="I53"/>
  <c r="J53"/>
  <c r="K53"/>
  <c r="L53"/>
  <c r="M53"/>
  <c r="N53"/>
  <c r="B54"/>
  <c r="C54"/>
  <c r="N54" s="1"/>
  <c r="D54"/>
  <c r="E54"/>
  <c r="F54"/>
  <c r="G54"/>
  <c r="H54"/>
  <c r="I54"/>
  <c r="J54"/>
  <c r="K54"/>
  <c r="L54"/>
  <c r="M54"/>
  <c r="B55"/>
  <c r="C55"/>
  <c r="D55"/>
  <c r="E55"/>
  <c r="F55"/>
  <c r="G55"/>
  <c r="H55"/>
  <c r="I55"/>
  <c r="J55"/>
  <c r="K55"/>
  <c r="L55"/>
  <c r="M55"/>
  <c r="N55"/>
  <c r="B56"/>
  <c r="C56"/>
  <c r="N56" s="1"/>
  <c r="D56"/>
  <c r="E56"/>
  <c r="F56"/>
  <c r="G56"/>
  <c r="H56"/>
  <c r="I56"/>
  <c r="J56"/>
  <c r="K56"/>
  <c r="L56"/>
  <c r="M56"/>
  <c r="B57"/>
  <c r="C57"/>
  <c r="D57"/>
  <c r="E57"/>
  <c r="F57"/>
  <c r="G57"/>
  <c r="H57"/>
  <c r="I57"/>
  <c r="J57"/>
  <c r="K57"/>
  <c r="L57"/>
  <c r="M57"/>
  <c r="N57"/>
  <c r="N7" i="28"/>
  <c r="P7"/>
  <c r="N8"/>
  <c r="P8"/>
  <c r="N9"/>
  <c r="P9"/>
  <c r="N10"/>
  <c r="P10"/>
  <c r="K139" i="1" s="1"/>
  <c r="N11" i="28"/>
  <c r="P11"/>
  <c r="N12"/>
  <c r="P12"/>
  <c r="N13"/>
  <c r="P13"/>
  <c r="N8" i="29"/>
  <c r="N9"/>
  <c r="P9" s="1"/>
  <c r="K143" i="1" s="1"/>
  <c r="N10" i="29"/>
  <c r="H143" i="1" s="1"/>
  <c r="N8" i="30"/>
  <c r="D33" i="1" s="1"/>
  <c r="N9" i="30"/>
  <c r="P9" s="1"/>
  <c r="N14"/>
  <c r="D45" i="1" s="1"/>
  <c r="N15" i="30"/>
  <c r="E45" i="1" s="1"/>
  <c r="N20" i="30"/>
  <c r="D157" i="1" s="1"/>
  <c r="N25" i="30"/>
  <c r="D158" i="1" s="1"/>
  <c r="N26" i="30"/>
  <c r="E158" i="1" s="1"/>
  <c r="N31" i="30"/>
  <c r="D59" i="1" s="1"/>
  <c r="N32" i="30"/>
  <c r="N33"/>
  <c r="N34"/>
  <c r="N35"/>
  <c r="N36"/>
  <c r="E59" i="1" s="1"/>
  <c r="N37" i="30"/>
  <c r="N38"/>
  <c r="N39"/>
  <c r="N40"/>
  <c r="N8" i="31"/>
  <c r="D18" i="1" s="1"/>
  <c r="N9" i="31"/>
  <c r="E18" i="1" s="1"/>
  <c r="P9" i="31"/>
  <c r="K18" i="1" s="1"/>
  <c r="N10" i="31"/>
  <c r="N16"/>
  <c r="D19" i="1" s="1"/>
  <c r="N17" i="31"/>
  <c r="E19" i="1" s="1"/>
  <c r="P17" i="31"/>
  <c r="N18"/>
  <c r="H19" i="1" s="1"/>
  <c r="N24" i="31"/>
  <c r="N25"/>
  <c r="P25"/>
  <c r="N26"/>
  <c r="N32"/>
  <c r="D31" i="1" s="1"/>
  <c r="N33" i="31"/>
  <c r="E31" i="1" s="1"/>
  <c r="P33" i="31"/>
  <c r="K31" i="1" s="1"/>
  <c r="N34" i="31"/>
  <c r="H31" i="1" s="1"/>
  <c r="N40" i="31"/>
  <c r="N41"/>
  <c r="P41"/>
  <c r="N42"/>
  <c r="N48"/>
  <c r="D53" i="1" s="1"/>
  <c r="N49" i="31"/>
  <c r="E53" i="1" s="1"/>
  <c r="P49" i="31"/>
  <c r="K53" i="1" s="1"/>
  <c r="N50" i="31"/>
  <c r="H53" i="1" s="1"/>
  <c r="N56" i="31"/>
  <c r="D54" i="1" s="1"/>
  <c r="N57" i="31"/>
  <c r="E54" i="1" s="1"/>
  <c r="P57" i="31"/>
  <c r="N58"/>
  <c r="H54" i="1" s="1"/>
  <c r="N64" i="31"/>
  <c r="D65" i="1" s="1"/>
  <c r="N65" i="31"/>
  <c r="E65" i="1" s="1"/>
  <c r="P65" i="31"/>
  <c r="N66"/>
  <c r="H65" i="1" s="1"/>
  <c r="N72" i="31"/>
  <c r="D82" i="1" s="1"/>
  <c r="N73" i="31"/>
  <c r="E82" i="1" s="1"/>
  <c r="P73" i="31"/>
  <c r="N74"/>
  <c r="H82" i="1" s="1"/>
  <c r="N80" i="31"/>
  <c r="N81"/>
  <c r="P81"/>
  <c r="N82"/>
  <c r="N89"/>
  <c r="D135" i="1" s="1"/>
  <c r="N90" i="31"/>
  <c r="E135" i="1" s="1"/>
  <c r="P90" i="31"/>
  <c r="K135" i="1" s="1"/>
  <c r="N91" i="31"/>
  <c r="H135" i="1" s="1"/>
  <c r="N97" i="31"/>
  <c r="N98"/>
  <c r="P98"/>
  <c r="N99"/>
  <c r="E138" i="1" l="1"/>
  <c r="P45" i="27"/>
  <c r="E27" i="1"/>
  <c r="P8" i="8"/>
  <c r="K27" i="1" s="1"/>
  <c r="E73"/>
  <c r="P93" i="8"/>
  <c r="K73" i="1" s="1"/>
  <c r="E60"/>
  <c r="P73" i="8"/>
  <c r="K60" i="1" s="1"/>
  <c r="E40"/>
  <c r="P48" i="8"/>
  <c r="K40" i="1" s="1"/>
  <c r="E143"/>
  <c r="E133"/>
  <c r="E124"/>
  <c r="H122"/>
  <c r="D119"/>
  <c r="E110"/>
  <c r="E106"/>
  <c r="E99"/>
  <c r="E90"/>
  <c r="E86"/>
  <c r="E80"/>
  <c r="E70"/>
  <c r="E56"/>
  <c r="J50"/>
  <c r="D50"/>
  <c r="E42"/>
  <c r="E36"/>
  <c r="E33"/>
  <c r="D21"/>
  <c r="E17"/>
  <c r="P26" i="30"/>
  <c r="P31" i="26"/>
  <c r="K49" i="1" s="1"/>
  <c r="P14" i="26"/>
  <c r="K7" i="1" s="1"/>
  <c r="P10" i="25"/>
  <c r="K77" i="1" s="1"/>
  <c r="P129" i="12"/>
  <c r="K69" i="1" s="1"/>
  <c r="O194" i="9"/>
  <c r="P194" s="1"/>
  <c r="P187"/>
  <c r="K159" i="1" s="1"/>
  <c r="P157" i="9"/>
  <c r="K133" i="1" s="1"/>
  <c r="P101" i="9"/>
  <c r="K94" i="1" s="1"/>
  <c r="P33" i="9"/>
  <c r="K52" i="1" s="1"/>
  <c r="P21" i="9"/>
  <c r="K15" i="1" s="1"/>
  <c r="P209" i="8"/>
  <c r="K46" i="1" s="1"/>
  <c r="P183" i="8"/>
  <c r="K147" i="1" s="1"/>
  <c r="P168" i="8"/>
  <c r="K134" i="1" s="1"/>
  <c r="P138" i="8"/>
  <c r="K121" i="1" s="1"/>
  <c r="P9" i="5"/>
  <c r="P9" i="4"/>
  <c r="P8"/>
  <c r="P8" i="2"/>
  <c r="K12" i="1" s="1"/>
  <c r="H70"/>
  <c r="E63"/>
</calcChain>
</file>

<file path=xl/sharedStrings.xml><?xml version="1.0" encoding="utf-8"?>
<sst xmlns="http://schemas.openxmlformats.org/spreadsheetml/2006/main" count="2488" uniqueCount="416">
  <si>
    <t>SciFinder Scholar</t>
  </si>
  <si>
    <t>World Almanacs*</t>
  </si>
  <si>
    <t>InfoUSA</t>
  </si>
  <si>
    <t xml:space="preserve">
</t>
  </si>
  <si>
    <t>MLA Directory of Periodicals</t>
  </si>
  <si>
    <t>Textile Technology Index</t>
  </si>
  <si>
    <t>Busy</t>
  </si>
  <si>
    <t>Ecology Abstracts</t>
  </si>
  <si>
    <t>FirstSearch (“per-search” block searches)</t>
  </si>
  <si>
    <t>* usage constrained by limitations on concurrent users</t>
  </si>
  <si>
    <t>Database Turnaways</t>
  </si>
  <si>
    <t>Historical Abstracts</t>
  </si>
  <si>
    <t>Industrial and Applied Microbiology Abstracts (Microbiology A)</t>
  </si>
  <si>
    <t>Nov-2009</t>
  </si>
  <si>
    <t>ERIC*</t>
  </si>
  <si>
    <t>Total Monthly Users</t>
  </si>
  <si>
    <t xml:space="preserve"> </t>
  </si>
  <si>
    <t>Total Records on Results</t>
  </si>
  <si>
    <t>COUNTER-Compliant?:</t>
  </si>
  <si>
    <t>Searches run</t>
  </si>
  <si>
    <t>U.S. Congressional Serial Set 1817-1994</t>
  </si>
  <si>
    <t>Total Sessions</t>
  </si>
  <si>
    <t>Searches, prev. yr</t>
  </si>
  <si>
    <t xml:space="preserve">Total minutes used by all sessions.
</t>
  </si>
  <si>
    <t>Dissertations &amp; Theses @ University of Rhode Island / Rhode Island College</t>
  </si>
  <si>
    <t>18 sec</t>
  </si>
  <si>
    <t>ERIC</t>
  </si>
  <si>
    <t>Thus these numbers mean nothing. They do NOT mean that the resource was not used.</t>
  </si>
  <si>
    <t>EI</t>
  </si>
  <si>
    <t>Funk &amp; Wagnall's New World Encyclopedia</t>
  </si>
  <si>
    <t>WorldCat Dissertations &amp; Theses*</t>
  </si>
  <si>
    <t>Vendor / Platform</t>
  </si>
  <si>
    <t xml:space="preserve">Number of unique users who logged in during the time period. All users who did not log in are counted as one additional users. The numbers of monthly users are not additive, i.e. the sum of monthly users is not equal to the total number of unique users for all time.
</t>
  </si>
  <si>
    <t>Teacher Reference Center (free)</t>
  </si>
  <si>
    <t>Philosopher's Index</t>
  </si>
  <si>
    <t>ASFA 1 (Biosciences...)</t>
  </si>
  <si>
    <t>Successful full-text downloads</t>
  </si>
  <si>
    <t>Book Review Digest Retrospective</t>
  </si>
  <si>
    <t>Encyclopedia of Ocean Sciences, 2nd ed.</t>
  </si>
  <si>
    <t>CSA (all databases)</t>
  </si>
  <si>
    <t>INSPEC Current</t>
  </si>
  <si>
    <t>ABI/INFORM Global</t>
  </si>
  <si>
    <t>1d   02:37:0</t>
  </si>
  <si>
    <t>Readers Guide Retrospective</t>
  </si>
  <si>
    <t>MAS Ultra – School edition</t>
  </si>
  <si>
    <t>COUNTER-compliant?</t>
  </si>
  <si>
    <t>10 sec</t>
  </si>
  <si>
    <t>GPO Monthly Catalog</t>
  </si>
  <si>
    <t>InfoTRAC</t>
  </si>
  <si>
    <t>America History &amp; Life</t>
  </si>
  <si>
    <t>ALA Guide to Reference</t>
  </si>
  <si>
    <t>Middle Search Plus (statewide database trial)</t>
  </si>
  <si>
    <t>Activities</t>
  </si>
  <si>
    <t>GreenFILE (free)</t>
  </si>
  <si>
    <t>Short Story Index Retrospective *</t>
  </si>
  <si>
    <t>ProQuest</t>
  </si>
  <si>
    <t>World Almanacs</t>
  </si>
  <si>
    <t>MetaPress</t>
  </si>
  <si>
    <t>Environmental Sciences and Pollution Mgmt</t>
  </si>
  <si>
    <t>ReferenceUSA</t>
  </si>
  <si>
    <t>Mergent Online</t>
  </si>
  <si>
    <t>GPO Monthly Catalog*</t>
  </si>
  <si>
    <t>Cost per Search</t>
  </si>
  <si>
    <t>Total Pages Served</t>
  </si>
  <si>
    <t>Apr-2010</t>
  </si>
  <si>
    <t>1 min 15 sec</t>
  </si>
  <si>
    <t>% change</t>
  </si>
  <si>
    <t>Jun-2010</t>
  </si>
  <si>
    <t>Members-only datasets downloaded</t>
  </si>
  <si>
    <t>Summary</t>
  </si>
  <si>
    <t>Note: We have 4,478 shared titles</t>
  </si>
  <si>
    <t>NetLibrary</t>
  </si>
  <si>
    <t>ProQuest Historical Newspapers The New York Times (1851-2006)</t>
  </si>
  <si>
    <t>EMBASE.com</t>
  </si>
  <si>
    <t>ICPSR</t>
  </si>
  <si>
    <t>Clase and Periodica*</t>
  </si>
  <si>
    <t>TOTAL FirstSearch Block Use</t>
  </si>
  <si>
    <t>InfoTrac</t>
  </si>
  <si>
    <t>Oceanic Abstracts</t>
  </si>
  <si>
    <t>ARBA Online</t>
  </si>
  <si>
    <t>Dissertations &amp; Theses: A&amp;I</t>
  </si>
  <si>
    <t>Dissertations &amp; Theses</t>
  </si>
  <si>
    <t>Price per search</t>
  </si>
  <si>
    <t>PsycINFO</t>
  </si>
  <si>
    <t>6d 23:18:23</t>
  </si>
  <si>
    <t>Library, Info Sci &amp; Tech Abstracts (NO full text) (free)</t>
  </si>
  <si>
    <t>WorldCat</t>
  </si>
  <si>
    <t>Unique files downloaded</t>
  </si>
  <si>
    <t>Book Review Digest Retrospective*</t>
  </si>
  <si>
    <t>9 min 24 sec</t>
  </si>
  <si>
    <t>History Reference Center (statewide database trial)</t>
  </si>
  <si>
    <t>OCLC Electronic Collections Online*</t>
  </si>
  <si>
    <t>Total Records Downloaded</t>
  </si>
  <si>
    <t>Art Index Retrospective*</t>
  </si>
  <si>
    <t>Environmental Engineering Abstracts</t>
  </si>
  <si>
    <t>Average References added per user</t>
  </si>
  <si>
    <t>MEDLINE*</t>
  </si>
  <si>
    <t>CQ</t>
  </si>
  <si>
    <t>ProceedingsFirst</t>
  </si>
  <si>
    <t>ABI/INFORM Trade &amp; Industry</t>
  </si>
  <si>
    <t>Women's Studies International</t>
  </si>
  <si>
    <t>Aug-2009</t>
  </si>
  <si>
    <t>Your Journals@Ovid</t>
  </si>
  <si>
    <t>Users</t>
  </si>
  <si>
    <t xml:space="preserve">Sessions:
</t>
  </si>
  <si>
    <t>Newsbank (all databases)</t>
  </si>
  <si>
    <t>Humanities &amp; Social Sciences Index Retrospective*</t>
  </si>
  <si>
    <t># of Prints</t>
  </si>
  <si>
    <t>Mar-2010</t>
  </si>
  <si>
    <t>ArticleFirst</t>
  </si>
  <si>
    <t>PILOTS</t>
  </si>
  <si>
    <t>Number of sessions.</t>
  </si>
  <si>
    <t>BIOSIS Previews</t>
  </si>
  <si>
    <t>GeoRef in Process</t>
  </si>
  <si>
    <t>CIAO</t>
  </si>
  <si>
    <t>Logins</t>
  </si>
  <si>
    <t>Art Abstracts</t>
  </si>
  <si>
    <t>Communication Abstracts</t>
  </si>
  <si>
    <t>OAIster</t>
  </si>
  <si>
    <t>No of Visits</t>
  </si>
  <si>
    <t xml:space="preserve">Events:
</t>
  </si>
  <si>
    <t>Teacher Reference Center</t>
  </si>
  <si>
    <t>ASFA 2 (Ocean Technology...)</t>
  </si>
  <si>
    <t>Web of Science</t>
  </si>
  <si>
    <t>Journals@Ovid Full Text</t>
  </si>
  <si>
    <t># Successful</t>
  </si>
  <si>
    <t>Meteorological &amp; Geoastrophysical Abstracts</t>
  </si>
  <si>
    <t>Music Index</t>
  </si>
  <si>
    <t>Toxicology Abstracts</t>
  </si>
  <si>
    <t>Companies Viewed</t>
  </si>
  <si>
    <t>Note: Subscription started November 19, 2009. Price was pro-rated.</t>
  </si>
  <si>
    <t>Academic</t>
  </si>
  <si>
    <t>Art Index Retrospective</t>
  </si>
  <si>
    <t>35 sec</t>
  </si>
  <si>
    <t>Full Text Downloads</t>
  </si>
  <si>
    <t>Encyclopedia of Ocean Sciences</t>
  </si>
  <si>
    <t>2009-2010 price</t>
  </si>
  <si>
    <t>Feb-2010</t>
  </si>
  <si>
    <t># of Downloads</t>
  </si>
  <si>
    <t>American State Papers, 1789-1838</t>
  </si>
  <si>
    <t>Jan-2010</t>
  </si>
  <si>
    <t>GeoRef</t>
  </si>
  <si>
    <t>Alternative Press Index Archive</t>
  </si>
  <si>
    <t>Sep-2009</t>
  </si>
  <si>
    <t>Number of new registrations.</t>
  </si>
  <si>
    <t>2009/10 Price</t>
  </si>
  <si>
    <t>EBSCOhost (all databases)</t>
  </si>
  <si>
    <t>CSA Databases total</t>
  </si>
  <si>
    <t>No</t>
  </si>
  <si>
    <t>Members-only studies downloaded</t>
  </si>
  <si>
    <t>CSA Databases</t>
  </si>
  <si>
    <t>EIS: Digests of Environmental Impact Statements</t>
  </si>
  <si>
    <t>Total Sessions per month</t>
  </si>
  <si>
    <t>U.S. Congressional Serial Set</t>
  </si>
  <si>
    <t>ALA Editions</t>
  </si>
  <si>
    <t>Sessions Run</t>
  </si>
  <si>
    <t>Providence Journal-Bulletin</t>
  </si>
  <si>
    <t>Mergent</t>
  </si>
  <si>
    <t>Military &amp; Government Collection</t>
  </si>
  <si>
    <t>ASFA 2 (Ocean Technology…)</t>
  </si>
  <si>
    <t>One-time purchase.</t>
  </si>
  <si>
    <t>Education Index Retrospective</t>
  </si>
  <si>
    <t>Social Services Abstracts, CSA</t>
  </si>
  <si>
    <t>Literature Resource Center</t>
  </si>
  <si>
    <t>EBSCOhost Databases</t>
  </si>
  <si>
    <t>SIMULTANEOUS USERS:</t>
  </si>
  <si>
    <t>2009-2010 Price</t>
  </si>
  <si>
    <t>CAS</t>
  </si>
  <si>
    <t>Cochrane Library (Wiley)</t>
  </si>
  <si>
    <t>Risk Abstracts</t>
  </si>
  <si>
    <t>TOTAL FirstSearch</t>
  </si>
  <si>
    <t>Price per unit</t>
  </si>
  <si>
    <t xml:space="preserve">N/A
</t>
  </si>
  <si>
    <t>Military &amp; Government Collection (free)</t>
  </si>
  <si>
    <t>Newsbank (Readex)</t>
  </si>
  <si>
    <t>Bacteriology Abstracts (Microbiology B)</t>
  </si>
  <si>
    <t>COUNTER-Compliant?</t>
  </si>
  <si>
    <t>Articles Viewed</t>
  </si>
  <si>
    <t>ABI/INFORM Dateline</t>
  </si>
  <si>
    <t>LexisNexis Congressional</t>
  </si>
  <si>
    <t>ASFA 3 (Aquatic Pollution…)</t>
  </si>
  <si>
    <t>Total Subscriber References added</t>
  </si>
  <si>
    <t>MEDLINE (free)</t>
  </si>
  <si>
    <t>Reference Database Statistics Summary</t>
  </si>
  <si>
    <t>Lexi-Comp</t>
  </si>
  <si>
    <t>Wiley InterScience</t>
  </si>
  <si>
    <t>PapersFirst*</t>
  </si>
  <si>
    <t>Yes</t>
  </si>
  <si>
    <t>ProQuest National Newspapers Core</t>
  </si>
  <si>
    <t xml:space="preserve">2009-2010 </t>
  </si>
  <si>
    <t>Dissertations &amp; Theses @ University of Rhode Island</t>
  </si>
  <si>
    <t>U.S. Residential</t>
  </si>
  <si>
    <t>U.S. Business</t>
  </si>
  <si>
    <t>Documents Retrieved</t>
  </si>
  <si>
    <t>Environmental Sciences and Pollution Management</t>
  </si>
  <si>
    <t>Pollution Abstracts</t>
  </si>
  <si>
    <t>EconLit</t>
  </si>
  <si>
    <t>Searched</t>
  </si>
  <si>
    <t>MLA International Bibliography</t>
  </si>
  <si>
    <t>Total datasets downloaded</t>
  </si>
  <si>
    <t>Readers Guide Retrospective*</t>
  </si>
  <si>
    <t>Oxford English Dictionary</t>
  </si>
  <si>
    <t>American Mathematical Society</t>
  </si>
  <si>
    <t>Total Records Emailed</t>
  </si>
  <si>
    <t>Searches</t>
  </si>
  <si>
    <t>CINAHL</t>
  </si>
  <si>
    <t>1d  09:58:3</t>
  </si>
  <si>
    <t>FSTA Food Science &amp; Technology Abstracts*</t>
  </si>
  <si>
    <t>WorldCat*</t>
  </si>
  <si>
    <t>Congressional</t>
  </si>
  <si>
    <t>Health Source: Nursing/Academic Edition (statewide database trial)</t>
  </si>
  <si>
    <t>CWYW Format Bibliography</t>
  </si>
  <si>
    <t>PAIS Archive</t>
  </si>
  <si>
    <t>Members-only files downloaded</t>
  </si>
  <si>
    <t>N/a</t>
  </si>
  <si>
    <t>Biological Abstracts</t>
  </si>
  <si>
    <t>OVID</t>
  </si>
  <si>
    <t>MergentOnline</t>
  </si>
  <si>
    <t>Successful full-text article requests</t>
  </si>
  <si>
    <t>MAS Ultra - School Edition (free)</t>
  </si>
  <si>
    <t>Queries</t>
  </si>
  <si>
    <t>One-time purchase 4/2010</t>
  </si>
  <si>
    <t>ARTstor</t>
  </si>
  <si>
    <t>Serial Set Maps</t>
  </si>
  <si>
    <t>Academic Search Premier</t>
  </si>
  <si>
    <t>Turnaways</t>
  </si>
  <si>
    <t>Clase and Periodica</t>
  </si>
  <si>
    <t>21 sec</t>
  </si>
  <si>
    <t>N/A</t>
  </si>
  <si>
    <t>WilsonWeb</t>
  </si>
  <si>
    <t>OCLC Electronic Books</t>
  </si>
  <si>
    <t>Requests for full text chapters</t>
  </si>
  <si>
    <t>ProceedingsFirst*</t>
  </si>
  <si>
    <t xml:space="preserve">Users:
</t>
  </si>
  <si>
    <t>Repeat Users</t>
  </si>
  <si>
    <t>Searches (Total)</t>
  </si>
  <si>
    <t>User Limit</t>
  </si>
  <si>
    <t>Yes (R3)</t>
  </si>
  <si>
    <t>No of Visitors</t>
  </si>
  <si>
    <t>Canceled for 2009</t>
  </si>
  <si>
    <t>Database Name</t>
  </si>
  <si>
    <t>Web Pages Delivered</t>
  </si>
  <si>
    <t>ArtSTOR</t>
  </si>
  <si>
    <t>—</t>
  </si>
  <si>
    <t>Lexi-Comp Online</t>
  </si>
  <si>
    <t>EBSCOhost</t>
  </si>
  <si>
    <t>Library, Info Sci &amp; Tech Abstracts with Full-Text</t>
  </si>
  <si>
    <t>Yes (R2)</t>
  </si>
  <si>
    <t>1d  13:42:5</t>
  </si>
  <si>
    <t xml:space="preserve">Number of events.
</t>
  </si>
  <si>
    <t xml:space="preserve">Conference Papers Index
</t>
  </si>
  <si>
    <t>n/a</t>
  </si>
  <si>
    <t>Full-Text (Total)</t>
  </si>
  <si>
    <t>Sessions</t>
  </si>
  <si>
    <t>Total Accesses</t>
  </si>
  <si>
    <t>ERIC (free)</t>
  </si>
  <si>
    <t>Biography Index Retrospective*</t>
  </si>
  <si>
    <t>TOXLINE</t>
  </si>
  <si>
    <t>Grove Music Online</t>
  </si>
  <si>
    <t>WorldCat Dissertations &amp; Theses</t>
  </si>
  <si>
    <t>ProQuest Historical Newspapers — The New York Times (1851-2002)</t>
  </si>
  <si>
    <t>Session (Logins)</t>
  </si>
  <si>
    <t>FirstSearch (all databases)</t>
  </si>
  <si>
    <t>ASFA Marine Biotechnology Abstracts</t>
  </si>
  <si>
    <t>Exports</t>
  </si>
  <si>
    <t>Wilson Web</t>
  </si>
  <si>
    <t>Sustainability Science Abstracts</t>
  </si>
  <si>
    <t>OCLC Electronic Books*</t>
  </si>
  <si>
    <t>Simultaneous users</t>
  </si>
  <si>
    <t>Successful Full-Text Article Requests</t>
  </si>
  <si>
    <t>May-2010</t>
  </si>
  <si>
    <t>Access Denied</t>
  </si>
  <si>
    <t>OCLC Electronic Collections Online</t>
  </si>
  <si>
    <t>Compendex (Engineering Index)</t>
  </si>
  <si>
    <t>ASFA (all)</t>
  </si>
  <si>
    <t>ASFA Aquaculture Abstracts</t>
  </si>
  <si>
    <t>Total for Service Newsbank</t>
  </si>
  <si>
    <t>New Users</t>
  </si>
  <si>
    <t>9 min 21 sec</t>
  </si>
  <si>
    <t>Total files downloaded</t>
  </si>
  <si>
    <t>Mergent WebReports purchased 4/2010.</t>
  </si>
  <si>
    <t>Funk &amp; Wagnall's New World Encyclopedia (free)</t>
  </si>
  <si>
    <t>4 min 51 sec</t>
  </si>
  <si>
    <t>ComDisDome</t>
  </si>
  <si>
    <t xml:space="preserve">Registrations:
</t>
  </si>
  <si>
    <t>Newsbank</t>
  </si>
  <si>
    <t>Reference USA (U.S. Business)</t>
  </si>
  <si>
    <t>Humanities &amp; Social Sciences Retrospective</t>
  </si>
  <si>
    <t>Water Resources Abstracts</t>
  </si>
  <si>
    <t>Oxford</t>
  </si>
  <si>
    <t>Web of Knowledge</t>
  </si>
  <si>
    <t>Mergent WebReports</t>
  </si>
  <si>
    <t>Ovid (Total databases)</t>
  </si>
  <si>
    <t>Jul-2009</t>
  </si>
  <si>
    <t>Short Story Index Retrospective</t>
  </si>
  <si>
    <t>PsycARTICLES</t>
  </si>
  <si>
    <t>Imports</t>
  </si>
  <si>
    <t>ProQuest Newspapers</t>
  </si>
  <si>
    <t>Total Detail Records Viewed</t>
  </si>
  <si>
    <t>Primary Search</t>
  </si>
  <si>
    <t>Film &amp; Television Literature Index</t>
  </si>
  <si>
    <t>Logons</t>
  </si>
  <si>
    <t>Compendex</t>
  </si>
  <si>
    <t>Events</t>
  </si>
  <si>
    <t>Biotechnology Research Abstracts</t>
  </si>
  <si>
    <t>Max Ports in Use</t>
  </si>
  <si>
    <t>Dec-2009</t>
  </si>
  <si>
    <t>Average Visit Duration</t>
  </si>
  <si>
    <t>Sociological Abstracts, CSA</t>
  </si>
  <si>
    <t>netLibrary</t>
  </si>
  <si>
    <t>MasterFILE Premier (statewide database trial)</t>
  </si>
  <si>
    <t>Residential Searches</t>
  </si>
  <si>
    <t>Wall Street Journal</t>
  </si>
  <si>
    <t>MathSciNet</t>
  </si>
  <si>
    <t>Library, Info Sci &amp; Tech Abstracts w/ full text</t>
  </si>
  <si>
    <t>Safari Books Online</t>
  </si>
  <si>
    <t>Cochrane Library</t>
  </si>
  <si>
    <t>No of Google Searches</t>
  </si>
  <si>
    <t>EndNote Web</t>
  </si>
  <si>
    <t>ArticleFirst*</t>
  </si>
  <si>
    <t>Education Full Text</t>
  </si>
  <si>
    <t>Total for Service Ovid</t>
  </si>
  <si>
    <t>Mental Measurements Yearbook</t>
  </si>
  <si>
    <t>Library Literature &amp; Information Science Retrospective</t>
  </si>
  <si>
    <t>CQ Researcher</t>
  </si>
  <si>
    <t>OAIster*</t>
  </si>
  <si>
    <t>User Sessions</t>
  </si>
  <si>
    <t>Note: This subscription allows users to search a database, yet MetaPress usage statistics only measure "article requests," not searches.</t>
  </si>
  <si>
    <t>COUNTER-compliant: Yes (R2)</t>
  </si>
  <si>
    <t>ASFA: Aquatic Science &amp; Fisheries Abstracts (all)</t>
  </si>
  <si>
    <t>Conference Papers Index</t>
  </si>
  <si>
    <t>CrossSearch</t>
  </si>
  <si>
    <t>Unique users</t>
  </si>
  <si>
    <t>Social Services Abstracts</t>
  </si>
  <si>
    <t xml:space="preserve">Minutes:
</t>
  </si>
  <si>
    <t>CWYW Traveling Library</t>
  </si>
  <si>
    <t>Full-Content Units Requested</t>
  </si>
  <si>
    <t>Health and Safety Science Abstracts</t>
  </si>
  <si>
    <t>OvidSP</t>
  </si>
  <si>
    <t>Access fee only</t>
  </si>
  <si>
    <t>International Pharmaceutical Abstracts</t>
  </si>
  <si>
    <t>GEOBASE</t>
  </si>
  <si>
    <t>2009-2010</t>
  </si>
  <si>
    <t>Biological &amp; Agricultural Index Plus</t>
  </si>
  <si>
    <t># of Detail Views</t>
  </si>
  <si>
    <t>ASFA 3 (Aquatic Pollution...)</t>
  </si>
  <si>
    <t>Simultaneous Users</t>
  </si>
  <si>
    <t>Alternative Press Index</t>
  </si>
  <si>
    <t>Average Sessions Per User</t>
  </si>
  <si>
    <t>Total Searches Run</t>
  </si>
  <si>
    <t>ERIC (Free)</t>
  </si>
  <si>
    <t>GreenFILE</t>
  </si>
  <si>
    <t>Environment Abstracts</t>
  </si>
  <si>
    <t># of Emails</t>
  </si>
  <si>
    <t>Number of Successful Full-Text Article Requests</t>
  </si>
  <si>
    <t>Academic Search Complete (statewide database trial)</t>
  </si>
  <si>
    <t>LexisNexis</t>
  </si>
  <si>
    <t>ICPSR (Univ. Mich.)</t>
  </si>
  <si>
    <t>PapersFirst</t>
  </si>
  <si>
    <t>Ovid</t>
  </si>
  <si>
    <t>Library, Info Sci &amp; Tech Abstracts (NO full text)</t>
  </si>
  <si>
    <t>RefWorks</t>
  </si>
  <si>
    <t># of Result Pages</t>
  </si>
  <si>
    <t>FirstSearch</t>
  </si>
  <si>
    <t>YourJournals@Ovid</t>
  </si>
  <si>
    <t>SciFinder Scholar*</t>
  </si>
  <si>
    <t>Queries (Searches)</t>
  </si>
  <si>
    <t>Total</t>
  </si>
  <si>
    <t>NOTE: CSA Databases totals do not equal the sum of the totals given for each database above because the CSA databases total includes searches of CSA's "Web Resources" databases and other "extras."</t>
  </si>
  <si>
    <t>Searches Run</t>
  </si>
  <si>
    <t>Unique studies downloaded</t>
  </si>
  <si>
    <t>Regional Business News (statewide database trial)</t>
  </si>
  <si>
    <t>EMBASE</t>
  </si>
  <si>
    <t>EBSCOhost databases (all)</t>
  </si>
  <si>
    <t>Greenwood Press</t>
  </si>
  <si>
    <t>COUNTER com</t>
  </si>
  <si>
    <t>Mental Measurements Yearbook*</t>
  </si>
  <si>
    <t>CQ Researcher*</t>
  </si>
  <si>
    <t>Unique datasets downloaded</t>
  </si>
  <si>
    <t>Registrations</t>
  </si>
  <si>
    <t>CSA</t>
  </si>
  <si>
    <t>Music Index Online, The</t>
  </si>
  <si>
    <t># of Purchases</t>
  </si>
  <si>
    <t>KCDL Online</t>
  </si>
  <si>
    <t>Abstracts in Anthropology</t>
  </si>
  <si>
    <t>Elsevier</t>
  </si>
  <si>
    <t>Ovid MEDLINE (free)</t>
  </si>
  <si>
    <t>Captures</t>
  </si>
  <si>
    <t>LexisNexis Academic</t>
  </si>
  <si>
    <t>Primary Search (free)</t>
  </si>
  <si>
    <t>Library Literature &amp; Information Science Retrospective*</t>
  </si>
  <si>
    <t>Los Angeles Times</t>
  </si>
  <si>
    <t>Total Records Printed</t>
  </si>
  <si>
    <t>Biography Index Retrospective</t>
  </si>
  <si>
    <t>Reference USA (U.S. Residential)</t>
  </si>
  <si>
    <t>TOPICsearch (statewide database trial)</t>
  </si>
  <si>
    <t>FSTA Food Science &amp; Technology Abstracts</t>
  </si>
  <si>
    <t>Time in database</t>
  </si>
  <si>
    <t>Web of Knowledge (Thomson)</t>
  </si>
  <si>
    <t>ProQuest databases</t>
  </si>
  <si>
    <t>Total Records Purchased</t>
  </si>
  <si>
    <t>Education Index Retrospective*</t>
  </si>
  <si>
    <t>Physical Education Index</t>
  </si>
  <si>
    <t>Sociological Abstracts</t>
  </si>
  <si>
    <t>New References</t>
  </si>
  <si>
    <t>No of Views</t>
  </si>
  <si>
    <t># of Searches</t>
  </si>
  <si>
    <t>Compendex (EI)</t>
  </si>
  <si>
    <t>EMBASE.COM</t>
  </si>
  <si>
    <t>ReferenceUSA (all databases)</t>
  </si>
  <si>
    <t>PAIS International</t>
  </si>
  <si>
    <t>Total studies downloaded</t>
  </si>
  <si>
    <t>Oct-2009</t>
  </si>
  <si>
    <t>Access fee only.</t>
  </si>
  <si>
    <t>Encyclopedia of Ocean Sciences, second ed.</t>
  </si>
  <si>
    <t>Minutes</t>
  </si>
</sst>
</file>

<file path=xl/styles.xml><?xml version="1.0" encoding="utf-8"?>
<styleSheet xmlns="http://schemas.openxmlformats.org/spreadsheetml/2006/main">
  <numFmts count="5">
    <numFmt numFmtId="164" formatCode="&quot;$&quot;#,##0.00"/>
    <numFmt numFmtId="165" formatCode="#,##0.###############"/>
    <numFmt numFmtId="166" formatCode="mmm\-yy;@"/>
    <numFmt numFmtId="167" formatCode="h:mm:ss;@"/>
    <numFmt numFmtId="168" formatCode="&quot;$&quot;#,##0.00;[Red]&quot;$&quot;\(#,##0.00\);&quot;$&quot;@"/>
  </numFmts>
  <fonts count="13">
    <font>
      <sz val="10"/>
      <name val="Arial"/>
      <family val="2"/>
    </font>
    <font>
      <b/>
      <sz val="16"/>
      <color indexed="8"/>
      <name val="arial,sans-serif"/>
      <family val="2"/>
    </font>
    <font>
      <sz val="10"/>
      <color indexed="8"/>
      <name val="arial,sans-serif"/>
      <family val="2"/>
    </font>
    <font>
      <b/>
      <sz val="10"/>
      <color indexed="8"/>
      <name val="arial,sans-serif"/>
      <family val="2"/>
    </font>
    <font>
      <b/>
      <sz val="14"/>
      <color indexed="8"/>
      <name val="arial,sans-serif"/>
      <family val="2"/>
    </font>
    <font>
      <b/>
      <sz val="10"/>
      <name val="Arial"/>
      <family val="2"/>
    </font>
    <font>
      <b/>
      <sz val="10"/>
      <color indexed="8"/>
      <name val="MS Sans Serif"/>
      <family val="2"/>
    </font>
    <font>
      <sz val="10"/>
      <color indexed="8"/>
      <name val="Arial"/>
      <family val="2"/>
    </font>
    <font>
      <b/>
      <sz val="10"/>
      <color indexed="8"/>
      <name val="Arial"/>
      <family val="2"/>
    </font>
    <font>
      <sz val="10"/>
      <color indexed="14"/>
      <name val="arial,sans-serif"/>
      <family val="2"/>
    </font>
    <font>
      <sz val="10"/>
      <name val="arial,sans-serif"/>
      <family val="2"/>
    </font>
    <font>
      <b/>
      <sz val="14"/>
      <name val="Arial"/>
      <family val="2"/>
    </font>
    <font>
      <sz val="10"/>
      <color indexed="8"/>
      <name val="Courier New"/>
      <family val="2"/>
    </font>
  </fonts>
  <fills count="5">
    <fill>
      <patternFill patternType="none"/>
    </fill>
    <fill>
      <patternFill patternType="gray125"/>
    </fill>
    <fill>
      <patternFill patternType="solid">
        <fgColor indexed="12"/>
        <bgColor indexed="64"/>
      </patternFill>
    </fill>
    <fill>
      <patternFill patternType="solid">
        <fgColor indexed="22"/>
        <bgColor indexed="64"/>
      </patternFill>
    </fill>
    <fill>
      <patternFill patternType="solid">
        <fgColor indexed="34"/>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95">
    <xf numFmtId="0" fontId="0" fillId="0" borderId="0" xfId="0">
      <alignment vertical="center"/>
    </xf>
    <xf numFmtId="0" fontId="1" fillId="0" borderId="0" xfId="0" applyNumberFormat="1" applyFont="1" applyFill="1" applyBorder="1" applyAlignment="1" applyProtection="1"/>
    <xf numFmtId="0" fontId="2" fillId="0" borderId="0" xfId="0" applyNumberFormat="1" applyFont="1" applyFill="1" applyBorder="1" applyAlignment="1" applyProtection="1"/>
    <xf numFmtId="0" fontId="2" fillId="0" borderId="0" xfId="0" applyNumberFormat="1" applyFont="1" applyFill="1" applyBorder="1" applyAlignment="1" applyProtection="1">
      <alignment horizontal="right"/>
    </xf>
    <xf numFmtId="0" fontId="0" fillId="0" borderId="0" xfId="0" applyNumberFormat="1" applyFont="1" applyFill="1" applyBorder="1" applyAlignment="1" applyProtection="1">
      <alignment horizontal="right" wrapText="1"/>
    </xf>
    <xf numFmtId="0" fontId="2" fillId="0" borderId="1" xfId="0" applyNumberFormat="1" applyFont="1" applyFill="1" applyBorder="1" applyAlignment="1" applyProtection="1"/>
    <xf numFmtId="0" fontId="0" fillId="0" borderId="1" xfId="0" applyNumberFormat="1" applyFont="1" applyFill="1" applyBorder="1" applyAlignment="1" applyProtection="1">
      <alignment wrapText="1"/>
    </xf>
    <xf numFmtId="0" fontId="0" fillId="0" borderId="1" xfId="0" applyNumberFormat="1" applyFont="1" applyFill="1" applyBorder="1" applyAlignment="1" applyProtection="1">
      <alignment horizontal="right" wrapText="1"/>
    </xf>
    <xf numFmtId="0" fontId="2" fillId="0" borderId="1" xfId="0" applyNumberFormat="1" applyFont="1" applyFill="1" applyBorder="1" applyAlignment="1" applyProtection="1">
      <alignment horizontal="right"/>
    </xf>
    <xf numFmtId="0" fontId="3" fillId="0" borderId="2" xfId="0" applyNumberFormat="1" applyFont="1" applyFill="1" applyBorder="1" applyAlignment="1" applyProtection="1">
      <alignment horizontal="center" wrapText="1"/>
    </xf>
    <xf numFmtId="0" fontId="2" fillId="0" borderId="3" xfId="0" applyNumberFormat="1" applyFont="1" applyFill="1" applyBorder="1" applyAlignment="1" applyProtection="1"/>
    <xf numFmtId="0" fontId="2" fillId="0" borderId="2" xfId="0" applyNumberFormat="1" applyFont="1" applyFill="1" applyBorder="1" applyAlignment="1" applyProtection="1">
      <alignment vertical="top" wrapText="1"/>
    </xf>
    <xf numFmtId="0" fontId="2" fillId="0" borderId="2" xfId="0" applyNumberFormat="1" applyFont="1" applyFill="1" applyBorder="1" applyAlignment="1" applyProtection="1">
      <alignment wrapText="1"/>
    </xf>
    <xf numFmtId="0" fontId="2" fillId="0" borderId="2" xfId="0" applyNumberFormat="1" applyFont="1" applyFill="1" applyBorder="1" applyAlignment="1" applyProtection="1">
      <alignment horizontal="right" wrapText="1"/>
    </xf>
    <xf numFmtId="3" fontId="2" fillId="0" borderId="2" xfId="0" applyNumberFormat="1" applyFont="1" applyFill="1" applyBorder="1" applyAlignment="1" applyProtection="1">
      <alignment horizontal="right" wrapText="1"/>
    </xf>
    <xf numFmtId="0" fontId="2" fillId="2" borderId="2" xfId="0" applyNumberFormat="1" applyFont="1" applyFill="1" applyBorder="1" applyAlignment="1" applyProtection="1">
      <alignment horizontal="right" wrapText="1"/>
    </xf>
    <xf numFmtId="0" fontId="2" fillId="0" borderId="2" xfId="0" applyNumberFormat="1" applyFont="1" applyFill="1" applyBorder="1" applyAlignment="1" applyProtection="1">
      <alignment horizontal="right" vertical="top" wrapText="1"/>
    </xf>
    <xf numFmtId="164" fontId="2" fillId="0" borderId="2" xfId="0" applyNumberFormat="1" applyFont="1" applyFill="1" applyBorder="1" applyAlignment="1" applyProtection="1">
      <alignment horizontal="right" wrapText="1"/>
    </xf>
    <xf numFmtId="0" fontId="0" fillId="0" borderId="3" xfId="0" applyNumberFormat="1" applyFont="1" applyFill="1" applyBorder="1" applyAlignment="1" applyProtection="1">
      <alignment wrapText="1"/>
    </xf>
    <xf numFmtId="0" fontId="2" fillId="0" borderId="2" xfId="0" applyNumberFormat="1" applyFont="1" applyFill="1" applyBorder="1" applyAlignment="1" applyProtection="1">
      <alignment horizontal="right"/>
    </xf>
    <xf numFmtId="3" fontId="2" fillId="0" borderId="2" xfId="0" applyNumberFormat="1" applyFont="1" applyFill="1" applyBorder="1" applyAlignment="1" applyProtection="1">
      <alignment horizontal="right"/>
    </xf>
    <xf numFmtId="0" fontId="2" fillId="2" borderId="2" xfId="0" applyNumberFormat="1" applyFont="1" applyFill="1" applyBorder="1" applyAlignment="1" applyProtection="1">
      <alignment horizontal="right"/>
    </xf>
    <xf numFmtId="164" fontId="2" fillId="0" borderId="2" xfId="0" applyNumberFormat="1" applyFont="1" applyFill="1" applyBorder="1" applyAlignment="1" applyProtection="1">
      <alignment horizontal="right"/>
    </xf>
    <xf numFmtId="3" fontId="2" fillId="0" borderId="2" xfId="0" applyNumberFormat="1" applyFont="1" applyFill="1" applyBorder="1" applyAlignment="1" applyProtection="1">
      <alignment horizontal="right" vertical="top" wrapText="1"/>
    </xf>
    <xf numFmtId="0" fontId="2" fillId="2" borderId="2" xfId="0" applyNumberFormat="1" applyFont="1" applyFill="1" applyBorder="1" applyAlignment="1" applyProtection="1">
      <alignment horizontal="right" vertical="top" wrapText="1"/>
    </xf>
    <xf numFmtId="164" fontId="2" fillId="0" borderId="2" xfId="0" applyNumberFormat="1" applyFont="1" applyFill="1" applyBorder="1" applyAlignment="1" applyProtection="1">
      <alignment horizontal="right" vertical="top" wrapText="1"/>
    </xf>
    <xf numFmtId="165" fontId="2" fillId="0" borderId="2" xfId="0" applyNumberFormat="1" applyFont="1" applyFill="1" applyBorder="1" applyAlignment="1" applyProtection="1">
      <alignment horizontal="right" vertical="top" wrapText="1"/>
    </xf>
    <xf numFmtId="0" fontId="2" fillId="0" borderId="4" xfId="0" applyNumberFormat="1" applyFont="1" applyFill="1" applyBorder="1" applyAlignment="1" applyProtection="1">
      <alignment vertical="top" wrapText="1"/>
    </xf>
    <xf numFmtId="164" fontId="2" fillId="0" borderId="4" xfId="0" applyNumberFormat="1" applyFont="1" applyFill="1" applyBorder="1" applyAlignment="1" applyProtection="1">
      <alignment horizontal="right" vertical="top" wrapText="1"/>
    </xf>
    <xf numFmtId="0" fontId="2" fillId="0" borderId="5" xfId="0" applyNumberFormat="1" applyFont="1" applyFill="1" applyBorder="1" applyAlignment="1" applyProtection="1">
      <alignment vertical="top" wrapText="1"/>
    </xf>
    <xf numFmtId="0" fontId="2" fillId="0" borderId="4" xfId="0" applyNumberFormat="1" applyFont="1" applyFill="1" applyBorder="1" applyAlignment="1" applyProtection="1">
      <alignment horizontal="right" vertical="top" wrapText="1"/>
    </xf>
    <xf numFmtId="0" fontId="2" fillId="2" borderId="4" xfId="0" applyNumberFormat="1" applyFont="1" applyFill="1" applyBorder="1" applyAlignment="1" applyProtection="1">
      <alignment horizontal="right" vertical="top" wrapText="1"/>
    </xf>
    <xf numFmtId="164" fontId="2" fillId="0" borderId="5" xfId="0" applyNumberFormat="1" applyFont="1" applyFill="1" applyBorder="1" applyAlignment="1" applyProtection="1">
      <alignment horizontal="right" vertical="top" wrapText="1"/>
    </xf>
    <xf numFmtId="3" fontId="2" fillId="0" borderId="5" xfId="0" applyNumberFormat="1" applyFont="1" applyFill="1" applyBorder="1" applyAlignment="1" applyProtection="1">
      <alignment horizontal="right" vertical="top" wrapText="1"/>
    </xf>
    <xf numFmtId="0" fontId="2" fillId="2" borderId="5" xfId="0" applyNumberFormat="1" applyFont="1" applyFill="1" applyBorder="1" applyAlignment="1" applyProtection="1">
      <alignment horizontal="right" vertical="top" wrapText="1"/>
    </xf>
    <xf numFmtId="0" fontId="2" fillId="0" borderId="5" xfId="0" applyNumberFormat="1" applyFont="1" applyFill="1" applyBorder="1" applyAlignment="1" applyProtection="1">
      <alignment horizontal="right" vertical="top" wrapText="1"/>
    </xf>
    <xf numFmtId="3" fontId="2" fillId="2" borderId="2" xfId="0" applyNumberFormat="1" applyFont="1" applyFill="1" applyBorder="1" applyAlignment="1" applyProtection="1">
      <alignment horizontal="right" vertical="top" wrapText="1"/>
    </xf>
    <xf numFmtId="1" fontId="2" fillId="0" borderId="2" xfId="0" applyNumberFormat="1" applyFont="1" applyFill="1" applyBorder="1" applyAlignment="1" applyProtection="1">
      <alignment horizontal="right" vertical="top" wrapText="1"/>
    </xf>
    <xf numFmtId="165" fontId="2" fillId="0" borderId="2" xfId="0" applyNumberFormat="1" applyFont="1" applyFill="1" applyBorder="1" applyAlignment="1" applyProtection="1">
      <alignment horizontal="right" wrapText="1"/>
    </xf>
    <xf numFmtId="0" fontId="2" fillId="0" borderId="2" xfId="0" applyNumberFormat="1" applyFont="1" applyFill="1" applyBorder="1" applyAlignment="1" applyProtection="1"/>
    <xf numFmtId="0" fontId="0" fillId="0" borderId="2" xfId="0" applyNumberFormat="1" applyFont="1" applyFill="1" applyBorder="1" applyAlignment="1" applyProtection="1">
      <alignment wrapText="1"/>
    </xf>
    <xf numFmtId="0" fontId="0" fillId="0" borderId="2" xfId="0" applyNumberFormat="1" applyFont="1" applyFill="1" applyBorder="1" applyAlignment="1" applyProtection="1">
      <alignment horizontal="right" wrapText="1"/>
    </xf>
    <xf numFmtId="0" fontId="2" fillId="0" borderId="6" xfId="0" applyNumberFormat="1" applyFont="1" applyFill="1" applyBorder="1" applyAlignment="1" applyProtection="1"/>
    <xf numFmtId="0" fontId="0" fillId="0" borderId="6" xfId="0" applyNumberFormat="1" applyFont="1" applyFill="1" applyBorder="1" applyAlignment="1" applyProtection="1">
      <alignment wrapText="1"/>
    </xf>
    <xf numFmtId="0" fontId="0" fillId="0" borderId="6" xfId="0" applyNumberFormat="1" applyFont="1" applyFill="1" applyBorder="1" applyAlignment="1" applyProtection="1">
      <alignment horizontal="right" wrapText="1"/>
    </xf>
    <xf numFmtId="0" fontId="2" fillId="0" borderId="7" xfId="0" applyNumberFormat="1" applyFont="1" applyFill="1" applyBorder="1" applyAlignment="1" applyProtection="1">
      <alignment horizontal="right"/>
    </xf>
    <xf numFmtId="0" fontId="2" fillId="0" borderId="8" xfId="0" applyNumberFormat="1" applyFont="1" applyFill="1" applyBorder="1" applyAlignment="1" applyProtection="1">
      <alignment horizontal="right"/>
    </xf>
    <xf numFmtId="0" fontId="2" fillId="0" borderId="6" xfId="0" applyNumberFormat="1" applyFont="1" applyFill="1" applyBorder="1" applyAlignment="1" applyProtection="1">
      <alignment horizontal="right"/>
    </xf>
    <xf numFmtId="0" fontId="4" fillId="0" borderId="0" xfId="0" applyNumberFormat="1" applyFont="1" applyFill="1" applyBorder="1" applyAlignment="1" applyProtection="1"/>
    <xf numFmtId="0" fontId="0" fillId="0" borderId="0" xfId="0" applyNumberFormat="1" applyFont="1" applyFill="1" applyBorder="1" applyAlignment="1" applyProtection="1">
      <alignment wrapText="1"/>
    </xf>
    <xf numFmtId="0" fontId="5" fillId="0" borderId="9" xfId="0" applyNumberFormat="1" applyFont="1" applyFill="1" applyBorder="1" applyAlignment="1" applyProtection="1">
      <alignment wrapText="1"/>
    </xf>
    <xf numFmtId="0" fontId="5" fillId="0" borderId="9" xfId="0" applyNumberFormat="1" applyFont="1" applyFill="1" applyBorder="1" applyAlignment="1" applyProtection="1">
      <alignment horizontal="center" wrapText="1"/>
    </xf>
    <xf numFmtId="0" fontId="5" fillId="0" borderId="6" xfId="0" applyNumberFormat="1" applyFont="1" applyFill="1" applyBorder="1" applyAlignment="1" applyProtection="1">
      <alignment wrapText="1"/>
    </xf>
    <xf numFmtId="0" fontId="0" fillId="0" borderId="9" xfId="0" applyNumberFormat="1" applyFont="1" applyFill="1" applyBorder="1" applyAlignment="1" applyProtection="1">
      <alignment wrapText="1"/>
    </xf>
    <xf numFmtId="0" fontId="0" fillId="0" borderId="10" xfId="0" applyNumberFormat="1" applyFont="1" applyFill="1" applyBorder="1" applyAlignment="1" applyProtection="1">
      <alignment wrapText="1"/>
    </xf>
    <xf numFmtId="0" fontId="0" fillId="3" borderId="2" xfId="0" applyNumberFormat="1" applyFont="1" applyFill="1" applyBorder="1" applyAlignment="1" applyProtection="1">
      <alignment wrapText="1"/>
    </xf>
    <xf numFmtId="164" fontId="0" fillId="0" borderId="3" xfId="0" applyNumberFormat="1" applyFont="1" applyFill="1" applyBorder="1" applyAlignment="1" applyProtection="1">
      <alignment wrapText="1"/>
    </xf>
    <xf numFmtId="164" fontId="0" fillId="0" borderId="0" xfId="0" applyNumberFormat="1" applyFont="1" applyFill="1" applyBorder="1" applyAlignment="1" applyProtection="1">
      <alignment wrapText="1"/>
    </xf>
    <xf numFmtId="0" fontId="6" fillId="0" borderId="9" xfId="0" applyNumberFormat="1" applyFont="1" applyFill="1" applyBorder="1" applyAlignment="1" applyProtection="1">
      <alignment horizontal="center" vertical="top" wrapText="1"/>
    </xf>
    <xf numFmtId="166" fontId="3" fillId="0" borderId="9" xfId="0" applyNumberFormat="1" applyFont="1" applyFill="1" applyBorder="1" applyAlignment="1" applyProtection="1">
      <alignment horizontal="center" wrapText="1"/>
    </xf>
    <xf numFmtId="0" fontId="3" fillId="0" borderId="9" xfId="0" applyNumberFormat="1" applyFont="1" applyFill="1" applyBorder="1" applyAlignment="1" applyProtection="1">
      <alignment horizontal="center" wrapText="1"/>
    </xf>
    <xf numFmtId="0" fontId="3" fillId="0" borderId="9" xfId="0" applyNumberFormat="1" applyFont="1" applyFill="1" applyBorder="1" applyAlignment="1" applyProtection="1">
      <alignment wrapText="1"/>
    </xf>
    <xf numFmtId="165" fontId="0" fillId="0" borderId="2" xfId="0" applyNumberFormat="1" applyFont="1" applyFill="1" applyBorder="1" applyAlignment="1" applyProtection="1">
      <alignment wrapText="1"/>
    </xf>
    <xf numFmtId="165" fontId="0" fillId="3" borderId="2" xfId="0" applyNumberFormat="1" applyFont="1" applyFill="1" applyBorder="1" applyAlignment="1" applyProtection="1">
      <alignment wrapText="1"/>
    </xf>
    <xf numFmtId="164" fontId="0" fillId="0" borderId="2" xfId="0" applyNumberFormat="1" applyFont="1" applyFill="1" applyBorder="1" applyAlignment="1" applyProtection="1">
      <alignment wrapText="1"/>
    </xf>
    <xf numFmtId="0" fontId="5" fillId="0" borderId="0" xfId="0" applyNumberFormat="1" applyFont="1" applyFill="1" applyBorder="1" applyAlignment="1" applyProtection="1">
      <alignment wrapText="1"/>
    </xf>
    <xf numFmtId="0" fontId="5" fillId="0" borderId="0" xfId="0" applyNumberFormat="1" applyFont="1" applyFill="1" applyBorder="1" applyAlignment="1" applyProtection="1">
      <alignment vertical="top" wrapText="1"/>
    </xf>
    <xf numFmtId="0" fontId="3" fillId="0" borderId="6" xfId="0" applyNumberFormat="1" applyFont="1" applyFill="1" applyBorder="1" applyAlignment="1" applyProtection="1"/>
    <xf numFmtId="0" fontId="2" fillId="0" borderId="9" xfId="0" applyNumberFormat="1" applyFont="1" applyFill="1" applyBorder="1" applyAlignment="1" applyProtection="1">
      <alignment vertical="top"/>
    </xf>
    <xf numFmtId="0" fontId="2" fillId="0" borderId="9" xfId="0" applyNumberFormat="1" applyFont="1" applyFill="1" applyBorder="1" applyAlignment="1" applyProtection="1">
      <alignment vertical="top" wrapText="1"/>
    </xf>
    <xf numFmtId="164" fontId="2" fillId="0" borderId="6" xfId="0" applyNumberFormat="1" applyFont="1" applyFill="1" applyBorder="1" applyAlignment="1" applyProtection="1"/>
    <xf numFmtId="0" fontId="2" fillId="0" borderId="10" xfId="0" applyNumberFormat="1" applyFont="1" applyFill="1" applyBorder="1" applyAlignment="1" applyProtection="1"/>
    <xf numFmtId="3" fontId="2" fillId="0" borderId="2" xfId="0" applyNumberFormat="1" applyFont="1" applyFill="1" applyBorder="1" applyAlignment="1" applyProtection="1"/>
    <xf numFmtId="3" fontId="2" fillId="3" borderId="2" xfId="0" applyNumberFormat="1" applyFont="1" applyFill="1" applyBorder="1" applyAlignment="1" applyProtection="1"/>
    <xf numFmtId="164" fontId="2" fillId="0" borderId="3" xfId="0" applyNumberFormat="1" applyFont="1" applyFill="1" applyBorder="1" applyAlignment="1" applyProtection="1"/>
    <xf numFmtId="164" fontId="2" fillId="0" borderId="0" xfId="0" applyNumberFormat="1" applyFont="1" applyFill="1" applyBorder="1" applyAlignment="1" applyProtection="1"/>
    <xf numFmtId="164" fontId="2" fillId="0" borderId="0" xfId="0" applyNumberFormat="1" applyFont="1" applyFill="1" applyBorder="1" applyAlignment="1" applyProtection="1">
      <alignment horizontal="right"/>
    </xf>
    <xf numFmtId="0" fontId="2" fillId="0" borderId="10" xfId="0" applyNumberFormat="1" applyFont="1" applyFill="1" applyBorder="1" applyAlignment="1" applyProtection="1">
      <alignment horizontal="left" vertical="top"/>
    </xf>
    <xf numFmtId="0" fontId="0" fillId="0" borderId="2" xfId="0" applyNumberFormat="1" applyFont="1" applyFill="1" applyBorder="1" applyAlignment="1" applyProtection="1">
      <alignment horizontal="left" vertical="top" wrapText="1"/>
    </xf>
    <xf numFmtId="0" fontId="0" fillId="0" borderId="2" xfId="0" applyNumberFormat="1" applyFont="1" applyFill="1" applyBorder="1" applyAlignment="1" applyProtection="1">
      <alignment horizontal="left" vertical="top"/>
    </xf>
    <xf numFmtId="3" fontId="2" fillId="3" borderId="2" xfId="0" applyNumberFormat="1" applyFont="1" applyFill="1" applyBorder="1" applyAlignment="1" applyProtection="1">
      <alignment horizontal="left" vertical="top"/>
    </xf>
    <xf numFmtId="4" fontId="2" fillId="0" borderId="0" xfId="0" applyNumberFormat="1" applyFont="1" applyFill="1" applyBorder="1" applyAlignment="1" applyProtection="1"/>
    <xf numFmtId="0" fontId="0" fillId="0" borderId="0" xfId="0" applyNumberFormat="1" applyFont="1" applyFill="1" applyBorder="1" applyAlignment="1" applyProtection="1">
      <alignment horizontal="left" wrapText="1"/>
    </xf>
    <xf numFmtId="0" fontId="3" fillId="0" borderId="0" xfId="0" applyNumberFormat="1" applyFont="1" applyFill="1" applyBorder="1" applyAlignment="1" applyProtection="1"/>
    <xf numFmtId="0" fontId="3" fillId="0" borderId="1" xfId="0" applyNumberFormat="1" applyFont="1" applyFill="1" applyBorder="1" applyAlignment="1" applyProtection="1"/>
    <xf numFmtId="0" fontId="2" fillId="0" borderId="1" xfId="0" applyNumberFormat="1" applyFont="1" applyFill="1" applyBorder="1" applyAlignment="1" applyProtection="1">
      <alignment vertical="top"/>
    </xf>
    <xf numFmtId="3" fontId="2" fillId="0" borderId="6" xfId="0" applyNumberFormat="1" applyFont="1" applyFill="1" applyBorder="1" applyAlignment="1" applyProtection="1">
      <alignment horizontal="right" vertical="top" wrapText="1"/>
    </xf>
    <xf numFmtId="3" fontId="2" fillId="0" borderId="6" xfId="0" applyNumberFormat="1" applyFont="1" applyFill="1" applyBorder="1" applyAlignment="1" applyProtection="1"/>
    <xf numFmtId="3" fontId="2" fillId="0" borderId="1" xfId="0" applyNumberFormat="1" applyFont="1" applyFill="1" applyBorder="1" applyAlignment="1" applyProtection="1">
      <alignment horizontal="right" vertical="top" wrapText="1"/>
    </xf>
    <xf numFmtId="3" fontId="2" fillId="0" borderId="1" xfId="0" applyNumberFormat="1" applyFont="1" applyFill="1" applyBorder="1" applyAlignment="1" applyProtection="1"/>
    <xf numFmtId="164" fontId="2" fillId="0" borderId="1" xfId="0" applyNumberFormat="1" applyFont="1" applyFill="1" applyBorder="1" applyAlignment="1" applyProtection="1"/>
    <xf numFmtId="0" fontId="7" fillId="0" borderId="0" xfId="0" applyNumberFormat="1" applyFont="1" applyFill="1" applyBorder="1" applyAlignment="1" applyProtection="1">
      <alignment wrapText="1"/>
    </xf>
    <xf numFmtId="0" fontId="2" fillId="0" borderId="6" xfId="0" applyNumberFormat="1" applyFont="1" applyFill="1" applyBorder="1" applyAlignment="1" applyProtection="1">
      <alignment wrapText="1"/>
    </xf>
    <xf numFmtId="0" fontId="2" fillId="0" borderId="0" xfId="0" applyNumberFormat="1" applyFont="1" applyFill="1" applyBorder="1" applyAlignment="1" applyProtection="1">
      <alignment wrapText="1"/>
    </xf>
    <xf numFmtId="0" fontId="7" fillId="0" borderId="1" xfId="0" applyNumberFormat="1" applyFont="1" applyFill="1" applyBorder="1" applyAlignment="1" applyProtection="1">
      <alignment wrapText="1"/>
    </xf>
    <xf numFmtId="0" fontId="2" fillId="0" borderId="1" xfId="0" applyNumberFormat="1" applyFont="1" applyFill="1" applyBorder="1" applyAlignment="1" applyProtection="1">
      <alignment wrapText="1"/>
    </xf>
    <xf numFmtId="0" fontId="8" fillId="0" borderId="6" xfId="0" applyNumberFormat="1" applyFont="1" applyFill="1" applyBorder="1" applyAlignment="1" applyProtection="1">
      <alignment wrapText="1"/>
    </xf>
    <xf numFmtId="0" fontId="2" fillId="0" borderId="9" xfId="0" applyNumberFormat="1" applyFont="1" applyFill="1" applyBorder="1" applyAlignment="1" applyProtection="1">
      <alignment wrapText="1"/>
    </xf>
    <xf numFmtId="0" fontId="10" fillId="0" borderId="1" xfId="0" applyNumberFormat="1" applyFont="1" applyFill="1" applyBorder="1" applyAlignment="1" applyProtection="1"/>
    <xf numFmtId="3" fontId="10" fillId="0" borderId="1" xfId="0" applyNumberFormat="1" applyFont="1" applyFill="1" applyBorder="1" applyAlignment="1" applyProtection="1">
      <alignment horizontal="right" vertical="top" wrapText="1"/>
    </xf>
    <xf numFmtId="0" fontId="10" fillId="0" borderId="0" xfId="0" applyNumberFormat="1" applyFont="1" applyFill="1" applyBorder="1" applyAlignment="1" applyProtection="1"/>
    <xf numFmtId="3" fontId="10" fillId="0" borderId="6" xfId="0" applyNumberFormat="1" applyFont="1" applyFill="1" applyBorder="1" applyAlignment="1" applyProtection="1">
      <alignment horizontal="right" vertical="top" wrapText="1"/>
    </xf>
    <xf numFmtId="164" fontId="2" fillId="0" borderId="1" xfId="0" applyNumberFormat="1" applyFont="1" applyFill="1" applyBorder="1" applyAlignment="1" applyProtection="1">
      <alignment horizontal="right"/>
    </xf>
    <xf numFmtId="164" fontId="2" fillId="0" borderId="6" xfId="0" applyNumberFormat="1" applyFont="1" applyFill="1" applyBorder="1" applyAlignment="1" applyProtection="1">
      <alignment horizontal="right"/>
    </xf>
    <xf numFmtId="165" fontId="2" fillId="0" borderId="2" xfId="0" applyNumberFormat="1" applyFont="1" applyFill="1" applyBorder="1" applyAlignment="1" applyProtection="1">
      <alignment wrapText="1"/>
    </xf>
    <xf numFmtId="0" fontId="2" fillId="0" borderId="0" xfId="0" applyNumberFormat="1" applyFont="1" applyFill="1" applyBorder="1" applyAlignment="1" applyProtection="1">
      <alignment horizontal="left" vertical="top" wrapText="1"/>
    </xf>
    <xf numFmtId="0" fontId="3" fillId="0" borderId="6" xfId="0" applyNumberFormat="1" applyFont="1" applyFill="1" applyBorder="1" applyAlignment="1" applyProtection="1">
      <alignment wrapText="1"/>
    </xf>
    <xf numFmtId="164" fontId="2" fillId="0" borderId="3" xfId="0" applyNumberFormat="1" applyFont="1" applyFill="1" applyBorder="1" applyAlignment="1" applyProtection="1">
      <alignment horizontal="right"/>
    </xf>
    <xf numFmtId="3" fontId="2" fillId="3" borderId="4" xfId="0" applyNumberFormat="1" applyFont="1" applyFill="1" applyBorder="1" applyAlignment="1" applyProtection="1"/>
    <xf numFmtId="3" fontId="2" fillId="0" borderId="11" xfId="0" applyNumberFormat="1" applyFont="1" applyFill="1" applyBorder="1" applyAlignment="1" applyProtection="1"/>
    <xf numFmtId="166" fontId="3" fillId="0" borderId="2" xfId="0" applyNumberFormat="1" applyFont="1" applyFill="1" applyBorder="1" applyAlignment="1" applyProtection="1">
      <alignment horizontal="center" wrapText="1"/>
    </xf>
    <xf numFmtId="166" fontId="3" fillId="0" borderId="12" xfId="0" applyNumberFormat="1" applyFont="1" applyFill="1" applyBorder="1" applyAlignment="1" applyProtection="1">
      <alignment horizontal="center" wrapText="1"/>
    </xf>
    <xf numFmtId="1" fontId="2" fillId="0" borderId="9" xfId="0" applyNumberFormat="1" applyFont="1" applyFill="1" applyBorder="1" applyAlignment="1" applyProtection="1"/>
    <xf numFmtId="0" fontId="2" fillId="0" borderId="1" xfId="0" applyNumberFormat="1" applyFont="1" applyFill="1" applyBorder="1" applyAlignment="1" applyProtection="1">
      <alignment horizontal="right" vertical="top" wrapText="1"/>
    </xf>
    <xf numFmtId="3" fontId="2" fillId="0" borderId="1" xfId="0" applyNumberFormat="1" applyFont="1" applyFill="1" applyBorder="1" applyAlignment="1" applyProtection="1">
      <alignment horizontal="right" wrapText="1"/>
    </xf>
    <xf numFmtId="0" fontId="2" fillId="0" borderId="6" xfId="0" applyNumberFormat="1" applyFont="1" applyFill="1" applyBorder="1" applyAlignment="1" applyProtection="1">
      <alignment horizontal="right" vertical="top" wrapText="1"/>
    </xf>
    <xf numFmtId="3" fontId="2" fillId="0" borderId="6" xfId="0" applyNumberFormat="1" applyFont="1" applyFill="1" applyBorder="1" applyAlignment="1" applyProtection="1">
      <alignment horizontal="right" wrapText="1"/>
    </xf>
    <xf numFmtId="3" fontId="2" fillId="0" borderId="1" xfId="0" applyNumberFormat="1" applyFont="1" applyFill="1" applyBorder="1" applyAlignment="1" applyProtection="1">
      <alignment horizontal="right"/>
    </xf>
    <xf numFmtId="1" fontId="2" fillId="0" borderId="1" xfId="0" applyNumberFormat="1" applyFont="1" applyFill="1" applyBorder="1" applyAlignment="1" applyProtection="1"/>
    <xf numFmtId="1" fontId="2" fillId="0" borderId="6" xfId="0" applyNumberFormat="1" applyFont="1" applyFill="1" applyBorder="1" applyAlignment="1" applyProtection="1"/>
    <xf numFmtId="0" fontId="2" fillId="3" borderId="2" xfId="0" applyNumberFormat="1" applyFont="1" applyFill="1" applyBorder="1" applyAlignment="1" applyProtection="1"/>
    <xf numFmtId="3" fontId="2" fillId="0" borderId="6" xfId="0" applyNumberFormat="1" applyFont="1" applyFill="1" applyBorder="1" applyAlignment="1" applyProtection="1">
      <alignment wrapText="1"/>
    </xf>
    <xf numFmtId="3" fontId="2" fillId="0" borderId="6" xfId="0" applyNumberFormat="1" applyFont="1" applyFill="1" applyBorder="1" applyAlignment="1" applyProtection="1">
      <alignment horizontal="right"/>
    </xf>
    <xf numFmtId="1" fontId="2" fillId="0" borderId="0" xfId="0" applyNumberFormat="1" applyFont="1" applyFill="1" applyBorder="1" applyAlignment="1" applyProtection="1"/>
    <xf numFmtId="0" fontId="2" fillId="0" borderId="10" xfId="0" applyNumberFormat="1" applyFont="1" applyFill="1" applyBorder="1" applyAlignment="1" applyProtection="1">
      <alignment wrapText="1"/>
    </xf>
    <xf numFmtId="3" fontId="2" fillId="0" borderId="2" xfId="0" applyNumberFormat="1" applyFont="1" applyFill="1" applyBorder="1" applyAlignment="1" applyProtection="1">
      <alignment vertical="center"/>
    </xf>
    <xf numFmtId="3" fontId="2" fillId="3" borderId="2" xfId="0" applyNumberFormat="1" applyFont="1" applyFill="1" applyBorder="1" applyAlignment="1" applyProtection="1">
      <alignment vertical="center"/>
    </xf>
    <xf numFmtId="0" fontId="2" fillId="0" borderId="0" xfId="0" applyNumberFormat="1" applyFont="1" applyFill="1" applyBorder="1" applyAlignment="1" applyProtection="1">
      <alignment vertical="top"/>
    </xf>
    <xf numFmtId="0" fontId="2" fillId="0" borderId="0" xfId="0" applyNumberFormat="1" applyFont="1" applyFill="1" applyBorder="1" applyAlignment="1" applyProtection="1">
      <alignment horizontal="left"/>
    </xf>
    <xf numFmtId="0" fontId="11" fillId="0" borderId="0" xfId="0" applyNumberFormat="1" applyFont="1" applyFill="1" applyBorder="1" applyAlignment="1" applyProtection="1">
      <alignment wrapText="1"/>
    </xf>
    <xf numFmtId="3" fontId="2" fillId="0" borderId="9" xfId="0" applyNumberFormat="1" applyFont="1" applyFill="1" applyBorder="1" applyAlignment="1" applyProtection="1"/>
    <xf numFmtId="3" fontId="2" fillId="0" borderId="2" xfId="0" applyNumberFormat="1" applyFont="1" applyFill="1" applyBorder="1" applyAlignment="1" applyProtection="1">
      <alignment wrapText="1"/>
    </xf>
    <xf numFmtId="164" fontId="2" fillId="4" borderId="3" xfId="0" applyNumberFormat="1" applyFont="1" applyFill="1" applyBorder="1" applyAlignment="1" applyProtection="1"/>
    <xf numFmtId="3" fontId="2" fillId="0" borderId="0" xfId="0" applyNumberFormat="1" applyFont="1" applyFill="1" applyBorder="1" applyAlignment="1" applyProtection="1">
      <alignment wrapText="1"/>
    </xf>
    <xf numFmtId="167" fontId="0" fillId="0" borderId="4" xfId="0" applyNumberFormat="1" applyFont="1" applyFill="1" applyBorder="1" applyAlignment="1" applyProtection="1">
      <alignment wrapText="1"/>
    </xf>
    <xf numFmtId="0" fontId="0" fillId="0" borderId="4" xfId="0" applyNumberFormat="1" applyFont="1" applyFill="1" applyBorder="1" applyAlignment="1" applyProtection="1">
      <alignment wrapText="1"/>
    </xf>
    <xf numFmtId="3" fontId="2" fillId="0" borderId="0" xfId="0" applyNumberFormat="1" applyFont="1" applyFill="1" applyBorder="1" applyAlignment="1" applyProtection="1"/>
    <xf numFmtId="3" fontId="2" fillId="3" borderId="2" xfId="0" applyNumberFormat="1" applyFont="1" applyFill="1" applyBorder="1" applyAlignment="1" applyProtection="1">
      <alignment horizontal="right" vertical="top"/>
    </xf>
    <xf numFmtId="164" fontId="2" fillId="4" borderId="3" xfId="0" applyNumberFormat="1" applyFont="1" applyFill="1" applyBorder="1" applyAlignment="1" applyProtection="1">
      <alignment vertical="top"/>
    </xf>
    <xf numFmtId="164" fontId="2" fillId="0" borderId="0" xfId="0" applyNumberFormat="1" applyFont="1" applyFill="1" applyBorder="1" applyAlignment="1" applyProtection="1">
      <alignment horizontal="left" vertical="top"/>
    </xf>
    <xf numFmtId="1" fontId="2" fillId="3" borderId="2" xfId="0" applyNumberFormat="1" applyFont="1" applyFill="1" applyBorder="1" applyAlignment="1" applyProtection="1"/>
    <xf numFmtId="0" fontId="0" fillId="4" borderId="3" xfId="0" applyNumberFormat="1" applyFont="1" applyFill="1" applyBorder="1" applyAlignment="1" applyProtection="1">
      <alignment wrapText="1"/>
    </xf>
    <xf numFmtId="0" fontId="0" fillId="3" borderId="2" xfId="0" applyNumberFormat="1" applyFont="1" applyFill="1" applyBorder="1" applyAlignment="1" applyProtection="1">
      <alignment horizontal="right" wrapText="1"/>
    </xf>
    <xf numFmtId="164" fontId="0" fillId="4" borderId="3" xfId="0" applyNumberFormat="1" applyFont="1" applyFill="1" applyBorder="1" applyAlignment="1" applyProtection="1">
      <alignment wrapText="1"/>
    </xf>
    <xf numFmtId="166" fontId="3" fillId="0" borderId="1" xfId="0" applyNumberFormat="1" applyFont="1" applyFill="1" applyBorder="1" applyAlignment="1" applyProtection="1">
      <alignment horizontal="center" wrapText="1"/>
    </xf>
    <xf numFmtId="0" fontId="6" fillId="0" borderId="12" xfId="0" applyNumberFormat="1" applyFont="1" applyFill="1" applyBorder="1" applyAlignment="1" applyProtection="1">
      <alignment horizontal="center" vertical="top" wrapText="1"/>
    </xf>
    <xf numFmtId="0" fontId="2" fillId="0" borderId="9" xfId="0" applyNumberFormat="1" applyFont="1" applyFill="1" applyBorder="1" applyAlignment="1" applyProtection="1"/>
    <xf numFmtId="3" fontId="2" fillId="0" borderId="4" xfId="0" applyNumberFormat="1" applyFont="1" applyFill="1" applyBorder="1" applyAlignment="1" applyProtection="1">
      <alignment horizontal="right" vertical="top" wrapText="1"/>
    </xf>
    <xf numFmtId="0" fontId="2" fillId="0" borderId="13" xfId="0" applyNumberFormat="1" applyFont="1" applyFill="1" applyBorder="1" applyAlignment="1" applyProtection="1"/>
    <xf numFmtId="3" fontId="2" fillId="0" borderId="5" xfId="0" applyNumberFormat="1" applyFont="1" applyFill="1" applyBorder="1" applyAlignment="1" applyProtection="1"/>
    <xf numFmtId="164" fontId="2" fillId="0" borderId="11" xfId="0" applyNumberFormat="1" applyFont="1" applyFill="1" applyBorder="1" applyAlignment="1" applyProtection="1"/>
    <xf numFmtId="3" fontId="2" fillId="0" borderId="12" xfId="0" applyNumberFormat="1" applyFont="1" applyFill="1" applyBorder="1" applyAlignment="1" applyProtection="1">
      <alignment horizontal="right" vertical="top" wrapText="1"/>
    </xf>
    <xf numFmtId="3" fontId="2" fillId="0" borderId="14" xfId="0" applyNumberFormat="1" applyFont="1" applyFill="1" applyBorder="1" applyAlignment="1" applyProtection="1">
      <alignment horizontal="right" vertical="top" wrapText="1"/>
    </xf>
    <xf numFmtId="3" fontId="2" fillId="0" borderId="0" xfId="0" applyNumberFormat="1" applyFont="1" applyFill="1" applyBorder="1" applyAlignment="1" applyProtection="1">
      <alignment horizontal="right" vertical="top" wrapText="1"/>
    </xf>
    <xf numFmtId="0" fontId="3" fillId="0" borderId="0" xfId="0" applyNumberFormat="1" applyFont="1" applyFill="1" applyBorder="1" applyAlignment="1" applyProtection="1">
      <alignment wrapText="1"/>
    </xf>
    <xf numFmtId="0" fontId="3" fillId="0" borderId="10" xfId="0" applyNumberFormat="1" applyFont="1" applyFill="1" applyBorder="1" applyAlignment="1" applyProtection="1"/>
    <xf numFmtId="3" fontId="3" fillId="0" borderId="2" xfId="0" applyNumberFormat="1" applyFont="1" applyFill="1" applyBorder="1" applyAlignment="1" applyProtection="1">
      <alignment horizontal="right" wrapText="1"/>
    </xf>
    <xf numFmtId="3" fontId="3" fillId="3" borderId="2" xfId="0" applyNumberFormat="1" applyFont="1" applyFill="1" applyBorder="1" applyAlignment="1" applyProtection="1"/>
    <xf numFmtId="3" fontId="2" fillId="2" borderId="2" xfId="0" applyNumberFormat="1" applyFont="1" applyFill="1" applyBorder="1" applyAlignment="1" applyProtection="1">
      <alignment horizontal="right" wrapText="1"/>
    </xf>
    <xf numFmtId="3" fontId="3" fillId="2" borderId="2" xfId="0" applyNumberFormat="1" applyFont="1" applyFill="1" applyBorder="1" applyAlignment="1" applyProtection="1">
      <alignment horizontal="right" wrapText="1"/>
    </xf>
    <xf numFmtId="3" fontId="2" fillId="2" borderId="2" xfId="0" applyNumberFormat="1" applyFont="1" applyFill="1" applyBorder="1" applyAlignment="1" applyProtection="1">
      <alignment wrapText="1"/>
    </xf>
    <xf numFmtId="3" fontId="2" fillId="2" borderId="2" xfId="0" applyNumberFormat="1" applyFont="1" applyFill="1" applyBorder="1" applyAlignment="1" applyProtection="1"/>
    <xf numFmtId="0" fontId="2" fillId="0" borderId="7" xfId="0" applyNumberFormat="1" applyFont="1" applyFill="1" applyBorder="1" applyAlignment="1" applyProtection="1"/>
    <xf numFmtId="3" fontId="2" fillId="0" borderId="2" xfId="0" applyNumberFormat="1" applyFont="1" applyFill="1" applyBorder="1" applyAlignment="1" applyProtection="1">
      <alignment horizontal="right" vertical="top"/>
    </xf>
    <xf numFmtId="3" fontId="2" fillId="0" borderId="2" xfId="0" applyNumberFormat="1" applyFont="1" applyFill="1" applyBorder="1" applyAlignment="1" applyProtection="1">
      <alignment vertical="top"/>
    </xf>
    <xf numFmtId="168" fontId="2" fillId="0" borderId="2" xfId="0" applyNumberFormat="1" applyFont="1" applyFill="1" applyBorder="1" applyAlignment="1" applyProtection="1">
      <alignment horizontal="right"/>
    </xf>
    <xf numFmtId="164" fontId="2" fillId="0" borderId="2" xfId="0" applyNumberFormat="1" applyFont="1" applyFill="1" applyBorder="1" applyAlignment="1" applyProtection="1"/>
    <xf numFmtId="164" fontId="3" fillId="0" borderId="2" xfId="0" applyNumberFormat="1" applyFont="1" applyFill="1" applyBorder="1" applyAlignment="1" applyProtection="1"/>
    <xf numFmtId="4" fontId="2" fillId="0" borderId="2" xfId="0" applyNumberFormat="1" applyFont="1" applyFill="1" applyBorder="1" applyAlignment="1" applyProtection="1">
      <alignment horizontal="right" vertical="top"/>
    </xf>
    <xf numFmtId="4" fontId="2" fillId="0" borderId="2" xfId="0" applyNumberFormat="1" applyFont="1" applyFill="1" applyBorder="1" applyAlignment="1" applyProtection="1"/>
    <xf numFmtId="4" fontId="2" fillId="3" borderId="2" xfId="0" applyNumberFormat="1" applyFont="1" applyFill="1" applyBorder="1" applyAlignment="1" applyProtection="1"/>
    <xf numFmtId="0" fontId="12" fillId="0" borderId="0" xfId="0" applyNumberFormat="1" applyFont="1" applyFill="1" applyBorder="1" applyAlignment="1" applyProtection="1"/>
    <xf numFmtId="0" fontId="6" fillId="0" borderId="6" xfId="0" applyNumberFormat="1" applyFont="1" applyFill="1" applyBorder="1" applyAlignment="1" applyProtection="1">
      <alignment horizontal="center" vertical="top" wrapText="1"/>
    </xf>
    <xf numFmtId="0" fontId="3" fillId="0" borderId="6" xfId="0" applyNumberFormat="1" applyFont="1" applyFill="1" applyBorder="1" applyAlignment="1" applyProtection="1">
      <alignment horizontal="center" wrapText="1"/>
    </xf>
    <xf numFmtId="0" fontId="8" fillId="0" borderId="1" xfId="0" applyNumberFormat="1" applyFont="1" applyFill="1" applyBorder="1" applyAlignment="1" applyProtection="1">
      <alignment wrapText="1"/>
    </xf>
    <xf numFmtId="164" fontId="2" fillId="0" borderId="8" xfId="0" applyNumberFormat="1" applyFont="1" applyFill="1" applyBorder="1" applyAlignment="1" applyProtection="1"/>
    <xf numFmtId="3" fontId="2" fillId="0" borderId="4" xfId="0" applyNumberFormat="1" applyFont="1" applyFill="1" applyBorder="1" applyAlignment="1" applyProtection="1"/>
    <xf numFmtId="0" fontId="2" fillId="0" borderId="4" xfId="0" applyNumberFormat="1" applyFont="1" applyFill="1" applyBorder="1" applyAlignment="1" applyProtection="1">
      <alignment wrapText="1"/>
    </xf>
    <xf numFmtId="0" fontId="1" fillId="0" borderId="0" xfId="0" applyNumberFormat="1" applyFont="1" applyFill="1" applyBorder="1" applyAlignment="1" applyProtection="1"/>
    <xf numFmtId="0" fontId="2" fillId="0" borderId="0" xfId="0" applyNumberFormat="1" applyFont="1" applyFill="1" applyBorder="1" applyAlignment="1" applyProtection="1"/>
    <xf numFmtId="0" fontId="2" fillId="0" borderId="1" xfId="0" applyNumberFormat="1" applyFont="1" applyFill="1" applyBorder="1" applyAlignment="1" applyProtection="1"/>
    <xf numFmtId="0" fontId="0" fillId="0" borderId="0" xfId="0">
      <alignment vertical="center"/>
    </xf>
    <xf numFmtId="0" fontId="5" fillId="0" borderId="6" xfId="0" applyNumberFormat="1" applyFont="1" applyFill="1" applyBorder="1" applyAlignment="1" applyProtection="1">
      <alignment wrapText="1"/>
    </xf>
    <xf numFmtId="0" fontId="0" fillId="0" borderId="6" xfId="0" applyNumberFormat="1" applyFont="1" applyFill="1" applyBorder="1" applyAlignment="1" applyProtection="1">
      <alignment wrapText="1"/>
    </xf>
    <xf numFmtId="0" fontId="0" fillId="0" borderId="0" xfId="0" applyNumberFormat="1" applyFont="1" applyFill="1" applyBorder="1" applyAlignment="1" applyProtection="1">
      <alignment wrapText="1"/>
    </xf>
    <xf numFmtId="0" fontId="4" fillId="0" borderId="0" xfId="0" applyNumberFormat="1" applyFont="1" applyFill="1" applyBorder="1" applyAlignment="1" applyProtection="1"/>
    <xf numFmtId="0" fontId="3" fillId="0" borderId="6" xfId="0" applyNumberFormat="1" applyFont="1" applyFill="1" applyBorder="1" applyAlignment="1" applyProtection="1"/>
    <xf numFmtId="166" fontId="3" fillId="0" borderId="6" xfId="0" applyNumberFormat="1" applyFont="1" applyFill="1" applyBorder="1" applyAlignment="1" applyProtection="1">
      <alignment horizontal="center" wrapText="1"/>
    </xf>
    <xf numFmtId="0" fontId="9" fillId="0" borderId="0" xfId="0" applyNumberFormat="1" applyFont="1" applyFill="1" applyBorder="1" applyAlignment="1" applyProtection="1"/>
    <xf numFmtId="3" fontId="9" fillId="0" borderId="0" xfId="0" applyNumberFormat="1" applyFont="1" applyFill="1" applyBorder="1" applyAlignment="1" applyProtection="1">
      <alignment horizontal="right" vertical="top" wrapText="1"/>
    </xf>
    <xf numFmtId="0" fontId="2" fillId="0" borderId="6" xfId="0" applyNumberFormat="1" applyFont="1" applyFill="1" applyBorder="1" applyAlignment="1" applyProtection="1">
      <alignment horizontal="left" vertical="top" wrapText="1"/>
    </xf>
    <xf numFmtId="166" fontId="3" fillId="0" borderId="7" xfId="0" applyNumberFormat="1" applyFont="1" applyFill="1" applyBorder="1" applyAlignment="1" applyProtection="1">
      <alignment horizontal="center" wrapText="1"/>
    </xf>
    <xf numFmtId="164" fontId="2" fillId="0" borderId="6" xfId="0" applyNumberFormat="1" applyFont="1" applyFill="1" applyBorder="1" applyAlignment="1" applyProtection="1">
      <alignment horizontal="left"/>
    </xf>
    <xf numFmtId="0" fontId="11" fillId="0" borderId="0" xfId="0" applyNumberFormat="1" applyFont="1" applyFill="1" applyBorder="1" applyAlignment="1" applyProtection="1">
      <alignment wrapText="1"/>
    </xf>
    <xf numFmtId="164" fontId="2" fillId="0" borderId="6" xfId="0" applyNumberFormat="1" applyFont="1" applyFill="1" applyBorder="1" applyAlignment="1" applyProtection="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6600"/>
      <rgbColor rgb="00C0C0C0"/>
      <rgbColor rgb="0099CCFF"/>
      <rgbColor rgb="00DDDDDD"/>
      <rgbColor rgb="00FFFF00"/>
      <rgbColor rgb="00FF0000"/>
      <rgbColor rgb="00FF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163"/>
  <sheetViews>
    <sheetView tabSelected="1" zoomScaleNormal="100" workbookViewId="0">
      <pane ySplit="5" topLeftCell="A15" activePane="bottomLeft" state="frozen"/>
      <selection pane="bottomLeft" activeCell="A6" sqref="A6"/>
    </sheetView>
  </sheetViews>
  <sheetFormatPr defaultColWidth="9.140625" defaultRowHeight="12.75" customHeight="1"/>
  <cols>
    <col min="1" max="1" width="44.42578125" customWidth="1"/>
    <col min="2" max="2" width="19.7109375" customWidth="1"/>
    <col min="3" max="3" width="11.42578125" customWidth="1"/>
    <col min="4" max="4" width="9.42578125" customWidth="1"/>
    <col min="5" max="5" width="10.28515625" customWidth="1"/>
    <col min="6" max="6" width="9.5703125" customWidth="1"/>
    <col min="7" max="7" width="8" customWidth="1"/>
    <col min="8" max="8" width="11.5703125" customWidth="1"/>
    <col min="9" max="9" width="12.28515625" customWidth="1"/>
    <col min="10" max="10" width="11.5703125" customWidth="1"/>
    <col min="11" max="11" width="10.7109375" customWidth="1"/>
    <col min="12" max="12" width="9.140625" customWidth="1"/>
  </cols>
  <sheetData>
    <row r="1" spans="1:12" ht="19.5" customHeight="1">
      <c r="A1" s="178" t="s">
        <v>183</v>
      </c>
      <c r="B1" s="179"/>
      <c r="C1" s="2"/>
      <c r="D1" s="3"/>
      <c r="E1" s="3"/>
      <c r="F1" s="3"/>
      <c r="G1" s="3"/>
      <c r="H1" s="3"/>
      <c r="I1" s="3"/>
      <c r="J1" s="3"/>
      <c r="K1" s="3"/>
      <c r="L1" s="2"/>
    </row>
    <row r="2" spans="1:12" ht="19.5" customHeight="1">
      <c r="A2" s="1" t="s">
        <v>342</v>
      </c>
      <c r="B2" s="2"/>
      <c r="C2" s="2"/>
      <c r="D2" s="3"/>
      <c r="E2" s="3"/>
      <c r="F2" s="3"/>
      <c r="G2" s="3"/>
      <c r="H2" s="3"/>
      <c r="I2" s="3"/>
      <c r="J2" s="3"/>
      <c r="K2" s="3"/>
      <c r="L2" s="2"/>
    </row>
    <row r="3" spans="1:12" ht="12.75" customHeight="1">
      <c r="A3" s="2"/>
      <c r="B3" s="2"/>
      <c r="D3" s="4"/>
      <c r="E3" s="3"/>
      <c r="F3" s="3"/>
      <c r="G3" s="3"/>
      <c r="H3" s="3"/>
      <c r="I3" s="3"/>
      <c r="J3" s="3"/>
      <c r="K3" s="3"/>
    </row>
    <row r="4" spans="1:12" ht="12.75" customHeight="1">
      <c r="A4" s="180" t="s">
        <v>9</v>
      </c>
      <c r="B4" s="180"/>
      <c r="C4" s="6"/>
      <c r="D4" s="7"/>
      <c r="E4" s="8"/>
      <c r="F4" s="8"/>
      <c r="G4" s="8"/>
      <c r="H4" s="8"/>
      <c r="I4" s="8"/>
      <c r="J4" s="8"/>
      <c r="K4" s="8"/>
    </row>
    <row r="5" spans="1:12" ht="39" customHeight="1">
      <c r="A5" s="9" t="s">
        <v>240</v>
      </c>
      <c r="B5" s="9" t="s">
        <v>31</v>
      </c>
      <c r="C5" s="9" t="s">
        <v>45</v>
      </c>
      <c r="D5" s="9" t="s">
        <v>253</v>
      </c>
      <c r="E5" s="9" t="s">
        <v>204</v>
      </c>
      <c r="F5" s="9" t="s">
        <v>22</v>
      </c>
      <c r="G5" s="9" t="s">
        <v>66</v>
      </c>
      <c r="H5" s="9" t="s">
        <v>225</v>
      </c>
      <c r="I5" s="9" t="s">
        <v>218</v>
      </c>
      <c r="J5" s="9" t="s">
        <v>145</v>
      </c>
      <c r="K5" s="9" t="s">
        <v>62</v>
      </c>
      <c r="L5" s="10"/>
    </row>
    <row r="6" spans="1:12" ht="12.75" customHeight="1">
      <c r="A6" s="11" t="s">
        <v>178</v>
      </c>
      <c r="B6" s="11" t="s">
        <v>55</v>
      </c>
      <c r="C6" s="12" t="s">
        <v>187</v>
      </c>
      <c r="D6" s="13">
        <f>ProQuest!N9</f>
        <v>4422</v>
      </c>
      <c r="E6" s="14">
        <f>ProQuest!N8</f>
        <v>12816</v>
      </c>
      <c r="F6" s="15"/>
      <c r="G6" s="13"/>
      <c r="H6" s="13">
        <v>0</v>
      </c>
      <c r="I6" s="16" t="s">
        <v>228</v>
      </c>
      <c r="J6" s="17">
        <v>0</v>
      </c>
      <c r="K6" s="17" t="s">
        <v>228</v>
      </c>
      <c r="L6" s="18"/>
    </row>
    <row r="7" spans="1:12" ht="12.75" customHeight="1">
      <c r="A7" s="11" t="s">
        <v>41</v>
      </c>
      <c r="B7" s="11" t="s">
        <v>55</v>
      </c>
      <c r="C7" s="12" t="s">
        <v>187</v>
      </c>
      <c r="D7" s="19">
        <f>ProQuest!N15</f>
        <v>6822</v>
      </c>
      <c r="E7" s="20">
        <f>ProQuest!N14</f>
        <v>21757</v>
      </c>
      <c r="F7" s="21"/>
      <c r="G7" s="19"/>
      <c r="H7" s="19">
        <v>0</v>
      </c>
      <c r="I7" s="16" t="s">
        <v>228</v>
      </c>
      <c r="J7" s="22">
        <f>ProQuest!O14</f>
        <v>19320</v>
      </c>
      <c r="K7" s="22">
        <f>ProQuest!P14</f>
        <v>0.88799007216068393</v>
      </c>
      <c r="L7" s="18"/>
    </row>
    <row r="8" spans="1:12" ht="12.75" customHeight="1">
      <c r="A8" s="11" t="s">
        <v>99</v>
      </c>
      <c r="B8" s="11" t="s">
        <v>55</v>
      </c>
      <c r="C8" s="11" t="s">
        <v>187</v>
      </c>
      <c r="D8" s="16">
        <f>ProQuest!N21</f>
        <v>3999</v>
      </c>
      <c r="E8" s="23">
        <f>ProQuest!N20</f>
        <v>11821</v>
      </c>
      <c r="F8" s="24"/>
      <c r="G8" s="16"/>
      <c r="H8" s="16">
        <v>0</v>
      </c>
      <c r="I8" s="16" t="s">
        <v>228</v>
      </c>
      <c r="J8" s="25">
        <v>0</v>
      </c>
      <c r="K8" s="25" t="s">
        <v>228</v>
      </c>
      <c r="L8" s="18"/>
    </row>
    <row r="9" spans="1:12" ht="12.75" customHeight="1">
      <c r="A9" s="11" t="s">
        <v>384</v>
      </c>
      <c r="B9" s="11" t="s">
        <v>57</v>
      </c>
      <c r="C9" s="11" t="s">
        <v>237</v>
      </c>
      <c r="D9" s="16" t="s">
        <v>228</v>
      </c>
      <c r="E9" s="16" t="s">
        <v>228</v>
      </c>
      <c r="F9" s="24"/>
      <c r="G9" s="16"/>
      <c r="H9" s="16" t="s">
        <v>228</v>
      </c>
      <c r="I9" s="16">
        <f>MetaPress!N8</f>
        <v>7</v>
      </c>
      <c r="J9" s="25">
        <v>0</v>
      </c>
      <c r="K9" s="16" t="s">
        <v>228</v>
      </c>
      <c r="L9" s="18"/>
    </row>
    <row r="10" spans="1:12" ht="12.75" customHeight="1">
      <c r="A10" s="11" t="s">
        <v>355</v>
      </c>
      <c r="B10" s="11" t="s">
        <v>245</v>
      </c>
      <c r="C10" s="11" t="s">
        <v>187</v>
      </c>
      <c r="D10" s="26">
        <f>EBSCOhost!N8</f>
        <v>42231</v>
      </c>
      <c r="E10" s="26">
        <f>EBSCOhost!N9</f>
        <v>147063</v>
      </c>
      <c r="F10" s="24"/>
      <c r="G10" s="16"/>
      <c r="H10" s="16">
        <v>0</v>
      </c>
      <c r="I10" s="16" t="s">
        <v>228</v>
      </c>
      <c r="J10" s="25">
        <v>0</v>
      </c>
      <c r="K10" s="16" t="s">
        <v>228</v>
      </c>
      <c r="L10" s="18"/>
    </row>
    <row r="11" spans="1:12" ht="12.75" customHeight="1">
      <c r="A11" s="11" t="s">
        <v>224</v>
      </c>
      <c r="B11" s="11" t="s">
        <v>245</v>
      </c>
      <c r="C11" s="11" t="s">
        <v>187</v>
      </c>
      <c r="D11" s="23">
        <f>EBSCOhost!N14</f>
        <v>36892</v>
      </c>
      <c r="E11" s="23">
        <f>EBSCOhost!N15</f>
        <v>98126</v>
      </c>
      <c r="F11" s="24"/>
      <c r="G11" s="16"/>
      <c r="H11" s="16">
        <v>0</v>
      </c>
      <c r="I11" s="23" t="s">
        <v>228</v>
      </c>
      <c r="J11" s="25">
        <f>EBSCOhost!O15</f>
        <v>20953</v>
      </c>
      <c r="K11" s="25">
        <f>EBSCOhost!P15</f>
        <v>0.2135315818437519</v>
      </c>
      <c r="L11" s="18"/>
    </row>
    <row r="12" spans="1:12" ht="12.75" customHeight="1">
      <c r="A12" s="12" t="s">
        <v>50</v>
      </c>
      <c r="B12" s="12" t="s">
        <v>154</v>
      </c>
      <c r="C12" s="12" t="s">
        <v>148</v>
      </c>
      <c r="D12" s="13">
        <f>'ALA Guide to Reference'!N8</f>
        <v>20</v>
      </c>
      <c r="E12" s="13" t="s">
        <v>228</v>
      </c>
      <c r="F12" s="15"/>
      <c r="G12" s="13"/>
      <c r="H12" s="13" t="s">
        <v>228</v>
      </c>
      <c r="I12" s="13" t="s">
        <v>228</v>
      </c>
      <c r="J12" s="17">
        <f>'ALA Guide to Reference'!O8</f>
        <v>1238</v>
      </c>
      <c r="K12" s="13">
        <f>'ALA Guide to Reference'!P8</f>
        <v>61.9</v>
      </c>
      <c r="L12" s="18"/>
    </row>
    <row r="13" spans="1:12" ht="12.75" customHeight="1">
      <c r="A13" s="27" t="s">
        <v>347</v>
      </c>
      <c r="B13" s="11" t="s">
        <v>363</v>
      </c>
      <c r="C13" s="11" t="s">
        <v>187</v>
      </c>
      <c r="D13" s="16" t="s">
        <v>228</v>
      </c>
      <c r="E13" s="23">
        <f>FirstSearch!N8</f>
        <v>31</v>
      </c>
      <c r="F13" s="24"/>
      <c r="G13" s="16"/>
      <c r="H13" s="16">
        <v>0</v>
      </c>
      <c r="I13" s="16" t="s">
        <v>228</v>
      </c>
      <c r="J13" s="28" t="s">
        <v>228</v>
      </c>
      <c r="K13" s="28" t="s">
        <v>228</v>
      </c>
      <c r="L13" s="10"/>
    </row>
    <row r="14" spans="1:12" ht="12.75" customHeight="1">
      <c r="A14" s="29" t="s">
        <v>142</v>
      </c>
      <c r="B14" s="27" t="s">
        <v>363</v>
      </c>
      <c r="C14" s="27" t="s">
        <v>187</v>
      </c>
      <c r="D14" s="30" t="s">
        <v>228</v>
      </c>
      <c r="E14" s="30">
        <f>FirstSearch!N13</f>
        <v>21</v>
      </c>
      <c r="F14" s="31"/>
      <c r="G14" s="30"/>
      <c r="H14" s="30">
        <v>0</v>
      </c>
      <c r="I14" s="30" t="s">
        <v>228</v>
      </c>
      <c r="J14" s="32" t="s">
        <v>228</v>
      </c>
      <c r="K14" s="32" t="s">
        <v>228</v>
      </c>
      <c r="L14" s="10"/>
    </row>
    <row r="15" spans="1:12" ht="12.75" customHeight="1">
      <c r="A15" s="11" t="s">
        <v>49</v>
      </c>
      <c r="B15" s="29" t="s">
        <v>245</v>
      </c>
      <c r="C15" s="29" t="s">
        <v>187</v>
      </c>
      <c r="D15" s="33">
        <f>EBSCOhost!N20</f>
        <v>2097</v>
      </c>
      <c r="E15" s="33">
        <f>EBSCOhost!N21</f>
        <v>8962</v>
      </c>
      <c r="F15" s="34"/>
      <c r="G15" s="35"/>
      <c r="H15" s="35">
        <v>0</v>
      </c>
      <c r="I15" s="35" t="s">
        <v>228</v>
      </c>
      <c r="J15" s="25">
        <f>EBSCOhost!O21</f>
        <v>7881</v>
      </c>
      <c r="K15" s="25">
        <f>EBSCOhost!P21</f>
        <v>0.87937960276723948</v>
      </c>
      <c r="L15" s="18"/>
    </row>
    <row r="16" spans="1:12" ht="12.75" customHeight="1">
      <c r="A16" s="11" t="s">
        <v>139</v>
      </c>
      <c r="B16" s="11" t="s">
        <v>285</v>
      </c>
      <c r="C16" s="11" t="s">
        <v>247</v>
      </c>
      <c r="D16" s="16" t="s">
        <v>228</v>
      </c>
      <c r="E16" s="16">
        <f>Newsbank!N8</f>
        <v>16</v>
      </c>
      <c r="F16" s="24"/>
      <c r="G16" s="16"/>
      <c r="H16" s="16">
        <v>0</v>
      </c>
      <c r="I16" s="16" t="s">
        <v>228</v>
      </c>
      <c r="J16" s="25">
        <v>0</v>
      </c>
      <c r="K16" s="25" t="s">
        <v>228</v>
      </c>
      <c r="L16" s="18"/>
    </row>
    <row r="17" spans="1:12" ht="12.75" customHeight="1">
      <c r="A17" s="11" t="s">
        <v>79</v>
      </c>
      <c r="B17" s="11" t="s">
        <v>374</v>
      </c>
      <c r="C17" s="11" t="s">
        <v>247</v>
      </c>
      <c r="D17" s="23">
        <f>Greenwood!N9</f>
        <v>21</v>
      </c>
      <c r="E17" s="23">
        <f>Greenwood!N8</f>
        <v>7</v>
      </c>
      <c r="F17" s="24"/>
      <c r="G17" s="16"/>
      <c r="H17" s="16">
        <v>0</v>
      </c>
      <c r="I17" s="16" t="s">
        <v>228</v>
      </c>
      <c r="J17" s="25">
        <f>Greenwood!O8</f>
        <v>338</v>
      </c>
      <c r="K17" s="25">
        <f>Greenwood!P8</f>
        <v>48.285714285714285</v>
      </c>
      <c r="L17" s="18"/>
    </row>
    <row r="18" spans="1:12" ht="12.75" customHeight="1">
      <c r="A18" s="11" t="s">
        <v>116</v>
      </c>
      <c r="B18" s="11" t="s">
        <v>229</v>
      </c>
      <c r="C18" s="11" t="s">
        <v>247</v>
      </c>
      <c r="D18" s="23">
        <f>WilsonWeb!N8</f>
        <v>540</v>
      </c>
      <c r="E18" s="23">
        <f>WilsonWeb!N9</f>
        <v>1813</v>
      </c>
      <c r="F18" s="36"/>
      <c r="G18" s="23"/>
      <c r="H18" s="23" t="str">
        <f>WilsonWeb!N11</f>
        <v>N/A</v>
      </c>
      <c r="I18" s="16" t="s">
        <v>228</v>
      </c>
      <c r="J18" s="25">
        <f>WilsonWeb!O9</f>
        <v>6291</v>
      </c>
      <c r="K18" s="25">
        <f>WilsonWeb!P9</f>
        <v>3.4699393270821841</v>
      </c>
      <c r="L18" s="18"/>
    </row>
    <row r="19" spans="1:12" ht="12.75" customHeight="1">
      <c r="A19" s="11" t="s">
        <v>93</v>
      </c>
      <c r="B19" s="11" t="s">
        <v>229</v>
      </c>
      <c r="C19" s="11" t="s">
        <v>247</v>
      </c>
      <c r="D19" s="23">
        <f>WilsonWeb!N16</f>
        <v>137</v>
      </c>
      <c r="E19" s="23">
        <f>WilsonWeb!N17</f>
        <v>403</v>
      </c>
      <c r="F19" s="36"/>
      <c r="G19" s="23"/>
      <c r="H19" s="23">
        <f>WilsonWeb!N18</f>
        <v>0</v>
      </c>
      <c r="I19" s="16" t="s">
        <v>228</v>
      </c>
      <c r="J19" s="25">
        <v>0</v>
      </c>
      <c r="K19" s="25" t="s">
        <v>228</v>
      </c>
      <c r="L19" s="18"/>
    </row>
    <row r="20" spans="1:12" ht="12.75" customHeight="1">
      <c r="A20" s="11" t="s">
        <v>319</v>
      </c>
      <c r="B20" s="11" t="s">
        <v>363</v>
      </c>
      <c r="C20" s="11" t="s">
        <v>187</v>
      </c>
      <c r="D20" s="23">
        <f>FirstSearch!N18</f>
        <v>1066</v>
      </c>
      <c r="E20" s="23">
        <f>FirstSearch!N19</f>
        <v>4271</v>
      </c>
      <c r="F20" s="24"/>
      <c r="G20" s="16"/>
      <c r="H20" s="37">
        <f>FirstSearch!N21</f>
        <v>46</v>
      </c>
      <c r="I20" s="16" t="s">
        <v>228</v>
      </c>
      <c r="J20" s="25">
        <v>0</v>
      </c>
      <c r="K20" s="25" t="s">
        <v>228</v>
      </c>
      <c r="L20" s="18"/>
    </row>
    <row r="21" spans="1:12" ht="12.75" customHeight="1">
      <c r="A21" s="12" t="s">
        <v>222</v>
      </c>
      <c r="B21" s="12" t="s">
        <v>242</v>
      </c>
      <c r="C21" s="12" t="s">
        <v>148</v>
      </c>
      <c r="D21" s="38">
        <f>ARTstor!N9</f>
        <v>4325</v>
      </c>
      <c r="E21" s="38" t="s">
        <v>228</v>
      </c>
      <c r="F21" s="15"/>
      <c r="G21" s="13"/>
      <c r="H21" s="13" t="s">
        <v>228</v>
      </c>
      <c r="I21" s="13" t="s">
        <v>228</v>
      </c>
      <c r="J21" s="17">
        <f>ARTstor!O8</f>
        <v>13102.5</v>
      </c>
      <c r="K21" s="17" t="s">
        <v>228</v>
      </c>
      <c r="L21" s="18"/>
    </row>
    <row r="22" spans="1:12" ht="12.75" customHeight="1">
      <c r="A22" s="11" t="s">
        <v>35</v>
      </c>
      <c r="B22" s="11" t="s">
        <v>380</v>
      </c>
      <c r="C22" s="12" t="s">
        <v>237</v>
      </c>
      <c r="D22" s="19" t="s">
        <v>228</v>
      </c>
      <c r="E22" s="23">
        <f>CSA!N13</f>
        <v>1855</v>
      </c>
      <c r="F22" s="36"/>
      <c r="G22" s="23"/>
      <c r="H22" s="23">
        <v>0</v>
      </c>
      <c r="I22" s="16" t="s">
        <v>228</v>
      </c>
      <c r="J22" s="25">
        <v>0</v>
      </c>
      <c r="K22" s="25" t="s">
        <v>228</v>
      </c>
      <c r="L22" s="18"/>
    </row>
    <row r="23" spans="1:12" ht="12.75" customHeight="1">
      <c r="A23" s="11" t="s">
        <v>122</v>
      </c>
      <c r="B23" s="11" t="s">
        <v>380</v>
      </c>
      <c r="C23" s="12" t="s">
        <v>237</v>
      </c>
      <c r="D23" s="19" t="s">
        <v>228</v>
      </c>
      <c r="E23" s="23">
        <f>CSA!N18</f>
        <v>797</v>
      </c>
      <c r="F23" s="36"/>
      <c r="G23" s="23"/>
      <c r="H23" s="23">
        <v>0</v>
      </c>
      <c r="I23" s="16" t="s">
        <v>228</v>
      </c>
      <c r="J23" s="25">
        <v>0</v>
      </c>
      <c r="K23" s="25" t="s">
        <v>228</v>
      </c>
      <c r="L23" s="18"/>
    </row>
    <row r="24" spans="1:12" ht="12.75" customHeight="1">
      <c r="A24" s="11" t="s">
        <v>345</v>
      </c>
      <c r="B24" s="11" t="s">
        <v>380</v>
      </c>
      <c r="C24" s="12" t="s">
        <v>237</v>
      </c>
      <c r="D24" s="19" t="s">
        <v>228</v>
      </c>
      <c r="E24" s="23">
        <f>CSA!N23</f>
        <v>1396</v>
      </c>
      <c r="F24" s="36"/>
      <c r="G24" s="23"/>
      <c r="H24" s="23">
        <v>0</v>
      </c>
      <c r="I24" s="16" t="s">
        <v>228</v>
      </c>
      <c r="J24" s="25">
        <v>0</v>
      </c>
      <c r="K24" s="25" t="s">
        <v>228</v>
      </c>
      <c r="L24" s="18"/>
    </row>
    <row r="25" spans="1:12" ht="12.75" customHeight="1">
      <c r="A25" s="11" t="s">
        <v>275</v>
      </c>
      <c r="B25" s="11" t="s">
        <v>380</v>
      </c>
      <c r="C25" s="12" t="s">
        <v>237</v>
      </c>
      <c r="D25" s="19" t="s">
        <v>228</v>
      </c>
      <c r="E25" s="23">
        <f>CSA!N28</f>
        <v>1262</v>
      </c>
      <c r="F25" s="36"/>
      <c r="G25" s="23"/>
      <c r="H25" s="23">
        <v>0</v>
      </c>
      <c r="I25" s="16" t="s">
        <v>228</v>
      </c>
      <c r="J25" s="25">
        <v>0</v>
      </c>
      <c r="K25" s="25" t="s">
        <v>228</v>
      </c>
      <c r="L25" s="18"/>
    </row>
    <row r="26" spans="1:12" ht="12.75" customHeight="1">
      <c r="A26" s="11" t="s">
        <v>263</v>
      </c>
      <c r="B26" s="11" t="s">
        <v>380</v>
      </c>
      <c r="C26" s="12" t="s">
        <v>237</v>
      </c>
      <c r="D26" s="19" t="s">
        <v>228</v>
      </c>
      <c r="E26" s="23">
        <f>CSA!N33</f>
        <v>1130</v>
      </c>
      <c r="F26" s="36"/>
      <c r="G26" s="23"/>
      <c r="H26" s="23">
        <v>0</v>
      </c>
      <c r="I26" s="16" t="s">
        <v>228</v>
      </c>
      <c r="J26" s="25">
        <v>0</v>
      </c>
      <c r="K26" s="25" t="s">
        <v>228</v>
      </c>
      <c r="L26" s="18"/>
    </row>
    <row r="27" spans="1:12" ht="12.75" customHeight="1">
      <c r="A27" s="11" t="s">
        <v>329</v>
      </c>
      <c r="B27" s="11" t="s">
        <v>380</v>
      </c>
      <c r="C27" s="12" t="s">
        <v>237</v>
      </c>
      <c r="D27" s="19" t="s">
        <v>228</v>
      </c>
      <c r="E27" s="23">
        <f>CSA!N8</f>
        <v>6387</v>
      </c>
      <c r="F27" s="36"/>
      <c r="G27" s="23"/>
      <c r="H27" s="23">
        <v>0</v>
      </c>
      <c r="I27" s="16" t="s">
        <v>228</v>
      </c>
      <c r="J27" s="25">
        <f>CSA!O8</f>
        <v>8265</v>
      </c>
      <c r="K27" s="25">
        <f>CSA!P8</f>
        <v>1.2940347581023954</v>
      </c>
      <c r="L27" s="18"/>
    </row>
    <row r="28" spans="1:12" ht="12.75" customHeight="1">
      <c r="A28" s="11" t="s">
        <v>175</v>
      </c>
      <c r="B28" s="11" t="s">
        <v>380</v>
      </c>
      <c r="C28" s="12" t="s">
        <v>237</v>
      </c>
      <c r="D28" s="13" t="s">
        <v>228</v>
      </c>
      <c r="E28" s="16">
        <f>CSA!N38</f>
        <v>175</v>
      </c>
      <c r="F28" s="24"/>
      <c r="G28" s="16"/>
      <c r="H28" s="16" t="s">
        <v>228</v>
      </c>
      <c r="I28" s="16" t="s">
        <v>228</v>
      </c>
      <c r="J28" s="25">
        <v>0</v>
      </c>
      <c r="K28" s="16" t="s">
        <v>228</v>
      </c>
      <c r="L28" s="18"/>
    </row>
    <row r="29" spans="1:12" ht="12.75" customHeight="1">
      <c r="A29" s="11" t="s">
        <v>256</v>
      </c>
      <c r="B29" s="11" t="s">
        <v>229</v>
      </c>
      <c r="C29" s="11" t="s">
        <v>247</v>
      </c>
      <c r="D29" s="23" t="s">
        <v>228</v>
      </c>
      <c r="E29" s="23" t="s">
        <v>228</v>
      </c>
      <c r="F29" s="36"/>
      <c r="G29" s="23"/>
      <c r="H29" s="23" t="s">
        <v>228</v>
      </c>
      <c r="I29" s="16" t="s">
        <v>228</v>
      </c>
      <c r="J29" s="25">
        <f>WilsonWeb!O25</f>
        <v>5656</v>
      </c>
      <c r="K29" s="25" t="s">
        <v>228</v>
      </c>
      <c r="L29" s="18"/>
    </row>
    <row r="30" spans="1:12" ht="12.75" customHeight="1">
      <c r="A30" s="11" t="s">
        <v>215</v>
      </c>
      <c r="B30" s="11" t="s">
        <v>359</v>
      </c>
      <c r="C30" s="11" t="s">
        <v>237</v>
      </c>
      <c r="D30" s="23">
        <f>OVID!N9</f>
        <v>11</v>
      </c>
      <c r="E30" s="23">
        <f>OVID!N8</f>
        <v>18</v>
      </c>
      <c r="F30" s="36"/>
      <c r="G30" s="23"/>
      <c r="H30" s="23">
        <f>OVID!N10</f>
        <v>0</v>
      </c>
      <c r="I30" s="16" t="s">
        <v>228</v>
      </c>
      <c r="J30" s="25">
        <v>0</v>
      </c>
      <c r="K30" s="25" t="s">
        <v>228</v>
      </c>
      <c r="L30" s="18"/>
    </row>
    <row r="31" spans="1:12" ht="12.75" customHeight="1">
      <c r="A31" s="11" t="s">
        <v>343</v>
      </c>
      <c r="B31" s="11" t="s">
        <v>229</v>
      </c>
      <c r="C31" s="11" t="s">
        <v>247</v>
      </c>
      <c r="D31" s="23">
        <f>WilsonWeb!N32</f>
        <v>459</v>
      </c>
      <c r="E31" s="23">
        <f>WilsonWeb!N33</f>
        <v>1099</v>
      </c>
      <c r="F31" s="36"/>
      <c r="G31" s="23"/>
      <c r="H31" s="23">
        <f>WilsonWeb!N34</f>
        <v>0</v>
      </c>
      <c r="I31" s="16" t="s">
        <v>228</v>
      </c>
      <c r="J31" s="25">
        <f>WilsonWeb!O33</f>
        <v>3514.5</v>
      </c>
      <c r="K31" s="25">
        <f>WilsonWeb!P33</f>
        <v>3.1979071883530481</v>
      </c>
      <c r="L31" s="18"/>
    </row>
    <row r="32" spans="1:12" ht="12.75" customHeight="1">
      <c r="A32" s="11" t="s">
        <v>112</v>
      </c>
      <c r="B32" s="11" t="s">
        <v>359</v>
      </c>
      <c r="C32" s="11" t="s">
        <v>187</v>
      </c>
      <c r="D32" s="23">
        <f>OVID!N16</f>
        <v>2</v>
      </c>
      <c r="E32" s="23">
        <f>OVID!N15</f>
        <v>2</v>
      </c>
      <c r="F32" s="36"/>
      <c r="G32" s="23"/>
      <c r="H32" s="23">
        <f>OVID!N17</f>
        <v>0</v>
      </c>
      <c r="I32" s="16" t="s">
        <v>228</v>
      </c>
      <c r="J32" s="25">
        <v>0</v>
      </c>
      <c r="K32" s="25" t="s">
        <v>228</v>
      </c>
      <c r="L32" s="18"/>
    </row>
    <row r="33" spans="1:12" ht="12.75" customHeight="1">
      <c r="A33" s="11" t="s">
        <v>112</v>
      </c>
      <c r="B33" s="11" t="s">
        <v>123</v>
      </c>
      <c r="C33" s="11" t="s">
        <v>187</v>
      </c>
      <c r="D33" s="23">
        <f>WebofScience!N8</f>
        <v>419</v>
      </c>
      <c r="E33" s="23">
        <f>WebofScience!N9</f>
        <v>1420</v>
      </c>
      <c r="F33" s="36"/>
      <c r="G33" s="23"/>
      <c r="H33" s="23">
        <v>0</v>
      </c>
      <c r="I33" s="16" t="s">
        <v>228</v>
      </c>
      <c r="J33" s="25">
        <v>0</v>
      </c>
      <c r="K33" s="25" t="s">
        <v>228</v>
      </c>
      <c r="L33" s="18"/>
    </row>
    <row r="34" spans="1:12" ht="12.75" customHeight="1">
      <c r="A34" s="11" t="s">
        <v>304</v>
      </c>
      <c r="B34" s="11" t="s">
        <v>380</v>
      </c>
      <c r="C34" s="11" t="s">
        <v>237</v>
      </c>
      <c r="D34" s="16" t="s">
        <v>228</v>
      </c>
      <c r="E34" s="16">
        <f>CSA!N43</f>
        <v>205</v>
      </c>
      <c r="F34" s="24"/>
      <c r="G34" s="16"/>
      <c r="H34" s="16">
        <v>0</v>
      </c>
      <c r="I34" s="16" t="s">
        <v>228</v>
      </c>
      <c r="J34" s="25">
        <v>0</v>
      </c>
      <c r="K34" s="16" t="s">
        <v>228</v>
      </c>
      <c r="L34" s="18"/>
    </row>
    <row r="35" spans="1:12" ht="12.75" customHeight="1">
      <c r="A35" s="11" t="s">
        <v>88</v>
      </c>
      <c r="B35" s="11" t="s">
        <v>229</v>
      </c>
      <c r="C35" s="11" t="s">
        <v>247</v>
      </c>
      <c r="D35" s="23" t="s">
        <v>228</v>
      </c>
      <c r="E35" s="23" t="s">
        <v>228</v>
      </c>
      <c r="F35" s="36"/>
      <c r="G35" s="23"/>
      <c r="H35" s="23" t="s">
        <v>228</v>
      </c>
      <c r="I35" s="16" t="s">
        <v>228</v>
      </c>
      <c r="J35" s="25">
        <f>WilsonWeb!O41</f>
        <v>9292</v>
      </c>
      <c r="K35" s="25" t="s">
        <v>228</v>
      </c>
      <c r="L35" s="18"/>
    </row>
    <row r="36" spans="1:12" ht="12.75" customHeight="1">
      <c r="A36" s="11" t="s">
        <v>114</v>
      </c>
      <c r="B36" s="11" t="s">
        <v>114</v>
      </c>
      <c r="C36" s="11" t="s">
        <v>148</v>
      </c>
      <c r="D36" s="23">
        <f>CIAO!N9</f>
        <v>81</v>
      </c>
      <c r="E36" s="23">
        <f>CIAO!N10</f>
        <v>180</v>
      </c>
      <c r="F36" s="24"/>
      <c r="G36" s="16"/>
      <c r="H36" s="16" t="s">
        <v>228</v>
      </c>
      <c r="I36" s="16">
        <f>CIAO!N8</f>
        <v>51</v>
      </c>
      <c r="J36" s="25">
        <f>CIAO!O8</f>
        <v>1035</v>
      </c>
      <c r="K36" s="25" t="s">
        <v>228</v>
      </c>
      <c r="L36" s="18"/>
    </row>
    <row r="37" spans="1:12" ht="12.75" customHeight="1">
      <c r="A37" s="11" t="s">
        <v>205</v>
      </c>
      <c r="B37" s="11" t="s">
        <v>245</v>
      </c>
      <c r="C37" s="11" t="s">
        <v>187</v>
      </c>
      <c r="D37" s="23">
        <f>EBSCOhost!N26</f>
        <v>12480</v>
      </c>
      <c r="E37" s="23">
        <f>EBSCOhost!N27</f>
        <v>63680</v>
      </c>
      <c r="F37" s="24"/>
      <c r="G37" s="16"/>
      <c r="H37" s="16">
        <v>0</v>
      </c>
      <c r="I37" s="16" t="s">
        <v>228</v>
      </c>
      <c r="J37" s="25">
        <f>EBSCOhost!O27</f>
        <v>5870</v>
      </c>
      <c r="K37" s="25">
        <f>EBSCOhost!P27</f>
        <v>9.217964824120603E-2</v>
      </c>
      <c r="L37" s="18"/>
    </row>
    <row r="38" spans="1:12" ht="12.75" customHeight="1">
      <c r="A38" s="11" t="s">
        <v>75</v>
      </c>
      <c r="B38" s="11" t="s">
        <v>363</v>
      </c>
      <c r="C38" s="11" t="s">
        <v>187</v>
      </c>
      <c r="D38" s="23">
        <f>FirstSearch!N26</f>
        <v>55</v>
      </c>
      <c r="E38" s="23">
        <f>FirstSearch!N27</f>
        <v>64</v>
      </c>
      <c r="F38" s="24"/>
      <c r="G38" s="16"/>
      <c r="H38" s="37">
        <f>FirstSearch!N29</f>
        <v>0</v>
      </c>
      <c r="I38" s="16" t="s">
        <v>228</v>
      </c>
      <c r="J38" s="25">
        <v>0</v>
      </c>
      <c r="K38" s="25" t="s">
        <v>228</v>
      </c>
      <c r="L38" s="18"/>
    </row>
    <row r="39" spans="1:12" ht="12.75" customHeight="1">
      <c r="A39" s="11" t="s">
        <v>316</v>
      </c>
      <c r="B39" s="11" t="s">
        <v>185</v>
      </c>
      <c r="C39" s="11" t="s">
        <v>148</v>
      </c>
      <c r="D39" s="23">
        <f>Cochrane!N8</f>
        <v>1746</v>
      </c>
      <c r="E39" s="23">
        <f>Cochrane!N9</f>
        <v>495</v>
      </c>
      <c r="F39" s="24"/>
      <c r="G39" s="16"/>
      <c r="H39" s="16" t="s">
        <v>228</v>
      </c>
      <c r="I39" s="23" t="s">
        <v>228</v>
      </c>
      <c r="J39" s="25">
        <f>Cochrane!O9</f>
        <v>3241</v>
      </c>
      <c r="K39" s="25" t="s">
        <v>228</v>
      </c>
      <c r="L39" s="18"/>
    </row>
    <row r="40" spans="1:12" ht="12.75" customHeight="1">
      <c r="A40" s="11" t="s">
        <v>283</v>
      </c>
      <c r="B40" s="11" t="s">
        <v>380</v>
      </c>
      <c r="C40" s="12" t="s">
        <v>237</v>
      </c>
      <c r="D40" s="13" t="s">
        <v>228</v>
      </c>
      <c r="E40" s="23">
        <f>CSA!N48</f>
        <v>3215</v>
      </c>
      <c r="F40" s="24"/>
      <c r="G40" s="16"/>
      <c r="H40" s="16"/>
      <c r="I40" s="16" t="s">
        <v>228</v>
      </c>
      <c r="J40" s="25">
        <f>CSA!O48</f>
        <v>2730</v>
      </c>
      <c r="K40" s="25">
        <f>CSA!P48</f>
        <v>0.84914463452566091</v>
      </c>
      <c r="L40" s="18"/>
    </row>
    <row r="41" spans="1:12" ht="12.75" customHeight="1">
      <c r="A41" s="11" t="s">
        <v>117</v>
      </c>
      <c r="B41" s="11" t="s">
        <v>380</v>
      </c>
      <c r="C41" s="12" t="s">
        <v>237</v>
      </c>
      <c r="D41" s="19" t="s">
        <v>228</v>
      </c>
      <c r="E41" s="23">
        <f>CSA!N53</f>
        <v>5507</v>
      </c>
      <c r="F41" s="24"/>
      <c r="G41" s="16"/>
      <c r="H41" s="16">
        <v>0</v>
      </c>
      <c r="I41" s="16" t="s">
        <v>228</v>
      </c>
      <c r="J41" s="25">
        <f>CSA!O53</f>
        <v>3025</v>
      </c>
      <c r="K41" s="25">
        <f>CSA!P53</f>
        <v>0.54930088977664793</v>
      </c>
      <c r="L41" s="18"/>
    </row>
    <row r="42" spans="1:12" ht="12.75" customHeight="1">
      <c r="A42" s="11" t="s">
        <v>407</v>
      </c>
      <c r="B42" s="11" t="s">
        <v>28</v>
      </c>
      <c r="C42" s="11" t="s">
        <v>187</v>
      </c>
      <c r="D42" s="23">
        <f>'Compendex(EI)'!N8</f>
        <v>1297</v>
      </c>
      <c r="E42" s="23">
        <f>'Compendex(EI)'!N9</f>
        <v>6018</v>
      </c>
      <c r="F42" s="24"/>
      <c r="G42" s="16"/>
      <c r="H42" s="16">
        <f>'Compendex(EI)'!N11</f>
        <v>0</v>
      </c>
      <c r="I42" s="16" t="s">
        <v>228</v>
      </c>
      <c r="J42" s="25">
        <f>'Compendex(EI)'!O9</f>
        <v>16877</v>
      </c>
      <c r="K42" s="25">
        <f>'Compendex(EI)'!P9</f>
        <v>2.8044200731139912</v>
      </c>
      <c r="L42" s="18"/>
    </row>
    <row r="43" spans="1:12" ht="12.75" customHeight="1">
      <c r="A43" s="11" t="s">
        <v>330</v>
      </c>
      <c r="B43" s="11" t="s">
        <v>380</v>
      </c>
      <c r="C43" s="12" t="s">
        <v>237</v>
      </c>
      <c r="D43" s="13" t="s">
        <v>228</v>
      </c>
      <c r="E43" s="23">
        <f>CSA!N58</f>
        <v>139</v>
      </c>
      <c r="F43" s="24"/>
      <c r="G43" s="16"/>
      <c r="H43" s="16"/>
      <c r="I43" s="16" t="s">
        <v>228</v>
      </c>
      <c r="J43" s="25">
        <v>0</v>
      </c>
      <c r="K43" s="25" t="s">
        <v>228</v>
      </c>
      <c r="L43" s="18"/>
    </row>
    <row r="44" spans="1:12" ht="12.75" customHeight="1">
      <c r="A44" s="11" t="s">
        <v>377</v>
      </c>
      <c r="B44" s="11" t="s">
        <v>97</v>
      </c>
      <c r="C44" s="11" t="s">
        <v>187</v>
      </c>
      <c r="D44" s="23">
        <f>'CQ Researcher'!N8</f>
        <v>847</v>
      </c>
      <c r="E44" s="23">
        <f>'CQ Researcher'!N9</f>
        <v>1027</v>
      </c>
      <c r="F44" s="24"/>
      <c r="G44" s="16"/>
      <c r="H44" s="16">
        <f>'CQ Researcher'!N11</f>
        <v>0</v>
      </c>
      <c r="I44" s="16">
        <f>'CQ Researcher'!N10</f>
        <v>1381</v>
      </c>
      <c r="J44" s="25">
        <f>'CQ Researcher'!O9</f>
        <v>1694</v>
      </c>
      <c r="K44" s="25">
        <f>'CQ Researcher'!P9</f>
        <v>1.6494644595910419</v>
      </c>
      <c r="L44" s="18"/>
    </row>
    <row r="45" spans="1:12" ht="12.75" customHeight="1">
      <c r="A45" s="11" t="s">
        <v>331</v>
      </c>
      <c r="B45" s="11" t="s">
        <v>123</v>
      </c>
      <c r="C45" s="11" t="s">
        <v>187</v>
      </c>
      <c r="D45" s="23">
        <f>WebofScience!N14</f>
        <v>9198</v>
      </c>
      <c r="E45" s="23">
        <f>WebofScience!N15</f>
        <v>7984</v>
      </c>
      <c r="F45" s="24"/>
      <c r="G45" s="16"/>
      <c r="H45" s="16">
        <v>0</v>
      </c>
      <c r="I45" s="16" t="s">
        <v>228</v>
      </c>
      <c r="J45" s="25">
        <v>0</v>
      </c>
      <c r="K45" s="25" t="s">
        <v>228</v>
      </c>
      <c r="L45" s="18"/>
    </row>
    <row r="46" spans="1:12" ht="12.75" customHeight="1">
      <c r="A46" s="11" t="s">
        <v>39</v>
      </c>
      <c r="B46" s="11" t="s">
        <v>380</v>
      </c>
      <c r="C46" s="11" t="s">
        <v>237</v>
      </c>
      <c r="D46" s="23">
        <f>CSA!N208</f>
        <v>19990</v>
      </c>
      <c r="E46" s="23">
        <f>CSA!N209</f>
        <v>101321</v>
      </c>
      <c r="F46" s="24"/>
      <c r="G46" s="16"/>
      <c r="H46" s="16">
        <v>0</v>
      </c>
      <c r="I46" s="16" t="s">
        <v>228</v>
      </c>
      <c r="J46" s="25">
        <f>CSA!O209</f>
        <v>71187.8</v>
      </c>
      <c r="K46" s="25">
        <f>CSA!P209</f>
        <v>0.70259669762438193</v>
      </c>
      <c r="L46" s="18"/>
    </row>
    <row r="47" spans="1:12" ht="12.75" customHeight="1">
      <c r="A47" s="11" t="s">
        <v>81</v>
      </c>
      <c r="B47" s="11" t="s">
        <v>55</v>
      </c>
      <c r="C47" s="11" t="s">
        <v>187</v>
      </c>
      <c r="D47" s="16" t="s">
        <v>228</v>
      </c>
      <c r="E47" s="23">
        <f>ProQuest!N26</f>
        <v>12614</v>
      </c>
      <c r="F47" s="24"/>
      <c r="G47" s="16"/>
      <c r="H47" s="16">
        <v>0</v>
      </c>
      <c r="I47" s="16" t="s">
        <v>228</v>
      </c>
      <c r="J47" s="25">
        <v>0</v>
      </c>
      <c r="K47" s="25" t="s">
        <v>228</v>
      </c>
      <c r="L47" s="18"/>
    </row>
    <row r="48" spans="1:12" ht="12.75" customHeight="1">
      <c r="A48" s="11" t="s">
        <v>190</v>
      </c>
      <c r="B48" s="11" t="s">
        <v>55</v>
      </c>
      <c r="C48" s="11" t="s">
        <v>187</v>
      </c>
      <c r="D48" s="16">
        <f>ProQuest!N38</f>
        <v>4385</v>
      </c>
      <c r="E48" s="23">
        <f>ProQuest!N37</f>
        <v>12571</v>
      </c>
      <c r="F48" s="24"/>
      <c r="G48" s="16"/>
      <c r="H48" s="16">
        <v>0</v>
      </c>
      <c r="I48" s="16" t="s">
        <v>228</v>
      </c>
      <c r="J48" s="25">
        <v>0</v>
      </c>
      <c r="K48" s="25" t="s">
        <v>228</v>
      </c>
      <c r="L48" s="18"/>
    </row>
    <row r="49" spans="1:12" ht="12.75" customHeight="1">
      <c r="A49" s="11" t="s">
        <v>80</v>
      </c>
      <c r="B49" s="11" t="s">
        <v>55</v>
      </c>
      <c r="C49" s="11" t="s">
        <v>187</v>
      </c>
      <c r="D49" s="16">
        <f>ProQuest!N32</f>
        <v>4110</v>
      </c>
      <c r="E49" s="23">
        <f>ProQuest!N31</f>
        <v>11834</v>
      </c>
      <c r="F49" s="24"/>
      <c r="G49" s="16"/>
      <c r="H49" s="16">
        <v>0</v>
      </c>
      <c r="I49" s="16" t="s">
        <v>228</v>
      </c>
      <c r="J49" s="25">
        <f>ProQuest!O31</f>
        <v>6010</v>
      </c>
      <c r="K49" s="25">
        <f>ProQuest!P31</f>
        <v>0.50785871218522904</v>
      </c>
      <c r="L49" s="18"/>
    </row>
    <row r="50" spans="1:12" ht="12.75" customHeight="1">
      <c r="A50" s="11" t="s">
        <v>146</v>
      </c>
      <c r="B50" s="11" t="s">
        <v>245</v>
      </c>
      <c r="C50" s="11" t="s">
        <v>187</v>
      </c>
      <c r="D50" s="23">
        <f>EBSCOhost!N156</f>
        <v>13035</v>
      </c>
      <c r="E50" s="23">
        <f>EBSCOhost!N157</f>
        <v>37357</v>
      </c>
      <c r="F50" s="24"/>
      <c r="G50" s="16"/>
      <c r="H50" s="16" t="s">
        <v>228</v>
      </c>
      <c r="I50" s="23" t="s">
        <v>228</v>
      </c>
      <c r="J50" s="25">
        <f>EBSCOhost!O193</f>
        <v>115921</v>
      </c>
      <c r="K50" s="25" t="s">
        <v>228</v>
      </c>
      <c r="L50" s="18"/>
    </row>
    <row r="51" spans="1:12" ht="12.75" customHeight="1">
      <c r="A51" s="11" t="s">
        <v>7</v>
      </c>
      <c r="B51" s="11" t="s">
        <v>380</v>
      </c>
      <c r="C51" s="12" t="s">
        <v>237</v>
      </c>
      <c r="D51" s="13" t="s">
        <v>228</v>
      </c>
      <c r="E51" s="23">
        <f>CSA!N68</f>
        <v>198</v>
      </c>
      <c r="F51" s="24"/>
      <c r="G51" s="16"/>
      <c r="H51" s="16">
        <v>0</v>
      </c>
      <c r="I51" s="16" t="s">
        <v>228</v>
      </c>
      <c r="J51" s="25">
        <v>0</v>
      </c>
      <c r="K51" s="25" t="s">
        <v>228</v>
      </c>
      <c r="L51" s="18"/>
    </row>
    <row r="52" spans="1:12" ht="12.75" customHeight="1">
      <c r="A52" s="11" t="s">
        <v>196</v>
      </c>
      <c r="B52" s="11" t="s">
        <v>245</v>
      </c>
      <c r="C52" s="12" t="s">
        <v>187</v>
      </c>
      <c r="D52" s="19">
        <f>EBSCOhost!N32</f>
        <v>1977</v>
      </c>
      <c r="E52" s="23">
        <f>EBSCOhost!N33</f>
        <v>9011</v>
      </c>
      <c r="F52" s="24"/>
      <c r="G52" s="16"/>
      <c r="H52" s="16">
        <v>0</v>
      </c>
      <c r="I52" s="16" t="s">
        <v>228</v>
      </c>
      <c r="J52" s="25">
        <f>EBSCOhost!O33</f>
        <v>3255</v>
      </c>
      <c r="K52" s="25">
        <f>EBSCOhost!P33</f>
        <v>0.36122516923759851</v>
      </c>
      <c r="L52" s="18"/>
    </row>
    <row r="53" spans="1:12" ht="12.75" customHeight="1">
      <c r="A53" s="11" t="s">
        <v>320</v>
      </c>
      <c r="B53" s="11" t="s">
        <v>265</v>
      </c>
      <c r="C53" s="12" t="s">
        <v>247</v>
      </c>
      <c r="D53" s="13">
        <f>WilsonWeb!N48</f>
        <v>3568</v>
      </c>
      <c r="E53" s="23">
        <f>WilsonWeb!N49</f>
        <v>12786</v>
      </c>
      <c r="F53" s="24"/>
      <c r="G53" s="16"/>
      <c r="H53" s="16">
        <f>WilsonWeb!N50</f>
        <v>151</v>
      </c>
      <c r="I53" s="16" t="s">
        <v>228</v>
      </c>
      <c r="J53" s="25">
        <f>WilsonWeb!O49</f>
        <v>6340.5</v>
      </c>
      <c r="K53" s="25">
        <f>WilsonWeb!P49</f>
        <v>0.49589394650398871</v>
      </c>
      <c r="L53" s="18"/>
    </row>
    <row r="54" spans="1:12" ht="12.75" customHeight="1">
      <c r="A54" s="11" t="s">
        <v>401</v>
      </c>
      <c r="B54" s="11" t="s">
        <v>229</v>
      </c>
      <c r="C54" s="11" t="s">
        <v>247</v>
      </c>
      <c r="D54" s="23">
        <f>WilsonWeb!N56</f>
        <v>177</v>
      </c>
      <c r="E54" s="23">
        <f>WilsonWeb!N57</f>
        <v>798</v>
      </c>
      <c r="F54" s="36"/>
      <c r="G54" s="23"/>
      <c r="H54" s="23">
        <f>WilsonWeb!N58</f>
        <v>184</v>
      </c>
      <c r="I54" s="16" t="s">
        <v>228</v>
      </c>
      <c r="J54" s="25">
        <v>0</v>
      </c>
      <c r="K54" s="25" t="s">
        <v>228</v>
      </c>
      <c r="L54" s="18"/>
    </row>
    <row r="55" spans="1:12" ht="12.75" customHeight="1">
      <c r="A55" s="11" t="s">
        <v>151</v>
      </c>
      <c r="B55" s="11" t="s">
        <v>380</v>
      </c>
      <c r="C55" s="11" t="s">
        <v>237</v>
      </c>
      <c r="D55" s="23" t="s">
        <v>228</v>
      </c>
      <c r="E55" s="23">
        <f>CSA!N63</f>
        <v>1207</v>
      </c>
      <c r="F55" s="24"/>
      <c r="G55" s="16"/>
      <c r="H55" s="16">
        <v>0</v>
      </c>
      <c r="I55" s="16" t="s">
        <v>228</v>
      </c>
      <c r="J55" s="25">
        <v>0</v>
      </c>
      <c r="K55" s="25" t="s">
        <v>228</v>
      </c>
      <c r="L55" s="18"/>
    </row>
    <row r="56" spans="1:12" ht="12.75" customHeight="1">
      <c r="A56" s="11" t="s">
        <v>408</v>
      </c>
      <c r="B56" s="11" t="s">
        <v>385</v>
      </c>
      <c r="C56" s="11" t="s">
        <v>148</v>
      </c>
      <c r="D56" s="23">
        <f>EMBASE!N8</f>
        <v>1820</v>
      </c>
      <c r="E56" s="23">
        <f>EMBASE!N9</f>
        <v>6561</v>
      </c>
      <c r="F56" s="24"/>
      <c r="G56" s="16"/>
      <c r="H56" s="37">
        <v>0</v>
      </c>
      <c r="I56" s="16" t="s">
        <v>228</v>
      </c>
      <c r="J56" s="25">
        <f>EMBASE!O9</f>
        <v>10927</v>
      </c>
      <c r="K56" s="25">
        <f>EMBASE!P9</f>
        <v>1.6654473403444596</v>
      </c>
      <c r="L56" s="18"/>
    </row>
    <row r="57" spans="1:12" ht="12.75" customHeight="1">
      <c r="A57" s="11" t="s">
        <v>135</v>
      </c>
      <c r="B57" s="11" t="s">
        <v>385</v>
      </c>
      <c r="C57" s="12" t="s">
        <v>148</v>
      </c>
      <c r="D57" s="19" t="s">
        <v>228</v>
      </c>
      <c r="E57" s="23" t="s">
        <v>228</v>
      </c>
      <c r="F57" s="24"/>
      <c r="G57" s="16"/>
      <c r="H57" s="37">
        <v>0</v>
      </c>
      <c r="I57" s="23" t="s">
        <v>228</v>
      </c>
      <c r="J57" s="25">
        <f>Elsevier!O8</f>
        <v>727.65</v>
      </c>
      <c r="K57" s="25">
        <f>Elsevier!P8</f>
        <v>14.552999999999999</v>
      </c>
      <c r="L57" s="18"/>
    </row>
    <row r="58" spans="1:12" ht="12.75" customHeight="1">
      <c r="A58" s="11" t="s">
        <v>38</v>
      </c>
      <c r="B58" s="11" t="s">
        <v>385</v>
      </c>
      <c r="C58" s="12" t="s">
        <v>148</v>
      </c>
      <c r="D58" s="19" t="s">
        <v>228</v>
      </c>
      <c r="E58" s="23" t="s">
        <v>228</v>
      </c>
      <c r="F58" s="24"/>
      <c r="G58" s="16"/>
      <c r="H58" s="16">
        <v>0</v>
      </c>
      <c r="I58" s="16" t="s">
        <v>228</v>
      </c>
      <c r="J58" s="25">
        <f>Elsevier!O13</f>
        <v>2970.75</v>
      </c>
      <c r="K58" s="25">
        <f>Elsevier!P13</f>
        <v>41.841549295774648</v>
      </c>
      <c r="L58" s="18"/>
    </row>
    <row r="59" spans="1:12" ht="12.75" customHeight="1">
      <c r="A59" s="11" t="s">
        <v>318</v>
      </c>
      <c r="B59" s="11" t="s">
        <v>123</v>
      </c>
      <c r="C59" s="12" t="s">
        <v>148</v>
      </c>
      <c r="D59" s="19">
        <f>WebofScience!N31</f>
        <v>107</v>
      </c>
      <c r="E59" s="23">
        <f>WebofScience!N36</f>
        <v>60</v>
      </c>
      <c r="F59" s="24"/>
      <c r="G59" s="16"/>
      <c r="H59" s="16">
        <v>0</v>
      </c>
      <c r="I59" s="16" t="s">
        <v>228</v>
      </c>
      <c r="J59" s="25">
        <v>0</v>
      </c>
      <c r="K59" s="25" t="s">
        <v>228</v>
      </c>
      <c r="L59" s="18"/>
    </row>
    <row r="60" spans="1:12" ht="12.75" customHeight="1">
      <c r="A60" s="11" t="s">
        <v>352</v>
      </c>
      <c r="B60" s="11" t="s">
        <v>380</v>
      </c>
      <c r="C60" s="12" t="s">
        <v>237</v>
      </c>
      <c r="D60" s="19" t="s">
        <v>228</v>
      </c>
      <c r="E60" s="23">
        <f>CSA!N73</f>
        <v>1705</v>
      </c>
      <c r="F60" s="24"/>
      <c r="G60" s="16"/>
      <c r="H60" s="16">
        <v>0</v>
      </c>
      <c r="I60" s="16" t="s">
        <v>228</v>
      </c>
      <c r="J60" s="25">
        <f>CSA!O73</f>
        <v>4900.8</v>
      </c>
      <c r="K60" s="25">
        <f>CSA!P73</f>
        <v>2.8743695014662758</v>
      </c>
      <c r="L60" s="18"/>
    </row>
    <row r="61" spans="1:12" ht="12.75" customHeight="1">
      <c r="A61" s="11" t="s">
        <v>94</v>
      </c>
      <c r="B61" s="11" t="s">
        <v>380</v>
      </c>
      <c r="C61" s="12" t="s">
        <v>237</v>
      </c>
      <c r="D61" s="19" t="s">
        <v>228</v>
      </c>
      <c r="E61" s="23">
        <f>CSA!N78</f>
        <v>156</v>
      </c>
      <c r="F61" s="24"/>
      <c r="G61" s="16"/>
      <c r="H61" s="16">
        <v>0</v>
      </c>
      <c r="I61" s="16" t="s">
        <v>228</v>
      </c>
      <c r="J61" s="25">
        <v>0</v>
      </c>
      <c r="K61" s="25" t="s">
        <v>228</v>
      </c>
      <c r="L61" s="18"/>
    </row>
    <row r="62" spans="1:12" ht="12.75" customHeight="1">
      <c r="A62" s="11" t="s">
        <v>194</v>
      </c>
      <c r="B62" s="11" t="s">
        <v>380</v>
      </c>
      <c r="C62" s="12" t="s">
        <v>237</v>
      </c>
      <c r="D62" s="19" t="s">
        <v>228</v>
      </c>
      <c r="E62" s="23">
        <f>CSA!N83</f>
        <v>195</v>
      </c>
      <c r="F62" s="24"/>
      <c r="G62" s="16"/>
      <c r="H62" s="16">
        <v>0</v>
      </c>
      <c r="I62" s="16" t="s">
        <v>228</v>
      </c>
      <c r="J62" s="25">
        <v>0</v>
      </c>
      <c r="K62" s="25" t="s">
        <v>228</v>
      </c>
      <c r="L62" s="18"/>
    </row>
    <row r="63" spans="1:12" ht="12.75" customHeight="1">
      <c r="A63" s="11" t="s">
        <v>26</v>
      </c>
      <c r="B63" s="11" t="s">
        <v>245</v>
      </c>
      <c r="C63" s="11" t="s">
        <v>187</v>
      </c>
      <c r="D63" s="23">
        <f>EBSCOhost!N13</f>
        <v>0</v>
      </c>
      <c r="E63" s="23">
        <f>EBSCOhost!N14</f>
        <v>36892</v>
      </c>
      <c r="F63" s="24"/>
      <c r="G63" s="16"/>
      <c r="H63" s="37"/>
      <c r="I63" s="16" t="s">
        <v>228</v>
      </c>
      <c r="J63" s="25">
        <v>0</v>
      </c>
      <c r="K63" s="25" t="s">
        <v>228</v>
      </c>
      <c r="L63" s="18"/>
    </row>
    <row r="64" spans="1:12" ht="12.75" customHeight="1">
      <c r="A64" s="11" t="s">
        <v>26</v>
      </c>
      <c r="B64" s="11" t="s">
        <v>380</v>
      </c>
      <c r="C64" s="12" t="s">
        <v>237</v>
      </c>
      <c r="D64" s="19" t="s">
        <v>228</v>
      </c>
      <c r="E64" s="23">
        <f>CSA!N88</f>
        <v>3468</v>
      </c>
      <c r="F64" s="24"/>
      <c r="G64" s="16"/>
      <c r="H64" s="16">
        <v>0</v>
      </c>
      <c r="I64" s="16" t="s">
        <v>228</v>
      </c>
      <c r="J64" s="25">
        <v>0</v>
      </c>
      <c r="K64" s="25" t="s">
        <v>228</v>
      </c>
      <c r="L64" s="18"/>
    </row>
    <row r="65" spans="1:12" ht="12.75" customHeight="1">
      <c r="A65" s="11" t="s">
        <v>14</v>
      </c>
      <c r="B65" s="11" t="s">
        <v>229</v>
      </c>
      <c r="C65" s="11" t="s">
        <v>247</v>
      </c>
      <c r="D65" s="23">
        <f>WilsonWeb!N64</f>
        <v>2392</v>
      </c>
      <c r="E65" s="23">
        <f>WilsonWeb!N65</f>
        <v>9991</v>
      </c>
      <c r="F65" s="24"/>
      <c r="G65" s="16"/>
      <c r="H65" s="37">
        <f>WilsonWeb!N66</f>
        <v>0</v>
      </c>
      <c r="I65" s="16" t="s">
        <v>228</v>
      </c>
      <c r="J65" s="25">
        <v>0</v>
      </c>
      <c r="K65" s="25" t="s">
        <v>228</v>
      </c>
      <c r="L65" s="18"/>
    </row>
    <row r="66" spans="1:12" ht="12.75" customHeight="1">
      <c r="A66" s="11" t="s">
        <v>14</v>
      </c>
      <c r="B66" s="11" t="s">
        <v>363</v>
      </c>
      <c r="C66" s="11" t="s">
        <v>187</v>
      </c>
      <c r="D66" s="23">
        <f>FirstSearch!N34</f>
        <v>621</v>
      </c>
      <c r="E66" s="23">
        <f>FirstSearch!N35</f>
        <v>1122</v>
      </c>
      <c r="F66" s="24"/>
      <c r="G66" s="16"/>
      <c r="H66" s="37">
        <f>FirstSearch!N37</f>
        <v>9</v>
      </c>
      <c r="I66" s="16" t="s">
        <v>228</v>
      </c>
      <c r="J66" s="25">
        <v>0</v>
      </c>
      <c r="K66" s="25" t="s">
        <v>228</v>
      </c>
      <c r="L66" s="18"/>
    </row>
    <row r="67" spans="1:12" ht="12.75" customHeight="1">
      <c r="A67" s="11" t="s">
        <v>300</v>
      </c>
      <c r="B67" s="11" t="s">
        <v>245</v>
      </c>
      <c r="C67" s="11" t="s">
        <v>187</v>
      </c>
      <c r="D67" s="23">
        <f>EBSCOhost!N22</f>
        <v>0</v>
      </c>
      <c r="E67" s="23">
        <f>EBSCOhost!N23</f>
        <v>0</v>
      </c>
      <c r="F67" s="24"/>
      <c r="G67" s="16"/>
      <c r="H67" s="37">
        <v>0</v>
      </c>
      <c r="I67" s="16" t="s">
        <v>228</v>
      </c>
      <c r="J67" s="25">
        <f>EBSCOhost!O45</f>
        <v>1404</v>
      </c>
      <c r="K67" s="25">
        <f>EBSCOhost!P45</f>
        <v>0.20259740259740261</v>
      </c>
      <c r="L67" s="18"/>
    </row>
    <row r="68" spans="1:12" ht="12.75" customHeight="1">
      <c r="A68" s="11" t="s">
        <v>8</v>
      </c>
      <c r="B68" s="11" t="s">
        <v>363</v>
      </c>
      <c r="C68" s="11" t="s">
        <v>187</v>
      </c>
      <c r="D68" s="16" t="s">
        <v>228</v>
      </c>
      <c r="E68" s="23">
        <f>FirstSearch!N136</f>
        <v>80</v>
      </c>
      <c r="F68" s="24"/>
      <c r="G68" s="16"/>
      <c r="H68" s="16" t="s">
        <v>228</v>
      </c>
      <c r="I68" s="16" t="s">
        <v>228</v>
      </c>
      <c r="J68" s="25" t="s">
        <v>228</v>
      </c>
      <c r="K68" s="25" t="s">
        <v>228</v>
      </c>
      <c r="L68" s="18"/>
    </row>
    <row r="69" spans="1:12" ht="12.75" customHeight="1">
      <c r="A69" s="11" t="s">
        <v>262</v>
      </c>
      <c r="B69" s="11" t="s">
        <v>363</v>
      </c>
      <c r="C69" s="11" t="s">
        <v>187</v>
      </c>
      <c r="D69" s="23">
        <f>FirstSearch!N128</f>
        <v>8246</v>
      </c>
      <c r="E69" s="23">
        <f>FirstSearch!N129</f>
        <v>25442</v>
      </c>
      <c r="F69" s="36"/>
      <c r="G69" s="23"/>
      <c r="H69" s="23">
        <f>FirstSearch!N131</f>
        <v>940</v>
      </c>
      <c r="I69" s="16" t="s">
        <v>228</v>
      </c>
      <c r="J69" s="25">
        <f>FirstSearch!O129</f>
        <v>9606.4</v>
      </c>
      <c r="K69" s="25">
        <f>FirstSearch!P129</f>
        <v>0.3775803789010298</v>
      </c>
      <c r="L69" s="18"/>
    </row>
    <row r="70" spans="1:12" ht="12.75" customHeight="1">
      <c r="A70" s="11" t="s">
        <v>207</v>
      </c>
      <c r="B70" s="11" t="s">
        <v>245</v>
      </c>
      <c r="C70" s="12" t="s">
        <v>187</v>
      </c>
      <c r="D70" s="13">
        <f>EBSCOhost!N50</f>
        <v>1347</v>
      </c>
      <c r="E70" s="23">
        <f>EBSCOhost!N51</f>
        <v>5495</v>
      </c>
      <c r="F70" s="24"/>
      <c r="G70" s="16"/>
      <c r="H70" s="16">
        <f>EBSCOhost!N33</f>
        <v>9011</v>
      </c>
      <c r="I70" s="16" t="s">
        <v>228</v>
      </c>
      <c r="J70" s="25">
        <f>EBSCOhost!O51</f>
        <v>6919</v>
      </c>
      <c r="K70" s="25">
        <f>EBSCOhost!P51</f>
        <v>1.259144676979072</v>
      </c>
      <c r="L70" s="18"/>
    </row>
    <row r="71" spans="1:12" ht="12.75" customHeight="1">
      <c r="A71" s="11" t="s">
        <v>29</v>
      </c>
      <c r="B71" s="11" t="s">
        <v>245</v>
      </c>
      <c r="C71" s="11" t="s">
        <v>187</v>
      </c>
      <c r="D71" s="23">
        <f>EBSCOhost!N38</f>
        <v>1560</v>
      </c>
      <c r="E71" s="23">
        <f>EBSCOhost!N39</f>
        <v>8708</v>
      </c>
      <c r="F71" s="24"/>
      <c r="G71" s="16"/>
      <c r="H71" s="16">
        <v>0</v>
      </c>
      <c r="I71" s="16" t="s">
        <v>228</v>
      </c>
      <c r="J71" s="25">
        <v>0</v>
      </c>
      <c r="K71" s="25" t="s">
        <v>228</v>
      </c>
      <c r="L71" s="18"/>
    </row>
    <row r="72" spans="1:12" ht="12.75" customHeight="1">
      <c r="A72" s="11" t="s">
        <v>341</v>
      </c>
      <c r="B72" s="11" t="s">
        <v>363</v>
      </c>
      <c r="C72" s="11" t="s">
        <v>187</v>
      </c>
      <c r="D72" s="16" t="s">
        <v>228</v>
      </c>
      <c r="E72" s="23">
        <f>FirstSearch!N42</f>
        <v>28</v>
      </c>
      <c r="F72" s="24"/>
      <c r="G72" s="16"/>
      <c r="H72" s="16">
        <v>0</v>
      </c>
      <c r="I72" s="16" t="s">
        <v>228</v>
      </c>
      <c r="J72" s="25" t="s">
        <v>228</v>
      </c>
      <c r="K72" s="25" t="s">
        <v>228</v>
      </c>
      <c r="L72" s="10"/>
    </row>
    <row r="73" spans="1:12" ht="12.75" customHeight="1">
      <c r="A73" s="11" t="s">
        <v>141</v>
      </c>
      <c r="B73" s="11" t="s">
        <v>380</v>
      </c>
      <c r="C73" s="11" t="s">
        <v>237</v>
      </c>
      <c r="D73" s="16" t="s">
        <v>228</v>
      </c>
      <c r="E73" s="23">
        <f>CSA!N93</f>
        <v>2291</v>
      </c>
      <c r="F73" s="24"/>
      <c r="G73" s="16"/>
      <c r="H73" s="16">
        <v>0</v>
      </c>
      <c r="I73" s="16" t="s">
        <v>228</v>
      </c>
      <c r="J73" s="25">
        <f>CSA!O93</f>
        <v>6412</v>
      </c>
      <c r="K73" s="25">
        <f>CSA!P93</f>
        <v>2.7987778262767349</v>
      </c>
      <c r="L73" s="10"/>
    </row>
    <row r="74" spans="1:12" ht="12.75" customHeight="1">
      <c r="A74" s="11" t="s">
        <v>113</v>
      </c>
      <c r="B74" s="11" t="s">
        <v>380</v>
      </c>
      <c r="C74" s="11" t="s">
        <v>237</v>
      </c>
      <c r="D74" s="16" t="s">
        <v>228</v>
      </c>
      <c r="E74" s="23">
        <f>CSA!N98</f>
        <v>1141</v>
      </c>
      <c r="F74" s="24"/>
      <c r="G74" s="16"/>
      <c r="H74" s="16">
        <v>0</v>
      </c>
      <c r="I74" s="16" t="s">
        <v>228</v>
      </c>
      <c r="J74" s="25">
        <v>0</v>
      </c>
      <c r="K74" s="25" t="s">
        <v>228</v>
      </c>
      <c r="L74" s="10"/>
    </row>
    <row r="75" spans="1:12" ht="12.75" customHeight="1">
      <c r="A75" s="11" t="s">
        <v>61</v>
      </c>
      <c r="B75" s="11" t="s">
        <v>363</v>
      </c>
      <c r="C75" s="11" t="s">
        <v>187</v>
      </c>
      <c r="D75" s="23">
        <f>FirstSearch!N47</f>
        <v>101</v>
      </c>
      <c r="E75" s="23">
        <f>FirstSearch!N48</f>
        <v>166</v>
      </c>
      <c r="F75" s="24"/>
      <c r="G75" s="16"/>
      <c r="H75" s="37">
        <f>FirstSearch!N57</f>
        <v>0</v>
      </c>
      <c r="I75" s="16" t="s">
        <v>228</v>
      </c>
      <c r="J75" s="25">
        <v>0</v>
      </c>
      <c r="K75" s="25" t="s">
        <v>228</v>
      </c>
      <c r="L75" s="18"/>
    </row>
    <row r="76" spans="1:12" ht="12.75" customHeight="1">
      <c r="A76" s="11" t="s">
        <v>351</v>
      </c>
      <c r="B76" s="11" t="s">
        <v>245</v>
      </c>
      <c r="C76" s="11" t="s">
        <v>187</v>
      </c>
      <c r="D76" s="23">
        <f>EBSCOhost!N64</f>
        <v>1207</v>
      </c>
      <c r="E76" s="23">
        <f>EBSCOhost!N65</f>
        <v>5862</v>
      </c>
      <c r="F76" s="24"/>
      <c r="G76" s="16"/>
      <c r="H76" s="16">
        <v>0</v>
      </c>
      <c r="I76" s="16" t="s">
        <v>228</v>
      </c>
      <c r="J76" s="25">
        <v>0</v>
      </c>
      <c r="K76" s="25" t="s">
        <v>228</v>
      </c>
      <c r="L76" s="18"/>
    </row>
    <row r="77" spans="1:12" ht="12.75" customHeight="1">
      <c r="A77" s="11" t="s">
        <v>258</v>
      </c>
      <c r="B77" s="11" t="s">
        <v>289</v>
      </c>
      <c r="C77" s="11" t="s">
        <v>148</v>
      </c>
      <c r="D77" s="23">
        <f>Oxford!N8</f>
        <v>472</v>
      </c>
      <c r="E77" s="23">
        <f>Oxford!N10</f>
        <v>981</v>
      </c>
      <c r="F77" s="36"/>
      <c r="G77" s="23"/>
      <c r="H77" s="23">
        <f>Oxford!N11</f>
        <v>382</v>
      </c>
      <c r="I77" s="16">
        <f>Oxford!N9</f>
        <v>1135</v>
      </c>
      <c r="J77" s="25">
        <f>Oxford!O10</f>
        <v>1597.5</v>
      </c>
      <c r="K77" s="25">
        <f>Oxford!P10</f>
        <v>1.628440366972477</v>
      </c>
      <c r="L77" s="18"/>
    </row>
    <row r="78" spans="1:12" ht="12.75" customHeight="1">
      <c r="A78" s="11" t="s">
        <v>337</v>
      </c>
      <c r="B78" s="11" t="s">
        <v>380</v>
      </c>
      <c r="C78" s="11" t="s">
        <v>237</v>
      </c>
      <c r="D78" s="23" t="s">
        <v>228</v>
      </c>
      <c r="E78" s="23">
        <f>CSA!N103</f>
        <v>648</v>
      </c>
      <c r="F78" s="24"/>
      <c r="G78" s="16"/>
      <c r="H78" s="16">
        <v>0</v>
      </c>
      <c r="I78" s="16" t="s">
        <v>228</v>
      </c>
      <c r="J78" s="25">
        <v>0</v>
      </c>
      <c r="K78" s="25" t="s">
        <v>228</v>
      </c>
      <c r="L78" s="18"/>
    </row>
    <row r="79" spans="1:12" ht="12.75" customHeight="1">
      <c r="A79" s="11" t="s">
        <v>210</v>
      </c>
      <c r="B79" s="11" t="s">
        <v>245</v>
      </c>
      <c r="C79" s="11" t="s">
        <v>187</v>
      </c>
      <c r="D79" s="23">
        <f>EBSCOhost!N70</f>
        <v>4944</v>
      </c>
      <c r="E79" s="23">
        <f>EBSCOhost!N71</f>
        <v>14591</v>
      </c>
      <c r="F79" s="24"/>
      <c r="G79" s="16"/>
      <c r="H79" s="16">
        <v>0</v>
      </c>
      <c r="I79" s="16" t="s">
        <v>228</v>
      </c>
      <c r="J79" s="25">
        <v>0</v>
      </c>
      <c r="K79" s="25" t="s">
        <v>228</v>
      </c>
      <c r="L79" s="18"/>
    </row>
    <row r="80" spans="1:12" ht="12.75" customHeight="1">
      <c r="A80" s="11" t="s">
        <v>11</v>
      </c>
      <c r="B80" s="11" t="s">
        <v>245</v>
      </c>
      <c r="C80" s="11" t="s">
        <v>187</v>
      </c>
      <c r="D80" s="23">
        <f>EBSCOhost!N76</f>
        <v>1450</v>
      </c>
      <c r="E80" s="23">
        <f>EBSCOhost!N77</f>
        <v>7794</v>
      </c>
      <c r="F80" s="24"/>
      <c r="G80" s="16"/>
      <c r="H80" s="16">
        <v>0</v>
      </c>
      <c r="I80" s="16" t="s">
        <v>228</v>
      </c>
      <c r="J80" s="25">
        <f>EBSCOhost!O77</f>
        <v>7881</v>
      </c>
      <c r="K80" s="25">
        <f>EBSCOhost!P77</f>
        <v>1.0111624326404927</v>
      </c>
      <c r="L80" s="18"/>
    </row>
    <row r="81" spans="1:12" ht="12.75" customHeight="1">
      <c r="A81" s="11" t="s">
        <v>90</v>
      </c>
      <c r="B81" s="11" t="s">
        <v>245</v>
      </c>
      <c r="C81" s="11" t="s">
        <v>187</v>
      </c>
      <c r="D81" s="23">
        <f>EBSCOhost!N82</f>
        <v>1665</v>
      </c>
      <c r="E81" s="23">
        <f>EBSCOhost!N83</f>
        <v>7175</v>
      </c>
      <c r="F81" s="24"/>
      <c r="G81" s="16"/>
      <c r="H81" s="16">
        <v>0</v>
      </c>
      <c r="I81" s="16" t="s">
        <v>228</v>
      </c>
      <c r="J81" s="25">
        <v>0</v>
      </c>
      <c r="K81" s="25" t="s">
        <v>228</v>
      </c>
      <c r="L81" s="18"/>
    </row>
    <row r="82" spans="1:12" ht="12.75" customHeight="1">
      <c r="A82" s="11" t="s">
        <v>106</v>
      </c>
      <c r="B82" s="11" t="s">
        <v>229</v>
      </c>
      <c r="C82" s="11" t="s">
        <v>247</v>
      </c>
      <c r="D82" s="23">
        <f>WilsonWeb!N72</f>
        <v>543</v>
      </c>
      <c r="E82" s="23">
        <f>WilsonWeb!N73</f>
        <v>1519</v>
      </c>
      <c r="F82" s="36"/>
      <c r="G82" s="23"/>
      <c r="H82" s="23">
        <f>WilsonWeb!N74</f>
        <v>0</v>
      </c>
      <c r="I82" s="16" t="s">
        <v>228</v>
      </c>
      <c r="J82" s="25">
        <v>0</v>
      </c>
      <c r="K82" s="25" t="s">
        <v>228</v>
      </c>
      <c r="L82" s="18"/>
    </row>
    <row r="83" spans="1:12" ht="12.75" customHeight="1">
      <c r="A83" s="11" t="s">
        <v>74</v>
      </c>
      <c r="B83" s="11" t="s">
        <v>357</v>
      </c>
      <c r="C83" s="11" t="s">
        <v>148</v>
      </c>
      <c r="D83" s="23" t="s">
        <v>228</v>
      </c>
      <c r="E83" s="23" t="s">
        <v>228</v>
      </c>
      <c r="F83" s="24"/>
      <c r="G83" s="16"/>
      <c r="H83" s="16">
        <f>ICPSR!N9</f>
        <v>1006</v>
      </c>
      <c r="I83" s="16" t="s">
        <v>228</v>
      </c>
      <c r="J83" s="25">
        <f>ICPSR!O8</f>
        <v>8750</v>
      </c>
      <c r="K83" s="25">
        <f>ICPSR!P9</f>
        <v>8.6978131212723664</v>
      </c>
      <c r="L83" s="18"/>
    </row>
    <row r="84" spans="1:12" ht="12.75" customHeight="1">
      <c r="A84" s="11" t="s">
        <v>12</v>
      </c>
      <c r="B84" s="11" t="s">
        <v>380</v>
      </c>
      <c r="C84" s="11" t="s">
        <v>237</v>
      </c>
      <c r="D84" s="23" t="s">
        <v>228</v>
      </c>
      <c r="E84" s="23">
        <f>CSA!N108</f>
        <v>194</v>
      </c>
      <c r="F84" s="24"/>
      <c r="G84" s="16"/>
      <c r="H84" s="16">
        <v>0</v>
      </c>
      <c r="I84" s="16" t="s">
        <v>228</v>
      </c>
      <c r="J84" s="25">
        <v>0</v>
      </c>
      <c r="K84" s="25" t="s">
        <v>228</v>
      </c>
      <c r="L84" s="18"/>
    </row>
    <row r="85" spans="1:12" ht="12.75" customHeight="1">
      <c r="A85" s="11" t="s">
        <v>40</v>
      </c>
      <c r="B85" s="11" t="s">
        <v>245</v>
      </c>
      <c r="C85" s="11" t="s">
        <v>187</v>
      </c>
      <c r="D85" s="23">
        <f>EBSCOhost!N88</f>
        <v>1309</v>
      </c>
      <c r="E85" s="23">
        <f>EBSCOhost!N89</f>
        <v>6323</v>
      </c>
      <c r="F85" s="24"/>
      <c r="G85" s="16"/>
      <c r="H85" s="16">
        <v>0</v>
      </c>
      <c r="I85" s="16" t="s">
        <v>228</v>
      </c>
      <c r="J85" s="25">
        <f>EBSCOhost!O89</f>
        <v>31302</v>
      </c>
      <c r="K85" s="25">
        <f>EBSCOhost!P89</f>
        <v>4.9504981812430806</v>
      </c>
      <c r="L85" s="18"/>
    </row>
    <row r="86" spans="1:12" ht="12.75" customHeight="1">
      <c r="A86" s="11" t="s">
        <v>340</v>
      </c>
      <c r="B86" s="11" t="s">
        <v>380</v>
      </c>
      <c r="C86" s="11" t="s">
        <v>237</v>
      </c>
      <c r="D86" s="23" t="s">
        <v>228</v>
      </c>
      <c r="E86" s="23">
        <f>CSA!N113</f>
        <v>1418</v>
      </c>
      <c r="F86" s="24"/>
      <c r="G86" s="16"/>
      <c r="H86" s="16">
        <v>0</v>
      </c>
      <c r="I86" s="16" t="s">
        <v>228</v>
      </c>
      <c r="J86" s="25">
        <f>CSA!O113</f>
        <v>3710</v>
      </c>
      <c r="K86" s="25">
        <f>CSA!P113</f>
        <v>2.6163610719322992</v>
      </c>
      <c r="L86" s="18"/>
    </row>
    <row r="87" spans="1:12" ht="12.75" customHeight="1">
      <c r="A87" s="11" t="s">
        <v>124</v>
      </c>
      <c r="B87" s="11" t="s">
        <v>359</v>
      </c>
      <c r="C87" s="11" t="s">
        <v>237</v>
      </c>
      <c r="D87" s="16">
        <f>OVID!N30</f>
        <v>5277</v>
      </c>
      <c r="E87" s="16">
        <f>OVID!N29</f>
        <v>5885</v>
      </c>
      <c r="F87" s="24"/>
      <c r="G87" s="16"/>
      <c r="H87" s="16"/>
      <c r="I87" s="16" t="s">
        <v>228</v>
      </c>
      <c r="J87" s="25">
        <v>0</v>
      </c>
      <c r="K87" s="25" t="s">
        <v>228</v>
      </c>
      <c r="L87" s="18"/>
    </row>
    <row r="88" spans="1:12" ht="12.75" customHeight="1">
      <c r="A88" s="11" t="s">
        <v>383</v>
      </c>
      <c r="B88" s="11" t="s">
        <v>383</v>
      </c>
      <c r="C88" s="11" t="s">
        <v>148</v>
      </c>
      <c r="D88" s="16" t="s">
        <v>228</v>
      </c>
      <c r="E88" s="16">
        <f>KCDL!N8</f>
        <v>130</v>
      </c>
      <c r="F88" s="24"/>
      <c r="G88" s="16"/>
      <c r="H88" s="16">
        <f>OVID!N31</f>
        <v>0</v>
      </c>
      <c r="I88" s="16" t="s">
        <v>228</v>
      </c>
      <c r="J88" s="25">
        <f>KCDL!O8</f>
        <v>1850</v>
      </c>
      <c r="K88" s="25">
        <f>KCDL!P8</f>
        <v>14.23076923076923</v>
      </c>
      <c r="L88" s="18"/>
    </row>
    <row r="89" spans="1:12" ht="12.75" customHeight="1">
      <c r="A89" s="11" t="s">
        <v>244</v>
      </c>
      <c r="B89" s="11" t="s">
        <v>184</v>
      </c>
      <c r="C89" s="11" t="s">
        <v>148</v>
      </c>
      <c r="D89" s="16">
        <f>'Lexi-Comp'!N8</f>
        <v>6690</v>
      </c>
      <c r="E89" s="16">
        <f>'Lexi-Comp'!N9</f>
        <v>14397</v>
      </c>
      <c r="F89" s="24"/>
      <c r="G89" s="16"/>
      <c r="H89" s="16">
        <v>0</v>
      </c>
      <c r="I89" s="16" t="s">
        <v>228</v>
      </c>
      <c r="J89" s="25">
        <v>0</v>
      </c>
      <c r="K89" s="16" t="s">
        <v>228</v>
      </c>
      <c r="L89" s="18"/>
    </row>
    <row r="90" spans="1:12" ht="12.75" customHeight="1">
      <c r="A90" s="11" t="s">
        <v>388</v>
      </c>
      <c r="B90" s="11" t="s">
        <v>356</v>
      </c>
      <c r="C90" s="11" t="s">
        <v>237</v>
      </c>
      <c r="D90" s="23">
        <f>LexisNexis!N8</f>
        <v>32513</v>
      </c>
      <c r="E90" s="23">
        <f>LexisNexis!N9</f>
        <v>25057</v>
      </c>
      <c r="F90" s="24"/>
      <c r="G90" s="16"/>
      <c r="H90" s="16">
        <v>0</v>
      </c>
      <c r="I90" s="23" t="s">
        <v>228</v>
      </c>
      <c r="J90" s="25">
        <f>LexisNexis!O9</f>
        <v>25295.63</v>
      </c>
      <c r="K90" s="25">
        <f>LexisNexis!P9</f>
        <v>1.009523486450892</v>
      </c>
      <c r="L90" s="18"/>
    </row>
    <row r="91" spans="1:12" ht="12.75" customHeight="1">
      <c r="A91" s="11" t="s">
        <v>179</v>
      </c>
      <c r="B91" s="11" t="s">
        <v>356</v>
      </c>
      <c r="C91" s="11" t="s">
        <v>237</v>
      </c>
      <c r="D91" s="23">
        <f>LexisNexis!N14</f>
        <v>265</v>
      </c>
      <c r="E91" s="23">
        <f>LexisNexis!N15</f>
        <v>821</v>
      </c>
      <c r="F91" s="24"/>
      <c r="G91" s="16"/>
      <c r="H91" s="16">
        <v>0</v>
      </c>
      <c r="I91" s="23" t="s">
        <v>228</v>
      </c>
      <c r="J91" s="25" t="s">
        <v>228</v>
      </c>
      <c r="K91" s="25" t="s">
        <v>228</v>
      </c>
      <c r="L91" s="18"/>
    </row>
    <row r="92" spans="1:12" ht="12.75" customHeight="1">
      <c r="A92" s="11" t="s">
        <v>390</v>
      </c>
      <c r="B92" s="11" t="s">
        <v>229</v>
      </c>
      <c r="C92" s="11" t="s">
        <v>247</v>
      </c>
      <c r="D92" s="23" t="s">
        <v>228</v>
      </c>
      <c r="E92" s="23" t="s">
        <v>228</v>
      </c>
      <c r="F92" s="36"/>
      <c r="G92" s="23"/>
      <c r="H92" s="23" t="s">
        <v>228</v>
      </c>
      <c r="I92" s="16" t="s">
        <v>228</v>
      </c>
      <c r="J92" s="25">
        <f>WilsonWeb!O81</f>
        <v>9292</v>
      </c>
      <c r="K92" s="25" t="s">
        <v>228</v>
      </c>
      <c r="L92" s="18"/>
    </row>
    <row r="93" spans="1:12" ht="12.75" customHeight="1">
      <c r="A93" s="11" t="s">
        <v>360</v>
      </c>
      <c r="B93" s="11" t="s">
        <v>245</v>
      </c>
      <c r="C93" s="11" t="s">
        <v>187</v>
      </c>
      <c r="D93" s="23">
        <f>EBSCOhost!N94</f>
        <v>1508</v>
      </c>
      <c r="E93" s="23">
        <f>EBSCOhost!N95</f>
        <v>7456</v>
      </c>
      <c r="F93" s="24"/>
      <c r="G93" s="16"/>
      <c r="H93" s="16">
        <v>0</v>
      </c>
      <c r="I93" s="23" t="s">
        <v>228</v>
      </c>
      <c r="J93" s="25">
        <v>0</v>
      </c>
      <c r="K93" s="25" t="s">
        <v>228</v>
      </c>
      <c r="L93" s="18"/>
    </row>
    <row r="94" spans="1:12" ht="12.75" customHeight="1">
      <c r="A94" s="11" t="s">
        <v>314</v>
      </c>
      <c r="B94" s="11" t="s">
        <v>245</v>
      </c>
      <c r="C94" s="11" t="s">
        <v>187</v>
      </c>
      <c r="D94" s="23">
        <f>EBSCOhost!N100</f>
        <v>5890</v>
      </c>
      <c r="E94" s="23">
        <f>EBSCOhost!N101</f>
        <v>25267</v>
      </c>
      <c r="F94" s="24"/>
      <c r="G94" s="16"/>
      <c r="H94" s="16">
        <v>0</v>
      </c>
      <c r="I94" s="23" t="s">
        <v>228</v>
      </c>
      <c r="J94" s="25">
        <f>EBSCOhost!O101</f>
        <v>2660</v>
      </c>
      <c r="K94" s="25">
        <f>EBSCOhost!P101</f>
        <v>0.10527565599398425</v>
      </c>
      <c r="L94" s="18"/>
    </row>
    <row r="95" spans="1:12" ht="12.75" customHeight="1">
      <c r="A95" s="11" t="s">
        <v>163</v>
      </c>
      <c r="B95" s="11" t="s">
        <v>77</v>
      </c>
      <c r="C95" s="11" t="s">
        <v>187</v>
      </c>
      <c r="D95" s="23">
        <f>InfoTrac!N9</f>
        <v>3541</v>
      </c>
      <c r="E95" s="23">
        <f>InfoTrac!N8</f>
        <v>6033</v>
      </c>
      <c r="F95" s="24"/>
      <c r="G95" s="16"/>
      <c r="H95" s="37">
        <f>InfoTrac!N47</f>
        <v>0</v>
      </c>
      <c r="I95" s="23" t="s">
        <v>228</v>
      </c>
      <c r="J95" s="25">
        <f>InfoTrac!O8</f>
        <v>1986</v>
      </c>
      <c r="K95" s="25">
        <f>InfoTrac!P8</f>
        <v>0.32918945798110394</v>
      </c>
      <c r="L95" s="18"/>
    </row>
    <row r="96" spans="1:12" ht="12.75" customHeight="1">
      <c r="A96" s="11" t="s">
        <v>391</v>
      </c>
      <c r="B96" s="11" t="s">
        <v>55</v>
      </c>
      <c r="C96" s="11" t="s">
        <v>187</v>
      </c>
      <c r="D96" s="16">
        <f>ProQuest!N44</f>
        <v>1504</v>
      </c>
      <c r="E96" s="23">
        <f>ProQuest!N43</f>
        <v>4971</v>
      </c>
      <c r="F96" s="24"/>
      <c r="G96" s="16"/>
      <c r="H96" s="16">
        <v>0</v>
      </c>
      <c r="I96" s="16" t="s">
        <v>228</v>
      </c>
      <c r="J96" s="25">
        <v>0</v>
      </c>
      <c r="K96" s="25" t="s">
        <v>228</v>
      </c>
      <c r="L96" s="18"/>
    </row>
    <row r="97" spans="1:12" ht="12.75" customHeight="1">
      <c r="A97" s="11" t="s">
        <v>44</v>
      </c>
      <c r="B97" s="11" t="s">
        <v>245</v>
      </c>
      <c r="C97" s="11" t="s">
        <v>187</v>
      </c>
      <c r="D97" s="23">
        <f>EBSCOhost!N106</f>
        <v>1250</v>
      </c>
      <c r="E97" s="23">
        <f>EBSCOhost!N107</f>
        <v>5938</v>
      </c>
      <c r="F97" s="24"/>
      <c r="G97" s="16"/>
      <c r="H97" s="16">
        <v>0</v>
      </c>
      <c r="I97" s="16" t="s">
        <v>228</v>
      </c>
      <c r="J97" s="25">
        <v>0</v>
      </c>
      <c r="K97" s="25" t="s">
        <v>228</v>
      </c>
      <c r="L97" s="18"/>
    </row>
    <row r="98" spans="1:12" ht="12.75" customHeight="1">
      <c r="A98" s="11" t="s">
        <v>310</v>
      </c>
      <c r="B98" s="11" t="s">
        <v>245</v>
      </c>
      <c r="C98" s="11" t="s">
        <v>187</v>
      </c>
      <c r="D98" s="23">
        <f>EBSCOhost!N112</f>
        <v>3006</v>
      </c>
      <c r="E98" s="23">
        <f>EBSCOhost!N113</f>
        <v>7688</v>
      </c>
      <c r="F98" s="24"/>
      <c r="G98" s="16"/>
      <c r="H98" s="16">
        <v>0</v>
      </c>
      <c r="I98" s="16" t="s">
        <v>228</v>
      </c>
      <c r="J98" s="25">
        <v>0</v>
      </c>
      <c r="K98" s="25" t="s">
        <v>228</v>
      </c>
      <c r="L98" s="18"/>
    </row>
    <row r="99" spans="1:12" ht="24.75" customHeight="1">
      <c r="A99" s="11" t="s">
        <v>313</v>
      </c>
      <c r="B99" s="11" t="s">
        <v>202</v>
      </c>
      <c r="C99" s="11" t="s">
        <v>148</v>
      </c>
      <c r="D99" s="23">
        <f>MathSciNet!N8</f>
        <v>9131</v>
      </c>
      <c r="E99" s="23">
        <f>MathSciNet!N9</f>
        <v>13611</v>
      </c>
      <c r="F99" s="24"/>
      <c r="G99" s="16"/>
      <c r="H99" s="16">
        <v>0</v>
      </c>
      <c r="I99" s="16" t="s">
        <v>228</v>
      </c>
      <c r="J99" s="25" t="s">
        <v>228</v>
      </c>
      <c r="K99" s="25" t="s">
        <v>228</v>
      </c>
      <c r="L99" s="10"/>
    </row>
    <row r="100" spans="1:12" ht="12.75" customHeight="1">
      <c r="A100" s="11" t="s">
        <v>182</v>
      </c>
      <c r="B100" s="11" t="s">
        <v>216</v>
      </c>
      <c r="C100" s="11" t="s">
        <v>237</v>
      </c>
      <c r="D100" s="23">
        <f>OVID!N23</f>
        <v>6</v>
      </c>
      <c r="E100" s="23">
        <f>OVID!N22</f>
        <v>8</v>
      </c>
      <c r="F100" s="24"/>
      <c r="G100" s="16"/>
      <c r="H100" s="37">
        <f>OVID!N24</f>
        <v>0</v>
      </c>
      <c r="I100" s="16" t="s">
        <v>228</v>
      </c>
      <c r="J100" s="25">
        <v>0</v>
      </c>
      <c r="K100" s="25" t="s">
        <v>228</v>
      </c>
      <c r="L100" s="18"/>
    </row>
    <row r="101" spans="1:12" ht="12.75" customHeight="1">
      <c r="A101" s="11" t="s">
        <v>182</v>
      </c>
      <c r="B101" s="11" t="s">
        <v>245</v>
      </c>
      <c r="C101" s="11" t="s">
        <v>187</v>
      </c>
      <c r="D101" s="23">
        <f>EBSCOhost!N118</f>
        <v>1483</v>
      </c>
      <c r="E101" s="23">
        <f>EBSCOhost!N119</f>
        <v>7659</v>
      </c>
      <c r="F101" s="24"/>
      <c r="G101" s="16"/>
      <c r="H101" s="16">
        <v>0</v>
      </c>
      <c r="I101" s="16" t="s">
        <v>228</v>
      </c>
      <c r="J101" s="25">
        <v>0</v>
      </c>
      <c r="K101" s="25" t="s">
        <v>228</v>
      </c>
      <c r="L101" s="18"/>
    </row>
    <row r="102" spans="1:12" ht="12.75" customHeight="1">
      <c r="A102" s="11" t="s">
        <v>96</v>
      </c>
      <c r="B102" s="11" t="s">
        <v>363</v>
      </c>
      <c r="C102" s="11" t="s">
        <v>187</v>
      </c>
      <c r="D102" s="23">
        <f>FirstSearch!N55</f>
        <v>2994</v>
      </c>
      <c r="E102" s="23">
        <f>FirstSearch!N56</f>
        <v>6717</v>
      </c>
      <c r="F102" s="24"/>
      <c r="G102" s="16"/>
      <c r="H102" s="37">
        <f>FirstSearch!N90</f>
        <v>0</v>
      </c>
      <c r="I102" s="16" t="s">
        <v>228</v>
      </c>
      <c r="J102" s="25">
        <v>0</v>
      </c>
      <c r="K102" s="25" t="s">
        <v>228</v>
      </c>
      <c r="L102" s="18"/>
    </row>
    <row r="103" spans="1:12" ht="12.75" customHeight="1">
      <c r="A103" s="11" t="s">
        <v>376</v>
      </c>
      <c r="B103" s="11" t="s">
        <v>245</v>
      </c>
      <c r="C103" s="11" t="s">
        <v>187</v>
      </c>
      <c r="D103" s="23">
        <f>EBSCOhost!N124</f>
        <v>1596</v>
      </c>
      <c r="E103" s="23">
        <f>EBSCOhost!N125</f>
        <v>7501</v>
      </c>
      <c r="F103" s="24"/>
      <c r="G103" s="16"/>
      <c r="H103" s="16">
        <f>EBSCOhost!N127</f>
        <v>0</v>
      </c>
      <c r="I103" s="16" t="s">
        <v>228</v>
      </c>
      <c r="J103" s="25">
        <f>EBSCOhost!O125</f>
        <v>1806</v>
      </c>
      <c r="K103" s="25">
        <f>EBSCOhost!P125</f>
        <v>0.24076789761365153</v>
      </c>
      <c r="L103" s="18"/>
    </row>
    <row r="104" spans="1:12" ht="12.75" customHeight="1">
      <c r="A104" s="11" t="s">
        <v>60</v>
      </c>
      <c r="B104" s="11" t="s">
        <v>157</v>
      </c>
      <c r="C104" s="11" t="s">
        <v>148</v>
      </c>
      <c r="D104" s="23">
        <f>Mergent!N8</f>
        <v>1354</v>
      </c>
      <c r="E104" s="23">
        <f>Mergent!N9</f>
        <v>4898</v>
      </c>
      <c r="F104" s="24"/>
      <c r="G104" s="16"/>
      <c r="H104" s="16">
        <v>0</v>
      </c>
      <c r="I104" s="23" t="s">
        <v>228</v>
      </c>
      <c r="J104" s="25">
        <f>Mergent!O9</f>
        <v>15000</v>
      </c>
      <c r="K104" s="25">
        <f>Mergent!P9</f>
        <v>3.0624744793793384</v>
      </c>
      <c r="L104" s="18"/>
    </row>
    <row r="105" spans="1:12" ht="12.75" customHeight="1">
      <c r="A105" s="11" t="s">
        <v>291</v>
      </c>
      <c r="B105" s="11" t="s">
        <v>157</v>
      </c>
      <c r="C105" s="11" t="s">
        <v>148</v>
      </c>
      <c r="D105" s="23">
        <f>Mergent!N16</f>
        <v>0</v>
      </c>
      <c r="E105" s="23">
        <f>Mergent!N17</f>
        <v>0</v>
      </c>
      <c r="F105" s="24"/>
      <c r="G105" s="16"/>
      <c r="H105" s="16"/>
      <c r="I105" s="16" t="s">
        <v>228</v>
      </c>
      <c r="J105" s="25" t="s">
        <v>228</v>
      </c>
      <c r="K105" s="16" t="s">
        <v>228</v>
      </c>
      <c r="L105" s="18"/>
    </row>
    <row r="106" spans="1:12" ht="12.75" customHeight="1">
      <c r="A106" s="11" t="s">
        <v>126</v>
      </c>
      <c r="B106" s="11" t="s">
        <v>380</v>
      </c>
      <c r="C106" s="12" t="s">
        <v>237</v>
      </c>
      <c r="D106" s="19" t="s">
        <v>228</v>
      </c>
      <c r="E106" s="23">
        <f>CSA!N128</f>
        <v>2291</v>
      </c>
      <c r="F106" s="24"/>
      <c r="G106" s="16"/>
      <c r="H106" s="16">
        <v>0</v>
      </c>
      <c r="I106" s="16" t="s">
        <v>228</v>
      </c>
      <c r="J106" s="25">
        <f>CSA!O128</f>
        <v>4380</v>
      </c>
      <c r="K106" s="25">
        <f>CSA!P128</f>
        <v>1.9118288956787428</v>
      </c>
      <c r="L106" s="18"/>
    </row>
    <row r="107" spans="1:12" ht="12.75" customHeight="1">
      <c r="A107" s="11" t="s">
        <v>51</v>
      </c>
      <c r="B107" s="11" t="s">
        <v>245</v>
      </c>
      <c r="C107" s="12" t="s">
        <v>187</v>
      </c>
      <c r="D107" s="13">
        <f>EBSCOhost!N132</f>
        <v>1197</v>
      </c>
      <c r="E107" s="23">
        <f>EBSCOhost!N133</f>
        <v>5740</v>
      </c>
      <c r="F107" s="24"/>
      <c r="G107" s="16"/>
      <c r="H107" s="16">
        <v>0</v>
      </c>
      <c r="I107" s="16" t="s">
        <v>228</v>
      </c>
      <c r="J107" s="25">
        <v>0</v>
      </c>
      <c r="K107" s="25" t="s">
        <v>228</v>
      </c>
      <c r="L107" s="18"/>
    </row>
    <row r="108" spans="1:12" ht="12.75" customHeight="1">
      <c r="A108" s="11" t="s">
        <v>158</v>
      </c>
      <c r="B108" s="11" t="s">
        <v>245</v>
      </c>
      <c r="C108" s="11" t="s">
        <v>187</v>
      </c>
      <c r="D108" s="23">
        <f>EBSCOhost!N138</f>
        <v>1546</v>
      </c>
      <c r="E108" s="23">
        <f>EBSCOhost!N139</f>
        <v>6441</v>
      </c>
      <c r="F108" s="24"/>
      <c r="G108" s="16"/>
      <c r="H108" s="16">
        <v>0</v>
      </c>
      <c r="I108" s="16" t="s">
        <v>228</v>
      </c>
      <c r="J108" s="25">
        <v>0</v>
      </c>
      <c r="K108" s="25" t="s">
        <v>228</v>
      </c>
      <c r="L108" s="18"/>
    </row>
    <row r="109" spans="1:12" ht="12.75" customHeight="1">
      <c r="A109" s="11" t="s">
        <v>4</v>
      </c>
      <c r="B109" s="11" t="s">
        <v>380</v>
      </c>
      <c r="C109" s="12" t="s">
        <v>237</v>
      </c>
      <c r="D109" s="19" t="s">
        <v>228</v>
      </c>
      <c r="E109" s="23">
        <f>CSA!N123</f>
        <v>1087</v>
      </c>
      <c r="F109" s="36"/>
      <c r="G109" s="23"/>
      <c r="H109" s="23">
        <v>0</v>
      </c>
      <c r="I109" s="16" t="s">
        <v>228</v>
      </c>
      <c r="J109" s="25">
        <v>0</v>
      </c>
      <c r="K109" s="25" t="s">
        <v>228</v>
      </c>
      <c r="L109" s="18"/>
    </row>
    <row r="110" spans="1:12" ht="12.75" customHeight="1">
      <c r="A110" s="11" t="s">
        <v>198</v>
      </c>
      <c r="B110" s="11" t="s">
        <v>380</v>
      </c>
      <c r="C110" s="12" t="s">
        <v>237</v>
      </c>
      <c r="D110" s="19" t="s">
        <v>228</v>
      </c>
      <c r="E110" s="23">
        <f>CSA!N118</f>
        <v>4500</v>
      </c>
      <c r="F110" s="36"/>
      <c r="G110" s="23"/>
      <c r="H110" s="23">
        <v>0</v>
      </c>
      <c r="I110" s="16" t="s">
        <v>228</v>
      </c>
      <c r="J110" s="25">
        <f>CSA!O118</f>
        <v>7600</v>
      </c>
      <c r="K110" s="25">
        <f>CSA!P118</f>
        <v>1.6888888888888889</v>
      </c>
      <c r="L110" s="18"/>
    </row>
    <row r="111" spans="1:12" ht="12.75" customHeight="1">
      <c r="A111" s="11" t="s">
        <v>127</v>
      </c>
      <c r="B111" s="11" t="s">
        <v>245</v>
      </c>
      <c r="C111" s="11" t="s">
        <v>187</v>
      </c>
      <c r="D111" s="23">
        <f>EBSCOhost!N144</f>
        <v>1260</v>
      </c>
      <c r="E111" s="23">
        <f>EBSCOhost!N145</f>
        <v>6019</v>
      </c>
      <c r="F111" s="24"/>
      <c r="G111" s="16"/>
      <c r="H111" s="16">
        <v>0</v>
      </c>
      <c r="I111" s="16" t="s">
        <v>228</v>
      </c>
      <c r="J111" s="25">
        <f>EBSCOhost!O145</f>
        <v>2280</v>
      </c>
      <c r="K111" s="25">
        <f>EBSCOhost!P145</f>
        <v>0.37880046519355376</v>
      </c>
      <c r="L111" s="18"/>
    </row>
    <row r="112" spans="1:12" ht="12.75" customHeight="1">
      <c r="A112" s="11" t="s">
        <v>309</v>
      </c>
      <c r="B112" s="11" t="s">
        <v>309</v>
      </c>
      <c r="C112" s="11" t="s">
        <v>148</v>
      </c>
      <c r="D112" s="23">
        <f>netLibrary!N8</f>
        <v>648</v>
      </c>
      <c r="E112" s="23" t="s">
        <v>228</v>
      </c>
      <c r="F112" s="24"/>
      <c r="G112" s="16"/>
      <c r="H112" s="37">
        <f>netLibrary!N9</f>
        <v>215</v>
      </c>
      <c r="I112" s="16" t="s">
        <v>228</v>
      </c>
      <c r="J112" s="25">
        <v>0</v>
      </c>
      <c r="K112" s="25" t="s">
        <v>228</v>
      </c>
      <c r="L112" s="18"/>
    </row>
    <row r="113" spans="1:12" ht="12.75" customHeight="1">
      <c r="A113" s="11" t="s">
        <v>105</v>
      </c>
      <c r="B113" s="11" t="s">
        <v>285</v>
      </c>
      <c r="C113" s="12" t="s">
        <v>247</v>
      </c>
      <c r="D113" s="13">
        <f>Newsbank!N27</f>
        <v>501</v>
      </c>
      <c r="E113" s="23">
        <f>Newsbank!N26</f>
        <v>786</v>
      </c>
      <c r="F113" s="24"/>
      <c r="G113" s="16"/>
      <c r="H113" s="16">
        <v>0</v>
      </c>
      <c r="I113" s="16" t="s">
        <v>228</v>
      </c>
      <c r="J113" s="25">
        <v>0</v>
      </c>
      <c r="K113" s="25" t="s">
        <v>228</v>
      </c>
      <c r="L113" s="18"/>
    </row>
    <row r="114" spans="1:12" ht="12.75" customHeight="1">
      <c r="A114" s="11" t="s">
        <v>325</v>
      </c>
      <c r="B114" s="11" t="s">
        <v>363</v>
      </c>
      <c r="C114" s="12" t="s">
        <v>187</v>
      </c>
      <c r="D114" s="13">
        <f>FirstSearch!N63</f>
        <v>14</v>
      </c>
      <c r="E114" s="23">
        <f>FirstSearch!N64</f>
        <v>20</v>
      </c>
      <c r="F114" s="24"/>
      <c r="G114" s="16"/>
      <c r="H114" s="16">
        <f>FirstSearch!N66</f>
        <v>0</v>
      </c>
      <c r="I114" s="16" t="s">
        <v>228</v>
      </c>
      <c r="J114" s="25">
        <v>0</v>
      </c>
      <c r="K114" s="25" t="s">
        <v>228</v>
      </c>
      <c r="L114" s="18"/>
    </row>
    <row r="115" spans="1:12" ht="12.75" customHeight="1">
      <c r="A115" s="11" t="s">
        <v>78</v>
      </c>
      <c r="B115" s="11" t="s">
        <v>380</v>
      </c>
      <c r="C115" s="12" t="s">
        <v>237</v>
      </c>
      <c r="D115" s="19" t="s">
        <v>228</v>
      </c>
      <c r="E115" s="23">
        <f>CSA!N133</f>
        <v>2670</v>
      </c>
      <c r="F115" s="24"/>
      <c r="G115" s="16"/>
      <c r="H115" s="16">
        <v>0</v>
      </c>
      <c r="I115" s="16" t="s">
        <v>228</v>
      </c>
      <c r="J115" s="25">
        <v>0</v>
      </c>
      <c r="K115" s="25" t="s">
        <v>228</v>
      </c>
      <c r="L115" s="18"/>
    </row>
    <row r="116" spans="1:12" ht="12.75" customHeight="1">
      <c r="A116" s="11" t="s">
        <v>267</v>
      </c>
      <c r="B116" s="11" t="s">
        <v>363</v>
      </c>
      <c r="C116" s="12" t="s">
        <v>187</v>
      </c>
      <c r="D116" s="20">
        <f>FirstSearch!N71</f>
        <v>92</v>
      </c>
      <c r="E116" s="23">
        <f>FirstSearch!N72</f>
        <v>93</v>
      </c>
      <c r="F116" s="24"/>
      <c r="G116" s="16"/>
      <c r="H116" s="37">
        <f>FirstSearch!N74</f>
        <v>0</v>
      </c>
      <c r="I116" s="16" t="s">
        <v>228</v>
      </c>
      <c r="J116" s="25">
        <v>0</v>
      </c>
      <c r="K116" s="25" t="s">
        <v>228</v>
      </c>
      <c r="L116" s="18"/>
    </row>
    <row r="117" spans="1:12" ht="37.5" customHeight="1">
      <c r="A117" s="11" t="s">
        <v>91</v>
      </c>
      <c r="B117" s="11" t="s">
        <v>363</v>
      </c>
      <c r="C117" s="11" t="s">
        <v>187</v>
      </c>
      <c r="D117" s="23">
        <f>FirstSearch!N79</f>
        <v>352</v>
      </c>
      <c r="E117" s="23">
        <f>FirstSearch!N80</f>
        <v>438</v>
      </c>
      <c r="F117" s="24"/>
      <c r="G117" s="16"/>
      <c r="H117" s="37">
        <f>FirstSearch!N82</f>
        <v>5</v>
      </c>
      <c r="I117" s="16" t="s">
        <v>228</v>
      </c>
      <c r="J117" s="25">
        <v>0</v>
      </c>
      <c r="K117" s="25" t="s">
        <v>228</v>
      </c>
      <c r="L117" s="10"/>
    </row>
    <row r="118" spans="1:12" ht="12.75" customHeight="1">
      <c r="A118" s="11" t="s">
        <v>292</v>
      </c>
      <c r="B118" s="11" t="s">
        <v>359</v>
      </c>
      <c r="C118" s="12" t="s">
        <v>237</v>
      </c>
      <c r="D118" s="14">
        <f>OVID!N45</f>
        <v>5242</v>
      </c>
      <c r="E118" s="23">
        <f>OVID!N44</f>
        <v>6300</v>
      </c>
      <c r="F118" s="24"/>
      <c r="G118" s="16"/>
      <c r="H118" s="16">
        <f>OVID!N46</f>
        <v>0</v>
      </c>
      <c r="I118" s="16" t="s">
        <v>228</v>
      </c>
      <c r="J118" s="25">
        <v>0</v>
      </c>
      <c r="K118" s="25" t="s">
        <v>228</v>
      </c>
      <c r="L118" s="18"/>
    </row>
    <row r="119" spans="1:12" ht="12.75" customHeight="1">
      <c r="A119" s="11" t="s">
        <v>201</v>
      </c>
      <c r="B119" s="11" t="s">
        <v>289</v>
      </c>
      <c r="C119" s="12" t="s">
        <v>148</v>
      </c>
      <c r="D119" s="20">
        <f>Oxford!N14</f>
        <v>5626</v>
      </c>
      <c r="E119" s="23">
        <f>Oxford!N16</f>
        <v>20348</v>
      </c>
      <c r="F119" s="36"/>
      <c r="G119" s="23"/>
      <c r="H119" s="23">
        <f>Oxford!N94</f>
        <v>0</v>
      </c>
      <c r="I119" s="16">
        <f>Oxford!N14</f>
        <v>5626</v>
      </c>
      <c r="J119" s="25">
        <f>Oxford!O16</f>
        <v>2968.02</v>
      </c>
      <c r="K119" s="25">
        <f>Oxford!P16</f>
        <v>0.14586298407705917</v>
      </c>
      <c r="L119" s="18"/>
    </row>
    <row r="120" spans="1:12" ht="12.75" customHeight="1">
      <c r="A120" s="11" t="s">
        <v>212</v>
      </c>
      <c r="B120" s="11" t="s">
        <v>380</v>
      </c>
      <c r="C120" s="12" t="s">
        <v>237</v>
      </c>
      <c r="D120" s="19" t="s">
        <v>228</v>
      </c>
      <c r="E120" s="23">
        <f>CSA!N143</f>
        <v>2102</v>
      </c>
      <c r="F120" s="24"/>
      <c r="G120" s="16"/>
      <c r="H120" s="16">
        <v>0</v>
      </c>
      <c r="I120" s="16" t="s">
        <v>228</v>
      </c>
      <c r="J120" s="25">
        <v>0</v>
      </c>
      <c r="K120" s="25" t="s">
        <v>228</v>
      </c>
      <c r="L120" s="18"/>
    </row>
    <row r="121" spans="1:12" ht="12.75" customHeight="1">
      <c r="A121" s="11" t="s">
        <v>410</v>
      </c>
      <c r="B121" s="11" t="s">
        <v>380</v>
      </c>
      <c r="C121" s="12" t="s">
        <v>237</v>
      </c>
      <c r="D121" s="19" t="s">
        <v>228</v>
      </c>
      <c r="E121" s="23">
        <f>CSA!N138</f>
        <v>2334</v>
      </c>
      <c r="F121" s="24"/>
      <c r="G121" s="16"/>
      <c r="H121" s="16">
        <v>0</v>
      </c>
      <c r="I121" s="16" t="s">
        <v>228</v>
      </c>
      <c r="J121" s="25">
        <f>CSA!O138</f>
        <v>6050</v>
      </c>
      <c r="K121" s="25">
        <f>CSA!P138</f>
        <v>2.5921165381319624</v>
      </c>
      <c r="L121" s="18"/>
    </row>
    <row r="122" spans="1:12" ht="12.75" customHeight="1">
      <c r="A122" s="11" t="s">
        <v>186</v>
      </c>
      <c r="B122" s="11" t="s">
        <v>363</v>
      </c>
      <c r="C122" s="11" t="s">
        <v>187</v>
      </c>
      <c r="D122" s="23">
        <f>FirstSearch!N87</f>
        <v>65</v>
      </c>
      <c r="E122" s="23">
        <f>FirstSearch!N88</f>
        <v>86</v>
      </c>
      <c r="F122" s="24"/>
      <c r="G122" s="16"/>
      <c r="H122" s="37">
        <f>FirstSearch!N82</f>
        <v>5</v>
      </c>
      <c r="I122" s="16" t="s">
        <v>228</v>
      </c>
      <c r="J122" s="25">
        <v>0</v>
      </c>
      <c r="K122" s="25" t="s">
        <v>228</v>
      </c>
      <c r="L122" s="18"/>
    </row>
    <row r="123" spans="1:12" ht="12.75" customHeight="1">
      <c r="A123" s="11" t="s">
        <v>34</v>
      </c>
      <c r="B123" s="11" t="s">
        <v>380</v>
      </c>
      <c r="C123" s="12" t="s">
        <v>237</v>
      </c>
      <c r="D123" s="19" t="s">
        <v>228</v>
      </c>
      <c r="E123" s="23">
        <f>CSA!N148</f>
        <v>990</v>
      </c>
      <c r="F123" s="24"/>
      <c r="G123" s="16"/>
      <c r="H123" s="16">
        <v>0</v>
      </c>
      <c r="I123" s="16" t="s">
        <v>228</v>
      </c>
      <c r="J123" s="25">
        <f>CSA!O148</f>
        <v>2800</v>
      </c>
      <c r="K123" s="25">
        <f>CSA!P148</f>
        <v>2.8282828282828283</v>
      </c>
      <c r="L123" s="18"/>
    </row>
    <row r="124" spans="1:12" ht="12.75" customHeight="1">
      <c r="A124" s="11" t="s">
        <v>402</v>
      </c>
      <c r="B124" s="11" t="s">
        <v>380</v>
      </c>
      <c r="C124" s="12" t="s">
        <v>237</v>
      </c>
      <c r="D124" s="19" t="s">
        <v>228</v>
      </c>
      <c r="E124" s="23">
        <f>CSA!N153</f>
        <v>3391</v>
      </c>
      <c r="F124" s="24"/>
      <c r="G124" s="16"/>
      <c r="H124" s="16">
        <v>0</v>
      </c>
      <c r="I124" s="16" t="s">
        <v>228</v>
      </c>
      <c r="J124" s="25">
        <f>CSA!O153</f>
        <v>1060</v>
      </c>
      <c r="K124" s="25">
        <f>CSA!P153</f>
        <v>0.31259215570628135</v>
      </c>
      <c r="L124" s="18"/>
    </row>
    <row r="125" spans="1:12" ht="12.75" customHeight="1">
      <c r="A125" s="11" t="s">
        <v>110</v>
      </c>
      <c r="B125" s="11" t="s">
        <v>380</v>
      </c>
      <c r="C125" s="12" t="s">
        <v>237</v>
      </c>
      <c r="D125" s="13" t="s">
        <v>228</v>
      </c>
      <c r="E125" s="23">
        <f>CSA!N158</f>
        <v>1640</v>
      </c>
      <c r="F125" s="24"/>
      <c r="G125" s="16"/>
      <c r="H125" s="16">
        <v>0</v>
      </c>
      <c r="I125" s="16" t="s">
        <v>228</v>
      </c>
      <c r="J125" s="25">
        <v>0</v>
      </c>
      <c r="K125" s="25" t="s">
        <v>228</v>
      </c>
      <c r="L125" s="18"/>
    </row>
    <row r="126" spans="1:12" ht="12.75" customHeight="1">
      <c r="A126" s="11" t="s">
        <v>195</v>
      </c>
      <c r="B126" s="11" t="s">
        <v>380</v>
      </c>
      <c r="C126" s="12" t="s">
        <v>237</v>
      </c>
      <c r="D126" s="13" t="s">
        <v>228</v>
      </c>
      <c r="E126" s="23">
        <f>CSA!N163</f>
        <v>156</v>
      </c>
      <c r="F126" s="24"/>
      <c r="G126" s="16"/>
      <c r="H126" s="16">
        <v>0</v>
      </c>
      <c r="I126" s="16" t="s">
        <v>214</v>
      </c>
      <c r="J126" s="25">
        <v>0</v>
      </c>
      <c r="K126" s="25" t="s">
        <v>228</v>
      </c>
      <c r="L126" s="18"/>
    </row>
    <row r="127" spans="1:12" ht="12.75" customHeight="1">
      <c r="A127" s="11" t="s">
        <v>299</v>
      </c>
      <c r="B127" s="11" t="s">
        <v>245</v>
      </c>
      <c r="C127" s="11" t="s">
        <v>187</v>
      </c>
      <c r="D127" s="23">
        <f>EBSCOhost!N150</f>
        <v>3606</v>
      </c>
      <c r="E127" s="23">
        <f>EBSCOhost!N151</f>
        <v>7180</v>
      </c>
      <c r="F127" s="24"/>
      <c r="G127" s="16"/>
      <c r="H127" s="16">
        <v>0</v>
      </c>
      <c r="I127" s="16" t="s">
        <v>228</v>
      </c>
      <c r="J127" s="25">
        <v>0</v>
      </c>
      <c r="K127" s="25" t="s">
        <v>228</v>
      </c>
      <c r="L127" s="18"/>
    </row>
    <row r="128" spans="1:12" ht="12.75" customHeight="1">
      <c r="A128" s="11" t="s">
        <v>232</v>
      </c>
      <c r="B128" s="11" t="s">
        <v>363</v>
      </c>
      <c r="C128" s="11" t="s">
        <v>187</v>
      </c>
      <c r="D128" s="23">
        <f>FirstSearch!N95</f>
        <v>35</v>
      </c>
      <c r="E128" s="23">
        <f>FirstSearch!N96</f>
        <v>42</v>
      </c>
      <c r="F128" s="24"/>
      <c r="G128" s="16"/>
      <c r="H128" s="37">
        <f>FirstSearch!N98</f>
        <v>0</v>
      </c>
      <c r="I128" s="16" t="s">
        <v>228</v>
      </c>
      <c r="J128" s="25">
        <v>0</v>
      </c>
      <c r="K128" s="25" t="s">
        <v>228</v>
      </c>
      <c r="L128" s="18"/>
    </row>
    <row r="129" spans="1:12" ht="24.75" customHeight="1">
      <c r="A129" s="11" t="s">
        <v>260</v>
      </c>
      <c r="B129" s="11" t="s">
        <v>55</v>
      </c>
      <c r="C129" s="11" t="s">
        <v>187</v>
      </c>
      <c r="D129" s="16">
        <f>ProQuest!N50</f>
        <v>8</v>
      </c>
      <c r="E129" s="23">
        <f>ProQuest!N49</f>
        <v>32</v>
      </c>
      <c r="F129" s="24"/>
      <c r="G129" s="16"/>
      <c r="H129" s="16">
        <v>0</v>
      </c>
      <c r="I129" s="16" t="s">
        <v>228</v>
      </c>
      <c r="J129" s="25">
        <f>ProQuest!O49</f>
        <v>0</v>
      </c>
      <c r="K129" s="25" t="str">
        <f>ProQuest!P49</f>
        <v>N/A</v>
      </c>
      <c r="L129" s="10"/>
    </row>
    <row r="130" spans="1:12" ht="12.75" customHeight="1">
      <c r="A130" s="11" t="s">
        <v>188</v>
      </c>
      <c r="B130" s="11" t="s">
        <v>55</v>
      </c>
      <c r="C130" s="11" t="s">
        <v>187</v>
      </c>
      <c r="D130" s="16">
        <f>ProQuest!N56</f>
        <v>4150</v>
      </c>
      <c r="E130" s="23">
        <f>ProQuest!N55</f>
        <v>12686</v>
      </c>
      <c r="F130" s="24"/>
      <c r="G130" s="16"/>
      <c r="H130" s="16">
        <v>0</v>
      </c>
      <c r="I130" s="16" t="s">
        <v>228</v>
      </c>
      <c r="J130" s="25">
        <f>ProQuest!O55</f>
        <v>3370</v>
      </c>
      <c r="K130" s="25">
        <f>ProQuest!P55</f>
        <v>0.26564717010878136</v>
      </c>
      <c r="L130" s="18"/>
    </row>
    <row r="131" spans="1:12" ht="12.75" customHeight="1">
      <c r="A131" s="11" t="s">
        <v>297</v>
      </c>
      <c r="B131" s="11" t="s">
        <v>55</v>
      </c>
      <c r="C131" s="11" t="s">
        <v>187</v>
      </c>
      <c r="D131" s="16" t="s">
        <v>228</v>
      </c>
      <c r="E131" s="23">
        <f>ProQuest!N61</f>
        <v>14655</v>
      </c>
      <c r="F131" s="24"/>
      <c r="G131" s="16"/>
      <c r="H131" s="16">
        <v>0</v>
      </c>
      <c r="I131" s="16" t="s">
        <v>228</v>
      </c>
      <c r="J131" s="25">
        <f>ProQuest!O61</f>
        <v>0</v>
      </c>
      <c r="K131" s="25" t="str">
        <f>ProQuest!P61</f>
        <v>N/A</v>
      </c>
      <c r="L131" s="18"/>
    </row>
    <row r="132" spans="1:12" ht="12.75" customHeight="1">
      <c r="A132" s="11" t="s">
        <v>156</v>
      </c>
      <c r="B132" s="11" t="s">
        <v>55</v>
      </c>
      <c r="C132" s="11" t="s">
        <v>187</v>
      </c>
      <c r="D132" s="16">
        <f>ProQuest!N67</f>
        <v>3787</v>
      </c>
      <c r="E132" s="23">
        <f>ProQuest!N66</f>
        <v>11679</v>
      </c>
      <c r="F132" s="24"/>
      <c r="G132" s="16"/>
      <c r="H132" s="16">
        <v>0</v>
      </c>
      <c r="I132" s="16" t="s">
        <v>228</v>
      </c>
      <c r="J132" s="25">
        <f>ProQuest!O66</f>
        <v>1940</v>
      </c>
      <c r="K132" s="25">
        <f>ProQuest!P66</f>
        <v>0.16611011216713759</v>
      </c>
      <c r="L132" s="18"/>
    </row>
    <row r="133" spans="1:12" ht="12.75" customHeight="1">
      <c r="A133" s="11" t="s">
        <v>295</v>
      </c>
      <c r="B133" s="11" t="s">
        <v>245</v>
      </c>
      <c r="C133" s="12" t="s">
        <v>187</v>
      </c>
      <c r="D133" s="13">
        <f>EBSCOhost!N156</f>
        <v>13035</v>
      </c>
      <c r="E133" s="23">
        <f>EBSCOhost!N157</f>
        <v>37357</v>
      </c>
      <c r="F133" s="24"/>
      <c r="G133" s="16"/>
      <c r="H133" s="16">
        <v>0</v>
      </c>
      <c r="I133" s="16" t="s">
        <v>228</v>
      </c>
      <c r="J133" s="25">
        <f>EBSCOhost!O157</f>
        <v>17969</v>
      </c>
      <c r="K133" s="25">
        <f>EBSCOhost!P157</f>
        <v>0.48100757555478224</v>
      </c>
      <c r="L133" s="18"/>
    </row>
    <row r="134" spans="1:12" ht="12.75" customHeight="1">
      <c r="A134" s="11" t="s">
        <v>83</v>
      </c>
      <c r="B134" s="11" t="s">
        <v>380</v>
      </c>
      <c r="C134" s="12" t="s">
        <v>237</v>
      </c>
      <c r="D134" s="19" t="s">
        <v>228</v>
      </c>
      <c r="E134" s="23">
        <f>CSA!N168</f>
        <v>28783</v>
      </c>
      <c r="F134" s="24"/>
      <c r="G134" s="16"/>
      <c r="H134" s="16">
        <v>0</v>
      </c>
      <c r="I134" s="16" t="s">
        <v>228</v>
      </c>
      <c r="J134" s="25">
        <f>CSA!O168</f>
        <v>15675</v>
      </c>
      <c r="K134" s="25">
        <f>CSA!P168</f>
        <v>0.54459229406246745</v>
      </c>
      <c r="L134" s="18"/>
    </row>
    <row r="135" spans="1:12" ht="24.75" customHeight="1">
      <c r="A135" s="11" t="s">
        <v>200</v>
      </c>
      <c r="B135" s="11" t="s">
        <v>229</v>
      </c>
      <c r="C135" s="11" t="s">
        <v>247</v>
      </c>
      <c r="D135" s="23">
        <f>WilsonWeb!N89</f>
        <v>240</v>
      </c>
      <c r="E135" s="23">
        <f>WilsonWeb!N90</f>
        <v>1043</v>
      </c>
      <c r="F135" s="24"/>
      <c r="G135" s="16"/>
      <c r="H135" s="37">
        <f>WilsonWeb!N91</f>
        <v>18</v>
      </c>
      <c r="I135" s="16" t="s">
        <v>228</v>
      </c>
      <c r="J135" s="25">
        <f>WilsonWeb!O90</f>
        <v>326</v>
      </c>
      <c r="K135" s="25">
        <f>WilsonWeb!P90</f>
        <v>0.31255992329817833</v>
      </c>
      <c r="L135" s="10"/>
    </row>
    <row r="136" spans="1:12" ht="12.75" customHeight="1">
      <c r="A136" s="11" t="s">
        <v>286</v>
      </c>
      <c r="B136" s="11" t="s">
        <v>2</v>
      </c>
      <c r="C136" s="12" t="s">
        <v>148</v>
      </c>
      <c r="D136" s="23" t="s">
        <v>228</v>
      </c>
      <c r="E136" s="23">
        <f>ReferenceUSA!N9</f>
        <v>3328</v>
      </c>
      <c r="F136" s="24"/>
      <c r="G136" s="16"/>
      <c r="H136" s="16">
        <v>0</v>
      </c>
      <c r="I136" s="16">
        <f>ReferenceUSA!N10</f>
        <v>7885</v>
      </c>
      <c r="J136" s="25">
        <v>0</v>
      </c>
      <c r="K136" s="25" t="s">
        <v>228</v>
      </c>
      <c r="L136" s="18"/>
    </row>
    <row r="137" spans="1:12" ht="12.75" customHeight="1">
      <c r="A137" s="11" t="s">
        <v>394</v>
      </c>
      <c r="B137" s="11" t="s">
        <v>2</v>
      </c>
      <c r="C137" s="12" t="s">
        <v>148</v>
      </c>
      <c r="D137" s="23" t="s">
        <v>228</v>
      </c>
      <c r="E137" s="23">
        <f>ReferenceUSA!N27</f>
        <v>380</v>
      </c>
      <c r="F137" s="24"/>
      <c r="G137" s="16"/>
      <c r="H137" s="16">
        <v>0</v>
      </c>
      <c r="I137" s="16">
        <f>ReferenceUSA!N28</f>
        <v>536</v>
      </c>
      <c r="J137" s="25">
        <v>0</v>
      </c>
      <c r="K137" s="25" t="s">
        <v>228</v>
      </c>
      <c r="L137" s="18"/>
    </row>
    <row r="138" spans="1:12" ht="12.75" customHeight="1">
      <c r="A138" s="11" t="s">
        <v>409</v>
      </c>
      <c r="B138" s="11" t="s">
        <v>2</v>
      </c>
      <c r="C138" s="12" t="s">
        <v>148</v>
      </c>
      <c r="D138" s="23">
        <f>ReferenceUSA!N44</f>
        <v>983</v>
      </c>
      <c r="E138" s="23">
        <f>ReferenceUSA!N45</f>
        <v>3708</v>
      </c>
      <c r="F138" s="24"/>
      <c r="G138" s="16"/>
      <c r="H138" s="16">
        <v>0</v>
      </c>
      <c r="I138" s="16">
        <f>ReferenceUSA!N46</f>
        <v>8421</v>
      </c>
      <c r="J138" s="25">
        <v>0</v>
      </c>
      <c r="K138" s="25" t="s">
        <v>228</v>
      </c>
      <c r="L138" s="18"/>
    </row>
    <row r="139" spans="1:12" ht="12.75" customHeight="1">
      <c r="A139" s="11" t="s">
        <v>361</v>
      </c>
      <c r="B139" s="11" t="s">
        <v>380</v>
      </c>
      <c r="C139" s="12" t="s">
        <v>148</v>
      </c>
      <c r="D139" s="20" t="s">
        <v>228</v>
      </c>
      <c r="E139" s="16" t="s">
        <v>228</v>
      </c>
      <c r="F139" s="24"/>
      <c r="G139" s="16"/>
      <c r="H139" s="16">
        <v>0</v>
      </c>
      <c r="I139" s="16" t="s">
        <v>228</v>
      </c>
      <c r="J139" s="25">
        <f>RefWorks!O10</f>
        <v>14030</v>
      </c>
      <c r="K139" s="25">
        <f>RefWorks!P10</f>
        <v>3.7990793392905498</v>
      </c>
      <c r="L139" s="18"/>
    </row>
    <row r="140" spans="1:12" ht="12.75" customHeight="1">
      <c r="A140" s="11" t="s">
        <v>371</v>
      </c>
      <c r="B140" s="11" t="s">
        <v>245</v>
      </c>
      <c r="C140" s="12" t="s">
        <v>187</v>
      </c>
      <c r="D140" s="14">
        <f>EBSCOhost!N162</f>
        <v>1092</v>
      </c>
      <c r="E140" s="16">
        <f>EBSCOhost!N163</f>
        <v>5587</v>
      </c>
      <c r="F140" s="24"/>
      <c r="G140" s="16"/>
      <c r="H140" s="16">
        <v>0</v>
      </c>
      <c r="I140" s="16" t="s">
        <v>228</v>
      </c>
      <c r="J140" s="25">
        <v>0</v>
      </c>
      <c r="K140" s="25" t="s">
        <v>228</v>
      </c>
      <c r="L140" s="18"/>
    </row>
    <row r="141" spans="1:12" ht="12.75" customHeight="1">
      <c r="A141" s="11" t="s">
        <v>169</v>
      </c>
      <c r="B141" s="11" t="s">
        <v>380</v>
      </c>
      <c r="C141" s="12" t="s">
        <v>237</v>
      </c>
      <c r="D141" s="14" t="s">
        <v>228</v>
      </c>
      <c r="E141" s="16">
        <f>CSA!N173</f>
        <v>656</v>
      </c>
      <c r="F141" s="24"/>
      <c r="G141" s="16"/>
      <c r="H141" s="16">
        <v>0</v>
      </c>
      <c r="I141" s="16" t="s">
        <v>228</v>
      </c>
      <c r="J141" s="25">
        <v>0</v>
      </c>
      <c r="K141" s="25" t="s">
        <v>228</v>
      </c>
      <c r="L141" s="18"/>
    </row>
    <row r="142" spans="1:12" ht="12.75" customHeight="1">
      <c r="A142" s="11" t="s">
        <v>315</v>
      </c>
      <c r="B142" s="11" t="s">
        <v>55</v>
      </c>
      <c r="C142" s="11" t="s">
        <v>187</v>
      </c>
      <c r="D142" s="16">
        <f>ProQuest!N71</f>
        <v>0</v>
      </c>
      <c r="E142" s="23">
        <f>ProQuest!N72</f>
        <v>0</v>
      </c>
      <c r="F142" s="24"/>
      <c r="G142" s="16"/>
      <c r="H142" s="16"/>
      <c r="I142" s="16" t="s">
        <v>228</v>
      </c>
      <c r="J142" s="25">
        <f>ProQuest!O71</f>
        <v>4501</v>
      </c>
      <c r="K142" s="25" t="s">
        <v>228</v>
      </c>
      <c r="L142" s="18"/>
    </row>
    <row r="143" spans="1:12" ht="12.75" customHeight="1">
      <c r="A143" s="11" t="s">
        <v>365</v>
      </c>
      <c r="B143" s="11" t="s">
        <v>167</v>
      </c>
      <c r="C143" s="11" t="s">
        <v>148</v>
      </c>
      <c r="D143" s="23" t="s">
        <v>228</v>
      </c>
      <c r="E143" s="23">
        <f>SciFinderScholar!N9</f>
        <v>7690</v>
      </c>
      <c r="F143" s="36"/>
      <c r="G143" s="23"/>
      <c r="H143" s="23">
        <f>SciFinderScholar!N10</f>
        <v>1075</v>
      </c>
      <c r="I143" s="16" t="s">
        <v>228</v>
      </c>
      <c r="J143" s="25">
        <f>SciFinderScholar!O9</f>
        <v>32670</v>
      </c>
      <c r="K143" s="25">
        <f>SciFinderScholar!P9</f>
        <v>4.2483745123537062</v>
      </c>
      <c r="L143" s="18"/>
    </row>
    <row r="144" spans="1:12" ht="12.75" customHeight="1">
      <c r="A144" s="11" t="s">
        <v>223</v>
      </c>
      <c r="B144" s="11" t="s">
        <v>285</v>
      </c>
      <c r="C144" s="12" t="s">
        <v>247</v>
      </c>
      <c r="D144" s="13" t="s">
        <v>228</v>
      </c>
      <c r="E144" s="23">
        <f>Newsbank!N14</f>
        <v>61</v>
      </c>
      <c r="F144" s="24"/>
      <c r="G144" s="16"/>
      <c r="H144" s="16">
        <v>0</v>
      </c>
      <c r="I144" s="16" t="s">
        <v>228</v>
      </c>
      <c r="J144" s="25">
        <v>0</v>
      </c>
      <c r="K144" s="25" t="s">
        <v>228</v>
      </c>
      <c r="L144" s="18"/>
    </row>
    <row r="145" spans="1:12" ht="12.75" customHeight="1">
      <c r="A145" s="11" t="s">
        <v>54</v>
      </c>
      <c r="B145" s="11" t="s">
        <v>229</v>
      </c>
      <c r="C145" s="11" t="s">
        <v>247</v>
      </c>
      <c r="D145" s="23" t="s">
        <v>228</v>
      </c>
      <c r="E145" s="23" t="s">
        <v>228</v>
      </c>
      <c r="F145" s="24"/>
      <c r="G145" s="16"/>
      <c r="H145" s="37" t="s">
        <v>228</v>
      </c>
      <c r="I145" s="16" t="s">
        <v>228</v>
      </c>
      <c r="J145" s="25">
        <f>WilsonWeb!O98</f>
        <v>3880</v>
      </c>
      <c r="K145" s="25" t="s">
        <v>228</v>
      </c>
      <c r="L145" s="18"/>
    </row>
    <row r="146" spans="1:12" ht="12.75" customHeight="1">
      <c r="A146" s="11" t="s">
        <v>333</v>
      </c>
      <c r="B146" s="11" t="s">
        <v>380</v>
      </c>
      <c r="C146" s="12" t="s">
        <v>237</v>
      </c>
      <c r="D146" s="19" t="s">
        <v>228</v>
      </c>
      <c r="E146" s="23">
        <f>CSA!N178</f>
        <v>2098</v>
      </c>
      <c r="F146" s="24"/>
      <c r="G146" s="16"/>
      <c r="H146" s="16">
        <v>0</v>
      </c>
      <c r="I146" s="16" t="s">
        <v>228</v>
      </c>
      <c r="J146" s="25">
        <v>0</v>
      </c>
      <c r="K146" s="25" t="s">
        <v>228</v>
      </c>
      <c r="L146" s="18"/>
    </row>
    <row r="147" spans="1:12" ht="12.75" customHeight="1">
      <c r="A147" s="11" t="s">
        <v>403</v>
      </c>
      <c r="B147" s="11" t="s">
        <v>380</v>
      </c>
      <c r="C147" s="12" t="s">
        <v>237</v>
      </c>
      <c r="D147" s="19" t="s">
        <v>228</v>
      </c>
      <c r="E147" s="23">
        <f>CSA!N183</f>
        <v>2991</v>
      </c>
      <c r="F147" s="24"/>
      <c r="G147" s="16"/>
      <c r="H147" s="16">
        <v>0</v>
      </c>
      <c r="I147" s="16" t="s">
        <v>228</v>
      </c>
      <c r="J147" s="25">
        <f>CSA!O183</f>
        <v>4580</v>
      </c>
      <c r="K147" s="25">
        <f>CSA!P183</f>
        <v>1.5312604480106988</v>
      </c>
      <c r="L147" s="18"/>
    </row>
    <row r="148" spans="1:12" ht="12.75" customHeight="1">
      <c r="A148" s="11" t="s">
        <v>266</v>
      </c>
      <c r="B148" s="11" t="s">
        <v>380</v>
      </c>
      <c r="C148" s="12" t="s">
        <v>237</v>
      </c>
      <c r="D148" s="13" t="s">
        <v>228</v>
      </c>
      <c r="E148" s="23">
        <f>CSA!N188</f>
        <v>976</v>
      </c>
      <c r="F148" s="24"/>
      <c r="G148" s="16"/>
      <c r="H148" s="16">
        <v>0</v>
      </c>
      <c r="I148" s="16" t="s">
        <v>228</v>
      </c>
      <c r="J148" s="25">
        <v>0</v>
      </c>
      <c r="K148" s="25" t="s">
        <v>228</v>
      </c>
      <c r="L148" s="18"/>
    </row>
    <row r="149" spans="1:12" ht="12.75" customHeight="1">
      <c r="A149" s="11" t="s">
        <v>121</v>
      </c>
      <c r="B149" s="11" t="s">
        <v>245</v>
      </c>
      <c r="C149" s="12" t="s">
        <v>187</v>
      </c>
      <c r="D149" s="13">
        <f>EBSCOhost!N168</f>
        <v>1391</v>
      </c>
      <c r="E149" s="23">
        <f>EBSCOhost!N169</f>
        <v>7582</v>
      </c>
      <c r="F149" s="24"/>
      <c r="G149" s="16"/>
      <c r="H149" s="16">
        <v>0</v>
      </c>
      <c r="I149" s="16" t="s">
        <v>228</v>
      </c>
      <c r="J149" s="25">
        <v>0</v>
      </c>
      <c r="K149" s="25" t="s">
        <v>228</v>
      </c>
      <c r="L149" s="18"/>
    </row>
    <row r="150" spans="1:12" ht="12.75" customHeight="1">
      <c r="A150" s="11" t="s">
        <v>5</v>
      </c>
      <c r="B150" s="11" t="s">
        <v>245</v>
      </c>
      <c r="C150" s="11" t="s">
        <v>187</v>
      </c>
      <c r="D150" s="23">
        <f>EBSCOhost!N174</f>
        <v>1243</v>
      </c>
      <c r="E150" s="23">
        <f>EBSCOhost!N175</f>
        <v>6377</v>
      </c>
      <c r="F150" s="24"/>
      <c r="G150" s="16"/>
      <c r="H150" s="16">
        <v>0</v>
      </c>
      <c r="I150" s="16" t="s">
        <v>228</v>
      </c>
      <c r="J150" s="25">
        <f>EBSCOhost!O175</f>
        <v>2810</v>
      </c>
      <c r="K150" s="25">
        <f>EBSCOhost!P175</f>
        <v>0.44064607182060528</v>
      </c>
      <c r="L150" s="18"/>
    </row>
    <row r="151" spans="1:12" ht="12.75" customHeight="1">
      <c r="A151" s="11" t="s">
        <v>395</v>
      </c>
      <c r="B151" s="11" t="s">
        <v>245</v>
      </c>
      <c r="C151" s="11" t="s">
        <v>187</v>
      </c>
      <c r="D151" s="23">
        <f>EBSCOhost!N180</f>
        <v>1439</v>
      </c>
      <c r="E151" s="23">
        <f>EBSCOhost!N181</f>
        <v>6906</v>
      </c>
      <c r="F151" s="24"/>
      <c r="G151" s="16"/>
      <c r="H151" s="16">
        <v>0</v>
      </c>
      <c r="I151" s="16" t="s">
        <v>228</v>
      </c>
      <c r="J151" s="25">
        <v>0</v>
      </c>
      <c r="K151" s="25" t="s">
        <v>228</v>
      </c>
      <c r="L151" s="18"/>
    </row>
    <row r="152" spans="1:12" ht="12.75" customHeight="1">
      <c r="A152" s="11" t="s">
        <v>128</v>
      </c>
      <c r="B152" s="11" t="s">
        <v>380</v>
      </c>
      <c r="C152" s="11" t="s">
        <v>237</v>
      </c>
      <c r="D152" s="23" t="s">
        <v>228</v>
      </c>
      <c r="E152" s="23">
        <f>CSA!N193</f>
        <v>142</v>
      </c>
      <c r="F152" s="24"/>
      <c r="G152" s="16"/>
      <c r="H152" s="16">
        <v>0</v>
      </c>
      <c r="I152" s="16" t="s">
        <v>228</v>
      </c>
      <c r="J152" s="25">
        <v>0</v>
      </c>
      <c r="K152" s="25" t="s">
        <v>228</v>
      </c>
      <c r="L152" s="18"/>
    </row>
    <row r="153" spans="1:12" ht="12.75" customHeight="1">
      <c r="A153" s="11" t="s">
        <v>257</v>
      </c>
      <c r="B153" s="11" t="s">
        <v>380</v>
      </c>
      <c r="C153" s="11" t="s">
        <v>237</v>
      </c>
      <c r="D153" s="23" t="s">
        <v>228</v>
      </c>
      <c r="E153" s="23">
        <f>CSA!N198</f>
        <v>142</v>
      </c>
      <c r="F153" s="24"/>
      <c r="G153" s="16"/>
      <c r="H153" s="16">
        <v>0</v>
      </c>
      <c r="I153" s="16" t="s">
        <v>228</v>
      </c>
      <c r="J153" s="25">
        <v>0</v>
      </c>
      <c r="K153" s="25" t="s">
        <v>228</v>
      </c>
      <c r="L153" s="18"/>
    </row>
    <row r="154" spans="1:12" ht="12.75" customHeight="1">
      <c r="A154" s="39" t="s">
        <v>153</v>
      </c>
      <c r="B154" s="39" t="s">
        <v>285</v>
      </c>
      <c r="C154" s="40" t="s">
        <v>247</v>
      </c>
      <c r="D154" s="41" t="s">
        <v>228</v>
      </c>
      <c r="E154" s="19">
        <f>Newsbank!N20</f>
        <v>354</v>
      </c>
      <c r="F154" s="21"/>
      <c r="G154" s="19"/>
      <c r="H154" s="19">
        <v>0</v>
      </c>
      <c r="I154" s="19" t="s">
        <v>228</v>
      </c>
      <c r="J154" s="22">
        <v>0</v>
      </c>
      <c r="K154" s="19" t="s">
        <v>228</v>
      </c>
      <c r="L154" s="18"/>
    </row>
    <row r="155" spans="1:12" ht="12.75" customHeight="1">
      <c r="A155" s="11" t="s">
        <v>312</v>
      </c>
      <c r="B155" s="11" t="s">
        <v>55</v>
      </c>
      <c r="C155" s="11" t="s">
        <v>187</v>
      </c>
      <c r="D155" s="16">
        <f>ProQuest!N77</f>
        <v>3324</v>
      </c>
      <c r="E155" s="23">
        <f>ProQuest!N76</f>
        <v>9922</v>
      </c>
      <c r="F155" s="24"/>
      <c r="G155" s="16"/>
      <c r="H155" s="16">
        <v>0</v>
      </c>
      <c r="I155" s="16" t="s">
        <v>228</v>
      </c>
      <c r="J155" s="25">
        <v>0</v>
      </c>
      <c r="K155" s="25" t="s">
        <v>228</v>
      </c>
      <c r="L155" s="18"/>
    </row>
    <row r="156" spans="1:12" ht="12.75" customHeight="1">
      <c r="A156" s="11" t="s">
        <v>288</v>
      </c>
      <c r="B156" s="11" t="s">
        <v>380</v>
      </c>
      <c r="C156" s="11" t="s">
        <v>237</v>
      </c>
      <c r="D156" s="16" t="s">
        <v>228</v>
      </c>
      <c r="E156" s="23">
        <f>CSA!N203</f>
        <v>142</v>
      </c>
      <c r="F156" s="24"/>
      <c r="G156" s="16"/>
      <c r="H156" s="16">
        <v>0</v>
      </c>
      <c r="I156" s="16" t="s">
        <v>228</v>
      </c>
      <c r="J156" s="25">
        <v>0</v>
      </c>
      <c r="K156" s="40" t="s">
        <v>228</v>
      </c>
      <c r="L156" s="18"/>
    </row>
    <row r="157" spans="1:12" ht="12.75" customHeight="1">
      <c r="A157" s="11" t="s">
        <v>290</v>
      </c>
      <c r="B157" s="11" t="s">
        <v>123</v>
      </c>
      <c r="C157" s="11" t="s">
        <v>187</v>
      </c>
      <c r="D157" s="16">
        <f>WebofScience!N20</f>
        <v>15080</v>
      </c>
      <c r="E157" s="23" t="s">
        <v>228</v>
      </c>
      <c r="F157" s="24"/>
      <c r="G157" s="16"/>
      <c r="H157" s="16">
        <v>0</v>
      </c>
      <c r="I157" s="16" t="s">
        <v>228</v>
      </c>
      <c r="J157" s="25">
        <v>0</v>
      </c>
      <c r="K157" s="25" t="s">
        <v>228</v>
      </c>
      <c r="L157" s="18"/>
    </row>
    <row r="158" spans="1:12" ht="12.75" customHeight="1">
      <c r="A158" s="11" t="s">
        <v>123</v>
      </c>
      <c r="B158" s="11" t="s">
        <v>123</v>
      </c>
      <c r="C158" s="11" t="s">
        <v>187</v>
      </c>
      <c r="D158" s="23">
        <f>WebofScience!N25</f>
        <v>11752</v>
      </c>
      <c r="E158" s="23">
        <f>WebofScience!N26</f>
        <v>35011</v>
      </c>
      <c r="F158" s="36"/>
      <c r="G158" s="23"/>
      <c r="H158" s="23">
        <v>0</v>
      </c>
      <c r="I158" s="16" t="s">
        <v>228</v>
      </c>
      <c r="J158" s="25">
        <v>0</v>
      </c>
      <c r="K158" s="25" t="s">
        <v>228</v>
      </c>
      <c r="L158" s="18"/>
    </row>
    <row r="159" spans="1:12" ht="12.75" customHeight="1">
      <c r="A159" s="11" t="s">
        <v>100</v>
      </c>
      <c r="B159" s="11" t="s">
        <v>245</v>
      </c>
      <c r="C159" s="11" t="s">
        <v>187</v>
      </c>
      <c r="D159" s="23">
        <f>EBSCOhost!N186</f>
        <v>1562</v>
      </c>
      <c r="E159" s="23">
        <f>EBSCOhost!N187</f>
        <v>7069</v>
      </c>
      <c r="F159" s="36"/>
      <c r="G159" s="23"/>
      <c r="H159" s="23">
        <v>0</v>
      </c>
      <c r="I159" s="16" t="s">
        <v>228</v>
      </c>
      <c r="J159" s="25">
        <f>EBSCOhost!O187</f>
        <v>2931</v>
      </c>
      <c r="K159" s="25">
        <f>EBSCOhost!P187</f>
        <v>0.4146272457207526</v>
      </c>
      <c r="L159" s="18"/>
    </row>
    <row r="160" spans="1:12" ht="12.75" customHeight="1">
      <c r="A160" s="11" t="s">
        <v>1</v>
      </c>
      <c r="B160" s="11" t="s">
        <v>363</v>
      </c>
      <c r="C160" s="11" t="s">
        <v>187</v>
      </c>
      <c r="D160" s="23">
        <f>FirstSearch!N103</f>
        <v>136</v>
      </c>
      <c r="E160" s="23">
        <f>FirstSearch!N104</f>
        <v>190</v>
      </c>
      <c r="F160" s="24"/>
      <c r="G160" s="16"/>
      <c r="H160" s="37">
        <f>FirstSearch!N106</f>
        <v>1</v>
      </c>
      <c r="I160" s="16" t="s">
        <v>228</v>
      </c>
      <c r="J160" s="25">
        <v>0</v>
      </c>
      <c r="K160" s="25" t="s">
        <v>228</v>
      </c>
      <c r="L160" s="18"/>
    </row>
    <row r="161" spans="1:12" ht="12.75" customHeight="1">
      <c r="A161" s="11" t="s">
        <v>30</v>
      </c>
      <c r="B161" s="11" t="s">
        <v>363</v>
      </c>
      <c r="C161" s="11" t="s">
        <v>187</v>
      </c>
      <c r="D161" s="23">
        <f>FirstSearch!N119</f>
        <v>94</v>
      </c>
      <c r="E161" s="23">
        <f>FirstSearch!N120</f>
        <v>160</v>
      </c>
      <c r="F161" s="24"/>
      <c r="G161" s="16"/>
      <c r="H161" s="37">
        <f>FirstSearch!N122</f>
        <v>1</v>
      </c>
      <c r="I161" s="16" t="s">
        <v>228</v>
      </c>
      <c r="J161" s="25">
        <v>0</v>
      </c>
      <c r="K161" s="25" t="s">
        <v>228</v>
      </c>
      <c r="L161" s="18"/>
    </row>
    <row r="162" spans="1:12" ht="12.75" customHeight="1">
      <c r="A162" s="11" t="s">
        <v>208</v>
      </c>
      <c r="B162" s="11" t="s">
        <v>363</v>
      </c>
      <c r="C162" s="11" t="s">
        <v>187</v>
      </c>
      <c r="D162" s="23">
        <f>FirstSearch!N111</f>
        <v>2621</v>
      </c>
      <c r="E162" s="23">
        <f>FirstSearch!N112</f>
        <v>12073</v>
      </c>
      <c r="F162" s="24"/>
      <c r="G162" s="16"/>
      <c r="H162" s="37">
        <f>FirstSearch!N114</f>
        <v>331</v>
      </c>
      <c r="I162" s="16" t="s">
        <v>228</v>
      </c>
      <c r="J162" s="25">
        <v>0</v>
      </c>
      <c r="K162" s="25" t="s">
        <v>228</v>
      </c>
      <c r="L162" s="18"/>
    </row>
    <row r="163" spans="1:12" ht="12.75" customHeight="1">
      <c r="A163" s="42" t="s">
        <v>364</v>
      </c>
      <c r="B163" s="42" t="s">
        <v>359</v>
      </c>
      <c r="C163" s="43" t="s">
        <v>237</v>
      </c>
      <c r="D163" s="44">
        <f>OVID!N38</f>
        <v>370</v>
      </c>
      <c r="E163" s="45">
        <f>OVID!N37</f>
        <v>417</v>
      </c>
      <c r="F163" s="24"/>
      <c r="G163" s="46"/>
      <c r="H163" s="47">
        <f>OVID!N39</f>
        <v>0</v>
      </c>
      <c r="I163" s="45" t="s">
        <v>228</v>
      </c>
      <c r="J163" s="25">
        <v>0</v>
      </c>
      <c r="K163" s="46" t="s">
        <v>228</v>
      </c>
    </row>
  </sheetData>
  <mergeCells count="2">
    <mergeCell ref="A1:B1"/>
    <mergeCell ref="A4:B4"/>
  </mergeCells>
  <pageMargins left="0.75" right="0.75" top="1" bottom="1" header="0.5" footer="0.5"/>
  <pageSetup paperSize="9" scale="85"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dimension ref="A1:P9"/>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19.140625" customWidth="1"/>
    <col min="2" max="16" width="9.5703125" customWidth="1"/>
    <col min="17" max="20" width="17.140625" customWidth="1"/>
  </cols>
  <sheetData>
    <row r="1" spans="1:16" ht="12.75" customHeight="1">
      <c r="A1" s="178" t="s">
        <v>50</v>
      </c>
      <c r="B1" s="181"/>
      <c r="C1" s="181"/>
    </row>
    <row r="2" spans="1:16" ht="12.75" customHeight="1">
      <c r="A2" s="48" t="s">
        <v>342</v>
      </c>
    </row>
    <row r="4" spans="1:16" ht="12.75" customHeight="1">
      <c r="A4" s="2" t="s">
        <v>18</v>
      </c>
      <c r="B4" s="49" t="s">
        <v>148</v>
      </c>
    </row>
    <row r="5" spans="1:16" ht="12.75" customHeight="1">
      <c r="A5" s="6"/>
      <c r="B5" s="6"/>
      <c r="C5" s="6"/>
      <c r="D5" s="6"/>
      <c r="E5" s="6"/>
      <c r="F5" s="6"/>
      <c r="G5" s="6"/>
      <c r="H5" s="6"/>
      <c r="I5" s="6"/>
      <c r="J5" s="6"/>
      <c r="K5" s="6"/>
      <c r="L5" s="6"/>
      <c r="M5" s="6"/>
      <c r="N5" s="6"/>
      <c r="O5" s="6"/>
      <c r="P5" s="6"/>
    </row>
    <row r="6" spans="1:16" ht="12.75" customHeight="1">
      <c r="A6" s="50"/>
      <c r="B6" s="51" t="s">
        <v>293</v>
      </c>
      <c r="C6" s="51" t="s">
        <v>101</v>
      </c>
      <c r="D6" s="51" t="s">
        <v>143</v>
      </c>
      <c r="E6" s="51" t="s">
        <v>412</v>
      </c>
      <c r="F6" s="51" t="s">
        <v>13</v>
      </c>
      <c r="G6" s="51" t="s">
        <v>306</v>
      </c>
      <c r="H6" s="51" t="s">
        <v>140</v>
      </c>
      <c r="I6" s="51" t="s">
        <v>137</v>
      </c>
      <c r="J6" s="50" t="s">
        <v>108</v>
      </c>
      <c r="K6" s="50" t="s">
        <v>64</v>
      </c>
      <c r="L6" s="50" t="s">
        <v>270</v>
      </c>
      <c r="M6" s="50" t="s">
        <v>67</v>
      </c>
      <c r="N6" s="50" t="s">
        <v>367</v>
      </c>
      <c r="O6" s="50" t="s">
        <v>136</v>
      </c>
      <c r="P6" s="50" t="s">
        <v>171</v>
      </c>
    </row>
    <row r="7" spans="1:16" ht="12.75" customHeight="1">
      <c r="A7" s="182" t="s">
        <v>50</v>
      </c>
      <c r="B7" s="183"/>
      <c r="C7" s="53"/>
      <c r="D7" s="53"/>
      <c r="E7" s="53"/>
      <c r="F7" s="53"/>
      <c r="G7" s="53"/>
      <c r="H7" s="53"/>
      <c r="I7" s="53"/>
      <c r="J7" s="53"/>
      <c r="K7" s="53"/>
      <c r="L7" s="53"/>
      <c r="M7" s="53"/>
      <c r="N7" s="53"/>
      <c r="O7" s="43"/>
      <c r="P7" s="43"/>
    </row>
    <row r="8" spans="1:16" ht="12.75" customHeight="1">
      <c r="A8" s="54" t="s">
        <v>115</v>
      </c>
      <c r="B8" s="40">
        <v>2</v>
      </c>
      <c r="C8" s="40">
        <v>0</v>
      </c>
      <c r="D8" s="40">
        <v>3</v>
      </c>
      <c r="E8" s="40">
        <v>3</v>
      </c>
      <c r="F8" s="40">
        <v>0</v>
      </c>
      <c r="G8" s="40">
        <v>0</v>
      </c>
      <c r="H8" s="40">
        <v>2</v>
      </c>
      <c r="I8" s="40">
        <v>4</v>
      </c>
      <c r="J8" s="40">
        <v>4</v>
      </c>
      <c r="K8" s="40">
        <v>0</v>
      </c>
      <c r="L8" s="40">
        <v>2</v>
      </c>
      <c r="M8" s="40">
        <v>0</v>
      </c>
      <c r="N8" s="55">
        <f>SUM(B8:M8)</f>
        <v>20</v>
      </c>
      <c r="O8" s="56">
        <v>1238</v>
      </c>
      <c r="P8" s="57">
        <f>O8/N8</f>
        <v>61.9</v>
      </c>
    </row>
    <row r="9" spans="1:16" ht="12.75" customHeight="1">
      <c r="B9" s="43"/>
      <c r="C9" s="43"/>
      <c r="D9" s="43"/>
      <c r="E9" s="43"/>
      <c r="F9" s="43"/>
      <c r="G9" s="43"/>
      <c r="H9" s="43"/>
      <c r="I9" s="43"/>
      <c r="J9" s="43"/>
      <c r="K9" s="43"/>
      <c r="L9" s="43"/>
      <c r="M9" s="43"/>
      <c r="N9" s="43"/>
    </row>
  </sheetData>
  <mergeCells count="2">
    <mergeCell ref="A1:C1"/>
    <mergeCell ref="A7:B7"/>
  </mergeCell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Q24"/>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1.7109375" customWidth="1"/>
    <col min="2" max="13" width="9" customWidth="1"/>
    <col min="14" max="16" width="10" customWidth="1"/>
    <col min="17" max="20" width="17.140625" customWidth="1"/>
  </cols>
  <sheetData>
    <row r="1" spans="1:17" ht="12.75" customHeight="1">
      <c r="A1" s="178" t="s">
        <v>222</v>
      </c>
      <c r="B1" s="181"/>
      <c r="C1" s="181"/>
    </row>
    <row r="2" spans="1:17" ht="12.75" customHeight="1">
      <c r="A2" s="48" t="s">
        <v>342</v>
      </c>
    </row>
    <row r="4" spans="1:17" ht="12.75" customHeight="1">
      <c r="A4" s="2" t="s">
        <v>18</v>
      </c>
      <c r="B4" s="49" t="s">
        <v>148</v>
      </c>
    </row>
    <row r="5" spans="1:17" ht="12.75" customHeight="1">
      <c r="A5" s="6"/>
      <c r="B5" s="6"/>
      <c r="C5" s="6"/>
      <c r="D5" s="6"/>
      <c r="E5" s="6"/>
      <c r="F5" s="6"/>
      <c r="G5" s="6"/>
      <c r="H5" s="6"/>
      <c r="I5" s="6"/>
      <c r="J5" s="6"/>
      <c r="K5" s="6"/>
      <c r="L5" s="6"/>
      <c r="M5" s="6"/>
      <c r="N5" s="6"/>
      <c r="O5" s="6"/>
      <c r="P5" s="6"/>
    </row>
    <row r="6" spans="1:17"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7" ht="12.75" customHeight="1">
      <c r="A7" s="52" t="s">
        <v>222</v>
      </c>
      <c r="B7" s="53"/>
      <c r="C7" s="53"/>
      <c r="D7" s="53"/>
      <c r="E7" s="53"/>
      <c r="F7" s="53"/>
      <c r="G7" s="53"/>
      <c r="H7" s="53"/>
      <c r="I7" s="53"/>
      <c r="J7" s="53"/>
      <c r="K7" s="53"/>
      <c r="L7" s="53"/>
      <c r="M7" s="53"/>
      <c r="N7" s="53"/>
      <c r="O7" s="53"/>
      <c r="P7" s="53"/>
    </row>
    <row r="8" spans="1:17" ht="12.75" customHeight="1">
      <c r="A8" s="54" t="s">
        <v>303</v>
      </c>
      <c r="B8" s="62">
        <v>61</v>
      </c>
      <c r="C8" s="62">
        <v>652</v>
      </c>
      <c r="D8" s="62">
        <v>16228</v>
      </c>
      <c r="E8" s="62">
        <v>9213</v>
      </c>
      <c r="F8" s="62">
        <v>26169</v>
      </c>
      <c r="G8" s="62">
        <v>23414</v>
      </c>
      <c r="H8" s="62">
        <v>6426</v>
      </c>
      <c r="I8" s="62">
        <v>29391</v>
      </c>
      <c r="J8" s="62">
        <v>21204</v>
      </c>
      <c r="K8" s="62">
        <v>12044</v>
      </c>
      <c r="L8" s="62">
        <v>17110</v>
      </c>
      <c r="M8" s="62">
        <v>2254</v>
      </c>
      <c r="N8" s="63">
        <f>SUM(B8:M8)</f>
        <v>164166</v>
      </c>
      <c r="O8" s="64">
        <v>13102.5</v>
      </c>
      <c r="P8" s="64">
        <f>O8/N8</f>
        <v>7.9812506852819709E-2</v>
      </c>
      <c r="Q8" s="18"/>
    </row>
    <row r="9" spans="1:17" ht="12.75" customHeight="1">
      <c r="A9" s="54" t="s">
        <v>253</v>
      </c>
      <c r="B9" s="62">
        <v>8</v>
      </c>
      <c r="C9" s="62">
        <v>15</v>
      </c>
      <c r="D9" s="62">
        <v>416</v>
      </c>
      <c r="E9" s="62">
        <v>574</v>
      </c>
      <c r="F9" s="62">
        <v>517</v>
      </c>
      <c r="G9" s="62">
        <v>483</v>
      </c>
      <c r="H9" s="62">
        <v>83</v>
      </c>
      <c r="I9" s="62">
        <v>729</v>
      </c>
      <c r="J9" s="62">
        <v>649</v>
      </c>
      <c r="K9" s="62">
        <v>413</v>
      </c>
      <c r="L9" s="62">
        <v>410</v>
      </c>
      <c r="M9" s="62">
        <v>28</v>
      </c>
      <c r="N9" s="63">
        <f>SUM(B9:M9)</f>
        <v>4325</v>
      </c>
      <c r="O9" s="64">
        <v>13102.5</v>
      </c>
      <c r="P9" s="64">
        <f>O9/N9</f>
        <v>3.029479768786127</v>
      </c>
      <c r="Q9" s="18"/>
    </row>
    <row r="10" spans="1:17" ht="12.75" customHeight="1">
      <c r="A10" s="54" t="s">
        <v>103</v>
      </c>
      <c r="B10" s="62">
        <v>1</v>
      </c>
      <c r="C10" s="62">
        <v>3</v>
      </c>
      <c r="D10" s="62">
        <v>165</v>
      </c>
      <c r="E10" s="62">
        <v>190</v>
      </c>
      <c r="F10" s="62">
        <v>176</v>
      </c>
      <c r="G10" s="62" t="s">
        <v>251</v>
      </c>
      <c r="H10" s="62" t="s">
        <v>251</v>
      </c>
      <c r="I10" s="62" t="s">
        <v>251</v>
      </c>
      <c r="J10" s="62" t="s">
        <v>251</v>
      </c>
      <c r="K10" s="62" t="s">
        <v>251</v>
      </c>
      <c r="L10" s="62" t="s">
        <v>251</v>
      </c>
      <c r="M10" s="62" t="s">
        <v>251</v>
      </c>
      <c r="N10" s="63">
        <f>SUM(B10:M10)</f>
        <v>535</v>
      </c>
      <c r="O10" s="64">
        <v>13102.5</v>
      </c>
      <c r="P10" s="64">
        <f>O10/N10</f>
        <v>24.490654205607477</v>
      </c>
      <c r="Q10" s="18"/>
    </row>
    <row r="11" spans="1:17" ht="12.75" customHeight="1">
      <c r="A11" s="54" t="s">
        <v>415</v>
      </c>
      <c r="B11" s="62">
        <v>1413</v>
      </c>
      <c r="C11" s="62">
        <v>2644</v>
      </c>
      <c r="D11" s="62">
        <v>23186</v>
      </c>
      <c r="E11" s="62">
        <v>11569</v>
      </c>
      <c r="F11" s="62"/>
      <c r="G11" s="62" t="s">
        <v>251</v>
      </c>
      <c r="H11" s="62" t="s">
        <v>251</v>
      </c>
      <c r="I11" s="62" t="s">
        <v>251</v>
      </c>
      <c r="J11" s="62" t="s">
        <v>251</v>
      </c>
      <c r="K11" s="62" t="s">
        <v>251</v>
      </c>
      <c r="L11" s="62" t="s">
        <v>251</v>
      </c>
      <c r="M11" s="62" t="s">
        <v>251</v>
      </c>
      <c r="N11" s="63">
        <f>SUM(B11:M11)</f>
        <v>38812</v>
      </c>
      <c r="O11" s="64">
        <v>13102.5</v>
      </c>
      <c r="P11" s="64">
        <f>O11/N11</f>
        <v>0.3375888900340101</v>
      </c>
      <c r="Q11" s="18"/>
    </row>
    <row r="12" spans="1:17" ht="12.75" customHeight="1">
      <c r="A12" s="54" t="s">
        <v>379</v>
      </c>
      <c r="B12" s="62"/>
      <c r="C12" s="62"/>
      <c r="D12" s="62">
        <v>157</v>
      </c>
      <c r="E12" s="62">
        <v>45</v>
      </c>
      <c r="F12" s="62">
        <v>17</v>
      </c>
      <c r="G12" s="62">
        <v>11</v>
      </c>
      <c r="H12" s="62">
        <v>3</v>
      </c>
      <c r="I12" s="62">
        <v>171</v>
      </c>
      <c r="J12" s="62">
        <v>24</v>
      </c>
      <c r="K12" s="62">
        <v>5</v>
      </c>
      <c r="L12" s="62">
        <v>7</v>
      </c>
      <c r="M12" s="62">
        <v>0</v>
      </c>
      <c r="N12" s="63">
        <f>SUM(B12:M12)</f>
        <v>440</v>
      </c>
      <c r="O12" s="64">
        <v>13102.5</v>
      </c>
      <c r="P12" s="64">
        <f>O12/N12</f>
        <v>29.77840909090909</v>
      </c>
      <c r="Q12" s="18"/>
    </row>
    <row r="13" spans="1:17" ht="12.75" customHeight="1">
      <c r="B13" s="43"/>
      <c r="C13" s="43"/>
      <c r="D13" s="43"/>
      <c r="E13" s="43"/>
      <c r="F13" s="43"/>
      <c r="G13" s="43"/>
      <c r="H13" s="43"/>
      <c r="I13" s="43"/>
      <c r="J13" s="43"/>
      <c r="K13" s="43"/>
      <c r="L13" s="43"/>
      <c r="M13" s="43"/>
      <c r="N13" s="43"/>
      <c r="O13" s="43"/>
      <c r="P13" s="43"/>
    </row>
    <row r="14" spans="1:17" ht="12.75" customHeight="1">
      <c r="A14" s="49" t="s">
        <v>3</v>
      </c>
    </row>
    <row r="15" spans="1:17" ht="12.75" customHeight="1">
      <c r="A15" s="65" t="s">
        <v>120</v>
      </c>
      <c r="B15" s="184" t="s">
        <v>249</v>
      </c>
      <c r="C15" s="181"/>
      <c r="D15" s="181"/>
      <c r="E15" s="181"/>
      <c r="F15" s="181"/>
      <c r="G15" s="181"/>
      <c r="H15" s="181"/>
      <c r="I15" s="181"/>
      <c r="J15" s="181"/>
      <c r="K15" s="181"/>
    </row>
    <row r="16" spans="1:17" ht="12.75" customHeight="1">
      <c r="A16" s="65"/>
      <c r="B16" s="49" t="s">
        <v>3</v>
      </c>
    </row>
    <row r="17" spans="1:13" ht="12.75" customHeight="1">
      <c r="A17" s="65" t="s">
        <v>104</v>
      </c>
      <c r="B17" s="184" t="s">
        <v>111</v>
      </c>
      <c r="C17" s="181"/>
      <c r="D17" s="181"/>
      <c r="E17" s="181"/>
      <c r="F17" s="181"/>
      <c r="G17" s="181"/>
      <c r="H17" s="181"/>
      <c r="I17" s="181"/>
    </row>
    <row r="18" spans="1:13" ht="12.75" customHeight="1">
      <c r="A18" s="65"/>
      <c r="B18" s="49" t="s">
        <v>3</v>
      </c>
    </row>
    <row r="19" spans="1:13" ht="12.75" customHeight="1">
      <c r="A19" s="66" t="s">
        <v>233</v>
      </c>
      <c r="B19" s="184" t="s">
        <v>32</v>
      </c>
      <c r="C19" s="181"/>
      <c r="D19" s="181"/>
      <c r="E19" s="181"/>
      <c r="F19" s="181"/>
      <c r="G19" s="181"/>
      <c r="H19" s="181"/>
      <c r="I19" s="181"/>
      <c r="J19" s="181"/>
      <c r="K19" s="181"/>
      <c r="L19" s="181"/>
      <c r="M19" s="181"/>
    </row>
    <row r="20" spans="1:13" ht="12.75" customHeight="1">
      <c r="A20" s="65"/>
      <c r="B20" s="49" t="s">
        <v>3</v>
      </c>
    </row>
    <row r="21" spans="1:13" ht="12.75" customHeight="1">
      <c r="A21" s="65" t="s">
        <v>334</v>
      </c>
      <c r="B21" s="184" t="s">
        <v>23</v>
      </c>
      <c r="C21" s="181"/>
      <c r="D21" s="181"/>
      <c r="E21" s="181"/>
      <c r="F21" s="181"/>
      <c r="G21" s="181"/>
      <c r="H21" s="181"/>
      <c r="I21" s="181"/>
      <c r="J21" s="181"/>
      <c r="K21" s="181"/>
      <c r="L21" s="181"/>
    </row>
    <row r="22" spans="1:13" ht="12.75" customHeight="1">
      <c r="A22" s="65"/>
      <c r="B22" s="49" t="s">
        <v>3</v>
      </c>
    </row>
    <row r="23" spans="1:13" ht="12.75" customHeight="1">
      <c r="A23" s="65" t="s">
        <v>284</v>
      </c>
      <c r="B23" s="184" t="s">
        <v>144</v>
      </c>
      <c r="C23" s="181"/>
      <c r="D23" s="181"/>
      <c r="E23" s="181"/>
      <c r="F23" s="181"/>
      <c r="G23" s="181"/>
      <c r="H23" s="181"/>
    </row>
    <row r="24" spans="1:13" ht="12.75" customHeight="1">
      <c r="B24" s="49" t="s">
        <v>3</v>
      </c>
    </row>
  </sheetData>
  <mergeCells count="6">
    <mergeCell ref="A1:C1"/>
    <mergeCell ref="B15:K15"/>
    <mergeCell ref="B17:I17"/>
    <mergeCell ref="B19:M19"/>
    <mergeCell ref="B21:L21"/>
    <mergeCell ref="B23:H23"/>
  </mergeCells>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dimension ref="A1:Q15"/>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19.5" customHeight="1">
      <c r="A1" s="178" t="s">
        <v>114</v>
      </c>
      <c r="B1" s="179"/>
      <c r="C1" s="179"/>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148</v>
      </c>
      <c r="O4" s="2"/>
    </row>
    <row r="5" spans="1:17" ht="12.75" customHeight="1">
      <c r="A5" s="5"/>
      <c r="B5" s="6"/>
      <c r="C5" s="6"/>
      <c r="D5" s="6"/>
      <c r="E5" s="6"/>
      <c r="F5" s="6"/>
      <c r="G5" s="6"/>
      <c r="H5" s="6"/>
      <c r="I5" s="6"/>
      <c r="J5" s="6"/>
      <c r="K5" s="6"/>
      <c r="L5" s="6"/>
      <c r="M5" s="6"/>
      <c r="N5" s="6"/>
      <c r="O5" s="5"/>
      <c r="P5" s="6"/>
    </row>
    <row r="6" spans="1:17" ht="33"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114</v>
      </c>
      <c r="B7" s="68"/>
      <c r="C7" s="68"/>
      <c r="D7" s="68"/>
      <c r="E7" s="68"/>
      <c r="F7" s="68"/>
      <c r="G7" s="69"/>
      <c r="H7" s="68"/>
      <c r="I7" s="68"/>
      <c r="J7" s="68"/>
      <c r="K7" s="68"/>
      <c r="L7" s="68"/>
      <c r="M7" s="68"/>
      <c r="N7" s="68"/>
      <c r="O7" s="70"/>
      <c r="P7" s="70"/>
    </row>
    <row r="8" spans="1:17" ht="12.75" customHeight="1">
      <c r="A8" s="71" t="s">
        <v>238</v>
      </c>
      <c r="B8" s="20">
        <v>1</v>
      </c>
      <c r="C8" s="72">
        <v>6</v>
      </c>
      <c r="D8" s="72">
        <v>7</v>
      </c>
      <c r="E8" s="72">
        <v>12</v>
      </c>
      <c r="F8" s="72">
        <v>8</v>
      </c>
      <c r="G8" s="72">
        <v>9</v>
      </c>
      <c r="H8" s="72">
        <v>4</v>
      </c>
      <c r="I8" s="72">
        <v>2</v>
      </c>
      <c r="J8" s="72">
        <v>2</v>
      </c>
      <c r="K8" s="72">
        <v>0</v>
      </c>
      <c r="L8" s="72">
        <v>0</v>
      </c>
      <c r="M8" s="72">
        <v>0</v>
      </c>
      <c r="N8" s="73">
        <f>SUM(B8:M8)</f>
        <v>51</v>
      </c>
      <c r="O8" s="74">
        <v>1035</v>
      </c>
      <c r="P8" s="75">
        <f>O8/N8</f>
        <v>20.294117647058822</v>
      </c>
    </row>
    <row r="9" spans="1:17" ht="12.75" customHeight="1">
      <c r="A9" s="71" t="s">
        <v>119</v>
      </c>
      <c r="B9" s="20">
        <v>2</v>
      </c>
      <c r="C9" s="72">
        <v>9</v>
      </c>
      <c r="D9" s="72">
        <v>15</v>
      </c>
      <c r="E9" s="72">
        <v>13</v>
      </c>
      <c r="F9" s="72">
        <v>16</v>
      </c>
      <c r="G9" s="72">
        <v>13</v>
      </c>
      <c r="H9" s="72">
        <v>9</v>
      </c>
      <c r="I9" s="72">
        <v>2</v>
      </c>
      <c r="J9" s="72">
        <v>2</v>
      </c>
      <c r="K9" s="72">
        <v>0</v>
      </c>
      <c r="L9" s="72">
        <v>0</v>
      </c>
      <c r="M9" s="72">
        <v>0</v>
      </c>
      <c r="N9" s="73">
        <f>SUM(B9:M9)</f>
        <v>81</v>
      </c>
      <c r="O9" s="74">
        <v>1035</v>
      </c>
      <c r="P9" s="75">
        <f>O9/N9</f>
        <v>12.777777777777779</v>
      </c>
    </row>
    <row r="10" spans="1:17" ht="12.75" customHeight="1">
      <c r="A10" s="71" t="s">
        <v>405</v>
      </c>
      <c r="B10" s="20">
        <v>6</v>
      </c>
      <c r="C10" s="72">
        <v>44</v>
      </c>
      <c r="D10" s="72">
        <v>51</v>
      </c>
      <c r="E10" s="72">
        <v>25</v>
      </c>
      <c r="F10" s="72">
        <v>18</v>
      </c>
      <c r="G10" s="72">
        <v>14</v>
      </c>
      <c r="H10" s="72">
        <v>16</v>
      </c>
      <c r="I10" s="72">
        <v>2</v>
      </c>
      <c r="J10" s="72">
        <v>4</v>
      </c>
      <c r="K10" s="72">
        <v>0</v>
      </c>
      <c r="L10" s="72">
        <v>0</v>
      </c>
      <c r="M10" s="72">
        <v>0</v>
      </c>
      <c r="N10" s="73">
        <f>SUM(B10:M10)</f>
        <v>180</v>
      </c>
      <c r="O10" s="74">
        <v>1035</v>
      </c>
      <c r="P10" s="75">
        <f>O10/N10</f>
        <v>5.75</v>
      </c>
    </row>
    <row r="11" spans="1:17" ht="12.75" customHeight="1">
      <c r="A11" s="71" t="s">
        <v>317</v>
      </c>
      <c r="B11" s="20">
        <v>0</v>
      </c>
      <c r="C11" s="72">
        <v>0</v>
      </c>
      <c r="D11" s="72">
        <v>0</v>
      </c>
      <c r="E11" s="72">
        <v>0</v>
      </c>
      <c r="F11" s="72">
        <v>0</v>
      </c>
      <c r="G11" s="72">
        <v>0</v>
      </c>
      <c r="H11" s="72">
        <v>0</v>
      </c>
      <c r="I11" s="72">
        <v>0</v>
      </c>
      <c r="J11" s="72">
        <v>0</v>
      </c>
      <c r="K11" s="72">
        <v>0</v>
      </c>
      <c r="L11" s="72">
        <v>0</v>
      </c>
      <c r="M11" s="72">
        <v>0</v>
      </c>
      <c r="N11" s="73">
        <f>SUM(B11:M11)</f>
        <v>0</v>
      </c>
      <c r="O11" s="74">
        <v>1035</v>
      </c>
      <c r="P11" s="76" t="s">
        <v>228</v>
      </c>
    </row>
    <row r="12" spans="1:17" ht="12.75" customHeight="1">
      <c r="A12" s="71" t="s">
        <v>177</v>
      </c>
      <c r="B12" s="40">
        <v>6</v>
      </c>
      <c r="C12" s="40">
        <v>36</v>
      </c>
      <c r="D12" s="40">
        <v>37</v>
      </c>
      <c r="E12" s="40">
        <v>16</v>
      </c>
      <c r="F12" s="40">
        <v>14</v>
      </c>
      <c r="G12" s="40">
        <v>4</v>
      </c>
      <c r="H12" s="40">
        <v>9</v>
      </c>
      <c r="I12" s="40">
        <v>1</v>
      </c>
      <c r="J12" s="40">
        <v>2</v>
      </c>
      <c r="K12" s="40">
        <v>0</v>
      </c>
      <c r="L12" s="40">
        <v>0</v>
      </c>
      <c r="M12" s="40">
        <v>0</v>
      </c>
      <c r="N12" s="73">
        <f>SUM(B12:M12)</f>
        <v>125</v>
      </c>
      <c r="O12" s="74">
        <v>1035</v>
      </c>
      <c r="P12" s="75">
        <f>O12/N12</f>
        <v>8.2799999999999994</v>
      </c>
    </row>
    <row r="13" spans="1:17" ht="12.75" customHeight="1">
      <c r="A13" s="77" t="s">
        <v>307</v>
      </c>
      <c r="B13" s="78" t="s">
        <v>278</v>
      </c>
      <c r="C13" s="78" t="s">
        <v>89</v>
      </c>
      <c r="D13" s="78" t="s">
        <v>282</v>
      </c>
      <c r="E13" s="79" t="s">
        <v>133</v>
      </c>
      <c r="F13" s="79" t="s">
        <v>227</v>
      </c>
      <c r="G13" s="79" t="s">
        <v>46</v>
      </c>
      <c r="H13" s="79" t="s">
        <v>65</v>
      </c>
      <c r="I13" s="79" t="s">
        <v>251</v>
      </c>
      <c r="J13" s="79" t="s">
        <v>25</v>
      </c>
      <c r="K13" s="79" t="s">
        <v>251</v>
      </c>
      <c r="L13" s="79" t="s">
        <v>251</v>
      </c>
      <c r="M13" s="79" t="s">
        <v>251</v>
      </c>
      <c r="N13" s="80" t="s">
        <v>243</v>
      </c>
      <c r="O13" s="10"/>
    </row>
    <row r="14" spans="1:17" ht="12.75" customHeight="1">
      <c r="A14" s="2"/>
      <c r="B14" s="43"/>
      <c r="C14" s="43"/>
      <c r="D14" s="43"/>
      <c r="E14" s="43"/>
      <c r="F14" s="43"/>
      <c r="G14" s="43"/>
      <c r="H14" s="43"/>
      <c r="I14" s="43"/>
      <c r="J14" s="43"/>
      <c r="K14" s="43"/>
      <c r="L14" s="43"/>
      <c r="M14" s="43"/>
      <c r="N14" s="43"/>
      <c r="O14" s="2"/>
    </row>
    <row r="15" spans="1:17" ht="12.75" customHeight="1">
      <c r="A15" s="2"/>
      <c r="O15" s="2"/>
    </row>
  </sheetData>
  <mergeCells count="1">
    <mergeCell ref="A1:C1"/>
  </mergeCells>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dimension ref="A1:Q1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19.5" customHeight="1">
      <c r="A1" s="178" t="s">
        <v>168</v>
      </c>
      <c r="B1" s="179"/>
      <c r="C1" s="179"/>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148</v>
      </c>
      <c r="O4" s="2"/>
    </row>
    <row r="5" spans="1:17" ht="12.75" customHeight="1">
      <c r="A5" s="5"/>
      <c r="B5" s="6"/>
      <c r="C5" s="6"/>
      <c r="D5" s="6"/>
      <c r="E5" s="6"/>
      <c r="F5" s="6"/>
      <c r="G5" s="6"/>
      <c r="H5" s="6"/>
      <c r="I5" s="6"/>
      <c r="J5" s="6"/>
      <c r="K5" s="6"/>
      <c r="L5" s="6"/>
      <c r="M5" s="6"/>
      <c r="N5" s="6"/>
      <c r="O5" s="5"/>
      <c r="P5" s="6"/>
    </row>
    <row r="6" spans="1:17" ht="33"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316</v>
      </c>
      <c r="B7" s="68"/>
      <c r="C7" s="68"/>
      <c r="D7" s="68"/>
      <c r="E7" s="68"/>
      <c r="F7" s="68"/>
      <c r="G7" s="69"/>
      <c r="H7" s="68"/>
      <c r="I7" s="68"/>
      <c r="J7" s="68"/>
      <c r="K7" s="68"/>
      <c r="L7" s="68"/>
      <c r="M7" s="68"/>
      <c r="N7" s="68"/>
      <c r="O7" s="70"/>
      <c r="P7" s="70"/>
    </row>
    <row r="8" spans="1:17" ht="12.75" customHeight="1">
      <c r="A8" s="71" t="s">
        <v>326</v>
      </c>
      <c r="B8" s="20">
        <v>80</v>
      </c>
      <c r="C8" s="72">
        <v>30</v>
      </c>
      <c r="D8" s="72">
        <v>141</v>
      </c>
      <c r="E8" s="72">
        <v>199</v>
      </c>
      <c r="F8" s="72">
        <v>278</v>
      </c>
      <c r="G8" s="72">
        <v>90</v>
      </c>
      <c r="H8" s="72">
        <v>51</v>
      </c>
      <c r="I8" s="72">
        <v>200</v>
      </c>
      <c r="J8" s="72">
        <v>266</v>
      </c>
      <c r="K8" s="72">
        <v>291</v>
      </c>
      <c r="L8" s="72">
        <v>46</v>
      </c>
      <c r="M8" s="72">
        <v>74</v>
      </c>
      <c r="N8" s="73">
        <f>SUM(B8:M8)</f>
        <v>1746</v>
      </c>
      <c r="O8" s="74"/>
      <c r="P8" s="75"/>
    </row>
    <row r="9" spans="1:17" ht="12.75" customHeight="1">
      <c r="A9" s="71" t="s">
        <v>235</v>
      </c>
      <c r="B9" s="20">
        <v>19</v>
      </c>
      <c r="C9" s="72">
        <v>8</v>
      </c>
      <c r="D9" s="72">
        <v>127</v>
      </c>
      <c r="E9" s="72">
        <v>66</v>
      </c>
      <c r="F9" s="72">
        <v>102</v>
      </c>
      <c r="G9" s="72">
        <v>10</v>
      </c>
      <c r="H9" s="72">
        <v>8</v>
      </c>
      <c r="I9" s="72">
        <v>19</v>
      </c>
      <c r="J9" s="72">
        <v>62</v>
      </c>
      <c r="K9" s="72">
        <v>60</v>
      </c>
      <c r="L9" s="72">
        <v>6</v>
      </c>
      <c r="M9" s="72">
        <v>8</v>
      </c>
      <c r="N9" s="73">
        <f>SUM(B9:M9)</f>
        <v>495</v>
      </c>
      <c r="O9" s="74">
        <v>3241</v>
      </c>
      <c r="P9" s="75">
        <f>O9/N9</f>
        <v>6.5474747474747472</v>
      </c>
    </row>
    <row r="10" spans="1:17" ht="12.75" customHeight="1">
      <c r="A10" s="71" t="s">
        <v>252</v>
      </c>
      <c r="B10" s="20">
        <v>33</v>
      </c>
      <c r="C10" s="72">
        <v>27</v>
      </c>
      <c r="D10" s="72">
        <v>52</v>
      </c>
      <c r="E10" s="72">
        <v>145</v>
      </c>
      <c r="F10" s="72">
        <v>211</v>
      </c>
      <c r="G10" s="72">
        <v>56</v>
      </c>
      <c r="H10" s="72">
        <v>28</v>
      </c>
      <c r="I10" s="72">
        <v>62</v>
      </c>
      <c r="J10" s="72">
        <v>176</v>
      </c>
      <c r="K10" s="72">
        <v>215</v>
      </c>
      <c r="L10" s="72">
        <v>38</v>
      </c>
      <c r="M10" s="72">
        <v>62</v>
      </c>
      <c r="N10" s="73">
        <f>SUM(B10:M10)</f>
        <v>1105</v>
      </c>
      <c r="O10" s="74">
        <v>3241</v>
      </c>
      <c r="P10" s="75">
        <f>O10/N10</f>
        <v>2.9330316742081446</v>
      </c>
    </row>
    <row r="11" spans="1:17" ht="12.75" customHeight="1">
      <c r="A11" s="71" t="s">
        <v>271</v>
      </c>
      <c r="B11" s="20">
        <v>0</v>
      </c>
      <c r="C11" s="72">
        <v>0</v>
      </c>
      <c r="D11" s="72">
        <v>0</v>
      </c>
      <c r="E11" s="72">
        <v>0</v>
      </c>
      <c r="F11" s="72">
        <v>0</v>
      </c>
      <c r="G11" s="72">
        <v>0</v>
      </c>
      <c r="H11" s="72">
        <v>0</v>
      </c>
      <c r="I11" s="72">
        <v>139</v>
      </c>
      <c r="J11" s="72">
        <v>0</v>
      </c>
      <c r="K11" s="72">
        <v>0</v>
      </c>
      <c r="L11" s="72">
        <v>0</v>
      </c>
      <c r="M11" s="72">
        <v>0</v>
      </c>
      <c r="N11" s="73">
        <f>SUM(B11:M11)</f>
        <v>139</v>
      </c>
      <c r="O11" s="74"/>
      <c r="P11" s="75"/>
    </row>
    <row r="12" spans="1:17" ht="12.75" customHeight="1">
      <c r="A12" s="2"/>
      <c r="B12" s="43"/>
      <c r="C12" s="43"/>
      <c r="D12" s="43"/>
      <c r="E12" s="43"/>
      <c r="F12" s="43"/>
      <c r="G12" s="43"/>
      <c r="H12" s="43"/>
      <c r="I12" s="43"/>
      <c r="J12" s="43"/>
      <c r="K12" s="43"/>
      <c r="L12" s="43"/>
      <c r="M12" s="43"/>
      <c r="N12" s="43"/>
      <c r="O12" s="2"/>
      <c r="P12" s="81"/>
    </row>
    <row r="13" spans="1:17" ht="12.75" customHeight="1">
      <c r="A13" s="2"/>
      <c r="O13" s="2"/>
    </row>
  </sheetData>
  <mergeCells count="1">
    <mergeCell ref="A1:C1"/>
  </mergeCells>
  <pageMargins left="0.75" right="0.75" top="1" bottom="1"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dimension ref="A1:Q1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19.5" customHeight="1">
      <c r="A1" s="178" t="s">
        <v>273</v>
      </c>
      <c r="B1" s="179"/>
      <c r="C1" s="179"/>
      <c r="D1" s="179"/>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247</v>
      </c>
      <c r="O4" s="2"/>
    </row>
    <row r="5" spans="1:17" ht="12.75" customHeight="1">
      <c r="A5" s="5"/>
      <c r="B5" s="6"/>
      <c r="C5" s="6"/>
      <c r="D5" s="6"/>
      <c r="E5" s="6"/>
      <c r="F5" s="6"/>
      <c r="G5" s="6"/>
      <c r="H5" s="6"/>
      <c r="I5" s="6"/>
      <c r="J5" s="6"/>
      <c r="K5" s="6"/>
      <c r="L5" s="6"/>
      <c r="M5" s="6"/>
      <c r="N5" s="6"/>
      <c r="O5" s="5"/>
      <c r="P5" s="6"/>
    </row>
    <row r="6" spans="1:17" ht="3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302</v>
      </c>
      <c r="B7" s="68"/>
      <c r="C7" s="68"/>
      <c r="D7" s="68"/>
      <c r="E7" s="68"/>
      <c r="F7" s="68"/>
      <c r="G7" s="68"/>
      <c r="H7" s="68"/>
      <c r="I7" s="68"/>
      <c r="J7" s="68"/>
      <c r="K7" s="68"/>
      <c r="L7" s="68"/>
      <c r="M7" s="68"/>
      <c r="N7" s="68"/>
      <c r="O7" s="42"/>
      <c r="P7" s="43"/>
    </row>
    <row r="8" spans="1:17" ht="12.75" customHeight="1">
      <c r="A8" s="71" t="s">
        <v>253</v>
      </c>
      <c r="B8" s="23">
        <v>55</v>
      </c>
      <c r="C8" s="23">
        <v>27</v>
      </c>
      <c r="D8" s="23">
        <v>69</v>
      </c>
      <c r="E8" s="23">
        <v>91</v>
      </c>
      <c r="F8" s="23">
        <v>435</v>
      </c>
      <c r="G8" s="23">
        <v>61</v>
      </c>
      <c r="H8" s="23">
        <v>19</v>
      </c>
      <c r="I8" s="23">
        <v>44</v>
      </c>
      <c r="J8" s="23">
        <v>74</v>
      </c>
      <c r="K8" s="23">
        <v>67</v>
      </c>
      <c r="L8" s="23">
        <v>188</v>
      </c>
      <c r="M8" s="23">
        <v>167</v>
      </c>
      <c r="N8" s="73">
        <f>SUM(B8:M8)</f>
        <v>1297</v>
      </c>
      <c r="O8" s="10"/>
      <c r="P8" s="75"/>
    </row>
    <row r="9" spans="1:17" ht="12.75" customHeight="1">
      <c r="A9" s="71" t="s">
        <v>204</v>
      </c>
      <c r="B9" s="23">
        <v>163</v>
      </c>
      <c r="C9" s="23">
        <v>67</v>
      </c>
      <c r="D9" s="23">
        <v>251</v>
      </c>
      <c r="E9" s="23">
        <v>385</v>
      </c>
      <c r="F9" s="23">
        <v>4112</v>
      </c>
      <c r="G9" s="23">
        <v>243</v>
      </c>
      <c r="H9" s="23">
        <v>77</v>
      </c>
      <c r="I9" s="23">
        <v>186</v>
      </c>
      <c r="J9" s="23">
        <v>228</v>
      </c>
      <c r="K9" s="23">
        <v>222</v>
      </c>
      <c r="L9" s="23">
        <v>38</v>
      </c>
      <c r="M9" s="23">
        <v>46</v>
      </c>
      <c r="N9" s="73">
        <f>SUM(B9:M9)</f>
        <v>6018</v>
      </c>
      <c r="O9" s="74">
        <v>16877</v>
      </c>
      <c r="P9" s="75">
        <f>O9/N9</f>
        <v>2.8044200731139912</v>
      </c>
    </row>
    <row r="10" spans="1:17" ht="12.75" customHeight="1">
      <c r="A10" s="2"/>
      <c r="B10" s="43"/>
      <c r="C10" s="43"/>
      <c r="D10" s="43"/>
      <c r="E10" s="43"/>
      <c r="F10" s="43"/>
      <c r="G10" s="43"/>
      <c r="H10" s="43"/>
      <c r="I10" s="43"/>
      <c r="J10" s="43"/>
      <c r="K10" s="43"/>
      <c r="L10" s="43"/>
      <c r="M10" s="43"/>
      <c r="N10" s="43"/>
      <c r="O10" s="2"/>
    </row>
    <row r="11" spans="1:17" ht="12.75" customHeight="1">
      <c r="A11" s="2"/>
      <c r="O11" s="2"/>
    </row>
  </sheetData>
  <mergeCells count="1">
    <mergeCell ref="A1:D1"/>
  </mergeCells>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dimension ref="A1:P13"/>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7.7109375" customWidth="1"/>
    <col min="2" max="14" width="8.7109375" customWidth="1"/>
    <col min="15" max="15" width="11" customWidth="1"/>
    <col min="16" max="16" width="8.7109375" customWidth="1"/>
    <col min="17" max="20" width="17.140625" customWidth="1"/>
  </cols>
  <sheetData>
    <row r="1" spans="1:16" ht="12.75" customHeight="1">
      <c r="A1" s="178" t="s">
        <v>324</v>
      </c>
      <c r="B1" s="181"/>
      <c r="C1" s="181"/>
      <c r="D1" s="181"/>
    </row>
    <row r="2" spans="1:16" ht="12.75" customHeight="1">
      <c r="A2" s="185" t="s">
        <v>342</v>
      </c>
      <c r="B2" s="181"/>
      <c r="C2" s="181"/>
      <c r="D2" s="181"/>
      <c r="E2" s="181"/>
      <c r="F2" s="181"/>
    </row>
    <row r="4" spans="1:16" ht="12.75" customHeight="1">
      <c r="A4" s="49" t="s">
        <v>45</v>
      </c>
      <c r="B4" s="49" t="s">
        <v>187</v>
      </c>
    </row>
    <row r="5" spans="1:16" ht="12.75" customHeight="1">
      <c r="A5" s="6"/>
      <c r="B5" s="6"/>
      <c r="C5" s="6"/>
      <c r="D5" s="6"/>
      <c r="E5" s="6"/>
      <c r="F5" s="6"/>
      <c r="G5" s="6"/>
      <c r="H5" s="6"/>
      <c r="I5" s="6"/>
      <c r="J5" s="6"/>
      <c r="K5" s="6"/>
      <c r="L5" s="6"/>
      <c r="M5" s="6"/>
      <c r="N5" s="6"/>
      <c r="O5" s="6"/>
      <c r="P5" s="6"/>
    </row>
    <row r="6" spans="1:16"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6" ht="12.75" customHeight="1">
      <c r="A7" s="52" t="s">
        <v>324</v>
      </c>
      <c r="B7" s="53"/>
      <c r="C7" s="53"/>
      <c r="D7" s="53"/>
      <c r="E7" s="53"/>
      <c r="F7" s="53"/>
      <c r="G7" s="53"/>
      <c r="H7" s="53"/>
      <c r="I7" s="53"/>
      <c r="J7" s="53"/>
      <c r="K7" s="53"/>
      <c r="L7" s="53"/>
      <c r="M7" s="53"/>
      <c r="N7" s="53"/>
      <c r="O7" s="43"/>
      <c r="P7" s="43"/>
    </row>
    <row r="8" spans="1:16" ht="12.75" customHeight="1">
      <c r="A8" s="71" t="s">
        <v>253</v>
      </c>
      <c r="B8" s="23">
        <v>40</v>
      </c>
      <c r="C8" s="23">
        <v>2</v>
      </c>
      <c r="D8" s="23">
        <v>69</v>
      </c>
      <c r="E8" s="23">
        <v>139</v>
      </c>
      <c r="F8" s="23">
        <v>133</v>
      </c>
      <c r="G8" s="23">
        <v>67</v>
      </c>
      <c r="H8" s="23">
        <v>11</v>
      </c>
      <c r="I8" s="23">
        <v>100</v>
      </c>
      <c r="J8" s="23">
        <v>105</v>
      </c>
      <c r="K8" s="23">
        <v>145</v>
      </c>
      <c r="L8" s="23">
        <v>18</v>
      </c>
      <c r="M8" s="23">
        <v>18</v>
      </c>
      <c r="N8" s="73">
        <f>SUM(B8:M8)</f>
        <v>847</v>
      </c>
      <c r="O8" s="18"/>
    </row>
    <row r="9" spans="1:16" ht="12.75" customHeight="1">
      <c r="A9" s="71" t="s">
        <v>204</v>
      </c>
      <c r="B9" s="26">
        <v>84</v>
      </c>
      <c r="C9" s="26">
        <v>3</v>
      </c>
      <c r="D9" s="26">
        <v>99</v>
      </c>
      <c r="E9" s="26">
        <v>140</v>
      </c>
      <c r="F9" s="26">
        <v>176</v>
      </c>
      <c r="G9" s="26">
        <v>56</v>
      </c>
      <c r="H9" s="26">
        <v>13</v>
      </c>
      <c r="I9" s="26">
        <v>98</v>
      </c>
      <c r="J9" s="26">
        <v>116</v>
      </c>
      <c r="K9" s="26">
        <v>203</v>
      </c>
      <c r="L9" s="26">
        <v>11</v>
      </c>
      <c r="M9" s="26">
        <v>28</v>
      </c>
      <c r="N9" s="73">
        <f>SUM(B9:M9)</f>
        <v>1027</v>
      </c>
      <c r="O9" s="56">
        <v>1694</v>
      </c>
      <c r="P9" s="57">
        <f>O9/N9</f>
        <v>1.6494644595910419</v>
      </c>
    </row>
    <row r="10" spans="1:16" ht="12.75" customHeight="1">
      <c r="A10" s="54" t="s">
        <v>134</v>
      </c>
      <c r="B10" s="62">
        <v>64</v>
      </c>
      <c r="C10" s="62">
        <v>3</v>
      </c>
      <c r="D10" s="62">
        <v>139</v>
      </c>
      <c r="E10" s="62">
        <v>195</v>
      </c>
      <c r="F10" s="62">
        <v>233</v>
      </c>
      <c r="G10" s="62">
        <v>78</v>
      </c>
      <c r="H10" s="62">
        <v>11</v>
      </c>
      <c r="I10" s="62">
        <v>195</v>
      </c>
      <c r="J10" s="62">
        <v>156</v>
      </c>
      <c r="K10" s="62">
        <v>265</v>
      </c>
      <c r="L10" s="62">
        <v>17</v>
      </c>
      <c r="M10" s="62">
        <v>25</v>
      </c>
      <c r="N10" s="73">
        <f>SUM(B10:M10)</f>
        <v>1381</v>
      </c>
      <c r="O10" s="56">
        <v>1694</v>
      </c>
      <c r="P10" s="57">
        <f>O10/N10</f>
        <v>1.2266473569876901</v>
      </c>
    </row>
    <row r="11" spans="1:16" ht="12.75" customHeight="1">
      <c r="A11" s="54" t="s">
        <v>225</v>
      </c>
      <c r="B11" s="40">
        <v>0</v>
      </c>
      <c r="C11" s="40">
        <v>0</v>
      </c>
      <c r="D11" s="40">
        <v>0</v>
      </c>
      <c r="E11" s="40">
        <v>0</v>
      </c>
      <c r="F11" s="40">
        <v>0</v>
      </c>
      <c r="G11" s="40">
        <v>0</v>
      </c>
      <c r="H11" s="40">
        <v>0</v>
      </c>
      <c r="I11" s="40">
        <v>0</v>
      </c>
      <c r="J11" s="40">
        <v>0</v>
      </c>
      <c r="K11" s="40">
        <v>0</v>
      </c>
      <c r="L11" s="40">
        <v>0</v>
      </c>
      <c r="M11" s="40">
        <v>0</v>
      </c>
      <c r="N11" s="73">
        <f>SUM(B11:M11)</f>
        <v>0</v>
      </c>
      <c r="O11" s="18"/>
    </row>
    <row r="12" spans="1:16" ht="12.75" customHeight="1">
      <c r="B12" s="43"/>
      <c r="C12" s="43"/>
      <c r="D12" s="43"/>
      <c r="E12" s="43"/>
      <c r="F12" s="43"/>
      <c r="G12" s="43"/>
      <c r="H12" s="43"/>
      <c r="I12" s="43"/>
      <c r="J12" s="43"/>
      <c r="K12" s="43"/>
      <c r="L12" s="43"/>
      <c r="M12" s="43"/>
      <c r="N12" s="43"/>
    </row>
    <row r="13" spans="1:16" ht="12.75" customHeight="1">
      <c r="A13" s="49" t="s">
        <v>165</v>
      </c>
      <c r="B13" s="82">
        <v>10</v>
      </c>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dimension ref="A1:Q21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2.5703125" customWidth="1"/>
    <col min="2" max="14" width="8.5703125" customWidth="1"/>
    <col min="15" max="15" width="10.85546875" customWidth="1"/>
    <col min="16" max="16" width="9.7109375" customWidth="1"/>
    <col min="17" max="17" width="9.140625" customWidth="1"/>
  </cols>
  <sheetData>
    <row r="1" spans="1:17" ht="19.5" customHeight="1">
      <c r="A1" s="1" t="s">
        <v>150</v>
      </c>
      <c r="B1" s="2"/>
      <c r="C1" s="2"/>
      <c r="D1" s="2"/>
      <c r="E1" s="2"/>
      <c r="F1" s="2"/>
      <c r="G1" s="2"/>
      <c r="H1" s="2"/>
      <c r="I1" s="2"/>
      <c r="J1" s="2"/>
      <c r="K1" s="2"/>
      <c r="L1" s="2"/>
      <c r="M1" s="2"/>
      <c r="N1" s="2"/>
      <c r="O1" s="2"/>
      <c r="P1" s="2"/>
      <c r="Q1" s="2"/>
    </row>
    <row r="2" spans="1:17" ht="18" customHeight="1">
      <c r="A2" s="48" t="s">
        <v>189</v>
      </c>
      <c r="B2" s="2"/>
      <c r="C2" s="2"/>
      <c r="D2" s="2"/>
      <c r="E2" s="2"/>
      <c r="F2" s="2"/>
      <c r="G2" s="2"/>
      <c r="H2" s="2"/>
      <c r="I2" s="2"/>
      <c r="J2" s="2"/>
      <c r="K2" s="2"/>
      <c r="L2" s="2"/>
      <c r="M2" s="2"/>
      <c r="N2" s="2"/>
      <c r="O2" s="2"/>
      <c r="P2" s="2"/>
      <c r="Q2" s="2"/>
    </row>
    <row r="3" spans="1:17" ht="12.75" customHeight="1">
      <c r="A3" s="83"/>
      <c r="B3" s="2"/>
      <c r="C3" s="2"/>
      <c r="D3" s="2"/>
      <c r="E3" s="2"/>
      <c r="F3" s="2"/>
      <c r="G3" s="2"/>
      <c r="H3" s="2"/>
      <c r="I3" s="2"/>
      <c r="J3" s="2"/>
      <c r="K3" s="2"/>
      <c r="L3" s="2"/>
      <c r="M3" s="2"/>
      <c r="N3" s="2"/>
      <c r="O3" s="2"/>
      <c r="P3" s="2"/>
    </row>
    <row r="4" spans="1:17" ht="12.75" customHeight="1">
      <c r="A4" s="2" t="s">
        <v>18</v>
      </c>
      <c r="B4" s="2" t="s">
        <v>237</v>
      </c>
      <c r="C4" s="2"/>
      <c r="D4" s="2"/>
      <c r="E4" s="2"/>
      <c r="F4" s="2"/>
      <c r="G4" s="2"/>
      <c r="H4" s="2"/>
      <c r="I4" s="2"/>
      <c r="J4" s="2"/>
      <c r="K4" s="2"/>
      <c r="L4" s="2"/>
      <c r="M4" s="2"/>
      <c r="N4" s="2"/>
      <c r="O4" s="2"/>
      <c r="P4" s="2"/>
    </row>
    <row r="5" spans="1:17" ht="12.75" customHeight="1">
      <c r="A5" s="84"/>
      <c r="B5" s="85"/>
      <c r="C5" s="85"/>
      <c r="D5" s="85"/>
      <c r="E5" s="85"/>
      <c r="F5" s="85"/>
      <c r="G5" s="85"/>
      <c r="H5" s="85"/>
      <c r="I5" s="85"/>
      <c r="J5" s="85"/>
      <c r="K5" s="85"/>
      <c r="L5" s="85"/>
      <c r="M5" s="85"/>
      <c r="N5" s="85"/>
      <c r="O5" s="5"/>
      <c r="P5" s="5"/>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274</v>
      </c>
      <c r="B7" s="53"/>
      <c r="C7" s="53"/>
      <c r="D7" s="53"/>
      <c r="E7" s="53"/>
      <c r="F7" s="53"/>
      <c r="G7" s="53"/>
      <c r="H7" s="53"/>
      <c r="I7" s="53"/>
      <c r="J7" s="53"/>
      <c r="K7" s="53"/>
      <c r="L7" s="53"/>
      <c r="M7" s="53"/>
      <c r="N7" s="53"/>
      <c r="O7" s="70"/>
      <c r="P7" s="70"/>
    </row>
    <row r="8" spans="1:17" ht="12.75" customHeight="1">
      <c r="A8" s="71" t="s">
        <v>204</v>
      </c>
      <c r="B8" s="23">
        <f>282+355</f>
        <v>637</v>
      </c>
      <c r="C8" s="23">
        <f>205+173</f>
        <v>378</v>
      </c>
      <c r="D8" s="23">
        <f>299+512</f>
        <v>811</v>
      </c>
      <c r="E8" s="23">
        <f>320+561</f>
        <v>881</v>
      </c>
      <c r="F8" s="23">
        <f>131+444</f>
        <v>575</v>
      </c>
      <c r="G8" s="23">
        <v>648</v>
      </c>
      <c r="H8" s="23">
        <v>145</v>
      </c>
      <c r="I8" s="23">
        <v>626</v>
      </c>
      <c r="J8" s="23">
        <v>636</v>
      </c>
      <c r="K8" s="23">
        <v>483</v>
      </c>
      <c r="L8" s="23">
        <v>205</v>
      </c>
      <c r="M8" s="23">
        <v>362</v>
      </c>
      <c r="N8" s="73">
        <f>SUM(B8:M8)</f>
        <v>6387</v>
      </c>
      <c r="O8" s="74">
        <v>8265</v>
      </c>
      <c r="P8" s="75">
        <f>O8/N8</f>
        <v>1.2940347581023954</v>
      </c>
    </row>
    <row r="9" spans="1:17" ht="12.75" customHeight="1">
      <c r="A9" s="2"/>
      <c r="B9" s="86"/>
      <c r="C9" s="86"/>
      <c r="D9" s="86"/>
      <c r="E9" s="86"/>
      <c r="F9" s="86"/>
      <c r="G9" s="86"/>
      <c r="H9" s="86"/>
      <c r="I9" s="86"/>
      <c r="J9" s="86"/>
      <c r="K9" s="86"/>
      <c r="L9" s="86"/>
      <c r="M9" s="86"/>
      <c r="N9" s="87"/>
      <c r="O9" s="75"/>
      <c r="P9" s="75"/>
    </row>
    <row r="10" spans="1:17" ht="12.75" customHeight="1">
      <c r="A10" s="5"/>
      <c r="B10" s="88"/>
      <c r="C10" s="88"/>
      <c r="D10" s="88"/>
      <c r="E10" s="88"/>
      <c r="F10" s="88"/>
      <c r="G10" s="88"/>
      <c r="H10" s="88"/>
      <c r="I10" s="88"/>
      <c r="J10" s="88"/>
      <c r="K10" s="88"/>
      <c r="L10" s="88"/>
      <c r="M10" s="88"/>
      <c r="N10" s="89"/>
      <c r="O10" s="90"/>
      <c r="P10" s="90"/>
    </row>
    <row r="11" spans="1:17" ht="24.75" customHeight="1">
      <c r="A11" s="58"/>
      <c r="B11" s="59">
        <v>39995</v>
      </c>
      <c r="C11" s="59">
        <v>40026</v>
      </c>
      <c r="D11" s="59">
        <v>40057</v>
      </c>
      <c r="E11" s="59">
        <v>40087</v>
      </c>
      <c r="F11" s="59">
        <v>40118</v>
      </c>
      <c r="G11" s="59">
        <v>40148</v>
      </c>
      <c r="H11" s="59">
        <v>40179</v>
      </c>
      <c r="I11" s="59">
        <v>40210</v>
      </c>
      <c r="J11" s="59">
        <v>40238</v>
      </c>
      <c r="K11" s="59">
        <v>40269</v>
      </c>
      <c r="L11" s="59">
        <v>40299</v>
      </c>
      <c r="M11" s="59">
        <v>40330</v>
      </c>
      <c r="N11" s="60" t="s">
        <v>367</v>
      </c>
      <c r="O11" s="61" t="s">
        <v>166</v>
      </c>
      <c r="P11" s="61" t="s">
        <v>171</v>
      </c>
      <c r="Q11" s="2"/>
    </row>
    <row r="12" spans="1:17" ht="12.75" customHeight="1">
      <c r="A12" s="67" t="s">
        <v>35</v>
      </c>
      <c r="B12" s="59"/>
      <c r="C12" s="59"/>
      <c r="D12" s="59"/>
      <c r="E12" s="59"/>
      <c r="F12" s="59"/>
      <c r="G12" s="59"/>
      <c r="H12" s="59"/>
      <c r="I12" s="59"/>
      <c r="J12" s="59"/>
      <c r="K12" s="59"/>
      <c r="L12" s="59"/>
      <c r="M12" s="59"/>
      <c r="N12" s="53"/>
      <c r="O12" s="70"/>
      <c r="P12" s="70"/>
    </row>
    <row r="13" spans="1:17" ht="12.75" customHeight="1">
      <c r="A13" s="71" t="s">
        <v>204</v>
      </c>
      <c r="B13" s="23">
        <f>34+57</f>
        <v>91</v>
      </c>
      <c r="C13" s="23">
        <f>18+57</f>
        <v>75</v>
      </c>
      <c r="D13" s="23">
        <f>43+124</f>
        <v>167</v>
      </c>
      <c r="E13" s="23">
        <f>21+206</f>
        <v>227</v>
      </c>
      <c r="F13" s="23">
        <f>7+140</f>
        <v>147</v>
      </c>
      <c r="G13" s="23">
        <v>94</v>
      </c>
      <c r="H13" s="23">
        <v>40</v>
      </c>
      <c r="I13" s="23">
        <v>296</v>
      </c>
      <c r="J13" s="23">
        <v>262</v>
      </c>
      <c r="K13" s="23">
        <v>279</v>
      </c>
      <c r="L13" s="23">
        <v>68</v>
      </c>
      <c r="M13" s="23">
        <v>109</v>
      </c>
      <c r="N13" s="73">
        <f>SUM(B13:M13)</f>
        <v>1855</v>
      </c>
      <c r="O13" s="74">
        <v>0</v>
      </c>
      <c r="P13" s="76" t="s">
        <v>228</v>
      </c>
    </row>
    <row r="14" spans="1:17" ht="12.75" customHeight="1">
      <c r="A14" s="2"/>
      <c r="B14" s="86"/>
      <c r="C14" s="86"/>
      <c r="D14" s="86"/>
      <c r="E14" s="86"/>
      <c r="F14" s="86"/>
      <c r="G14" s="86"/>
      <c r="H14" s="86"/>
      <c r="I14" s="86"/>
      <c r="J14" s="86"/>
      <c r="K14" s="86"/>
      <c r="L14" s="86"/>
      <c r="M14" s="86"/>
      <c r="N14" s="87"/>
      <c r="O14" s="75"/>
      <c r="P14" s="75"/>
    </row>
    <row r="15" spans="1:17" ht="12.75" customHeight="1">
      <c r="A15" s="5"/>
      <c r="B15" s="88"/>
      <c r="C15" s="88"/>
      <c r="D15" s="88"/>
      <c r="E15" s="88"/>
      <c r="F15" s="88"/>
      <c r="G15" s="88"/>
      <c r="H15" s="88"/>
      <c r="I15" s="88"/>
      <c r="J15" s="88"/>
      <c r="K15" s="88"/>
      <c r="L15" s="88"/>
      <c r="M15" s="88"/>
      <c r="N15" s="89"/>
      <c r="O15" s="90"/>
      <c r="P15" s="90"/>
    </row>
    <row r="16" spans="1:17" ht="24.75" customHeight="1">
      <c r="A16" s="58"/>
      <c r="B16" s="59">
        <v>39995</v>
      </c>
      <c r="C16" s="59">
        <v>40026</v>
      </c>
      <c r="D16" s="59">
        <v>40057</v>
      </c>
      <c r="E16" s="59">
        <v>40087</v>
      </c>
      <c r="F16" s="59">
        <v>40118</v>
      </c>
      <c r="G16" s="59">
        <v>40148</v>
      </c>
      <c r="H16" s="59">
        <v>40179</v>
      </c>
      <c r="I16" s="59">
        <v>40210</v>
      </c>
      <c r="J16" s="59">
        <v>40238</v>
      </c>
      <c r="K16" s="59">
        <v>40269</v>
      </c>
      <c r="L16" s="59">
        <v>40299</v>
      </c>
      <c r="M16" s="59">
        <v>40330</v>
      </c>
      <c r="N16" s="60" t="s">
        <v>367</v>
      </c>
      <c r="O16" s="61" t="s">
        <v>166</v>
      </c>
      <c r="P16" s="61" t="s">
        <v>171</v>
      </c>
      <c r="Q16" s="2"/>
    </row>
    <row r="17" spans="1:17" ht="12.75" customHeight="1">
      <c r="A17" s="67" t="s">
        <v>159</v>
      </c>
      <c r="B17" s="59"/>
      <c r="C17" s="59"/>
      <c r="D17" s="59"/>
      <c r="E17" s="59"/>
      <c r="F17" s="59"/>
      <c r="G17" s="59"/>
      <c r="H17" s="59"/>
      <c r="I17" s="59"/>
      <c r="J17" s="59"/>
      <c r="K17" s="59"/>
      <c r="L17" s="59"/>
      <c r="M17" s="59"/>
      <c r="N17" s="53"/>
      <c r="O17" s="70"/>
      <c r="P17" s="70"/>
    </row>
    <row r="18" spans="1:17" ht="12.75" customHeight="1">
      <c r="A18" s="71" t="s">
        <v>204</v>
      </c>
      <c r="B18" s="23">
        <v>23</v>
      </c>
      <c r="C18" s="23">
        <v>11</v>
      </c>
      <c r="D18" s="23">
        <v>61</v>
      </c>
      <c r="E18" s="23">
        <v>64</v>
      </c>
      <c r="F18" s="23">
        <v>45</v>
      </c>
      <c r="G18" s="23">
        <v>37</v>
      </c>
      <c r="H18" s="23">
        <v>19</v>
      </c>
      <c r="I18" s="23">
        <v>133</v>
      </c>
      <c r="J18" s="23">
        <v>122</v>
      </c>
      <c r="K18" s="23">
        <v>174</v>
      </c>
      <c r="L18" s="23">
        <v>34</v>
      </c>
      <c r="M18" s="23">
        <v>74</v>
      </c>
      <c r="N18" s="73">
        <f>SUM(B18:M18)</f>
        <v>797</v>
      </c>
      <c r="O18" s="74">
        <v>0</v>
      </c>
      <c r="P18" s="76" t="s">
        <v>228</v>
      </c>
    </row>
    <row r="19" spans="1:17" ht="12.75" customHeight="1">
      <c r="A19" s="2"/>
      <c r="B19" s="86"/>
      <c r="C19" s="86"/>
      <c r="D19" s="86"/>
      <c r="E19" s="86"/>
      <c r="F19" s="86"/>
      <c r="G19" s="86"/>
      <c r="H19" s="86"/>
      <c r="I19" s="86"/>
      <c r="J19" s="86"/>
      <c r="K19" s="86"/>
      <c r="L19" s="86"/>
      <c r="M19" s="86"/>
      <c r="N19" s="87"/>
      <c r="O19" s="75"/>
      <c r="P19" s="75"/>
    </row>
    <row r="20" spans="1:17" ht="12.75" customHeight="1">
      <c r="A20" s="5"/>
      <c r="B20" s="88"/>
      <c r="C20" s="88"/>
      <c r="D20" s="88"/>
      <c r="E20" s="88"/>
      <c r="F20" s="88"/>
      <c r="G20" s="88"/>
      <c r="H20" s="88"/>
      <c r="I20" s="88"/>
      <c r="J20" s="88"/>
      <c r="K20" s="88"/>
      <c r="L20" s="88"/>
      <c r="M20" s="88"/>
      <c r="N20" s="89"/>
      <c r="O20" s="90"/>
      <c r="P20" s="90"/>
    </row>
    <row r="21" spans="1:17" ht="24.75" customHeight="1">
      <c r="A21" s="58"/>
      <c r="B21" s="59">
        <v>39995</v>
      </c>
      <c r="C21" s="59">
        <v>40026</v>
      </c>
      <c r="D21" s="59">
        <v>40057</v>
      </c>
      <c r="E21" s="59">
        <v>40087</v>
      </c>
      <c r="F21" s="59">
        <v>40118</v>
      </c>
      <c r="G21" s="59">
        <v>40148</v>
      </c>
      <c r="H21" s="59">
        <v>40179</v>
      </c>
      <c r="I21" s="59">
        <v>40210</v>
      </c>
      <c r="J21" s="59">
        <v>40238</v>
      </c>
      <c r="K21" s="59">
        <v>40269</v>
      </c>
      <c r="L21" s="59">
        <v>40299</v>
      </c>
      <c r="M21" s="59">
        <v>40330</v>
      </c>
      <c r="N21" s="60" t="s">
        <v>367</v>
      </c>
      <c r="O21" s="61" t="s">
        <v>166</v>
      </c>
      <c r="P21" s="61" t="s">
        <v>171</v>
      </c>
      <c r="Q21" s="2"/>
    </row>
    <row r="22" spans="1:17" ht="12.75" customHeight="1">
      <c r="A22" s="67" t="s">
        <v>180</v>
      </c>
      <c r="B22" s="59"/>
      <c r="C22" s="59"/>
      <c r="D22" s="59"/>
      <c r="E22" s="59"/>
      <c r="F22" s="59"/>
      <c r="G22" s="59"/>
      <c r="H22" s="59"/>
      <c r="I22" s="59"/>
      <c r="J22" s="59"/>
      <c r="K22" s="59"/>
      <c r="L22" s="59"/>
      <c r="M22" s="59"/>
      <c r="N22" s="53"/>
      <c r="O22" s="70"/>
      <c r="P22" s="70"/>
    </row>
    <row r="23" spans="1:17" ht="12.75" customHeight="1">
      <c r="A23" s="71" t="s">
        <v>204</v>
      </c>
      <c r="B23" s="23">
        <f>34+33</f>
        <v>67</v>
      </c>
      <c r="C23" s="23">
        <f>18+11</f>
        <v>29</v>
      </c>
      <c r="D23" s="23">
        <f>43+91</f>
        <v>134</v>
      </c>
      <c r="E23" s="23">
        <f>21+116</f>
        <v>137</v>
      </c>
      <c r="F23" s="23">
        <f>7+101</f>
        <v>108</v>
      </c>
      <c r="G23" s="23">
        <v>55</v>
      </c>
      <c r="H23" s="23">
        <v>19</v>
      </c>
      <c r="I23" s="23">
        <v>210</v>
      </c>
      <c r="J23" s="23">
        <v>212</v>
      </c>
      <c r="K23" s="23">
        <v>267</v>
      </c>
      <c r="L23" s="23">
        <v>67</v>
      </c>
      <c r="M23" s="23">
        <v>91</v>
      </c>
      <c r="N23" s="73">
        <f>SUM(B23:M23)</f>
        <v>1396</v>
      </c>
      <c r="O23" s="74">
        <v>0</v>
      </c>
      <c r="P23" s="76" t="s">
        <v>228</v>
      </c>
    </row>
    <row r="24" spans="1:17" ht="12.75" customHeight="1">
      <c r="A24" s="2"/>
      <c r="B24" s="86"/>
      <c r="C24" s="86"/>
      <c r="D24" s="86"/>
      <c r="E24" s="86"/>
      <c r="F24" s="86"/>
      <c r="G24" s="86"/>
      <c r="H24" s="86"/>
      <c r="I24" s="86"/>
      <c r="J24" s="86"/>
      <c r="K24" s="86"/>
      <c r="L24" s="86"/>
      <c r="M24" s="86"/>
      <c r="N24" s="87"/>
      <c r="O24" s="75"/>
      <c r="P24" s="75"/>
    </row>
    <row r="25" spans="1:17" ht="12.75" customHeight="1">
      <c r="A25" s="5"/>
      <c r="B25" s="88"/>
      <c r="C25" s="88"/>
      <c r="D25" s="88"/>
      <c r="E25" s="88"/>
      <c r="F25" s="88"/>
      <c r="G25" s="88"/>
      <c r="H25" s="88"/>
      <c r="I25" s="88"/>
      <c r="J25" s="88"/>
      <c r="K25" s="88"/>
      <c r="L25" s="88"/>
      <c r="M25" s="88"/>
      <c r="N25" s="89"/>
      <c r="O25" s="90"/>
      <c r="P25" s="90"/>
    </row>
    <row r="26" spans="1:17" ht="24.75" customHeight="1">
      <c r="A26" s="58"/>
      <c r="B26" s="59">
        <v>39995</v>
      </c>
      <c r="C26" s="59">
        <v>40026</v>
      </c>
      <c r="D26" s="59">
        <v>40057</v>
      </c>
      <c r="E26" s="59">
        <v>40087</v>
      </c>
      <c r="F26" s="59">
        <v>40118</v>
      </c>
      <c r="G26" s="59">
        <v>40148</v>
      </c>
      <c r="H26" s="59">
        <v>40179</v>
      </c>
      <c r="I26" s="59">
        <v>40210</v>
      </c>
      <c r="J26" s="59">
        <v>40238</v>
      </c>
      <c r="K26" s="59">
        <v>40269</v>
      </c>
      <c r="L26" s="59">
        <v>40299</v>
      </c>
      <c r="M26" s="59">
        <v>40330</v>
      </c>
      <c r="N26" s="60" t="s">
        <v>367</v>
      </c>
      <c r="O26" s="61" t="s">
        <v>166</v>
      </c>
      <c r="P26" s="61" t="s">
        <v>171</v>
      </c>
      <c r="Q26" s="2"/>
    </row>
    <row r="27" spans="1:17" ht="12.75" customHeight="1">
      <c r="A27" s="67" t="s">
        <v>275</v>
      </c>
      <c r="B27" s="59"/>
      <c r="C27" s="59"/>
      <c r="D27" s="59"/>
      <c r="E27" s="59"/>
      <c r="F27" s="59"/>
      <c r="G27" s="59"/>
      <c r="H27" s="59"/>
      <c r="I27" s="59"/>
      <c r="J27" s="59"/>
      <c r="K27" s="59"/>
      <c r="L27" s="59"/>
      <c r="M27" s="59"/>
      <c r="N27" s="53"/>
      <c r="O27" s="70"/>
      <c r="P27" s="70"/>
    </row>
    <row r="28" spans="1:17" ht="12.75" customHeight="1">
      <c r="A28" s="71" t="s">
        <v>204</v>
      </c>
      <c r="B28" s="23">
        <f>34+31</f>
        <v>65</v>
      </c>
      <c r="C28" s="23">
        <f>18+11</f>
        <v>29</v>
      </c>
      <c r="D28" s="23">
        <f>43+82</f>
        <v>125</v>
      </c>
      <c r="E28" s="23">
        <f>21+115</f>
        <v>136</v>
      </c>
      <c r="F28" s="23">
        <f>7+55</f>
        <v>62</v>
      </c>
      <c r="G28" s="23">
        <v>78</v>
      </c>
      <c r="H28" s="23">
        <v>22</v>
      </c>
      <c r="I28" s="23">
        <v>190</v>
      </c>
      <c r="J28" s="23">
        <v>196</v>
      </c>
      <c r="K28" s="23">
        <v>220</v>
      </c>
      <c r="L28" s="23">
        <v>56</v>
      </c>
      <c r="M28" s="23">
        <v>83</v>
      </c>
      <c r="N28" s="73">
        <f>SUM(B28:M28)</f>
        <v>1262</v>
      </c>
      <c r="O28" s="74">
        <v>0</v>
      </c>
      <c r="P28" s="76" t="s">
        <v>228</v>
      </c>
    </row>
    <row r="29" spans="1:17" ht="12.75" customHeight="1">
      <c r="A29" s="2"/>
      <c r="B29" s="86"/>
      <c r="C29" s="86"/>
      <c r="D29" s="86"/>
      <c r="E29" s="86"/>
      <c r="F29" s="86"/>
      <c r="G29" s="86"/>
      <c r="H29" s="86"/>
      <c r="I29" s="86"/>
      <c r="J29" s="86"/>
      <c r="K29" s="86"/>
      <c r="L29" s="86"/>
      <c r="M29" s="86"/>
      <c r="N29" s="87"/>
      <c r="O29" s="75"/>
      <c r="P29" s="75"/>
    </row>
    <row r="30" spans="1:17" ht="12.75" customHeight="1">
      <c r="A30" s="5"/>
      <c r="B30" s="88"/>
      <c r="C30" s="88"/>
      <c r="D30" s="88"/>
      <c r="E30" s="88"/>
      <c r="F30" s="88"/>
      <c r="G30" s="88"/>
      <c r="H30" s="88"/>
      <c r="I30" s="88"/>
      <c r="J30" s="88"/>
      <c r="K30" s="88"/>
      <c r="L30" s="88"/>
      <c r="M30" s="88"/>
      <c r="N30" s="89"/>
      <c r="O30" s="90"/>
      <c r="P30" s="90"/>
    </row>
    <row r="31" spans="1:17" ht="24.75" customHeight="1">
      <c r="A31" s="58"/>
      <c r="B31" s="59">
        <v>39995</v>
      </c>
      <c r="C31" s="59">
        <v>40026</v>
      </c>
      <c r="D31" s="59">
        <v>40057</v>
      </c>
      <c r="E31" s="59">
        <v>40087</v>
      </c>
      <c r="F31" s="59">
        <v>40118</v>
      </c>
      <c r="G31" s="59">
        <v>40148</v>
      </c>
      <c r="H31" s="59">
        <v>40179</v>
      </c>
      <c r="I31" s="59">
        <v>40210</v>
      </c>
      <c r="J31" s="59">
        <v>40238</v>
      </c>
      <c r="K31" s="59">
        <v>40269</v>
      </c>
      <c r="L31" s="59">
        <v>40299</v>
      </c>
      <c r="M31" s="59">
        <v>40330</v>
      </c>
      <c r="N31" s="60" t="s">
        <v>367</v>
      </c>
      <c r="O31" s="61" t="s">
        <v>166</v>
      </c>
      <c r="P31" s="61" t="s">
        <v>171</v>
      </c>
      <c r="Q31" s="2"/>
    </row>
    <row r="32" spans="1:17" ht="12.75" customHeight="1">
      <c r="A32" s="186" t="s">
        <v>263</v>
      </c>
      <c r="B32" s="187"/>
      <c r="C32" s="59"/>
      <c r="D32" s="59"/>
      <c r="E32" s="59"/>
      <c r="F32" s="59"/>
      <c r="G32" s="59"/>
      <c r="H32" s="59"/>
      <c r="I32" s="59"/>
      <c r="J32" s="59"/>
      <c r="K32" s="59"/>
      <c r="L32" s="59"/>
      <c r="M32" s="59"/>
      <c r="N32" s="53"/>
      <c r="O32" s="70"/>
      <c r="P32" s="70"/>
    </row>
    <row r="33" spans="1:16" ht="12.75" customHeight="1">
      <c r="A33" s="71" t="s">
        <v>204</v>
      </c>
      <c r="B33" s="33">
        <f>34+32</f>
        <v>66</v>
      </c>
      <c r="C33" s="23">
        <f>18+11</f>
        <v>29</v>
      </c>
      <c r="D33" s="23">
        <f>43+64</f>
        <v>107</v>
      </c>
      <c r="E33" s="23">
        <f>21+57</f>
        <v>78</v>
      </c>
      <c r="F33" s="23">
        <f>7+47</f>
        <v>54</v>
      </c>
      <c r="G33" s="23">
        <v>57</v>
      </c>
      <c r="H33" s="23">
        <v>21</v>
      </c>
      <c r="I33" s="23">
        <v>180</v>
      </c>
      <c r="J33" s="23">
        <v>181</v>
      </c>
      <c r="K33" s="23">
        <v>218</v>
      </c>
      <c r="L33" s="23">
        <v>56</v>
      </c>
      <c r="M33" s="23">
        <v>83</v>
      </c>
      <c r="N33" s="73">
        <f>SUM(B33:M33)</f>
        <v>1130</v>
      </c>
      <c r="O33" s="74">
        <v>0</v>
      </c>
      <c r="P33" s="76" t="s">
        <v>228</v>
      </c>
    </row>
    <row r="34" spans="1:16" ht="12.75" customHeight="1">
      <c r="A34" s="2"/>
      <c r="B34" s="86"/>
      <c r="C34" s="86"/>
      <c r="D34" s="86"/>
      <c r="E34" s="86"/>
      <c r="F34" s="86"/>
      <c r="G34" s="86"/>
      <c r="H34" s="86"/>
      <c r="I34" s="86"/>
      <c r="J34" s="86"/>
      <c r="K34" s="86"/>
      <c r="L34" s="86"/>
      <c r="M34" s="86"/>
      <c r="N34" s="87"/>
      <c r="O34" s="75"/>
      <c r="P34" s="75"/>
    </row>
    <row r="35" spans="1:16" ht="12.75" customHeight="1">
      <c r="A35" s="5"/>
      <c r="B35" s="88"/>
      <c r="C35" s="88"/>
      <c r="D35" s="88"/>
      <c r="E35" s="88"/>
      <c r="F35" s="88"/>
      <c r="G35" s="88"/>
      <c r="H35" s="88"/>
      <c r="I35" s="88"/>
      <c r="J35" s="88"/>
      <c r="K35" s="88"/>
      <c r="L35" s="88"/>
      <c r="M35" s="88"/>
      <c r="N35" s="89"/>
      <c r="O35" s="90"/>
      <c r="P35" s="90"/>
    </row>
    <row r="36" spans="1:16" ht="12.75" customHeight="1">
      <c r="A36" s="58"/>
      <c r="B36" s="59">
        <v>39995</v>
      </c>
      <c r="C36" s="59">
        <v>40026</v>
      </c>
      <c r="D36" s="59">
        <v>40057</v>
      </c>
      <c r="E36" s="59">
        <v>40087</v>
      </c>
      <c r="F36" s="59">
        <v>40118</v>
      </c>
      <c r="G36" s="59">
        <v>40148</v>
      </c>
      <c r="H36" s="59">
        <v>40179</v>
      </c>
      <c r="I36" s="59">
        <v>40210</v>
      </c>
      <c r="J36" s="59">
        <v>40238</v>
      </c>
      <c r="K36" s="59">
        <v>40269</v>
      </c>
      <c r="L36" s="59">
        <v>40299</v>
      </c>
      <c r="M36" s="59">
        <v>40330</v>
      </c>
      <c r="N36" s="60" t="s">
        <v>367</v>
      </c>
      <c r="O36" s="61" t="s">
        <v>166</v>
      </c>
      <c r="P36" s="61" t="s">
        <v>171</v>
      </c>
    </row>
    <row r="37" spans="1:16" ht="12.75" customHeight="1">
      <c r="A37" s="186" t="s">
        <v>175</v>
      </c>
      <c r="B37" s="187"/>
      <c r="C37" s="59"/>
      <c r="D37" s="59"/>
      <c r="E37" s="59"/>
      <c r="F37" s="59"/>
      <c r="G37" s="59"/>
      <c r="H37" s="59"/>
      <c r="I37" s="59"/>
      <c r="J37" s="59"/>
      <c r="K37" s="59"/>
      <c r="L37" s="59"/>
      <c r="M37" s="59"/>
      <c r="N37" s="53"/>
      <c r="O37" s="70"/>
      <c r="P37" s="70"/>
    </row>
    <row r="38" spans="1:16" ht="12.75" customHeight="1">
      <c r="A38" s="71" t="s">
        <v>204</v>
      </c>
      <c r="B38" s="33">
        <v>0</v>
      </c>
      <c r="C38" s="23">
        <v>0</v>
      </c>
      <c r="D38" s="23">
        <v>10</v>
      </c>
      <c r="E38" s="23">
        <v>11</v>
      </c>
      <c r="F38" s="23">
        <v>28</v>
      </c>
      <c r="G38" s="23">
        <v>44</v>
      </c>
      <c r="H38" s="23">
        <v>20</v>
      </c>
      <c r="I38" s="23">
        <v>62</v>
      </c>
      <c r="J38" s="23">
        <v>0</v>
      </c>
      <c r="K38" s="23">
        <v>0</v>
      </c>
      <c r="L38" s="23">
        <v>0</v>
      </c>
      <c r="M38" s="23">
        <v>0</v>
      </c>
      <c r="N38" s="73">
        <f>SUM(B38:M38)</f>
        <v>175</v>
      </c>
      <c r="O38" s="74">
        <v>0</v>
      </c>
      <c r="P38" s="76" t="s">
        <v>228</v>
      </c>
    </row>
    <row r="39" spans="1:16" ht="12.75" customHeight="1">
      <c r="A39" s="2"/>
      <c r="B39" s="86"/>
      <c r="C39" s="86"/>
      <c r="D39" s="86"/>
      <c r="E39" s="86"/>
      <c r="F39" s="86"/>
      <c r="G39" s="86"/>
      <c r="H39" s="86"/>
      <c r="I39" s="86"/>
      <c r="J39" s="86"/>
      <c r="K39" s="86"/>
      <c r="L39" s="86"/>
      <c r="M39" s="86"/>
      <c r="N39" s="87"/>
      <c r="O39" s="75"/>
      <c r="P39" s="75"/>
    </row>
    <row r="40" spans="1:16" ht="12.75" customHeight="1">
      <c r="A40" s="5"/>
      <c r="B40" s="88"/>
      <c r="C40" s="88"/>
      <c r="D40" s="88"/>
      <c r="E40" s="88"/>
      <c r="F40" s="88"/>
      <c r="G40" s="88"/>
      <c r="H40" s="88"/>
      <c r="I40" s="88"/>
      <c r="J40" s="88"/>
      <c r="K40" s="88"/>
      <c r="L40" s="88"/>
      <c r="M40" s="88"/>
      <c r="N40" s="89"/>
      <c r="O40" s="90"/>
      <c r="P40" s="90"/>
    </row>
    <row r="41" spans="1:16" ht="12.75" customHeight="1">
      <c r="A41" s="58"/>
      <c r="B41" s="59">
        <v>39995</v>
      </c>
      <c r="C41" s="59">
        <v>40026</v>
      </c>
      <c r="D41" s="59">
        <v>40057</v>
      </c>
      <c r="E41" s="59">
        <v>40087</v>
      </c>
      <c r="F41" s="59">
        <v>40118</v>
      </c>
      <c r="G41" s="59">
        <v>40148</v>
      </c>
      <c r="H41" s="59">
        <v>40179</v>
      </c>
      <c r="I41" s="59">
        <v>40210</v>
      </c>
      <c r="J41" s="59">
        <v>40238</v>
      </c>
      <c r="K41" s="59">
        <v>40269</v>
      </c>
      <c r="L41" s="59">
        <v>40299</v>
      </c>
      <c r="M41" s="59">
        <v>40330</v>
      </c>
      <c r="N41" s="60" t="s">
        <v>367</v>
      </c>
      <c r="O41" s="61" t="s">
        <v>166</v>
      </c>
      <c r="P41" s="61" t="s">
        <v>171</v>
      </c>
    </row>
    <row r="42" spans="1:16" ht="12.75" customHeight="1">
      <c r="A42" s="186" t="s">
        <v>304</v>
      </c>
      <c r="B42" s="187"/>
      <c r="C42" s="59"/>
      <c r="D42" s="59"/>
      <c r="E42" s="59"/>
      <c r="F42" s="59"/>
      <c r="G42" s="59"/>
      <c r="H42" s="59"/>
      <c r="I42" s="59"/>
      <c r="J42" s="59"/>
      <c r="K42" s="59"/>
      <c r="L42" s="59"/>
      <c r="M42" s="59"/>
      <c r="N42" s="53"/>
      <c r="O42" s="70"/>
      <c r="P42" s="70"/>
    </row>
    <row r="43" spans="1:16" ht="12.75" customHeight="1">
      <c r="A43" s="71" t="s">
        <v>204</v>
      </c>
      <c r="B43" s="33">
        <v>0</v>
      </c>
      <c r="C43" s="23">
        <v>0</v>
      </c>
      <c r="D43" s="23">
        <v>10</v>
      </c>
      <c r="E43" s="23">
        <v>39</v>
      </c>
      <c r="F43" s="23">
        <v>28</v>
      </c>
      <c r="G43" s="23">
        <v>44</v>
      </c>
      <c r="H43" s="23">
        <v>21</v>
      </c>
      <c r="I43" s="23">
        <v>63</v>
      </c>
      <c r="J43" s="23">
        <v>0</v>
      </c>
      <c r="K43" s="23">
        <v>0</v>
      </c>
      <c r="L43" s="23">
        <v>0</v>
      </c>
      <c r="M43" s="23">
        <v>0</v>
      </c>
      <c r="N43" s="73">
        <f>SUM(B43:M43)</f>
        <v>205</v>
      </c>
      <c r="O43" s="74">
        <v>0</v>
      </c>
      <c r="P43" s="76" t="s">
        <v>228</v>
      </c>
    </row>
    <row r="44" spans="1:16" ht="12.75" customHeight="1">
      <c r="A44" s="2"/>
      <c r="B44" s="86"/>
      <c r="C44" s="86"/>
      <c r="D44" s="86"/>
      <c r="E44" s="86"/>
      <c r="F44" s="86"/>
      <c r="G44" s="86"/>
      <c r="H44" s="86"/>
      <c r="I44" s="86"/>
      <c r="J44" s="86"/>
      <c r="K44" s="86"/>
      <c r="L44" s="86"/>
      <c r="M44" s="86"/>
      <c r="N44" s="87"/>
      <c r="O44" s="75"/>
      <c r="P44" s="75"/>
    </row>
    <row r="45" spans="1:16" ht="12.75" customHeight="1">
      <c r="A45" s="5"/>
      <c r="B45" s="88"/>
      <c r="C45" s="88"/>
      <c r="D45" s="88"/>
      <c r="E45" s="88"/>
      <c r="F45" s="88"/>
      <c r="G45" s="88"/>
      <c r="H45" s="88"/>
      <c r="I45" s="88"/>
      <c r="J45" s="88"/>
      <c r="K45" s="88"/>
      <c r="L45" s="88"/>
      <c r="M45" s="88"/>
      <c r="N45" s="89"/>
      <c r="O45" s="90"/>
      <c r="P45" s="90"/>
    </row>
    <row r="46" spans="1:16" ht="12.75" customHeight="1">
      <c r="A46" s="58"/>
      <c r="B46" s="59">
        <v>39995</v>
      </c>
      <c r="C46" s="59">
        <v>40026</v>
      </c>
      <c r="D46" s="59">
        <v>40057</v>
      </c>
      <c r="E46" s="59">
        <v>40087</v>
      </c>
      <c r="F46" s="59">
        <v>40118</v>
      </c>
      <c r="G46" s="59">
        <v>40148</v>
      </c>
      <c r="H46" s="59">
        <v>40179</v>
      </c>
      <c r="I46" s="59">
        <v>40210</v>
      </c>
      <c r="J46" s="59">
        <v>40238</v>
      </c>
      <c r="K46" s="59">
        <v>40269</v>
      </c>
      <c r="L46" s="59">
        <v>40299</v>
      </c>
      <c r="M46" s="59">
        <v>40330</v>
      </c>
      <c r="N46" s="60" t="s">
        <v>367</v>
      </c>
      <c r="O46" s="61" t="s">
        <v>166</v>
      </c>
      <c r="P46" s="61" t="s">
        <v>171</v>
      </c>
    </row>
    <row r="47" spans="1:16" ht="12.75" customHeight="1">
      <c r="A47" s="67" t="s">
        <v>283</v>
      </c>
      <c r="B47" s="59"/>
      <c r="C47" s="59"/>
      <c r="D47" s="59"/>
      <c r="E47" s="59"/>
      <c r="F47" s="59"/>
      <c r="G47" s="59"/>
      <c r="H47" s="59"/>
      <c r="I47" s="59"/>
      <c r="J47" s="59"/>
      <c r="K47" s="59"/>
      <c r="L47" s="59"/>
      <c r="M47" s="59"/>
      <c r="N47" s="53"/>
      <c r="O47" s="70"/>
      <c r="P47" s="70"/>
    </row>
    <row r="48" spans="1:16" ht="12.75" customHeight="1">
      <c r="A48" s="71" t="s">
        <v>204</v>
      </c>
      <c r="B48" s="23">
        <f>34+178</f>
        <v>212</v>
      </c>
      <c r="C48" s="23">
        <f>18+63</f>
        <v>81</v>
      </c>
      <c r="D48" s="23">
        <f>43+174</f>
        <v>217</v>
      </c>
      <c r="E48" s="23">
        <f>21+333</f>
        <v>354</v>
      </c>
      <c r="F48" s="23">
        <f>7+330</f>
        <v>337</v>
      </c>
      <c r="G48" s="23">
        <v>276</v>
      </c>
      <c r="H48" s="23">
        <v>29</v>
      </c>
      <c r="I48" s="23">
        <v>467</v>
      </c>
      <c r="J48" s="23">
        <v>527</v>
      </c>
      <c r="K48" s="23">
        <v>527</v>
      </c>
      <c r="L48" s="23">
        <v>74</v>
      </c>
      <c r="M48" s="23">
        <v>114</v>
      </c>
      <c r="N48" s="73">
        <f>SUM(B48:M48)</f>
        <v>3215</v>
      </c>
      <c r="O48" s="74">
        <v>2730</v>
      </c>
      <c r="P48" s="75">
        <f>O48/N48</f>
        <v>0.84914463452566091</v>
      </c>
    </row>
    <row r="49" spans="1:17" ht="12.75" customHeight="1">
      <c r="A49" s="2"/>
      <c r="B49" s="86"/>
      <c r="C49" s="86"/>
      <c r="D49" s="86"/>
      <c r="E49" s="86"/>
      <c r="F49" s="86"/>
      <c r="G49" s="86"/>
      <c r="H49" s="86"/>
      <c r="I49" s="86"/>
      <c r="J49" s="86"/>
      <c r="K49" s="86"/>
      <c r="L49" s="86"/>
      <c r="M49" s="86"/>
      <c r="N49" s="87"/>
      <c r="O49" s="75"/>
      <c r="P49" s="75"/>
    </row>
    <row r="50" spans="1:17" ht="12.75" customHeight="1">
      <c r="A50" s="5"/>
      <c r="B50" s="88"/>
      <c r="C50" s="88"/>
      <c r="D50" s="88"/>
      <c r="E50" s="88"/>
      <c r="F50" s="88"/>
      <c r="G50" s="88"/>
      <c r="H50" s="88"/>
      <c r="I50" s="88"/>
      <c r="J50" s="88"/>
      <c r="K50" s="88"/>
      <c r="L50" s="88"/>
      <c r="M50" s="88"/>
      <c r="N50" s="89"/>
      <c r="O50" s="90"/>
      <c r="P50" s="90"/>
    </row>
    <row r="51" spans="1:17" ht="24.75" customHeight="1">
      <c r="A51" s="58"/>
      <c r="B51" s="59">
        <v>39995</v>
      </c>
      <c r="C51" s="59">
        <v>40026</v>
      </c>
      <c r="D51" s="59">
        <v>40057</v>
      </c>
      <c r="E51" s="59">
        <v>40087</v>
      </c>
      <c r="F51" s="59">
        <v>40118</v>
      </c>
      <c r="G51" s="59">
        <v>40148</v>
      </c>
      <c r="H51" s="59">
        <v>40179</v>
      </c>
      <c r="I51" s="59">
        <v>40210</v>
      </c>
      <c r="J51" s="59">
        <v>40238</v>
      </c>
      <c r="K51" s="59">
        <v>40269</v>
      </c>
      <c r="L51" s="59">
        <v>40299</v>
      </c>
      <c r="M51" s="59">
        <v>40330</v>
      </c>
      <c r="N51" s="60" t="s">
        <v>367</v>
      </c>
      <c r="O51" s="61" t="s">
        <v>166</v>
      </c>
      <c r="P51" s="61" t="s">
        <v>171</v>
      </c>
      <c r="Q51" s="2"/>
    </row>
    <row r="52" spans="1:17" ht="12.75" customHeight="1">
      <c r="A52" s="67" t="s">
        <v>117</v>
      </c>
      <c r="B52" s="59"/>
      <c r="C52" s="59"/>
      <c r="D52" s="59"/>
      <c r="E52" s="59"/>
      <c r="F52" s="59"/>
      <c r="G52" s="59"/>
      <c r="H52" s="59"/>
      <c r="I52" s="59"/>
      <c r="J52" s="59"/>
      <c r="K52" s="59"/>
      <c r="L52" s="59"/>
      <c r="M52" s="59"/>
      <c r="N52" s="53"/>
      <c r="O52" s="70"/>
      <c r="P52" s="70"/>
    </row>
    <row r="53" spans="1:17" ht="12.75" customHeight="1">
      <c r="A53" s="71" t="s">
        <v>204</v>
      </c>
      <c r="B53" s="23">
        <v>166</v>
      </c>
      <c r="C53" s="23">
        <v>83</v>
      </c>
      <c r="D53" s="23">
        <v>609</v>
      </c>
      <c r="E53" s="23">
        <v>334</v>
      </c>
      <c r="F53" s="23">
        <v>495</v>
      </c>
      <c r="G53" s="23">
        <v>886</v>
      </c>
      <c r="H53" s="23">
        <v>36</v>
      </c>
      <c r="I53" s="23">
        <v>605</v>
      </c>
      <c r="J53" s="23">
        <v>622</v>
      </c>
      <c r="K53" s="23">
        <v>1168</v>
      </c>
      <c r="L53" s="23">
        <v>344</v>
      </c>
      <c r="M53" s="23">
        <v>159</v>
      </c>
      <c r="N53" s="73">
        <f>SUM(B53:M53)</f>
        <v>5507</v>
      </c>
      <c r="O53" s="74">
        <v>3025</v>
      </c>
      <c r="P53" s="75">
        <f>O53/N53</f>
        <v>0.54930088977664793</v>
      </c>
    </row>
    <row r="54" spans="1:17" ht="12.75" customHeight="1">
      <c r="A54" s="91"/>
      <c r="B54" s="92"/>
      <c r="C54" s="92"/>
      <c r="D54" s="92"/>
      <c r="E54" s="92"/>
      <c r="F54" s="92"/>
      <c r="G54" s="92"/>
      <c r="H54" s="92"/>
      <c r="I54" s="92"/>
      <c r="J54" s="92"/>
      <c r="K54" s="92"/>
      <c r="L54" s="92"/>
      <c r="M54" s="92"/>
      <c r="N54" s="92"/>
      <c r="O54" s="93"/>
      <c r="P54" s="93"/>
    </row>
    <row r="55" spans="1:17" ht="12.75" customHeight="1">
      <c r="A55" s="94"/>
      <c r="B55" s="95"/>
      <c r="C55" s="95"/>
      <c r="D55" s="95"/>
      <c r="E55" s="95"/>
      <c r="F55" s="95"/>
      <c r="G55" s="95"/>
      <c r="H55" s="95"/>
      <c r="I55" s="95"/>
      <c r="J55" s="95"/>
      <c r="K55" s="95"/>
      <c r="L55" s="95"/>
      <c r="M55" s="95"/>
      <c r="N55" s="95"/>
      <c r="O55" s="95"/>
      <c r="P55" s="95"/>
    </row>
    <row r="56" spans="1:17" ht="12.75" customHeight="1">
      <c r="A56" s="58"/>
      <c r="B56" s="59">
        <v>39995</v>
      </c>
      <c r="C56" s="59">
        <v>40026</v>
      </c>
      <c r="D56" s="59">
        <v>40057</v>
      </c>
      <c r="E56" s="59">
        <v>40087</v>
      </c>
      <c r="F56" s="59">
        <v>40118</v>
      </c>
      <c r="G56" s="59">
        <v>40148</v>
      </c>
      <c r="H56" s="59">
        <v>40179</v>
      </c>
      <c r="I56" s="59">
        <v>40210</v>
      </c>
      <c r="J56" s="59">
        <v>40238</v>
      </c>
      <c r="K56" s="59">
        <v>40269</v>
      </c>
      <c r="L56" s="59">
        <v>40299</v>
      </c>
      <c r="M56" s="59">
        <v>40330</v>
      </c>
      <c r="N56" s="60" t="s">
        <v>367</v>
      </c>
      <c r="O56" s="61" t="s">
        <v>166</v>
      </c>
      <c r="P56" s="61" t="s">
        <v>171</v>
      </c>
      <c r="Q56" s="2"/>
    </row>
    <row r="57" spans="1:17" ht="12.75" customHeight="1">
      <c r="A57" s="96" t="s">
        <v>250</v>
      </c>
      <c r="B57" s="97"/>
      <c r="C57" s="97"/>
      <c r="D57" s="97"/>
      <c r="E57" s="97"/>
      <c r="F57" s="97"/>
      <c r="G57" s="97"/>
      <c r="H57" s="97"/>
      <c r="I57" s="97"/>
      <c r="J57" s="97"/>
      <c r="K57" s="97"/>
      <c r="L57" s="97"/>
      <c r="M57" s="97"/>
      <c r="N57" s="97"/>
      <c r="O57" s="92"/>
      <c r="P57" s="92"/>
    </row>
    <row r="58" spans="1:17" ht="12.75" customHeight="1">
      <c r="A58" s="71" t="s">
        <v>204</v>
      </c>
      <c r="B58" s="23">
        <v>0</v>
      </c>
      <c r="C58" s="23">
        <v>0</v>
      </c>
      <c r="D58" s="23">
        <v>16</v>
      </c>
      <c r="E58" s="23">
        <v>39</v>
      </c>
      <c r="F58" s="23">
        <v>29</v>
      </c>
      <c r="G58" s="23">
        <v>40</v>
      </c>
      <c r="H58" s="23">
        <v>9</v>
      </c>
      <c r="I58" s="23">
        <v>6</v>
      </c>
      <c r="J58" s="23">
        <v>0</v>
      </c>
      <c r="K58" s="23">
        <v>0</v>
      </c>
      <c r="L58" s="23">
        <v>0</v>
      </c>
      <c r="M58" s="23">
        <v>0</v>
      </c>
      <c r="N58" s="73">
        <f>SUM(B58:M58)</f>
        <v>139</v>
      </c>
      <c r="O58" s="74"/>
      <c r="P58" s="75">
        <f>O58/N58</f>
        <v>0</v>
      </c>
    </row>
    <row r="59" spans="1:17" ht="12.75" customHeight="1">
      <c r="A59" s="91"/>
      <c r="B59" s="92"/>
      <c r="C59" s="92"/>
      <c r="D59" s="92"/>
      <c r="E59" s="92"/>
      <c r="F59" s="92"/>
      <c r="G59" s="92"/>
      <c r="H59" s="92"/>
      <c r="I59" s="92"/>
      <c r="J59" s="92"/>
      <c r="K59" s="92"/>
      <c r="L59" s="92"/>
      <c r="M59" s="92"/>
      <c r="N59" s="92"/>
      <c r="O59" s="93"/>
      <c r="P59" s="93"/>
    </row>
    <row r="60" spans="1:17" ht="12.75" customHeight="1">
      <c r="A60" s="94"/>
      <c r="B60" s="95"/>
      <c r="C60" s="95"/>
      <c r="D60" s="95"/>
      <c r="E60" s="95"/>
      <c r="F60" s="95"/>
      <c r="G60" s="95"/>
      <c r="H60" s="95"/>
      <c r="I60" s="95"/>
      <c r="J60" s="95"/>
      <c r="K60" s="95"/>
      <c r="L60" s="95"/>
      <c r="M60" s="95"/>
      <c r="N60" s="95"/>
      <c r="O60" s="95"/>
      <c r="P60" s="95"/>
    </row>
    <row r="61" spans="1:17" ht="12.75" customHeight="1">
      <c r="A61" s="58"/>
      <c r="B61" s="59">
        <v>39995</v>
      </c>
      <c r="C61" s="59">
        <v>40026</v>
      </c>
      <c r="D61" s="59">
        <v>40057</v>
      </c>
      <c r="E61" s="59">
        <v>40087</v>
      </c>
      <c r="F61" s="59">
        <v>40118</v>
      </c>
      <c r="G61" s="59">
        <v>40148</v>
      </c>
      <c r="H61" s="59">
        <v>40179</v>
      </c>
      <c r="I61" s="59">
        <v>40210</v>
      </c>
      <c r="J61" s="59">
        <v>40238</v>
      </c>
      <c r="K61" s="59">
        <v>40269</v>
      </c>
      <c r="L61" s="59">
        <v>40299</v>
      </c>
      <c r="M61" s="59">
        <v>40330</v>
      </c>
      <c r="N61" s="60" t="s">
        <v>367</v>
      </c>
      <c r="O61" s="61" t="s">
        <v>166</v>
      </c>
      <c r="P61" s="61" t="s">
        <v>171</v>
      </c>
    </row>
    <row r="62" spans="1:17" ht="12.75" customHeight="1">
      <c r="A62" s="186" t="s">
        <v>151</v>
      </c>
      <c r="B62" s="187"/>
      <c r="C62" s="187"/>
      <c r="D62" s="59"/>
      <c r="E62" s="59"/>
      <c r="F62" s="59"/>
      <c r="G62" s="59"/>
      <c r="H62" s="59"/>
      <c r="I62" s="59"/>
      <c r="J62" s="59"/>
      <c r="K62" s="59"/>
      <c r="L62" s="59"/>
      <c r="M62" s="59"/>
      <c r="N62" s="53"/>
      <c r="O62" s="70"/>
      <c r="P62" s="70"/>
    </row>
    <row r="63" spans="1:17" ht="12.75" customHeight="1">
      <c r="A63" s="71" t="s">
        <v>204</v>
      </c>
      <c r="B63" s="23">
        <f>7+4</f>
        <v>11</v>
      </c>
      <c r="C63" s="23">
        <f>18+10</f>
        <v>28</v>
      </c>
      <c r="D63" s="23">
        <f>43+16</f>
        <v>59</v>
      </c>
      <c r="E63" s="23">
        <f>21+39</f>
        <v>60</v>
      </c>
      <c r="F63" s="23">
        <f>115+29</f>
        <v>144</v>
      </c>
      <c r="G63" s="23">
        <v>49</v>
      </c>
      <c r="H63" s="23">
        <v>27</v>
      </c>
      <c r="I63" s="23">
        <v>217</v>
      </c>
      <c r="J63" s="23">
        <v>181</v>
      </c>
      <c r="K63" s="23">
        <v>287</v>
      </c>
      <c r="L63" s="23">
        <v>59</v>
      </c>
      <c r="M63" s="23">
        <v>85</v>
      </c>
      <c r="N63" s="73">
        <f>SUM(B63:M63)</f>
        <v>1207</v>
      </c>
      <c r="O63" s="74">
        <v>0</v>
      </c>
      <c r="P63" s="76" t="s">
        <v>228</v>
      </c>
    </row>
    <row r="64" spans="1:17" ht="12.75" customHeight="1">
      <c r="A64" s="2"/>
      <c r="B64" s="86"/>
      <c r="C64" s="86"/>
      <c r="D64" s="86"/>
      <c r="E64" s="86"/>
      <c r="F64" s="86"/>
      <c r="G64" s="86"/>
      <c r="H64" s="86"/>
      <c r="I64" s="86"/>
      <c r="J64" s="86"/>
      <c r="K64" s="86"/>
      <c r="L64" s="86"/>
      <c r="M64" s="86"/>
      <c r="N64" s="87"/>
      <c r="O64" s="75"/>
      <c r="P64" s="75"/>
    </row>
    <row r="65" spans="1:17" ht="12.75" customHeight="1">
      <c r="A65" s="5"/>
      <c r="B65" s="88"/>
      <c r="C65" s="88"/>
      <c r="D65" s="88"/>
      <c r="E65" s="88"/>
      <c r="F65" s="88"/>
      <c r="G65" s="88"/>
      <c r="H65" s="88"/>
      <c r="I65" s="88"/>
      <c r="J65" s="88"/>
      <c r="K65" s="88"/>
      <c r="L65" s="88"/>
      <c r="M65" s="88"/>
      <c r="N65" s="89"/>
      <c r="O65" s="90"/>
      <c r="P65" s="90"/>
    </row>
    <row r="66" spans="1:17" ht="12.75" customHeight="1">
      <c r="A66" s="58"/>
      <c r="B66" s="59">
        <v>39995</v>
      </c>
      <c r="C66" s="59">
        <v>40026</v>
      </c>
      <c r="D66" s="59">
        <v>40057</v>
      </c>
      <c r="E66" s="59">
        <v>40087</v>
      </c>
      <c r="F66" s="59">
        <v>40118</v>
      </c>
      <c r="G66" s="59">
        <v>40148</v>
      </c>
      <c r="H66" s="59">
        <v>40179</v>
      </c>
      <c r="I66" s="59">
        <v>40210</v>
      </c>
      <c r="J66" s="59">
        <v>40238</v>
      </c>
      <c r="K66" s="59">
        <v>40269</v>
      </c>
      <c r="L66" s="59">
        <v>40299</v>
      </c>
      <c r="M66" s="59">
        <v>40330</v>
      </c>
      <c r="N66" s="60" t="s">
        <v>367</v>
      </c>
      <c r="O66" s="61" t="s">
        <v>166</v>
      </c>
      <c r="P66" s="61" t="s">
        <v>171</v>
      </c>
    </row>
    <row r="67" spans="1:17" ht="12.75" customHeight="1">
      <c r="A67" s="67" t="s">
        <v>7</v>
      </c>
      <c r="B67" s="59"/>
      <c r="C67" s="59"/>
      <c r="D67" s="59"/>
      <c r="E67" s="59"/>
      <c r="F67" s="59"/>
      <c r="G67" s="59"/>
      <c r="H67" s="59"/>
      <c r="I67" s="59"/>
      <c r="J67" s="59"/>
      <c r="K67" s="59"/>
      <c r="L67" s="59"/>
      <c r="M67" s="59"/>
      <c r="N67" s="53"/>
      <c r="O67" s="70"/>
      <c r="P67" s="70"/>
    </row>
    <row r="68" spans="1:17" ht="12.75" customHeight="1">
      <c r="A68" s="71" t="s">
        <v>204</v>
      </c>
      <c r="B68" s="23">
        <v>0</v>
      </c>
      <c r="C68" s="23">
        <v>0</v>
      </c>
      <c r="D68" s="23">
        <v>12</v>
      </c>
      <c r="E68" s="23">
        <v>37</v>
      </c>
      <c r="F68" s="23">
        <v>28</v>
      </c>
      <c r="G68" s="23">
        <v>44</v>
      </c>
      <c r="H68" s="23">
        <v>28</v>
      </c>
      <c r="I68" s="23">
        <v>49</v>
      </c>
      <c r="J68" s="23">
        <v>0</v>
      </c>
      <c r="K68" s="23">
        <v>0</v>
      </c>
      <c r="L68" s="23">
        <v>0</v>
      </c>
      <c r="M68" s="23">
        <v>0</v>
      </c>
      <c r="N68" s="73">
        <f>SUM(B68:M68)</f>
        <v>198</v>
      </c>
      <c r="O68" s="74">
        <v>0</v>
      </c>
      <c r="P68" s="76" t="s">
        <v>228</v>
      </c>
    </row>
    <row r="69" spans="1:17" ht="12.75" customHeight="1">
      <c r="A69" s="2"/>
      <c r="B69" s="86"/>
      <c r="C69" s="86"/>
      <c r="D69" s="86"/>
      <c r="E69" s="86"/>
      <c r="F69" s="86"/>
      <c r="G69" s="86"/>
      <c r="H69" s="86"/>
      <c r="I69" s="86"/>
      <c r="J69" s="86"/>
      <c r="K69" s="86"/>
      <c r="L69" s="86"/>
      <c r="M69" s="86"/>
      <c r="N69" s="87"/>
      <c r="O69" s="75"/>
      <c r="P69" s="75"/>
    </row>
    <row r="70" spans="1:17" ht="12.75" customHeight="1">
      <c r="A70" s="5"/>
      <c r="B70" s="88"/>
      <c r="C70" s="88"/>
      <c r="D70" s="88"/>
      <c r="E70" s="88"/>
      <c r="F70" s="88"/>
      <c r="G70" s="88"/>
      <c r="H70" s="88"/>
      <c r="I70" s="88"/>
      <c r="J70" s="88"/>
      <c r="K70" s="88"/>
      <c r="L70" s="88"/>
      <c r="M70" s="88"/>
      <c r="N70" s="89"/>
      <c r="O70" s="90"/>
      <c r="P70" s="90"/>
    </row>
    <row r="71" spans="1:17" ht="24.75" customHeight="1">
      <c r="A71" s="58"/>
      <c r="B71" s="59">
        <v>39995</v>
      </c>
      <c r="C71" s="59">
        <v>40026</v>
      </c>
      <c r="D71" s="59">
        <v>40057</v>
      </c>
      <c r="E71" s="59">
        <v>40087</v>
      </c>
      <c r="F71" s="59">
        <v>40118</v>
      </c>
      <c r="G71" s="59">
        <v>40148</v>
      </c>
      <c r="H71" s="59">
        <v>40179</v>
      </c>
      <c r="I71" s="59">
        <v>40210</v>
      </c>
      <c r="J71" s="59">
        <v>40238</v>
      </c>
      <c r="K71" s="59">
        <v>40269</v>
      </c>
      <c r="L71" s="59">
        <v>40299</v>
      </c>
      <c r="M71" s="59">
        <v>40330</v>
      </c>
      <c r="N71" s="60" t="s">
        <v>367</v>
      </c>
      <c r="O71" s="61" t="s">
        <v>166</v>
      </c>
      <c r="P71" s="61" t="s">
        <v>171</v>
      </c>
      <c r="Q71" s="2"/>
    </row>
    <row r="72" spans="1:17" ht="12.75" customHeight="1">
      <c r="A72" s="67" t="s">
        <v>352</v>
      </c>
      <c r="B72" s="59"/>
      <c r="C72" s="59"/>
      <c r="D72" s="59"/>
      <c r="E72" s="59"/>
      <c r="F72" s="59"/>
      <c r="G72" s="59"/>
      <c r="H72" s="59"/>
      <c r="I72" s="59"/>
      <c r="J72" s="59"/>
      <c r="K72" s="59"/>
      <c r="L72" s="59"/>
      <c r="M72" s="59"/>
      <c r="N72" s="53"/>
      <c r="O72" s="70"/>
      <c r="P72" s="70"/>
    </row>
    <row r="73" spans="1:17" ht="12.75" customHeight="1">
      <c r="A73" s="71" t="s">
        <v>204</v>
      </c>
      <c r="B73" s="23">
        <f>34+23</f>
        <v>57</v>
      </c>
      <c r="C73" s="23">
        <f>18+10</f>
        <v>28</v>
      </c>
      <c r="D73" s="23">
        <f>43+10</f>
        <v>53</v>
      </c>
      <c r="E73" s="23">
        <f>21+37</f>
        <v>58</v>
      </c>
      <c r="F73" s="23">
        <f>262+30</f>
        <v>292</v>
      </c>
      <c r="G73" s="23">
        <v>108</v>
      </c>
      <c r="H73" s="23">
        <v>69</v>
      </c>
      <c r="I73" s="23">
        <v>273</v>
      </c>
      <c r="J73" s="23">
        <v>235</v>
      </c>
      <c r="K73" s="23">
        <v>362</v>
      </c>
      <c r="L73" s="23">
        <v>72</v>
      </c>
      <c r="M73" s="23">
        <v>98</v>
      </c>
      <c r="N73" s="73">
        <f>SUM(B73:M73)</f>
        <v>1705</v>
      </c>
      <c r="O73" s="74">
        <v>4900.8</v>
      </c>
      <c r="P73" s="75">
        <f>O73/N73</f>
        <v>2.8743695014662758</v>
      </c>
    </row>
    <row r="74" spans="1:17" ht="12.75" customHeight="1">
      <c r="A74" s="188"/>
      <c r="B74" s="189"/>
      <c r="C74" s="189"/>
      <c r="D74" s="189"/>
      <c r="E74" s="86"/>
      <c r="F74" s="86"/>
      <c r="G74" s="86"/>
      <c r="H74" s="86"/>
      <c r="I74" s="86"/>
      <c r="J74" s="86"/>
      <c r="K74" s="86"/>
      <c r="L74" s="86"/>
      <c r="M74" s="86"/>
      <c r="N74" s="87"/>
      <c r="O74" s="75"/>
      <c r="P74" s="75"/>
    </row>
    <row r="75" spans="1:17" ht="12.75" customHeight="1">
      <c r="A75" s="98"/>
      <c r="B75" s="99"/>
      <c r="C75" s="99"/>
      <c r="D75" s="99"/>
      <c r="E75" s="88"/>
      <c r="F75" s="88"/>
      <c r="G75" s="88"/>
      <c r="H75" s="88"/>
      <c r="I75" s="88"/>
      <c r="J75" s="88"/>
      <c r="K75" s="88"/>
      <c r="L75" s="88"/>
      <c r="M75" s="88"/>
      <c r="N75" s="89"/>
      <c r="O75" s="90"/>
      <c r="P75" s="90"/>
    </row>
    <row r="76" spans="1:17" ht="12.75" customHeight="1">
      <c r="A76" s="58"/>
      <c r="B76" s="59">
        <v>39995</v>
      </c>
      <c r="C76" s="59">
        <v>40026</v>
      </c>
      <c r="D76" s="59">
        <v>40057</v>
      </c>
      <c r="E76" s="59">
        <v>40087</v>
      </c>
      <c r="F76" s="59">
        <v>40118</v>
      </c>
      <c r="G76" s="59">
        <v>40148</v>
      </c>
      <c r="H76" s="59">
        <v>40179</v>
      </c>
      <c r="I76" s="59">
        <v>40210</v>
      </c>
      <c r="J76" s="59">
        <v>40238</v>
      </c>
      <c r="K76" s="59">
        <v>40269</v>
      </c>
      <c r="L76" s="59">
        <v>40299</v>
      </c>
      <c r="M76" s="59">
        <v>40330</v>
      </c>
      <c r="N76" s="60" t="s">
        <v>367</v>
      </c>
      <c r="O76" s="61" t="s">
        <v>166</v>
      </c>
      <c r="P76" s="61" t="s">
        <v>171</v>
      </c>
    </row>
    <row r="77" spans="1:17" ht="12.75" customHeight="1">
      <c r="A77" s="186" t="s">
        <v>94</v>
      </c>
      <c r="B77" s="187"/>
      <c r="C77" s="59"/>
      <c r="D77" s="59"/>
      <c r="E77" s="59"/>
      <c r="F77" s="59"/>
      <c r="G77" s="59"/>
      <c r="H77" s="59"/>
      <c r="I77" s="59"/>
      <c r="J77" s="59"/>
      <c r="K77" s="59"/>
      <c r="L77" s="59"/>
      <c r="M77" s="59"/>
      <c r="N77" s="53"/>
      <c r="O77" s="70"/>
      <c r="P77" s="70"/>
    </row>
    <row r="78" spans="1:17" ht="12.75" customHeight="1">
      <c r="A78" s="71" t="s">
        <v>204</v>
      </c>
      <c r="B78" s="33">
        <v>0</v>
      </c>
      <c r="C78" s="23">
        <v>0</v>
      </c>
      <c r="D78" s="23">
        <v>7</v>
      </c>
      <c r="E78" s="23">
        <v>38</v>
      </c>
      <c r="F78" s="23">
        <v>27</v>
      </c>
      <c r="G78" s="23">
        <v>25</v>
      </c>
      <c r="H78" s="23">
        <v>20</v>
      </c>
      <c r="I78" s="23">
        <v>39</v>
      </c>
      <c r="J78" s="23">
        <v>0</v>
      </c>
      <c r="K78" s="23">
        <v>0</v>
      </c>
      <c r="L78" s="23">
        <v>0</v>
      </c>
      <c r="M78" s="23">
        <v>0</v>
      </c>
      <c r="N78" s="73">
        <f>SUM(B78:M78)</f>
        <v>156</v>
      </c>
      <c r="O78" s="74">
        <v>0</v>
      </c>
      <c r="P78" s="76" t="s">
        <v>228</v>
      </c>
    </row>
    <row r="79" spans="1:17" ht="12.75" customHeight="1">
      <c r="A79" s="100"/>
      <c r="B79" s="101"/>
      <c r="C79" s="101"/>
      <c r="D79" s="101"/>
      <c r="E79" s="86"/>
      <c r="F79" s="86"/>
      <c r="G79" s="86"/>
      <c r="H79" s="86"/>
      <c r="I79" s="86"/>
      <c r="J79" s="86"/>
      <c r="K79" s="86"/>
      <c r="L79" s="86"/>
      <c r="M79" s="86"/>
      <c r="N79" s="87"/>
      <c r="O79" s="75"/>
      <c r="P79" s="75"/>
    </row>
    <row r="80" spans="1:17" ht="12.75" customHeight="1">
      <c r="A80" s="98"/>
      <c r="B80" s="99"/>
      <c r="C80" s="99"/>
      <c r="D80" s="99"/>
      <c r="E80" s="88"/>
      <c r="F80" s="88"/>
      <c r="G80" s="88"/>
      <c r="H80" s="88"/>
      <c r="I80" s="88"/>
      <c r="J80" s="88"/>
      <c r="K80" s="88"/>
      <c r="L80" s="88"/>
      <c r="M80" s="88"/>
      <c r="N80" s="89"/>
      <c r="O80" s="90"/>
      <c r="P80" s="90"/>
    </row>
    <row r="81" spans="1:17" ht="12.75" customHeight="1">
      <c r="A81" s="58"/>
      <c r="B81" s="59">
        <v>39995</v>
      </c>
      <c r="C81" s="59">
        <v>40026</v>
      </c>
      <c r="D81" s="59">
        <v>40057</v>
      </c>
      <c r="E81" s="59">
        <v>40087</v>
      </c>
      <c r="F81" s="59">
        <v>40118</v>
      </c>
      <c r="G81" s="59">
        <v>40148</v>
      </c>
      <c r="H81" s="59">
        <v>40179</v>
      </c>
      <c r="I81" s="59">
        <v>40210</v>
      </c>
      <c r="J81" s="59">
        <v>40238</v>
      </c>
      <c r="K81" s="59">
        <v>40269</v>
      </c>
      <c r="L81" s="59">
        <v>40299</v>
      </c>
      <c r="M81" s="59">
        <v>40330</v>
      </c>
      <c r="N81" s="60" t="s">
        <v>367</v>
      </c>
      <c r="O81" s="61" t="s">
        <v>166</v>
      </c>
      <c r="P81" s="61" t="s">
        <v>171</v>
      </c>
    </row>
    <row r="82" spans="1:17" ht="12.75" customHeight="1">
      <c r="A82" s="186" t="s">
        <v>58</v>
      </c>
      <c r="B82" s="187"/>
      <c r="C82" s="59"/>
      <c r="D82" s="59"/>
      <c r="E82" s="59"/>
      <c r="F82" s="59"/>
      <c r="G82" s="59"/>
      <c r="H82" s="59"/>
      <c r="I82" s="59"/>
      <c r="J82" s="59"/>
      <c r="K82" s="59"/>
      <c r="L82" s="59"/>
      <c r="M82" s="59"/>
      <c r="N82" s="53"/>
      <c r="O82" s="70"/>
      <c r="P82" s="70"/>
    </row>
    <row r="83" spans="1:17" ht="12.75" customHeight="1">
      <c r="A83" s="71" t="s">
        <v>204</v>
      </c>
      <c r="B83" s="33">
        <v>0</v>
      </c>
      <c r="C83" s="23">
        <v>0</v>
      </c>
      <c r="D83" s="23">
        <v>16</v>
      </c>
      <c r="E83" s="23">
        <v>40</v>
      </c>
      <c r="F83" s="23">
        <v>30</v>
      </c>
      <c r="G83" s="23">
        <v>45</v>
      </c>
      <c r="H83" s="23">
        <v>20</v>
      </c>
      <c r="I83" s="23">
        <v>44</v>
      </c>
      <c r="J83" s="23">
        <v>0</v>
      </c>
      <c r="K83" s="23">
        <v>0</v>
      </c>
      <c r="L83" s="23">
        <v>0</v>
      </c>
      <c r="M83" s="23">
        <v>0</v>
      </c>
      <c r="N83" s="73">
        <f>SUM(B83:M83)</f>
        <v>195</v>
      </c>
      <c r="O83" s="74">
        <v>0</v>
      </c>
      <c r="P83" s="76" t="s">
        <v>228</v>
      </c>
    </row>
    <row r="84" spans="1:17" ht="12.75" customHeight="1">
      <c r="A84" s="100"/>
      <c r="B84" s="101"/>
      <c r="C84" s="101"/>
      <c r="D84" s="101"/>
      <c r="E84" s="86"/>
      <c r="F84" s="86"/>
      <c r="G84" s="86"/>
      <c r="H84" s="86"/>
      <c r="I84" s="86"/>
      <c r="J84" s="86"/>
      <c r="K84" s="86"/>
      <c r="L84" s="86"/>
      <c r="M84" s="86"/>
      <c r="N84" s="87"/>
      <c r="O84" s="75"/>
      <c r="P84" s="75"/>
    </row>
    <row r="85" spans="1:17" ht="12.75" customHeight="1">
      <c r="A85" s="5"/>
      <c r="B85" s="88"/>
      <c r="C85" s="88"/>
      <c r="D85" s="88"/>
      <c r="E85" s="88"/>
      <c r="F85" s="88"/>
      <c r="G85" s="88"/>
      <c r="H85" s="88"/>
      <c r="I85" s="88"/>
      <c r="J85" s="88"/>
      <c r="K85" s="88"/>
      <c r="L85" s="88"/>
      <c r="M85" s="88"/>
      <c r="N85" s="89"/>
      <c r="O85" s="90"/>
      <c r="P85" s="90"/>
    </row>
    <row r="86" spans="1:17" ht="24.75" customHeight="1">
      <c r="A86" s="58"/>
      <c r="B86" s="59">
        <v>39995</v>
      </c>
      <c r="C86" s="59">
        <v>40026</v>
      </c>
      <c r="D86" s="59">
        <v>40057</v>
      </c>
      <c r="E86" s="59">
        <v>40087</v>
      </c>
      <c r="F86" s="59">
        <v>40118</v>
      </c>
      <c r="G86" s="59">
        <v>40148</v>
      </c>
      <c r="H86" s="59">
        <v>40179</v>
      </c>
      <c r="I86" s="59">
        <v>40210</v>
      </c>
      <c r="J86" s="59">
        <v>40238</v>
      </c>
      <c r="K86" s="59">
        <v>40269</v>
      </c>
      <c r="L86" s="59">
        <v>40299</v>
      </c>
      <c r="M86" s="59">
        <v>40330</v>
      </c>
      <c r="N86" s="60" t="s">
        <v>367</v>
      </c>
      <c r="O86" s="61" t="s">
        <v>166</v>
      </c>
      <c r="P86" s="61" t="s">
        <v>171</v>
      </c>
      <c r="Q86" s="2"/>
    </row>
    <row r="87" spans="1:17" ht="12.75" customHeight="1">
      <c r="A87" s="67" t="s">
        <v>255</v>
      </c>
      <c r="B87" s="59"/>
      <c r="C87" s="59"/>
      <c r="D87" s="59"/>
      <c r="E87" s="59"/>
      <c r="F87" s="59"/>
      <c r="G87" s="59"/>
      <c r="H87" s="59"/>
      <c r="I87" s="59"/>
      <c r="J87" s="59"/>
      <c r="K87" s="59"/>
      <c r="L87" s="59"/>
      <c r="M87" s="59"/>
      <c r="N87" s="53"/>
      <c r="O87" s="70"/>
      <c r="P87" s="70"/>
    </row>
    <row r="88" spans="1:17" ht="12.75" customHeight="1">
      <c r="A88" s="71" t="s">
        <v>204</v>
      </c>
      <c r="B88" s="23">
        <v>275</v>
      </c>
      <c r="C88" s="23">
        <v>81</v>
      </c>
      <c r="D88" s="23">
        <v>247</v>
      </c>
      <c r="E88" s="23">
        <v>465</v>
      </c>
      <c r="F88" s="23">
        <v>471</v>
      </c>
      <c r="G88" s="23">
        <v>393</v>
      </c>
      <c r="H88" s="23">
        <v>80</v>
      </c>
      <c r="I88" s="23">
        <v>338</v>
      </c>
      <c r="J88" s="23">
        <v>379</v>
      </c>
      <c r="K88" s="23">
        <v>505</v>
      </c>
      <c r="L88" s="23">
        <v>114</v>
      </c>
      <c r="M88" s="23">
        <v>120</v>
      </c>
      <c r="N88" s="73">
        <f>SUM(B88:M88)</f>
        <v>3468</v>
      </c>
      <c r="O88" s="74">
        <v>0</v>
      </c>
      <c r="P88" s="76" t="s">
        <v>228</v>
      </c>
    </row>
    <row r="89" spans="1:17" ht="12.75" customHeight="1">
      <c r="A89" s="2"/>
      <c r="B89" s="86"/>
      <c r="C89" s="86"/>
      <c r="D89" s="86"/>
      <c r="E89" s="86"/>
      <c r="F89" s="86"/>
      <c r="G89" s="86"/>
      <c r="H89" s="86"/>
      <c r="I89" s="86"/>
      <c r="J89" s="86"/>
      <c r="K89" s="86"/>
      <c r="L89" s="86"/>
      <c r="M89" s="86"/>
      <c r="N89" s="87"/>
      <c r="O89" s="75"/>
      <c r="P89" s="76"/>
    </row>
    <row r="90" spans="1:17" ht="12.75" customHeight="1">
      <c r="A90" s="5"/>
      <c r="B90" s="88"/>
      <c r="C90" s="88"/>
      <c r="D90" s="88"/>
      <c r="E90" s="88"/>
      <c r="F90" s="88"/>
      <c r="G90" s="88"/>
      <c r="H90" s="88"/>
      <c r="I90" s="88"/>
      <c r="J90" s="88"/>
      <c r="K90" s="88"/>
      <c r="L90" s="88"/>
      <c r="M90" s="88"/>
      <c r="N90" s="89"/>
      <c r="O90" s="90"/>
      <c r="P90" s="102"/>
    </row>
    <row r="91" spans="1:17" ht="24.75" customHeight="1">
      <c r="A91" s="58"/>
      <c r="B91" s="59">
        <v>39995</v>
      </c>
      <c r="C91" s="59">
        <v>40026</v>
      </c>
      <c r="D91" s="59">
        <v>40057</v>
      </c>
      <c r="E91" s="59">
        <v>40087</v>
      </c>
      <c r="F91" s="59">
        <v>40118</v>
      </c>
      <c r="G91" s="59">
        <v>40148</v>
      </c>
      <c r="H91" s="59">
        <v>40179</v>
      </c>
      <c r="I91" s="59">
        <v>40210</v>
      </c>
      <c r="J91" s="59">
        <v>40238</v>
      </c>
      <c r="K91" s="59">
        <v>40269</v>
      </c>
      <c r="L91" s="59">
        <v>40299</v>
      </c>
      <c r="M91" s="59">
        <v>40330</v>
      </c>
      <c r="N91" s="60" t="s">
        <v>367</v>
      </c>
      <c r="O91" s="61" t="s">
        <v>166</v>
      </c>
      <c r="P91" s="61" t="s">
        <v>171</v>
      </c>
      <c r="Q91" s="2"/>
    </row>
    <row r="92" spans="1:17" ht="12.75" customHeight="1">
      <c r="A92" s="67" t="s">
        <v>141</v>
      </c>
      <c r="B92" s="59"/>
      <c r="C92" s="59"/>
      <c r="D92" s="59"/>
      <c r="E92" s="59"/>
      <c r="F92" s="59"/>
      <c r="G92" s="59"/>
      <c r="H92" s="59"/>
      <c r="I92" s="59"/>
      <c r="J92" s="59"/>
      <c r="K92" s="59"/>
      <c r="L92" s="59"/>
      <c r="M92" s="59"/>
      <c r="N92" s="53"/>
      <c r="O92" s="70"/>
      <c r="P92" s="103"/>
    </row>
    <row r="93" spans="1:17" ht="12.75" customHeight="1">
      <c r="A93" s="71" t="s">
        <v>204</v>
      </c>
      <c r="B93" s="23">
        <f>48+53</f>
        <v>101</v>
      </c>
      <c r="C93" s="23">
        <f>47+29</f>
        <v>76</v>
      </c>
      <c r="D93" s="23">
        <f>63+181</f>
        <v>244</v>
      </c>
      <c r="E93" s="23">
        <f>83+142</f>
        <v>225</v>
      </c>
      <c r="F93" s="23">
        <f>13+100</f>
        <v>113</v>
      </c>
      <c r="G93" s="23">
        <v>142</v>
      </c>
      <c r="H93" s="23">
        <v>86</v>
      </c>
      <c r="I93" s="23">
        <v>256</v>
      </c>
      <c r="J93" s="23">
        <v>332</v>
      </c>
      <c r="K93" s="23">
        <v>420</v>
      </c>
      <c r="L93" s="23">
        <v>158</v>
      </c>
      <c r="M93" s="23">
        <v>138</v>
      </c>
      <c r="N93" s="73">
        <f>SUM(B93:M93)</f>
        <v>2291</v>
      </c>
      <c r="O93" s="74">
        <v>6412</v>
      </c>
      <c r="P93" s="76">
        <f>O93/N93</f>
        <v>2.7987778262767349</v>
      </c>
    </row>
    <row r="94" spans="1:17" ht="12.75" customHeight="1">
      <c r="A94" s="2"/>
      <c r="B94" s="86"/>
      <c r="C94" s="86"/>
      <c r="D94" s="86"/>
      <c r="E94" s="86"/>
      <c r="F94" s="86"/>
      <c r="G94" s="86"/>
      <c r="H94" s="86"/>
      <c r="I94" s="86"/>
      <c r="J94" s="86"/>
      <c r="K94" s="86"/>
      <c r="L94" s="86"/>
      <c r="M94" s="86"/>
      <c r="N94" s="87"/>
      <c r="O94" s="75"/>
      <c r="P94" s="76"/>
    </row>
    <row r="95" spans="1:17" ht="12.75" customHeight="1">
      <c r="A95" s="5"/>
      <c r="B95" s="88"/>
      <c r="C95" s="88"/>
      <c r="D95" s="88"/>
      <c r="E95" s="88"/>
      <c r="F95" s="88"/>
      <c r="G95" s="88"/>
      <c r="H95" s="88"/>
      <c r="I95" s="88"/>
      <c r="J95" s="88"/>
      <c r="K95" s="88"/>
      <c r="L95" s="88"/>
      <c r="M95" s="88"/>
      <c r="N95" s="89"/>
      <c r="O95" s="90"/>
      <c r="P95" s="102"/>
    </row>
    <row r="96" spans="1:17" ht="24.75" customHeight="1">
      <c r="A96" s="58"/>
      <c r="B96" s="59">
        <v>39995</v>
      </c>
      <c r="C96" s="59">
        <v>40026</v>
      </c>
      <c r="D96" s="59">
        <v>40057</v>
      </c>
      <c r="E96" s="59">
        <v>40087</v>
      </c>
      <c r="F96" s="59">
        <v>40118</v>
      </c>
      <c r="G96" s="59">
        <v>40148</v>
      </c>
      <c r="H96" s="59">
        <v>40179</v>
      </c>
      <c r="I96" s="59">
        <v>40210</v>
      </c>
      <c r="J96" s="59">
        <v>40238</v>
      </c>
      <c r="K96" s="59">
        <v>40269</v>
      </c>
      <c r="L96" s="59">
        <v>40299</v>
      </c>
      <c r="M96" s="59">
        <v>40330</v>
      </c>
      <c r="N96" s="60" t="s">
        <v>367</v>
      </c>
      <c r="O96" s="61" t="s">
        <v>166</v>
      </c>
      <c r="P96" s="61" t="s">
        <v>171</v>
      </c>
      <c r="Q96" s="2"/>
    </row>
    <row r="97" spans="1:17" ht="12.75" customHeight="1">
      <c r="A97" s="67" t="s">
        <v>113</v>
      </c>
      <c r="B97" s="59"/>
      <c r="C97" s="59"/>
      <c r="D97" s="59"/>
      <c r="E97" s="59"/>
      <c r="F97" s="59"/>
      <c r="G97" s="59"/>
      <c r="H97" s="59"/>
      <c r="I97" s="59"/>
      <c r="J97" s="59"/>
      <c r="K97" s="59"/>
      <c r="L97" s="59"/>
      <c r="M97" s="59"/>
      <c r="N97" s="53"/>
      <c r="O97" s="70"/>
      <c r="P97" s="103"/>
    </row>
    <row r="98" spans="1:17" ht="12.75" customHeight="1">
      <c r="A98" s="71" t="s">
        <v>204</v>
      </c>
      <c r="B98" s="23">
        <f>34+29</f>
        <v>63</v>
      </c>
      <c r="C98" s="23">
        <f>18+11</f>
        <v>29</v>
      </c>
      <c r="D98" s="23">
        <f>43+68</f>
        <v>111</v>
      </c>
      <c r="E98" s="23">
        <f>21+59</f>
        <v>80</v>
      </c>
      <c r="F98" s="23">
        <f>7+50</f>
        <v>57</v>
      </c>
      <c r="G98" s="23">
        <v>58</v>
      </c>
      <c r="H98" s="23">
        <v>20</v>
      </c>
      <c r="I98" s="23">
        <v>178</v>
      </c>
      <c r="J98" s="23">
        <v>185</v>
      </c>
      <c r="K98" s="23">
        <v>219</v>
      </c>
      <c r="L98" s="23">
        <v>56</v>
      </c>
      <c r="M98" s="23">
        <v>85</v>
      </c>
      <c r="N98" s="73">
        <f>SUM(B98:M98)</f>
        <v>1141</v>
      </c>
      <c r="O98" s="74">
        <v>0</v>
      </c>
      <c r="P98" s="76" t="s">
        <v>228</v>
      </c>
    </row>
    <row r="99" spans="1:17" ht="12.75" customHeight="1">
      <c r="A99" s="2"/>
      <c r="B99" s="86"/>
      <c r="C99" s="86"/>
      <c r="D99" s="86"/>
      <c r="E99" s="86"/>
      <c r="F99" s="86"/>
      <c r="G99" s="86"/>
      <c r="H99" s="86"/>
      <c r="I99" s="86"/>
      <c r="J99" s="86"/>
      <c r="K99" s="86"/>
      <c r="L99" s="86"/>
      <c r="M99" s="86"/>
      <c r="N99" s="87"/>
      <c r="O99" s="75"/>
      <c r="P99" s="76"/>
    </row>
    <row r="100" spans="1:17" ht="12.75" customHeight="1">
      <c r="A100" s="5"/>
      <c r="B100" s="88"/>
      <c r="C100" s="88"/>
      <c r="D100" s="88"/>
      <c r="E100" s="88"/>
      <c r="F100" s="88"/>
      <c r="G100" s="88"/>
      <c r="H100" s="88"/>
      <c r="I100" s="88"/>
      <c r="J100" s="88"/>
      <c r="K100" s="88"/>
      <c r="L100" s="88"/>
      <c r="M100" s="88"/>
      <c r="N100" s="89"/>
      <c r="O100" s="90"/>
      <c r="P100" s="102"/>
    </row>
    <row r="101" spans="1:17" ht="12.75" customHeight="1">
      <c r="A101" s="58"/>
      <c r="B101" s="59">
        <v>39995</v>
      </c>
      <c r="C101" s="59">
        <v>40026</v>
      </c>
      <c r="D101" s="59">
        <v>40057</v>
      </c>
      <c r="E101" s="59">
        <v>40087</v>
      </c>
      <c r="F101" s="59">
        <v>40118</v>
      </c>
      <c r="G101" s="59">
        <v>40148</v>
      </c>
      <c r="H101" s="59">
        <v>40179</v>
      </c>
      <c r="I101" s="59">
        <v>40210</v>
      </c>
      <c r="J101" s="59">
        <v>40238</v>
      </c>
      <c r="K101" s="59">
        <v>40269</v>
      </c>
      <c r="L101" s="59">
        <v>40299</v>
      </c>
      <c r="M101" s="59">
        <v>40330</v>
      </c>
      <c r="N101" s="60" t="s">
        <v>367</v>
      </c>
      <c r="O101" s="61" t="s">
        <v>166</v>
      </c>
      <c r="P101" s="61" t="s">
        <v>171</v>
      </c>
    </row>
    <row r="102" spans="1:17" ht="12.75" customHeight="1">
      <c r="A102" s="186" t="s">
        <v>337</v>
      </c>
      <c r="B102" s="187"/>
      <c r="C102" s="59"/>
      <c r="D102" s="59"/>
      <c r="E102" s="59"/>
      <c r="F102" s="59"/>
      <c r="G102" s="59"/>
      <c r="H102" s="59"/>
      <c r="I102" s="59"/>
      <c r="J102" s="59"/>
      <c r="K102" s="59"/>
      <c r="L102" s="59"/>
      <c r="M102" s="59"/>
      <c r="N102" s="53"/>
      <c r="O102" s="70"/>
      <c r="P102" s="103"/>
    </row>
    <row r="103" spans="1:17" ht="12.75" customHeight="1">
      <c r="A103" s="71" t="s">
        <v>204</v>
      </c>
      <c r="B103" s="33">
        <v>0</v>
      </c>
      <c r="C103" s="23">
        <v>7</v>
      </c>
      <c r="D103" s="23">
        <v>121</v>
      </c>
      <c r="E103" s="23">
        <v>165</v>
      </c>
      <c r="F103" s="23">
        <v>148</v>
      </c>
      <c r="G103" s="23">
        <v>173</v>
      </c>
      <c r="H103" s="23">
        <v>23</v>
      </c>
      <c r="I103" s="23">
        <v>11</v>
      </c>
      <c r="J103" s="23">
        <v>0</v>
      </c>
      <c r="K103" s="23">
        <v>0</v>
      </c>
      <c r="L103" s="23">
        <v>0</v>
      </c>
      <c r="M103" s="23">
        <v>0</v>
      </c>
      <c r="N103" s="73">
        <f>SUM(B103:M103)</f>
        <v>648</v>
      </c>
      <c r="O103" s="74">
        <v>0</v>
      </c>
      <c r="P103" s="76" t="s">
        <v>228</v>
      </c>
    </row>
    <row r="104" spans="1:17" ht="12.75" customHeight="1">
      <c r="A104" s="2"/>
      <c r="B104" s="86"/>
      <c r="C104" s="86"/>
      <c r="D104" s="86"/>
      <c r="E104" s="86"/>
      <c r="F104" s="86"/>
      <c r="G104" s="86"/>
      <c r="H104" s="86"/>
      <c r="I104" s="86"/>
      <c r="J104" s="86"/>
      <c r="K104" s="86"/>
      <c r="L104" s="86"/>
      <c r="M104" s="86"/>
      <c r="N104" s="87"/>
      <c r="O104" s="75"/>
      <c r="P104" s="76"/>
    </row>
    <row r="105" spans="1:17" ht="12.75" customHeight="1">
      <c r="A105" s="5"/>
      <c r="B105" s="88"/>
      <c r="C105" s="88"/>
      <c r="D105" s="88"/>
      <c r="E105" s="88"/>
      <c r="F105" s="88"/>
      <c r="G105" s="88"/>
      <c r="H105" s="88"/>
      <c r="I105" s="88"/>
      <c r="J105" s="88"/>
      <c r="K105" s="88"/>
      <c r="L105" s="88"/>
      <c r="M105" s="88"/>
      <c r="N105" s="89"/>
      <c r="O105" s="90"/>
      <c r="P105" s="102"/>
    </row>
    <row r="106" spans="1:17" ht="12.75" customHeight="1">
      <c r="A106" s="58"/>
      <c r="B106" s="59">
        <v>39995</v>
      </c>
      <c r="C106" s="59">
        <v>40026</v>
      </c>
      <c r="D106" s="59">
        <v>40057</v>
      </c>
      <c r="E106" s="59">
        <v>40087</v>
      </c>
      <c r="F106" s="59">
        <v>40118</v>
      </c>
      <c r="G106" s="59">
        <v>40148</v>
      </c>
      <c r="H106" s="59">
        <v>40179</v>
      </c>
      <c r="I106" s="59">
        <v>40210</v>
      </c>
      <c r="J106" s="59">
        <v>40238</v>
      </c>
      <c r="K106" s="59">
        <v>40269</v>
      </c>
      <c r="L106" s="59">
        <v>40299</v>
      </c>
      <c r="M106" s="59">
        <v>40330</v>
      </c>
      <c r="N106" s="60" t="s">
        <v>367</v>
      </c>
      <c r="O106" s="61" t="s">
        <v>166</v>
      </c>
      <c r="P106" s="61" t="s">
        <v>171</v>
      </c>
    </row>
    <row r="107" spans="1:17" ht="12.75" customHeight="1">
      <c r="A107" s="186" t="s">
        <v>12</v>
      </c>
      <c r="B107" s="187"/>
      <c r="C107" s="187"/>
      <c r="D107" s="187"/>
      <c r="E107" s="59"/>
      <c r="F107" s="59"/>
      <c r="G107" s="59"/>
      <c r="H107" s="59"/>
      <c r="I107" s="59"/>
      <c r="J107" s="59"/>
      <c r="K107" s="59"/>
      <c r="L107" s="59"/>
      <c r="M107" s="59"/>
      <c r="N107" s="53"/>
      <c r="O107" s="70"/>
      <c r="P107" s="103"/>
    </row>
    <row r="108" spans="1:17" ht="12.75" customHeight="1">
      <c r="A108" s="71" t="s">
        <v>204</v>
      </c>
      <c r="B108" s="33">
        <v>0</v>
      </c>
      <c r="C108" s="33">
        <v>0</v>
      </c>
      <c r="D108" s="33">
        <v>10</v>
      </c>
      <c r="E108" s="23">
        <v>39</v>
      </c>
      <c r="F108" s="23">
        <v>28</v>
      </c>
      <c r="G108" s="23">
        <v>44</v>
      </c>
      <c r="H108" s="23">
        <v>21</v>
      </c>
      <c r="I108" s="23">
        <v>52</v>
      </c>
      <c r="J108" s="23">
        <v>0</v>
      </c>
      <c r="K108" s="23">
        <v>0</v>
      </c>
      <c r="L108" s="23">
        <v>0</v>
      </c>
      <c r="M108" s="23">
        <v>0</v>
      </c>
      <c r="N108" s="73">
        <f>SUM(B108:M108)</f>
        <v>194</v>
      </c>
      <c r="O108" s="74">
        <v>0</v>
      </c>
      <c r="P108" s="76" t="s">
        <v>228</v>
      </c>
    </row>
    <row r="109" spans="1:17" ht="12.75" customHeight="1">
      <c r="A109" s="2"/>
      <c r="B109" s="86"/>
      <c r="C109" s="86"/>
      <c r="D109" s="86"/>
      <c r="E109" s="86"/>
      <c r="F109" s="86"/>
      <c r="G109" s="86"/>
      <c r="H109" s="86"/>
      <c r="I109" s="86"/>
      <c r="J109" s="86"/>
      <c r="K109" s="86"/>
      <c r="L109" s="86"/>
      <c r="M109" s="86"/>
      <c r="N109" s="87"/>
      <c r="O109" s="75"/>
      <c r="P109" s="76"/>
    </row>
    <row r="110" spans="1:17" ht="12.75" customHeight="1">
      <c r="A110" s="5"/>
      <c r="B110" s="88"/>
      <c r="C110" s="88"/>
      <c r="D110" s="88"/>
      <c r="E110" s="88"/>
      <c r="F110" s="88"/>
      <c r="G110" s="88"/>
      <c r="H110" s="88"/>
      <c r="I110" s="88"/>
      <c r="J110" s="88"/>
      <c r="K110" s="88"/>
      <c r="L110" s="88"/>
      <c r="M110" s="88"/>
      <c r="N110" s="89"/>
      <c r="O110" s="90"/>
      <c r="P110" s="102"/>
    </row>
    <row r="111" spans="1:17" ht="24.75" customHeight="1">
      <c r="A111" s="58"/>
      <c r="B111" s="59">
        <v>39995</v>
      </c>
      <c r="C111" s="59">
        <v>40026</v>
      </c>
      <c r="D111" s="59">
        <v>40057</v>
      </c>
      <c r="E111" s="59">
        <v>40087</v>
      </c>
      <c r="F111" s="59">
        <v>40118</v>
      </c>
      <c r="G111" s="59">
        <v>40148</v>
      </c>
      <c r="H111" s="59">
        <v>40179</v>
      </c>
      <c r="I111" s="59">
        <v>40210</v>
      </c>
      <c r="J111" s="59">
        <v>40238</v>
      </c>
      <c r="K111" s="59">
        <v>40269</v>
      </c>
      <c r="L111" s="59">
        <v>40299</v>
      </c>
      <c r="M111" s="59">
        <v>40330</v>
      </c>
      <c r="N111" s="60" t="s">
        <v>367</v>
      </c>
      <c r="O111" s="61" t="s">
        <v>166</v>
      </c>
      <c r="P111" s="61" t="s">
        <v>171</v>
      </c>
      <c r="Q111" s="2"/>
    </row>
    <row r="112" spans="1:17" ht="12.75" customHeight="1">
      <c r="A112" s="186" t="s">
        <v>340</v>
      </c>
      <c r="B112" s="187"/>
      <c r="C112" s="59"/>
      <c r="D112" s="59"/>
      <c r="E112" s="59"/>
      <c r="F112" s="59"/>
      <c r="G112" s="59"/>
      <c r="H112" s="59"/>
      <c r="I112" s="59"/>
      <c r="J112" s="59"/>
      <c r="K112" s="59"/>
      <c r="L112" s="59"/>
      <c r="M112" s="59"/>
      <c r="N112" s="53"/>
      <c r="O112" s="70"/>
      <c r="P112" s="70"/>
    </row>
    <row r="113" spans="1:17" ht="12.75" customHeight="1">
      <c r="A113" s="71" t="s">
        <v>204</v>
      </c>
      <c r="B113" s="33">
        <f>34+97</f>
        <v>131</v>
      </c>
      <c r="C113" s="23">
        <f>18+17</f>
        <v>35</v>
      </c>
      <c r="D113" s="23">
        <f>43+51</f>
        <v>94</v>
      </c>
      <c r="E113" s="23">
        <f>21+146</f>
        <v>167</v>
      </c>
      <c r="F113" s="23">
        <f>7+146</f>
        <v>153</v>
      </c>
      <c r="G113" s="23">
        <v>78</v>
      </c>
      <c r="H113" s="23">
        <v>20</v>
      </c>
      <c r="I113" s="23">
        <v>201</v>
      </c>
      <c r="J113" s="23">
        <v>312</v>
      </c>
      <c r="K113" s="23">
        <v>147</v>
      </c>
      <c r="L113" s="23">
        <v>40</v>
      </c>
      <c r="M113" s="23">
        <v>40</v>
      </c>
      <c r="N113" s="73">
        <f>SUM(B113:M113)</f>
        <v>1418</v>
      </c>
      <c r="O113" s="74">
        <v>3710</v>
      </c>
      <c r="P113" s="75">
        <f>O113/N113</f>
        <v>2.6163610719322992</v>
      </c>
    </row>
    <row r="114" spans="1:17" ht="12.75" customHeight="1">
      <c r="A114" s="2"/>
      <c r="B114" s="86"/>
      <c r="C114" s="86"/>
      <c r="D114" s="86"/>
      <c r="E114" s="86"/>
      <c r="F114" s="86"/>
      <c r="G114" s="86"/>
      <c r="H114" s="86"/>
      <c r="I114" s="86"/>
      <c r="J114" s="86"/>
      <c r="K114" s="86"/>
      <c r="L114" s="86"/>
      <c r="M114" s="86"/>
      <c r="N114" s="87"/>
      <c r="O114" s="75"/>
      <c r="P114" s="75"/>
    </row>
    <row r="115" spans="1:17" ht="12.75" customHeight="1">
      <c r="A115" s="5"/>
      <c r="B115" s="88"/>
      <c r="C115" s="88"/>
      <c r="D115" s="88"/>
      <c r="E115" s="88"/>
      <c r="F115" s="88"/>
      <c r="G115" s="88"/>
      <c r="H115" s="88"/>
      <c r="I115" s="88"/>
      <c r="J115" s="88"/>
      <c r="K115" s="88"/>
      <c r="L115" s="88"/>
      <c r="M115" s="88"/>
      <c r="N115" s="89"/>
      <c r="O115" s="90"/>
      <c r="P115" s="90"/>
    </row>
    <row r="116" spans="1:17" ht="24.75" customHeight="1">
      <c r="A116" s="58"/>
      <c r="B116" s="59">
        <v>39995</v>
      </c>
      <c r="C116" s="59">
        <v>40026</v>
      </c>
      <c r="D116" s="59">
        <v>40057</v>
      </c>
      <c r="E116" s="59">
        <v>40087</v>
      </c>
      <c r="F116" s="59">
        <v>40118</v>
      </c>
      <c r="G116" s="59">
        <v>40148</v>
      </c>
      <c r="H116" s="59">
        <v>40179</v>
      </c>
      <c r="I116" s="59">
        <v>40210</v>
      </c>
      <c r="J116" s="59">
        <v>40238</v>
      </c>
      <c r="K116" s="59">
        <v>40269</v>
      </c>
      <c r="L116" s="59">
        <v>40299</v>
      </c>
      <c r="M116" s="59">
        <v>40330</v>
      </c>
      <c r="N116" s="60" t="s">
        <v>367</v>
      </c>
      <c r="O116" s="61" t="s">
        <v>166</v>
      </c>
      <c r="P116" s="61" t="s">
        <v>171</v>
      </c>
      <c r="Q116" s="2"/>
    </row>
    <row r="117" spans="1:17" ht="12.75" customHeight="1">
      <c r="A117" s="67" t="s">
        <v>198</v>
      </c>
      <c r="B117" s="59"/>
      <c r="C117" s="59"/>
      <c r="D117" s="59"/>
      <c r="E117" s="59"/>
      <c r="F117" s="59"/>
      <c r="G117" s="59"/>
      <c r="H117" s="59"/>
      <c r="I117" s="59"/>
      <c r="J117" s="59"/>
      <c r="K117" s="59"/>
      <c r="L117" s="59"/>
      <c r="M117" s="59"/>
      <c r="N117" s="53"/>
      <c r="O117" s="70"/>
      <c r="P117" s="70"/>
    </row>
    <row r="118" spans="1:17" ht="12.75" customHeight="1">
      <c r="A118" s="71" t="s">
        <v>204</v>
      </c>
      <c r="B118" s="23">
        <v>176</v>
      </c>
      <c r="C118" s="23">
        <v>122</v>
      </c>
      <c r="D118" s="23">
        <v>224</v>
      </c>
      <c r="E118" s="23">
        <v>540</v>
      </c>
      <c r="F118" s="23">
        <v>716</v>
      </c>
      <c r="G118" s="23">
        <v>719</v>
      </c>
      <c r="H118" s="23">
        <v>62</v>
      </c>
      <c r="I118" s="23">
        <v>480</v>
      </c>
      <c r="J118" s="23">
        <v>385</v>
      </c>
      <c r="K118" s="23">
        <v>702</v>
      </c>
      <c r="L118" s="23">
        <v>255</v>
      </c>
      <c r="M118" s="23">
        <v>119</v>
      </c>
      <c r="N118" s="73">
        <f>SUM(B118:M118)</f>
        <v>4500</v>
      </c>
      <c r="O118" s="74">
        <v>7600</v>
      </c>
      <c r="P118" s="75">
        <f>O118/N118</f>
        <v>1.6888888888888889</v>
      </c>
    </row>
    <row r="119" spans="1:17" ht="12.75" customHeight="1">
      <c r="A119" s="2"/>
      <c r="B119" s="86"/>
      <c r="C119" s="86"/>
      <c r="D119" s="86"/>
      <c r="E119" s="86"/>
      <c r="F119" s="86"/>
      <c r="G119" s="86"/>
      <c r="H119" s="86"/>
      <c r="I119" s="86"/>
      <c r="J119" s="86"/>
      <c r="K119" s="86"/>
      <c r="L119" s="86"/>
      <c r="M119" s="86"/>
      <c r="N119" s="87"/>
      <c r="O119" s="75"/>
      <c r="P119" s="75"/>
    </row>
    <row r="120" spans="1:17" ht="12.75" customHeight="1">
      <c r="A120" s="5"/>
      <c r="B120" s="88"/>
      <c r="C120" s="88"/>
      <c r="D120" s="88"/>
      <c r="E120" s="88"/>
      <c r="F120" s="88"/>
      <c r="G120" s="88"/>
      <c r="H120" s="88"/>
      <c r="I120" s="88"/>
      <c r="J120" s="88"/>
      <c r="K120" s="88"/>
      <c r="L120" s="88"/>
      <c r="M120" s="88"/>
      <c r="N120" s="89"/>
      <c r="O120" s="90"/>
      <c r="P120" s="90"/>
    </row>
    <row r="121" spans="1:17" ht="24.75" customHeight="1">
      <c r="A121" s="58"/>
      <c r="B121" s="59">
        <v>39995</v>
      </c>
      <c r="C121" s="59">
        <v>40026</v>
      </c>
      <c r="D121" s="59">
        <v>40057</v>
      </c>
      <c r="E121" s="59">
        <v>40087</v>
      </c>
      <c r="F121" s="59">
        <v>40118</v>
      </c>
      <c r="G121" s="59">
        <v>40148</v>
      </c>
      <c r="H121" s="59">
        <v>40179</v>
      </c>
      <c r="I121" s="59">
        <v>40210</v>
      </c>
      <c r="J121" s="59">
        <v>40238</v>
      </c>
      <c r="K121" s="59">
        <v>40269</v>
      </c>
      <c r="L121" s="59">
        <v>40299</v>
      </c>
      <c r="M121" s="59">
        <v>40330</v>
      </c>
      <c r="N121" s="60" t="s">
        <v>367</v>
      </c>
      <c r="O121" s="61" t="s">
        <v>166</v>
      </c>
      <c r="P121" s="61" t="s">
        <v>171</v>
      </c>
      <c r="Q121" s="2"/>
    </row>
    <row r="122" spans="1:17" ht="12.75" customHeight="1">
      <c r="A122" s="67" t="s">
        <v>4</v>
      </c>
      <c r="B122" s="59"/>
      <c r="C122" s="59"/>
      <c r="D122" s="59"/>
      <c r="E122" s="59"/>
      <c r="F122" s="59"/>
      <c r="G122" s="59"/>
      <c r="H122" s="59"/>
      <c r="I122" s="59"/>
      <c r="J122" s="59"/>
      <c r="K122" s="59"/>
      <c r="L122" s="59"/>
      <c r="M122" s="59"/>
      <c r="N122" s="53"/>
      <c r="O122" s="70"/>
      <c r="P122" s="70"/>
    </row>
    <row r="123" spans="1:17" ht="12.75" customHeight="1">
      <c r="A123" s="71" t="s">
        <v>204</v>
      </c>
      <c r="B123" s="23">
        <v>66</v>
      </c>
      <c r="C123" s="23">
        <v>27</v>
      </c>
      <c r="D123" s="23">
        <v>61</v>
      </c>
      <c r="E123" s="23">
        <v>177</v>
      </c>
      <c r="F123" s="23">
        <v>104</v>
      </c>
      <c r="G123" s="23">
        <v>186</v>
      </c>
      <c r="H123" s="23">
        <v>27</v>
      </c>
      <c r="I123" s="23">
        <v>71</v>
      </c>
      <c r="J123" s="23">
        <v>136</v>
      </c>
      <c r="K123" s="23">
        <v>154</v>
      </c>
      <c r="L123" s="23">
        <v>50</v>
      </c>
      <c r="M123" s="23">
        <v>28</v>
      </c>
      <c r="N123" s="73">
        <f>SUM(B123:M123)</f>
        <v>1087</v>
      </c>
      <c r="O123" s="74">
        <v>0</v>
      </c>
      <c r="P123" s="76" t="s">
        <v>228</v>
      </c>
    </row>
    <row r="124" spans="1:17" ht="12.75" customHeight="1">
      <c r="A124" s="2"/>
      <c r="B124" s="86"/>
      <c r="C124" s="86"/>
      <c r="D124" s="86"/>
      <c r="E124" s="86"/>
      <c r="F124" s="86"/>
      <c r="G124" s="86"/>
      <c r="H124" s="86"/>
      <c r="I124" s="86"/>
      <c r="J124" s="86"/>
      <c r="K124" s="86"/>
      <c r="L124" s="86"/>
      <c r="M124" s="86"/>
      <c r="N124" s="87"/>
      <c r="O124" s="75"/>
      <c r="P124" s="75"/>
    </row>
    <row r="125" spans="1:17" ht="12.75" customHeight="1">
      <c r="A125" s="5"/>
      <c r="B125" s="88"/>
      <c r="C125" s="88"/>
      <c r="D125" s="88"/>
      <c r="E125" s="88"/>
      <c r="F125" s="88"/>
      <c r="G125" s="88"/>
      <c r="H125" s="88"/>
      <c r="I125" s="88"/>
      <c r="J125" s="88"/>
      <c r="K125" s="88"/>
      <c r="L125" s="88"/>
      <c r="M125" s="88"/>
      <c r="N125" s="89"/>
      <c r="O125" s="90"/>
      <c r="P125" s="90"/>
    </row>
    <row r="126" spans="1:17" ht="24.75" customHeight="1">
      <c r="A126" s="58"/>
      <c r="B126" s="59">
        <v>39995</v>
      </c>
      <c r="C126" s="59">
        <v>40026</v>
      </c>
      <c r="D126" s="59">
        <v>40057</v>
      </c>
      <c r="E126" s="59">
        <v>40087</v>
      </c>
      <c r="F126" s="59">
        <v>40118</v>
      </c>
      <c r="G126" s="59">
        <v>40148</v>
      </c>
      <c r="H126" s="59">
        <v>40179</v>
      </c>
      <c r="I126" s="59">
        <v>40210</v>
      </c>
      <c r="J126" s="59">
        <v>40238</v>
      </c>
      <c r="K126" s="59">
        <v>40269</v>
      </c>
      <c r="L126" s="59">
        <v>40299</v>
      </c>
      <c r="M126" s="59">
        <v>40330</v>
      </c>
      <c r="N126" s="60" t="s">
        <v>367</v>
      </c>
      <c r="O126" s="61" t="s">
        <v>166</v>
      </c>
      <c r="P126" s="61" t="s">
        <v>171</v>
      </c>
      <c r="Q126" s="2"/>
    </row>
    <row r="127" spans="1:17" ht="12.75" customHeight="1">
      <c r="A127" s="186" t="s">
        <v>126</v>
      </c>
      <c r="B127" s="187"/>
      <c r="C127" s="59"/>
      <c r="D127" s="59"/>
      <c r="E127" s="59"/>
      <c r="F127" s="59"/>
      <c r="G127" s="59"/>
      <c r="H127" s="59"/>
      <c r="I127" s="59"/>
      <c r="J127" s="59"/>
      <c r="K127" s="59"/>
      <c r="L127" s="59"/>
      <c r="M127" s="59"/>
      <c r="N127" s="53"/>
      <c r="O127" s="70"/>
      <c r="P127" s="70"/>
    </row>
    <row r="128" spans="1:17" ht="12.75" customHeight="1">
      <c r="A128" s="71" t="s">
        <v>204</v>
      </c>
      <c r="B128" s="23">
        <f>274+30</f>
        <v>304</v>
      </c>
      <c r="C128" s="23">
        <f>205+14</f>
        <v>219</v>
      </c>
      <c r="D128" s="23">
        <f>299+69</f>
        <v>368</v>
      </c>
      <c r="E128" s="23">
        <f>320+66</f>
        <v>386</v>
      </c>
      <c r="F128" s="23">
        <f>131+62</f>
        <v>193</v>
      </c>
      <c r="G128" s="23">
        <v>59</v>
      </c>
      <c r="H128" s="23">
        <v>26</v>
      </c>
      <c r="I128" s="23">
        <v>187</v>
      </c>
      <c r="J128" s="23">
        <v>182</v>
      </c>
      <c r="K128" s="23">
        <v>220</v>
      </c>
      <c r="L128" s="23">
        <v>59</v>
      </c>
      <c r="M128" s="23">
        <v>88</v>
      </c>
      <c r="N128" s="73">
        <f>SUM(B128:M128)</f>
        <v>2291</v>
      </c>
      <c r="O128" s="74">
        <v>4380</v>
      </c>
      <c r="P128" s="75">
        <f>O128/N128</f>
        <v>1.9118288956787428</v>
      </c>
    </row>
    <row r="129" spans="1:17" ht="12.75" customHeight="1">
      <c r="A129" s="2"/>
      <c r="B129" s="86"/>
      <c r="C129" s="86"/>
      <c r="D129" s="86"/>
      <c r="E129" s="86"/>
      <c r="F129" s="86"/>
      <c r="G129" s="86"/>
      <c r="H129" s="86"/>
      <c r="I129" s="86"/>
      <c r="J129" s="86"/>
      <c r="K129" s="86"/>
      <c r="L129" s="86"/>
      <c r="M129" s="86"/>
      <c r="N129" s="87"/>
      <c r="O129" s="75"/>
      <c r="P129" s="75"/>
    </row>
    <row r="130" spans="1:17" ht="12.75" customHeight="1">
      <c r="A130" s="5"/>
      <c r="B130" s="88"/>
      <c r="C130" s="88"/>
      <c r="D130" s="88"/>
      <c r="E130" s="88"/>
      <c r="F130" s="88"/>
      <c r="G130" s="88"/>
      <c r="H130" s="88"/>
      <c r="I130" s="88"/>
      <c r="J130" s="88"/>
      <c r="K130" s="88"/>
      <c r="L130" s="88"/>
      <c r="M130" s="88"/>
      <c r="N130" s="89"/>
      <c r="O130" s="90"/>
      <c r="P130" s="90"/>
    </row>
    <row r="131" spans="1:17" ht="24.75" customHeight="1">
      <c r="A131" s="58"/>
      <c r="B131" s="59">
        <v>39995</v>
      </c>
      <c r="C131" s="59">
        <v>40026</v>
      </c>
      <c r="D131" s="59">
        <v>40057</v>
      </c>
      <c r="E131" s="59">
        <v>40087</v>
      </c>
      <c r="F131" s="59">
        <v>40118</v>
      </c>
      <c r="G131" s="59">
        <v>40148</v>
      </c>
      <c r="H131" s="59">
        <v>40179</v>
      </c>
      <c r="I131" s="59">
        <v>40210</v>
      </c>
      <c r="J131" s="59">
        <v>40238</v>
      </c>
      <c r="K131" s="59">
        <v>40269</v>
      </c>
      <c r="L131" s="59">
        <v>40299</v>
      </c>
      <c r="M131" s="59">
        <v>40330</v>
      </c>
      <c r="N131" s="60" t="s">
        <v>367</v>
      </c>
      <c r="O131" s="61" t="s">
        <v>166</v>
      </c>
      <c r="P131" s="61" t="s">
        <v>171</v>
      </c>
      <c r="Q131" s="2"/>
    </row>
    <row r="132" spans="1:17" ht="12.75" customHeight="1">
      <c r="A132" s="67" t="s">
        <v>78</v>
      </c>
      <c r="B132" s="59"/>
      <c r="C132" s="59"/>
      <c r="D132" s="59"/>
      <c r="E132" s="59"/>
      <c r="F132" s="59"/>
      <c r="G132" s="59"/>
      <c r="H132" s="59"/>
      <c r="I132" s="59"/>
      <c r="J132" s="59"/>
      <c r="K132" s="59"/>
      <c r="L132" s="59"/>
      <c r="M132" s="59"/>
      <c r="N132" s="53"/>
      <c r="O132" s="70"/>
      <c r="P132" s="70"/>
    </row>
    <row r="133" spans="1:17" ht="12.75" customHeight="1">
      <c r="A133" s="71" t="s">
        <v>204</v>
      </c>
      <c r="B133" s="23">
        <f>281+34</f>
        <v>315</v>
      </c>
      <c r="C133" s="23">
        <f>205+17</f>
        <v>222</v>
      </c>
      <c r="D133" s="23">
        <f>299+81</f>
        <v>380</v>
      </c>
      <c r="E133" s="23">
        <f>320+118</f>
        <v>438</v>
      </c>
      <c r="F133" s="23">
        <f>131+88</f>
        <v>219</v>
      </c>
      <c r="G133" s="23">
        <v>80</v>
      </c>
      <c r="H133" s="23">
        <v>33</v>
      </c>
      <c r="I133" s="23">
        <v>192</v>
      </c>
      <c r="J133" s="23">
        <v>212</v>
      </c>
      <c r="K133" s="23">
        <v>343</v>
      </c>
      <c r="L133" s="23">
        <v>80</v>
      </c>
      <c r="M133" s="23">
        <v>156</v>
      </c>
      <c r="N133" s="73">
        <f>SUM(B133:M133)</f>
        <v>2670</v>
      </c>
      <c r="O133" s="74">
        <v>0</v>
      </c>
      <c r="P133" s="76" t="s">
        <v>228</v>
      </c>
    </row>
    <row r="134" spans="1:17" ht="12.75" customHeight="1">
      <c r="A134" s="2"/>
      <c r="B134" s="86"/>
      <c r="C134" s="86"/>
      <c r="D134" s="86"/>
      <c r="E134" s="86"/>
      <c r="F134" s="86"/>
      <c r="G134" s="86"/>
      <c r="H134" s="86"/>
      <c r="I134" s="86"/>
      <c r="J134" s="86"/>
      <c r="K134" s="86"/>
      <c r="L134" s="86"/>
      <c r="M134" s="86"/>
      <c r="N134" s="87"/>
      <c r="O134" s="75"/>
      <c r="P134" s="76"/>
    </row>
    <row r="135" spans="1:17" ht="12.75" customHeight="1">
      <c r="A135" s="5"/>
      <c r="B135" s="88"/>
      <c r="C135" s="88"/>
      <c r="D135" s="88"/>
      <c r="E135" s="88"/>
      <c r="F135" s="88"/>
      <c r="G135" s="88"/>
      <c r="H135" s="88"/>
      <c r="I135" s="88"/>
      <c r="J135" s="88"/>
      <c r="K135" s="88"/>
      <c r="L135" s="88"/>
      <c r="M135" s="88"/>
      <c r="N135" s="89"/>
      <c r="O135" s="90"/>
      <c r="P135" s="102"/>
    </row>
    <row r="136" spans="1:17" ht="24.75" customHeight="1">
      <c r="A136" s="58"/>
      <c r="B136" s="59">
        <v>39995</v>
      </c>
      <c r="C136" s="59">
        <v>40026</v>
      </c>
      <c r="D136" s="59">
        <v>40057</v>
      </c>
      <c r="E136" s="59">
        <v>40087</v>
      </c>
      <c r="F136" s="59">
        <v>40118</v>
      </c>
      <c r="G136" s="59">
        <v>40148</v>
      </c>
      <c r="H136" s="59">
        <v>40179</v>
      </c>
      <c r="I136" s="59">
        <v>40210</v>
      </c>
      <c r="J136" s="59">
        <v>40238</v>
      </c>
      <c r="K136" s="59">
        <v>40269</v>
      </c>
      <c r="L136" s="59">
        <v>40299</v>
      </c>
      <c r="M136" s="59">
        <v>40330</v>
      </c>
      <c r="N136" s="60" t="s">
        <v>367</v>
      </c>
      <c r="O136" s="61" t="s">
        <v>166</v>
      </c>
      <c r="P136" s="61" t="s">
        <v>171</v>
      </c>
      <c r="Q136" s="2"/>
    </row>
    <row r="137" spans="1:17" ht="12.75" customHeight="1">
      <c r="A137" s="67" t="s">
        <v>410</v>
      </c>
      <c r="B137" s="59"/>
      <c r="C137" s="59"/>
      <c r="D137" s="59"/>
      <c r="E137" s="59"/>
      <c r="F137" s="59"/>
      <c r="G137" s="59"/>
      <c r="H137" s="59"/>
      <c r="I137" s="59"/>
      <c r="J137" s="59"/>
      <c r="K137" s="59"/>
      <c r="L137" s="59"/>
      <c r="M137" s="59"/>
      <c r="N137" s="53"/>
      <c r="O137" s="70"/>
      <c r="P137" s="70"/>
    </row>
    <row r="138" spans="1:17" ht="12.75" customHeight="1">
      <c r="A138" s="71" t="s">
        <v>204</v>
      </c>
      <c r="B138" s="23">
        <v>99</v>
      </c>
      <c r="C138" s="23">
        <v>60</v>
      </c>
      <c r="D138" s="23">
        <v>211</v>
      </c>
      <c r="E138" s="23">
        <v>206</v>
      </c>
      <c r="F138" s="23">
        <v>273</v>
      </c>
      <c r="G138" s="23">
        <v>200</v>
      </c>
      <c r="H138" s="23">
        <v>42</v>
      </c>
      <c r="I138" s="23">
        <v>302</v>
      </c>
      <c r="J138" s="23">
        <v>293</v>
      </c>
      <c r="K138" s="23">
        <v>432</v>
      </c>
      <c r="L138" s="23">
        <v>80</v>
      </c>
      <c r="M138" s="23">
        <v>136</v>
      </c>
      <c r="N138" s="73">
        <f>SUM(B138:M138)</f>
        <v>2334</v>
      </c>
      <c r="O138" s="74">
        <v>6050</v>
      </c>
      <c r="P138" s="75">
        <f>O138/N138</f>
        <v>2.5921165381319624</v>
      </c>
    </row>
    <row r="139" spans="1:17" ht="12.75" customHeight="1">
      <c r="A139" s="2"/>
      <c r="B139" s="86"/>
      <c r="C139" s="86"/>
      <c r="D139" s="86"/>
      <c r="E139" s="86"/>
      <c r="F139" s="86"/>
      <c r="G139" s="86"/>
      <c r="H139" s="86"/>
      <c r="I139" s="86"/>
      <c r="J139" s="86"/>
      <c r="K139" s="86"/>
      <c r="L139" s="86"/>
      <c r="M139" s="86"/>
      <c r="N139" s="87"/>
      <c r="O139" s="75"/>
      <c r="P139" s="75"/>
    </row>
    <row r="140" spans="1:17" ht="12.75" customHeight="1">
      <c r="A140" s="5"/>
      <c r="B140" s="88"/>
      <c r="C140" s="88"/>
      <c r="D140" s="88"/>
      <c r="E140" s="88"/>
      <c r="F140" s="88"/>
      <c r="G140" s="88"/>
      <c r="H140" s="88"/>
      <c r="I140" s="88"/>
      <c r="J140" s="88"/>
      <c r="K140" s="88"/>
      <c r="L140" s="88"/>
      <c r="M140" s="88"/>
      <c r="N140" s="89"/>
      <c r="O140" s="90"/>
      <c r="P140" s="90"/>
    </row>
    <row r="141" spans="1:17" ht="24.75" customHeight="1">
      <c r="A141" s="58"/>
      <c r="B141" s="59">
        <v>39995</v>
      </c>
      <c r="C141" s="59">
        <v>40026</v>
      </c>
      <c r="D141" s="59">
        <v>40057</v>
      </c>
      <c r="E141" s="59">
        <v>40087</v>
      </c>
      <c r="F141" s="59">
        <v>40118</v>
      </c>
      <c r="G141" s="59">
        <v>40148</v>
      </c>
      <c r="H141" s="59">
        <v>40179</v>
      </c>
      <c r="I141" s="59">
        <v>40210</v>
      </c>
      <c r="J141" s="59">
        <v>40238</v>
      </c>
      <c r="K141" s="59">
        <v>40269</v>
      </c>
      <c r="L141" s="59">
        <v>40299</v>
      </c>
      <c r="M141" s="59">
        <v>40330</v>
      </c>
      <c r="N141" s="60" t="s">
        <v>367</v>
      </c>
      <c r="O141" s="61" t="s">
        <v>166</v>
      </c>
      <c r="P141" s="61" t="s">
        <v>171</v>
      </c>
      <c r="Q141" s="2"/>
    </row>
    <row r="142" spans="1:17" ht="12.75" customHeight="1">
      <c r="A142" s="67" t="s">
        <v>212</v>
      </c>
      <c r="B142" s="59"/>
      <c r="C142" s="59"/>
      <c r="D142" s="59"/>
      <c r="E142" s="59"/>
      <c r="F142" s="59"/>
      <c r="G142" s="59"/>
      <c r="H142" s="59"/>
      <c r="I142" s="59"/>
      <c r="J142" s="59"/>
      <c r="K142" s="59"/>
      <c r="L142" s="59"/>
      <c r="M142" s="59"/>
      <c r="N142" s="53"/>
      <c r="O142" s="70"/>
      <c r="P142" s="70"/>
    </row>
    <row r="143" spans="1:17" ht="12.75" customHeight="1">
      <c r="A143" s="71" t="s">
        <v>204</v>
      </c>
      <c r="B143" s="23">
        <v>83</v>
      </c>
      <c r="C143" s="23">
        <v>58</v>
      </c>
      <c r="D143" s="23">
        <v>183</v>
      </c>
      <c r="E143" s="23">
        <v>194</v>
      </c>
      <c r="F143" s="23">
        <v>198</v>
      </c>
      <c r="G143" s="23">
        <v>177</v>
      </c>
      <c r="H143" s="23">
        <v>39</v>
      </c>
      <c r="I143" s="23">
        <v>296</v>
      </c>
      <c r="J143" s="23">
        <v>278</v>
      </c>
      <c r="K143" s="23">
        <v>395</v>
      </c>
      <c r="L143" s="23">
        <v>66</v>
      </c>
      <c r="M143" s="23">
        <v>135</v>
      </c>
      <c r="N143" s="73">
        <f>SUM(B143:M143)</f>
        <v>2102</v>
      </c>
      <c r="O143" s="74">
        <v>0</v>
      </c>
      <c r="P143" s="76" t="s">
        <v>228</v>
      </c>
    </row>
    <row r="144" spans="1:17" ht="12.75" customHeight="1">
      <c r="A144" s="2"/>
      <c r="B144" s="86"/>
      <c r="C144" s="86"/>
      <c r="D144" s="86"/>
      <c r="E144" s="86"/>
      <c r="F144" s="86"/>
      <c r="G144" s="86"/>
      <c r="H144" s="86"/>
      <c r="I144" s="86"/>
      <c r="J144" s="86"/>
      <c r="K144" s="86"/>
      <c r="L144" s="86"/>
      <c r="M144" s="86"/>
      <c r="N144" s="87"/>
      <c r="O144" s="75"/>
      <c r="P144" s="75"/>
    </row>
    <row r="145" spans="1:17" ht="12.75" customHeight="1">
      <c r="A145" s="5"/>
      <c r="B145" s="88"/>
      <c r="C145" s="88"/>
      <c r="D145" s="88"/>
      <c r="E145" s="88"/>
      <c r="F145" s="88"/>
      <c r="G145" s="88"/>
      <c r="H145" s="88"/>
      <c r="I145" s="88"/>
      <c r="J145" s="88"/>
      <c r="K145" s="88"/>
      <c r="L145" s="88"/>
      <c r="M145" s="88"/>
      <c r="N145" s="89"/>
      <c r="O145" s="90"/>
      <c r="P145" s="90"/>
    </row>
    <row r="146" spans="1:17" ht="24.75" customHeight="1">
      <c r="A146" s="58"/>
      <c r="B146" s="59">
        <v>39995</v>
      </c>
      <c r="C146" s="59">
        <v>40026</v>
      </c>
      <c r="D146" s="59">
        <v>40057</v>
      </c>
      <c r="E146" s="59">
        <v>40087</v>
      </c>
      <c r="F146" s="59">
        <v>40118</v>
      </c>
      <c r="G146" s="59">
        <v>40148</v>
      </c>
      <c r="H146" s="59">
        <v>40179</v>
      </c>
      <c r="I146" s="59">
        <v>40210</v>
      </c>
      <c r="J146" s="59">
        <v>40238</v>
      </c>
      <c r="K146" s="59">
        <v>40269</v>
      </c>
      <c r="L146" s="59">
        <v>40299</v>
      </c>
      <c r="M146" s="59">
        <v>40330</v>
      </c>
      <c r="N146" s="60" t="s">
        <v>367</v>
      </c>
      <c r="O146" s="61" t="s">
        <v>166</v>
      </c>
      <c r="P146" s="61" t="s">
        <v>171</v>
      </c>
      <c r="Q146" s="2"/>
    </row>
    <row r="147" spans="1:17" ht="12.75" customHeight="1">
      <c r="A147" s="67" t="s">
        <v>34</v>
      </c>
      <c r="B147" s="59"/>
      <c r="C147" s="59"/>
      <c r="D147" s="59"/>
      <c r="E147" s="59"/>
      <c r="F147" s="59"/>
      <c r="G147" s="59"/>
      <c r="H147" s="59"/>
      <c r="I147" s="59"/>
      <c r="J147" s="59"/>
      <c r="K147" s="59"/>
      <c r="L147" s="59"/>
      <c r="M147" s="59"/>
      <c r="N147" s="53"/>
      <c r="O147" s="70"/>
      <c r="P147" s="70"/>
    </row>
    <row r="148" spans="1:17" ht="12.75" customHeight="1">
      <c r="A148" s="71" t="s">
        <v>204</v>
      </c>
      <c r="B148" s="23">
        <v>77</v>
      </c>
      <c r="C148" s="23">
        <v>30</v>
      </c>
      <c r="D148" s="23">
        <v>57</v>
      </c>
      <c r="E148" s="23">
        <v>140</v>
      </c>
      <c r="F148" s="23">
        <v>106</v>
      </c>
      <c r="G148" s="23">
        <v>130</v>
      </c>
      <c r="H148" s="23">
        <v>29</v>
      </c>
      <c r="I148" s="23">
        <v>71</v>
      </c>
      <c r="J148" s="23">
        <v>114</v>
      </c>
      <c r="K148" s="23">
        <v>161</v>
      </c>
      <c r="L148" s="23">
        <v>51</v>
      </c>
      <c r="M148" s="23">
        <v>24</v>
      </c>
      <c r="N148" s="73">
        <f>SUM(B148:M148)</f>
        <v>990</v>
      </c>
      <c r="O148" s="74">
        <v>2800</v>
      </c>
      <c r="P148" s="75">
        <f>O148/N148</f>
        <v>2.8282828282828283</v>
      </c>
    </row>
    <row r="149" spans="1:17" ht="12.75" customHeight="1">
      <c r="A149" s="2"/>
      <c r="B149" s="86"/>
      <c r="C149" s="86"/>
      <c r="D149" s="86"/>
      <c r="E149" s="86"/>
      <c r="F149" s="86"/>
      <c r="G149" s="86"/>
      <c r="H149" s="86"/>
      <c r="I149" s="86"/>
      <c r="J149" s="86"/>
      <c r="K149" s="86"/>
      <c r="L149" s="86"/>
      <c r="M149" s="86"/>
      <c r="N149" s="87"/>
      <c r="O149" s="75"/>
      <c r="P149" s="75"/>
    </row>
    <row r="150" spans="1:17" ht="12.75" customHeight="1">
      <c r="A150" s="5"/>
      <c r="B150" s="88"/>
      <c r="C150" s="88"/>
      <c r="D150" s="88"/>
      <c r="E150" s="88"/>
      <c r="F150" s="88"/>
      <c r="G150" s="88"/>
      <c r="H150" s="88"/>
      <c r="I150" s="88"/>
      <c r="J150" s="88"/>
      <c r="K150" s="88"/>
      <c r="L150" s="88"/>
      <c r="M150" s="88"/>
      <c r="N150" s="89"/>
      <c r="O150" s="90"/>
      <c r="P150" s="90"/>
    </row>
    <row r="151" spans="1:17" ht="24.75" customHeight="1">
      <c r="A151" s="58"/>
      <c r="B151" s="59">
        <v>39995</v>
      </c>
      <c r="C151" s="59">
        <v>40026</v>
      </c>
      <c r="D151" s="59">
        <v>40057</v>
      </c>
      <c r="E151" s="59">
        <v>40087</v>
      </c>
      <c r="F151" s="59">
        <v>40118</v>
      </c>
      <c r="G151" s="59">
        <v>40148</v>
      </c>
      <c r="H151" s="59">
        <v>40179</v>
      </c>
      <c r="I151" s="59">
        <v>40210</v>
      </c>
      <c r="J151" s="59">
        <v>40238</v>
      </c>
      <c r="K151" s="59">
        <v>40269</v>
      </c>
      <c r="L151" s="59">
        <v>40299</v>
      </c>
      <c r="M151" s="59">
        <v>40330</v>
      </c>
      <c r="N151" s="60" t="s">
        <v>367</v>
      </c>
      <c r="O151" s="61" t="s">
        <v>166</v>
      </c>
      <c r="P151" s="61" t="s">
        <v>171</v>
      </c>
      <c r="Q151" s="2"/>
    </row>
    <row r="152" spans="1:17" ht="12.75" customHeight="1">
      <c r="A152" s="67" t="s">
        <v>402</v>
      </c>
      <c r="B152" s="59"/>
      <c r="C152" s="59"/>
      <c r="D152" s="59"/>
      <c r="E152" s="59"/>
      <c r="F152" s="59"/>
      <c r="G152" s="59"/>
      <c r="H152" s="59"/>
      <c r="I152" s="59"/>
      <c r="J152" s="59"/>
      <c r="K152" s="59"/>
      <c r="L152" s="59"/>
      <c r="M152" s="59"/>
      <c r="N152" s="53"/>
      <c r="O152" s="70"/>
      <c r="P152" s="70"/>
    </row>
    <row r="153" spans="1:17" ht="12.75" customHeight="1">
      <c r="A153" s="71" t="s">
        <v>204</v>
      </c>
      <c r="B153" s="23">
        <f>34+213</f>
        <v>247</v>
      </c>
      <c r="C153" s="23">
        <f>18+67</f>
        <v>85</v>
      </c>
      <c r="D153" s="23">
        <f>43+214</f>
        <v>257</v>
      </c>
      <c r="E153" s="23">
        <f>21+389</f>
        <v>410</v>
      </c>
      <c r="F153" s="23">
        <f>7+384</f>
        <v>391</v>
      </c>
      <c r="G153" s="23">
        <v>310</v>
      </c>
      <c r="H153" s="23">
        <v>38</v>
      </c>
      <c r="I153" s="23">
        <v>462</v>
      </c>
      <c r="J153" s="23">
        <v>496</v>
      </c>
      <c r="K153" s="23">
        <v>485</v>
      </c>
      <c r="L153" s="23">
        <v>83</v>
      </c>
      <c r="M153" s="23">
        <v>127</v>
      </c>
      <c r="N153" s="73">
        <f>SUM(B153:M153)</f>
        <v>3391</v>
      </c>
      <c r="O153" s="74">
        <v>1060</v>
      </c>
      <c r="P153" s="75">
        <f>O153/N153</f>
        <v>0.31259215570628135</v>
      </c>
    </row>
    <row r="154" spans="1:17" ht="12.75" customHeight="1">
      <c r="A154" s="2"/>
      <c r="B154" s="86"/>
      <c r="C154" s="86"/>
      <c r="D154" s="86"/>
      <c r="E154" s="86"/>
      <c r="F154" s="86"/>
      <c r="G154" s="86"/>
      <c r="H154" s="86"/>
      <c r="I154" s="86"/>
      <c r="J154" s="86"/>
      <c r="K154" s="86"/>
      <c r="L154" s="86"/>
      <c r="M154" s="86"/>
      <c r="N154" s="87"/>
      <c r="O154" s="75"/>
      <c r="P154" s="75"/>
    </row>
    <row r="155" spans="1:17" ht="12.75" customHeight="1">
      <c r="A155" s="5"/>
      <c r="B155" s="88"/>
      <c r="C155" s="88"/>
      <c r="D155" s="88"/>
      <c r="E155" s="88"/>
      <c r="F155" s="88"/>
      <c r="G155" s="88"/>
      <c r="H155" s="88"/>
      <c r="I155" s="88"/>
      <c r="J155" s="88"/>
      <c r="K155" s="88"/>
      <c r="L155" s="88"/>
      <c r="M155" s="88"/>
      <c r="N155" s="89"/>
      <c r="O155" s="90"/>
      <c r="P155" s="90"/>
    </row>
    <row r="156" spans="1:17" ht="12.75" customHeight="1">
      <c r="A156" s="58"/>
      <c r="B156" s="59">
        <v>39995</v>
      </c>
      <c r="C156" s="59">
        <v>40026</v>
      </c>
      <c r="D156" s="59">
        <v>40057</v>
      </c>
      <c r="E156" s="59">
        <v>40087</v>
      </c>
      <c r="F156" s="59">
        <v>40118</v>
      </c>
      <c r="G156" s="59">
        <v>40148</v>
      </c>
      <c r="H156" s="59">
        <v>40179</v>
      </c>
      <c r="I156" s="59">
        <v>40210</v>
      </c>
      <c r="J156" s="59">
        <v>40238</v>
      </c>
      <c r="K156" s="59">
        <v>40269</v>
      </c>
      <c r="L156" s="59">
        <v>40299</v>
      </c>
      <c r="M156" s="59">
        <v>40330</v>
      </c>
      <c r="N156" s="60" t="s">
        <v>367</v>
      </c>
      <c r="O156" s="61" t="s">
        <v>166</v>
      </c>
      <c r="P156" s="61" t="s">
        <v>171</v>
      </c>
    </row>
    <row r="157" spans="1:17" ht="12.75" customHeight="1">
      <c r="A157" s="67" t="s">
        <v>110</v>
      </c>
      <c r="B157" s="59"/>
      <c r="C157" s="59"/>
      <c r="D157" s="59"/>
      <c r="E157" s="59"/>
      <c r="F157" s="59"/>
      <c r="G157" s="59"/>
      <c r="H157" s="59"/>
      <c r="I157" s="59"/>
      <c r="J157" s="59"/>
      <c r="K157" s="59"/>
      <c r="L157" s="59"/>
      <c r="M157" s="59"/>
      <c r="N157" s="53"/>
      <c r="O157" s="70"/>
      <c r="P157" s="70"/>
    </row>
    <row r="158" spans="1:17" ht="12.75" customHeight="1">
      <c r="A158" s="71" t="s">
        <v>204</v>
      </c>
      <c r="B158" s="23">
        <v>86</v>
      </c>
      <c r="C158" s="23">
        <v>58</v>
      </c>
      <c r="D158" s="23">
        <v>142</v>
      </c>
      <c r="E158" s="23">
        <v>209</v>
      </c>
      <c r="F158" s="23">
        <v>192</v>
      </c>
      <c r="G158" s="23">
        <v>173</v>
      </c>
      <c r="H158" s="23">
        <v>24</v>
      </c>
      <c r="I158" s="23">
        <v>179</v>
      </c>
      <c r="J158" s="23">
        <v>208</v>
      </c>
      <c r="K158" s="23">
        <v>260</v>
      </c>
      <c r="L158" s="23">
        <v>50</v>
      </c>
      <c r="M158" s="23">
        <v>59</v>
      </c>
      <c r="N158" s="73">
        <f>SUM(B158:M158)</f>
        <v>1640</v>
      </c>
      <c r="O158" s="74">
        <v>0</v>
      </c>
      <c r="P158" s="76" t="s">
        <v>228</v>
      </c>
    </row>
    <row r="159" spans="1:17" ht="12.75" customHeight="1">
      <c r="A159" s="2"/>
      <c r="B159" s="86"/>
      <c r="C159" s="86"/>
      <c r="D159" s="86"/>
      <c r="E159" s="86"/>
      <c r="F159" s="86"/>
      <c r="G159" s="86"/>
      <c r="H159" s="86"/>
      <c r="I159" s="86"/>
      <c r="J159" s="86"/>
      <c r="K159" s="86"/>
      <c r="L159" s="86"/>
      <c r="M159" s="86"/>
      <c r="N159" s="87"/>
      <c r="O159" s="75"/>
      <c r="P159" s="75"/>
    </row>
    <row r="160" spans="1:17" ht="12.75" customHeight="1">
      <c r="A160" s="5"/>
      <c r="B160" s="88"/>
      <c r="C160" s="88"/>
      <c r="D160" s="88"/>
      <c r="E160" s="88"/>
      <c r="F160" s="88"/>
      <c r="G160" s="88"/>
      <c r="H160" s="88"/>
      <c r="I160" s="88"/>
      <c r="J160" s="88"/>
      <c r="K160" s="88"/>
      <c r="L160" s="88"/>
      <c r="M160" s="88"/>
      <c r="N160" s="89"/>
      <c r="O160" s="90"/>
      <c r="P160" s="90"/>
    </row>
    <row r="161" spans="1:17" ht="12.75" customHeight="1">
      <c r="A161" s="58"/>
      <c r="B161" s="59">
        <v>39995</v>
      </c>
      <c r="C161" s="59">
        <v>40026</v>
      </c>
      <c r="D161" s="59">
        <v>40057</v>
      </c>
      <c r="E161" s="59">
        <v>40087</v>
      </c>
      <c r="F161" s="59">
        <v>40118</v>
      </c>
      <c r="G161" s="59">
        <v>40148</v>
      </c>
      <c r="H161" s="59">
        <v>40179</v>
      </c>
      <c r="I161" s="59">
        <v>40210</v>
      </c>
      <c r="J161" s="59">
        <v>40238</v>
      </c>
      <c r="K161" s="59">
        <v>40269</v>
      </c>
      <c r="L161" s="59">
        <v>40299</v>
      </c>
      <c r="M161" s="59">
        <v>40330</v>
      </c>
      <c r="N161" s="60" t="s">
        <v>367</v>
      </c>
      <c r="O161" s="61" t="s">
        <v>166</v>
      </c>
      <c r="P161" s="61" t="s">
        <v>171</v>
      </c>
    </row>
    <row r="162" spans="1:17" ht="12.75" customHeight="1">
      <c r="A162" s="67" t="s">
        <v>195</v>
      </c>
      <c r="B162" s="59"/>
      <c r="C162" s="59"/>
      <c r="D162" s="59"/>
      <c r="E162" s="59"/>
      <c r="F162" s="59"/>
      <c r="G162" s="59"/>
      <c r="H162" s="59"/>
      <c r="I162" s="59"/>
      <c r="J162" s="59"/>
      <c r="K162" s="59"/>
      <c r="L162" s="59"/>
      <c r="M162" s="59"/>
      <c r="N162" s="53"/>
      <c r="O162" s="70"/>
      <c r="P162" s="70"/>
    </row>
    <row r="163" spans="1:17" ht="12.75" customHeight="1">
      <c r="A163" s="71" t="s">
        <v>204</v>
      </c>
      <c r="B163" s="23">
        <v>0</v>
      </c>
      <c r="C163" s="23">
        <v>0</v>
      </c>
      <c r="D163" s="23">
        <v>7</v>
      </c>
      <c r="E163" s="23">
        <v>36</v>
      </c>
      <c r="F163" s="23">
        <v>27</v>
      </c>
      <c r="G163" s="23">
        <v>25</v>
      </c>
      <c r="H163" s="23">
        <v>22</v>
      </c>
      <c r="I163" s="23">
        <v>39</v>
      </c>
      <c r="J163" s="23">
        <v>0</v>
      </c>
      <c r="K163" s="23">
        <v>0</v>
      </c>
      <c r="L163" s="23">
        <v>0</v>
      </c>
      <c r="M163" s="23">
        <v>0</v>
      </c>
      <c r="N163" s="73">
        <f>SUM(B163:M163)</f>
        <v>156</v>
      </c>
      <c r="O163" s="74">
        <v>0</v>
      </c>
      <c r="P163" s="76" t="s">
        <v>228</v>
      </c>
    </row>
    <row r="164" spans="1:17" ht="12.75" customHeight="1">
      <c r="A164" s="2"/>
      <c r="B164" s="86"/>
      <c r="C164" s="86"/>
      <c r="D164" s="86"/>
      <c r="E164" s="86"/>
      <c r="F164" s="86"/>
      <c r="G164" s="86"/>
      <c r="H164" s="86"/>
      <c r="I164" s="86"/>
      <c r="J164" s="86"/>
      <c r="K164" s="86"/>
      <c r="L164" s="86"/>
      <c r="M164" s="86"/>
      <c r="N164" s="87"/>
      <c r="O164" s="75"/>
      <c r="P164" s="75"/>
    </row>
    <row r="165" spans="1:17" ht="12.75" customHeight="1">
      <c r="A165" s="5"/>
      <c r="B165" s="88"/>
      <c r="C165" s="88"/>
      <c r="D165" s="88"/>
      <c r="E165" s="88"/>
      <c r="F165" s="88"/>
      <c r="G165" s="88"/>
      <c r="H165" s="88"/>
      <c r="I165" s="88"/>
      <c r="J165" s="88"/>
      <c r="K165" s="88"/>
      <c r="L165" s="88"/>
      <c r="M165" s="88"/>
      <c r="N165" s="89"/>
      <c r="O165" s="90"/>
      <c r="P165" s="90"/>
    </row>
    <row r="166" spans="1:17" ht="24.75" customHeight="1">
      <c r="A166" s="58"/>
      <c r="B166" s="59">
        <v>39995</v>
      </c>
      <c r="C166" s="59">
        <v>40026</v>
      </c>
      <c r="D166" s="59">
        <v>40057</v>
      </c>
      <c r="E166" s="59">
        <v>40087</v>
      </c>
      <c r="F166" s="59">
        <v>40118</v>
      </c>
      <c r="G166" s="59">
        <v>40148</v>
      </c>
      <c r="H166" s="59">
        <v>40179</v>
      </c>
      <c r="I166" s="59">
        <v>40210</v>
      </c>
      <c r="J166" s="59">
        <v>40238</v>
      </c>
      <c r="K166" s="59">
        <v>40269</v>
      </c>
      <c r="L166" s="59">
        <v>40299</v>
      </c>
      <c r="M166" s="59">
        <v>40330</v>
      </c>
      <c r="N166" s="60" t="s">
        <v>367</v>
      </c>
      <c r="O166" s="61" t="s">
        <v>166</v>
      </c>
      <c r="P166" s="61" t="s">
        <v>171</v>
      </c>
      <c r="Q166" s="2"/>
    </row>
    <row r="167" spans="1:17" ht="12.75" customHeight="1">
      <c r="A167" s="67" t="s">
        <v>83</v>
      </c>
      <c r="B167" s="59"/>
      <c r="C167" s="59"/>
      <c r="D167" s="59"/>
      <c r="E167" s="59"/>
      <c r="F167" s="59"/>
      <c r="G167" s="59"/>
      <c r="H167" s="59"/>
      <c r="I167" s="59"/>
      <c r="J167" s="59"/>
      <c r="K167" s="59"/>
      <c r="L167" s="59"/>
      <c r="M167" s="59"/>
      <c r="N167" s="53"/>
      <c r="O167" s="70"/>
      <c r="P167" s="70"/>
    </row>
    <row r="168" spans="1:17" ht="12.75" customHeight="1">
      <c r="A168" s="71" t="s">
        <v>204</v>
      </c>
      <c r="B168" s="23">
        <v>1631</v>
      </c>
      <c r="C168" s="23">
        <v>850</v>
      </c>
      <c r="D168" s="23">
        <v>2479</v>
      </c>
      <c r="E168" s="23">
        <v>3499</v>
      </c>
      <c r="F168" s="23">
        <v>3509</v>
      </c>
      <c r="G168" s="23">
        <v>1885</v>
      </c>
      <c r="H168" s="23">
        <v>665</v>
      </c>
      <c r="I168" s="23">
        <v>3230</v>
      </c>
      <c r="J168" s="23">
        <v>3804</v>
      </c>
      <c r="K168" s="23">
        <v>3725</v>
      </c>
      <c r="L168" s="23">
        <v>2066</v>
      </c>
      <c r="M168" s="23">
        <v>1440</v>
      </c>
      <c r="N168" s="73">
        <f>SUM(B168:M168)</f>
        <v>28783</v>
      </c>
      <c r="O168" s="74">
        <v>15675</v>
      </c>
      <c r="P168" s="75">
        <f>O168/N168</f>
        <v>0.54459229406246745</v>
      </c>
    </row>
    <row r="169" spans="1:17" ht="12.75" customHeight="1">
      <c r="A169" s="2"/>
      <c r="B169" s="86"/>
      <c r="C169" s="86"/>
      <c r="D169" s="86"/>
      <c r="E169" s="86"/>
      <c r="F169" s="86"/>
      <c r="G169" s="86"/>
      <c r="H169" s="86"/>
      <c r="I169" s="86"/>
      <c r="J169" s="86"/>
      <c r="K169" s="86"/>
      <c r="L169" s="86"/>
      <c r="M169" s="86"/>
      <c r="N169" s="87"/>
      <c r="O169" s="75"/>
      <c r="P169" s="75"/>
    </row>
    <row r="170" spans="1:17" ht="12.75" customHeight="1">
      <c r="A170" s="5"/>
      <c r="B170" s="88"/>
      <c r="C170" s="88"/>
      <c r="D170" s="88"/>
      <c r="E170" s="88"/>
      <c r="F170" s="88"/>
      <c r="G170" s="88"/>
      <c r="H170" s="88"/>
      <c r="I170" s="88"/>
      <c r="J170" s="88"/>
      <c r="K170" s="88"/>
      <c r="L170" s="88"/>
      <c r="M170" s="88"/>
      <c r="N170" s="89"/>
      <c r="O170" s="90"/>
      <c r="P170" s="90"/>
    </row>
    <row r="171" spans="1:17" ht="12.75" customHeight="1">
      <c r="A171" s="58"/>
      <c r="B171" s="59">
        <v>39995</v>
      </c>
      <c r="C171" s="59">
        <v>40026</v>
      </c>
      <c r="D171" s="59">
        <v>40057</v>
      </c>
      <c r="E171" s="59">
        <v>40087</v>
      </c>
      <c r="F171" s="59">
        <v>40118</v>
      </c>
      <c r="G171" s="59">
        <v>40148</v>
      </c>
      <c r="H171" s="59">
        <v>40179</v>
      </c>
      <c r="I171" s="59">
        <v>40210</v>
      </c>
      <c r="J171" s="59">
        <v>40238</v>
      </c>
      <c r="K171" s="59">
        <v>40269</v>
      </c>
      <c r="L171" s="59">
        <v>40299</v>
      </c>
      <c r="M171" s="59">
        <v>40330</v>
      </c>
      <c r="N171" s="60" t="s">
        <v>367</v>
      </c>
      <c r="O171" s="61" t="s">
        <v>166</v>
      </c>
      <c r="P171" s="61" t="s">
        <v>171</v>
      </c>
    </row>
    <row r="172" spans="1:17" ht="12.75" customHeight="1">
      <c r="A172" s="67" t="s">
        <v>169</v>
      </c>
      <c r="B172" s="59"/>
      <c r="C172" s="59"/>
      <c r="D172" s="59"/>
      <c r="E172" s="59"/>
      <c r="F172" s="59"/>
      <c r="G172" s="59"/>
      <c r="H172" s="59"/>
      <c r="I172" s="59"/>
      <c r="J172" s="59"/>
      <c r="K172" s="59"/>
      <c r="L172" s="59"/>
      <c r="M172" s="59"/>
      <c r="N172" s="53"/>
      <c r="O172" s="70"/>
      <c r="P172" s="70"/>
    </row>
    <row r="173" spans="1:17" ht="12.75" customHeight="1">
      <c r="A173" s="71" t="s">
        <v>204</v>
      </c>
      <c r="B173" s="23">
        <v>0</v>
      </c>
      <c r="C173" s="23">
        <v>7</v>
      </c>
      <c r="D173" s="23">
        <v>121</v>
      </c>
      <c r="E173" s="23">
        <v>165</v>
      </c>
      <c r="F173" s="23">
        <v>148</v>
      </c>
      <c r="G173" s="23">
        <v>173</v>
      </c>
      <c r="H173" s="23">
        <v>25</v>
      </c>
      <c r="I173" s="23">
        <v>17</v>
      </c>
      <c r="J173" s="23">
        <v>0</v>
      </c>
      <c r="K173" s="23">
        <v>0</v>
      </c>
      <c r="L173" s="23">
        <v>0</v>
      </c>
      <c r="M173" s="23">
        <v>0</v>
      </c>
      <c r="N173" s="73">
        <f>SUM(B173:M173)</f>
        <v>656</v>
      </c>
      <c r="O173" s="74">
        <v>0</v>
      </c>
      <c r="P173" s="76" t="s">
        <v>228</v>
      </c>
    </row>
    <row r="174" spans="1:17" ht="12.75" customHeight="1">
      <c r="A174" s="2"/>
      <c r="B174" s="86"/>
      <c r="C174" s="86"/>
      <c r="D174" s="86"/>
      <c r="E174" s="86"/>
      <c r="F174" s="86"/>
      <c r="G174" s="86"/>
      <c r="H174" s="86"/>
      <c r="I174" s="86"/>
      <c r="J174" s="86"/>
      <c r="K174" s="86"/>
      <c r="L174" s="86"/>
      <c r="M174" s="86"/>
      <c r="N174" s="87"/>
      <c r="O174" s="75"/>
      <c r="P174" s="75"/>
    </row>
    <row r="175" spans="1:17" ht="12.75" customHeight="1">
      <c r="A175" s="5"/>
      <c r="B175" s="88"/>
      <c r="C175" s="88"/>
      <c r="D175" s="88"/>
      <c r="E175" s="88"/>
      <c r="F175" s="88"/>
      <c r="G175" s="88"/>
      <c r="H175" s="88"/>
      <c r="I175" s="88"/>
      <c r="J175" s="88"/>
      <c r="K175" s="88"/>
      <c r="L175" s="88"/>
      <c r="M175" s="88"/>
      <c r="N175" s="89"/>
      <c r="O175" s="90"/>
      <c r="P175" s="90"/>
    </row>
    <row r="176" spans="1:17" ht="24.75" customHeight="1">
      <c r="A176" s="58"/>
      <c r="B176" s="59">
        <v>39995</v>
      </c>
      <c r="C176" s="59">
        <v>40026</v>
      </c>
      <c r="D176" s="59">
        <v>40057</v>
      </c>
      <c r="E176" s="59">
        <v>40087</v>
      </c>
      <c r="F176" s="59">
        <v>40118</v>
      </c>
      <c r="G176" s="59">
        <v>40148</v>
      </c>
      <c r="H176" s="59">
        <v>40179</v>
      </c>
      <c r="I176" s="59">
        <v>40210</v>
      </c>
      <c r="J176" s="59">
        <v>40238</v>
      </c>
      <c r="K176" s="59">
        <v>40269</v>
      </c>
      <c r="L176" s="59">
        <v>40299</v>
      </c>
      <c r="M176" s="59">
        <v>40330</v>
      </c>
      <c r="N176" s="60" t="s">
        <v>367</v>
      </c>
      <c r="O176" s="61" t="s">
        <v>166</v>
      </c>
      <c r="P176" s="61" t="s">
        <v>171</v>
      </c>
      <c r="Q176" s="2"/>
    </row>
    <row r="177" spans="1:17" ht="12.75" customHeight="1">
      <c r="A177" s="67" t="s">
        <v>162</v>
      </c>
      <c r="B177" s="59"/>
      <c r="C177" s="59"/>
      <c r="D177" s="59"/>
      <c r="E177" s="59"/>
      <c r="F177" s="59"/>
      <c r="G177" s="59"/>
      <c r="H177" s="59"/>
      <c r="I177" s="59"/>
      <c r="J177" s="59"/>
      <c r="K177" s="59"/>
      <c r="L177" s="59"/>
      <c r="M177" s="59"/>
      <c r="N177" s="53"/>
      <c r="O177" s="70"/>
      <c r="P177" s="70"/>
    </row>
    <row r="178" spans="1:17" ht="12.75" customHeight="1">
      <c r="A178" s="71" t="s">
        <v>204</v>
      </c>
      <c r="B178" s="23">
        <v>99</v>
      </c>
      <c r="C178" s="23">
        <v>68</v>
      </c>
      <c r="D178" s="23">
        <v>210</v>
      </c>
      <c r="E178" s="23">
        <v>239</v>
      </c>
      <c r="F178" s="23">
        <v>268</v>
      </c>
      <c r="G178" s="23">
        <v>218</v>
      </c>
      <c r="H178" s="23">
        <v>31</v>
      </c>
      <c r="I178" s="23">
        <v>206</v>
      </c>
      <c r="J178" s="23">
        <v>292</v>
      </c>
      <c r="K178" s="23">
        <v>337</v>
      </c>
      <c r="L178" s="23">
        <v>63</v>
      </c>
      <c r="M178" s="23">
        <v>67</v>
      </c>
      <c r="N178" s="73">
        <f>SUM(B178:M178)</f>
        <v>2098</v>
      </c>
      <c r="O178" s="74">
        <v>0</v>
      </c>
      <c r="P178" s="76" t="s">
        <v>228</v>
      </c>
    </row>
    <row r="179" spans="1:17" ht="12.75" customHeight="1">
      <c r="A179" s="2"/>
      <c r="B179" s="86"/>
      <c r="C179" s="86"/>
      <c r="D179" s="86"/>
      <c r="E179" s="86"/>
      <c r="F179" s="86"/>
      <c r="G179" s="86"/>
      <c r="H179" s="86"/>
      <c r="I179" s="86"/>
      <c r="J179" s="86"/>
      <c r="K179" s="86"/>
      <c r="L179" s="86"/>
      <c r="M179" s="86"/>
      <c r="N179" s="87"/>
      <c r="O179" s="75"/>
      <c r="P179" s="76"/>
    </row>
    <row r="180" spans="1:17" ht="12.75" customHeight="1">
      <c r="A180" s="5"/>
      <c r="B180" s="88"/>
      <c r="C180" s="88"/>
      <c r="D180" s="88"/>
      <c r="E180" s="88"/>
      <c r="F180" s="88"/>
      <c r="G180" s="88"/>
      <c r="H180" s="88"/>
      <c r="I180" s="88"/>
      <c r="J180" s="88"/>
      <c r="K180" s="88"/>
      <c r="L180" s="88"/>
      <c r="M180" s="88"/>
      <c r="N180" s="89"/>
      <c r="O180" s="90"/>
      <c r="P180" s="102"/>
    </row>
    <row r="181" spans="1:17" ht="24.75" customHeight="1">
      <c r="A181" s="58"/>
      <c r="B181" s="59">
        <v>39995</v>
      </c>
      <c r="C181" s="59">
        <v>40026</v>
      </c>
      <c r="D181" s="59">
        <v>40057</v>
      </c>
      <c r="E181" s="59">
        <v>40087</v>
      </c>
      <c r="F181" s="59">
        <v>40118</v>
      </c>
      <c r="G181" s="59">
        <v>40148</v>
      </c>
      <c r="H181" s="59">
        <v>40179</v>
      </c>
      <c r="I181" s="59">
        <v>40210</v>
      </c>
      <c r="J181" s="59">
        <v>40238</v>
      </c>
      <c r="K181" s="59">
        <v>40269</v>
      </c>
      <c r="L181" s="59">
        <v>40299</v>
      </c>
      <c r="M181" s="59">
        <v>40330</v>
      </c>
      <c r="N181" s="60" t="s">
        <v>367</v>
      </c>
      <c r="O181" s="61" t="s">
        <v>166</v>
      </c>
      <c r="P181" s="61" t="s">
        <v>171</v>
      </c>
      <c r="Q181" s="2"/>
    </row>
    <row r="182" spans="1:17" ht="12.75" customHeight="1">
      <c r="A182" s="67" t="s">
        <v>308</v>
      </c>
      <c r="B182" s="59"/>
      <c r="C182" s="59"/>
      <c r="D182" s="59"/>
      <c r="E182" s="59"/>
      <c r="F182" s="59"/>
      <c r="G182" s="59"/>
      <c r="H182" s="59"/>
      <c r="I182" s="59"/>
      <c r="J182" s="59"/>
      <c r="K182" s="59"/>
      <c r="L182" s="59"/>
      <c r="M182" s="59"/>
      <c r="N182" s="53"/>
      <c r="O182" s="70"/>
      <c r="P182" s="70"/>
    </row>
    <row r="183" spans="1:17" ht="12.75" customHeight="1">
      <c r="A183" s="71" t="s">
        <v>204</v>
      </c>
      <c r="B183" s="23">
        <v>211</v>
      </c>
      <c r="C183" s="23">
        <v>76</v>
      </c>
      <c r="D183" s="23">
        <v>204</v>
      </c>
      <c r="E183" s="23">
        <v>442</v>
      </c>
      <c r="F183" s="23">
        <v>417</v>
      </c>
      <c r="G183" s="23">
        <v>280</v>
      </c>
      <c r="H183" s="23">
        <v>45</v>
      </c>
      <c r="I183" s="23">
        <v>292</v>
      </c>
      <c r="J183" s="23">
        <v>353</v>
      </c>
      <c r="K183" s="23">
        <v>483</v>
      </c>
      <c r="L183" s="23">
        <v>93</v>
      </c>
      <c r="M183" s="23">
        <v>95</v>
      </c>
      <c r="N183" s="73">
        <f>SUM(B183:M183)</f>
        <v>2991</v>
      </c>
      <c r="O183" s="74">
        <v>4580</v>
      </c>
      <c r="P183" s="75">
        <f>O183/N183</f>
        <v>1.5312604480106988</v>
      </c>
    </row>
    <row r="184" spans="1:17" ht="12.75" customHeight="1">
      <c r="A184" s="2"/>
      <c r="B184" s="86"/>
      <c r="C184" s="86"/>
      <c r="D184" s="86"/>
      <c r="E184" s="86"/>
      <c r="F184" s="86"/>
      <c r="G184" s="86"/>
      <c r="H184" s="86"/>
      <c r="I184" s="86"/>
      <c r="J184" s="86"/>
      <c r="K184" s="86"/>
      <c r="L184" s="86"/>
      <c r="M184" s="86"/>
      <c r="N184" s="87"/>
      <c r="O184" s="75"/>
      <c r="P184" s="75"/>
    </row>
    <row r="185" spans="1:17" ht="12.75" customHeight="1">
      <c r="A185" s="5"/>
      <c r="B185" s="88"/>
      <c r="C185" s="88"/>
      <c r="D185" s="88"/>
      <c r="E185" s="88"/>
      <c r="F185" s="88"/>
      <c r="G185" s="88"/>
      <c r="H185" s="88"/>
      <c r="I185" s="88"/>
      <c r="J185" s="88"/>
      <c r="K185" s="88"/>
      <c r="L185" s="88"/>
      <c r="M185" s="88"/>
      <c r="N185" s="89"/>
      <c r="O185" s="90"/>
      <c r="P185" s="90"/>
    </row>
    <row r="186" spans="1:17" ht="12.75" customHeight="1">
      <c r="A186" s="58"/>
      <c r="B186" s="59">
        <v>39995</v>
      </c>
      <c r="C186" s="59">
        <v>40026</v>
      </c>
      <c r="D186" s="59">
        <v>40057</v>
      </c>
      <c r="E186" s="59">
        <v>40087</v>
      </c>
      <c r="F186" s="59">
        <v>40118</v>
      </c>
      <c r="G186" s="59">
        <v>40148</v>
      </c>
      <c r="H186" s="59">
        <v>40179</v>
      </c>
      <c r="I186" s="59">
        <v>40210</v>
      </c>
      <c r="J186" s="59">
        <v>40238</v>
      </c>
      <c r="K186" s="59">
        <v>40269</v>
      </c>
      <c r="L186" s="59">
        <v>40299</v>
      </c>
      <c r="M186" s="59">
        <v>40330</v>
      </c>
      <c r="N186" s="60" t="s">
        <v>367</v>
      </c>
      <c r="O186" s="61" t="s">
        <v>166</v>
      </c>
      <c r="P186" s="61" t="s">
        <v>171</v>
      </c>
    </row>
    <row r="187" spans="1:17" ht="12.75" customHeight="1">
      <c r="A187" s="67" t="s">
        <v>266</v>
      </c>
      <c r="B187" s="59"/>
      <c r="C187" s="59"/>
      <c r="D187" s="59"/>
      <c r="E187" s="59"/>
      <c r="F187" s="59"/>
      <c r="G187" s="59"/>
      <c r="H187" s="59"/>
      <c r="I187" s="59"/>
      <c r="J187" s="59"/>
      <c r="K187" s="59"/>
      <c r="L187" s="59"/>
      <c r="M187" s="59"/>
      <c r="N187" s="53"/>
      <c r="O187" s="70"/>
      <c r="P187" s="70"/>
    </row>
    <row r="188" spans="1:17" ht="12.75" customHeight="1">
      <c r="A188" s="71" t="s">
        <v>204</v>
      </c>
      <c r="B188" s="23">
        <v>5</v>
      </c>
      <c r="C188" s="23">
        <v>11</v>
      </c>
      <c r="D188" s="23">
        <v>7</v>
      </c>
      <c r="E188" s="23">
        <v>36</v>
      </c>
      <c r="F188" s="23">
        <v>27</v>
      </c>
      <c r="G188" s="23">
        <v>30</v>
      </c>
      <c r="H188" s="23">
        <v>24</v>
      </c>
      <c r="I188" s="23">
        <v>215</v>
      </c>
      <c r="J188" s="23">
        <v>190</v>
      </c>
      <c r="K188" s="23">
        <v>290</v>
      </c>
      <c r="L188" s="23">
        <v>56</v>
      </c>
      <c r="M188" s="23">
        <v>85</v>
      </c>
      <c r="N188" s="73">
        <f>SUM(B188:M188)</f>
        <v>976</v>
      </c>
      <c r="O188" s="74">
        <v>0</v>
      </c>
      <c r="P188" s="76" t="s">
        <v>228</v>
      </c>
    </row>
    <row r="189" spans="1:17" ht="12.75" customHeight="1">
      <c r="A189" s="2"/>
      <c r="B189" s="86"/>
      <c r="C189" s="86"/>
      <c r="D189" s="86"/>
      <c r="E189" s="86"/>
      <c r="F189" s="86"/>
      <c r="G189" s="86"/>
      <c r="H189" s="86"/>
      <c r="I189" s="86"/>
      <c r="J189" s="86"/>
      <c r="K189" s="86"/>
      <c r="L189" s="86"/>
      <c r="M189" s="86"/>
      <c r="N189" s="87"/>
      <c r="O189" s="75"/>
      <c r="P189" s="75"/>
    </row>
    <row r="190" spans="1:17" ht="12.75" customHeight="1">
      <c r="A190" s="5"/>
      <c r="B190" s="88"/>
      <c r="C190" s="88"/>
      <c r="D190" s="88"/>
      <c r="E190" s="88"/>
      <c r="F190" s="88"/>
      <c r="G190" s="88"/>
      <c r="H190" s="88"/>
      <c r="I190" s="88"/>
      <c r="J190" s="88"/>
      <c r="K190" s="88"/>
      <c r="L190" s="88"/>
      <c r="M190" s="88"/>
      <c r="N190" s="89"/>
      <c r="O190" s="90"/>
      <c r="P190" s="90"/>
    </row>
    <row r="191" spans="1:17" ht="12.75" customHeight="1">
      <c r="A191" s="58"/>
      <c r="B191" s="59">
        <v>39995</v>
      </c>
      <c r="C191" s="59">
        <v>40026</v>
      </c>
      <c r="D191" s="59">
        <v>40057</v>
      </c>
      <c r="E191" s="59">
        <v>40087</v>
      </c>
      <c r="F191" s="59">
        <v>40118</v>
      </c>
      <c r="G191" s="59">
        <v>40148</v>
      </c>
      <c r="H191" s="59">
        <v>40179</v>
      </c>
      <c r="I191" s="59">
        <v>40210</v>
      </c>
      <c r="J191" s="59">
        <v>40238</v>
      </c>
      <c r="K191" s="59">
        <v>40269</v>
      </c>
      <c r="L191" s="59">
        <v>40299</v>
      </c>
      <c r="M191" s="59">
        <v>40330</v>
      </c>
      <c r="N191" s="60" t="s">
        <v>367</v>
      </c>
      <c r="O191" s="61" t="s">
        <v>166</v>
      </c>
      <c r="P191" s="61" t="s">
        <v>171</v>
      </c>
    </row>
    <row r="192" spans="1:17" ht="12.75" customHeight="1">
      <c r="A192" s="67" t="s">
        <v>128</v>
      </c>
      <c r="B192" s="59"/>
      <c r="C192" s="59"/>
      <c r="D192" s="59"/>
      <c r="E192" s="59"/>
      <c r="F192" s="59"/>
      <c r="G192" s="59"/>
      <c r="H192" s="59"/>
      <c r="I192" s="59"/>
      <c r="J192" s="59"/>
      <c r="K192" s="59"/>
      <c r="L192" s="59"/>
      <c r="M192" s="59"/>
      <c r="N192" s="53"/>
      <c r="O192" s="70"/>
      <c r="P192" s="70"/>
    </row>
    <row r="193" spans="1:17" ht="12.75" customHeight="1">
      <c r="A193" s="71" t="s">
        <v>204</v>
      </c>
      <c r="B193" s="23">
        <v>0</v>
      </c>
      <c r="C193" s="23">
        <v>0</v>
      </c>
      <c r="D193" s="23">
        <v>10</v>
      </c>
      <c r="E193" s="23">
        <v>37</v>
      </c>
      <c r="F193" s="23">
        <v>28</v>
      </c>
      <c r="G193" s="23">
        <v>40</v>
      </c>
      <c r="H193" s="23">
        <v>12</v>
      </c>
      <c r="I193" s="23">
        <v>15</v>
      </c>
      <c r="J193" s="23">
        <v>0</v>
      </c>
      <c r="K193" s="23">
        <v>0</v>
      </c>
      <c r="L193" s="23">
        <v>0</v>
      </c>
      <c r="M193" s="23">
        <v>0</v>
      </c>
      <c r="N193" s="73">
        <f>SUM(B193:M193)</f>
        <v>142</v>
      </c>
      <c r="O193" s="74">
        <v>0</v>
      </c>
      <c r="P193" s="76" t="s">
        <v>228</v>
      </c>
    </row>
    <row r="194" spans="1:17" ht="12.75" customHeight="1">
      <c r="A194" s="2"/>
      <c r="B194" s="86"/>
      <c r="C194" s="86"/>
      <c r="D194" s="86"/>
      <c r="E194" s="86"/>
      <c r="F194" s="86"/>
      <c r="G194" s="86"/>
      <c r="H194" s="86"/>
      <c r="I194" s="86"/>
      <c r="J194" s="86"/>
      <c r="K194" s="86"/>
      <c r="L194" s="86"/>
      <c r="M194" s="86"/>
      <c r="N194" s="87"/>
      <c r="O194" s="75"/>
      <c r="P194" s="75"/>
    </row>
    <row r="195" spans="1:17" ht="12.75" customHeight="1">
      <c r="A195" s="5"/>
      <c r="B195" s="88"/>
      <c r="C195" s="88"/>
      <c r="D195" s="88"/>
      <c r="E195" s="88"/>
      <c r="F195" s="88"/>
      <c r="G195" s="88"/>
      <c r="H195" s="88"/>
      <c r="I195" s="88"/>
      <c r="J195" s="88"/>
      <c r="K195" s="88"/>
      <c r="L195" s="88"/>
      <c r="M195" s="88"/>
      <c r="N195" s="89"/>
      <c r="O195" s="90"/>
      <c r="P195" s="90"/>
    </row>
    <row r="196" spans="1:17" ht="12.75" customHeight="1">
      <c r="A196" s="58"/>
      <c r="B196" s="59">
        <v>39995</v>
      </c>
      <c r="C196" s="59">
        <v>40026</v>
      </c>
      <c r="D196" s="59">
        <v>40057</v>
      </c>
      <c r="E196" s="59">
        <v>40087</v>
      </c>
      <c r="F196" s="59">
        <v>40118</v>
      </c>
      <c r="G196" s="59">
        <v>40148</v>
      </c>
      <c r="H196" s="59">
        <v>40179</v>
      </c>
      <c r="I196" s="59">
        <v>40210</v>
      </c>
      <c r="J196" s="59">
        <v>40238</v>
      </c>
      <c r="K196" s="59">
        <v>40269</v>
      </c>
      <c r="L196" s="59">
        <v>40299</v>
      </c>
      <c r="M196" s="59">
        <v>40330</v>
      </c>
      <c r="N196" s="60" t="s">
        <v>367</v>
      </c>
      <c r="O196" s="61" t="s">
        <v>166</v>
      </c>
      <c r="P196" s="61" t="s">
        <v>171</v>
      </c>
    </row>
    <row r="197" spans="1:17" ht="12.75" customHeight="1">
      <c r="A197" s="67" t="s">
        <v>257</v>
      </c>
      <c r="B197" s="59"/>
      <c r="C197" s="59"/>
      <c r="D197" s="59"/>
      <c r="E197" s="59"/>
      <c r="F197" s="59"/>
      <c r="G197" s="59"/>
      <c r="H197" s="59"/>
      <c r="I197" s="59"/>
      <c r="J197" s="59"/>
      <c r="K197" s="59"/>
      <c r="L197" s="59"/>
      <c r="M197" s="59"/>
      <c r="N197" s="53"/>
      <c r="O197" s="70"/>
      <c r="P197" s="70"/>
    </row>
    <row r="198" spans="1:17" ht="12.75" customHeight="1">
      <c r="A198" s="71" t="s">
        <v>204</v>
      </c>
      <c r="B198" s="23">
        <v>0</v>
      </c>
      <c r="C198" s="23">
        <v>0</v>
      </c>
      <c r="D198" s="23">
        <v>16</v>
      </c>
      <c r="E198" s="23">
        <v>39</v>
      </c>
      <c r="F198" s="23">
        <v>29</v>
      </c>
      <c r="G198" s="23">
        <v>40</v>
      </c>
      <c r="H198" s="23">
        <v>9</v>
      </c>
      <c r="I198" s="23">
        <v>9</v>
      </c>
      <c r="J198" s="23">
        <v>0</v>
      </c>
      <c r="K198" s="23">
        <v>0</v>
      </c>
      <c r="L198" s="23">
        <v>0</v>
      </c>
      <c r="M198" s="23">
        <v>0</v>
      </c>
      <c r="N198" s="73">
        <f>SUM(B198:M198)</f>
        <v>142</v>
      </c>
      <c r="O198" s="74">
        <v>0</v>
      </c>
      <c r="P198" s="76" t="s">
        <v>228</v>
      </c>
    </row>
    <row r="199" spans="1:17" ht="12.75" customHeight="1">
      <c r="A199" s="2"/>
      <c r="B199" s="86"/>
      <c r="C199" s="86"/>
      <c r="D199" s="86"/>
      <c r="E199" s="86"/>
      <c r="F199" s="86"/>
      <c r="G199" s="86"/>
      <c r="H199" s="86"/>
      <c r="I199" s="86"/>
      <c r="J199" s="86"/>
      <c r="K199" s="86"/>
      <c r="L199" s="86"/>
      <c r="M199" s="86"/>
      <c r="N199" s="87"/>
      <c r="O199" s="75"/>
      <c r="P199" s="75"/>
    </row>
    <row r="200" spans="1:17" ht="12.75" customHeight="1">
      <c r="A200" s="5"/>
      <c r="B200" s="88"/>
      <c r="C200" s="88"/>
      <c r="D200" s="88"/>
      <c r="E200" s="88"/>
      <c r="F200" s="88"/>
      <c r="G200" s="88"/>
      <c r="H200" s="88"/>
      <c r="I200" s="88"/>
      <c r="J200" s="88"/>
      <c r="K200" s="88"/>
      <c r="L200" s="88"/>
      <c r="M200" s="88"/>
      <c r="N200" s="89"/>
      <c r="O200" s="90"/>
      <c r="P200" s="90"/>
    </row>
    <row r="201" spans="1:17" ht="12.75" customHeight="1">
      <c r="A201" s="58"/>
      <c r="B201" s="59">
        <v>39995</v>
      </c>
      <c r="C201" s="59">
        <v>40026</v>
      </c>
      <c r="D201" s="59">
        <v>40057</v>
      </c>
      <c r="E201" s="59">
        <v>40087</v>
      </c>
      <c r="F201" s="59">
        <v>40118</v>
      </c>
      <c r="G201" s="59">
        <v>40148</v>
      </c>
      <c r="H201" s="59">
        <v>40179</v>
      </c>
      <c r="I201" s="59">
        <v>40210</v>
      </c>
      <c r="J201" s="59">
        <v>40238</v>
      </c>
      <c r="K201" s="59">
        <v>40269</v>
      </c>
      <c r="L201" s="59">
        <v>40299</v>
      </c>
      <c r="M201" s="59">
        <v>40330</v>
      </c>
      <c r="N201" s="60" t="s">
        <v>367</v>
      </c>
      <c r="O201" s="61" t="s">
        <v>166</v>
      </c>
      <c r="P201" s="61" t="s">
        <v>171</v>
      </c>
    </row>
    <row r="202" spans="1:17" ht="12.75" customHeight="1">
      <c r="A202" s="67" t="s">
        <v>288</v>
      </c>
      <c r="B202" s="59"/>
      <c r="C202" s="59"/>
      <c r="D202" s="59"/>
      <c r="E202" s="59"/>
      <c r="F202" s="59"/>
      <c r="G202" s="59"/>
      <c r="H202" s="59"/>
      <c r="I202" s="59"/>
      <c r="J202" s="59"/>
      <c r="K202" s="59"/>
      <c r="L202" s="59"/>
      <c r="M202" s="59"/>
      <c r="N202" s="53"/>
      <c r="O202" s="70"/>
      <c r="P202" s="70"/>
    </row>
    <row r="203" spans="1:17" ht="12.75" customHeight="1">
      <c r="A203" s="71" t="s">
        <v>204</v>
      </c>
      <c r="B203" s="23">
        <v>0</v>
      </c>
      <c r="C203" s="23">
        <v>0</v>
      </c>
      <c r="D203" s="23">
        <v>10</v>
      </c>
      <c r="E203" s="23">
        <v>37</v>
      </c>
      <c r="F203" s="23">
        <v>28</v>
      </c>
      <c r="G203" s="23">
        <v>40</v>
      </c>
      <c r="H203" s="23">
        <v>11</v>
      </c>
      <c r="I203" s="23">
        <v>16</v>
      </c>
      <c r="J203" s="23">
        <v>0</v>
      </c>
      <c r="K203" s="23">
        <v>0</v>
      </c>
      <c r="L203" s="23">
        <v>0</v>
      </c>
      <c r="M203" s="23">
        <v>0</v>
      </c>
      <c r="N203" s="73">
        <f>SUM(B203:M203)</f>
        <v>142</v>
      </c>
      <c r="O203" s="74">
        <v>0</v>
      </c>
      <c r="P203" s="76" t="s">
        <v>228</v>
      </c>
    </row>
    <row r="204" spans="1:17" ht="12.75" customHeight="1">
      <c r="A204" s="2"/>
      <c r="B204" s="86"/>
      <c r="C204" s="86"/>
      <c r="D204" s="86"/>
      <c r="E204" s="86"/>
      <c r="F204" s="86"/>
      <c r="G204" s="86"/>
      <c r="H204" s="86"/>
      <c r="I204" s="86"/>
      <c r="J204" s="86"/>
      <c r="K204" s="86"/>
      <c r="L204" s="86"/>
      <c r="M204" s="86"/>
      <c r="N204" s="87"/>
      <c r="O204" s="75"/>
      <c r="P204" s="75"/>
    </row>
    <row r="205" spans="1:17" ht="12.75" customHeight="1">
      <c r="A205" s="5"/>
      <c r="B205" s="88"/>
      <c r="C205" s="88"/>
      <c r="D205" s="88"/>
      <c r="E205" s="88"/>
      <c r="F205" s="88"/>
      <c r="G205" s="88"/>
      <c r="H205" s="88"/>
      <c r="I205" s="88"/>
      <c r="J205" s="88"/>
      <c r="K205" s="88"/>
      <c r="L205" s="88"/>
      <c r="M205" s="88"/>
      <c r="N205" s="89"/>
      <c r="O205" s="90"/>
      <c r="P205" s="90"/>
    </row>
    <row r="206" spans="1:17" ht="24.75" customHeight="1">
      <c r="A206" s="58"/>
      <c r="B206" s="59">
        <v>39995</v>
      </c>
      <c r="C206" s="59">
        <v>40026</v>
      </c>
      <c r="D206" s="59">
        <v>40057</v>
      </c>
      <c r="E206" s="59">
        <v>40087</v>
      </c>
      <c r="F206" s="59">
        <v>40118</v>
      </c>
      <c r="G206" s="59">
        <v>40148</v>
      </c>
      <c r="H206" s="59">
        <v>40179</v>
      </c>
      <c r="I206" s="59">
        <v>40210</v>
      </c>
      <c r="J206" s="59">
        <v>40238</v>
      </c>
      <c r="K206" s="59">
        <v>40269</v>
      </c>
      <c r="L206" s="59">
        <v>40299</v>
      </c>
      <c r="M206" s="59">
        <v>40330</v>
      </c>
      <c r="N206" s="60" t="s">
        <v>367</v>
      </c>
      <c r="O206" s="61" t="s">
        <v>166</v>
      </c>
      <c r="P206" s="61" t="s">
        <v>171</v>
      </c>
      <c r="Q206" s="2"/>
    </row>
    <row r="207" spans="1:17" ht="12.75" customHeight="1">
      <c r="A207" s="67" t="s">
        <v>147</v>
      </c>
      <c r="B207" s="59"/>
      <c r="C207" s="59"/>
      <c r="D207" s="59"/>
      <c r="E207" s="59"/>
      <c r="F207" s="59"/>
      <c r="G207" s="59"/>
      <c r="H207" s="59"/>
      <c r="I207" s="59"/>
      <c r="J207" s="59"/>
      <c r="K207" s="59"/>
      <c r="L207" s="59"/>
      <c r="M207" s="59"/>
      <c r="N207" s="53"/>
      <c r="O207" s="70"/>
      <c r="P207" s="70"/>
    </row>
    <row r="208" spans="1:17" ht="12.75" customHeight="1">
      <c r="A208" s="71" t="s">
        <v>253</v>
      </c>
      <c r="B208" s="104">
        <f>89+926</f>
        <v>1015</v>
      </c>
      <c r="C208" s="104">
        <f>76+364</f>
        <v>440</v>
      </c>
      <c r="D208" s="104">
        <f>95+1258</f>
        <v>1353</v>
      </c>
      <c r="E208" s="104">
        <f>141+2322</f>
        <v>2463</v>
      </c>
      <c r="F208" s="104">
        <f>1387+2034</f>
        <v>3421</v>
      </c>
      <c r="G208" s="12">
        <v>1650</v>
      </c>
      <c r="H208" s="12">
        <v>326</v>
      </c>
      <c r="I208" s="12">
        <v>2295</v>
      </c>
      <c r="J208" s="12">
        <v>2398</v>
      </c>
      <c r="K208" s="12">
        <v>2846</v>
      </c>
      <c r="L208" s="12">
        <v>955</v>
      </c>
      <c r="M208" s="12">
        <v>828</v>
      </c>
      <c r="N208" s="73">
        <f>SUM(B208:M208)</f>
        <v>19990</v>
      </c>
      <c r="O208" s="74"/>
      <c r="P208" s="75"/>
    </row>
    <row r="209" spans="1:16" ht="12.75" customHeight="1">
      <c r="A209" s="71" t="s">
        <v>204</v>
      </c>
      <c r="B209" s="23">
        <f>1389+5027</f>
        <v>6416</v>
      </c>
      <c r="C209" s="23">
        <f>977+2348</f>
        <v>3325</v>
      </c>
      <c r="D209" s="23">
        <f>1700+8429</f>
        <v>10129</v>
      </c>
      <c r="E209" s="23">
        <f>2442+18421</f>
        <v>20863</v>
      </c>
      <c r="F209" s="23">
        <f>1387+17609</f>
        <v>18996</v>
      </c>
      <c r="G209" s="23">
        <v>14782</v>
      </c>
      <c r="H209" s="23">
        <v>1150</v>
      </c>
      <c r="I209" s="23">
        <v>5967</v>
      </c>
      <c r="J209" s="23">
        <v>6673</v>
      </c>
      <c r="K209" s="23">
        <v>7461</v>
      </c>
      <c r="L209" s="23">
        <v>3155</v>
      </c>
      <c r="M209" s="23">
        <v>2404</v>
      </c>
      <c r="N209" s="73">
        <f>SUM(B209:M209)</f>
        <v>101321</v>
      </c>
      <c r="O209" s="74">
        <f>(((((((((((O8+O48)+O53)+O73)+O93)+O113)+O118)+O128)+O138)+O148)+O153)+O168)+O183</f>
        <v>71187.8</v>
      </c>
      <c r="P209" s="75">
        <f>O209/N209</f>
        <v>0.70259669762438193</v>
      </c>
    </row>
    <row r="210" spans="1:16" ht="12.75" customHeight="1">
      <c r="A210" s="2"/>
      <c r="B210" s="190" t="s">
        <v>368</v>
      </c>
      <c r="C210" s="183"/>
      <c r="D210" s="183"/>
      <c r="E210" s="183"/>
      <c r="F210" s="183"/>
      <c r="G210" s="183"/>
      <c r="H210" s="183"/>
      <c r="I210" s="183"/>
      <c r="J210" s="183"/>
      <c r="K210" s="183"/>
      <c r="L210" s="183"/>
      <c r="M210" s="183"/>
      <c r="N210" s="183"/>
      <c r="O210" s="75"/>
      <c r="P210" s="75"/>
    </row>
    <row r="211" spans="1:16" ht="12.75" customHeight="1">
      <c r="A211" s="2"/>
      <c r="B211" s="105"/>
      <c r="C211" s="105"/>
      <c r="D211" s="105"/>
      <c r="E211" s="105"/>
      <c r="F211" s="105"/>
      <c r="G211" s="105"/>
      <c r="H211" s="105"/>
      <c r="I211" s="105"/>
      <c r="J211" s="105"/>
      <c r="K211" s="105"/>
      <c r="L211" s="105"/>
      <c r="M211" s="105"/>
      <c r="N211" s="105"/>
      <c r="O211" s="2"/>
      <c r="P211" s="2"/>
    </row>
  </sheetData>
  <mergeCells count="12">
    <mergeCell ref="A82:B82"/>
    <mergeCell ref="A102:B102"/>
    <mergeCell ref="A107:D107"/>
    <mergeCell ref="A112:B112"/>
    <mergeCell ref="A127:B127"/>
    <mergeCell ref="B210:N210"/>
    <mergeCell ref="A32:B32"/>
    <mergeCell ref="A37:B37"/>
    <mergeCell ref="A42:B42"/>
    <mergeCell ref="A62:C62"/>
    <mergeCell ref="A74:D74"/>
    <mergeCell ref="A77:B77"/>
  </mergeCells>
  <pageMargins left="0.75" right="0.75" top="1" bottom="1"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dimension ref="A1:Q197"/>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1.42578125" customWidth="1"/>
    <col min="2" max="14" width="8.5703125" customWidth="1"/>
    <col min="15" max="16" width="10.85546875" customWidth="1"/>
    <col min="17" max="17" width="9.140625" customWidth="1"/>
  </cols>
  <sheetData>
    <row r="1" spans="1:17" ht="19.5" customHeight="1">
      <c r="A1" s="178" t="s">
        <v>164</v>
      </c>
      <c r="B1" s="179"/>
      <c r="C1" s="179"/>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c r="P3" s="2"/>
    </row>
    <row r="4" spans="1:17" ht="12.75" customHeight="1">
      <c r="A4" s="2" t="s">
        <v>18</v>
      </c>
      <c r="B4" s="2" t="s">
        <v>187</v>
      </c>
      <c r="O4" s="2"/>
      <c r="P4" s="2"/>
    </row>
    <row r="5" spans="1:17" ht="12.75" customHeight="1">
      <c r="A5" s="5"/>
      <c r="B5" s="6"/>
      <c r="C5" s="6"/>
      <c r="D5" s="6"/>
      <c r="E5" s="6"/>
      <c r="F5" s="6"/>
      <c r="G5" s="6"/>
      <c r="H5" s="6"/>
      <c r="I5" s="6"/>
      <c r="J5" s="6"/>
      <c r="K5" s="6"/>
      <c r="L5" s="6"/>
      <c r="M5" s="6"/>
      <c r="N5" s="6"/>
      <c r="O5" s="5"/>
      <c r="P5" s="5"/>
    </row>
    <row r="6" spans="1:17"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7" ht="12.75" customHeight="1">
      <c r="A7" s="186" t="s">
        <v>355</v>
      </c>
      <c r="B7" s="187"/>
      <c r="C7" s="187"/>
      <c r="D7" s="187"/>
      <c r="E7" s="59"/>
      <c r="F7" s="59"/>
      <c r="G7" s="59"/>
      <c r="H7" s="59"/>
      <c r="I7" s="59"/>
      <c r="J7" s="59"/>
      <c r="K7" s="59"/>
      <c r="L7" s="59"/>
      <c r="M7" s="59"/>
      <c r="N7" s="53"/>
      <c r="O7" s="67"/>
      <c r="P7" s="106"/>
    </row>
    <row r="8" spans="1:17" ht="12.75" customHeight="1">
      <c r="A8" s="71" t="s">
        <v>253</v>
      </c>
      <c r="B8" s="33">
        <v>1739</v>
      </c>
      <c r="C8" s="33">
        <v>472</v>
      </c>
      <c r="D8" s="23">
        <v>1942</v>
      </c>
      <c r="E8" s="23">
        <v>5515</v>
      </c>
      <c r="F8" s="23">
        <v>5822</v>
      </c>
      <c r="G8" s="23">
        <v>3360</v>
      </c>
      <c r="H8" s="23">
        <v>721</v>
      </c>
      <c r="I8" s="23">
        <v>5065</v>
      </c>
      <c r="J8" s="23">
        <v>6893</v>
      </c>
      <c r="K8" s="23">
        <v>7322</v>
      </c>
      <c r="L8" s="23">
        <v>1676</v>
      </c>
      <c r="M8" s="23">
        <v>1704</v>
      </c>
      <c r="N8" s="73">
        <f>SUM(B8:M8)</f>
        <v>42231</v>
      </c>
      <c r="O8" s="10"/>
      <c r="P8" s="76"/>
    </row>
    <row r="9" spans="1:17" ht="12.75" customHeight="1">
      <c r="A9" s="71" t="s">
        <v>204</v>
      </c>
      <c r="B9" s="23">
        <v>6283</v>
      </c>
      <c r="C9" s="23">
        <v>1738</v>
      </c>
      <c r="D9" s="23">
        <v>5827</v>
      </c>
      <c r="E9" s="23">
        <v>20319</v>
      </c>
      <c r="F9" s="23">
        <v>18168</v>
      </c>
      <c r="G9" s="23">
        <v>10577</v>
      </c>
      <c r="H9" s="23">
        <v>1919</v>
      </c>
      <c r="I9" s="23">
        <v>20656</v>
      </c>
      <c r="J9" s="23">
        <v>26711</v>
      </c>
      <c r="K9" s="23">
        <v>23469</v>
      </c>
      <c r="L9" s="23">
        <v>5666</v>
      </c>
      <c r="M9" s="23">
        <v>5730</v>
      </c>
      <c r="N9" s="73">
        <f>SUM(B9:M9)</f>
        <v>147063</v>
      </c>
      <c r="O9" s="107">
        <v>0</v>
      </c>
      <c r="P9" s="76" t="s">
        <v>228</v>
      </c>
    </row>
    <row r="10" spans="1:17" ht="12.75" customHeight="1">
      <c r="A10" s="2"/>
      <c r="B10" s="43"/>
      <c r="C10" s="43"/>
      <c r="D10" s="43"/>
      <c r="E10" s="43"/>
      <c r="F10" s="43"/>
      <c r="G10" s="43"/>
      <c r="H10" s="43"/>
      <c r="I10" s="43"/>
      <c r="J10" s="43"/>
      <c r="K10" s="43"/>
      <c r="L10" s="43"/>
      <c r="M10" s="43"/>
      <c r="N10" s="43"/>
      <c r="O10" s="2"/>
      <c r="P10" s="2"/>
    </row>
    <row r="11" spans="1:17" ht="12.75" customHeight="1">
      <c r="A11" s="5"/>
      <c r="B11" s="6"/>
      <c r="C11" s="6"/>
      <c r="D11" s="6"/>
      <c r="E11" s="6"/>
      <c r="F11" s="6"/>
      <c r="G11" s="6"/>
      <c r="H11" s="6"/>
      <c r="I11" s="6"/>
      <c r="J11" s="6"/>
      <c r="K11" s="6"/>
      <c r="L11" s="6"/>
      <c r="M11" s="6"/>
      <c r="N11" s="6"/>
      <c r="O11" s="5"/>
      <c r="P11" s="5"/>
    </row>
    <row r="12" spans="1:17" ht="24.75" customHeight="1">
      <c r="A12" s="58"/>
      <c r="B12" s="59">
        <v>39995</v>
      </c>
      <c r="C12" s="59">
        <v>40026</v>
      </c>
      <c r="D12" s="59">
        <v>40057</v>
      </c>
      <c r="E12" s="59">
        <v>40087</v>
      </c>
      <c r="F12" s="59">
        <v>40118</v>
      </c>
      <c r="G12" s="59">
        <v>40148</v>
      </c>
      <c r="H12" s="59">
        <v>40179</v>
      </c>
      <c r="I12" s="59">
        <v>40210</v>
      </c>
      <c r="J12" s="59">
        <v>40238</v>
      </c>
      <c r="K12" s="59">
        <v>40269</v>
      </c>
      <c r="L12" s="59">
        <v>40299</v>
      </c>
      <c r="M12" s="59">
        <v>40330</v>
      </c>
      <c r="N12" s="60" t="s">
        <v>367</v>
      </c>
      <c r="O12" s="61" t="s">
        <v>166</v>
      </c>
      <c r="P12" s="61" t="s">
        <v>171</v>
      </c>
      <c r="Q12" s="2"/>
    </row>
    <row r="13" spans="1:17" ht="12.75" customHeight="1">
      <c r="A13" s="67" t="s">
        <v>224</v>
      </c>
      <c r="B13" s="59"/>
      <c r="C13" s="59"/>
      <c r="D13" s="59"/>
      <c r="E13" s="59"/>
      <c r="F13" s="59"/>
      <c r="G13" s="59"/>
      <c r="H13" s="59"/>
      <c r="I13" s="59"/>
      <c r="J13" s="59"/>
      <c r="K13" s="59"/>
      <c r="L13" s="59"/>
      <c r="M13" s="59"/>
      <c r="N13" s="53"/>
      <c r="O13" s="67"/>
      <c r="P13" s="106"/>
    </row>
    <row r="14" spans="1:17" ht="12.75" customHeight="1">
      <c r="A14" s="71" t="s">
        <v>253</v>
      </c>
      <c r="B14" s="23">
        <v>1951</v>
      </c>
      <c r="C14" s="23">
        <v>606</v>
      </c>
      <c r="D14" s="23">
        <v>1895</v>
      </c>
      <c r="E14" s="23">
        <v>7236</v>
      </c>
      <c r="F14" s="23">
        <v>6006</v>
      </c>
      <c r="G14" s="23">
        <v>3339</v>
      </c>
      <c r="H14" s="23">
        <v>934</v>
      </c>
      <c r="I14" s="23">
        <v>2751</v>
      </c>
      <c r="J14" s="23">
        <v>4140</v>
      </c>
      <c r="K14" s="23">
        <v>5019</v>
      </c>
      <c r="L14" s="23">
        <v>1517</v>
      </c>
      <c r="M14" s="23">
        <v>1498</v>
      </c>
      <c r="N14" s="73">
        <f>SUM(B14:M14)</f>
        <v>36892</v>
      </c>
      <c r="O14" s="10"/>
      <c r="P14" s="76"/>
    </row>
    <row r="15" spans="1:17" ht="12.75" customHeight="1">
      <c r="A15" s="71" t="s">
        <v>204</v>
      </c>
      <c r="B15" s="23">
        <v>6590</v>
      </c>
      <c r="C15" s="23">
        <v>702</v>
      </c>
      <c r="D15" s="23">
        <v>4341</v>
      </c>
      <c r="E15" s="23">
        <v>29174</v>
      </c>
      <c r="F15" s="23">
        <v>15615</v>
      </c>
      <c r="G15" s="23">
        <v>7872</v>
      </c>
      <c r="H15" s="23">
        <v>1240</v>
      </c>
      <c r="I15" s="23">
        <v>6777</v>
      </c>
      <c r="J15" s="23">
        <v>10643</v>
      </c>
      <c r="K15" s="23">
        <v>10549</v>
      </c>
      <c r="L15" s="23">
        <v>2713</v>
      </c>
      <c r="M15" s="23">
        <v>1910</v>
      </c>
      <c r="N15" s="73">
        <f>SUM(B15:M15)</f>
        <v>98126</v>
      </c>
      <c r="O15" s="107">
        <v>20953</v>
      </c>
      <c r="P15" s="76">
        <f>O15/N15</f>
        <v>0.2135315818437519</v>
      </c>
    </row>
    <row r="16" spans="1:17" ht="12.75" customHeight="1">
      <c r="A16" s="2"/>
      <c r="B16" s="86"/>
      <c r="C16" s="86"/>
      <c r="D16" s="86"/>
      <c r="E16" s="86"/>
      <c r="F16" s="86"/>
      <c r="G16" s="86"/>
      <c r="H16" s="86"/>
      <c r="I16" s="86"/>
      <c r="J16" s="86"/>
      <c r="K16" s="86"/>
      <c r="L16" s="86"/>
      <c r="M16" s="86"/>
      <c r="N16" s="87"/>
      <c r="O16" s="76"/>
      <c r="P16" s="76"/>
    </row>
    <row r="17" spans="1:17" ht="12.75" customHeight="1">
      <c r="A17" s="5"/>
      <c r="B17" s="88"/>
      <c r="C17" s="88"/>
      <c r="D17" s="88"/>
      <c r="E17" s="88"/>
      <c r="F17" s="88"/>
      <c r="G17" s="88"/>
      <c r="H17" s="88"/>
      <c r="I17" s="88"/>
      <c r="J17" s="88"/>
      <c r="K17" s="88"/>
      <c r="L17" s="88"/>
      <c r="M17" s="88"/>
      <c r="N17" s="89"/>
      <c r="O17" s="102"/>
      <c r="P17" s="102"/>
    </row>
    <row r="18" spans="1:17" ht="24.75" customHeight="1">
      <c r="A18" s="58"/>
      <c r="B18" s="59">
        <v>39995</v>
      </c>
      <c r="C18" s="59">
        <v>40026</v>
      </c>
      <c r="D18" s="59">
        <v>40057</v>
      </c>
      <c r="E18" s="59">
        <v>40087</v>
      </c>
      <c r="F18" s="59">
        <v>40118</v>
      </c>
      <c r="G18" s="59">
        <v>40148</v>
      </c>
      <c r="H18" s="59">
        <v>40179</v>
      </c>
      <c r="I18" s="59">
        <v>40210</v>
      </c>
      <c r="J18" s="59">
        <v>40238</v>
      </c>
      <c r="K18" s="59">
        <v>40269</v>
      </c>
      <c r="L18" s="59">
        <v>40299</v>
      </c>
      <c r="M18" s="59">
        <v>40330</v>
      </c>
      <c r="N18" s="60" t="s">
        <v>367</v>
      </c>
      <c r="O18" s="61" t="s">
        <v>166</v>
      </c>
      <c r="P18" s="61" t="s">
        <v>171</v>
      </c>
      <c r="Q18" s="2"/>
    </row>
    <row r="19" spans="1:17" ht="12.75" customHeight="1">
      <c r="A19" s="67" t="s">
        <v>49</v>
      </c>
      <c r="B19" s="59"/>
      <c r="C19" s="59"/>
      <c r="D19" s="59"/>
      <c r="E19" s="59"/>
      <c r="F19" s="59"/>
      <c r="G19" s="59"/>
      <c r="H19" s="59"/>
      <c r="I19" s="59"/>
      <c r="J19" s="59"/>
      <c r="K19" s="59"/>
      <c r="L19" s="59"/>
      <c r="M19" s="59"/>
      <c r="N19" s="53"/>
      <c r="O19" s="103"/>
      <c r="P19" s="103"/>
    </row>
    <row r="20" spans="1:17" ht="12.75" customHeight="1">
      <c r="A20" s="71" t="s">
        <v>253</v>
      </c>
      <c r="B20" s="23">
        <v>84</v>
      </c>
      <c r="C20" s="23">
        <v>22</v>
      </c>
      <c r="D20" s="23">
        <v>80</v>
      </c>
      <c r="E20" s="23">
        <v>246</v>
      </c>
      <c r="F20" s="23">
        <v>266</v>
      </c>
      <c r="G20" s="23">
        <v>217</v>
      </c>
      <c r="H20" s="23">
        <v>46</v>
      </c>
      <c r="I20" s="23">
        <v>203</v>
      </c>
      <c r="J20" s="23">
        <v>391</v>
      </c>
      <c r="K20" s="23">
        <v>314</v>
      </c>
      <c r="L20" s="23">
        <v>131</v>
      </c>
      <c r="M20" s="23">
        <v>97</v>
      </c>
      <c r="N20" s="73">
        <f>SUM(B20:M20)</f>
        <v>2097</v>
      </c>
      <c r="O20" s="107"/>
      <c r="P20" s="76"/>
    </row>
    <row r="21" spans="1:17" ht="12.75" customHeight="1">
      <c r="A21" s="71" t="s">
        <v>204</v>
      </c>
      <c r="B21" s="23">
        <v>585</v>
      </c>
      <c r="C21" s="23">
        <v>69</v>
      </c>
      <c r="D21" s="23">
        <v>345</v>
      </c>
      <c r="E21" s="23">
        <v>1105</v>
      </c>
      <c r="F21" s="23">
        <v>983</v>
      </c>
      <c r="G21" s="23">
        <v>1160</v>
      </c>
      <c r="H21" s="23">
        <v>199</v>
      </c>
      <c r="I21" s="23">
        <v>736</v>
      </c>
      <c r="J21" s="23">
        <v>1580</v>
      </c>
      <c r="K21" s="23">
        <v>1259</v>
      </c>
      <c r="L21" s="23">
        <v>583</v>
      </c>
      <c r="M21" s="23">
        <v>358</v>
      </c>
      <c r="N21" s="73">
        <f>SUM(B21:M21)</f>
        <v>8962</v>
      </c>
      <c r="O21" s="107">
        <v>7881</v>
      </c>
      <c r="P21" s="76">
        <f>O21/N21</f>
        <v>0.87937960276723948</v>
      </c>
    </row>
    <row r="22" spans="1:17" ht="12.75" customHeight="1">
      <c r="A22" s="2"/>
      <c r="B22" s="86"/>
      <c r="C22" s="86"/>
      <c r="D22" s="86"/>
      <c r="E22" s="86"/>
      <c r="F22" s="86"/>
      <c r="G22" s="86"/>
      <c r="H22" s="86"/>
      <c r="I22" s="86"/>
      <c r="J22" s="86"/>
      <c r="K22" s="86"/>
      <c r="L22" s="86"/>
      <c r="M22" s="86"/>
      <c r="N22" s="87"/>
      <c r="O22" s="76"/>
      <c r="P22" s="76"/>
    </row>
    <row r="23" spans="1:17" ht="12.75" customHeight="1">
      <c r="A23" s="5"/>
      <c r="B23" s="88"/>
      <c r="C23" s="88"/>
      <c r="D23" s="88"/>
      <c r="E23" s="88"/>
      <c r="F23" s="88"/>
      <c r="G23" s="88"/>
      <c r="H23" s="88"/>
      <c r="I23" s="88"/>
      <c r="J23" s="88"/>
      <c r="K23" s="88"/>
      <c r="L23" s="88"/>
      <c r="M23" s="88"/>
      <c r="N23" s="89"/>
      <c r="O23" s="102"/>
      <c r="P23" s="102"/>
    </row>
    <row r="24" spans="1:17" ht="12.75" customHeight="1">
      <c r="A24" s="58"/>
      <c r="B24" s="59">
        <v>39995</v>
      </c>
      <c r="C24" s="59">
        <v>40026</v>
      </c>
      <c r="D24" s="59">
        <v>40057</v>
      </c>
      <c r="E24" s="59">
        <v>40087</v>
      </c>
      <c r="F24" s="59">
        <v>40118</v>
      </c>
      <c r="G24" s="59">
        <v>40148</v>
      </c>
      <c r="H24" s="59">
        <v>40179</v>
      </c>
      <c r="I24" s="59">
        <v>40210</v>
      </c>
      <c r="J24" s="59">
        <v>40238</v>
      </c>
      <c r="K24" s="59">
        <v>40269</v>
      </c>
      <c r="L24" s="59">
        <v>40299</v>
      </c>
      <c r="M24" s="59">
        <v>40330</v>
      </c>
      <c r="N24" s="60" t="s">
        <v>367</v>
      </c>
      <c r="O24" s="61" t="s">
        <v>166</v>
      </c>
      <c r="P24" s="61" t="s">
        <v>171</v>
      </c>
    </row>
    <row r="25" spans="1:17" ht="12.75" customHeight="1">
      <c r="A25" s="67" t="s">
        <v>205</v>
      </c>
      <c r="B25" s="59"/>
      <c r="C25" s="59"/>
      <c r="D25" s="59"/>
      <c r="E25" s="59"/>
      <c r="F25" s="59"/>
      <c r="G25" s="59"/>
      <c r="H25" s="59"/>
      <c r="I25" s="59"/>
      <c r="J25" s="59"/>
      <c r="K25" s="59"/>
      <c r="L25" s="59"/>
      <c r="M25" s="59"/>
      <c r="N25" s="53"/>
      <c r="O25" s="103"/>
      <c r="P25" s="103"/>
    </row>
    <row r="26" spans="1:17" ht="12.75" customHeight="1">
      <c r="A26" s="71" t="s">
        <v>253</v>
      </c>
      <c r="B26" s="23">
        <v>420</v>
      </c>
      <c r="C26" s="23">
        <v>84</v>
      </c>
      <c r="D26" s="23">
        <v>695</v>
      </c>
      <c r="E26" s="23">
        <v>1619</v>
      </c>
      <c r="F26" s="23">
        <v>2251</v>
      </c>
      <c r="G26" s="23">
        <v>870</v>
      </c>
      <c r="H26" s="23">
        <v>228</v>
      </c>
      <c r="I26" s="23">
        <v>1348</v>
      </c>
      <c r="J26" s="23">
        <v>1834</v>
      </c>
      <c r="K26" s="23">
        <v>2347</v>
      </c>
      <c r="L26" s="23">
        <v>436</v>
      </c>
      <c r="M26" s="23">
        <v>348</v>
      </c>
      <c r="N26" s="73">
        <f>SUM(B26:M26)</f>
        <v>12480</v>
      </c>
      <c r="O26" s="107"/>
      <c r="P26" s="76"/>
    </row>
    <row r="27" spans="1:17" ht="12.75" customHeight="1">
      <c r="A27" s="71" t="s">
        <v>204</v>
      </c>
      <c r="B27" s="23">
        <v>1995</v>
      </c>
      <c r="C27" s="23">
        <v>348</v>
      </c>
      <c r="D27" s="23">
        <v>3581</v>
      </c>
      <c r="E27" s="23">
        <v>8895</v>
      </c>
      <c r="F27" s="23">
        <v>12089</v>
      </c>
      <c r="G27" s="23">
        <v>4221</v>
      </c>
      <c r="H27" s="23">
        <v>988</v>
      </c>
      <c r="I27" s="23">
        <v>6126</v>
      </c>
      <c r="J27" s="23">
        <v>9248</v>
      </c>
      <c r="K27" s="23">
        <v>12600</v>
      </c>
      <c r="L27" s="23">
        <v>1996</v>
      </c>
      <c r="M27" s="23">
        <v>1593</v>
      </c>
      <c r="N27" s="73">
        <f>SUM(B27:M27)</f>
        <v>63680</v>
      </c>
      <c r="O27" s="107">
        <v>5870</v>
      </c>
      <c r="P27" s="76">
        <f>O27/N27</f>
        <v>9.217964824120603E-2</v>
      </c>
    </row>
    <row r="28" spans="1:17" ht="12.75" customHeight="1">
      <c r="A28" s="2"/>
      <c r="B28" s="86"/>
      <c r="C28" s="86"/>
      <c r="D28" s="86"/>
      <c r="E28" s="86"/>
      <c r="F28" s="86"/>
      <c r="G28" s="86"/>
      <c r="H28" s="86"/>
      <c r="I28" s="86"/>
      <c r="J28" s="86"/>
      <c r="K28" s="86"/>
      <c r="L28" s="86"/>
      <c r="M28" s="86"/>
      <c r="N28" s="87"/>
      <c r="O28" s="76"/>
      <c r="P28" s="76"/>
    </row>
    <row r="29" spans="1:17" ht="12.75" customHeight="1">
      <c r="A29" s="5"/>
      <c r="B29" s="88"/>
      <c r="C29" s="88"/>
      <c r="D29" s="88"/>
      <c r="E29" s="88"/>
      <c r="F29" s="88"/>
      <c r="G29" s="88"/>
      <c r="H29" s="88"/>
      <c r="I29" s="88"/>
      <c r="J29" s="88"/>
      <c r="K29" s="88"/>
      <c r="L29" s="88"/>
      <c r="M29" s="88"/>
      <c r="N29" s="89"/>
      <c r="O29" s="102"/>
      <c r="P29" s="102"/>
    </row>
    <row r="30" spans="1:17" ht="12.75" customHeight="1">
      <c r="A30" s="58"/>
      <c r="B30" s="59">
        <v>39995</v>
      </c>
      <c r="C30" s="59">
        <v>40026</v>
      </c>
      <c r="D30" s="59">
        <v>40057</v>
      </c>
      <c r="E30" s="59">
        <v>40087</v>
      </c>
      <c r="F30" s="59">
        <v>40118</v>
      </c>
      <c r="G30" s="59">
        <v>40148</v>
      </c>
      <c r="H30" s="59">
        <v>40179</v>
      </c>
      <c r="I30" s="59">
        <v>40210</v>
      </c>
      <c r="J30" s="59">
        <v>40238</v>
      </c>
      <c r="K30" s="59">
        <v>40269</v>
      </c>
      <c r="L30" s="59">
        <v>40299</v>
      </c>
      <c r="M30" s="59">
        <v>40330</v>
      </c>
      <c r="N30" s="60" t="s">
        <v>367</v>
      </c>
      <c r="O30" s="61" t="s">
        <v>166</v>
      </c>
      <c r="P30" s="61" t="s">
        <v>171</v>
      </c>
    </row>
    <row r="31" spans="1:17" ht="12.75" customHeight="1">
      <c r="A31" s="67" t="s">
        <v>196</v>
      </c>
      <c r="B31" s="59"/>
      <c r="C31" s="59"/>
      <c r="D31" s="59"/>
      <c r="E31" s="59"/>
      <c r="F31" s="59"/>
      <c r="G31" s="59"/>
      <c r="H31" s="59"/>
      <c r="I31" s="59"/>
      <c r="J31" s="59"/>
      <c r="K31" s="59"/>
      <c r="L31" s="59"/>
      <c r="M31" s="59"/>
      <c r="N31" s="53"/>
      <c r="O31" s="103"/>
      <c r="P31" s="103"/>
    </row>
    <row r="32" spans="1:17" ht="12.75" customHeight="1">
      <c r="A32" s="71" t="s">
        <v>253</v>
      </c>
      <c r="B32" s="23">
        <v>121</v>
      </c>
      <c r="C32" s="23">
        <v>43</v>
      </c>
      <c r="D32" s="23">
        <v>94</v>
      </c>
      <c r="E32" s="23">
        <v>241</v>
      </c>
      <c r="F32" s="23">
        <v>285</v>
      </c>
      <c r="G32" s="23">
        <v>209</v>
      </c>
      <c r="H32" s="23">
        <v>48</v>
      </c>
      <c r="I32" s="23">
        <v>135</v>
      </c>
      <c r="J32" s="23">
        <v>237</v>
      </c>
      <c r="K32" s="23">
        <v>313</v>
      </c>
      <c r="L32" s="23">
        <v>173</v>
      </c>
      <c r="M32" s="23">
        <v>78</v>
      </c>
      <c r="N32" s="73">
        <f>SUM(B32:M32)</f>
        <v>1977</v>
      </c>
      <c r="O32" s="107"/>
      <c r="P32" s="76"/>
    </row>
    <row r="33" spans="1:17" ht="12.75" customHeight="1">
      <c r="A33" s="71" t="s">
        <v>204</v>
      </c>
      <c r="B33" s="23">
        <v>800</v>
      </c>
      <c r="C33" s="23">
        <v>186</v>
      </c>
      <c r="D33" s="23">
        <v>415</v>
      </c>
      <c r="E33" s="23">
        <v>1096</v>
      </c>
      <c r="F33" s="23">
        <v>1129</v>
      </c>
      <c r="G33" s="23">
        <v>1148</v>
      </c>
      <c r="H33" s="23">
        <v>157</v>
      </c>
      <c r="I33" s="23">
        <v>575</v>
      </c>
      <c r="J33" s="23">
        <v>1175</v>
      </c>
      <c r="K33" s="23">
        <v>1326</v>
      </c>
      <c r="L33" s="23">
        <v>703</v>
      </c>
      <c r="M33" s="23">
        <v>301</v>
      </c>
      <c r="N33" s="73">
        <f>SUM(B33:M33)</f>
        <v>9011</v>
      </c>
      <c r="O33" s="107">
        <v>3255</v>
      </c>
      <c r="P33" s="76">
        <f>O33/N33</f>
        <v>0.36122516923759851</v>
      </c>
    </row>
    <row r="34" spans="1:17" ht="12.75" customHeight="1">
      <c r="A34" s="2"/>
      <c r="B34" s="86"/>
      <c r="C34" s="86"/>
      <c r="D34" s="86"/>
      <c r="E34" s="86"/>
      <c r="F34" s="86"/>
      <c r="G34" s="86"/>
      <c r="H34" s="86"/>
      <c r="I34" s="86"/>
      <c r="J34" s="86"/>
      <c r="K34" s="86"/>
      <c r="L34" s="86"/>
      <c r="M34" s="86"/>
      <c r="N34" s="87"/>
      <c r="O34" s="76"/>
      <c r="P34" s="76"/>
    </row>
    <row r="35" spans="1:17" ht="12.75" customHeight="1">
      <c r="A35" s="5"/>
      <c r="B35" s="88"/>
      <c r="C35" s="88"/>
      <c r="D35" s="88"/>
      <c r="E35" s="88"/>
      <c r="F35" s="88"/>
      <c r="G35" s="88"/>
      <c r="H35" s="88"/>
      <c r="I35" s="88"/>
      <c r="J35" s="88"/>
      <c r="K35" s="88"/>
      <c r="L35" s="88"/>
      <c r="M35" s="88"/>
      <c r="N35" s="89"/>
      <c r="O35" s="102"/>
      <c r="P35" s="102"/>
    </row>
    <row r="36" spans="1:17" ht="12.75" customHeight="1">
      <c r="A36" s="58"/>
      <c r="B36" s="59">
        <v>39995</v>
      </c>
      <c r="C36" s="59">
        <v>40026</v>
      </c>
      <c r="D36" s="59">
        <v>40057</v>
      </c>
      <c r="E36" s="59">
        <v>40087</v>
      </c>
      <c r="F36" s="59">
        <v>40118</v>
      </c>
      <c r="G36" s="59">
        <v>40148</v>
      </c>
      <c r="H36" s="59">
        <v>40179</v>
      </c>
      <c r="I36" s="59">
        <v>40210</v>
      </c>
      <c r="J36" s="59">
        <v>40238</v>
      </c>
      <c r="K36" s="59">
        <v>40269</v>
      </c>
      <c r="L36" s="59">
        <v>40299</v>
      </c>
      <c r="M36" s="59">
        <v>40330</v>
      </c>
      <c r="N36" s="60" t="s">
        <v>367</v>
      </c>
      <c r="O36" s="61" t="s">
        <v>166</v>
      </c>
      <c r="P36" s="61" t="s">
        <v>171</v>
      </c>
    </row>
    <row r="37" spans="1:17" ht="12.75" customHeight="1">
      <c r="A37" s="67" t="s">
        <v>255</v>
      </c>
      <c r="B37" s="59"/>
      <c r="C37" s="59"/>
      <c r="D37" s="59"/>
      <c r="E37" s="59"/>
      <c r="F37" s="59"/>
      <c r="G37" s="59"/>
      <c r="H37" s="59"/>
      <c r="I37" s="59"/>
      <c r="J37" s="59"/>
      <c r="K37" s="59"/>
      <c r="L37" s="59"/>
      <c r="M37" s="59"/>
      <c r="N37" s="53"/>
      <c r="O37" s="103"/>
      <c r="P37" s="103"/>
    </row>
    <row r="38" spans="1:17" ht="12.75" customHeight="1">
      <c r="A38" s="71" t="s">
        <v>253</v>
      </c>
      <c r="B38" s="23">
        <v>69</v>
      </c>
      <c r="C38" s="23">
        <v>28</v>
      </c>
      <c r="D38" s="23">
        <v>70</v>
      </c>
      <c r="E38" s="23">
        <v>218</v>
      </c>
      <c r="F38" s="23">
        <v>222</v>
      </c>
      <c r="G38" s="23">
        <v>203</v>
      </c>
      <c r="H38" s="23">
        <v>38</v>
      </c>
      <c r="I38" s="23">
        <v>127</v>
      </c>
      <c r="J38" s="23">
        <v>216</v>
      </c>
      <c r="K38" s="23">
        <v>241</v>
      </c>
      <c r="L38" s="23">
        <v>77</v>
      </c>
      <c r="M38" s="23">
        <v>51</v>
      </c>
      <c r="N38" s="73">
        <f>SUM(B38:M38)</f>
        <v>1560</v>
      </c>
      <c r="O38" s="107"/>
      <c r="P38" s="76"/>
    </row>
    <row r="39" spans="1:17" ht="12.75" customHeight="1">
      <c r="A39" s="71" t="s">
        <v>204</v>
      </c>
      <c r="B39" s="23">
        <v>486</v>
      </c>
      <c r="C39" s="23">
        <v>93</v>
      </c>
      <c r="D39" s="23">
        <v>293</v>
      </c>
      <c r="E39" s="23">
        <v>1148</v>
      </c>
      <c r="F39" s="23">
        <v>1108</v>
      </c>
      <c r="G39" s="23">
        <v>1267</v>
      </c>
      <c r="H39" s="23">
        <v>195</v>
      </c>
      <c r="I39" s="23">
        <v>681</v>
      </c>
      <c r="J39" s="23">
        <v>1379</v>
      </c>
      <c r="K39" s="23">
        <v>1271</v>
      </c>
      <c r="L39" s="23">
        <v>522</v>
      </c>
      <c r="M39" s="23">
        <v>265</v>
      </c>
      <c r="N39" s="73">
        <f>SUM(B39:M39)</f>
        <v>8708</v>
      </c>
      <c r="O39" s="107">
        <v>0</v>
      </c>
      <c r="P39" s="76" t="s">
        <v>228</v>
      </c>
    </row>
    <row r="40" spans="1:17" ht="12.75" customHeight="1">
      <c r="A40" s="2"/>
      <c r="B40" s="86"/>
      <c r="C40" s="86"/>
      <c r="D40" s="86"/>
      <c r="E40" s="86"/>
      <c r="F40" s="86"/>
      <c r="G40" s="86"/>
      <c r="H40" s="86"/>
      <c r="I40" s="86"/>
      <c r="J40" s="86"/>
      <c r="K40" s="86"/>
      <c r="L40" s="86"/>
      <c r="M40" s="86"/>
      <c r="N40" s="87"/>
      <c r="O40" s="76"/>
      <c r="P40" s="76"/>
    </row>
    <row r="41" spans="1:17" ht="12.75" customHeight="1">
      <c r="A41" s="5"/>
      <c r="B41" s="88"/>
      <c r="C41" s="88"/>
      <c r="D41" s="88"/>
      <c r="E41" s="88"/>
      <c r="F41" s="88"/>
      <c r="G41" s="88"/>
      <c r="H41" s="88"/>
      <c r="I41" s="88"/>
      <c r="J41" s="88"/>
      <c r="K41" s="88"/>
      <c r="L41" s="88"/>
      <c r="M41" s="88"/>
      <c r="N41" s="89"/>
      <c r="O41" s="102"/>
      <c r="P41" s="102"/>
    </row>
    <row r="42" spans="1:17" ht="24.75" customHeight="1">
      <c r="A42" s="58"/>
      <c r="B42" s="59">
        <v>39995</v>
      </c>
      <c r="C42" s="59">
        <v>40026</v>
      </c>
      <c r="D42" s="59">
        <v>40057</v>
      </c>
      <c r="E42" s="59">
        <v>40087</v>
      </c>
      <c r="F42" s="59">
        <v>40118</v>
      </c>
      <c r="G42" s="59">
        <v>40148</v>
      </c>
      <c r="H42" s="59">
        <v>40179</v>
      </c>
      <c r="I42" s="59">
        <v>40210</v>
      </c>
      <c r="J42" s="59">
        <v>40238</v>
      </c>
      <c r="K42" s="59">
        <v>40269</v>
      </c>
      <c r="L42" s="59">
        <v>40299</v>
      </c>
      <c r="M42" s="59">
        <v>40330</v>
      </c>
      <c r="N42" s="60" t="s">
        <v>367</v>
      </c>
      <c r="O42" s="61" t="s">
        <v>166</v>
      </c>
      <c r="P42" s="61" t="s">
        <v>171</v>
      </c>
      <c r="Q42" s="2"/>
    </row>
    <row r="43" spans="1:17" ht="12.75" customHeight="1">
      <c r="A43" s="186" t="s">
        <v>300</v>
      </c>
      <c r="B43" s="187"/>
      <c r="C43" s="59"/>
      <c r="D43" s="59"/>
      <c r="E43" s="59"/>
      <c r="F43" s="59"/>
      <c r="G43" s="59"/>
      <c r="H43" s="59"/>
      <c r="I43" s="59"/>
      <c r="J43" s="59"/>
      <c r="K43" s="59"/>
      <c r="L43" s="59"/>
      <c r="M43" s="59"/>
      <c r="N43" s="53"/>
      <c r="O43" s="103"/>
      <c r="P43" s="103"/>
    </row>
    <row r="44" spans="1:17" ht="12.75" customHeight="1">
      <c r="A44" s="71" t="s">
        <v>253</v>
      </c>
      <c r="B44" s="23">
        <v>70</v>
      </c>
      <c r="C44" s="23">
        <v>21</v>
      </c>
      <c r="D44" s="23">
        <v>57</v>
      </c>
      <c r="E44" s="23">
        <v>178</v>
      </c>
      <c r="F44" s="23">
        <v>209</v>
      </c>
      <c r="G44" s="23">
        <v>241</v>
      </c>
      <c r="H44" s="23">
        <v>35</v>
      </c>
      <c r="I44" s="23">
        <v>103</v>
      </c>
      <c r="J44" s="23">
        <v>193</v>
      </c>
      <c r="K44" s="23">
        <v>242</v>
      </c>
      <c r="L44" s="23">
        <v>98</v>
      </c>
      <c r="M44" s="23">
        <v>44</v>
      </c>
      <c r="N44" s="73">
        <f>SUM(B44:M44)</f>
        <v>1491</v>
      </c>
      <c r="O44" s="10"/>
      <c r="P44" s="2"/>
    </row>
    <row r="45" spans="1:17" ht="12.75" customHeight="1">
      <c r="A45" s="71" t="s">
        <v>204</v>
      </c>
      <c r="B45" s="23">
        <v>476</v>
      </c>
      <c r="C45" s="23">
        <v>80</v>
      </c>
      <c r="D45" s="23">
        <v>204</v>
      </c>
      <c r="E45" s="23">
        <v>740</v>
      </c>
      <c r="F45" s="23">
        <v>805</v>
      </c>
      <c r="G45" s="23">
        <v>1146</v>
      </c>
      <c r="H45" s="23">
        <v>131</v>
      </c>
      <c r="I45" s="23">
        <v>451</v>
      </c>
      <c r="J45" s="23">
        <v>1119</v>
      </c>
      <c r="K45" s="23">
        <v>1022</v>
      </c>
      <c r="L45" s="23">
        <v>595</v>
      </c>
      <c r="M45" s="23">
        <v>161</v>
      </c>
      <c r="N45" s="73">
        <f>SUM(B45:M45)</f>
        <v>6930</v>
      </c>
      <c r="O45" s="107">
        <v>1404</v>
      </c>
      <c r="P45" s="76">
        <f>O45/N45</f>
        <v>0.20259740259740261</v>
      </c>
    </row>
    <row r="46" spans="1:17" ht="12.75" customHeight="1">
      <c r="A46" s="2"/>
      <c r="B46" s="86"/>
      <c r="C46" s="86"/>
      <c r="D46" s="86"/>
      <c r="E46" s="86"/>
      <c r="F46" s="86"/>
      <c r="G46" s="86"/>
      <c r="H46" s="86"/>
      <c r="I46" s="86"/>
      <c r="J46" s="86"/>
      <c r="K46" s="86"/>
      <c r="L46" s="86"/>
      <c r="M46" s="86"/>
      <c r="N46" s="87"/>
      <c r="O46" s="76"/>
      <c r="P46" s="76"/>
    </row>
    <row r="47" spans="1:17" ht="12.75" customHeight="1">
      <c r="A47" s="5"/>
      <c r="B47" s="88"/>
      <c r="C47" s="88"/>
      <c r="D47" s="88"/>
      <c r="E47" s="88"/>
      <c r="F47" s="88"/>
      <c r="G47" s="88"/>
      <c r="H47" s="88"/>
      <c r="I47" s="88"/>
      <c r="J47" s="88"/>
      <c r="K47" s="88"/>
      <c r="L47" s="88"/>
      <c r="M47" s="88"/>
      <c r="N47" s="89"/>
      <c r="O47" s="102"/>
      <c r="P47" s="102"/>
    </row>
    <row r="48" spans="1:17" ht="12.75" customHeight="1">
      <c r="A48" s="58"/>
      <c r="B48" s="59">
        <v>39995</v>
      </c>
      <c r="C48" s="59">
        <v>40026</v>
      </c>
      <c r="D48" s="59">
        <v>40057</v>
      </c>
      <c r="E48" s="59">
        <v>40087</v>
      </c>
      <c r="F48" s="59">
        <v>40118</v>
      </c>
      <c r="G48" s="59">
        <v>40148</v>
      </c>
      <c r="H48" s="59">
        <v>40179</v>
      </c>
      <c r="I48" s="59">
        <v>40210</v>
      </c>
      <c r="J48" s="59">
        <v>40238</v>
      </c>
      <c r="K48" s="59">
        <v>40269</v>
      </c>
      <c r="L48" s="59">
        <v>40299</v>
      </c>
      <c r="M48" s="59">
        <v>40330</v>
      </c>
      <c r="N48" s="60" t="s">
        <v>367</v>
      </c>
      <c r="O48" s="61" t="s">
        <v>166</v>
      </c>
      <c r="P48" s="61" t="s">
        <v>171</v>
      </c>
    </row>
    <row r="49" spans="1:17" ht="12.75" customHeight="1">
      <c r="A49" s="186" t="s">
        <v>396</v>
      </c>
      <c r="B49" s="187"/>
      <c r="C49" s="59"/>
      <c r="D49" s="59"/>
      <c r="E49" s="59"/>
      <c r="F49" s="59"/>
      <c r="G49" s="59"/>
      <c r="H49" s="59"/>
      <c r="I49" s="59"/>
      <c r="J49" s="59"/>
      <c r="K49" s="59"/>
      <c r="L49" s="59"/>
      <c r="M49" s="59"/>
      <c r="N49" s="53"/>
      <c r="O49" s="103"/>
      <c r="P49" s="103"/>
    </row>
    <row r="50" spans="1:17" ht="12.75" customHeight="1">
      <c r="A50" s="71" t="s">
        <v>253</v>
      </c>
      <c r="B50" s="23">
        <v>53</v>
      </c>
      <c r="C50" s="23">
        <v>17</v>
      </c>
      <c r="D50" s="23">
        <v>56</v>
      </c>
      <c r="E50" s="23">
        <v>197</v>
      </c>
      <c r="F50" s="23">
        <v>174</v>
      </c>
      <c r="G50" s="23">
        <v>150</v>
      </c>
      <c r="H50" s="23">
        <v>37</v>
      </c>
      <c r="I50" s="23">
        <v>149</v>
      </c>
      <c r="J50" s="23">
        <v>175</v>
      </c>
      <c r="K50" s="23">
        <v>225</v>
      </c>
      <c r="L50" s="23">
        <v>79</v>
      </c>
      <c r="M50" s="23">
        <v>35</v>
      </c>
      <c r="N50" s="73">
        <f>SUM(B50:M50)</f>
        <v>1347</v>
      </c>
      <c r="O50" s="10"/>
      <c r="P50" s="2"/>
    </row>
    <row r="51" spans="1:17" ht="12.75" customHeight="1">
      <c r="A51" s="71" t="s">
        <v>204</v>
      </c>
      <c r="B51" s="23">
        <v>342</v>
      </c>
      <c r="C51" s="23">
        <v>40</v>
      </c>
      <c r="D51" s="23">
        <v>173</v>
      </c>
      <c r="E51" s="23">
        <v>679</v>
      </c>
      <c r="F51" s="23">
        <v>602</v>
      </c>
      <c r="G51" s="23">
        <v>766</v>
      </c>
      <c r="H51" s="23">
        <v>118</v>
      </c>
      <c r="I51" s="23">
        <v>459</v>
      </c>
      <c r="J51" s="23">
        <v>691</v>
      </c>
      <c r="K51" s="23">
        <v>991</v>
      </c>
      <c r="L51" s="23">
        <v>503</v>
      </c>
      <c r="M51" s="23">
        <v>131</v>
      </c>
      <c r="N51" s="108">
        <f>SUM(B51:M51)</f>
        <v>5495</v>
      </c>
      <c r="O51" s="107">
        <v>6919</v>
      </c>
      <c r="P51" s="76">
        <f>O51/N51</f>
        <v>1.259144676979072</v>
      </c>
    </row>
    <row r="52" spans="1:17" ht="12.75" customHeight="1">
      <c r="A52" s="71" t="s">
        <v>346</v>
      </c>
      <c r="B52" s="23">
        <v>1</v>
      </c>
      <c r="C52" s="23">
        <v>1</v>
      </c>
      <c r="D52" s="23">
        <v>1</v>
      </c>
      <c r="E52" s="23">
        <v>1</v>
      </c>
      <c r="F52" s="23">
        <v>1</v>
      </c>
      <c r="G52" s="23">
        <v>1</v>
      </c>
      <c r="H52" s="23">
        <v>1</v>
      </c>
      <c r="I52" s="23">
        <v>1</v>
      </c>
      <c r="J52" s="23">
        <v>1</v>
      </c>
      <c r="K52" s="23">
        <v>1</v>
      </c>
      <c r="L52" s="23">
        <v>1</v>
      </c>
      <c r="M52" s="23">
        <v>1</v>
      </c>
      <c r="N52" s="109"/>
      <c r="O52" s="76"/>
      <c r="P52" s="76"/>
    </row>
    <row r="53" spans="1:17" ht="12.75" customHeight="1">
      <c r="A53" s="71" t="s">
        <v>10</v>
      </c>
      <c r="B53" s="23">
        <v>7</v>
      </c>
      <c r="C53" s="23">
        <v>4</v>
      </c>
      <c r="D53" s="23">
        <v>6</v>
      </c>
      <c r="E53" s="23">
        <v>54</v>
      </c>
      <c r="F53" s="23">
        <v>38</v>
      </c>
      <c r="G53" s="23">
        <v>27</v>
      </c>
      <c r="H53" s="23">
        <v>3</v>
      </c>
      <c r="I53" s="23">
        <v>37</v>
      </c>
      <c r="J53" s="23">
        <v>55</v>
      </c>
      <c r="K53" s="23">
        <v>41</v>
      </c>
      <c r="L53" s="23">
        <v>8</v>
      </c>
      <c r="M53" s="23">
        <v>2</v>
      </c>
      <c r="N53" s="73">
        <f>SUM(B53:M53)</f>
        <v>282</v>
      </c>
      <c r="O53" s="107"/>
      <c r="P53" s="76"/>
    </row>
    <row r="54" spans="1:17" ht="12.75" customHeight="1">
      <c r="B54" s="86"/>
      <c r="C54" s="86"/>
      <c r="D54" s="86"/>
      <c r="E54" s="86"/>
      <c r="F54" s="86"/>
      <c r="G54" s="86"/>
      <c r="H54" s="86"/>
      <c r="I54" s="86"/>
      <c r="J54" s="86"/>
      <c r="K54" s="86"/>
      <c r="L54" s="86"/>
      <c r="M54" s="86"/>
      <c r="N54" s="87"/>
      <c r="O54" s="76"/>
      <c r="P54" s="76"/>
    </row>
    <row r="55" spans="1:17" ht="12.75" customHeight="1">
      <c r="A55" s="5"/>
      <c r="B55" s="88"/>
      <c r="C55" s="88"/>
      <c r="D55" s="88"/>
      <c r="E55" s="88"/>
      <c r="F55" s="88"/>
      <c r="G55" s="88"/>
      <c r="H55" s="88"/>
      <c r="I55" s="88"/>
      <c r="J55" s="88"/>
      <c r="K55" s="88"/>
      <c r="L55" s="88"/>
      <c r="M55" s="88"/>
      <c r="N55" s="89"/>
      <c r="O55" s="102"/>
      <c r="P55" s="102"/>
    </row>
    <row r="56" spans="1:17" ht="24.75" customHeight="1">
      <c r="A56" s="58"/>
      <c r="B56" s="59">
        <v>39995</v>
      </c>
      <c r="C56" s="59">
        <v>40026</v>
      </c>
      <c r="D56" s="59">
        <v>40057</v>
      </c>
      <c r="E56" s="59">
        <v>40087</v>
      </c>
      <c r="F56" s="59">
        <v>40118</v>
      </c>
      <c r="G56" s="59">
        <v>40148</v>
      </c>
      <c r="H56" s="59">
        <v>40179</v>
      </c>
      <c r="I56" s="59">
        <v>40210</v>
      </c>
      <c r="J56" s="59">
        <v>40238</v>
      </c>
      <c r="K56" s="59">
        <v>40269</v>
      </c>
      <c r="L56" s="59">
        <v>40299</v>
      </c>
      <c r="M56" s="59">
        <v>40330</v>
      </c>
      <c r="N56" s="60" t="s">
        <v>367</v>
      </c>
      <c r="O56" s="61" t="s">
        <v>166</v>
      </c>
      <c r="P56" s="61" t="s">
        <v>171</v>
      </c>
      <c r="Q56" s="2"/>
    </row>
    <row r="57" spans="1:17" ht="12.75" customHeight="1">
      <c r="A57" s="186" t="s">
        <v>281</v>
      </c>
      <c r="B57" s="187"/>
      <c r="C57" s="187"/>
      <c r="D57" s="59"/>
      <c r="E57" s="59"/>
      <c r="F57" s="59"/>
      <c r="G57" s="59"/>
      <c r="H57" s="59"/>
      <c r="I57" s="59"/>
      <c r="J57" s="59"/>
      <c r="K57" s="59"/>
      <c r="L57" s="59"/>
      <c r="M57" s="59"/>
      <c r="N57" s="53"/>
      <c r="O57" s="103"/>
      <c r="P57" s="103"/>
    </row>
    <row r="58" spans="1:17" ht="12.75" customHeight="1">
      <c r="A58" s="71" t="s">
        <v>253</v>
      </c>
      <c r="B58" s="33">
        <v>65</v>
      </c>
      <c r="C58" s="33">
        <v>20</v>
      </c>
      <c r="D58" s="23">
        <v>70</v>
      </c>
      <c r="E58" s="23">
        <v>173</v>
      </c>
      <c r="F58" s="23">
        <v>172</v>
      </c>
      <c r="G58" s="23">
        <v>170</v>
      </c>
      <c r="H58" s="23">
        <v>30</v>
      </c>
      <c r="I58" s="23">
        <v>113</v>
      </c>
      <c r="J58" s="23">
        <v>171</v>
      </c>
      <c r="K58" s="23">
        <v>181</v>
      </c>
      <c r="L58" s="23">
        <v>78</v>
      </c>
      <c r="M58" s="23">
        <v>61</v>
      </c>
      <c r="N58" s="73">
        <f>SUM(B58:M58)</f>
        <v>1304</v>
      </c>
      <c r="O58" s="107"/>
      <c r="P58" s="76"/>
    </row>
    <row r="59" spans="1:17" ht="12.75" customHeight="1">
      <c r="A59" s="71" t="s">
        <v>204</v>
      </c>
      <c r="B59" s="23">
        <v>420</v>
      </c>
      <c r="C59" s="23">
        <v>61</v>
      </c>
      <c r="D59" s="23">
        <v>251</v>
      </c>
      <c r="E59" s="23">
        <v>770</v>
      </c>
      <c r="F59" s="23">
        <v>820</v>
      </c>
      <c r="G59" s="23">
        <v>939</v>
      </c>
      <c r="H59" s="23">
        <v>86</v>
      </c>
      <c r="I59" s="23">
        <v>495</v>
      </c>
      <c r="J59" s="23">
        <v>929</v>
      </c>
      <c r="K59" s="23">
        <v>787</v>
      </c>
      <c r="L59" s="23">
        <v>448</v>
      </c>
      <c r="M59" s="23">
        <v>257</v>
      </c>
      <c r="N59" s="73">
        <f>SUM(B59:M59)</f>
        <v>6263</v>
      </c>
      <c r="O59" s="107">
        <v>0</v>
      </c>
      <c r="P59" s="76" t="s">
        <v>228</v>
      </c>
    </row>
    <row r="60" spans="1:17" ht="12.75" customHeight="1">
      <c r="A60" s="2"/>
      <c r="B60" s="86"/>
      <c r="C60" s="86"/>
      <c r="D60" s="86"/>
      <c r="E60" s="86"/>
      <c r="F60" s="86"/>
      <c r="G60" s="86"/>
      <c r="H60" s="86"/>
      <c r="I60" s="86"/>
      <c r="J60" s="86"/>
      <c r="K60" s="86"/>
      <c r="L60" s="86"/>
      <c r="M60" s="86"/>
      <c r="N60" s="87"/>
      <c r="O60" s="76"/>
      <c r="P60" s="76"/>
    </row>
    <row r="61" spans="1:17" ht="12.75" customHeight="1">
      <c r="A61" s="5"/>
      <c r="B61" s="88"/>
      <c r="C61" s="88"/>
      <c r="D61" s="88"/>
      <c r="E61" s="88"/>
      <c r="F61" s="88"/>
      <c r="G61" s="88"/>
      <c r="H61" s="88"/>
      <c r="I61" s="88"/>
      <c r="J61" s="88"/>
      <c r="K61" s="88"/>
      <c r="L61" s="88"/>
      <c r="M61" s="88"/>
      <c r="N61" s="89"/>
      <c r="O61" s="102"/>
      <c r="P61" s="102"/>
    </row>
    <row r="62" spans="1:17" ht="12.75" customHeight="1">
      <c r="A62" s="58"/>
      <c r="B62" s="59">
        <v>39995</v>
      </c>
      <c r="C62" s="59">
        <v>40026</v>
      </c>
      <c r="D62" s="59">
        <v>40057</v>
      </c>
      <c r="E62" s="59">
        <v>40087</v>
      </c>
      <c r="F62" s="59">
        <v>40118</v>
      </c>
      <c r="G62" s="59">
        <v>40148</v>
      </c>
      <c r="H62" s="59">
        <v>40179</v>
      </c>
      <c r="I62" s="59">
        <v>40210</v>
      </c>
      <c r="J62" s="59">
        <v>40238</v>
      </c>
      <c r="K62" s="59">
        <v>40269</v>
      </c>
      <c r="L62" s="59">
        <v>40299</v>
      </c>
      <c r="M62" s="59">
        <v>40330</v>
      </c>
      <c r="N62" s="60" t="s">
        <v>367</v>
      </c>
      <c r="O62" s="61" t="s">
        <v>166</v>
      </c>
      <c r="P62" s="61" t="s">
        <v>171</v>
      </c>
    </row>
    <row r="63" spans="1:17" ht="12.75" customHeight="1">
      <c r="A63" s="67" t="s">
        <v>53</v>
      </c>
      <c r="B63" s="59"/>
      <c r="C63" s="59"/>
      <c r="D63" s="59"/>
      <c r="E63" s="59"/>
      <c r="F63" s="59"/>
      <c r="G63" s="59"/>
      <c r="H63" s="59"/>
      <c r="I63" s="59"/>
      <c r="J63" s="59"/>
      <c r="K63" s="59"/>
      <c r="L63" s="59"/>
      <c r="M63" s="59"/>
      <c r="N63" s="53"/>
      <c r="O63" s="103"/>
      <c r="P63" s="103"/>
    </row>
    <row r="64" spans="1:17" ht="12.75" customHeight="1">
      <c r="A64" s="71" t="s">
        <v>253</v>
      </c>
      <c r="B64" s="23">
        <v>51</v>
      </c>
      <c r="C64" s="23">
        <v>22</v>
      </c>
      <c r="D64" s="23">
        <v>43</v>
      </c>
      <c r="E64" s="23">
        <v>179</v>
      </c>
      <c r="F64" s="23">
        <v>184</v>
      </c>
      <c r="G64" s="23">
        <v>158</v>
      </c>
      <c r="H64" s="23">
        <v>37</v>
      </c>
      <c r="I64" s="23">
        <v>96</v>
      </c>
      <c r="J64" s="23">
        <v>142</v>
      </c>
      <c r="K64" s="23">
        <v>190</v>
      </c>
      <c r="L64" s="23">
        <v>74</v>
      </c>
      <c r="M64" s="23">
        <v>31</v>
      </c>
      <c r="N64" s="73">
        <f>SUM(B64:M64)</f>
        <v>1207</v>
      </c>
      <c r="O64" s="107"/>
      <c r="P64" s="76"/>
    </row>
    <row r="65" spans="1:17" ht="12.75" customHeight="1">
      <c r="A65" s="71" t="s">
        <v>204</v>
      </c>
      <c r="B65" s="23">
        <v>423</v>
      </c>
      <c r="C65" s="23">
        <v>63</v>
      </c>
      <c r="D65" s="23">
        <v>177</v>
      </c>
      <c r="E65" s="23">
        <v>813</v>
      </c>
      <c r="F65" s="23">
        <v>762</v>
      </c>
      <c r="G65" s="23">
        <v>891</v>
      </c>
      <c r="H65" s="23">
        <v>98</v>
      </c>
      <c r="I65" s="23">
        <v>386</v>
      </c>
      <c r="J65" s="23">
        <v>820</v>
      </c>
      <c r="K65" s="23">
        <v>820</v>
      </c>
      <c r="L65" s="23">
        <v>495</v>
      </c>
      <c r="M65" s="23">
        <v>114</v>
      </c>
      <c r="N65" s="73">
        <f>SUM(B65:M65)</f>
        <v>5862</v>
      </c>
      <c r="O65" s="107">
        <v>0</v>
      </c>
      <c r="P65" s="76" t="s">
        <v>228</v>
      </c>
    </row>
    <row r="66" spans="1:17" ht="12.75" customHeight="1">
      <c r="A66" s="2"/>
      <c r="B66" s="86"/>
      <c r="C66" s="86"/>
      <c r="D66" s="86"/>
      <c r="E66" s="86"/>
      <c r="F66" s="86"/>
      <c r="G66" s="86"/>
      <c r="H66" s="86"/>
      <c r="I66" s="86"/>
      <c r="J66" s="86"/>
      <c r="K66" s="86"/>
      <c r="L66" s="86"/>
      <c r="M66" s="86"/>
      <c r="N66" s="87"/>
      <c r="O66" s="76"/>
      <c r="P66" s="76"/>
    </row>
    <row r="67" spans="1:17" ht="12.75" customHeight="1">
      <c r="A67" s="5"/>
      <c r="B67" s="88"/>
      <c r="C67" s="88"/>
      <c r="D67" s="88"/>
      <c r="E67" s="88"/>
      <c r="F67" s="88"/>
      <c r="G67" s="88"/>
      <c r="H67" s="88"/>
      <c r="I67" s="88"/>
      <c r="J67" s="88"/>
      <c r="K67" s="88"/>
      <c r="L67" s="88"/>
      <c r="M67" s="88"/>
      <c r="N67" s="89"/>
      <c r="O67" s="102"/>
      <c r="P67" s="102"/>
    </row>
    <row r="68" spans="1:17" ht="12.75" customHeight="1">
      <c r="A68" s="58"/>
      <c r="B68" s="59">
        <v>39995</v>
      </c>
      <c r="C68" s="59">
        <v>40026</v>
      </c>
      <c r="D68" s="59">
        <v>40057</v>
      </c>
      <c r="E68" s="59">
        <v>40087</v>
      </c>
      <c r="F68" s="59">
        <v>40118</v>
      </c>
      <c r="G68" s="59">
        <v>40148</v>
      </c>
      <c r="H68" s="59">
        <v>40179</v>
      </c>
      <c r="I68" s="59">
        <v>40210</v>
      </c>
      <c r="J68" s="59">
        <v>40238</v>
      </c>
      <c r="K68" s="59">
        <v>40269</v>
      </c>
      <c r="L68" s="59">
        <v>40299</v>
      </c>
      <c r="M68" s="59">
        <v>40330</v>
      </c>
      <c r="N68" s="60" t="s">
        <v>367</v>
      </c>
      <c r="O68" s="61" t="s">
        <v>166</v>
      </c>
      <c r="P68" s="61" t="s">
        <v>171</v>
      </c>
    </row>
    <row r="69" spans="1:17" ht="12.75" customHeight="1">
      <c r="A69" s="182" t="s">
        <v>210</v>
      </c>
      <c r="B69" s="183"/>
      <c r="C69" s="187"/>
      <c r="D69" s="187"/>
      <c r="E69" s="191"/>
      <c r="F69" s="110"/>
      <c r="G69" s="110"/>
      <c r="H69" s="110"/>
      <c r="I69" s="111"/>
      <c r="J69" s="59"/>
      <c r="K69" s="59"/>
      <c r="L69" s="59"/>
      <c r="M69" s="59"/>
      <c r="N69" s="53"/>
      <c r="O69" s="103"/>
      <c r="P69" s="103"/>
    </row>
    <row r="70" spans="1:17" ht="12.75" customHeight="1">
      <c r="A70" s="71" t="s">
        <v>253</v>
      </c>
      <c r="B70" s="33">
        <v>250</v>
      </c>
      <c r="C70" s="33">
        <v>47</v>
      </c>
      <c r="D70" s="33">
        <v>269</v>
      </c>
      <c r="E70" s="33">
        <v>735</v>
      </c>
      <c r="F70" s="23">
        <v>1052</v>
      </c>
      <c r="G70" s="23">
        <v>494</v>
      </c>
      <c r="H70" s="23">
        <v>90</v>
      </c>
      <c r="I70" s="23">
        <v>385</v>
      </c>
      <c r="J70" s="23">
        <v>547</v>
      </c>
      <c r="K70" s="23">
        <v>817</v>
      </c>
      <c r="L70" s="23">
        <v>159</v>
      </c>
      <c r="M70" s="23">
        <v>99</v>
      </c>
      <c r="N70" s="73">
        <f>SUM(B70:M70)</f>
        <v>4944</v>
      </c>
      <c r="O70" s="107"/>
      <c r="P70" s="76"/>
    </row>
    <row r="71" spans="1:17" ht="12.75" customHeight="1">
      <c r="A71" s="71" t="s">
        <v>204</v>
      </c>
      <c r="B71" s="23">
        <v>1066</v>
      </c>
      <c r="C71" s="23">
        <v>130</v>
      </c>
      <c r="D71" s="23">
        <v>658</v>
      </c>
      <c r="E71" s="23">
        <v>1758</v>
      </c>
      <c r="F71" s="23">
        <v>2965</v>
      </c>
      <c r="G71" s="23">
        <v>1383</v>
      </c>
      <c r="H71" s="23">
        <v>158</v>
      </c>
      <c r="I71" s="23">
        <v>1054</v>
      </c>
      <c r="J71" s="23">
        <v>1805</v>
      </c>
      <c r="K71" s="23">
        <v>2536</v>
      </c>
      <c r="L71" s="23">
        <v>743</v>
      </c>
      <c r="M71" s="23">
        <v>335</v>
      </c>
      <c r="N71" s="73">
        <f>SUM(B71:M71)</f>
        <v>14591</v>
      </c>
      <c r="O71" s="107">
        <v>0</v>
      </c>
      <c r="P71" s="76" t="s">
        <v>228</v>
      </c>
    </row>
    <row r="72" spans="1:17" ht="12.75" customHeight="1">
      <c r="A72" s="2"/>
      <c r="B72" s="86"/>
      <c r="C72" s="86"/>
      <c r="D72" s="86"/>
      <c r="E72" s="86"/>
      <c r="F72" s="86"/>
      <c r="G72" s="86"/>
      <c r="H72" s="86"/>
      <c r="I72" s="86"/>
      <c r="J72" s="86"/>
      <c r="K72" s="86"/>
      <c r="L72" s="86"/>
      <c r="M72" s="86"/>
      <c r="N72" s="87"/>
      <c r="O72" s="76"/>
      <c r="P72" s="76"/>
    </row>
    <row r="73" spans="1:17" ht="12.75" customHeight="1">
      <c r="A73" s="5"/>
      <c r="B73" s="88"/>
      <c r="C73" s="88"/>
      <c r="D73" s="88"/>
      <c r="E73" s="88"/>
      <c r="F73" s="88"/>
      <c r="G73" s="88"/>
      <c r="H73" s="88"/>
      <c r="I73" s="88"/>
      <c r="J73" s="88"/>
      <c r="K73" s="88"/>
      <c r="L73" s="88"/>
      <c r="M73" s="88"/>
      <c r="N73" s="89"/>
      <c r="O73" s="102"/>
      <c r="P73" s="102"/>
    </row>
    <row r="74" spans="1:17" ht="24.75" customHeight="1">
      <c r="A74" s="58"/>
      <c r="B74" s="59">
        <v>39995</v>
      </c>
      <c r="C74" s="59">
        <v>40026</v>
      </c>
      <c r="D74" s="59">
        <v>40057</v>
      </c>
      <c r="E74" s="59">
        <v>40087</v>
      </c>
      <c r="F74" s="59">
        <v>40118</v>
      </c>
      <c r="G74" s="59">
        <v>40148</v>
      </c>
      <c r="H74" s="59">
        <v>40179</v>
      </c>
      <c r="I74" s="59">
        <v>40210</v>
      </c>
      <c r="J74" s="59">
        <v>40238</v>
      </c>
      <c r="K74" s="59">
        <v>40269</v>
      </c>
      <c r="L74" s="59">
        <v>40299</v>
      </c>
      <c r="M74" s="59">
        <v>40330</v>
      </c>
      <c r="N74" s="60" t="s">
        <v>367</v>
      </c>
      <c r="O74" s="61" t="s">
        <v>166</v>
      </c>
      <c r="P74" s="61" t="s">
        <v>171</v>
      </c>
      <c r="Q74" s="2"/>
    </row>
    <row r="75" spans="1:17" ht="12.75" customHeight="1">
      <c r="A75" s="52" t="s">
        <v>11</v>
      </c>
      <c r="B75" s="53"/>
      <c r="C75" s="59"/>
      <c r="D75" s="59"/>
      <c r="E75" s="59"/>
      <c r="F75" s="59"/>
      <c r="G75" s="59"/>
      <c r="H75" s="59"/>
      <c r="I75" s="59"/>
      <c r="J75" s="59"/>
      <c r="K75" s="59"/>
      <c r="L75" s="59"/>
      <c r="M75" s="59"/>
      <c r="N75" s="53"/>
      <c r="O75" s="103"/>
      <c r="P75" s="103"/>
    </row>
    <row r="76" spans="1:17" ht="12.75" customHeight="1">
      <c r="A76" s="71" t="s">
        <v>253</v>
      </c>
      <c r="B76" s="23">
        <v>61</v>
      </c>
      <c r="C76" s="23">
        <v>19</v>
      </c>
      <c r="D76" s="23">
        <v>66</v>
      </c>
      <c r="E76" s="23">
        <v>215</v>
      </c>
      <c r="F76" s="23">
        <v>182</v>
      </c>
      <c r="G76" s="23">
        <v>175</v>
      </c>
      <c r="H76" s="23">
        <v>40</v>
      </c>
      <c r="I76" s="23">
        <v>159</v>
      </c>
      <c r="J76" s="23">
        <v>198</v>
      </c>
      <c r="K76" s="23">
        <v>212</v>
      </c>
      <c r="L76" s="23">
        <v>85</v>
      </c>
      <c r="M76" s="23">
        <v>38</v>
      </c>
      <c r="N76" s="73">
        <f>SUM(B76:M76)</f>
        <v>1450</v>
      </c>
      <c r="O76" s="107"/>
      <c r="P76" s="76"/>
    </row>
    <row r="77" spans="1:17" ht="12.75" customHeight="1">
      <c r="A77" s="71" t="s">
        <v>204</v>
      </c>
      <c r="B77" s="23">
        <v>455</v>
      </c>
      <c r="C77" s="23">
        <v>60</v>
      </c>
      <c r="D77" s="23">
        <v>338</v>
      </c>
      <c r="E77" s="23">
        <v>969</v>
      </c>
      <c r="F77" s="23">
        <v>796</v>
      </c>
      <c r="G77" s="23">
        <v>980</v>
      </c>
      <c r="H77" s="23">
        <v>124</v>
      </c>
      <c r="I77" s="23">
        <v>623</v>
      </c>
      <c r="J77" s="23">
        <v>1134</v>
      </c>
      <c r="K77" s="23">
        <v>911</v>
      </c>
      <c r="L77" s="23">
        <v>911</v>
      </c>
      <c r="M77" s="23">
        <v>493</v>
      </c>
      <c r="N77" s="73">
        <f>SUM(B77:M77)</f>
        <v>7794</v>
      </c>
      <c r="O77" s="107">
        <v>7881</v>
      </c>
      <c r="P77" s="76">
        <f>O77/N77</f>
        <v>1.0111624326404927</v>
      </c>
    </row>
    <row r="78" spans="1:17" ht="12.75" customHeight="1">
      <c r="A78" s="2"/>
      <c r="B78" s="86"/>
      <c r="C78" s="86"/>
      <c r="D78" s="86"/>
      <c r="E78" s="86"/>
      <c r="F78" s="86"/>
      <c r="G78" s="86"/>
      <c r="H78" s="86"/>
      <c r="I78" s="86"/>
      <c r="J78" s="86"/>
      <c r="K78" s="86"/>
      <c r="L78" s="86"/>
      <c r="M78" s="86"/>
      <c r="N78" s="87"/>
      <c r="O78" s="76"/>
      <c r="P78" s="76"/>
    </row>
    <row r="79" spans="1:17" ht="12.75" customHeight="1">
      <c r="A79" s="5"/>
      <c r="B79" s="88"/>
      <c r="C79" s="88"/>
      <c r="D79" s="88"/>
      <c r="E79" s="88"/>
      <c r="F79" s="88"/>
      <c r="G79" s="88"/>
      <c r="H79" s="88"/>
      <c r="I79" s="88"/>
      <c r="J79" s="88"/>
      <c r="K79" s="88"/>
      <c r="L79" s="88"/>
      <c r="M79" s="88"/>
      <c r="N79" s="89"/>
      <c r="O79" s="102"/>
      <c r="P79" s="102"/>
    </row>
    <row r="80" spans="1:17" ht="12.75" customHeight="1">
      <c r="A80" s="58"/>
      <c r="B80" s="59">
        <v>39995</v>
      </c>
      <c r="C80" s="59">
        <v>40026</v>
      </c>
      <c r="D80" s="59">
        <v>40057</v>
      </c>
      <c r="E80" s="59">
        <v>40087</v>
      </c>
      <c r="F80" s="59">
        <v>40118</v>
      </c>
      <c r="G80" s="59">
        <v>40148</v>
      </c>
      <c r="H80" s="59">
        <v>40179</v>
      </c>
      <c r="I80" s="59">
        <v>40210</v>
      </c>
      <c r="J80" s="59">
        <v>40238</v>
      </c>
      <c r="K80" s="59">
        <v>40269</v>
      </c>
      <c r="L80" s="59">
        <v>40299</v>
      </c>
      <c r="M80" s="59">
        <v>40330</v>
      </c>
      <c r="N80" s="60" t="s">
        <v>367</v>
      </c>
      <c r="O80" s="61" t="s">
        <v>166</v>
      </c>
      <c r="P80" s="61" t="s">
        <v>171</v>
      </c>
    </row>
    <row r="81" spans="1:17" ht="12.75" customHeight="1">
      <c r="A81" s="182" t="s">
        <v>90</v>
      </c>
      <c r="B81" s="183"/>
      <c r="C81" s="187"/>
      <c r="D81" s="59"/>
      <c r="E81" s="59"/>
      <c r="F81" s="59"/>
      <c r="G81" s="59"/>
      <c r="H81" s="59"/>
      <c r="I81" s="59"/>
      <c r="J81" s="59"/>
      <c r="K81" s="59"/>
      <c r="L81" s="59"/>
      <c r="M81" s="59"/>
      <c r="N81" s="53"/>
      <c r="O81" s="103"/>
      <c r="P81" s="103"/>
    </row>
    <row r="82" spans="1:17" ht="12.75" customHeight="1">
      <c r="A82" s="71" t="s">
        <v>253</v>
      </c>
      <c r="B82" s="33">
        <v>72</v>
      </c>
      <c r="C82" s="33">
        <v>24</v>
      </c>
      <c r="D82" s="23">
        <v>65</v>
      </c>
      <c r="E82" s="23">
        <v>236</v>
      </c>
      <c r="F82" s="23">
        <v>203</v>
      </c>
      <c r="G82" s="23">
        <v>215</v>
      </c>
      <c r="H82" s="23">
        <v>46</v>
      </c>
      <c r="I82" s="23">
        <v>153</v>
      </c>
      <c r="J82" s="23">
        <v>231</v>
      </c>
      <c r="K82" s="23">
        <v>269</v>
      </c>
      <c r="L82" s="23">
        <v>99</v>
      </c>
      <c r="M82" s="23">
        <v>52</v>
      </c>
      <c r="N82" s="73">
        <f>SUM(B82:M82)</f>
        <v>1665</v>
      </c>
      <c r="O82" s="107"/>
      <c r="P82" s="76"/>
    </row>
    <row r="83" spans="1:17" ht="12.75" customHeight="1">
      <c r="A83" s="71" t="s">
        <v>204</v>
      </c>
      <c r="B83" s="23">
        <v>479</v>
      </c>
      <c r="C83" s="23">
        <v>67</v>
      </c>
      <c r="D83" s="23">
        <v>231</v>
      </c>
      <c r="E83" s="23">
        <v>962</v>
      </c>
      <c r="F83" s="23">
        <v>765</v>
      </c>
      <c r="G83" s="23">
        <v>1041</v>
      </c>
      <c r="H83" s="23">
        <v>152</v>
      </c>
      <c r="I83" s="23">
        <v>582</v>
      </c>
      <c r="J83" s="23">
        <v>1051</v>
      </c>
      <c r="K83" s="23">
        <v>1101</v>
      </c>
      <c r="L83" s="23">
        <v>527</v>
      </c>
      <c r="M83" s="23">
        <v>217</v>
      </c>
      <c r="N83" s="73">
        <f>SUM(B83:M83)</f>
        <v>7175</v>
      </c>
      <c r="O83" s="107">
        <v>0</v>
      </c>
      <c r="P83" s="76" t="s">
        <v>228</v>
      </c>
    </row>
    <row r="84" spans="1:17" ht="12.75" customHeight="1">
      <c r="A84" s="2"/>
      <c r="B84" s="86"/>
      <c r="C84" s="86"/>
      <c r="D84" s="86"/>
      <c r="E84" s="86"/>
      <c r="F84" s="86"/>
      <c r="G84" s="86"/>
      <c r="H84" s="86"/>
      <c r="I84" s="86"/>
      <c r="J84" s="86"/>
      <c r="K84" s="86"/>
      <c r="L84" s="86"/>
      <c r="M84" s="86"/>
      <c r="N84" s="87"/>
      <c r="O84" s="76"/>
      <c r="P84" s="76"/>
    </row>
    <row r="85" spans="1:17" ht="12.75" customHeight="1">
      <c r="A85" s="5"/>
      <c r="B85" s="88"/>
      <c r="C85" s="88"/>
      <c r="D85" s="88"/>
      <c r="E85" s="88"/>
      <c r="F85" s="88"/>
      <c r="G85" s="88"/>
      <c r="H85" s="88"/>
      <c r="I85" s="88"/>
      <c r="J85" s="88"/>
      <c r="K85" s="88"/>
      <c r="L85" s="88"/>
      <c r="M85" s="88"/>
      <c r="N85" s="89"/>
      <c r="O85" s="102"/>
      <c r="P85" s="102"/>
    </row>
    <row r="86" spans="1:17" ht="24.75" customHeight="1">
      <c r="A86" s="58"/>
      <c r="B86" s="59">
        <v>39995</v>
      </c>
      <c r="C86" s="59">
        <v>40026</v>
      </c>
      <c r="D86" s="59">
        <v>40057</v>
      </c>
      <c r="E86" s="59">
        <v>40087</v>
      </c>
      <c r="F86" s="59">
        <v>40118</v>
      </c>
      <c r="G86" s="59">
        <v>40148</v>
      </c>
      <c r="H86" s="59">
        <v>40179</v>
      </c>
      <c r="I86" s="59">
        <v>40210</v>
      </c>
      <c r="J86" s="59">
        <v>40238</v>
      </c>
      <c r="K86" s="59">
        <v>40269</v>
      </c>
      <c r="L86" s="59">
        <v>40299</v>
      </c>
      <c r="M86" s="59">
        <v>40330</v>
      </c>
      <c r="N86" s="60" t="s">
        <v>367</v>
      </c>
      <c r="O86" s="61" t="s">
        <v>166</v>
      </c>
      <c r="P86" s="61" t="s">
        <v>171</v>
      </c>
      <c r="Q86" s="2"/>
    </row>
    <row r="87" spans="1:17" ht="12.75" customHeight="1">
      <c r="A87" s="67" t="s">
        <v>40</v>
      </c>
      <c r="B87" s="59"/>
      <c r="C87" s="59"/>
      <c r="D87" s="59"/>
      <c r="E87" s="59"/>
      <c r="F87" s="59"/>
      <c r="G87" s="59"/>
      <c r="H87" s="59"/>
      <c r="I87" s="59"/>
      <c r="J87" s="59"/>
      <c r="K87" s="59"/>
      <c r="L87" s="59"/>
      <c r="M87" s="59"/>
      <c r="N87" s="53"/>
      <c r="O87" s="103"/>
      <c r="P87" s="103"/>
    </row>
    <row r="88" spans="1:17" ht="12.75" customHeight="1">
      <c r="A88" s="71" t="s">
        <v>253</v>
      </c>
      <c r="B88" s="23">
        <v>76</v>
      </c>
      <c r="C88" s="23">
        <v>27</v>
      </c>
      <c r="D88" s="23">
        <v>48</v>
      </c>
      <c r="E88" s="23">
        <v>173</v>
      </c>
      <c r="F88" s="23">
        <v>167</v>
      </c>
      <c r="G88" s="23">
        <v>145</v>
      </c>
      <c r="H88" s="23">
        <v>38</v>
      </c>
      <c r="I88" s="23">
        <v>101</v>
      </c>
      <c r="J88" s="23">
        <v>197</v>
      </c>
      <c r="K88" s="23">
        <v>196</v>
      </c>
      <c r="L88" s="23">
        <v>95</v>
      </c>
      <c r="M88" s="23">
        <v>46</v>
      </c>
      <c r="N88" s="73">
        <f>SUM(B88:M88)</f>
        <v>1309</v>
      </c>
      <c r="O88" s="107"/>
      <c r="P88" s="76"/>
    </row>
    <row r="89" spans="1:17" ht="12.75" customHeight="1">
      <c r="A89" s="71" t="s">
        <v>204</v>
      </c>
      <c r="B89" s="23">
        <v>436</v>
      </c>
      <c r="C89" s="23">
        <v>67</v>
      </c>
      <c r="D89" s="23">
        <v>174</v>
      </c>
      <c r="E89" s="23">
        <v>922</v>
      </c>
      <c r="F89" s="23">
        <v>796</v>
      </c>
      <c r="G89" s="23">
        <v>884</v>
      </c>
      <c r="H89" s="23">
        <v>94</v>
      </c>
      <c r="I89" s="23">
        <v>460</v>
      </c>
      <c r="J89" s="23">
        <v>1003</v>
      </c>
      <c r="K89" s="23">
        <v>837</v>
      </c>
      <c r="L89" s="23">
        <v>496</v>
      </c>
      <c r="M89" s="23">
        <v>154</v>
      </c>
      <c r="N89" s="73">
        <f>SUM(B89:M89)</f>
        <v>6323</v>
      </c>
      <c r="O89" s="107">
        <v>31302</v>
      </c>
      <c r="P89" s="76">
        <f>O89/N89</f>
        <v>4.9504981812430806</v>
      </c>
    </row>
    <row r="90" spans="1:17" ht="12.75" customHeight="1">
      <c r="A90" s="2"/>
      <c r="B90" s="86"/>
      <c r="C90" s="86"/>
      <c r="D90" s="86"/>
      <c r="E90" s="86"/>
      <c r="F90" s="86"/>
      <c r="G90" s="86"/>
      <c r="H90" s="86"/>
      <c r="I90" s="86"/>
      <c r="J90" s="86"/>
      <c r="K90" s="86"/>
      <c r="L90" s="86"/>
      <c r="M90" s="86"/>
      <c r="N90" s="87"/>
      <c r="O90" s="76"/>
      <c r="P90" s="76"/>
    </row>
    <row r="91" spans="1:17" ht="12.75" customHeight="1">
      <c r="A91" s="5"/>
      <c r="B91" s="88"/>
      <c r="C91" s="88"/>
      <c r="D91" s="88"/>
      <c r="E91" s="88"/>
      <c r="F91" s="88"/>
      <c r="G91" s="88"/>
      <c r="H91" s="88"/>
      <c r="I91" s="88"/>
      <c r="J91" s="88"/>
      <c r="K91" s="88"/>
      <c r="L91" s="88"/>
      <c r="M91" s="88"/>
      <c r="N91" s="89"/>
      <c r="O91" s="102"/>
      <c r="P91" s="102"/>
    </row>
    <row r="92" spans="1:17" ht="12.75" customHeight="1">
      <c r="A92" s="58"/>
      <c r="B92" s="59">
        <v>39995</v>
      </c>
      <c r="C92" s="59">
        <v>40026</v>
      </c>
      <c r="D92" s="59">
        <v>40057</v>
      </c>
      <c r="E92" s="59">
        <v>40087</v>
      </c>
      <c r="F92" s="59">
        <v>40118</v>
      </c>
      <c r="G92" s="59">
        <v>40148</v>
      </c>
      <c r="H92" s="59">
        <v>40179</v>
      </c>
      <c r="I92" s="59">
        <v>40210</v>
      </c>
      <c r="J92" s="59">
        <v>40238</v>
      </c>
      <c r="K92" s="59">
        <v>40269</v>
      </c>
      <c r="L92" s="59">
        <v>40299</v>
      </c>
      <c r="M92" s="59">
        <v>40330</v>
      </c>
      <c r="N92" s="60" t="s">
        <v>367</v>
      </c>
      <c r="O92" s="61" t="s">
        <v>166</v>
      </c>
      <c r="P92" s="61" t="s">
        <v>171</v>
      </c>
    </row>
    <row r="93" spans="1:17" ht="12.75" customHeight="1">
      <c r="A93" s="186" t="s">
        <v>85</v>
      </c>
      <c r="B93" s="187"/>
      <c r="C93" s="187"/>
      <c r="D93" s="59"/>
      <c r="E93" s="59"/>
      <c r="F93" s="59"/>
      <c r="G93" s="59"/>
      <c r="H93" s="59"/>
      <c r="I93" s="59"/>
      <c r="J93" s="59"/>
      <c r="K93" s="59"/>
      <c r="L93" s="59"/>
      <c r="M93" s="59"/>
      <c r="N93" s="112"/>
      <c r="O93" s="103"/>
      <c r="P93" s="103"/>
    </row>
    <row r="94" spans="1:17" ht="12.75" customHeight="1">
      <c r="A94" s="71" t="s">
        <v>253</v>
      </c>
      <c r="B94" s="35">
        <v>109</v>
      </c>
      <c r="C94" s="35">
        <v>21</v>
      </c>
      <c r="D94" s="16">
        <v>72</v>
      </c>
      <c r="E94" s="16">
        <v>208</v>
      </c>
      <c r="F94" s="16">
        <v>206</v>
      </c>
      <c r="G94" s="16">
        <v>169</v>
      </c>
      <c r="H94" s="20">
        <v>33</v>
      </c>
      <c r="I94" s="20">
        <v>129</v>
      </c>
      <c r="J94" s="23">
        <v>204</v>
      </c>
      <c r="K94" s="23">
        <v>225</v>
      </c>
      <c r="L94" s="23">
        <v>81</v>
      </c>
      <c r="M94" s="23">
        <v>51</v>
      </c>
      <c r="N94" s="73">
        <f>SUM(B94:M94)</f>
        <v>1508</v>
      </c>
      <c r="O94" s="107"/>
      <c r="P94" s="76"/>
    </row>
    <row r="95" spans="1:17" ht="12.75" customHeight="1">
      <c r="A95" s="71" t="s">
        <v>204</v>
      </c>
      <c r="B95" s="16">
        <v>585</v>
      </c>
      <c r="C95" s="16">
        <v>66</v>
      </c>
      <c r="D95" s="16">
        <v>305</v>
      </c>
      <c r="E95" s="16">
        <v>984</v>
      </c>
      <c r="F95" s="16">
        <v>884</v>
      </c>
      <c r="G95" s="16">
        <v>981</v>
      </c>
      <c r="H95" s="20">
        <v>110</v>
      </c>
      <c r="I95" s="20">
        <v>535</v>
      </c>
      <c r="J95" s="23">
        <v>1341</v>
      </c>
      <c r="K95" s="23">
        <v>999</v>
      </c>
      <c r="L95" s="23">
        <v>456</v>
      </c>
      <c r="M95" s="23">
        <v>210</v>
      </c>
      <c r="N95" s="73">
        <f>SUM(B95:M95)</f>
        <v>7456</v>
      </c>
      <c r="O95" s="107">
        <v>0</v>
      </c>
      <c r="P95" s="76" t="s">
        <v>228</v>
      </c>
    </row>
    <row r="96" spans="1:17" ht="12.75" customHeight="1">
      <c r="A96" s="2"/>
      <c r="B96" s="86"/>
      <c r="C96" s="86"/>
      <c r="D96" s="86"/>
      <c r="E96" s="86"/>
      <c r="F96" s="86"/>
      <c r="G96" s="86"/>
      <c r="H96" s="86"/>
      <c r="I96" s="86"/>
      <c r="J96" s="86"/>
      <c r="K96" s="86"/>
      <c r="L96" s="86"/>
      <c r="M96" s="86"/>
      <c r="N96" s="87"/>
      <c r="O96" s="76"/>
      <c r="P96" s="76"/>
    </row>
    <row r="97" spans="1:17" ht="12.75" customHeight="1">
      <c r="A97" s="5"/>
      <c r="B97" s="88"/>
      <c r="C97" s="88"/>
      <c r="D97" s="88"/>
      <c r="E97" s="88"/>
      <c r="F97" s="88"/>
      <c r="G97" s="88"/>
      <c r="H97" s="88"/>
      <c r="I97" s="88"/>
      <c r="J97" s="88"/>
      <c r="K97" s="88"/>
      <c r="L97" s="88"/>
      <c r="M97" s="88"/>
      <c r="N97" s="89"/>
      <c r="O97" s="102"/>
      <c r="P97" s="102"/>
    </row>
    <row r="98" spans="1:17" ht="12.75" customHeight="1">
      <c r="A98" s="58"/>
      <c r="B98" s="59">
        <v>39995</v>
      </c>
      <c r="C98" s="59">
        <v>40026</v>
      </c>
      <c r="D98" s="59">
        <v>40057</v>
      </c>
      <c r="E98" s="59">
        <v>40087</v>
      </c>
      <c r="F98" s="59">
        <v>40118</v>
      </c>
      <c r="G98" s="59">
        <v>40148</v>
      </c>
      <c r="H98" s="59">
        <v>40179</v>
      </c>
      <c r="I98" s="59">
        <v>40210</v>
      </c>
      <c r="J98" s="59">
        <v>40238</v>
      </c>
      <c r="K98" s="59">
        <v>40269</v>
      </c>
      <c r="L98" s="59">
        <v>40299</v>
      </c>
      <c r="M98" s="59">
        <v>40330</v>
      </c>
      <c r="N98" s="60" t="s">
        <v>367</v>
      </c>
      <c r="O98" s="61" t="s">
        <v>166</v>
      </c>
      <c r="P98" s="61" t="s">
        <v>171</v>
      </c>
    </row>
    <row r="99" spans="1:17" ht="12.75" customHeight="1">
      <c r="A99" s="186" t="s">
        <v>246</v>
      </c>
      <c r="B99" s="187"/>
      <c r="C99" s="187"/>
      <c r="D99" s="59"/>
      <c r="E99" s="59"/>
      <c r="F99" s="59"/>
      <c r="G99" s="59"/>
      <c r="H99" s="59"/>
      <c r="I99" s="59"/>
      <c r="J99" s="59"/>
      <c r="K99" s="59"/>
      <c r="L99" s="59"/>
      <c r="M99" s="59"/>
      <c r="N99" s="112"/>
      <c r="O99" s="103"/>
      <c r="P99" s="103"/>
    </row>
    <row r="100" spans="1:17" ht="12.75" customHeight="1">
      <c r="A100" s="71" t="s">
        <v>253</v>
      </c>
      <c r="B100" s="35">
        <v>424</v>
      </c>
      <c r="C100" s="35">
        <v>49</v>
      </c>
      <c r="D100" s="16">
        <v>384</v>
      </c>
      <c r="E100" s="16">
        <v>910</v>
      </c>
      <c r="F100" s="16">
        <v>791</v>
      </c>
      <c r="G100" s="16">
        <v>517</v>
      </c>
      <c r="H100" s="20">
        <v>88</v>
      </c>
      <c r="I100" s="20">
        <v>581</v>
      </c>
      <c r="J100" s="23">
        <v>846</v>
      </c>
      <c r="K100" s="23">
        <v>795</v>
      </c>
      <c r="L100" s="23">
        <v>227</v>
      </c>
      <c r="M100" s="23">
        <v>278</v>
      </c>
      <c r="N100" s="73">
        <f>SUM(B100:M100)</f>
        <v>5890</v>
      </c>
      <c r="O100" s="107"/>
      <c r="P100" s="76"/>
    </row>
    <row r="101" spans="1:17" ht="12.75" customHeight="1">
      <c r="A101" s="71" t="s">
        <v>204</v>
      </c>
      <c r="B101" s="16">
        <v>1910</v>
      </c>
      <c r="C101" s="16">
        <v>183</v>
      </c>
      <c r="D101" s="16">
        <v>1629</v>
      </c>
      <c r="E101" s="16">
        <v>4061</v>
      </c>
      <c r="F101" s="16">
        <v>3353</v>
      </c>
      <c r="G101" s="16">
        <v>2310</v>
      </c>
      <c r="H101" s="20">
        <v>350</v>
      </c>
      <c r="I101" s="20">
        <v>2445</v>
      </c>
      <c r="J101" s="23">
        <v>3978</v>
      </c>
      <c r="K101" s="23">
        <v>3110</v>
      </c>
      <c r="L101" s="23">
        <v>882</v>
      </c>
      <c r="M101" s="23">
        <v>1056</v>
      </c>
      <c r="N101" s="73">
        <f>SUM(B101:M101)</f>
        <v>25267</v>
      </c>
      <c r="O101" s="107">
        <v>2660</v>
      </c>
      <c r="P101" s="76">
        <f>O101/N101</f>
        <v>0.10527565599398425</v>
      </c>
    </row>
    <row r="102" spans="1:17" ht="12.75" customHeight="1">
      <c r="A102" s="2"/>
      <c r="B102" s="86"/>
      <c r="C102" s="86"/>
      <c r="D102" s="86"/>
      <c r="E102" s="86"/>
      <c r="F102" s="86"/>
      <c r="G102" s="86"/>
      <c r="H102" s="86"/>
      <c r="I102" s="86"/>
      <c r="J102" s="86"/>
      <c r="K102" s="86"/>
      <c r="L102" s="86"/>
      <c r="M102" s="86"/>
      <c r="N102" s="87"/>
      <c r="O102" s="76"/>
      <c r="P102" s="76"/>
    </row>
    <row r="103" spans="1:17" ht="12.75" customHeight="1">
      <c r="A103" s="5"/>
      <c r="B103" s="88"/>
      <c r="C103" s="88"/>
      <c r="D103" s="88"/>
      <c r="E103" s="88"/>
      <c r="F103" s="88"/>
      <c r="G103" s="88"/>
      <c r="H103" s="88"/>
      <c r="I103" s="88"/>
      <c r="J103" s="88"/>
      <c r="K103" s="88"/>
      <c r="L103" s="88"/>
      <c r="M103" s="88"/>
      <c r="N103" s="89"/>
      <c r="O103" s="102"/>
      <c r="P103" s="102"/>
    </row>
    <row r="104" spans="1:17" ht="24.75" customHeight="1">
      <c r="A104" s="58"/>
      <c r="B104" s="59">
        <v>39995</v>
      </c>
      <c r="C104" s="59">
        <v>40026</v>
      </c>
      <c r="D104" s="59">
        <v>40057</v>
      </c>
      <c r="E104" s="59">
        <v>40087</v>
      </c>
      <c r="F104" s="59">
        <v>40118</v>
      </c>
      <c r="G104" s="59">
        <v>40148</v>
      </c>
      <c r="H104" s="59">
        <v>40179</v>
      </c>
      <c r="I104" s="59">
        <v>40210</v>
      </c>
      <c r="J104" s="59">
        <v>40238</v>
      </c>
      <c r="K104" s="59">
        <v>40269</v>
      </c>
      <c r="L104" s="59">
        <v>40299</v>
      </c>
      <c r="M104" s="59">
        <v>40330</v>
      </c>
      <c r="N104" s="60" t="s">
        <v>367</v>
      </c>
      <c r="O104" s="61" t="s">
        <v>166</v>
      </c>
      <c r="P104" s="61" t="s">
        <v>171</v>
      </c>
      <c r="Q104" s="2"/>
    </row>
    <row r="105" spans="1:17" ht="12.75" customHeight="1">
      <c r="A105" s="67" t="s">
        <v>219</v>
      </c>
      <c r="B105" s="59"/>
      <c r="C105" s="59"/>
      <c r="D105" s="59"/>
      <c r="E105" s="59"/>
      <c r="F105" s="59"/>
      <c r="G105" s="59"/>
      <c r="H105" s="59"/>
      <c r="I105" s="59"/>
      <c r="J105" s="59"/>
      <c r="K105" s="59"/>
      <c r="L105" s="59"/>
      <c r="M105" s="59"/>
      <c r="N105" s="53"/>
      <c r="O105" s="103"/>
      <c r="P105" s="103"/>
    </row>
    <row r="106" spans="1:17" ht="12.75" customHeight="1">
      <c r="A106" s="71" t="s">
        <v>253</v>
      </c>
      <c r="B106" s="23">
        <v>55</v>
      </c>
      <c r="C106" s="23">
        <v>20</v>
      </c>
      <c r="D106" s="23">
        <v>51</v>
      </c>
      <c r="E106" s="23">
        <v>161</v>
      </c>
      <c r="F106" s="23">
        <v>177</v>
      </c>
      <c r="G106" s="23">
        <v>173</v>
      </c>
      <c r="H106" s="23">
        <v>37</v>
      </c>
      <c r="I106" s="23">
        <v>93</v>
      </c>
      <c r="J106" s="23">
        <v>173</v>
      </c>
      <c r="K106" s="23">
        <v>189</v>
      </c>
      <c r="L106" s="23">
        <v>82</v>
      </c>
      <c r="M106" s="23">
        <v>39</v>
      </c>
      <c r="N106" s="73">
        <f>SUM(B106:M106)</f>
        <v>1250</v>
      </c>
      <c r="O106" s="107"/>
      <c r="P106" s="76"/>
    </row>
    <row r="107" spans="1:17" ht="12.75" customHeight="1">
      <c r="A107" s="71" t="s">
        <v>204</v>
      </c>
      <c r="B107" s="23">
        <v>422</v>
      </c>
      <c r="C107" s="23">
        <v>57</v>
      </c>
      <c r="D107" s="23">
        <v>197</v>
      </c>
      <c r="E107" s="23">
        <v>744</v>
      </c>
      <c r="F107" s="23">
        <v>742</v>
      </c>
      <c r="G107" s="23">
        <v>926</v>
      </c>
      <c r="H107" s="23">
        <v>129</v>
      </c>
      <c r="I107" s="23">
        <v>384</v>
      </c>
      <c r="J107" s="23">
        <v>979</v>
      </c>
      <c r="K107" s="23">
        <v>793</v>
      </c>
      <c r="L107" s="23">
        <v>443</v>
      </c>
      <c r="M107" s="23">
        <v>122</v>
      </c>
      <c r="N107" s="73">
        <f>SUM(B107:M107)</f>
        <v>5938</v>
      </c>
      <c r="O107" s="107">
        <v>0</v>
      </c>
      <c r="P107" s="76" t="s">
        <v>228</v>
      </c>
    </row>
    <row r="108" spans="1:17" ht="12.75" customHeight="1">
      <c r="A108" s="2"/>
      <c r="B108" s="86"/>
      <c r="C108" s="86"/>
      <c r="D108" s="86"/>
      <c r="E108" s="86"/>
      <c r="F108" s="86"/>
      <c r="G108" s="86"/>
      <c r="H108" s="86"/>
      <c r="I108" s="86"/>
      <c r="J108" s="86"/>
      <c r="K108" s="86"/>
      <c r="L108" s="86"/>
      <c r="M108" s="86"/>
      <c r="N108" s="87"/>
      <c r="O108" s="76"/>
      <c r="P108" s="76"/>
    </row>
    <row r="109" spans="1:17" ht="12.75" customHeight="1">
      <c r="A109" s="5"/>
      <c r="B109" s="88"/>
      <c r="C109" s="88"/>
      <c r="D109" s="88"/>
      <c r="E109" s="88"/>
      <c r="F109" s="88"/>
      <c r="G109" s="88"/>
      <c r="H109" s="88"/>
      <c r="I109" s="88"/>
      <c r="J109" s="88"/>
      <c r="K109" s="88"/>
      <c r="L109" s="88"/>
      <c r="M109" s="88"/>
      <c r="N109" s="89"/>
      <c r="O109" s="102"/>
      <c r="P109" s="102"/>
    </row>
    <row r="110" spans="1:17" ht="12.75" customHeight="1">
      <c r="A110" s="58"/>
      <c r="B110" s="59">
        <v>39995</v>
      </c>
      <c r="C110" s="59">
        <v>40026</v>
      </c>
      <c r="D110" s="59">
        <v>40057</v>
      </c>
      <c r="E110" s="59">
        <v>40087</v>
      </c>
      <c r="F110" s="59">
        <v>40118</v>
      </c>
      <c r="G110" s="59">
        <v>40148</v>
      </c>
      <c r="H110" s="59">
        <v>40179</v>
      </c>
      <c r="I110" s="59">
        <v>40210</v>
      </c>
      <c r="J110" s="59">
        <v>40238</v>
      </c>
      <c r="K110" s="59">
        <v>40269</v>
      </c>
      <c r="L110" s="59">
        <v>40299</v>
      </c>
      <c r="M110" s="59">
        <v>40330</v>
      </c>
      <c r="N110" s="60" t="s">
        <v>367</v>
      </c>
      <c r="O110" s="61" t="s">
        <v>166</v>
      </c>
      <c r="P110" s="61" t="s">
        <v>171</v>
      </c>
    </row>
    <row r="111" spans="1:17" ht="12.75" customHeight="1">
      <c r="A111" s="182" t="s">
        <v>310</v>
      </c>
      <c r="B111" s="183"/>
      <c r="C111" s="187"/>
      <c r="D111" s="59"/>
      <c r="E111" s="59"/>
      <c r="F111" s="59"/>
      <c r="G111" s="59"/>
      <c r="H111" s="59"/>
      <c r="I111" s="59"/>
      <c r="J111" s="59"/>
      <c r="K111" s="59"/>
      <c r="L111" s="59"/>
      <c r="M111" s="59"/>
      <c r="N111" s="53"/>
      <c r="O111" s="103"/>
      <c r="P111" s="103"/>
    </row>
    <row r="112" spans="1:17" ht="12.75" customHeight="1">
      <c r="A112" s="71" t="s">
        <v>253</v>
      </c>
      <c r="B112" s="33">
        <v>138</v>
      </c>
      <c r="C112" s="33">
        <v>53</v>
      </c>
      <c r="D112" s="23">
        <v>112</v>
      </c>
      <c r="E112" s="23">
        <v>348</v>
      </c>
      <c r="F112" s="23">
        <v>409</v>
      </c>
      <c r="G112" s="23">
        <v>295</v>
      </c>
      <c r="H112" s="23">
        <v>60</v>
      </c>
      <c r="I112" s="23">
        <v>214</v>
      </c>
      <c r="J112" s="23">
        <v>331</v>
      </c>
      <c r="K112" s="23">
        <v>615</v>
      </c>
      <c r="L112" s="23">
        <v>220</v>
      </c>
      <c r="M112" s="23">
        <v>211</v>
      </c>
      <c r="N112" s="73">
        <f>SUM(B112:M112)</f>
        <v>3006</v>
      </c>
      <c r="O112" s="107"/>
      <c r="P112" s="76"/>
    </row>
    <row r="113" spans="1:16" ht="12.75" customHeight="1">
      <c r="A113" s="71" t="s">
        <v>204</v>
      </c>
      <c r="B113" s="23">
        <v>520</v>
      </c>
      <c r="C113" s="23">
        <v>173</v>
      </c>
      <c r="D113" s="23">
        <v>286</v>
      </c>
      <c r="E113" s="23">
        <v>936</v>
      </c>
      <c r="F113" s="23">
        <v>1002</v>
      </c>
      <c r="G113" s="23">
        <v>1040</v>
      </c>
      <c r="H113" s="23">
        <v>199</v>
      </c>
      <c r="I113" s="23">
        <v>538</v>
      </c>
      <c r="J113" s="23">
        <v>1208</v>
      </c>
      <c r="K113" s="23">
        <v>1079</v>
      </c>
      <c r="L113" s="23">
        <v>462</v>
      </c>
      <c r="M113" s="23">
        <v>245</v>
      </c>
      <c r="N113" s="73">
        <f>SUM(B113:M113)</f>
        <v>7688</v>
      </c>
      <c r="O113" s="107">
        <v>0</v>
      </c>
      <c r="P113" s="76" t="s">
        <v>228</v>
      </c>
    </row>
    <row r="114" spans="1:16" ht="12.75" customHeight="1">
      <c r="A114" s="2"/>
      <c r="B114" s="86"/>
      <c r="C114" s="86"/>
      <c r="D114" s="86"/>
      <c r="E114" s="86"/>
      <c r="F114" s="86"/>
      <c r="G114" s="86"/>
      <c r="H114" s="86"/>
      <c r="I114" s="86"/>
      <c r="J114" s="86"/>
      <c r="K114" s="86"/>
      <c r="L114" s="86"/>
      <c r="M114" s="86"/>
      <c r="N114" s="87"/>
      <c r="O114" s="76"/>
      <c r="P114" s="76"/>
    </row>
    <row r="115" spans="1:16" ht="12.75" customHeight="1">
      <c r="A115" s="5"/>
      <c r="B115" s="88"/>
      <c r="C115" s="88"/>
      <c r="D115" s="88"/>
      <c r="E115" s="88"/>
      <c r="F115" s="88"/>
      <c r="G115" s="88"/>
      <c r="H115" s="88"/>
      <c r="I115" s="88"/>
      <c r="J115" s="88"/>
      <c r="K115" s="88"/>
      <c r="L115" s="88"/>
      <c r="M115" s="88"/>
      <c r="N115" s="89"/>
      <c r="O115" s="102"/>
      <c r="P115" s="102"/>
    </row>
    <row r="116" spans="1:16" ht="12.75" customHeight="1">
      <c r="A116" s="58"/>
      <c r="B116" s="59">
        <v>39995</v>
      </c>
      <c r="C116" s="59">
        <v>40026</v>
      </c>
      <c r="D116" s="59">
        <v>40057</v>
      </c>
      <c r="E116" s="59">
        <v>40087</v>
      </c>
      <c r="F116" s="59">
        <v>40118</v>
      </c>
      <c r="G116" s="59">
        <v>40148</v>
      </c>
      <c r="H116" s="59">
        <v>40179</v>
      </c>
      <c r="I116" s="59">
        <v>40210</v>
      </c>
      <c r="J116" s="59">
        <v>40238</v>
      </c>
      <c r="K116" s="59">
        <v>40269</v>
      </c>
      <c r="L116" s="59">
        <v>40299</v>
      </c>
      <c r="M116" s="59">
        <v>40330</v>
      </c>
      <c r="N116" s="60" t="s">
        <v>367</v>
      </c>
      <c r="O116" s="61" t="s">
        <v>166</v>
      </c>
      <c r="P116" s="61" t="s">
        <v>171</v>
      </c>
    </row>
    <row r="117" spans="1:16" ht="12.75" customHeight="1">
      <c r="A117" s="67" t="s">
        <v>182</v>
      </c>
      <c r="B117" s="59"/>
      <c r="C117" s="59"/>
      <c r="D117" s="59"/>
      <c r="E117" s="59"/>
      <c r="F117" s="59"/>
      <c r="G117" s="59"/>
      <c r="H117" s="59"/>
      <c r="I117" s="59"/>
      <c r="J117" s="59"/>
      <c r="K117" s="59"/>
      <c r="L117" s="59"/>
      <c r="M117" s="59"/>
      <c r="N117" s="53"/>
      <c r="O117" s="103"/>
      <c r="P117" s="103"/>
    </row>
    <row r="118" spans="1:16" ht="12.75" customHeight="1">
      <c r="A118" s="71" t="s">
        <v>253</v>
      </c>
      <c r="B118" s="23">
        <v>68</v>
      </c>
      <c r="C118" s="23">
        <v>21</v>
      </c>
      <c r="D118" s="23">
        <v>49</v>
      </c>
      <c r="E118" s="23">
        <v>198</v>
      </c>
      <c r="F118" s="23">
        <v>238</v>
      </c>
      <c r="G118" s="23">
        <v>176</v>
      </c>
      <c r="H118" s="23">
        <v>34</v>
      </c>
      <c r="I118" s="23">
        <v>148</v>
      </c>
      <c r="J118" s="23">
        <v>181</v>
      </c>
      <c r="K118" s="23">
        <v>247</v>
      </c>
      <c r="L118" s="23">
        <v>80</v>
      </c>
      <c r="M118" s="23">
        <v>43</v>
      </c>
      <c r="N118" s="73">
        <f>SUM(B118:M118)</f>
        <v>1483</v>
      </c>
      <c r="O118" s="107"/>
      <c r="P118" s="76"/>
    </row>
    <row r="119" spans="1:16" ht="12.75" customHeight="1">
      <c r="A119" s="71" t="s">
        <v>204</v>
      </c>
      <c r="B119" s="23">
        <v>451</v>
      </c>
      <c r="C119" s="23">
        <v>52</v>
      </c>
      <c r="D119" s="23">
        <v>215</v>
      </c>
      <c r="E119" s="23">
        <v>1020</v>
      </c>
      <c r="F119" s="23">
        <v>1162</v>
      </c>
      <c r="G119" s="23">
        <v>1000</v>
      </c>
      <c r="H119" s="23">
        <v>113</v>
      </c>
      <c r="I119" s="23">
        <v>647</v>
      </c>
      <c r="J119" s="23">
        <v>1043</v>
      </c>
      <c r="K119" s="23">
        <v>1222</v>
      </c>
      <c r="L119" s="23">
        <v>548</v>
      </c>
      <c r="M119" s="23">
        <v>186</v>
      </c>
      <c r="N119" s="73">
        <f>SUM(B119:M119)</f>
        <v>7659</v>
      </c>
      <c r="O119" s="107">
        <v>0</v>
      </c>
      <c r="P119" s="76" t="s">
        <v>228</v>
      </c>
    </row>
    <row r="120" spans="1:16" ht="12.75" customHeight="1">
      <c r="A120" s="2"/>
      <c r="B120" s="86"/>
      <c r="C120" s="86"/>
      <c r="D120" s="86"/>
      <c r="E120" s="86"/>
      <c r="F120" s="86"/>
      <c r="G120" s="86"/>
      <c r="H120" s="86"/>
      <c r="I120" s="86"/>
      <c r="J120" s="86"/>
      <c r="K120" s="86"/>
      <c r="L120" s="86"/>
      <c r="M120" s="86"/>
      <c r="N120" s="87"/>
      <c r="O120" s="76"/>
      <c r="P120" s="76"/>
    </row>
    <row r="121" spans="1:16" ht="12.75" customHeight="1">
      <c r="A121" s="5"/>
      <c r="B121" s="88"/>
      <c r="C121" s="88"/>
      <c r="D121" s="88"/>
      <c r="E121" s="88"/>
      <c r="F121" s="88"/>
      <c r="G121" s="88"/>
      <c r="H121" s="88"/>
      <c r="I121" s="88"/>
      <c r="J121" s="88"/>
      <c r="K121" s="88"/>
      <c r="L121" s="88"/>
      <c r="M121" s="88"/>
      <c r="N121" s="89"/>
      <c r="O121" s="102"/>
      <c r="P121" s="102"/>
    </row>
    <row r="122" spans="1:16" ht="12.75" customHeight="1">
      <c r="A122" s="58"/>
      <c r="B122" s="59">
        <v>39995</v>
      </c>
      <c r="C122" s="59">
        <v>40026</v>
      </c>
      <c r="D122" s="59">
        <v>40057</v>
      </c>
      <c r="E122" s="59">
        <v>40087</v>
      </c>
      <c r="F122" s="59">
        <v>40118</v>
      </c>
      <c r="G122" s="59">
        <v>40148</v>
      </c>
      <c r="H122" s="59">
        <v>40179</v>
      </c>
      <c r="I122" s="59">
        <v>40210</v>
      </c>
      <c r="J122" s="59">
        <v>40238</v>
      </c>
      <c r="K122" s="59">
        <v>40269</v>
      </c>
      <c r="L122" s="59">
        <v>40299</v>
      </c>
      <c r="M122" s="59">
        <v>40330</v>
      </c>
      <c r="N122" s="60" t="s">
        <v>367</v>
      </c>
      <c r="O122" s="61" t="s">
        <v>166</v>
      </c>
      <c r="P122" s="61" t="s">
        <v>171</v>
      </c>
    </row>
    <row r="123" spans="1:16" ht="12.75" customHeight="1">
      <c r="A123" s="67" t="s">
        <v>322</v>
      </c>
      <c r="B123" s="59"/>
      <c r="C123" s="59"/>
      <c r="D123" s="59"/>
      <c r="E123" s="59"/>
      <c r="F123" s="59"/>
      <c r="G123" s="59"/>
      <c r="H123" s="59"/>
      <c r="I123" s="59"/>
      <c r="J123" s="59"/>
      <c r="K123" s="59"/>
      <c r="L123" s="59"/>
      <c r="M123" s="59"/>
      <c r="N123" s="53"/>
      <c r="O123" s="103"/>
      <c r="P123" s="103"/>
    </row>
    <row r="124" spans="1:16" ht="12.75" customHeight="1">
      <c r="A124" s="71" t="s">
        <v>253</v>
      </c>
      <c r="B124" s="23">
        <v>64</v>
      </c>
      <c r="C124" s="23">
        <v>23</v>
      </c>
      <c r="D124" s="23">
        <v>63</v>
      </c>
      <c r="E124" s="23">
        <v>252</v>
      </c>
      <c r="F124" s="23">
        <v>328</v>
      </c>
      <c r="G124" s="23">
        <v>259</v>
      </c>
      <c r="H124" s="23">
        <v>36</v>
      </c>
      <c r="I124" s="23">
        <v>99</v>
      </c>
      <c r="J124" s="23">
        <v>150</v>
      </c>
      <c r="K124" s="23">
        <v>200</v>
      </c>
      <c r="L124" s="23">
        <v>80</v>
      </c>
      <c r="M124" s="23">
        <v>42</v>
      </c>
      <c r="N124" s="73">
        <f>SUM(B124:M124)</f>
        <v>1596</v>
      </c>
      <c r="O124" s="107"/>
      <c r="P124" s="76"/>
    </row>
    <row r="125" spans="1:16" ht="12.75" customHeight="1">
      <c r="A125" s="71" t="s">
        <v>204</v>
      </c>
      <c r="B125" s="23">
        <v>413</v>
      </c>
      <c r="C125" s="23">
        <v>56</v>
      </c>
      <c r="D125" s="23">
        <v>257</v>
      </c>
      <c r="E125" s="23">
        <v>1428</v>
      </c>
      <c r="F125" s="23">
        <v>1311</v>
      </c>
      <c r="G125" s="23">
        <v>1070</v>
      </c>
      <c r="H125" s="23">
        <v>130</v>
      </c>
      <c r="I125" s="23">
        <v>398</v>
      </c>
      <c r="J125" s="23">
        <v>869</v>
      </c>
      <c r="K125" s="23">
        <v>918</v>
      </c>
      <c r="L125" s="23">
        <v>504</v>
      </c>
      <c r="M125" s="23">
        <v>147</v>
      </c>
      <c r="N125" s="73">
        <f>SUM(B125:M125)</f>
        <v>7501</v>
      </c>
      <c r="O125" s="107">
        <v>1806</v>
      </c>
      <c r="P125" s="76">
        <f>O125/N125</f>
        <v>0.24076789761365153</v>
      </c>
    </row>
    <row r="126" spans="1:16" ht="12.75" customHeight="1">
      <c r="A126" s="71" t="s">
        <v>268</v>
      </c>
      <c r="B126" s="23">
        <v>4</v>
      </c>
      <c r="C126" s="23">
        <v>4</v>
      </c>
      <c r="D126" s="23">
        <v>4</v>
      </c>
      <c r="E126" s="23">
        <v>4</v>
      </c>
      <c r="F126" s="23">
        <v>4</v>
      </c>
      <c r="G126" s="23">
        <v>4</v>
      </c>
      <c r="H126" s="23">
        <v>4</v>
      </c>
      <c r="I126" s="23">
        <v>4</v>
      </c>
      <c r="J126" s="23">
        <v>4</v>
      </c>
      <c r="K126" s="23">
        <v>4</v>
      </c>
      <c r="L126" s="23">
        <v>4</v>
      </c>
      <c r="M126" s="23">
        <v>4</v>
      </c>
      <c r="N126" s="72"/>
      <c r="O126" s="107"/>
      <c r="P126" s="76"/>
    </row>
    <row r="127" spans="1:16" ht="12.75" customHeight="1">
      <c r="A127" s="71" t="s">
        <v>10</v>
      </c>
      <c r="B127" s="23">
        <v>0</v>
      </c>
      <c r="C127" s="23">
        <v>0</v>
      </c>
      <c r="D127" s="23">
        <v>0</v>
      </c>
      <c r="E127" s="23">
        <v>0</v>
      </c>
      <c r="F127" s="23">
        <v>0</v>
      </c>
      <c r="G127" s="23">
        <v>0</v>
      </c>
      <c r="H127" s="23">
        <v>0</v>
      </c>
      <c r="I127" s="23">
        <v>0</v>
      </c>
      <c r="J127" s="23">
        <v>0</v>
      </c>
      <c r="K127" s="23">
        <v>0</v>
      </c>
      <c r="L127" s="23">
        <v>0</v>
      </c>
      <c r="M127" s="23">
        <v>0</v>
      </c>
      <c r="N127" s="73">
        <f>SUM(B127:M127)</f>
        <v>0</v>
      </c>
      <c r="O127" s="107"/>
      <c r="P127" s="76"/>
    </row>
    <row r="128" spans="1:16" ht="12.75" customHeight="1">
      <c r="A128" s="2"/>
      <c r="B128" s="86"/>
      <c r="C128" s="86"/>
      <c r="D128" s="86"/>
      <c r="E128" s="86"/>
      <c r="F128" s="86"/>
      <c r="G128" s="86"/>
      <c r="H128" s="86"/>
      <c r="I128" s="86"/>
      <c r="J128" s="86"/>
      <c r="K128" s="86"/>
      <c r="L128" s="86"/>
      <c r="M128" s="86"/>
      <c r="N128" s="87"/>
      <c r="O128" s="76"/>
      <c r="P128" s="76"/>
    </row>
    <row r="129" spans="1:17" ht="12.75" customHeight="1">
      <c r="A129" s="5"/>
      <c r="B129" s="88"/>
      <c r="C129" s="88"/>
      <c r="D129" s="88"/>
      <c r="E129" s="88"/>
      <c r="F129" s="88"/>
      <c r="G129" s="88"/>
      <c r="H129" s="88"/>
      <c r="I129" s="88"/>
      <c r="J129" s="88"/>
      <c r="K129" s="88"/>
      <c r="L129" s="88"/>
      <c r="M129" s="88"/>
      <c r="N129" s="89"/>
      <c r="O129" s="102"/>
      <c r="P129" s="102"/>
    </row>
    <row r="130" spans="1:17" ht="12.75" customHeight="1">
      <c r="A130" s="58"/>
      <c r="B130" s="59">
        <v>39995</v>
      </c>
      <c r="C130" s="59">
        <v>40026</v>
      </c>
      <c r="D130" s="59">
        <v>40057</v>
      </c>
      <c r="E130" s="59">
        <v>40087</v>
      </c>
      <c r="F130" s="59">
        <v>40118</v>
      </c>
      <c r="G130" s="59">
        <v>40148</v>
      </c>
      <c r="H130" s="59">
        <v>40179</v>
      </c>
      <c r="I130" s="59">
        <v>40210</v>
      </c>
      <c r="J130" s="59">
        <v>40238</v>
      </c>
      <c r="K130" s="59">
        <v>40269</v>
      </c>
      <c r="L130" s="59">
        <v>40299</v>
      </c>
      <c r="M130" s="59">
        <v>40330</v>
      </c>
      <c r="N130" s="60" t="s">
        <v>367</v>
      </c>
      <c r="O130" s="61" t="s">
        <v>166</v>
      </c>
      <c r="P130" s="61" t="s">
        <v>171</v>
      </c>
    </row>
    <row r="131" spans="1:17" ht="12.75" customHeight="1">
      <c r="A131" s="182" t="s">
        <v>51</v>
      </c>
      <c r="B131" s="183"/>
      <c r="C131" s="187"/>
      <c r="D131" s="59"/>
      <c r="E131" s="59"/>
      <c r="F131" s="59"/>
      <c r="G131" s="59"/>
      <c r="H131" s="59"/>
      <c r="I131" s="59"/>
      <c r="J131" s="59"/>
      <c r="K131" s="59"/>
      <c r="L131" s="59"/>
      <c r="M131" s="59"/>
      <c r="N131" s="53"/>
      <c r="O131" s="103"/>
      <c r="P131" s="103"/>
    </row>
    <row r="132" spans="1:17" ht="12.75" customHeight="1">
      <c r="A132" s="71" t="s">
        <v>253</v>
      </c>
      <c r="B132" s="33">
        <v>53</v>
      </c>
      <c r="C132" s="33">
        <v>21</v>
      </c>
      <c r="D132" s="23">
        <v>54</v>
      </c>
      <c r="E132" s="23">
        <v>176</v>
      </c>
      <c r="F132" s="23">
        <v>149</v>
      </c>
      <c r="G132" s="23">
        <v>157</v>
      </c>
      <c r="H132" s="23">
        <v>30</v>
      </c>
      <c r="I132" s="23">
        <v>93</v>
      </c>
      <c r="J132" s="23">
        <v>163</v>
      </c>
      <c r="K132" s="23">
        <v>189</v>
      </c>
      <c r="L132" s="23">
        <v>70</v>
      </c>
      <c r="M132" s="23">
        <v>42</v>
      </c>
      <c r="N132" s="73">
        <f>SUM(B132:M132)</f>
        <v>1197</v>
      </c>
      <c r="O132" s="107"/>
      <c r="P132" s="76"/>
    </row>
    <row r="133" spans="1:17" ht="12.75" customHeight="1">
      <c r="A133" s="71" t="s">
        <v>204</v>
      </c>
      <c r="B133" s="23">
        <v>419</v>
      </c>
      <c r="C133" s="23">
        <v>64</v>
      </c>
      <c r="D133" s="23">
        <v>219</v>
      </c>
      <c r="E133" s="23">
        <v>783</v>
      </c>
      <c r="F133" s="23">
        <v>702</v>
      </c>
      <c r="G133" s="23">
        <v>898</v>
      </c>
      <c r="H133" s="23">
        <v>89</v>
      </c>
      <c r="I133" s="23">
        <v>364</v>
      </c>
      <c r="J133" s="23">
        <v>888</v>
      </c>
      <c r="K133" s="23">
        <v>770</v>
      </c>
      <c r="L133" s="23">
        <v>426</v>
      </c>
      <c r="M133" s="23">
        <v>118</v>
      </c>
      <c r="N133" s="73">
        <f>SUM(B133:M133)</f>
        <v>5740</v>
      </c>
      <c r="O133" s="107">
        <v>0</v>
      </c>
      <c r="P133" s="76" t="s">
        <v>228</v>
      </c>
    </row>
    <row r="134" spans="1:17" ht="12.75" customHeight="1">
      <c r="A134" s="2"/>
      <c r="B134" s="86"/>
      <c r="C134" s="86"/>
      <c r="D134" s="86"/>
      <c r="E134" s="86"/>
      <c r="F134" s="86"/>
      <c r="G134" s="86"/>
      <c r="H134" s="86"/>
      <c r="I134" s="86"/>
      <c r="J134" s="86"/>
      <c r="K134" s="86"/>
      <c r="L134" s="86"/>
      <c r="M134" s="86"/>
      <c r="N134" s="87"/>
      <c r="O134" s="76"/>
      <c r="P134" s="76"/>
    </row>
    <row r="135" spans="1:17" ht="12.75" customHeight="1">
      <c r="A135" s="5"/>
      <c r="B135" s="88"/>
      <c r="C135" s="88"/>
      <c r="D135" s="88"/>
      <c r="E135" s="88"/>
      <c r="F135" s="88"/>
      <c r="G135" s="88"/>
      <c r="H135" s="88"/>
      <c r="I135" s="88"/>
      <c r="J135" s="88"/>
      <c r="K135" s="88"/>
      <c r="L135" s="88"/>
      <c r="M135" s="88"/>
      <c r="N135" s="89"/>
      <c r="O135" s="102"/>
      <c r="P135" s="102"/>
    </row>
    <row r="136" spans="1:17" ht="24.75" customHeight="1">
      <c r="A136" s="58"/>
      <c r="B136" s="59">
        <v>39995</v>
      </c>
      <c r="C136" s="59">
        <v>40026</v>
      </c>
      <c r="D136" s="59">
        <v>40057</v>
      </c>
      <c r="E136" s="59">
        <v>40087</v>
      </c>
      <c r="F136" s="59">
        <v>40118</v>
      </c>
      <c r="G136" s="59">
        <v>40148</v>
      </c>
      <c r="H136" s="59">
        <v>40179</v>
      </c>
      <c r="I136" s="59">
        <v>40210</v>
      </c>
      <c r="J136" s="59">
        <v>40238</v>
      </c>
      <c r="K136" s="59">
        <v>40269</v>
      </c>
      <c r="L136" s="59">
        <v>40299</v>
      </c>
      <c r="M136" s="59">
        <v>40330</v>
      </c>
      <c r="N136" s="60" t="s">
        <v>367</v>
      </c>
      <c r="O136" s="61" t="s">
        <v>166</v>
      </c>
      <c r="P136" s="61" t="s">
        <v>171</v>
      </c>
      <c r="Q136" s="2"/>
    </row>
    <row r="137" spans="1:17" ht="12.75" customHeight="1">
      <c r="A137" s="186" t="s">
        <v>173</v>
      </c>
      <c r="B137" s="187"/>
      <c r="C137" s="59"/>
      <c r="D137" s="59"/>
      <c r="E137" s="59"/>
      <c r="F137" s="59"/>
      <c r="G137" s="59"/>
      <c r="H137" s="59"/>
      <c r="I137" s="59"/>
      <c r="J137" s="59"/>
      <c r="K137" s="59"/>
      <c r="L137" s="59"/>
      <c r="M137" s="59"/>
      <c r="N137" s="53"/>
      <c r="O137" s="103"/>
      <c r="P137" s="103"/>
    </row>
    <row r="138" spans="1:17" ht="12.75" customHeight="1">
      <c r="A138" s="71" t="s">
        <v>253</v>
      </c>
      <c r="B138" s="33">
        <v>77</v>
      </c>
      <c r="C138" s="23">
        <v>27</v>
      </c>
      <c r="D138" s="23">
        <v>55</v>
      </c>
      <c r="E138" s="23">
        <v>198</v>
      </c>
      <c r="F138" s="23">
        <v>226</v>
      </c>
      <c r="G138" s="23">
        <v>198</v>
      </c>
      <c r="H138" s="23">
        <v>39</v>
      </c>
      <c r="I138" s="23">
        <v>113</v>
      </c>
      <c r="J138" s="23">
        <v>232</v>
      </c>
      <c r="K138" s="23">
        <v>247</v>
      </c>
      <c r="L138" s="23">
        <v>96</v>
      </c>
      <c r="M138" s="23">
        <v>38</v>
      </c>
      <c r="N138" s="73">
        <f>SUM(B138:M138)</f>
        <v>1546</v>
      </c>
      <c r="O138" s="107"/>
      <c r="P138" s="76"/>
    </row>
    <row r="139" spans="1:17" ht="12.75" customHeight="1">
      <c r="A139" s="71" t="s">
        <v>204</v>
      </c>
      <c r="B139" s="23">
        <v>465</v>
      </c>
      <c r="C139" s="23">
        <v>50</v>
      </c>
      <c r="D139" s="23">
        <v>189</v>
      </c>
      <c r="E139" s="23">
        <v>838</v>
      </c>
      <c r="F139" s="23">
        <v>846</v>
      </c>
      <c r="G139" s="23">
        <v>1055</v>
      </c>
      <c r="H139" s="23">
        <v>92</v>
      </c>
      <c r="I139" s="23">
        <v>471</v>
      </c>
      <c r="J139" s="23">
        <v>900</v>
      </c>
      <c r="K139" s="23">
        <v>890</v>
      </c>
      <c r="L139" s="23">
        <v>527</v>
      </c>
      <c r="M139" s="23">
        <v>118</v>
      </c>
      <c r="N139" s="73">
        <f>SUM(B139:M139)</f>
        <v>6441</v>
      </c>
      <c r="O139" s="107">
        <v>0</v>
      </c>
      <c r="P139" s="76" t="s">
        <v>228</v>
      </c>
    </row>
    <row r="140" spans="1:17" ht="12.75" customHeight="1">
      <c r="A140" s="2"/>
      <c r="B140" s="86"/>
      <c r="C140" s="86"/>
      <c r="D140" s="86"/>
      <c r="E140" s="86"/>
      <c r="F140" s="86"/>
      <c r="G140" s="86"/>
      <c r="H140" s="86"/>
      <c r="I140" s="86"/>
      <c r="J140" s="86"/>
      <c r="K140" s="86"/>
      <c r="L140" s="86"/>
      <c r="M140" s="86"/>
      <c r="N140" s="87"/>
      <c r="O140" s="76"/>
      <c r="P140" s="76"/>
    </row>
    <row r="141" spans="1:17" ht="12.75" customHeight="1">
      <c r="A141" s="5"/>
      <c r="B141" s="88"/>
      <c r="C141" s="88"/>
      <c r="D141" s="88"/>
      <c r="E141" s="88"/>
      <c r="F141" s="88"/>
      <c r="G141" s="88"/>
      <c r="H141" s="88"/>
      <c r="I141" s="88"/>
      <c r="J141" s="88"/>
      <c r="K141" s="88"/>
      <c r="L141" s="88"/>
      <c r="M141" s="88"/>
      <c r="N141" s="89"/>
      <c r="O141" s="102"/>
      <c r="P141" s="102"/>
    </row>
    <row r="142" spans="1:17" ht="12.75" customHeight="1">
      <c r="A142" s="58"/>
      <c r="B142" s="59">
        <v>39995</v>
      </c>
      <c r="C142" s="59">
        <v>40026</v>
      </c>
      <c r="D142" s="59">
        <v>40057</v>
      </c>
      <c r="E142" s="59">
        <v>40087</v>
      </c>
      <c r="F142" s="59">
        <v>40118</v>
      </c>
      <c r="G142" s="59">
        <v>40148</v>
      </c>
      <c r="H142" s="59">
        <v>40179</v>
      </c>
      <c r="I142" s="59">
        <v>40210</v>
      </c>
      <c r="J142" s="59">
        <v>40238</v>
      </c>
      <c r="K142" s="59">
        <v>40269</v>
      </c>
      <c r="L142" s="59">
        <v>40299</v>
      </c>
      <c r="M142" s="59">
        <v>40330</v>
      </c>
      <c r="N142" s="60" t="s">
        <v>367</v>
      </c>
      <c r="O142" s="61" t="s">
        <v>166</v>
      </c>
      <c r="P142" s="61" t="s">
        <v>171</v>
      </c>
    </row>
    <row r="143" spans="1:17" ht="12.75" customHeight="1">
      <c r="A143" s="67" t="s">
        <v>381</v>
      </c>
      <c r="B143" s="59"/>
      <c r="C143" s="59"/>
      <c r="D143" s="59"/>
      <c r="E143" s="59"/>
      <c r="F143" s="59"/>
      <c r="G143" s="59"/>
      <c r="H143" s="59"/>
      <c r="I143" s="59"/>
      <c r="J143" s="59"/>
      <c r="K143" s="59"/>
      <c r="L143" s="59"/>
      <c r="M143" s="59"/>
      <c r="N143" s="53"/>
      <c r="O143" s="103"/>
      <c r="P143" s="103"/>
    </row>
    <row r="144" spans="1:17" ht="12.75" customHeight="1">
      <c r="A144" s="71" t="s">
        <v>253</v>
      </c>
      <c r="B144" s="23">
        <v>64</v>
      </c>
      <c r="C144" s="23">
        <v>18</v>
      </c>
      <c r="D144" s="23">
        <v>44</v>
      </c>
      <c r="E144" s="23">
        <v>171</v>
      </c>
      <c r="F144" s="23">
        <v>156</v>
      </c>
      <c r="G144" s="23">
        <v>152</v>
      </c>
      <c r="H144" s="23">
        <v>33</v>
      </c>
      <c r="I144" s="23">
        <v>132</v>
      </c>
      <c r="J144" s="23">
        <v>175</v>
      </c>
      <c r="K144" s="23">
        <v>196</v>
      </c>
      <c r="L144" s="23">
        <v>86</v>
      </c>
      <c r="M144" s="23">
        <v>33</v>
      </c>
      <c r="N144" s="73">
        <f>SUM(B144:M144)</f>
        <v>1260</v>
      </c>
      <c r="O144" s="107"/>
      <c r="P144" s="76"/>
    </row>
    <row r="145" spans="1:17" ht="12.75" customHeight="1">
      <c r="A145" s="71" t="s">
        <v>204</v>
      </c>
      <c r="B145" s="23">
        <v>409</v>
      </c>
      <c r="C145" s="23">
        <v>55</v>
      </c>
      <c r="D145" s="23">
        <v>186</v>
      </c>
      <c r="E145" s="23">
        <v>766</v>
      </c>
      <c r="F145" s="23">
        <v>650</v>
      </c>
      <c r="G145" s="23">
        <v>887</v>
      </c>
      <c r="H145" s="23">
        <v>95</v>
      </c>
      <c r="I145" s="23">
        <v>614</v>
      </c>
      <c r="J145" s="23">
        <v>898</v>
      </c>
      <c r="K145" s="23">
        <v>823</v>
      </c>
      <c r="L145" s="23">
        <v>516</v>
      </c>
      <c r="M145" s="23">
        <v>120</v>
      </c>
      <c r="N145" s="73">
        <f>SUM(B145:M145)</f>
        <v>6019</v>
      </c>
      <c r="O145" s="107">
        <v>2280</v>
      </c>
      <c r="P145" s="76">
        <f>O145/N145</f>
        <v>0.37880046519355376</v>
      </c>
    </row>
    <row r="146" spans="1:17" ht="12.75" customHeight="1">
      <c r="A146" s="2"/>
      <c r="B146" s="86"/>
      <c r="C146" s="86"/>
      <c r="D146" s="86"/>
      <c r="E146" s="86"/>
      <c r="F146" s="86"/>
      <c r="G146" s="86"/>
      <c r="H146" s="86"/>
      <c r="I146" s="86"/>
      <c r="J146" s="86"/>
      <c r="K146" s="86"/>
      <c r="L146" s="86"/>
      <c r="M146" s="86"/>
      <c r="N146" s="87"/>
      <c r="O146" s="76"/>
      <c r="P146" s="76"/>
    </row>
    <row r="147" spans="1:17" ht="12.75" customHeight="1">
      <c r="A147" s="5"/>
      <c r="B147" s="88"/>
      <c r="C147" s="88"/>
      <c r="D147" s="88"/>
      <c r="E147" s="88"/>
      <c r="F147" s="88"/>
      <c r="G147" s="88"/>
      <c r="H147" s="88"/>
      <c r="I147" s="88"/>
      <c r="J147" s="88"/>
      <c r="K147" s="88"/>
      <c r="L147" s="88"/>
      <c r="M147" s="88"/>
      <c r="N147" s="89"/>
      <c r="O147" s="102"/>
      <c r="P147" s="102"/>
    </row>
    <row r="148" spans="1:17" ht="24.75" customHeight="1">
      <c r="A148" s="58"/>
      <c r="B148" s="59">
        <v>39995</v>
      </c>
      <c r="C148" s="59">
        <v>40026</v>
      </c>
      <c r="D148" s="59">
        <v>40057</v>
      </c>
      <c r="E148" s="59">
        <v>40087</v>
      </c>
      <c r="F148" s="59">
        <v>40118</v>
      </c>
      <c r="G148" s="59">
        <v>40148</v>
      </c>
      <c r="H148" s="59">
        <v>40179</v>
      </c>
      <c r="I148" s="59">
        <v>40210</v>
      </c>
      <c r="J148" s="59">
        <v>40238</v>
      </c>
      <c r="K148" s="59">
        <v>40269</v>
      </c>
      <c r="L148" s="59">
        <v>40299</v>
      </c>
      <c r="M148" s="59">
        <v>40330</v>
      </c>
      <c r="N148" s="60" t="s">
        <v>367</v>
      </c>
      <c r="O148" s="61" t="s">
        <v>166</v>
      </c>
      <c r="P148" s="61" t="s">
        <v>171</v>
      </c>
      <c r="Q148" s="2"/>
    </row>
    <row r="149" spans="1:17" ht="12.75" customHeight="1">
      <c r="A149" s="67" t="s">
        <v>389</v>
      </c>
      <c r="B149" s="59"/>
      <c r="C149" s="59"/>
      <c r="D149" s="59"/>
      <c r="E149" s="59"/>
      <c r="F149" s="59"/>
      <c r="G149" s="59"/>
      <c r="H149" s="59"/>
      <c r="I149" s="59"/>
      <c r="J149" s="59"/>
      <c r="K149" s="59"/>
      <c r="L149" s="59"/>
      <c r="M149" s="59"/>
      <c r="N149" s="53"/>
      <c r="O149" s="103"/>
      <c r="P149" s="103"/>
    </row>
    <row r="150" spans="1:17" ht="12.75" customHeight="1">
      <c r="A150" s="71" t="s">
        <v>253</v>
      </c>
      <c r="B150" s="23">
        <v>68</v>
      </c>
      <c r="C150" s="23">
        <v>24</v>
      </c>
      <c r="D150" s="23">
        <v>69</v>
      </c>
      <c r="E150" s="23">
        <v>199</v>
      </c>
      <c r="F150" s="23">
        <v>199</v>
      </c>
      <c r="G150" s="23">
        <v>170</v>
      </c>
      <c r="H150" s="23">
        <v>33</v>
      </c>
      <c r="I150" s="23">
        <v>121</v>
      </c>
      <c r="J150" s="23">
        <v>177</v>
      </c>
      <c r="K150" s="23">
        <v>2422</v>
      </c>
      <c r="L150" s="23">
        <v>81</v>
      </c>
      <c r="M150" s="23">
        <v>43</v>
      </c>
      <c r="N150" s="73">
        <f>SUM(B150:M150)</f>
        <v>3606</v>
      </c>
      <c r="O150" s="10"/>
      <c r="P150" s="76"/>
    </row>
    <row r="151" spans="1:17" ht="12.75" customHeight="1">
      <c r="A151" s="71" t="s">
        <v>204</v>
      </c>
      <c r="B151" s="23">
        <v>496</v>
      </c>
      <c r="C151" s="23">
        <v>65</v>
      </c>
      <c r="D151" s="23">
        <v>272</v>
      </c>
      <c r="E151" s="23">
        <v>954</v>
      </c>
      <c r="F151" s="23">
        <v>931</v>
      </c>
      <c r="G151" s="23">
        <v>970</v>
      </c>
      <c r="H151" s="23">
        <v>144</v>
      </c>
      <c r="I151" s="23">
        <v>518</v>
      </c>
      <c r="J151" s="23">
        <v>999</v>
      </c>
      <c r="K151" s="23">
        <v>1167</v>
      </c>
      <c r="L151" s="23">
        <v>464</v>
      </c>
      <c r="M151" s="23">
        <v>200</v>
      </c>
      <c r="N151" s="73">
        <f>SUM(B151:M151)</f>
        <v>7180</v>
      </c>
      <c r="O151" s="107">
        <v>0</v>
      </c>
      <c r="P151" s="76" t="s">
        <v>228</v>
      </c>
    </row>
    <row r="152" spans="1:17" ht="12.75" customHeight="1">
      <c r="A152" s="2"/>
      <c r="B152" s="86"/>
      <c r="C152" s="86"/>
      <c r="D152" s="86"/>
      <c r="E152" s="86"/>
      <c r="F152" s="86"/>
      <c r="G152" s="86"/>
      <c r="H152" s="86"/>
      <c r="I152" s="86"/>
      <c r="J152" s="86"/>
      <c r="K152" s="86"/>
      <c r="L152" s="86"/>
      <c r="M152" s="86"/>
      <c r="N152" s="87"/>
      <c r="O152" s="76"/>
      <c r="P152" s="76"/>
    </row>
    <row r="153" spans="1:17" ht="12.75" customHeight="1">
      <c r="A153" s="5"/>
      <c r="B153" s="88"/>
      <c r="C153" s="88"/>
      <c r="D153" s="88"/>
      <c r="E153" s="88"/>
      <c r="F153" s="88"/>
      <c r="G153" s="88"/>
      <c r="H153" s="88"/>
      <c r="I153" s="88"/>
      <c r="J153" s="88"/>
      <c r="K153" s="88"/>
      <c r="L153" s="88"/>
      <c r="M153" s="88"/>
      <c r="N153" s="89"/>
      <c r="O153" s="102"/>
      <c r="P153" s="102"/>
    </row>
    <row r="154" spans="1:17" ht="12.75" customHeight="1">
      <c r="A154" s="58"/>
      <c r="B154" s="59">
        <v>39995</v>
      </c>
      <c r="C154" s="59">
        <v>40026</v>
      </c>
      <c r="D154" s="59">
        <v>40057</v>
      </c>
      <c r="E154" s="59">
        <v>40087</v>
      </c>
      <c r="F154" s="59">
        <v>40118</v>
      </c>
      <c r="G154" s="59">
        <v>40148</v>
      </c>
      <c r="H154" s="59">
        <v>40179</v>
      </c>
      <c r="I154" s="59">
        <v>40210</v>
      </c>
      <c r="J154" s="59">
        <v>40238</v>
      </c>
      <c r="K154" s="59">
        <v>40269</v>
      </c>
      <c r="L154" s="59">
        <v>40299</v>
      </c>
      <c r="M154" s="59">
        <v>40330</v>
      </c>
      <c r="N154" s="60" t="s">
        <v>367</v>
      </c>
      <c r="O154" s="61" t="s">
        <v>166</v>
      </c>
      <c r="P154" s="61" t="s">
        <v>171</v>
      </c>
    </row>
    <row r="155" spans="1:17" ht="12.75" customHeight="1">
      <c r="A155" s="67" t="s">
        <v>295</v>
      </c>
      <c r="B155" s="59"/>
      <c r="C155" s="59"/>
      <c r="D155" s="59"/>
      <c r="E155" s="59"/>
      <c r="F155" s="59"/>
      <c r="G155" s="59"/>
      <c r="H155" s="59"/>
      <c r="I155" s="59"/>
      <c r="J155" s="59"/>
      <c r="K155" s="59"/>
      <c r="L155" s="59"/>
      <c r="M155" s="59"/>
      <c r="N155" s="53"/>
      <c r="O155" s="103"/>
      <c r="P155" s="103"/>
    </row>
    <row r="156" spans="1:17" ht="12.75" customHeight="1">
      <c r="A156" s="71" t="s">
        <v>253</v>
      </c>
      <c r="B156" s="23">
        <v>502</v>
      </c>
      <c r="C156" s="23">
        <v>162</v>
      </c>
      <c r="D156" s="23">
        <v>648</v>
      </c>
      <c r="E156" s="23">
        <v>1748</v>
      </c>
      <c r="F156" s="23">
        <v>1821</v>
      </c>
      <c r="G156" s="23">
        <v>1152</v>
      </c>
      <c r="H156" s="23">
        <v>403</v>
      </c>
      <c r="I156" s="23">
        <v>1413</v>
      </c>
      <c r="J156" s="23">
        <v>1924</v>
      </c>
      <c r="K156" s="23">
        <v>1991</v>
      </c>
      <c r="L156" s="23">
        <v>783</v>
      </c>
      <c r="M156" s="23">
        <v>488</v>
      </c>
      <c r="N156" s="73">
        <f>SUM(B156:M156)</f>
        <v>13035</v>
      </c>
      <c r="O156" s="107"/>
      <c r="P156" s="76"/>
    </row>
    <row r="157" spans="1:17" ht="12.75" customHeight="1">
      <c r="A157" s="71" t="s">
        <v>204</v>
      </c>
      <c r="B157" s="23">
        <v>1419</v>
      </c>
      <c r="C157" s="23">
        <v>316</v>
      </c>
      <c r="D157" s="23">
        <v>2139</v>
      </c>
      <c r="E157" s="23">
        <v>5650</v>
      </c>
      <c r="F157" s="23">
        <v>5430</v>
      </c>
      <c r="G157" s="23">
        <v>3250</v>
      </c>
      <c r="H157" s="23">
        <v>830</v>
      </c>
      <c r="I157" s="23">
        <v>4276</v>
      </c>
      <c r="J157" s="23">
        <v>5735</v>
      </c>
      <c r="K157" s="23">
        <v>5763</v>
      </c>
      <c r="L157" s="23">
        <v>1613</v>
      </c>
      <c r="M157" s="23">
        <v>936</v>
      </c>
      <c r="N157" s="73">
        <f>SUM(B157:M157)</f>
        <v>37357</v>
      </c>
      <c r="O157" s="107">
        <v>17969</v>
      </c>
      <c r="P157" s="76">
        <f>O157/N157</f>
        <v>0.48100757555478224</v>
      </c>
    </row>
    <row r="158" spans="1:17" ht="12.75" customHeight="1">
      <c r="A158" s="2"/>
      <c r="B158" s="86"/>
      <c r="C158" s="86"/>
      <c r="D158" s="86"/>
      <c r="E158" s="86"/>
      <c r="F158" s="86"/>
      <c r="G158" s="86"/>
      <c r="H158" s="86"/>
      <c r="I158" s="86"/>
      <c r="J158" s="86"/>
      <c r="K158" s="86"/>
      <c r="L158" s="86"/>
      <c r="M158" s="86"/>
      <c r="N158" s="87"/>
      <c r="O158" s="76"/>
      <c r="P158" s="76"/>
    </row>
    <row r="159" spans="1:17" ht="12.75" customHeight="1">
      <c r="A159" s="5"/>
      <c r="B159" s="88"/>
      <c r="C159" s="88"/>
      <c r="D159" s="88"/>
      <c r="E159" s="88"/>
      <c r="F159" s="88"/>
      <c r="G159" s="88"/>
      <c r="H159" s="88"/>
      <c r="I159" s="88"/>
      <c r="J159" s="88"/>
      <c r="K159" s="88"/>
      <c r="L159" s="88"/>
      <c r="M159" s="88"/>
      <c r="N159" s="89"/>
      <c r="O159" s="102"/>
      <c r="P159" s="102"/>
    </row>
    <row r="160" spans="1:17" ht="12.75" customHeight="1">
      <c r="A160" s="58"/>
      <c r="B160" s="59">
        <v>39995</v>
      </c>
      <c r="C160" s="59">
        <v>40026</v>
      </c>
      <c r="D160" s="59">
        <v>40057</v>
      </c>
      <c r="E160" s="59">
        <v>40087</v>
      </c>
      <c r="F160" s="59">
        <v>40118</v>
      </c>
      <c r="G160" s="59">
        <v>40148</v>
      </c>
      <c r="H160" s="59">
        <v>40179</v>
      </c>
      <c r="I160" s="59">
        <v>40210</v>
      </c>
      <c r="J160" s="59">
        <v>40238</v>
      </c>
      <c r="K160" s="59">
        <v>40269</v>
      </c>
      <c r="L160" s="59">
        <v>40299</v>
      </c>
      <c r="M160" s="59">
        <v>40330</v>
      </c>
      <c r="N160" s="60" t="s">
        <v>367</v>
      </c>
      <c r="O160" s="61" t="s">
        <v>166</v>
      </c>
      <c r="P160" s="61" t="s">
        <v>171</v>
      </c>
    </row>
    <row r="161" spans="1:17" ht="12.75" customHeight="1">
      <c r="A161" s="182" t="s">
        <v>371</v>
      </c>
      <c r="B161" s="183"/>
      <c r="C161" s="187"/>
      <c r="D161" s="59"/>
      <c r="E161" s="59"/>
      <c r="F161" s="59"/>
      <c r="G161" s="59"/>
      <c r="H161" s="59"/>
      <c r="I161" s="59"/>
      <c r="J161" s="59"/>
      <c r="K161" s="59"/>
      <c r="L161" s="59"/>
      <c r="M161" s="59"/>
      <c r="N161" s="53"/>
      <c r="O161" s="103"/>
      <c r="P161" s="103"/>
    </row>
    <row r="162" spans="1:17" ht="12.75" customHeight="1">
      <c r="A162" s="71" t="s">
        <v>253</v>
      </c>
      <c r="B162" s="23">
        <v>50</v>
      </c>
      <c r="C162" s="23">
        <v>19</v>
      </c>
      <c r="D162" s="23">
        <v>41</v>
      </c>
      <c r="E162" s="23">
        <v>140</v>
      </c>
      <c r="F162" s="23">
        <v>154</v>
      </c>
      <c r="G162" s="23">
        <v>142</v>
      </c>
      <c r="H162" s="23">
        <v>29</v>
      </c>
      <c r="I162" s="23">
        <v>91</v>
      </c>
      <c r="J162" s="23">
        <v>143</v>
      </c>
      <c r="K162" s="23">
        <v>180</v>
      </c>
      <c r="L162" s="23">
        <v>69</v>
      </c>
      <c r="M162" s="23">
        <v>34</v>
      </c>
      <c r="N162" s="73">
        <f>SUM(B162:M162)</f>
        <v>1092</v>
      </c>
      <c r="O162" s="107"/>
      <c r="P162" s="76"/>
    </row>
    <row r="163" spans="1:17" ht="12.75" customHeight="1">
      <c r="A163" s="71" t="s">
        <v>204</v>
      </c>
      <c r="B163" s="23">
        <v>414</v>
      </c>
      <c r="C163" s="23">
        <v>59</v>
      </c>
      <c r="D163" s="23">
        <v>164</v>
      </c>
      <c r="E163" s="23">
        <v>691</v>
      </c>
      <c r="F163" s="23">
        <v>670</v>
      </c>
      <c r="G163" s="23">
        <v>885</v>
      </c>
      <c r="H163" s="23">
        <v>85</v>
      </c>
      <c r="I163" s="23">
        <v>400</v>
      </c>
      <c r="J163" s="23">
        <v>842</v>
      </c>
      <c r="K163" s="23">
        <v>811</v>
      </c>
      <c r="L163" s="23">
        <v>427</v>
      </c>
      <c r="M163" s="23">
        <v>139</v>
      </c>
      <c r="N163" s="73">
        <f>SUM(B163:M163)</f>
        <v>5587</v>
      </c>
      <c r="O163" s="107">
        <v>0</v>
      </c>
      <c r="P163" s="76" t="s">
        <v>228</v>
      </c>
    </row>
    <row r="164" spans="1:17" ht="12.75" customHeight="1">
      <c r="A164" s="2"/>
      <c r="B164" s="86"/>
      <c r="C164" s="86"/>
      <c r="D164" s="86"/>
      <c r="E164" s="86"/>
      <c r="F164" s="86"/>
      <c r="G164" s="86"/>
      <c r="H164" s="86"/>
      <c r="I164" s="86"/>
      <c r="J164" s="86"/>
      <c r="K164" s="86"/>
      <c r="L164" s="86"/>
      <c r="M164" s="86"/>
      <c r="N164" s="87"/>
      <c r="O164" s="76"/>
      <c r="P164" s="76"/>
    </row>
    <row r="165" spans="1:17" ht="12.75" customHeight="1">
      <c r="A165" s="5"/>
      <c r="B165" s="88"/>
      <c r="C165" s="88"/>
      <c r="D165" s="88"/>
      <c r="E165" s="88"/>
      <c r="F165" s="88"/>
      <c r="G165" s="88"/>
      <c r="H165" s="88"/>
      <c r="I165" s="88"/>
      <c r="J165" s="88"/>
      <c r="K165" s="88"/>
      <c r="L165" s="88"/>
      <c r="M165" s="88"/>
      <c r="N165" s="89"/>
      <c r="O165" s="102"/>
      <c r="P165" s="102"/>
    </row>
    <row r="166" spans="1:17" ht="12.75" customHeight="1">
      <c r="A166" s="58"/>
      <c r="B166" s="59">
        <v>39995</v>
      </c>
      <c r="C166" s="59">
        <v>40026</v>
      </c>
      <c r="D166" s="59">
        <v>40057</v>
      </c>
      <c r="E166" s="59">
        <v>40087</v>
      </c>
      <c r="F166" s="59">
        <v>40118</v>
      </c>
      <c r="G166" s="59">
        <v>40148</v>
      </c>
      <c r="H166" s="59">
        <v>40179</v>
      </c>
      <c r="I166" s="59">
        <v>40210</v>
      </c>
      <c r="J166" s="59">
        <v>40238</v>
      </c>
      <c r="K166" s="59">
        <v>40269</v>
      </c>
      <c r="L166" s="59">
        <v>40299</v>
      </c>
      <c r="M166" s="59">
        <v>40330</v>
      </c>
      <c r="N166" s="60" t="s">
        <v>367</v>
      </c>
      <c r="O166" s="61" t="s">
        <v>166</v>
      </c>
      <c r="P166" s="61" t="s">
        <v>171</v>
      </c>
    </row>
    <row r="167" spans="1:17" ht="12.75" customHeight="1">
      <c r="A167" s="67" t="s">
        <v>33</v>
      </c>
      <c r="B167" s="59"/>
      <c r="C167" s="59"/>
      <c r="D167" s="59"/>
      <c r="E167" s="59"/>
      <c r="F167" s="59"/>
      <c r="G167" s="59"/>
      <c r="H167" s="59"/>
      <c r="I167" s="59"/>
      <c r="J167" s="59"/>
      <c r="K167" s="59"/>
      <c r="L167" s="59"/>
      <c r="M167" s="59"/>
      <c r="N167" s="53"/>
      <c r="O167" s="103"/>
      <c r="P167" s="103"/>
    </row>
    <row r="168" spans="1:17" ht="12.75" customHeight="1">
      <c r="A168" s="71" t="s">
        <v>253</v>
      </c>
      <c r="B168" s="23">
        <v>79</v>
      </c>
      <c r="C168" s="23">
        <v>19</v>
      </c>
      <c r="D168" s="23">
        <v>71</v>
      </c>
      <c r="E168" s="23">
        <v>197</v>
      </c>
      <c r="F168" s="23">
        <v>193</v>
      </c>
      <c r="G168" s="23">
        <v>188</v>
      </c>
      <c r="H168" s="23">
        <v>37</v>
      </c>
      <c r="I168" s="23">
        <v>95</v>
      </c>
      <c r="J168" s="23">
        <v>187</v>
      </c>
      <c r="K168" s="23">
        <v>205</v>
      </c>
      <c r="L168" s="23">
        <v>82</v>
      </c>
      <c r="M168" s="23">
        <v>38</v>
      </c>
      <c r="N168" s="73">
        <f>SUM(B168:M168)</f>
        <v>1391</v>
      </c>
      <c r="O168" s="10"/>
      <c r="P168" s="76"/>
    </row>
    <row r="169" spans="1:17" ht="12.75" customHeight="1">
      <c r="A169" s="71" t="s">
        <v>204</v>
      </c>
      <c r="B169" s="23">
        <v>493</v>
      </c>
      <c r="C169" s="23">
        <v>62</v>
      </c>
      <c r="D169" s="23">
        <v>294</v>
      </c>
      <c r="E169" s="23">
        <v>999</v>
      </c>
      <c r="F169" s="23">
        <v>968</v>
      </c>
      <c r="G169" s="23">
        <v>1257</v>
      </c>
      <c r="H169" s="23">
        <v>188</v>
      </c>
      <c r="I169" s="23">
        <v>417</v>
      </c>
      <c r="J169" s="23">
        <v>1173</v>
      </c>
      <c r="K169" s="23">
        <v>1026</v>
      </c>
      <c r="L169" s="23">
        <v>510</v>
      </c>
      <c r="M169" s="23">
        <v>195</v>
      </c>
      <c r="N169" s="73">
        <f>SUM(B169:M169)</f>
        <v>7582</v>
      </c>
      <c r="O169" s="107">
        <v>0</v>
      </c>
      <c r="P169" s="76" t="s">
        <v>228</v>
      </c>
    </row>
    <row r="170" spans="1:17" ht="12.75" customHeight="1">
      <c r="A170" s="2"/>
      <c r="B170" s="86"/>
      <c r="C170" s="86"/>
      <c r="D170" s="86"/>
      <c r="E170" s="86"/>
      <c r="F170" s="86"/>
      <c r="G170" s="86"/>
      <c r="H170" s="86"/>
      <c r="I170" s="86"/>
      <c r="J170" s="86"/>
      <c r="K170" s="86"/>
      <c r="L170" s="86"/>
      <c r="M170" s="86"/>
      <c r="N170" s="87"/>
      <c r="O170" s="76"/>
      <c r="P170" s="76"/>
    </row>
    <row r="171" spans="1:17" ht="12.75" customHeight="1">
      <c r="A171" s="5"/>
      <c r="B171" s="88"/>
      <c r="C171" s="88"/>
      <c r="D171" s="88"/>
      <c r="E171" s="88"/>
      <c r="F171" s="88"/>
      <c r="G171" s="88"/>
      <c r="H171" s="88"/>
      <c r="I171" s="88"/>
      <c r="J171" s="88"/>
      <c r="K171" s="88"/>
      <c r="L171" s="88"/>
      <c r="M171" s="88"/>
      <c r="N171" s="89"/>
      <c r="O171" s="102"/>
      <c r="P171" s="102"/>
    </row>
    <row r="172" spans="1:17" ht="24.75" customHeight="1">
      <c r="A172" s="58"/>
      <c r="B172" s="59">
        <v>39995</v>
      </c>
      <c r="C172" s="59">
        <v>40026</v>
      </c>
      <c r="D172" s="59">
        <v>40057</v>
      </c>
      <c r="E172" s="59">
        <v>40087</v>
      </c>
      <c r="F172" s="59">
        <v>40118</v>
      </c>
      <c r="G172" s="59">
        <v>40148</v>
      </c>
      <c r="H172" s="59">
        <v>40179</v>
      </c>
      <c r="I172" s="59">
        <v>40210</v>
      </c>
      <c r="J172" s="59">
        <v>40238</v>
      </c>
      <c r="K172" s="59">
        <v>40269</v>
      </c>
      <c r="L172" s="59">
        <v>40299</v>
      </c>
      <c r="M172" s="59">
        <v>40330</v>
      </c>
      <c r="N172" s="60" t="s">
        <v>367</v>
      </c>
      <c r="O172" s="61" t="s">
        <v>166</v>
      </c>
      <c r="P172" s="61" t="s">
        <v>171</v>
      </c>
      <c r="Q172" s="2"/>
    </row>
    <row r="173" spans="1:17" ht="12.75" customHeight="1">
      <c r="A173" s="67" t="s">
        <v>5</v>
      </c>
      <c r="B173" s="59"/>
      <c r="C173" s="59"/>
      <c r="D173" s="59"/>
      <c r="E173" s="59"/>
      <c r="F173" s="59"/>
      <c r="G173" s="59"/>
      <c r="H173" s="59"/>
      <c r="I173" s="59"/>
      <c r="J173" s="59"/>
      <c r="K173" s="59"/>
      <c r="L173" s="59"/>
      <c r="M173" s="59"/>
      <c r="N173" s="53"/>
      <c r="O173" s="103"/>
      <c r="P173" s="103"/>
    </row>
    <row r="174" spans="1:17" ht="12.75" customHeight="1">
      <c r="A174" s="71" t="s">
        <v>253</v>
      </c>
      <c r="B174" s="23">
        <v>51</v>
      </c>
      <c r="C174" s="23">
        <v>16</v>
      </c>
      <c r="D174" s="23">
        <v>92</v>
      </c>
      <c r="E174" s="23">
        <v>160</v>
      </c>
      <c r="F174" s="23">
        <v>158</v>
      </c>
      <c r="G174" s="23">
        <v>143</v>
      </c>
      <c r="H174" s="23">
        <v>30</v>
      </c>
      <c r="I174" s="23">
        <v>123</v>
      </c>
      <c r="J174" s="23">
        <v>185</v>
      </c>
      <c r="K174" s="23">
        <v>178</v>
      </c>
      <c r="L174" s="23">
        <v>72</v>
      </c>
      <c r="M174" s="23">
        <v>35</v>
      </c>
      <c r="N174" s="73">
        <f>SUM(B174:M174)</f>
        <v>1243</v>
      </c>
      <c r="O174" s="107"/>
      <c r="P174" s="76"/>
    </row>
    <row r="175" spans="1:17" ht="12.75" customHeight="1">
      <c r="A175" s="71" t="s">
        <v>204</v>
      </c>
      <c r="B175" s="23">
        <v>377</v>
      </c>
      <c r="C175" s="23">
        <v>43</v>
      </c>
      <c r="D175" s="23">
        <v>374</v>
      </c>
      <c r="E175" s="23">
        <v>779</v>
      </c>
      <c r="F175" s="23">
        <v>742</v>
      </c>
      <c r="G175" s="23">
        <v>868</v>
      </c>
      <c r="H175" s="23">
        <v>97</v>
      </c>
      <c r="I175" s="23">
        <v>563</v>
      </c>
      <c r="J175" s="23">
        <v>1107</v>
      </c>
      <c r="K175" s="23">
        <v>851</v>
      </c>
      <c r="L175" s="23">
        <v>433</v>
      </c>
      <c r="M175" s="23">
        <v>143</v>
      </c>
      <c r="N175" s="73">
        <f>SUM(B175:M175)</f>
        <v>6377</v>
      </c>
      <c r="O175" s="107">
        <v>2810</v>
      </c>
      <c r="P175" s="76">
        <f>O175/N175</f>
        <v>0.44064607182060528</v>
      </c>
    </row>
    <row r="176" spans="1:17" ht="12.75" customHeight="1">
      <c r="A176" s="2"/>
      <c r="B176" s="86"/>
      <c r="C176" s="86"/>
      <c r="D176" s="86"/>
      <c r="E176" s="86"/>
      <c r="F176" s="86"/>
      <c r="G176" s="86"/>
      <c r="H176" s="86"/>
      <c r="I176" s="86"/>
      <c r="J176" s="86"/>
      <c r="K176" s="86"/>
      <c r="L176" s="86"/>
      <c r="M176" s="86"/>
      <c r="N176" s="87"/>
      <c r="O176" s="76"/>
      <c r="P176" s="76"/>
    </row>
    <row r="177" spans="1:17" ht="12.75" customHeight="1">
      <c r="A177" s="5"/>
      <c r="B177" s="113"/>
      <c r="C177" s="113"/>
      <c r="D177" s="113"/>
      <c r="E177" s="113"/>
      <c r="F177" s="113"/>
      <c r="G177" s="113"/>
      <c r="H177" s="114"/>
      <c r="I177" s="114"/>
      <c r="J177" s="88"/>
      <c r="K177" s="88"/>
      <c r="L177" s="88"/>
      <c r="M177" s="88"/>
      <c r="N177" s="89"/>
      <c r="O177" s="102"/>
      <c r="P177" s="102"/>
    </row>
    <row r="178" spans="1:17" ht="12.75" customHeight="1">
      <c r="A178" s="58"/>
      <c r="B178" s="59">
        <v>39995</v>
      </c>
      <c r="C178" s="59">
        <v>40026</v>
      </c>
      <c r="D178" s="59">
        <v>40057</v>
      </c>
      <c r="E178" s="59">
        <v>40087</v>
      </c>
      <c r="F178" s="59">
        <v>40118</v>
      </c>
      <c r="G178" s="59">
        <v>40148</v>
      </c>
      <c r="H178" s="59">
        <v>40179</v>
      </c>
      <c r="I178" s="59">
        <v>40210</v>
      </c>
      <c r="J178" s="59">
        <v>40238</v>
      </c>
      <c r="K178" s="59">
        <v>40269</v>
      </c>
      <c r="L178" s="59">
        <v>40299</v>
      </c>
      <c r="M178" s="59">
        <v>40330</v>
      </c>
      <c r="N178" s="60" t="s">
        <v>367</v>
      </c>
      <c r="O178" s="61" t="s">
        <v>166</v>
      </c>
      <c r="P178" s="61" t="s">
        <v>171</v>
      </c>
    </row>
    <row r="179" spans="1:17" ht="12.75" customHeight="1">
      <c r="A179" s="182" t="s">
        <v>395</v>
      </c>
      <c r="B179" s="183"/>
      <c r="C179" s="59"/>
      <c r="D179" s="59"/>
      <c r="E179" s="59"/>
      <c r="F179" s="59"/>
      <c r="G179" s="59"/>
      <c r="H179" s="59"/>
      <c r="I179" s="59"/>
      <c r="J179" s="59"/>
      <c r="K179" s="59"/>
      <c r="L179" s="59"/>
      <c r="M179" s="59"/>
      <c r="N179" s="53"/>
      <c r="O179" s="103"/>
      <c r="P179" s="103"/>
    </row>
    <row r="180" spans="1:17" ht="12.75" customHeight="1">
      <c r="A180" s="71" t="s">
        <v>253</v>
      </c>
      <c r="B180" s="33">
        <v>71</v>
      </c>
      <c r="C180" s="23">
        <v>18</v>
      </c>
      <c r="D180" s="23">
        <v>65</v>
      </c>
      <c r="E180" s="23">
        <v>201</v>
      </c>
      <c r="F180" s="23">
        <v>216</v>
      </c>
      <c r="G180" s="23">
        <v>184</v>
      </c>
      <c r="H180" s="23">
        <v>36</v>
      </c>
      <c r="I180" s="23">
        <v>110</v>
      </c>
      <c r="J180" s="23">
        <v>186</v>
      </c>
      <c r="K180" s="23">
        <v>218</v>
      </c>
      <c r="L180" s="23">
        <v>78</v>
      </c>
      <c r="M180" s="23">
        <v>56</v>
      </c>
      <c r="N180" s="73">
        <f>SUM(B180:M180)</f>
        <v>1439</v>
      </c>
      <c r="O180" s="107"/>
      <c r="P180" s="76"/>
    </row>
    <row r="181" spans="1:17" ht="12.75" customHeight="1">
      <c r="A181" s="71" t="s">
        <v>204</v>
      </c>
      <c r="B181" s="23">
        <v>572</v>
      </c>
      <c r="C181" s="23">
        <v>58</v>
      </c>
      <c r="D181" s="23">
        <v>250</v>
      </c>
      <c r="E181" s="23">
        <v>920</v>
      </c>
      <c r="F181" s="23">
        <v>937</v>
      </c>
      <c r="G181" s="23">
        <v>973</v>
      </c>
      <c r="H181" s="23">
        <v>101</v>
      </c>
      <c r="I181" s="23">
        <v>470</v>
      </c>
      <c r="J181" s="23">
        <v>985</v>
      </c>
      <c r="K181" s="23">
        <v>936</v>
      </c>
      <c r="L181" s="23">
        <v>446</v>
      </c>
      <c r="M181" s="23">
        <v>258</v>
      </c>
      <c r="N181" s="73">
        <f>SUM(B181:M181)</f>
        <v>6906</v>
      </c>
      <c r="O181" s="107">
        <v>0</v>
      </c>
      <c r="P181" s="76" t="s">
        <v>228</v>
      </c>
    </row>
    <row r="182" spans="1:17" ht="12.75" customHeight="1">
      <c r="A182" s="2"/>
      <c r="B182" s="115"/>
      <c r="C182" s="115"/>
      <c r="D182" s="115"/>
      <c r="E182" s="115"/>
      <c r="F182" s="115"/>
      <c r="G182" s="115"/>
      <c r="H182" s="116"/>
      <c r="I182" s="116"/>
      <c r="J182" s="86"/>
      <c r="K182" s="86"/>
      <c r="L182" s="86"/>
      <c r="M182" s="86"/>
      <c r="N182" s="87"/>
      <c r="O182" s="76"/>
      <c r="P182" s="76"/>
    </row>
    <row r="183" spans="1:17" ht="12.75" customHeight="1">
      <c r="A183" s="5"/>
      <c r="B183" s="113"/>
      <c r="C183" s="113"/>
      <c r="D183" s="113"/>
      <c r="E183" s="113"/>
      <c r="F183" s="113"/>
      <c r="G183" s="113"/>
      <c r="H183" s="117"/>
      <c r="I183" s="117"/>
      <c r="J183" s="88"/>
      <c r="K183" s="88"/>
      <c r="L183" s="88"/>
      <c r="M183" s="88"/>
      <c r="N183" s="89"/>
      <c r="O183" s="102"/>
      <c r="P183" s="102"/>
    </row>
    <row r="184" spans="1:17" ht="24.75" customHeight="1">
      <c r="A184" s="58"/>
      <c r="B184" s="59">
        <v>39995</v>
      </c>
      <c r="C184" s="59">
        <v>40026</v>
      </c>
      <c r="D184" s="59">
        <v>40057</v>
      </c>
      <c r="E184" s="59">
        <v>40087</v>
      </c>
      <c r="F184" s="59">
        <v>40118</v>
      </c>
      <c r="G184" s="59">
        <v>40148</v>
      </c>
      <c r="H184" s="59">
        <v>40179</v>
      </c>
      <c r="I184" s="59">
        <v>40210</v>
      </c>
      <c r="J184" s="59">
        <v>40238</v>
      </c>
      <c r="K184" s="59">
        <v>40269</v>
      </c>
      <c r="L184" s="59">
        <v>40299</v>
      </c>
      <c r="M184" s="59">
        <v>40330</v>
      </c>
      <c r="N184" s="60" t="s">
        <v>367</v>
      </c>
      <c r="O184" s="61" t="s">
        <v>166</v>
      </c>
      <c r="P184" s="61" t="s">
        <v>171</v>
      </c>
      <c r="Q184" s="2"/>
    </row>
    <row r="185" spans="1:17" ht="12.75" customHeight="1">
      <c r="A185" s="67" t="s">
        <v>100</v>
      </c>
      <c r="B185" s="59"/>
      <c r="C185" s="59"/>
      <c r="D185" s="59"/>
      <c r="E185" s="59"/>
      <c r="F185" s="59"/>
      <c r="G185" s="59"/>
      <c r="H185" s="59"/>
      <c r="I185" s="59"/>
      <c r="J185" s="59"/>
      <c r="K185" s="59"/>
      <c r="L185" s="59"/>
      <c r="M185" s="59"/>
      <c r="N185" s="53"/>
      <c r="O185" s="103"/>
      <c r="P185" s="103"/>
    </row>
    <row r="186" spans="1:17" ht="12.75" customHeight="1">
      <c r="A186" s="71" t="s">
        <v>253</v>
      </c>
      <c r="B186" s="23">
        <v>71</v>
      </c>
      <c r="C186" s="23">
        <v>15</v>
      </c>
      <c r="D186" s="23">
        <v>48</v>
      </c>
      <c r="E186" s="23">
        <v>341</v>
      </c>
      <c r="F186" s="23">
        <v>246</v>
      </c>
      <c r="G186" s="23">
        <v>218</v>
      </c>
      <c r="H186" s="23">
        <v>33</v>
      </c>
      <c r="I186" s="23">
        <v>105</v>
      </c>
      <c r="J186" s="23">
        <v>169</v>
      </c>
      <c r="K186" s="23">
        <v>188</v>
      </c>
      <c r="L186" s="23">
        <v>81</v>
      </c>
      <c r="M186" s="23">
        <v>47</v>
      </c>
      <c r="N186" s="73">
        <f>SUM(B186:M186)</f>
        <v>1562</v>
      </c>
      <c r="O186" s="107"/>
      <c r="P186" s="76"/>
    </row>
    <row r="187" spans="1:17" ht="12.75" customHeight="1">
      <c r="A187" s="71" t="s">
        <v>204</v>
      </c>
      <c r="B187" s="23">
        <v>496</v>
      </c>
      <c r="C187" s="23">
        <v>42</v>
      </c>
      <c r="D187" s="23">
        <v>208</v>
      </c>
      <c r="E187" s="23">
        <v>1263</v>
      </c>
      <c r="F187" s="23">
        <v>960</v>
      </c>
      <c r="G187" s="23">
        <v>1054</v>
      </c>
      <c r="H187" s="23">
        <v>94</v>
      </c>
      <c r="I187" s="23">
        <v>479</v>
      </c>
      <c r="J187" s="23">
        <v>988</v>
      </c>
      <c r="K187" s="23">
        <v>859</v>
      </c>
      <c r="L187" s="23">
        <v>459</v>
      </c>
      <c r="M187" s="23">
        <v>167</v>
      </c>
      <c r="N187" s="73">
        <f>SUM(B187:M187)</f>
        <v>7069</v>
      </c>
      <c r="O187" s="107">
        <v>2931</v>
      </c>
      <c r="P187" s="76">
        <f>O187/N187</f>
        <v>0.4146272457207526</v>
      </c>
    </row>
    <row r="188" spans="1:17" ht="12.75" customHeight="1">
      <c r="A188" s="2"/>
      <c r="B188" s="86"/>
      <c r="C188" s="86"/>
      <c r="D188" s="86"/>
      <c r="E188" s="86"/>
      <c r="F188" s="86"/>
      <c r="G188" s="86"/>
      <c r="H188" s="86"/>
      <c r="I188" s="86"/>
      <c r="J188" s="86"/>
      <c r="K188" s="86"/>
      <c r="L188" s="86"/>
      <c r="M188" s="86"/>
      <c r="N188" s="87"/>
      <c r="O188" s="76"/>
      <c r="P188" s="76"/>
    </row>
    <row r="189" spans="1:17" ht="12.75" customHeight="1">
      <c r="A189" s="5"/>
      <c r="B189" s="88"/>
      <c r="C189" s="88"/>
      <c r="D189" s="88"/>
      <c r="E189" s="88"/>
      <c r="F189" s="88"/>
      <c r="G189" s="88"/>
      <c r="H189" s="88"/>
      <c r="I189" s="88"/>
      <c r="J189" s="88"/>
      <c r="K189" s="88"/>
      <c r="L189" s="88"/>
      <c r="M189" s="88"/>
      <c r="N189" s="89"/>
      <c r="O189" s="102"/>
      <c r="P189" s="102"/>
    </row>
    <row r="190" spans="1:17" ht="24.75" customHeight="1">
      <c r="A190" s="58"/>
      <c r="B190" s="59">
        <v>39995</v>
      </c>
      <c r="C190" s="59">
        <v>40026</v>
      </c>
      <c r="D190" s="59">
        <v>40057</v>
      </c>
      <c r="E190" s="59">
        <v>40087</v>
      </c>
      <c r="F190" s="59">
        <v>40118</v>
      </c>
      <c r="G190" s="59">
        <v>40148</v>
      </c>
      <c r="H190" s="59">
        <v>40179</v>
      </c>
      <c r="I190" s="59">
        <v>40210</v>
      </c>
      <c r="J190" s="59">
        <v>40238</v>
      </c>
      <c r="K190" s="59">
        <v>40269</v>
      </c>
      <c r="L190" s="59">
        <v>40299</v>
      </c>
      <c r="M190" s="59">
        <v>40330</v>
      </c>
      <c r="N190" s="60" t="s">
        <v>367</v>
      </c>
      <c r="O190" s="61" t="s">
        <v>166</v>
      </c>
      <c r="P190" s="61" t="s">
        <v>171</v>
      </c>
      <c r="Q190" s="2"/>
    </row>
    <row r="191" spans="1:17" ht="12.75" customHeight="1">
      <c r="A191" s="67" t="s">
        <v>373</v>
      </c>
      <c r="B191" s="59"/>
      <c r="C191" s="59"/>
      <c r="D191" s="59"/>
      <c r="E191" s="59"/>
      <c r="F191" s="59"/>
      <c r="G191" s="59"/>
      <c r="H191" s="59"/>
      <c r="I191" s="59"/>
      <c r="J191" s="59"/>
      <c r="K191" s="59"/>
      <c r="L191" s="59"/>
      <c r="M191" s="59"/>
      <c r="N191" s="53"/>
      <c r="O191" s="103"/>
      <c r="P191" s="103"/>
    </row>
    <row r="192" spans="1:17" ht="12.75" customHeight="1">
      <c r="A192" s="71" t="s">
        <v>253</v>
      </c>
      <c r="B192" s="23">
        <v>5719</v>
      </c>
      <c r="C192" s="23">
        <v>1614</v>
      </c>
      <c r="D192" s="23">
        <v>6587</v>
      </c>
      <c r="E192" s="23">
        <v>19512</v>
      </c>
      <c r="F192" s="23">
        <v>18757</v>
      </c>
      <c r="G192" s="23">
        <v>10212</v>
      </c>
      <c r="H192" s="23">
        <v>3010</v>
      </c>
      <c r="I192" s="23">
        <v>13607</v>
      </c>
      <c r="J192" s="23">
        <v>18005</v>
      </c>
      <c r="K192" s="23">
        <v>18420</v>
      </c>
      <c r="L192" s="23">
        <v>5005</v>
      </c>
      <c r="M192" s="23">
        <v>4800</v>
      </c>
      <c r="N192" s="73">
        <f>SUM(B192:M192)</f>
        <v>125248</v>
      </c>
      <c r="O192" s="107"/>
      <c r="P192" s="76"/>
    </row>
    <row r="193" spans="1:16" ht="12.75" customHeight="1">
      <c r="A193" s="71" t="s">
        <v>204</v>
      </c>
      <c r="B193" s="23">
        <v>31284</v>
      </c>
      <c r="C193" s="23">
        <v>5227</v>
      </c>
      <c r="D193" s="23">
        <v>24217</v>
      </c>
      <c r="E193" s="23">
        <v>92167</v>
      </c>
      <c r="F193" s="23">
        <v>79217</v>
      </c>
      <c r="G193" s="23">
        <v>53750</v>
      </c>
      <c r="H193" s="23">
        <v>10455</v>
      </c>
      <c r="I193" s="23">
        <v>62747</v>
      </c>
      <c r="J193" s="23">
        <v>95374</v>
      </c>
      <c r="K193" s="23">
        <v>81983</v>
      </c>
      <c r="L193" s="23">
        <v>25626</v>
      </c>
      <c r="M193" s="23">
        <v>16132</v>
      </c>
      <c r="N193" s="73">
        <f>SUM(B193:M193)</f>
        <v>578179</v>
      </c>
      <c r="O193" s="107">
        <f>((((((((((((((((((((((((((((O9+O15)+O21)+O27)+O33)+O39)+O45)+O51)+O59)+O65)+O71)+O77)+O83)+O89)+O95)+O101)+O107)+O113)+O119)+O125)+O133)+O139)+O145)+O151)+O157)+O163)+O169)+O175)+O181)+O187</f>
        <v>115921</v>
      </c>
      <c r="P193" s="76">
        <f>O193/N193</f>
        <v>0.20049327284456889</v>
      </c>
    </row>
    <row r="194" spans="1:16" ht="12.75" customHeight="1">
      <c r="A194" s="71" t="s">
        <v>36</v>
      </c>
      <c r="B194" s="23">
        <v>8884</v>
      </c>
      <c r="C194" s="23">
        <v>3278</v>
      </c>
      <c r="D194" s="23">
        <v>10901</v>
      </c>
      <c r="E194" s="23">
        <v>32866</v>
      </c>
      <c r="F194" s="23">
        <v>28890</v>
      </c>
      <c r="G194" s="23">
        <v>30184</v>
      </c>
      <c r="H194" s="23">
        <v>3549</v>
      </c>
      <c r="I194" s="23">
        <v>21291</v>
      </c>
      <c r="J194" s="23">
        <v>30291</v>
      </c>
      <c r="K194" s="23">
        <v>30615</v>
      </c>
      <c r="L194" s="23">
        <v>6932</v>
      </c>
      <c r="M194" s="23">
        <v>6444</v>
      </c>
      <c r="N194" s="73">
        <f>SUM(B194:M194)</f>
        <v>214125</v>
      </c>
      <c r="O194" s="107">
        <f>O193</f>
        <v>115921</v>
      </c>
      <c r="P194" s="76">
        <f>O194/N194</f>
        <v>0.5413706946876824</v>
      </c>
    </row>
    <row r="195" spans="1:16" ht="12.75" customHeight="1">
      <c r="A195" s="2"/>
      <c r="B195" s="43"/>
      <c r="C195" s="43"/>
      <c r="D195" s="43"/>
      <c r="E195" s="43"/>
      <c r="F195" s="43"/>
      <c r="G195" s="43"/>
      <c r="H195" s="43"/>
      <c r="I195" s="43"/>
      <c r="J195" s="43"/>
      <c r="K195" s="43"/>
      <c r="L195" s="43"/>
      <c r="M195" s="43"/>
      <c r="N195" s="43"/>
      <c r="O195" s="2"/>
      <c r="P195" s="2"/>
    </row>
    <row r="196" spans="1:16" ht="12.75" customHeight="1">
      <c r="A196" s="2"/>
      <c r="O196" s="2"/>
      <c r="P196" s="2"/>
    </row>
    <row r="197" spans="1:16" ht="12.75" customHeight="1">
      <c r="A197" s="2"/>
      <c r="O197" s="2"/>
      <c r="P197" s="2"/>
    </row>
  </sheetData>
  <mergeCells count="14">
    <mergeCell ref="A161:C161"/>
    <mergeCell ref="A179:B179"/>
    <mergeCell ref="A81:C81"/>
    <mergeCell ref="A93:C93"/>
    <mergeCell ref="A99:C99"/>
    <mergeCell ref="A111:C111"/>
    <mergeCell ref="A131:C131"/>
    <mergeCell ref="A137:B137"/>
    <mergeCell ref="A1:C1"/>
    <mergeCell ref="A7:D7"/>
    <mergeCell ref="A43:B43"/>
    <mergeCell ref="A49:B49"/>
    <mergeCell ref="A57:C57"/>
    <mergeCell ref="A69:E69"/>
  </mergeCells>
  <pageMargins left="0.75" right="0.75" top="1" bottom="1" header="0.5" footer="0.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dimension ref="A1:Q15"/>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3.5703125" customWidth="1"/>
    <col min="2" max="14" width="8.5703125" customWidth="1"/>
    <col min="15" max="16" width="10.85546875" customWidth="1"/>
    <col min="17" max="17" width="9.140625" customWidth="1"/>
  </cols>
  <sheetData>
    <row r="1" spans="1:17" ht="19.5" customHeight="1">
      <c r="A1" s="1" t="s">
        <v>385</v>
      </c>
      <c r="B1" s="2"/>
      <c r="C1" s="2"/>
      <c r="D1" s="2"/>
      <c r="E1" s="2"/>
      <c r="F1" s="2"/>
      <c r="G1" s="2"/>
      <c r="H1" s="2"/>
      <c r="I1" s="2"/>
      <c r="J1" s="2"/>
      <c r="K1" s="2"/>
      <c r="L1" s="2"/>
      <c r="M1" s="2"/>
      <c r="N1" s="2"/>
      <c r="O1" s="2"/>
      <c r="P1" s="2"/>
      <c r="Q1" s="2"/>
    </row>
    <row r="2" spans="1:17" ht="18" customHeight="1">
      <c r="A2" s="48" t="s">
        <v>189</v>
      </c>
      <c r="B2" s="2"/>
      <c r="C2" s="2"/>
      <c r="D2" s="2"/>
      <c r="E2" s="2"/>
      <c r="F2" s="2"/>
      <c r="G2" s="2"/>
      <c r="H2" s="2"/>
      <c r="I2" s="2"/>
      <c r="J2" s="2"/>
      <c r="K2" s="2"/>
      <c r="L2" s="2"/>
      <c r="M2" s="2"/>
      <c r="N2" s="2"/>
      <c r="O2" s="2"/>
      <c r="P2" s="2"/>
      <c r="Q2" s="2"/>
    </row>
    <row r="3" spans="1:17" ht="12.75" customHeight="1">
      <c r="O3" s="2"/>
      <c r="P3" s="2"/>
    </row>
    <row r="4" spans="1:17" ht="12.75" customHeight="1">
      <c r="A4" s="2" t="s">
        <v>18</v>
      </c>
      <c r="B4" s="49" t="s">
        <v>148</v>
      </c>
      <c r="O4" s="2"/>
      <c r="P4" s="2"/>
    </row>
    <row r="5" spans="1:17" ht="12.75" customHeight="1">
      <c r="A5" s="5"/>
      <c r="B5" s="6"/>
      <c r="C5" s="6"/>
      <c r="D5" s="6"/>
      <c r="E5" s="6"/>
      <c r="F5" s="6"/>
      <c r="G5" s="6"/>
      <c r="H5" s="6"/>
      <c r="I5" s="6"/>
      <c r="J5" s="6"/>
      <c r="K5" s="6"/>
      <c r="L5" s="6"/>
      <c r="M5" s="6"/>
      <c r="N5" s="6"/>
      <c r="O5" s="5"/>
      <c r="P5" s="5"/>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135</v>
      </c>
      <c r="B7" s="59"/>
      <c r="C7" s="59"/>
      <c r="D7" s="59"/>
      <c r="E7" s="59"/>
      <c r="F7" s="59"/>
      <c r="G7" s="59"/>
      <c r="H7" s="59"/>
      <c r="I7" s="59"/>
      <c r="J7" s="59"/>
      <c r="K7" s="59"/>
      <c r="L7" s="59"/>
      <c r="M7" s="59"/>
      <c r="N7" s="53"/>
      <c r="O7" s="103"/>
      <c r="P7" s="103"/>
    </row>
    <row r="8" spans="1:17" ht="12.75" customHeight="1">
      <c r="A8" s="71" t="s">
        <v>231</v>
      </c>
      <c r="B8" s="23">
        <v>0</v>
      </c>
      <c r="C8" s="23">
        <v>0</v>
      </c>
      <c r="D8" s="23">
        <v>13</v>
      </c>
      <c r="E8" s="23">
        <v>19</v>
      </c>
      <c r="F8" s="23">
        <v>0</v>
      </c>
      <c r="G8" s="23">
        <v>0</v>
      </c>
      <c r="H8" s="23">
        <v>0</v>
      </c>
      <c r="I8" s="23">
        <v>1</v>
      </c>
      <c r="J8" s="23">
        <v>0</v>
      </c>
      <c r="K8" s="23">
        <v>6</v>
      </c>
      <c r="L8" s="23">
        <v>11</v>
      </c>
      <c r="M8" s="23">
        <v>0</v>
      </c>
      <c r="N8" s="73">
        <f>SUM(B8:M8)</f>
        <v>50</v>
      </c>
      <c r="O8" s="107">
        <v>727.65</v>
      </c>
      <c r="P8" s="76">
        <f>O8/N8</f>
        <v>14.552999999999999</v>
      </c>
    </row>
    <row r="9" spans="1:17" ht="12.75" customHeight="1">
      <c r="A9" s="2"/>
      <c r="B9" s="92"/>
      <c r="C9" s="92"/>
      <c r="D9" s="92"/>
      <c r="E9" s="92"/>
      <c r="F9" s="92"/>
      <c r="G9" s="92"/>
      <c r="H9" s="92"/>
      <c r="I9" s="92"/>
      <c r="J9" s="92"/>
      <c r="K9" s="92"/>
      <c r="L9" s="92"/>
      <c r="M9" s="92"/>
      <c r="N9" s="42"/>
      <c r="O9" s="76"/>
      <c r="P9" s="76"/>
    </row>
    <row r="10" spans="1:17" ht="12.75" customHeight="1">
      <c r="A10" s="5"/>
      <c r="B10" s="5"/>
      <c r="C10" s="5"/>
      <c r="D10" s="5"/>
      <c r="E10" s="5"/>
      <c r="F10" s="5"/>
      <c r="G10" s="5"/>
      <c r="H10" s="5"/>
      <c r="I10" s="5"/>
      <c r="J10" s="5"/>
      <c r="K10" s="5"/>
      <c r="L10" s="5"/>
      <c r="M10" s="5"/>
      <c r="N10" s="118"/>
      <c r="O10" s="102"/>
      <c r="P10" s="102"/>
    </row>
    <row r="11" spans="1:17" ht="12.75" customHeight="1">
      <c r="A11" s="58"/>
      <c r="B11" s="59">
        <v>39995</v>
      </c>
      <c r="C11" s="59">
        <v>40026</v>
      </c>
      <c r="D11" s="59">
        <v>40057</v>
      </c>
      <c r="E11" s="59">
        <v>40087</v>
      </c>
      <c r="F11" s="59">
        <v>40118</v>
      </c>
      <c r="G11" s="59">
        <v>40148</v>
      </c>
      <c r="H11" s="59">
        <v>40179</v>
      </c>
      <c r="I11" s="59">
        <v>40210</v>
      </c>
      <c r="J11" s="59">
        <v>40238</v>
      </c>
      <c r="K11" s="59">
        <v>40269</v>
      </c>
      <c r="L11" s="59">
        <v>40299</v>
      </c>
      <c r="M11" s="59">
        <v>40330</v>
      </c>
      <c r="N11" s="60" t="s">
        <v>367</v>
      </c>
      <c r="O11" s="61" t="s">
        <v>166</v>
      </c>
      <c r="P11" s="61" t="s">
        <v>171</v>
      </c>
    </row>
    <row r="12" spans="1:17" ht="12.75" customHeight="1">
      <c r="A12" s="186" t="s">
        <v>414</v>
      </c>
      <c r="B12" s="187"/>
      <c r="C12" s="59"/>
      <c r="D12" s="59"/>
      <c r="E12" s="59"/>
      <c r="F12" s="59"/>
      <c r="G12" s="59"/>
      <c r="H12" s="59"/>
      <c r="I12" s="59"/>
      <c r="J12" s="59"/>
      <c r="K12" s="59"/>
      <c r="L12" s="59"/>
      <c r="M12" s="59"/>
      <c r="N12" s="53"/>
      <c r="O12" s="192" t="s">
        <v>160</v>
      </c>
      <c r="P12" s="192"/>
    </row>
    <row r="13" spans="1:17" ht="12.75" customHeight="1">
      <c r="A13" s="71" t="s">
        <v>231</v>
      </c>
      <c r="B13" s="33">
        <v>0</v>
      </c>
      <c r="C13" s="23">
        <v>0</v>
      </c>
      <c r="D13" s="23">
        <v>6</v>
      </c>
      <c r="E13" s="23">
        <v>19</v>
      </c>
      <c r="F13" s="23">
        <v>5</v>
      </c>
      <c r="G13" s="23">
        <v>6</v>
      </c>
      <c r="H13" s="23">
        <v>5</v>
      </c>
      <c r="I13" s="23">
        <v>18</v>
      </c>
      <c r="J13" s="23">
        <v>2</v>
      </c>
      <c r="K13" s="23">
        <v>3</v>
      </c>
      <c r="L13" s="23">
        <v>3</v>
      </c>
      <c r="M13" s="23">
        <v>4</v>
      </c>
      <c r="N13" s="73">
        <f>SUM(B13:M13)</f>
        <v>71</v>
      </c>
      <c r="O13" s="107">
        <v>2970.75</v>
      </c>
      <c r="P13" s="76">
        <f>O13/N13</f>
        <v>41.841549295774648</v>
      </c>
    </row>
    <row r="14" spans="1:17" ht="12.75" customHeight="1">
      <c r="A14" s="2"/>
      <c r="B14" s="43"/>
      <c r="C14" s="43"/>
      <c r="D14" s="43"/>
      <c r="E14" s="43"/>
      <c r="F14" s="43"/>
      <c r="G14" s="43"/>
      <c r="H14" s="43"/>
      <c r="I14" s="43"/>
      <c r="J14" s="43"/>
      <c r="K14" s="43"/>
      <c r="L14" s="43"/>
      <c r="M14" s="43"/>
      <c r="N14" s="43"/>
      <c r="O14" s="2"/>
      <c r="P14" s="2"/>
    </row>
    <row r="15" spans="1:17" ht="12.75" customHeight="1">
      <c r="A15" s="2"/>
      <c r="O15" s="2"/>
      <c r="P15" s="2"/>
    </row>
  </sheetData>
  <mergeCells count="2">
    <mergeCell ref="A12:B12"/>
    <mergeCell ref="O12:P12"/>
  </mergeCells>
  <pageMargins left="0.75" right="0.75" top="1" bottom="1" header="0.5" footer="0.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dimension ref="A1:Q10"/>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33.5703125" customWidth="1"/>
    <col min="2" max="14" width="8.5703125" customWidth="1"/>
    <col min="15" max="16" width="10.85546875" customWidth="1"/>
    <col min="17" max="17" width="9.140625" customWidth="1"/>
  </cols>
  <sheetData>
    <row r="1" spans="1:17" ht="19.5" customHeight="1">
      <c r="A1" s="1" t="s">
        <v>372</v>
      </c>
      <c r="B1" s="2"/>
      <c r="C1" s="2"/>
      <c r="D1" s="2"/>
      <c r="E1" s="2"/>
      <c r="F1" s="2"/>
      <c r="G1" s="2"/>
      <c r="H1" s="2"/>
      <c r="I1" s="2"/>
      <c r="J1" s="2"/>
      <c r="K1" s="2"/>
      <c r="L1" s="2"/>
      <c r="M1" s="2"/>
      <c r="N1" s="2"/>
      <c r="O1" s="2"/>
      <c r="P1" s="2"/>
      <c r="Q1" s="2"/>
    </row>
    <row r="2" spans="1:17" ht="18" customHeight="1">
      <c r="A2" s="48" t="s">
        <v>189</v>
      </c>
      <c r="B2" s="2"/>
      <c r="C2" s="2"/>
      <c r="D2" s="2"/>
      <c r="E2" s="2"/>
      <c r="F2" s="2"/>
      <c r="G2" s="2"/>
      <c r="H2" s="2"/>
      <c r="I2" s="2"/>
      <c r="J2" s="2"/>
      <c r="K2" s="2"/>
      <c r="L2" s="2"/>
      <c r="M2" s="2"/>
      <c r="N2" s="2"/>
      <c r="O2" s="2"/>
      <c r="P2" s="2"/>
      <c r="Q2" s="2"/>
    </row>
    <row r="3" spans="1:17" ht="12.75" customHeight="1">
      <c r="O3" s="2"/>
      <c r="P3" s="2"/>
    </row>
    <row r="4" spans="1:17" ht="12.75" customHeight="1">
      <c r="A4" s="2" t="s">
        <v>18</v>
      </c>
      <c r="B4" s="49" t="s">
        <v>148</v>
      </c>
      <c r="O4" s="2"/>
      <c r="P4" s="2"/>
    </row>
    <row r="5" spans="1:17" ht="12.75" customHeight="1">
      <c r="A5" s="5"/>
      <c r="B5" s="6"/>
      <c r="C5" s="6"/>
      <c r="D5" s="6"/>
      <c r="E5" s="6"/>
      <c r="F5" s="6"/>
      <c r="G5" s="6"/>
      <c r="H5" s="6"/>
      <c r="I5" s="6"/>
      <c r="J5" s="6"/>
      <c r="K5" s="6"/>
      <c r="L5" s="6"/>
      <c r="M5" s="6"/>
      <c r="N5" s="6"/>
      <c r="O5" s="5"/>
      <c r="P5" s="5"/>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73</v>
      </c>
      <c r="B7" s="53"/>
      <c r="C7" s="53"/>
      <c r="D7" s="53"/>
      <c r="E7" s="53"/>
      <c r="F7" s="53"/>
      <c r="G7" s="53"/>
      <c r="H7" s="53"/>
      <c r="I7" s="53"/>
      <c r="J7" s="53"/>
      <c r="K7" s="53"/>
      <c r="L7" s="53"/>
      <c r="M7" s="53"/>
      <c r="N7" s="53"/>
      <c r="O7" s="103"/>
      <c r="P7" s="103"/>
    </row>
    <row r="8" spans="1:17" ht="12.75" customHeight="1">
      <c r="A8" s="71" t="s">
        <v>253</v>
      </c>
      <c r="B8" s="23">
        <v>50</v>
      </c>
      <c r="C8" s="23">
        <v>46</v>
      </c>
      <c r="D8" s="23">
        <v>175</v>
      </c>
      <c r="E8" s="23">
        <v>208</v>
      </c>
      <c r="F8" s="23">
        <v>161</v>
      </c>
      <c r="G8" s="23">
        <v>132</v>
      </c>
      <c r="H8" s="23">
        <v>95</v>
      </c>
      <c r="I8" s="23">
        <v>250</v>
      </c>
      <c r="J8" s="23">
        <v>305</v>
      </c>
      <c r="K8" s="23">
        <v>256</v>
      </c>
      <c r="L8" s="23">
        <v>50</v>
      </c>
      <c r="M8" s="23">
        <v>92</v>
      </c>
      <c r="N8" s="73">
        <f>SUM(B8:M8)</f>
        <v>1820</v>
      </c>
      <c r="O8" s="107"/>
      <c r="P8" s="76"/>
    </row>
    <row r="9" spans="1:17" ht="12.75" customHeight="1">
      <c r="A9" s="71" t="s">
        <v>204</v>
      </c>
      <c r="B9" s="23">
        <v>97</v>
      </c>
      <c r="C9" s="23">
        <v>159</v>
      </c>
      <c r="D9" s="23">
        <v>633</v>
      </c>
      <c r="E9" s="23">
        <v>658</v>
      </c>
      <c r="F9" s="23">
        <v>535</v>
      </c>
      <c r="G9" s="23">
        <v>522</v>
      </c>
      <c r="H9" s="23">
        <v>286</v>
      </c>
      <c r="I9" s="23">
        <v>1286</v>
      </c>
      <c r="J9" s="23">
        <v>1139</v>
      </c>
      <c r="K9" s="23">
        <v>796</v>
      </c>
      <c r="L9" s="23">
        <v>106</v>
      </c>
      <c r="M9" s="23">
        <v>344</v>
      </c>
      <c r="N9" s="73">
        <f>SUM(B9:M9)</f>
        <v>6561</v>
      </c>
      <c r="O9" s="107">
        <v>10927</v>
      </c>
      <c r="P9" s="76">
        <f>O9/N9</f>
        <v>1.6654473403444596</v>
      </c>
    </row>
    <row r="10" spans="1:17" ht="12.75" customHeight="1">
      <c r="A10" s="2"/>
      <c r="B10" s="42"/>
      <c r="C10" s="42"/>
      <c r="D10" s="42"/>
      <c r="E10" s="42"/>
      <c r="F10" s="42"/>
      <c r="G10" s="42"/>
      <c r="H10" s="42"/>
      <c r="I10" s="42"/>
      <c r="J10" s="42"/>
      <c r="K10" s="42"/>
      <c r="L10" s="42"/>
      <c r="M10" s="42"/>
      <c r="N10" s="119"/>
      <c r="O10" s="76"/>
      <c r="P10" s="76"/>
    </row>
  </sheetData>
  <pageMargins left="0.75" right="0.75" top="1" bottom="1" header="0.5" footer="0.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dimension ref="A1:Q14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69.5703125" customWidth="1"/>
    <col min="2" max="14" width="8.5703125" customWidth="1"/>
    <col min="15" max="16" width="10.85546875" customWidth="1"/>
    <col min="17" max="17" width="9.140625" customWidth="1"/>
  </cols>
  <sheetData>
    <row r="1" spans="1:17" ht="19.5" customHeight="1">
      <c r="A1" s="1" t="s">
        <v>363</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c r="P3" s="2"/>
    </row>
    <row r="4" spans="1:17" ht="12.75" customHeight="1">
      <c r="A4" s="2" t="s">
        <v>18</v>
      </c>
      <c r="B4" s="2" t="s">
        <v>187</v>
      </c>
      <c r="O4" s="2"/>
      <c r="P4" s="2"/>
    </row>
    <row r="5" spans="1:17" ht="12.75" customHeight="1">
      <c r="A5" s="5"/>
      <c r="B5" s="6"/>
      <c r="C5" s="6"/>
      <c r="D5" s="6"/>
      <c r="E5" s="6"/>
      <c r="F5" s="6"/>
      <c r="G5" s="6"/>
      <c r="H5" s="6"/>
      <c r="I5" s="6"/>
      <c r="J5" s="6"/>
      <c r="K5" s="6"/>
      <c r="L5" s="6"/>
      <c r="M5" s="6"/>
      <c r="N5" s="6"/>
      <c r="O5" s="5"/>
      <c r="P5" s="5"/>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347</v>
      </c>
      <c r="B7" s="112"/>
      <c r="C7" s="112"/>
      <c r="D7" s="112"/>
      <c r="E7" s="112"/>
      <c r="F7" s="112"/>
      <c r="G7" s="112"/>
      <c r="H7" s="112"/>
      <c r="I7" s="112"/>
      <c r="J7" s="112"/>
      <c r="K7" s="112"/>
      <c r="L7" s="112"/>
      <c r="M7" s="112"/>
      <c r="N7" s="112"/>
      <c r="O7" s="103"/>
      <c r="P7" s="103"/>
    </row>
    <row r="8" spans="1:17" ht="12.75" customHeight="1">
      <c r="A8" s="71" t="s">
        <v>204</v>
      </c>
      <c r="B8" s="23">
        <v>1</v>
      </c>
      <c r="C8" s="23">
        <v>0</v>
      </c>
      <c r="D8" s="23">
        <v>3</v>
      </c>
      <c r="E8" s="23">
        <v>0</v>
      </c>
      <c r="F8" s="23">
        <v>0</v>
      </c>
      <c r="G8" s="23">
        <v>2</v>
      </c>
      <c r="H8" s="23">
        <v>0</v>
      </c>
      <c r="I8" s="23">
        <v>2</v>
      </c>
      <c r="J8" s="23">
        <v>15</v>
      </c>
      <c r="K8" s="23">
        <v>8</v>
      </c>
      <c r="L8" s="23">
        <v>0</v>
      </c>
      <c r="M8" s="23">
        <v>0</v>
      </c>
      <c r="N8" s="73">
        <f>SUM(B8:M8)</f>
        <v>31</v>
      </c>
      <c r="O8" s="107">
        <v>0</v>
      </c>
      <c r="P8" s="76" t="s">
        <v>228</v>
      </c>
    </row>
    <row r="9" spans="1:17" ht="12.75" customHeight="1">
      <c r="A9" s="2"/>
      <c r="B9" s="86"/>
      <c r="C9" s="86"/>
      <c r="D9" s="86"/>
      <c r="E9" s="86"/>
      <c r="F9" s="86"/>
      <c r="G9" s="86"/>
      <c r="H9" s="86"/>
      <c r="I9" s="86"/>
      <c r="J9" s="86"/>
      <c r="K9" s="86"/>
      <c r="L9" s="86"/>
      <c r="M9" s="86"/>
      <c r="N9" s="87"/>
      <c r="O9" s="76"/>
      <c r="P9" s="76"/>
    </row>
    <row r="10" spans="1:17" ht="12.75" customHeight="1">
      <c r="A10" s="5"/>
      <c r="B10" s="88"/>
      <c r="C10" s="88"/>
      <c r="D10" s="88"/>
      <c r="E10" s="88"/>
      <c r="F10" s="88"/>
      <c r="G10" s="88"/>
      <c r="H10" s="88"/>
      <c r="I10" s="88"/>
      <c r="J10" s="88"/>
      <c r="K10" s="88"/>
      <c r="L10" s="88"/>
      <c r="M10" s="88"/>
      <c r="N10" s="89"/>
      <c r="O10" s="102"/>
      <c r="P10" s="102"/>
    </row>
    <row r="11" spans="1:17" ht="24.75" customHeight="1">
      <c r="A11" s="58"/>
      <c r="B11" s="59">
        <v>39995</v>
      </c>
      <c r="C11" s="59">
        <v>40026</v>
      </c>
      <c r="D11" s="59">
        <v>40057</v>
      </c>
      <c r="E11" s="59">
        <v>40087</v>
      </c>
      <c r="F11" s="59">
        <v>40118</v>
      </c>
      <c r="G11" s="59">
        <v>40148</v>
      </c>
      <c r="H11" s="59">
        <v>40179</v>
      </c>
      <c r="I11" s="59">
        <v>40210</v>
      </c>
      <c r="J11" s="59">
        <v>40238</v>
      </c>
      <c r="K11" s="59">
        <v>40269</v>
      </c>
      <c r="L11" s="59">
        <v>40299</v>
      </c>
      <c r="M11" s="59">
        <v>40330</v>
      </c>
      <c r="N11" s="60" t="s">
        <v>367</v>
      </c>
      <c r="O11" s="61" t="s">
        <v>166</v>
      </c>
      <c r="P11" s="61" t="s">
        <v>171</v>
      </c>
      <c r="Q11" s="2"/>
    </row>
    <row r="12" spans="1:17" ht="12.75" customHeight="1">
      <c r="A12" s="67" t="s">
        <v>142</v>
      </c>
      <c r="B12" s="59"/>
      <c r="C12" s="59"/>
      <c r="D12" s="59"/>
      <c r="E12" s="59"/>
      <c r="F12" s="59"/>
      <c r="G12" s="59"/>
      <c r="H12" s="59"/>
      <c r="I12" s="59"/>
      <c r="J12" s="59"/>
      <c r="K12" s="59"/>
      <c r="L12" s="59"/>
      <c r="M12" s="59"/>
      <c r="N12" s="53"/>
      <c r="O12" s="103"/>
      <c r="P12" s="103"/>
    </row>
    <row r="13" spans="1:17" ht="12.75" customHeight="1">
      <c r="A13" s="71" t="s">
        <v>204</v>
      </c>
      <c r="B13" s="16">
        <v>0</v>
      </c>
      <c r="C13" s="16">
        <v>0</v>
      </c>
      <c r="D13" s="16">
        <v>0</v>
      </c>
      <c r="E13" s="16">
        <v>0</v>
      </c>
      <c r="F13" s="16">
        <v>0</v>
      </c>
      <c r="G13" s="16">
        <v>0</v>
      </c>
      <c r="H13" s="16">
        <v>0</v>
      </c>
      <c r="I13" s="16">
        <v>4</v>
      </c>
      <c r="J13" s="16">
        <v>11</v>
      </c>
      <c r="K13" s="16">
        <v>6</v>
      </c>
      <c r="L13" s="16">
        <v>0</v>
      </c>
      <c r="M13" s="16">
        <v>0</v>
      </c>
      <c r="N13" s="120">
        <f>SUM(B13:M13)</f>
        <v>21</v>
      </c>
      <c r="O13" s="107">
        <v>0</v>
      </c>
      <c r="P13" s="76" t="s">
        <v>228</v>
      </c>
    </row>
    <row r="14" spans="1:17" ht="12.75" customHeight="1">
      <c r="A14" s="2"/>
      <c r="B14" s="115"/>
      <c r="C14" s="115"/>
      <c r="D14" s="115"/>
      <c r="E14" s="115"/>
      <c r="F14" s="115"/>
      <c r="G14" s="115"/>
      <c r="H14" s="115"/>
      <c r="I14" s="115"/>
      <c r="J14" s="115"/>
      <c r="K14" s="115"/>
      <c r="L14" s="115"/>
      <c r="M14" s="115"/>
      <c r="N14" s="42"/>
      <c r="O14" s="76"/>
      <c r="P14" s="76"/>
    </row>
    <row r="15" spans="1:17" ht="12.75" customHeight="1">
      <c r="A15" s="5"/>
      <c r="B15" s="113"/>
      <c r="C15" s="113"/>
      <c r="D15" s="113"/>
      <c r="E15" s="113"/>
      <c r="F15" s="113"/>
      <c r="G15" s="113"/>
      <c r="H15" s="113"/>
      <c r="I15" s="113"/>
      <c r="J15" s="113"/>
      <c r="K15" s="113"/>
      <c r="L15" s="113"/>
      <c r="M15" s="113"/>
      <c r="N15" s="5"/>
      <c r="O15" s="102"/>
      <c r="P15" s="102"/>
    </row>
    <row r="16" spans="1:17" ht="24.75" customHeight="1">
      <c r="A16" s="58"/>
      <c r="B16" s="59">
        <v>39995</v>
      </c>
      <c r="C16" s="59">
        <v>40026</v>
      </c>
      <c r="D16" s="59">
        <v>40057</v>
      </c>
      <c r="E16" s="59">
        <v>40087</v>
      </c>
      <c r="F16" s="59">
        <v>40118</v>
      </c>
      <c r="G16" s="59">
        <v>40148</v>
      </c>
      <c r="H16" s="59">
        <v>40179</v>
      </c>
      <c r="I16" s="59">
        <v>40210</v>
      </c>
      <c r="J16" s="59">
        <v>40238</v>
      </c>
      <c r="K16" s="59">
        <v>40269</v>
      </c>
      <c r="L16" s="59">
        <v>40299</v>
      </c>
      <c r="M16" s="59">
        <v>40330</v>
      </c>
      <c r="N16" s="60" t="s">
        <v>367</v>
      </c>
      <c r="O16" s="61" t="s">
        <v>166</v>
      </c>
      <c r="P16" s="61" t="s">
        <v>171</v>
      </c>
      <c r="Q16" s="2"/>
    </row>
    <row r="17" spans="1:17" ht="12.75" customHeight="1">
      <c r="A17" s="67" t="s">
        <v>109</v>
      </c>
      <c r="B17" s="59"/>
      <c r="C17" s="59"/>
      <c r="D17" s="59"/>
      <c r="E17" s="59"/>
      <c r="F17" s="59"/>
      <c r="G17" s="59"/>
      <c r="H17" s="59"/>
      <c r="I17" s="59"/>
      <c r="J17" s="59"/>
      <c r="K17" s="59"/>
      <c r="L17" s="59"/>
      <c r="M17" s="59"/>
      <c r="N17" s="53"/>
      <c r="O17" s="103"/>
      <c r="P17" s="103"/>
    </row>
    <row r="18" spans="1:17" ht="12.75" customHeight="1">
      <c r="A18" s="71" t="s">
        <v>301</v>
      </c>
      <c r="B18" s="23">
        <v>87</v>
      </c>
      <c r="C18" s="23">
        <v>41</v>
      </c>
      <c r="D18" s="23">
        <v>78</v>
      </c>
      <c r="E18" s="23">
        <v>175</v>
      </c>
      <c r="F18" s="23">
        <v>150</v>
      </c>
      <c r="G18" s="23">
        <v>68</v>
      </c>
      <c r="H18" s="23">
        <v>32</v>
      </c>
      <c r="I18" s="23">
        <v>96</v>
      </c>
      <c r="J18" s="23">
        <v>144</v>
      </c>
      <c r="K18" s="23">
        <v>96</v>
      </c>
      <c r="L18" s="23">
        <v>39</v>
      </c>
      <c r="M18" s="23">
        <v>60</v>
      </c>
      <c r="N18" s="73">
        <f>SUM(B18:M18)</f>
        <v>1066</v>
      </c>
      <c r="O18" s="107"/>
      <c r="P18" s="76"/>
    </row>
    <row r="19" spans="1:17" ht="12.75" customHeight="1">
      <c r="A19" s="71" t="s">
        <v>204</v>
      </c>
      <c r="B19" s="23">
        <v>443</v>
      </c>
      <c r="C19" s="23">
        <v>302</v>
      </c>
      <c r="D19" s="23">
        <v>315</v>
      </c>
      <c r="E19" s="23">
        <v>728</v>
      </c>
      <c r="F19" s="23">
        <v>240</v>
      </c>
      <c r="G19" s="23">
        <v>105</v>
      </c>
      <c r="H19" s="23">
        <v>204</v>
      </c>
      <c r="I19" s="23">
        <v>323</v>
      </c>
      <c r="J19" s="23">
        <v>261</v>
      </c>
      <c r="K19" s="23">
        <v>488</v>
      </c>
      <c r="L19" s="23">
        <v>352</v>
      </c>
      <c r="M19" s="23">
        <v>510</v>
      </c>
      <c r="N19" s="73">
        <f>SUM(B19:M19)</f>
        <v>4271</v>
      </c>
      <c r="O19" s="107">
        <v>0</v>
      </c>
      <c r="P19" s="76" t="s">
        <v>228</v>
      </c>
    </row>
    <row r="20" spans="1:17" ht="12.75" customHeight="1">
      <c r="A20" s="71" t="s">
        <v>236</v>
      </c>
      <c r="B20" s="72">
        <v>2</v>
      </c>
      <c r="C20" s="72">
        <v>2</v>
      </c>
      <c r="D20" s="72">
        <v>2</v>
      </c>
      <c r="E20" s="72">
        <v>2</v>
      </c>
      <c r="F20" s="72">
        <v>2</v>
      </c>
      <c r="G20" s="72">
        <v>2</v>
      </c>
      <c r="H20" s="72">
        <v>2</v>
      </c>
      <c r="I20" s="72">
        <v>2</v>
      </c>
      <c r="J20" s="72">
        <v>2</v>
      </c>
      <c r="K20" s="72">
        <v>2</v>
      </c>
      <c r="L20" s="72">
        <v>2</v>
      </c>
      <c r="M20" s="72">
        <v>20</v>
      </c>
      <c r="N20" s="73"/>
      <c r="O20" s="107"/>
      <c r="P20" s="76"/>
    </row>
    <row r="21" spans="1:17" ht="12.75" customHeight="1">
      <c r="A21" s="71" t="s">
        <v>225</v>
      </c>
      <c r="B21" s="72">
        <v>0</v>
      </c>
      <c r="C21" s="72">
        <v>0</v>
      </c>
      <c r="D21" s="72">
        <v>3</v>
      </c>
      <c r="E21" s="72">
        <v>7</v>
      </c>
      <c r="F21" s="72">
        <v>23</v>
      </c>
      <c r="G21" s="72">
        <v>0</v>
      </c>
      <c r="H21" s="72">
        <v>0</v>
      </c>
      <c r="I21" s="72">
        <v>1</v>
      </c>
      <c r="J21" s="72">
        <v>11</v>
      </c>
      <c r="K21" s="72">
        <v>1</v>
      </c>
      <c r="L21" s="72">
        <v>0</v>
      </c>
      <c r="M21" s="72">
        <v>0</v>
      </c>
      <c r="N21" s="73">
        <f>SUM(B21:M21)</f>
        <v>46</v>
      </c>
      <c r="O21" s="107"/>
      <c r="P21" s="76"/>
    </row>
    <row r="22" spans="1:17" ht="12.75" customHeight="1">
      <c r="A22" s="2"/>
      <c r="B22" s="87"/>
      <c r="C22" s="87"/>
      <c r="D22" s="87"/>
      <c r="E22" s="87"/>
      <c r="F22" s="87"/>
      <c r="G22" s="87"/>
      <c r="H22" s="87"/>
      <c r="I22" s="87"/>
      <c r="J22" s="87"/>
      <c r="K22" s="87"/>
      <c r="L22" s="87"/>
      <c r="M22" s="87"/>
      <c r="N22" s="87"/>
      <c r="O22" s="76"/>
      <c r="P22" s="76"/>
    </row>
    <row r="23" spans="1:17" ht="12.75" customHeight="1">
      <c r="A23" s="5"/>
      <c r="B23" s="89"/>
      <c r="C23" s="89"/>
      <c r="D23" s="89"/>
      <c r="E23" s="89"/>
      <c r="F23" s="89"/>
      <c r="G23" s="89"/>
      <c r="H23" s="89"/>
      <c r="I23" s="89"/>
      <c r="J23" s="89"/>
      <c r="K23" s="89"/>
      <c r="L23" s="89"/>
      <c r="M23" s="89"/>
      <c r="N23" s="89"/>
      <c r="O23" s="102"/>
      <c r="P23" s="102"/>
    </row>
    <row r="24" spans="1:17" ht="24.75" customHeight="1">
      <c r="A24" s="58"/>
      <c r="B24" s="59">
        <v>39995</v>
      </c>
      <c r="C24" s="59">
        <v>40026</v>
      </c>
      <c r="D24" s="59">
        <v>40057</v>
      </c>
      <c r="E24" s="59">
        <v>40087</v>
      </c>
      <c r="F24" s="59">
        <v>40118</v>
      </c>
      <c r="G24" s="59">
        <v>40148</v>
      </c>
      <c r="H24" s="59">
        <v>40179</v>
      </c>
      <c r="I24" s="59">
        <v>40210</v>
      </c>
      <c r="J24" s="59">
        <v>40238</v>
      </c>
      <c r="K24" s="59">
        <v>40269</v>
      </c>
      <c r="L24" s="59">
        <v>40299</v>
      </c>
      <c r="M24" s="59">
        <v>40330</v>
      </c>
      <c r="N24" s="60" t="s">
        <v>367</v>
      </c>
      <c r="O24" s="61" t="s">
        <v>166</v>
      </c>
      <c r="P24" s="61" t="s">
        <v>171</v>
      </c>
      <c r="Q24" s="2"/>
    </row>
    <row r="25" spans="1:17" ht="12.75" customHeight="1">
      <c r="A25" s="67" t="s">
        <v>226</v>
      </c>
      <c r="B25" s="59"/>
      <c r="C25" s="59"/>
      <c r="D25" s="59"/>
      <c r="E25" s="59"/>
      <c r="F25" s="59"/>
      <c r="G25" s="59"/>
      <c r="H25" s="59"/>
      <c r="I25" s="59"/>
      <c r="J25" s="59"/>
      <c r="K25" s="59"/>
      <c r="L25" s="59"/>
      <c r="M25" s="59"/>
      <c r="N25" s="53"/>
      <c r="O25" s="103"/>
      <c r="P25" s="103"/>
    </row>
    <row r="26" spans="1:17" ht="12.75" customHeight="1">
      <c r="A26" s="71" t="s">
        <v>301</v>
      </c>
      <c r="B26" s="23">
        <v>5</v>
      </c>
      <c r="C26" s="23">
        <v>3</v>
      </c>
      <c r="D26" s="23">
        <v>0</v>
      </c>
      <c r="E26" s="23">
        <v>7</v>
      </c>
      <c r="F26" s="23">
        <v>9</v>
      </c>
      <c r="G26" s="23">
        <v>7</v>
      </c>
      <c r="H26" s="23">
        <v>0</v>
      </c>
      <c r="I26" s="23">
        <v>4</v>
      </c>
      <c r="J26" s="23">
        <v>6</v>
      </c>
      <c r="K26" s="23">
        <v>5</v>
      </c>
      <c r="L26" s="23">
        <v>7</v>
      </c>
      <c r="M26" s="23">
        <v>2</v>
      </c>
      <c r="N26" s="73">
        <f>SUM(B26:M26)</f>
        <v>55</v>
      </c>
      <c r="O26" s="107"/>
      <c r="P26" s="76"/>
    </row>
    <row r="27" spans="1:17" ht="12.75" customHeight="1">
      <c r="A27" s="71" t="s">
        <v>204</v>
      </c>
      <c r="B27" s="23">
        <v>6</v>
      </c>
      <c r="C27" s="23">
        <v>5</v>
      </c>
      <c r="D27" s="23">
        <v>0</v>
      </c>
      <c r="E27" s="23">
        <v>3</v>
      </c>
      <c r="F27" s="23">
        <v>4</v>
      </c>
      <c r="G27" s="23">
        <v>19</v>
      </c>
      <c r="H27" s="23">
        <v>0</v>
      </c>
      <c r="I27" s="23">
        <v>7</v>
      </c>
      <c r="J27" s="23">
        <v>4</v>
      </c>
      <c r="K27" s="23">
        <v>4</v>
      </c>
      <c r="L27" s="23">
        <v>11</v>
      </c>
      <c r="M27" s="23">
        <v>1</v>
      </c>
      <c r="N27" s="73">
        <f>SUM(B27:M27)</f>
        <v>64</v>
      </c>
      <c r="O27" s="107">
        <v>0</v>
      </c>
      <c r="P27" s="76" t="s">
        <v>228</v>
      </c>
    </row>
    <row r="28" spans="1:17" ht="12.75" customHeight="1">
      <c r="A28" s="71" t="s">
        <v>236</v>
      </c>
      <c r="B28" s="72">
        <v>2</v>
      </c>
      <c r="C28" s="72">
        <v>2</v>
      </c>
      <c r="D28" s="72">
        <v>0</v>
      </c>
      <c r="E28" s="72">
        <v>2</v>
      </c>
      <c r="F28" s="72">
        <v>2</v>
      </c>
      <c r="G28" s="72">
        <v>2</v>
      </c>
      <c r="H28" s="72">
        <v>0</v>
      </c>
      <c r="I28" s="72">
        <v>2</v>
      </c>
      <c r="J28" s="72">
        <v>2</v>
      </c>
      <c r="K28" s="72">
        <v>2</v>
      </c>
      <c r="L28" s="72">
        <v>2</v>
      </c>
      <c r="M28" s="72">
        <v>2</v>
      </c>
      <c r="N28" s="73"/>
      <c r="O28" s="107"/>
      <c r="P28" s="76"/>
    </row>
    <row r="29" spans="1:17" ht="12.75" customHeight="1">
      <c r="A29" s="71" t="s">
        <v>225</v>
      </c>
      <c r="B29" s="72">
        <v>0</v>
      </c>
      <c r="C29" s="72">
        <v>0</v>
      </c>
      <c r="D29" s="72">
        <v>0</v>
      </c>
      <c r="E29" s="72">
        <v>0</v>
      </c>
      <c r="F29" s="72">
        <v>0</v>
      </c>
      <c r="G29" s="72">
        <v>0</v>
      </c>
      <c r="H29" s="72">
        <v>0</v>
      </c>
      <c r="I29" s="72">
        <v>0</v>
      </c>
      <c r="J29" s="72">
        <v>0</v>
      </c>
      <c r="K29" s="72">
        <v>0</v>
      </c>
      <c r="L29" s="72">
        <v>0</v>
      </c>
      <c r="M29" s="72">
        <v>0</v>
      </c>
      <c r="N29" s="73">
        <f>SUM(B29:M29)</f>
        <v>0</v>
      </c>
      <c r="O29" s="107"/>
      <c r="P29" s="76"/>
    </row>
    <row r="30" spans="1:17" ht="12.75" customHeight="1">
      <c r="A30" s="2"/>
      <c r="B30" s="87"/>
      <c r="C30" s="87"/>
      <c r="D30" s="87"/>
      <c r="E30" s="87"/>
      <c r="F30" s="87"/>
      <c r="G30" s="87"/>
      <c r="H30" s="87"/>
      <c r="I30" s="87"/>
      <c r="J30" s="87"/>
      <c r="K30" s="87"/>
      <c r="L30" s="87"/>
      <c r="M30" s="87"/>
      <c r="N30" s="87"/>
      <c r="O30" s="76"/>
      <c r="P30" s="76"/>
    </row>
    <row r="31" spans="1:17" ht="12.75" customHeight="1">
      <c r="A31" s="5"/>
      <c r="B31" s="89"/>
      <c r="C31" s="89"/>
      <c r="D31" s="89"/>
      <c r="E31" s="89"/>
      <c r="F31" s="89"/>
      <c r="G31" s="89"/>
      <c r="H31" s="89"/>
      <c r="I31" s="89"/>
      <c r="J31" s="89"/>
      <c r="K31" s="89"/>
      <c r="L31" s="89"/>
      <c r="M31" s="89"/>
      <c r="N31" s="89"/>
      <c r="O31" s="102"/>
      <c r="P31" s="102"/>
    </row>
    <row r="32" spans="1:17" ht="24.75" customHeight="1">
      <c r="A32" s="58"/>
      <c r="B32" s="59">
        <v>39995</v>
      </c>
      <c r="C32" s="59">
        <v>40026</v>
      </c>
      <c r="D32" s="59">
        <v>40057</v>
      </c>
      <c r="E32" s="59">
        <v>40087</v>
      </c>
      <c r="F32" s="59">
        <v>40118</v>
      </c>
      <c r="G32" s="59">
        <v>40148</v>
      </c>
      <c r="H32" s="59">
        <v>40179</v>
      </c>
      <c r="I32" s="59">
        <v>40210</v>
      </c>
      <c r="J32" s="59">
        <v>40238</v>
      </c>
      <c r="K32" s="59">
        <v>40269</v>
      </c>
      <c r="L32" s="59">
        <v>40299</v>
      </c>
      <c r="M32" s="59">
        <v>40330</v>
      </c>
      <c r="N32" s="60" t="s">
        <v>367</v>
      </c>
      <c r="O32" s="61" t="s">
        <v>166</v>
      </c>
      <c r="P32" s="61" t="s">
        <v>171</v>
      </c>
      <c r="Q32" s="2"/>
    </row>
    <row r="33" spans="1:17" ht="12.75" customHeight="1">
      <c r="A33" s="67" t="s">
        <v>255</v>
      </c>
      <c r="B33" s="59"/>
      <c r="C33" s="59"/>
      <c r="D33" s="59"/>
      <c r="E33" s="59"/>
      <c r="F33" s="59"/>
      <c r="G33" s="59"/>
      <c r="H33" s="59"/>
      <c r="I33" s="59"/>
      <c r="J33" s="59"/>
      <c r="K33" s="59"/>
      <c r="L33" s="59"/>
      <c r="M33" s="59"/>
      <c r="N33" s="53"/>
      <c r="O33" s="103"/>
      <c r="P33" s="103"/>
    </row>
    <row r="34" spans="1:17" ht="12.75" customHeight="1">
      <c r="A34" s="71" t="s">
        <v>301</v>
      </c>
      <c r="B34" s="23">
        <v>54</v>
      </c>
      <c r="C34" s="23">
        <v>6</v>
      </c>
      <c r="D34" s="23">
        <v>45</v>
      </c>
      <c r="E34" s="23">
        <v>103</v>
      </c>
      <c r="F34" s="23">
        <v>100</v>
      </c>
      <c r="G34" s="23">
        <v>63</v>
      </c>
      <c r="H34" s="23">
        <v>15</v>
      </c>
      <c r="I34" s="23">
        <v>56</v>
      </c>
      <c r="J34" s="23">
        <v>85</v>
      </c>
      <c r="K34" s="23">
        <v>48</v>
      </c>
      <c r="L34" s="23">
        <v>17</v>
      </c>
      <c r="M34" s="23">
        <v>29</v>
      </c>
      <c r="N34" s="73">
        <f>SUM(B34:M34)</f>
        <v>621</v>
      </c>
      <c r="O34" s="107"/>
      <c r="P34" s="76"/>
    </row>
    <row r="35" spans="1:17" ht="12.75" customHeight="1">
      <c r="A35" s="71" t="s">
        <v>204</v>
      </c>
      <c r="B35" s="23">
        <v>79</v>
      </c>
      <c r="C35" s="23">
        <v>15</v>
      </c>
      <c r="D35" s="23">
        <v>120</v>
      </c>
      <c r="E35" s="23">
        <v>179</v>
      </c>
      <c r="F35" s="23">
        <v>183</v>
      </c>
      <c r="G35" s="23">
        <v>90</v>
      </c>
      <c r="H35" s="23">
        <v>21</v>
      </c>
      <c r="I35" s="23">
        <v>104</v>
      </c>
      <c r="J35" s="23">
        <v>194</v>
      </c>
      <c r="K35" s="23">
        <v>68</v>
      </c>
      <c r="L35" s="23">
        <v>35</v>
      </c>
      <c r="M35" s="23">
        <v>34</v>
      </c>
      <c r="N35" s="73">
        <f>SUM(B35:M35)</f>
        <v>1122</v>
      </c>
      <c r="O35" s="107">
        <v>0</v>
      </c>
      <c r="P35" s="76" t="s">
        <v>228</v>
      </c>
    </row>
    <row r="36" spans="1:17" ht="12.75" customHeight="1">
      <c r="A36" s="71" t="s">
        <v>236</v>
      </c>
      <c r="B36" s="72">
        <v>2</v>
      </c>
      <c r="C36" s="72">
        <v>2</v>
      </c>
      <c r="D36" s="72">
        <v>2</v>
      </c>
      <c r="E36" s="72">
        <v>2</v>
      </c>
      <c r="F36" s="72">
        <v>2</v>
      </c>
      <c r="G36" s="72">
        <v>2</v>
      </c>
      <c r="H36" s="72">
        <v>2</v>
      </c>
      <c r="I36" s="72">
        <v>2</v>
      </c>
      <c r="J36" s="72">
        <v>2</v>
      </c>
      <c r="K36" s="72">
        <v>2</v>
      </c>
      <c r="L36" s="72">
        <v>2</v>
      </c>
      <c r="M36" s="72">
        <v>2</v>
      </c>
      <c r="N36" s="73"/>
      <c r="O36" s="107"/>
      <c r="P36" s="76"/>
    </row>
    <row r="37" spans="1:17" ht="12.75" customHeight="1">
      <c r="A37" s="71" t="s">
        <v>225</v>
      </c>
      <c r="B37" s="72">
        <v>3</v>
      </c>
      <c r="C37" s="72">
        <v>0</v>
      </c>
      <c r="D37" s="72">
        <v>0</v>
      </c>
      <c r="E37" s="72">
        <v>1</v>
      </c>
      <c r="F37" s="72">
        <v>2</v>
      </c>
      <c r="G37" s="72">
        <v>0</v>
      </c>
      <c r="H37" s="72">
        <v>0</v>
      </c>
      <c r="I37" s="72">
        <v>0</v>
      </c>
      <c r="J37" s="72">
        <v>3</v>
      </c>
      <c r="K37" s="72">
        <v>0</v>
      </c>
      <c r="L37" s="72">
        <v>0</v>
      </c>
      <c r="M37" s="72">
        <v>0</v>
      </c>
      <c r="N37" s="73">
        <f>SUM(B37:M37)</f>
        <v>9</v>
      </c>
      <c r="O37" s="107"/>
      <c r="P37" s="76"/>
    </row>
    <row r="38" spans="1:17" ht="12.75" customHeight="1">
      <c r="A38" s="2"/>
      <c r="B38" s="87"/>
      <c r="C38" s="87"/>
      <c r="D38" s="87"/>
      <c r="E38" s="87"/>
      <c r="F38" s="87"/>
      <c r="G38" s="87"/>
      <c r="H38" s="87"/>
      <c r="I38" s="87"/>
      <c r="J38" s="87"/>
      <c r="K38" s="87"/>
      <c r="L38" s="87"/>
      <c r="M38" s="87"/>
      <c r="N38" s="87"/>
      <c r="O38" s="76"/>
      <c r="P38" s="76"/>
    </row>
    <row r="39" spans="1:17" ht="12.75" customHeight="1">
      <c r="A39" s="5"/>
      <c r="B39" s="89"/>
      <c r="C39" s="89"/>
      <c r="D39" s="89"/>
      <c r="E39" s="89"/>
      <c r="F39" s="89"/>
      <c r="G39" s="89"/>
      <c r="H39" s="89"/>
      <c r="I39" s="89"/>
      <c r="J39" s="89"/>
      <c r="K39" s="89"/>
      <c r="L39" s="89"/>
      <c r="M39" s="89"/>
      <c r="N39" s="89"/>
      <c r="O39" s="102"/>
      <c r="P39" s="102"/>
    </row>
    <row r="40" spans="1:17" ht="12.75" customHeight="1">
      <c r="A40" s="58"/>
      <c r="B40" s="59">
        <v>39995</v>
      </c>
      <c r="C40" s="59">
        <v>40026</v>
      </c>
      <c r="D40" s="59">
        <v>40057</v>
      </c>
      <c r="E40" s="59">
        <v>40087</v>
      </c>
      <c r="F40" s="59">
        <v>40118</v>
      </c>
      <c r="G40" s="59">
        <v>40148</v>
      </c>
      <c r="H40" s="59">
        <v>40179</v>
      </c>
      <c r="I40" s="59">
        <v>40210</v>
      </c>
      <c r="J40" s="59">
        <v>40238</v>
      </c>
      <c r="K40" s="59">
        <v>40269</v>
      </c>
      <c r="L40" s="59">
        <v>40299</v>
      </c>
      <c r="M40" s="59">
        <v>40330</v>
      </c>
      <c r="N40" s="60" t="s">
        <v>367</v>
      </c>
      <c r="O40" s="61" t="s">
        <v>166</v>
      </c>
      <c r="P40" s="61" t="s">
        <v>171</v>
      </c>
    </row>
    <row r="41" spans="1:17" ht="12.75" customHeight="1">
      <c r="A41" s="67" t="s">
        <v>341</v>
      </c>
      <c r="B41" s="59"/>
      <c r="C41" s="59"/>
      <c r="D41" s="59"/>
      <c r="E41" s="59"/>
      <c r="F41" s="59"/>
      <c r="G41" s="59"/>
      <c r="H41" s="59"/>
      <c r="I41" s="59"/>
      <c r="J41" s="59"/>
      <c r="K41" s="59"/>
      <c r="L41" s="59"/>
      <c r="M41" s="59"/>
      <c r="N41" s="53"/>
      <c r="O41" s="103"/>
      <c r="P41" s="103"/>
    </row>
    <row r="42" spans="1:17" ht="12.75" customHeight="1">
      <c r="A42" s="71" t="s">
        <v>204</v>
      </c>
      <c r="B42" s="23">
        <v>2</v>
      </c>
      <c r="C42" s="23">
        <v>1</v>
      </c>
      <c r="D42" s="23">
        <v>1</v>
      </c>
      <c r="E42" s="23">
        <v>9</v>
      </c>
      <c r="F42" s="23">
        <v>1</v>
      </c>
      <c r="G42" s="23">
        <v>0</v>
      </c>
      <c r="H42" s="23">
        <v>0</v>
      </c>
      <c r="I42" s="23">
        <v>0</v>
      </c>
      <c r="J42" s="23">
        <v>1</v>
      </c>
      <c r="K42" s="23">
        <v>4</v>
      </c>
      <c r="L42" s="23">
        <v>0</v>
      </c>
      <c r="M42" s="23">
        <v>9</v>
      </c>
      <c r="N42" s="73">
        <f>SUM(B42:M42)</f>
        <v>28</v>
      </c>
      <c r="O42" s="107">
        <v>0</v>
      </c>
      <c r="P42" s="76" t="s">
        <v>228</v>
      </c>
    </row>
    <row r="43" spans="1:17" ht="12.75" customHeight="1">
      <c r="A43" s="2"/>
      <c r="B43" s="121"/>
      <c r="C43" s="121"/>
      <c r="D43" s="121"/>
      <c r="E43" s="121"/>
      <c r="F43" s="121"/>
      <c r="G43" s="121"/>
      <c r="H43" s="121"/>
      <c r="I43" s="121"/>
      <c r="J43" s="121"/>
      <c r="K43" s="121"/>
      <c r="L43" s="121"/>
      <c r="M43" s="121"/>
      <c r="N43" s="87"/>
      <c r="O43" s="76"/>
      <c r="P43" s="76"/>
    </row>
    <row r="44" spans="1:17" ht="12.75" customHeight="1">
      <c r="A44" s="5"/>
      <c r="B44" s="89"/>
      <c r="C44" s="89"/>
      <c r="D44" s="89"/>
      <c r="E44" s="89"/>
      <c r="F44" s="89"/>
      <c r="G44" s="89"/>
      <c r="H44" s="89"/>
      <c r="I44" s="89"/>
      <c r="J44" s="89"/>
      <c r="K44" s="89"/>
      <c r="L44" s="89"/>
      <c r="M44" s="89"/>
      <c r="N44" s="89"/>
      <c r="O44" s="102"/>
      <c r="P44" s="102"/>
    </row>
    <row r="45" spans="1:17" ht="24.75" customHeight="1">
      <c r="A45" s="58"/>
      <c r="B45" s="59">
        <v>39995</v>
      </c>
      <c r="C45" s="59">
        <v>40026</v>
      </c>
      <c r="D45" s="59">
        <v>40057</v>
      </c>
      <c r="E45" s="59">
        <v>40087</v>
      </c>
      <c r="F45" s="59">
        <v>40118</v>
      </c>
      <c r="G45" s="59">
        <v>40148</v>
      </c>
      <c r="H45" s="59">
        <v>40179</v>
      </c>
      <c r="I45" s="59">
        <v>40210</v>
      </c>
      <c r="J45" s="59">
        <v>40238</v>
      </c>
      <c r="K45" s="59">
        <v>40269</v>
      </c>
      <c r="L45" s="59">
        <v>40299</v>
      </c>
      <c r="M45" s="59">
        <v>40330</v>
      </c>
      <c r="N45" s="60" t="s">
        <v>367</v>
      </c>
      <c r="O45" s="61" t="s">
        <v>166</v>
      </c>
      <c r="P45" s="61" t="s">
        <v>171</v>
      </c>
      <c r="Q45" s="2"/>
    </row>
    <row r="46" spans="1:17" ht="12.75" customHeight="1">
      <c r="A46" s="67" t="s">
        <v>47</v>
      </c>
      <c r="B46" s="59"/>
      <c r="C46" s="59"/>
      <c r="D46" s="59"/>
      <c r="E46" s="59"/>
      <c r="F46" s="59"/>
      <c r="G46" s="59"/>
      <c r="H46" s="59"/>
      <c r="I46" s="59"/>
      <c r="J46" s="59"/>
      <c r="K46" s="59"/>
      <c r="L46" s="59"/>
      <c r="M46" s="59"/>
      <c r="N46" s="53"/>
      <c r="O46" s="103"/>
      <c r="P46" s="103"/>
    </row>
    <row r="47" spans="1:17" ht="12.75" customHeight="1">
      <c r="A47" s="71" t="s">
        <v>301</v>
      </c>
      <c r="B47" s="23">
        <v>12</v>
      </c>
      <c r="C47" s="23">
        <v>1</v>
      </c>
      <c r="D47" s="23">
        <v>4</v>
      </c>
      <c r="E47" s="23">
        <v>13</v>
      </c>
      <c r="F47" s="23">
        <v>17</v>
      </c>
      <c r="G47" s="23">
        <v>8</v>
      </c>
      <c r="H47" s="23">
        <v>4</v>
      </c>
      <c r="I47" s="23">
        <v>7</v>
      </c>
      <c r="J47" s="23">
        <v>11</v>
      </c>
      <c r="K47" s="23">
        <v>16</v>
      </c>
      <c r="L47" s="23">
        <v>7</v>
      </c>
      <c r="M47" s="23">
        <v>1</v>
      </c>
      <c r="N47" s="73">
        <f>SUM(B47:M47)</f>
        <v>101</v>
      </c>
      <c r="O47" s="107"/>
      <c r="P47" s="76"/>
    </row>
    <row r="48" spans="1:17" ht="12.75" customHeight="1">
      <c r="A48" s="71" t="s">
        <v>204</v>
      </c>
      <c r="B48" s="23">
        <v>21</v>
      </c>
      <c r="C48" s="23">
        <v>2</v>
      </c>
      <c r="D48" s="23">
        <v>5</v>
      </c>
      <c r="E48" s="23">
        <v>43</v>
      </c>
      <c r="F48" s="23">
        <v>29</v>
      </c>
      <c r="G48" s="23">
        <v>11</v>
      </c>
      <c r="H48" s="23">
        <v>3</v>
      </c>
      <c r="I48" s="23">
        <v>5</v>
      </c>
      <c r="J48" s="23">
        <v>14</v>
      </c>
      <c r="K48" s="23">
        <v>22</v>
      </c>
      <c r="L48" s="23">
        <v>10</v>
      </c>
      <c r="M48" s="23">
        <v>1</v>
      </c>
      <c r="N48" s="73">
        <f>SUM(B48:M48)</f>
        <v>166</v>
      </c>
      <c r="O48" s="107">
        <v>0</v>
      </c>
      <c r="P48" s="76" t="s">
        <v>228</v>
      </c>
    </row>
    <row r="49" spans="1:17" ht="12.75" customHeight="1">
      <c r="A49" s="71" t="s">
        <v>236</v>
      </c>
      <c r="B49" s="72">
        <v>2</v>
      </c>
      <c r="C49" s="72">
        <v>2</v>
      </c>
      <c r="D49" s="72">
        <v>2</v>
      </c>
      <c r="E49" s="72">
        <v>2</v>
      </c>
      <c r="F49" s="72">
        <v>2</v>
      </c>
      <c r="G49" s="72">
        <v>2</v>
      </c>
      <c r="H49" s="72">
        <v>2</v>
      </c>
      <c r="I49" s="72">
        <v>2</v>
      </c>
      <c r="J49" s="72">
        <v>2</v>
      </c>
      <c r="K49" s="72">
        <v>2</v>
      </c>
      <c r="L49" s="72">
        <v>2</v>
      </c>
      <c r="M49" s="72">
        <v>2</v>
      </c>
      <c r="N49" s="73"/>
      <c r="O49" s="107"/>
      <c r="P49" s="76"/>
    </row>
    <row r="50" spans="1:17" ht="12.75" customHeight="1">
      <c r="A50" s="71" t="s">
        <v>225</v>
      </c>
      <c r="B50" s="72">
        <v>2</v>
      </c>
      <c r="C50" s="72">
        <v>0</v>
      </c>
      <c r="D50" s="72">
        <v>0</v>
      </c>
      <c r="E50" s="72">
        <v>0</v>
      </c>
      <c r="F50" s="72">
        <v>0</v>
      </c>
      <c r="G50" s="72">
        <v>0</v>
      </c>
      <c r="H50" s="72">
        <v>0</v>
      </c>
      <c r="I50" s="72">
        <v>0</v>
      </c>
      <c r="J50" s="72">
        <v>0</v>
      </c>
      <c r="K50" s="20">
        <v>0</v>
      </c>
      <c r="L50" s="72">
        <v>0</v>
      </c>
      <c r="M50" s="72">
        <v>0</v>
      </c>
      <c r="N50" s="73">
        <f>SUM(B50:M50)</f>
        <v>2</v>
      </c>
      <c r="O50" s="107"/>
      <c r="P50" s="76"/>
    </row>
    <row r="51" spans="1:17" ht="12.75" customHeight="1">
      <c r="A51" s="2"/>
      <c r="B51" s="87"/>
      <c r="C51" s="87"/>
      <c r="D51" s="87"/>
      <c r="E51" s="87"/>
      <c r="F51" s="87"/>
      <c r="G51" s="87"/>
      <c r="H51" s="87"/>
      <c r="I51" s="87"/>
      <c r="J51" s="87"/>
      <c r="K51" s="122"/>
      <c r="L51" s="87"/>
      <c r="M51" s="87"/>
      <c r="N51" s="87"/>
      <c r="O51" s="76"/>
      <c r="P51" s="76"/>
    </row>
    <row r="52" spans="1:17" ht="12.75" customHeight="1">
      <c r="A52" s="5"/>
      <c r="B52" s="89"/>
      <c r="C52" s="89"/>
      <c r="D52" s="89"/>
      <c r="E52" s="89"/>
      <c r="F52" s="89"/>
      <c r="G52" s="89"/>
      <c r="H52" s="89"/>
      <c r="I52" s="89"/>
      <c r="J52" s="89"/>
      <c r="K52" s="117"/>
      <c r="L52" s="89"/>
      <c r="M52" s="89"/>
      <c r="N52" s="89"/>
      <c r="O52" s="102"/>
      <c r="P52" s="102"/>
    </row>
    <row r="53" spans="1:17" ht="24.75" customHeight="1">
      <c r="A53" s="58"/>
      <c r="B53" s="59">
        <v>39995</v>
      </c>
      <c r="C53" s="59">
        <v>40026</v>
      </c>
      <c r="D53" s="59">
        <v>40057</v>
      </c>
      <c r="E53" s="59">
        <v>40087</v>
      </c>
      <c r="F53" s="59">
        <v>40118</v>
      </c>
      <c r="G53" s="59">
        <v>40148</v>
      </c>
      <c r="H53" s="59">
        <v>40179</v>
      </c>
      <c r="I53" s="59">
        <v>40210</v>
      </c>
      <c r="J53" s="59">
        <v>40238</v>
      </c>
      <c r="K53" s="59">
        <v>40269</v>
      </c>
      <c r="L53" s="59">
        <v>40299</v>
      </c>
      <c r="M53" s="59">
        <v>40330</v>
      </c>
      <c r="N53" s="60" t="s">
        <v>367</v>
      </c>
      <c r="O53" s="61" t="s">
        <v>166</v>
      </c>
      <c r="P53" s="61" t="s">
        <v>171</v>
      </c>
      <c r="Q53" s="2"/>
    </row>
    <row r="54" spans="1:17" ht="12.75" customHeight="1">
      <c r="A54" s="67" t="s">
        <v>182</v>
      </c>
      <c r="B54" s="59"/>
      <c r="C54" s="59"/>
      <c r="D54" s="59"/>
      <c r="E54" s="59"/>
      <c r="F54" s="59"/>
      <c r="G54" s="59"/>
      <c r="H54" s="59"/>
      <c r="I54" s="59"/>
      <c r="J54" s="59"/>
      <c r="K54" s="59"/>
      <c r="L54" s="59"/>
      <c r="M54" s="59"/>
      <c r="N54" s="53"/>
      <c r="O54" s="103"/>
      <c r="P54" s="103"/>
    </row>
    <row r="55" spans="1:17" ht="12.75" customHeight="1">
      <c r="A55" s="71" t="s">
        <v>301</v>
      </c>
      <c r="B55" s="23">
        <v>253</v>
      </c>
      <c r="C55" s="23">
        <v>78</v>
      </c>
      <c r="D55" s="23">
        <v>201</v>
      </c>
      <c r="E55" s="23">
        <v>379</v>
      </c>
      <c r="F55" s="23">
        <v>454</v>
      </c>
      <c r="G55" s="23">
        <v>171</v>
      </c>
      <c r="H55" s="23">
        <v>117</v>
      </c>
      <c r="I55" s="23">
        <v>282</v>
      </c>
      <c r="J55" s="23">
        <v>352</v>
      </c>
      <c r="K55" s="23">
        <v>492</v>
      </c>
      <c r="L55" s="23">
        <v>103</v>
      </c>
      <c r="M55" s="23">
        <v>112</v>
      </c>
      <c r="N55" s="73">
        <f>SUM(B55:M55)</f>
        <v>2994</v>
      </c>
      <c r="O55" s="107"/>
      <c r="P55" s="76"/>
    </row>
    <row r="56" spans="1:17" ht="12.75" customHeight="1">
      <c r="A56" s="71" t="s">
        <v>204</v>
      </c>
      <c r="B56" s="23">
        <v>554</v>
      </c>
      <c r="C56" s="23">
        <v>137</v>
      </c>
      <c r="D56" s="23">
        <v>387</v>
      </c>
      <c r="E56" s="23">
        <v>731</v>
      </c>
      <c r="F56" s="23">
        <v>903</v>
      </c>
      <c r="G56" s="23">
        <v>413</v>
      </c>
      <c r="H56" s="23">
        <v>603</v>
      </c>
      <c r="I56" s="23">
        <v>609</v>
      </c>
      <c r="J56" s="23">
        <v>687</v>
      </c>
      <c r="K56" s="23">
        <v>1084</v>
      </c>
      <c r="L56" s="23">
        <v>416</v>
      </c>
      <c r="M56" s="23">
        <v>193</v>
      </c>
      <c r="N56" s="73">
        <f>SUM(B56:M56)</f>
        <v>6717</v>
      </c>
      <c r="O56" s="107">
        <v>0</v>
      </c>
      <c r="P56" s="76" t="s">
        <v>228</v>
      </c>
    </row>
    <row r="57" spans="1:17" ht="12.75" customHeight="1">
      <c r="A57" s="71" t="s">
        <v>236</v>
      </c>
      <c r="B57" s="72">
        <v>2</v>
      </c>
      <c r="C57" s="72">
        <v>2</v>
      </c>
      <c r="D57" s="72">
        <v>2</v>
      </c>
      <c r="E57" s="72">
        <v>2</v>
      </c>
      <c r="F57" s="72">
        <v>2</v>
      </c>
      <c r="G57" s="72">
        <v>2</v>
      </c>
      <c r="H57" s="72">
        <v>2</v>
      </c>
      <c r="I57" s="72">
        <v>2</v>
      </c>
      <c r="J57" s="72">
        <v>2</v>
      </c>
      <c r="K57" s="72">
        <v>2</v>
      </c>
      <c r="L57" s="72">
        <v>2</v>
      </c>
      <c r="M57" s="72">
        <v>2</v>
      </c>
      <c r="N57" s="73"/>
      <c r="O57" s="107"/>
      <c r="P57" s="76"/>
    </row>
    <row r="58" spans="1:17" ht="12.75" customHeight="1">
      <c r="A58" s="71" t="s">
        <v>225</v>
      </c>
      <c r="B58" s="72">
        <v>211</v>
      </c>
      <c r="C58" s="72">
        <v>19</v>
      </c>
      <c r="D58" s="72">
        <v>43</v>
      </c>
      <c r="E58" s="72">
        <v>41</v>
      </c>
      <c r="F58" s="72">
        <v>47</v>
      </c>
      <c r="G58" s="72">
        <v>18</v>
      </c>
      <c r="H58" s="72">
        <v>8</v>
      </c>
      <c r="I58" s="72">
        <v>24</v>
      </c>
      <c r="J58" s="72">
        <v>31</v>
      </c>
      <c r="K58" s="72">
        <v>103</v>
      </c>
      <c r="L58" s="72">
        <v>0</v>
      </c>
      <c r="M58" s="72">
        <v>0</v>
      </c>
      <c r="N58" s="73">
        <f>SUM(B58:M58)</f>
        <v>545</v>
      </c>
      <c r="O58" s="107"/>
      <c r="P58" s="76"/>
    </row>
    <row r="59" spans="1:17" ht="12.75" customHeight="1">
      <c r="A59" s="2"/>
      <c r="B59" s="87"/>
      <c r="C59" s="87"/>
      <c r="D59" s="87"/>
      <c r="E59" s="87"/>
      <c r="F59" s="87"/>
      <c r="G59" s="87"/>
      <c r="H59" s="87"/>
      <c r="I59" s="87"/>
      <c r="J59" s="87"/>
      <c r="K59" s="87"/>
      <c r="L59" s="87"/>
      <c r="M59" s="87"/>
      <c r="N59" s="87"/>
      <c r="O59" s="76"/>
      <c r="P59" s="76"/>
    </row>
    <row r="60" spans="1:17" ht="12.75" customHeight="1">
      <c r="A60" s="5"/>
      <c r="B60" s="89"/>
      <c r="C60" s="89"/>
      <c r="D60" s="89"/>
      <c r="E60" s="89"/>
      <c r="F60" s="89"/>
      <c r="G60" s="89"/>
      <c r="H60" s="89"/>
      <c r="I60" s="89"/>
      <c r="J60" s="89"/>
      <c r="K60" s="89"/>
      <c r="L60" s="89"/>
      <c r="M60" s="89"/>
      <c r="N60" s="89"/>
      <c r="O60" s="102"/>
      <c r="P60" s="102"/>
    </row>
    <row r="61" spans="1:17" ht="12.75" customHeight="1">
      <c r="A61" s="58"/>
      <c r="B61" s="59">
        <v>39995</v>
      </c>
      <c r="C61" s="59">
        <v>40026</v>
      </c>
      <c r="D61" s="59">
        <v>40057</v>
      </c>
      <c r="E61" s="59">
        <v>40087</v>
      </c>
      <c r="F61" s="59">
        <v>40118</v>
      </c>
      <c r="G61" s="59">
        <v>40148</v>
      </c>
      <c r="H61" s="59">
        <v>40179</v>
      </c>
      <c r="I61" s="59">
        <v>40210</v>
      </c>
      <c r="J61" s="59">
        <v>40238</v>
      </c>
      <c r="K61" s="59">
        <v>40269</v>
      </c>
      <c r="L61" s="59">
        <v>40299</v>
      </c>
      <c r="M61" s="59">
        <v>40330</v>
      </c>
      <c r="N61" s="60" t="s">
        <v>367</v>
      </c>
      <c r="O61" s="61" t="s">
        <v>166</v>
      </c>
      <c r="P61" s="61" t="s">
        <v>171</v>
      </c>
    </row>
    <row r="62" spans="1:17" ht="12.75" customHeight="1">
      <c r="A62" s="67" t="s">
        <v>118</v>
      </c>
      <c r="B62" s="59"/>
      <c r="C62" s="59"/>
      <c r="D62" s="59"/>
      <c r="E62" s="59"/>
      <c r="F62" s="59"/>
      <c r="G62" s="59"/>
      <c r="H62" s="59"/>
      <c r="I62" s="59"/>
      <c r="J62" s="59"/>
      <c r="K62" s="59"/>
      <c r="L62" s="59"/>
      <c r="M62" s="59"/>
      <c r="N62" s="53"/>
      <c r="O62" s="103"/>
      <c r="P62" s="103"/>
    </row>
    <row r="63" spans="1:17" ht="12.75" customHeight="1">
      <c r="A63" s="71" t="s">
        <v>301</v>
      </c>
      <c r="B63" s="23">
        <v>2</v>
      </c>
      <c r="C63" s="23">
        <v>0</v>
      </c>
      <c r="D63" s="23">
        <v>0</v>
      </c>
      <c r="E63" s="23">
        <v>2</v>
      </c>
      <c r="F63" s="23">
        <v>0</v>
      </c>
      <c r="G63" s="23">
        <v>2</v>
      </c>
      <c r="H63" s="23">
        <v>0</v>
      </c>
      <c r="I63" s="23">
        <v>2</v>
      </c>
      <c r="J63" s="23">
        <v>2</v>
      </c>
      <c r="K63" s="23">
        <v>4</v>
      </c>
      <c r="L63" s="23">
        <v>0</v>
      </c>
      <c r="M63" s="23">
        <v>0</v>
      </c>
      <c r="N63" s="73">
        <f>SUM(B63:M63)</f>
        <v>14</v>
      </c>
      <c r="O63" s="107"/>
      <c r="P63" s="76"/>
    </row>
    <row r="64" spans="1:17" ht="12.75" customHeight="1">
      <c r="A64" s="71" t="s">
        <v>204</v>
      </c>
      <c r="B64" s="23">
        <v>1</v>
      </c>
      <c r="C64" s="23">
        <v>0</v>
      </c>
      <c r="D64" s="23">
        <v>0</v>
      </c>
      <c r="E64" s="23">
        <v>2</v>
      </c>
      <c r="F64" s="23">
        <v>0</v>
      </c>
      <c r="G64" s="23">
        <v>2</v>
      </c>
      <c r="H64" s="23">
        <v>0</v>
      </c>
      <c r="I64" s="23">
        <v>2</v>
      </c>
      <c r="J64" s="23">
        <v>9</v>
      </c>
      <c r="K64" s="23">
        <v>4</v>
      </c>
      <c r="L64" s="23">
        <v>0</v>
      </c>
      <c r="M64" s="23">
        <v>0</v>
      </c>
      <c r="N64" s="73">
        <f>SUM(B64:M64)</f>
        <v>20</v>
      </c>
      <c r="O64" s="107">
        <v>0</v>
      </c>
      <c r="P64" s="76" t="s">
        <v>228</v>
      </c>
    </row>
    <row r="65" spans="1:17" ht="12.75" customHeight="1">
      <c r="A65" s="71" t="s">
        <v>236</v>
      </c>
      <c r="B65" s="72">
        <v>2</v>
      </c>
      <c r="C65" s="72">
        <v>0</v>
      </c>
      <c r="D65" s="72">
        <v>0</v>
      </c>
      <c r="E65" s="72">
        <v>2</v>
      </c>
      <c r="F65" s="72">
        <v>0</v>
      </c>
      <c r="G65" s="72">
        <v>2</v>
      </c>
      <c r="H65" s="72">
        <v>0</v>
      </c>
      <c r="I65" s="72">
        <v>2</v>
      </c>
      <c r="J65" s="72">
        <v>2</v>
      </c>
      <c r="K65" s="72">
        <v>2</v>
      </c>
      <c r="L65" s="72">
        <v>0</v>
      </c>
      <c r="M65" s="72">
        <v>0</v>
      </c>
      <c r="N65" s="73"/>
      <c r="O65" s="107"/>
      <c r="P65" s="76"/>
    </row>
    <row r="66" spans="1:17" ht="12.75" customHeight="1">
      <c r="A66" s="71" t="s">
        <v>225</v>
      </c>
      <c r="B66" s="72">
        <v>0</v>
      </c>
      <c r="C66" s="72">
        <v>0</v>
      </c>
      <c r="D66" s="72">
        <v>0</v>
      </c>
      <c r="E66" s="72">
        <v>0</v>
      </c>
      <c r="F66" s="72">
        <v>0</v>
      </c>
      <c r="G66" s="72">
        <v>0</v>
      </c>
      <c r="H66" s="72">
        <v>0</v>
      </c>
      <c r="I66" s="72">
        <v>0</v>
      </c>
      <c r="J66" s="72">
        <v>0</v>
      </c>
      <c r="K66" s="72">
        <v>0</v>
      </c>
      <c r="L66" s="72">
        <v>0</v>
      </c>
      <c r="M66" s="72">
        <v>0</v>
      </c>
      <c r="N66" s="73">
        <f>SUM(B66:M66)</f>
        <v>0</v>
      </c>
      <c r="O66" s="107"/>
      <c r="P66" s="76"/>
    </row>
    <row r="67" spans="1:17" ht="12.75" customHeight="1">
      <c r="A67" s="2"/>
      <c r="B67" s="87"/>
      <c r="C67" s="87"/>
      <c r="D67" s="87"/>
      <c r="E67" s="87"/>
      <c r="F67" s="87"/>
      <c r="G67" s="87"/>
      <c r="H67" s="87"/>
      <c r="I67" s="87"/>
      <c r="J67" s="87"/>
      <c r="K67" s="87"/>
      <c r="L67" s="87"/>
      <c r="M67" s="87"/>
      <c r="N67" s="87"/>
      <c r="O67" s="76"/>
      <c r="P67" s="76"/>
    </row>
    <row r="68" spans="1:17" ht="12.75" customHeight="1">
      <c r="A68" s="5"/>
      <c r="B68" s="88"/>
      <c r="C68" s="88"/>
      <c r="D68" s="88"/>
      <c r="E68" s="88"/>
      <c r="F68" s="88"/>
      <c r="G68" s="88"/>
      <c r="H68" s="88"/>
      <c r="I68" s="88"/>
      <c r="J68" s="88"/>
      <c r="K68" s="88"/>
      <c r="L68" s="88"/>
      <c r="M68" s="88"/>
      <c r="N68" s="89"/>
      <c r="O68" s="102"/>
      <c r="P68" s="102"/>
    </row>
    <row r="69" spans="1:17" ht="24.75" customHeight="1">
      <c r="A69" s="58"/>
      <c r="B69" s="59">
        <v>39995</v>
      </c>
      <c r="C69" s="59">
        <v>40026</v>
      </c>
      <c r="D69" s="59">
        <v>40057</v>
      </c>
      <c r="E69" s="59">
        <v>40087</v>
      </c>
      <c r="F69" s="59">
        <v>40118</v>
      </c>
      <c r="G69" s="59">
        <v>40148</v>
      </c>
      <c r="H69" s="59">
        <v>40179</v>
      </c>
      <c r="I69" s="59">
        <v>40210</v>
      </c>
      <c r="J69" s="59">
        <v>40238</v>
      </c>
      <c r="K69" s="59">
        <v>40269</v>
      </c>
      <c r="L69" s="59">
        <v>40299</v>
      </c>
      <c r="M69" s="59">
        <v>40330</v>
      </c>
      <c r="N69" s="60" t="s">
        <v>367</v>
      </c>
      <c r="O69" s="61" t="s">
        <v>166</v>
      </c>
      <c r="P69" s="61" t="s">
        <v>171</v>
      </c>
      <c r="Q69" s="2"/>
    </row>
    <row r="70" spans="1:17" ht="12.75" customHeight="1">
      <c r="A70" s="67" t="s">
        <v>230</v>
      </c>
      <c r="B70" s="59"/>
      <c r="C70" s="59"/>
      <c r="D70" s="59"/>
      <c r="E70" s="59"/>
      <c r="F70" s="59"/>
      <c r="G70" s="59"/>
      <c r="H70" s="59"/>
      <c r="I70" s="59"/>
      <c r="J70" s="59"/>
      <c r="K70" s="59"/>
      <c r="L70" s="59"/>
      <c r="M70" s="59"/>
      <c r="N70" s="53"/>
      <c r="O70" s="103"/>
      <c r="P70" s="103"/>
    </row>
    <row r="71" spans="1:17" ht="12.75" customHeight="1">
      <c r="A71" s="71" t="s">
        <v>301</v>
      </c>
      <c r="B71" s="23">
        <v>6</v>
      </c>
      <c r="C71" s="23">
        <v>5</v>
      </c>
      <c r="D71" s="23">
        <v>4</v>
      </c>
      <c r="E71" s="23">
        <v>23</v>
      </c>
      <c r="F71" s="23">
        <v>5</v>
      </c>
      <c r="G71" s="23">
        <v>6</v>
      </c>
      <c r="H71" s="23">
        <v>0</v>
      </c>
      <c r="I71" s="23">
        <v>4</v>
      </c>
      <c r="J71" s="23">
        <v>16</v>
      </c>
      <c r="K71" s="23">
        <v>15</v>
      </c>
      <c r="L71" s="23">
        <v>4</v>
      </c>
      <c r="M71" s="23">
        <v>4</v>
      </c>
      <c r="N71" s="73">
        <f>SUM(B71:M71)</f>
        <v>92</v>
      </c>
      <c r="O71" s="107"/>
      <c r="P71" s="76"/>
    </row>
    <row r="72" spans="1:17" ht="12.75" customHeight="1">
      <c r="A72" s="71" t="s">
        <v>204</v>
      </c>
      <c r="B72" s="23">
        <v>6</v>
      </c>
      <c r="C72" s="23">
        <v>12</v>
      </c>
      <c r="D72" s="23">
        <v>2</v>
      </c>
      <c r="E72" s="23">
        <v>19</v>
      </c>
      <c r="F72" s="23">
        <v>10</v>
      </c>
      <c r="G72" s="23">
        <v>9</v>
      </c>
      <c r="H72" s="23">
        <v>0</v>
      </c>
      <c r="I72" s="23">
        <v>3</v>
      </c>
      <c r="J72" s="23">
        <v>13</v>
      </c>
      <c r="K72" s="23">
        <v>11</v>
      </c>
      <c r="L72" s="23">
        <v>3</v>
      </c>
      <c r="M72" s="23">
        <v>5</v>
      </c>
      <c r="N72" s="73">
        <f>SUM(B72:M72)</f>
        <v>93</v>
      </c>
      <c r="O72" s="107">
        <v>0</v>
      </c>
      <c r="P72" s="76" t="s">
        <v>228</v>
      </c>
    </row>
    <row r="73" spans="1:17" ht="12.75" customHeight="1">
      <c r="A73" s="71" t="s">
        <v>236</v>
      </c>
      <c r="B73" s="72">
        <v>2</v>
      </c>
      <c r="C73" s="72">
        <v>1</v>
      </c>
      <c r="D73" s="72">
        <v>1</v>
      </c>
      <c r="E73" s="72">
        <v>2</v>
      </c>
      <c r="F73" s="72">
        <v>1</v>
      </c>
      <c r="G73" s="72">
        <v>2</v>
      </c>
      <c r="H73" s="72">
        <v>0</v>
      </c>
      <c r="I73" s="72">
        <v>2</v>
      </c>
      <c r="J73" s="72">
        <v>2</v>
      </c>
      <c r="K73" s="72">
        <v>2</v>
      </c>
      <c r="L73" s="72">
        <v>2</v>
      </c>
      <c r="M73" s="72">
        <v>2</v>
      </c>
      <c r="N73" s="73"/>
      <c r="O73" s="107"/>
      <c r="P73" s="76"/>
    </row>
    <row r="74" spans="1:17" ht="12.75" customHeight="1">
      <c r="A74" s="71" t="s">
        <v>225</v>
      </c>
      <c r="B74" s="72">
        <v>0</v>
      </c>
      <c r="C74" s="72">
        <v>0</v>
      </c>
      <c r="D74" s="72">
        <v>0</v>
      </c>
      <c r="E74" s="72">
        <v>0</v>
      </c>
      <c r="F74" s="72">
        <v>0</v>
      </c>
      <c r="G74" s="72">
        <v>0</v>
      </c>
      <c r="H74" s="72">
        <v>0</v>
      </c>
      <c r="I74" s="72">
        <v>0</v>
      </c>
      <c r="J74" s="72">
        <v>0</v>
      </c>
      <c r="K74" s="72">
        <v>0</v>
      </c>
      <c r="L74" s="72">
        <v>0</v>
      </c>
      <c r="M74" s="72">
        <v>0</v>
      </c>
      <c r="N74" s="73">
        <f>SUM(B74:M74)</f>
        <v>0</v>
      </c>
      <c r="O74" s="107"/>
      <c r="P74" s="76"/>
    </row>
    <row r="75" spans="1:17" ht="12.75" customHeight="1">
      <c r="A75" s="2"/>
      <c r="B75" s="87"/>
      <c r="C75" s="87"/>
      <c r="D75" s="87"/>
      <c r="E75" s="87"/>
      <c r="F75" s="87"/>
      <c r="G75" s="87"/>
      <c r="H75" s="87"/>
      <c r="I75" s="87"/>
      <c r="J75" s="87"/>
      <c r="K75" s="87"/>
      <c r="L75" s="87"/>
      <c r="M75" s="87"/>
      <c r="N75" s="87"/>
      <c r="O75" s="76"/>
      <c r="P75" s="76"/>
    </row>
    <row r="76" spans="1:17" ht="12.75" customHeight="1">
      <c r="A76" s="5"/>
      <c r="B76" s="89"/>
      <c r="C76" s="89"/>
      <c r="D76" s="89"/>
      <c r="E76" s="89"/>
      <c r="F76" s="89"/>
      <c r="G76" s="89"/>
      <c r="H76" s="89"/>
      <c r="I76" s="89"/>
      <c r="J76" s="89"/>
      <c r="K76" s="89"/>
      <c r="L76" s="89"/>
      <c r="M76" s="89"/>
      <c r="N76" s="89"/>
      <c r="O76" s="102"/>
      <c r="P76" s="102"/>
    </row>
    <row r="77" spans="1:17" ht="24.75" customHeight="1">
      <c r="A77" s="58"/>
      <c r="B77" s="59">
        <v>39995</v>
      </c>
      <c r="C77" s="59">
        <v>40026</v>
      </c>
      <c r="D77" s="59">
        <v>40057</v>
      </c>
      <c r="E77" s="59">
        <v>40087</v>
      </c>
      <c r="F77" s="59">
        <v>40118</v>
      </c>
      <c r="G77" s="59">
        <v>40148</v>
      </c>
      <c r="H77" s="59">
        <v>40179</v>
      </c>
      <c r="I77" s="59">
        <v>40210</v>
      </c>
      <c r="J77" s="59">
        <v>40238</v>
      </c>
      <c r="K77" s="59">
        <v>40269</v>
      </c>
      <c r="L77" s="59">
        <v>40299</v>
      </c>
      <c r="M77" s="59">
        <v>40330</v>
      </c>
      <c r="N77" s="60" t="s">
        <v>367</v>
      </c>
      <c r="O77" s="61" t="s">
        <v>166</v>
      </c>
      <c r="P77" s="61" t="s">
        <v>171</v>
      </c>
      <c r="Q77" s="2"/>
    </row>
    <row r="78" spans="1:17" ht="12.75" customHeight="1">
      <c r="A78" s="67" t="s">
        <v>272</v>
      </c>
      <c r="B78" s="59"/>
      <c r="C78" s="59"/>
      <c r="D78" s="59"/>
      <c r="E78" s="59"/>
      <c r="F78" s="59"/>
      <c r="G78" s="59"/>
      <c r="H78" s="59"/>
      <c r="I78" s="59"/>
      <c r="J78" s="59"/>
      <c r="K78" s="59"/>
      <c r="L78" s="59"/>
      <c r="M78" s="59"/>
      <c r="N78" s="53"/>
      <c r="O78" s="103"/>
      <c r="P78" s="103"/>
    </row>
    <row r="79" spans="1:17" ht="12.75" customHeight="1">
      <c r="A79" s="71" t="s">
        <v>301</v>
      </c>
      <c r="B79" s="23">
        <v>42</v>
      </c>
      <c r="C79" s="23">
        <v>10</v>
      </c>
      <c r="D79" s="23">
        <v>21</v>
      </c>
      <c r="E79" s="23">
        <v>63</v>
      </c>
      <c r="F79" s="23">
        <v>47</v>
      </c>
      <c r="G79" s="23">
        <v>14</v>
      </c>
      <c r="H79" s="23">
        <v>9</v>
      </c>
      <c r="I79" s="23">
        <v>29</v>
      </c>
      <c r="J79" s="23">
        <v>44</v>
      </c>
      <c r="K79" s="23">
        <v>33</v>
      </c>
      <c r="L79" s="23">
        <v>7</v>
      </c>
      <c r="M79" s="23">
        <v>33</v>
      </c>
      <c r="N79" s="73">
        <f>SUM(B79:M79)</f>
        <v>352</v>
      </c>
      <c r="O79" s="107"/>
      <c r="P79" s="76"/>
    </row>
    <row r="80" spans="1:17" ht="12.75" customHeight="1">
      <c r="A80" s="71" t="s">
        <v>204</v>
      </c>
      <c r="B80" s="23">
        <v>49</v>
      </c>
      <c r="C80" s="23">
        <v>10</v>
      </c>
      <c r="D80" s="23">
        <v>26</v>
      </c>
      <c r="E80" s="23">
        <v>97</v>
      </c>
      <c r="F80" s="23">
        <v>47</v>
      </c>
      <c r="G80" s="23">
        <v>11</v>
      </c>
      <c r="H80" s="23">
        <v>12</v>
      </c>
      <c r="I80" s="23">
        <v>38</v>
      </c>
      <c r="J80" s="23">
        <v>47</v>
      </c>
      <c r="K80" s="23">
        <v>41</v>
      </c>
      <c r="L80" s="23">
        <v>9</v>
      </c>
      <c r="M80" s="23">
        <v>51</v>
      </c>
      <c r="N80" s="73">
        <f>SUM(B80:M80)</f>
        <v>438</v>
      </c>
      <c r="O80" s="107">
        <v>0</v>
      </c>
      <c r="P80" s="76" t="s">
        <v>228</v>
      </c>
    </row>
    <row r="81" spans="1:17" ht="12.75" customHeight="1">
      <c r="A81" s="71" t="s">
        <v>236</v>
      </c>
      <c r="B81" s="72">
        <v>2</v>
      </c>
      <c r="C81" s="72">
        <v>2</v>
      </c>
      <c r="D81" s="72">
        <v>2</v>
      </c>
      <c r="E81" s="72">
        <v>2</v>
      </c>
      <c r="F81" s="72">
        <v>2</v>
      </c>
      <c r="G81" s="72">
        <v>2</v>
      </c>
      <c r="H81" s="72">
        <v>2</v>
      </c>
      <c r="I81" s="72">
        <v>2</v>
      </c>
      <c r="J81" s="72">
        <v>2</v>
      </c>
      <c r="K81" s="72">
        <v>2</v>
      </c>
      <c r="L81" s="72">
        <v>2</v>
      </c>
      <c r="M81" s="72">
        <v>2</v>
      </c>
      <c r="N81" s="73"/>
      <c r="O81" s="107"/>
      <c r="P81" s="76"/>
    </row>
    <row r="82" spans="1:17" ht="12.75" customHeight="1">
      <c r="A82" s="71" t="s">
        <v>225</v>
      </c>
      <c r="B82" s="72">
        <v>0</v>
      </c>
      <c r="C82" s="72">
        <v>0</v>
      </c>
      <c r="D82" s="72">
        <v>0</v>
      </c>
      <c r="E82" s="72">
        <v>0</v>
      </c>
      <c r="F82" s="72">
        <v>0</v>
      </c>
      <c r="G82" s="72">
        <v>0</v>
      </c>
      <c r="H82" s="72">
        <v>0</v>
      </c>
      <c r="I82" s="72">
        <v>0</v>
      </c>
      <c r="J82" s="72">
        <v>0</v>
      </c>
      <c r="K82" s="72">
        <v>0</v>
      </c>
      <c r="L82" s="72">
        <v>0</v>
      </c>
      <c r="M82" s="72">
        <v>5</v>
      </c>
      <c r="N82" s="73">
        <f>SUM(B82:M82)</f>
        <v>5</v>
      </c>
      <c r="O82" s="107"/>
      <c r="P82" s="76"/>
    </row>
    <row r="83" spans="1:17" ht="12.75" customHeight="1">
      <c r="A83" s="2"/>
      <c r="B83" s="87"/>
      <c r="C83" s="87"/>
      <c r="D83" s="87"/>
      <c r="E83" s="87"/>
      <c r="F83" s="87"/>
      <c r="G83" s="87"/>
      <c r="H83" s="87"/>
      <c r="I83" s="87"/>
      <c r="J83" s="87"/>
      <c r="K83" s="87"/>
      <c r="L83" s="87"/>
      <c r="M83" s="87"/>
      <c r="N83" s="87"/>
      <c r="O83" s="76"/>
      <c r="P83" s="76"/>
    </row>
    <row r="84" spans="1:17" ht="12.75" customHeight="1">
      <c r="A84" s="5"/>
      <c r="B84" s="89"/>
      <c r="C84" s="89"/>
      <c r="D84" s="89"/>
      <c r="E84" s="89"/>
      <c r="F84" s="89"/>
      <c r="G84" s="89"/>
      <c r="H84" s="89"/>
      <c r="I84" s="89"/>
      <c r="J84" s="89"/>
      <c r="K84" s="89"/>
      <c r="L84" s="89"/>
      <c r="M84" s="89"/>
      <c r="N84" s="89"/>
      <c r="O84" s="102"/>
      <c r="P84" s="102"/>
    </row>
    <row r="85" spans="1:17" ht="24.75" customHeight="1">
      <c r="A85" s="58"/>
      <c r="B85" s="59">
        <v>39995</v>
      </c>
      <c r="C85" s="59">
        <v>40026</v>
      </c>
      <c r="D85" s="59">
        <v>40057</v>
      </c>
      <c r="E85" s="59">
        <v>40087</v>
      </c>
      <c r="F85" s="59">
        <v>40118</v>
      </c>
      <c r="G85" s="59">
        <v>40148</v>
      </c>
      <c r="H85" s="59">
        <v>40179</v>
      </c>
      <c r="I85" s="59">
        <v>40210</v>
      </c>
      <c r="J85" s="59">
        <v>40238</v>
      </c>
      <c r="K85" s="59">
        <v>40269</v>
      </c>
      <c r="L85" s="59">
        <v>40299</v>
      </c>
      <c r="M85" s="59">
        <v>40330</v>
      </c>
      <c r="N85" s="60" t="s">
        <v>367</v>
      </c>
      <c r="O85" s="61" t="s">
        <v>166</v>
      </c>
      <c r="P85" s="61" t="s">
        <v>171</v>
      </c>
      <c r="Q85" s="2"/>
    </row>
    <row r="86" spans="1:17" ht="12.75" customHeight="1">
      <c r="A86" s="67" t="s">
        <v>358</v>
      </c>
      <c r="B86" s="59"/>
      <c r="C86" s="59"/>
      <c r="D86" s="59"/>
      <c r="E86" s="59"/>
      <c r="F86" s="59"/>
      <c r="G86" s="59"/>
      <c r="H86" s="59"/>
      <c r="I86" s="59"/>
      <c r="J86" s="59"/>
      <c r="K86" s="59"/>
      <c r="L86" s="59"/>
      <c r="M86" s="59"/>
      <c r="N86" s="53"/>
      <c r="O86" s="103"/>
      <c r="P86" s="103"/>
    </row>
    <row r="87" spans="1:17" ht="12.75" customHeight="1">
      <c r="A87" s="71" t="s">
        <v>301</v>
      </c>
      <c r="B87" s="23">
        <v>6</v>
      </c>
      <c r="C87" s="23">
        <v>5</v>
      </c>
      <c r="D87" s="23">
        <v>6</v>
      </c>
      <c r="E87" s="23">
        <v>10</v>
      </c>
      <c r="F87" s="23">
        <v>12</v>
      </c>
      <c r="G87" s="23">
        <v>6</v>
      </c>
      <c r="H87" s="23">
        <v>0</v>
      </c>
      <c r="I87" s="23">
        <v>5</v>
      </c>
      <c r="J87" s="23">
        <v>4</v>
      </c>
      <c r="K87" s="23">
        <v>5</v>
      </c>
      <c r="L87" s="23">
        <v>3</v>
      </c>
      <c r="M87" s="23">
        <v>3</v>
      </c>
      <c r="N87" s="73">
        <f>SUM(B87:M87)</f>
        <v>65</v>
      </c>
      <c r="O87" s="107"/>
      <c r="P87" s="76"/>
    </row>
    <row r="88" spans="1:17" ht="12.75" customHeight="1">
      <c r="A88" s="71" t="s">
        <v>204</v>
      </c>
      <c r="B88" s="23">
        <v>8</v>
      </c>
      <c r="C88" s="23">
        <v>6</v>
      </c>
      <c r="D88" s="23">
        <v>2</v>
      </c>
      <c r="E88" s="23">
        <v>11</v>
      </c>
      <c r="F88" s="23">
        <v>24</v>
      </c>
      <c r="G88" s="23">
        <v>6</v>
      </c>
      <c r="H88" s="23">
        <v>0</v>
      </c>
      <c r="I88" s="23">
        <v>13</v>
      </c>
      <c r="J88" s="23">
        <v>4</v>
      </c>
      <c r="K88" s="23">
        <v>5</v>
      </c>
      <c r="L88" s="23">
        <v>6</v>
      </c>
      <c r="M88" s="23">
        <v>1</v>
      </c>
      <c r="N88" s="73">
        <f>SUM(B88:M88)</f>
        <v>86</v>
      </c>
      <c r="O88" s="107">
        <v>0</v>
      </c>
      <c r="P88" s="76" t="s">
        <v>228</v>
      </c>
    </row>
    <row r="89" spans="1:17" ht="12.75" customHeight="1">
      <c r="A89" s="71" t="s">
        <v>236</v>
      </c>
      <c r="B89" s="72">
        <v>2</v>
      </c>
      <c r="C89" s="72">
        <v>2</v>
      </c>
      <c r="D89" s="72">
        <v>2</v>
      </c>
      <c r="E89" s="72">
        <v>2</v>
      </c>
      <c r="F89" s="72">
        <v>2</v>
      </c>
      <c r="G89" s="72">
        <v>2</v>
      </c>
      <c r="H89" s="72">
        <v>0</v>
      </c>
      <c r="I89" s="72">
        <v>2</v>
      </c>
      <c r="J89" s="72">
        <v>2</v>
      </c>
      <c r="K89" s="72">
        <v>2</v>
      </c>
      <c r="L89" s="72">
        <v>2</v>
      </c>
      <c r="M89" s="72">
        <v>2</v>
      </c>
      <c r="N89" s="73"/>
      <c r="O89" s="107"/>
      <c r="P89" s="76"/>
    </row>
    <row r="90" spans="1:17" ht="12.75" customHeight="1">
      <c r="A90" s="71" t="s">
        <v>225</v>
      </c>
      <c r="B90" s="72">
        <v>0</v>
      </c>
      <c r="C90" s="72">
        <v>0</v>
      </c>
      <c r="D90" s="72">
        <v>0</v>
      </c>
      <c r="E90" s="72">
        <v>0</v>
      </c>
      <c r="F90" s="72">
        <v>0</v>
      </c>
      <c r="G90" s="72">
        <v>0</v>
      </c>
      <c r="H90" s="72">
        <v>0</v>
      </c>
      <c r="I90" s="72">
        <v>0</v>
      </c>
      <c r="J90" s="72">
        <v>0</v>
      </c>
      <c r="K90" s="72">
        <v>0</v>
      </c>
      <c r="L90" s="72">
        <v>0</v>
      </c>
      <c r="M90" s="72">
        <v>0</v>
      </c>
      <c r="N90" s="73">
        <f>SUM(B90:M90)</f>
        <v>0</v>
      </c>
      <c r="O90" s="107"/>
      <c r="P90" s="76"/>
    </row>
    <row r="91" spans="1:17" ht="12.75" customHeight="1">
      <c r="A91" s="2"/>
      <c r="B91" s="87"/>
      <c r="C91" s="87"/>
      <c r="D91" s="87"/>
      <c r="E91" s="87"/>
      <c r="F91" s="87"/>
      <c r="G91" s="87"/>
      <c r="H91" s="87"/>
      <c r="I91" s="87"/>
      <c r="J91" s="87"/>
      <c r="K91" s="87"/>
      <c r="L91" s="87"/>
      <c r="M91" s="87"/>
      <c r="N91" s="87"/>
      <c r="O91" s="76"/>
      <c r="P91" s="76"/>
    </row>
    <row r="92" spans="1:17" ht="12.75" customHeight="1">
      <c r="A92" s="5"/>
      <c r="B92" s="89"/>
      <c r="C92" s="89"/>
      <c r="D92" s="89"/>
      <c r="E92" s="89"/>
      <c r="F92" s="89"/>
      <c r="G92" s="89"/>
      <c r="H92" s="89"/>
      <c r="I92" s="89"/>
      <c r="J92" s="89"/>
      <c r="K92" s="89"/>
      <c r="L92" s="89"/>
      <c r="M92" s="89"/>
      <c r="N92" s="89"/>
      <c r="O92" s="102"/>
      <c r="P92" s="102"/>
    </row>
    <row r="93" spans="1:17" ht="24.75" customHeight="1">
      <c r="A93" s="58"/>
      <c r="B93" s="59">
        <v>39995</v>
      </c>
      <c r="C93" s="59">
        <v>40026</v>
      </c>
      <c r="D93" s="59">
        <v>40057</v>
      </c>
      <c r="E93" s="59">
        <v>40087</v>
      </c>
      <c r="F93" s="59">
        <v>40118</v>
      </c>
      <c r="G93" s="59">
        <v>40148</v>
      </c>
      <c r="H93" s="59">
        <v>40179</v>
      </c>
      <c r="I93" s="59">
        <v>40210</v>
      </c>
      <c r="J93" s="59">
        <v>40238</v>
      </c>
      <c r="K93" s="59">
        <v>40269</v>
      </c>
      <c r="L93" s="59">
        <v>40299</v>
      </c>
      <c r="M93" s="59">
        <v>40330</v>
      </c>
      <c r="N93" s="60" t="s">
        <v>367</v>
      </c>
      <c r="O93" s="61" t="s">
        <v>166</v>
      </c>
      <c r="P93" s="61" t="s">
        <v>171</v>
      </c>
      <c r="Q93" s="2"/>
    </row>
    <row r="94" spans="1:17" ht="12.75" customHeight="1">
      <c r="A94" s="67" t="s">
        <v>98</v>
      </c>
      <c r="B94" s="59"/>
      <c r="C94" s="59"/>
      <c r="D94" s="59"/>
      <c r="E94" s="59"/>
      <c r="F94" s="59" t="s">
        <v>16</v>
      </c>
      <c r="G94" s="59" t="s">
        <v>16</v>
      </c>
      <c r="H94" s="59"/>
      <c r="I94" s="59"/>
      <c r="J94" s="59"/>
      <c r="K94" s="59"/>
      <c r="L94" s="59"/>
      <c r="M94" s="59"/>
      <c r="N94" s="53"/>
      <c r="O94" s="103"/>
      <c r="P94" s="103"/>
    </row>
    <row r="95" spans="1:17" ht="12.75" customHeight="1">
      <c r="A95" s="71" t="s">
        <v>301</v>
      </c>
      <c r="B95" s="23">
        <v>3</v>
      </c>
      <c r="C95" s="23">
        <v>2</v>
      </c>
      <c r="D95" s="23">
        <v>3</v>
      </c>
      <c r="E95" s="23">
        <v>5</v>
      </c>
      <c r="F95" s="23">
        <v>4</v>
      </c>
      <c r="G95" s="23">
        <v>6</v>
      </c>
      <c r="H95" s="23">
        <v>0</v>
      </c>
      <c r="I95" s="23">
        <v>0</v>
      </c>
      <c r="J95" s="23">
        <v>3</v>
      </c>
      <c r="K95" s="23">
        <v>5</v>
      </c>
      <c r="L95" s="23">
        <v>3</v>
      </c>
      <c r="M95" s="23">
        <v>1</v>
      </c>
      <c r="N95" s="73">
        <f>SUM(B95:M95)</f>
        <v>35</v>
      </c>
      <c r="O95" s="107"/>
      <c r="P95" s="76"/>
    </row>
    <row r="96" spans="1:17" ht="12.75" customHeight="1">
      <c r="A96" s="71" t="s">
        <v>204</v>
      </c>
      <c r="B96" s="23">
        <v>2</v>
      </c>
      <c r="C96" s="23">
        <v>2</v>
      </c>
      <c r="D96" s="23">
        <v>3</v>
      </c>
      <c r="E96" s="23">
        <v>6</v>
      </c>
      <c r="F96" s="23">
        <v>3</v>
      </c>
      <c r="G96" s="23">
        <v>18</v>
      </c>
      <c r="H96" s="23">
        <v>0</v>
      </c>
      <c r="I96" s="23">
        <v>0</v>
      </c>
      <c r="J96" s="23">
        <v>2</v>
      </c>
      <c r="K96" s="23">
        <v>1</v>
      </c>
      <c r="L96" s="23">
        <v>4</v>
      </c>
      <c r="M96" s="23">
        <v>1</v>
      </c>
      <c r="N96" s="73">
        <f>SUM(B96:M96)</f>
        <v>42</v>
      </c>
      <c r="O96" s="107">
        <v>0</v>
      </c>
      <c r="P96" s="76" t="s">
        <v>228</v>
      </c>
    </row>
    <row r="97" spans="1:17" ht="12.75" customHeight="1">
      <c r="A97" s="71" t="s">
        <v>236</v>
      </c>
      <c r="B97" s="72">
        <v>2</v>
      </c>
      <c r="C97" s="72">
        <v>2</v>
      </c>
      <c r="D97" s="72">
        <v>2</v>
      </c>
      <c r="E97" s="72">
        <v>2</v>
      </c>
      <c r="F97" s="72">
        <v>2</v>
      </c>
      <c r="G97" s="72">
        <v>2</v>
      </c>
      <c r="H97" s="72">
        <v>0</v>
      </c>
      <c r="I97" s="72">
        <v>0</v>
      </c>
      <c r="J97" s="72">
        <v>2</v>
      </c>
      <c r="K97" s="72">
        <v>2</v>
      </c>
      <c r="L97" s="72">
        <v>2</v>
      </c>
      <c r="M97" s="72">
        <v>2</v>
      </c>
      <c r="N97" s="73"/>
      <c r="O97" s="107"/>
      <c r="P97" s="76"/>
    </row>
    <row r="98" spans="1:17" ht="12.75" customHeight="1">
      <c r="A98" s="71" t="s">
        <v>225</v>
      </c>
      <c r="B98" s="72">
        <v>0</v>
      </c>
      <c r="C98" s="72">
        <v>0</v>
      </c>
      <c r="D98" s="72">
        <v>0</v>
      </c>
      <c r="E98" s="72">
        <v>0</v>
      </c>
      <c r="F98" s="72">
        <v>0</v>
      </c>
      <c r="G98" s="72">
        <v>0</v>
      </c>
      <c r="H98" s="72">
        <v>0</v>
      </c>
      <c r="I98" s="72">
        <v>0</v>
      </c>
      <c r="J98" s="72">
        <v>0</v>
      </c>
      <c r="K98" s="72">
        <v>0</v>
      </c>
      <c r="L98" s="72">
        <v>0</v>
      </c>
      <c r="M98" s="72">
        <v>0</v>
      </c>
      <c r="N98" s="73">
        <f>SUM(B98:M98)</f>
        <v>0</v>
      </c>
      <c r="O98" s="107"/>
      <c r="P98" s="76"/>
    </row>
    <row r="99" spans="1:17" ht="12.75" customHeight="1">
      <c r="A99" s="2"/>
      <c r="B99" s="87"/>
      <c r="C99" s="87"/>
      <c r="D99" s="87"/>
      <c r="E99" s="87"/>
      <c r="F99" s="87"/>
      <c r="G99" s="87"/>
      <c r="H99" s="87"/>
      <c r="I99" s="87"/>
      <c r="J99" s="87"/>
      <c r="K99" s="87"/>
      <c r="L99" s="87"/>
      <c r="M99" s="87"/>
      <c r="N99" s="87"/>
      <c r="O99" s="76"/>
      <c r="P99" s="76"/>
    </row>
    <row r="100" spans="1:17" ht="12.75" customHeight="1">
      <c r="A100" s="5"/>
      <c r="B100" s="89"/>
      <c r="C100" s="89"/>
      <c r="D100" s="89"/>
      <c r="E100" s="89"/>
      <c r="F100" s="89"/>
      <c r="G100" s="89"/>
      <c r="H100" s="89"/>
      <c r="I100" s="89"/>
      <c r="J100" s="89"/>
      <c r="K100" s="89"/>
      <c r="L100" s="89"/>
      <c r="M100" s="89"/>
      <c r="N100" s="89"/>
      <c r="O100" s="102"/>
      <c r="P100" s="102"/>
    </row>
    <row r="101" spans="1:17" ht="24.75" customHeight="1">
      <c r="A101" s="58"/>
      <c r="B101" s="59">
        <v>39995</v>
      </c>
      <c r="C101" s="59">
        <v>40026</v>
      </c>
      <c r="D101" s="59">
        <v>40057</v>
      </c>
      <c r="E101" s="59">
        <v>40087</v>
      </c>
      <c r="F101" s="59">
        <v>40118</v>
      </c>
      <c r="G101" s="59">
        <v>40148</v>
      </c>
      <c r="H101" s="59">
        <v>40179</v>
      </c>
      <c r="I101" s="59">
        <v>40210</v>
      </c>
      <c r="J101" s="59">
        <v>40238</v>
      </c>
      <c r="K101" s="59">
        <v>40269</v>
      </c>
      <c r="L101" s="59">
        <v>40299</v>
      </c>
      <c r="M101" s="59">
        <v>40330</v>
      </c>
      <c r="N101" s="60" t="s">
        <v>367</v>
      </c>
      <c r="O101" s="61" t="s">
        <v>166</v>
      </c>
      <c r="P101" s="61" t="s">
        <v>171</v>
      </c>
      <c r="Q101" s="2"/>
    </row>
    <row r="102" spans="1:17" ht="12.75" customHeight="1">
      <c r="A102" s="67" t="s">
        <v>56</v>
      </c>
      <c r="B102" s="59"/>
      <c r="C102" s="59"/>
      <c r="D102" s="59"/>
      <c r="E102" s="59"/>
      <c r="F102" s="59"/>
      <c r="G102" s="59"/>
      <c r="H102" s="59"/>
      <c r="I102" s="59"/>
      <c r="J102" s="59"/>
      <c r="K102" s="59"/>
      <c r="L102" s="59"/>
      <c r="M102" s="59"/>
      <c r="N102" s="53"/>
      <c r="O102" s="103"/>
      <c r="P102" s="103"/>
    </row>
    <row r="103" spans="1:17" ht="12.75" customHeight="1">
      <c r="A103" s="71" t="s">
        <v>301</v>
      </c>
      <c r="B103" s="23">
        <v>13</v>
      </c>
      <c r="C103" s="23">
        <v>0</v>
      </c>
      <c r="D103" s="23">
        <v>3</v>
      </c>
      <c r="E103" s="23">
        <v>13</v>
      </c>
      <c r="F103" s="23">
        <v>12</v>
      </c>
      <c r="G103" s="23">
        <v>15</v>
      </c>
      <c r="H103" s="23">
        <v>0</v>
      </c>
      <c r="I103" s="23">
        <v>10</v>
      </c>
      <c r="J103" s="23">
        <v>10</v>
      </c>
      <c r="K103" s="23">
        <v>12</v>
      </c>
      <c r="L103" s="23">
        <v>7</v>
      </c>
      <c r="M103" s="23">
        <v>41</v>
      </c>
      <c r="N103" s="73">
        <f>SUM(B103:M103)</f>
        <v>136</v>
      </c>
      <c r="O103" s="107"/>
      <c r="P103" s="76"/>
    </row>
    <row r="104" spans="1:17" ht="12.75" customHeight="1">
      <c r="A104" s="71" t="s">
        <v>204</v>
      </c>
      <c r="B104" s="23">
        <v>8</v>
      </c>
      <c r="C104" s="23">
        <v>0</v>
      </c>
      <c r="D104" s="23">
        <v>1</v>
      </c>
      <c r="E104" s="23">
        <v>18</v>
      </c>
      <c r="F104" s="23">
        <v>14</v>
      </c>
      <c r="G104" s="23">
        <v>24</v>
      </c>
      <c r="H104" s="23">
        <v>0</v>
      </c>
      <c r="I104" s="23">
        <v>16</v>
      </c>
      <c r="J104" s="23">
        <v>9</v>
      </c>
      <c r="K104" s="23">
        <v>20</v>
      </c>
      <c r="L104" s="23">
        <v>3</v>
      </c>
      <c r="M104" s="23">
        <v>77</v>
      </c>
      <c r="N104" s="73">
        <f>SUM(B104:M104)</f>
        <v>190</v>
      </c>
      <c r="O104" s="107">
        <v>0</v>
      </c>
      <c r="P104" s="76" t="s">
        <v>228</v>
      </c>
    </row>
    <row r="105" spans="1:17" ht="12.75" customHeight="1">
      <c r="A105" s="71" t="s">
        <v>236</v>
      </c>
      <c r="B105" s="72">
        <v>2</v>
      </c>
      <c r="C105" s="72">
        <v>0</v>
      </c>
      <c r="D105" s="72">
        <v>2</v>
      </c>
      <c r="E105" s="72">
        <v>2</v>
      </c>
      <c r="F105" s="72">
        <v>2</v>
      </c>
      <c r="G105" s="72">
        <v>2</v>
      </c>
      <c r="H105" s="72">
        <v>0</v>
      </c>
      <c r="I105" s="72">
        <v>2</v>
      </c>
      <c r="J105" s="72">
        <v>2</v>
      </c>
      <c r="K105" s="72">
        <v>2</v>
      </c>
      <c r="L105" s="72">
        <v>2</v>
      </c>
      <c r="M105" s="72">
        <v>2</v>
      </c>
      <c r="N105" s="73"/>
      <c r="O105" s="107"/>
      <c r="P105" s="76"/>
    </row>
    <row r="106" spans="1:17" ht="12.75" customHeight="1">
      <c r="A106" s="71" t="s">
        <v>225</v>
      </c>
      <c r="B106" s="72">
        <v>0</v>
      </c>
      <c r="C106" s="72">
        <v>0</v>
      </c>
      <c r="D106" s="72">
        <v>0</v>
      </c>
      <c r="E106" s="72">
        <v>0</v>
      </c>
      <c r="F106" s="72">
        <v>0</v>
      </c>
      <c r="G106" s="72">
        <v>0</v>
      </c>
      <c r="H106" s="72">
        <v>0</v>
      </c>
      <c r="I106" s="72">
        <v>0</v>
      </c>
      <c r="J106" s="72">
        <v>0</v>
      </c>
      <c r="K106" s="72">
        <v>0</v>
      </c>
      <c r="L106" s="72">
        <v>0</v>
      </c>
      <c r="M106" s="72">
        <v>1</v>
      </c>
      <c r="N106" s="73">
        <f>SUM(B106:M106)</f>
        <v>1</v>
      </c>
      <c r="O106" s="107"/>
      <c r="P106" s="76"/>
    </row>
    <row r="107" spans="1:17" ht="12.75" customHeight="1">
      <c r="A107" s="2"/>
      <c r="B107" s="87"/>
      <c r="C107" s="87"/>
      <c r="D107" s="87"/>
      <c r="E107" s="87"/>
      <c r="F107" s="87"/>
      <c r="G107" s="87"/>
      <c r="H107" s="87"/>
      <c r="I107" s="87"/>
      <c r="J107" s="87"/>
      <c r="K107" s="87"/>
      <c r="L107" s="87"/>
      <c r="M107" s="87"/>
      <c r="N107" s="87"/>
      <c r="O107" s="76"/>
      <c r="P107" s="76"/>
    </row>
    <row r="108" spans="1:17" ht="12.75" customHeight="1">
      <c r="A108" s="5"/>
      <c r="B108" s="89"/>
      <c r="C108" s="89"/>
      <c r="D108" s="89"/>
      <c r="E108" s="89"/>
      <c r="F108" s="89"/>
      <c r="G108" s="89"/>
      <c r="H108" s="89"/>
      <c r="I108" s="89"/>
      <c r="J108" s="89"/>
      <c r="K108" s="89"/>
      <c r="L108" s="89"/>
      <c r="M108" s="89"/>
      <c r="N108" s="89"/>
      <c r="O108" s="102"/>
      <c r="P108" s="102"/>
    </row>
    <row r="109" spans="1:17" ht="24.75" customHeight="1">
      <c r="A109" s="58"/>
      <c r="B109" s="59">
        <v>39995</v>
      </c>
      <c r="C109" s="59">
        <v>40026</v>
      </c>
      <c r="D109" s="59">
        <v>40057</v>
      </c>
      <c r="E109" s="59">
        <v>40087</v>
      </c>
      <c r="F109" s="59">
        <v>40118</v>
      </c>
      <c r="G109" s="59">
        <v>40148</v>
      </c>
      <c r="H109" s="59">
        <v>40179</v>
      </c>
      <c r="I109" s="59">
        <v>40210</v>
      </c>
      <c r="J109" s="59">
        <v>40238</v>
      </c>
      <c r="K109" s="59">
        <v>40269</v>
      </c>
      <c r="L109" s="59">
        <v>40299</v>
      </c>
      <c r="M109" s="59">
        <v>40330</v>
      </c>
      <c r="N109" s="60" t="s">
        <v>367</v>
      </c>
      <c r="O109" s="61" t="s">
        <v>166</v>
      </c>
      <c r="P109" s="61" t="s">
        <v>171</v>
      </c>
      <c r="Q109" s="2"/>
    </row>
    <row r="110" spans="1:17" ht="12.75" customHeight="1">
      <c r="A110" s="67" t="s">
        <v>86</v>
      </c>
      <c r="B110" s="59"/>
      <c r="C110" s="59"/>
      <c r="D110" s="59"/>
      <c r="E110" s="59"/>
      <c r="F110" s="59"/>
      <c r="G110" s="59"/>
      <c r="H110" s="59"/>
      <c r="I110" s="59"/>
      <c r="J110" s="59"/>
      <c r="K110" s="59"/>
      <c r="L110" s="59"/>
      <c r="M110" s="59"/>
      <c r="N110" s="53"/>
      <c r="O110" s="103"/>
      <c r="P110" s="103"/>
    </row>
    <row r="111" spans="1:17" ht="12.75" customHeight="1">
      <c r="A111" s="71" t="s">
        <v>301</v>
      </c>
      <c r="B111" s="23">
        <v>198</v>
      </c>
      <c r="C111" s="23">
        <v>158</v>
      </c>
      <c r="D111" s="23">
        <v>208</v>
      </c>
      <c r="E111" s="23">
        <v>357</v>
      </c>
      <c r="F111" s="23">
        <v>285</v>
      </c>
      <c r="G111" s="23">
        <v>203</v>
      </c>
      <c r="H111" s="23">
        <v>138</v>
      </c>
      <c r="I111" s="23">
        <v>271</v>
      </c>
      <c r="J111" s="23">
        <v>307</v>
      </c>
      <c r="K111" s="23">
        <v>228</v>
      </c>
      <c r="L111" s="23">
        <v>126</v>
      </c>
      <c r="M111" s="23">
        <v>142</v>
      </c>
      <c r="N111" s="73">
        <f>SUM(B111:M111)</f>
        <v>2621</v>
      </c>
      <c r="O111" s="107"/>
      <c r="P111" s="76"/>
    </row>
    <row r="112" spans="1:17" ht="12.75" customHeight="1">
      <c r="A112" s="71" t="s">
        <v>204</v>
      </c>
      <c r="B112" s="23">
        <v>1458</v>
      </c>
      <c r="C112" s="23">
        <v>719</v>
      </c>
      <c r="D112" s="23">
        <v>636</v>
      </c>
      <c r="E112" s="23">
        <v>2007</v>
      </c>
      <c r="F112" s="23">
        <v>821</v>
      </c>
      <c r="G112" s="23">
        <v>625</v>
      </c>
      <c r="H112" s="23">
        <v>373</v>
      </c>
      <c r="I112" s="23">
        <v>1122</v>
      </c>
      <c r="J112" s="23">
        <v>1132</v>
      </c>
      <c r="K112" s="23">
        <v>1771</v>
      </c>
      <c r="L112" s="23">
        <v>401</v>
      </c>
      <c r="M112" s="23">
        <v>1008</v>
      </c>
      <c r="N112" s="73">
        <f>SUM(B112:M112)</f>
        <v>12073</v>
      </c>
      <c r="O112" s="107">
        <v>0</v>
      </c>
      <c r="P112" s="76">
        <f>O112/N112</f>
        <v>0</v>
      </c>
    </row>
    <row r="113" spans="1:17" ht="12.75" customHeight="1">
      <c r="A113" s="71" t="s">
        <v>236</v>
      </c>
      <c r="B113" s="72">
        <v>2</v>
      </c>
      <c r="C113" s="72">
        <v>2</v>
      </c>
      <c r="D113" s="72">
        <v>2</v>
      </c>
      <c r="E113" s="72">
        <v>2</v>
      </c>
      <c r="F113" s="72">
        <v>2</v>
      </c>
      <c r="G113" s="72">
        <v>2</v>
      </c>
      <c r="H113" s="72">
        <v>2</v>
      </c>
      <c r="I113" s="72">
        <v>2</v>
      </c>
      <c r="J113" s="72">
        <v>2</v>
      </c>
      <c r="K113" s="72">
        <v>2</v>
      </c>
      <c r="L113" s="72">
        <v>2</v>
      </c>
      <c r="M113" s="72">
        <v>2</v>
      </c>
      <c r="N113" s="73"/>
      <c r="O113" s="107"/>
      <c r="P113" s="76"/>
    </row>
    <row r="114" spans="1:17" ht="12.75" customHeight="1">
      <c r="A114" s="71" t="s">
        <v>225</v>
      </c>
      <c r="B114" s="72">
        <v>7</v>
      </c>
      <c r="C114" s="72">
        <v>2</v>
      </c>
      <c r="D114" s="72">
        <v>24</v>
      </c>
      <c r="E114" s="72">
        <v>58</v>
      </c>
      <c r="F114" s="72">
        <v>43</v>
      </c>
      <c r="G114" s="72">
        <v>18</v>
      </c>
      <c r="H114" s="72">
        <v>7</v>
      </c>
      <c r="I114" s="72">
        <v>55</v>
      </c>
      <c r="J114" s="72">
        <v>78</v>
      </c>
      <c r="K114" s="72">
        <v>21</v>
      </c>
      <c r="L114" s="72">
        <v>2</v>
      </c>
      <c r="M114" s="72">
        <v>16</v>
      </c>
      <c r="N114" s="73">
        <f>SUM(B114:M114)</f>
        <v>331</v>
      </c>
      <c r="O114" s="107"/>
      <c r="P114" s="76"/>
    </row>
    <row r="115" spans="1:17" ht="12.75" customHeight="1">
      <c r="A115" s="2"/>
      <c r="B115" s="87"/>
      <c r="C115" s="87"/>
      <c r="D115" s="87"/>
      <c r="E115" s="87"/>
      <c r="F115" s="87"/>
      <c r="G115" s="87"/>
      <c r="H115" s="87"/>
      <c r="I115" s="87"/>
      <c r="J115" s="87"/>
      <c r="K115" s="87"/>
      <c r="L115" s="87"/>
      <c r="M115" s="87"/>
      <c r="N115" s="87"/>
      <c r="O115" s="76"/>
      <c r="P115" s="76"/>
    </row>
    <row r="116" spans="1:17" ht="12.75" customHeight="1">
      <c r="A116" s="5"/>
      <c r="B116" s="89"/>
      <c r="C116" s="89"/>
      <c r="D116" s="89"/>
      <c r="E116" s="89"/>
      <c r="F116" s="89"/>
      <c r="G116" s="89"/>
      <c r="H116" s="89"/>
      <c r="I116" s="89"/>
      <c r="J116" s="89"/>
      <c r="K116" s="89"/>
      <c r="L116" s="89"/>
      <c r="M116" s="89"/>
      <c r="N116" s="89"/>
      <c r="O116" s="102"/>
      <c r="P116" s="102"/>
    </row>
    <row r="117" spans="1:17" ht="24.75" customHeight="1">
      <c r="A117" s="58"/>
      <c r="B117" s="59">
        <v>39995</v>
      </c>
      <c r="C117" s="59">
        <v>40026</v>
      </c>
      <c r="D117" s="59">
        <v>40057</v>
      </c>
      <c r="E117" s="59">
        <v>40087</v>
      </c>
      <c r="F117" s="59">
        <v>40118</v>
      </c>
      <c r="G117" s="59">
        <v>40148</v>
      </c>
      <c r="H117" s="59">
        <v>40179</v>
      </c>
      <c r="I117" s="59">
        <v>40210</v>
      </c>
      <c r="J117" s="59">
        <v>40238</v>
      </c>
      <c r="K117" s="59">
        <v>40269</v>
      </c>
      <c r="L117" s="59">
        <v>40299</v>
      </c>
      <c r="M117" s="59">
        <v>40330</v>
      </c>
      <c r="N117" s="60" t="s">
        <v>367</v>
      </c>
      <c r="O117" s="61" t="s">
        <v>166</v>
      </c>
      <c r="P117" s="61" t="s">
        <v>171</v>
      </c>
      <c r="Q117" s="2"/>
    </row>
    <row r="118" spans="1:17" ht="12.75" customHeight="1">
      <c r="A118" s="67" t="s">
        <v>259</v>
      </c>
      <c r="B118" s="59"/>
      <c r="C118" s="59"/>
      <c r="D118" s="59"/>
      <c r="E118" s="59"/>
      <c r="F118" s="59"/>
      <c r="G118" s="59"/>
      <c r="H118" s="59"/>
      <c r="I118" s="59"/>
      <c r="J118" s="59"/>
      <c r="K118" s="59"/>
      <c r="L118" s="59"/>
      <c r="M118" s="59"/>
      <c r="N118" s="53"/>
      <c r="O118" s="103"/>
      <c r="P118" s="103"/>
    </row>
    <row r="119" spans="1:17" ht="12.75" customHeight="1">
      <c r="A119" s="71" t="s">
        <v>301</v>
      </c>
      <c r="B119" s="23">
        <v>6</v>
      </c>
      <c r="C119" s="23">
        <v>3</v>
      </c>
      <c r="D119" s="23">
        <v>6</v>
      </c>
      <c r="E119" s="23">
        <v>22</v>
      </c>
      <c r="F119" s="23">
        <v>11</v>
      </c>
      <c r="G119" s="23">
        <v>5</v>
      </c>
      <c r="H119" s="23">
        <v>5</v>
      </c>
      <c r="I119" s="23">
        <v>10</v>
      </c>
      <c r="J119" s="23">
        <v>8</v>
      </c>
      <c r="K119" s="23">
        <v>9</v>
      </c>
      <c r="L119" s="23">
        <v>5</v>
      </c>
      <c r="M119" s="23">
        <v>4</v>
      </c>
      <c r="N119" s="73">
        <f>SUM(B119:M119)</f>
        <v>94</v>
      </c>
      <c r="O119" s="107"/>
      <c r="P119" s="76"/>
    </row>
    <row r="120" spans="1:17" ht="12.75" customHeight="1">
      <c r="A120" s="71" t="s">
        <v>204</v>
      </c>
      <c r="B120" s="23">
        <v>6</v>
      </c>
      <c r="C120" s="23">
        <v>3</v>
      </c>
      <c r="D120" s="23">
        <v>8</v>
      </c>
      <c r="E120" s="23">
        <v>38</v>
      </c>
      <c r="F120" s="23">
        <v>28</v>
      </c>
      <c r="G120" s="23">
        <v>5</v>
      </c>
      <c r="H120" s="23">
        <v>4</v>
      </c>
      <c r="I120" s="23">
        <v>14</v>
      </c>
      <c r="J120" s="23">
        <v>8</v>
      </c>
      <c r="K120" s="23">
        <v>18</v>
      </c>
      <c r="L120" s="23">
        <v>14</v>
      </c>
      <c r="M120" s="23">
        <v>14</v>
      </c>
      <c r="N120" s="73">
        <f>SUM(B120:M120)</f>
        <v>160</v>
      </c>
      <c r="O120" s="107">
        <v>0</v>
      </c>
      <c r="P120" s="76" t="s">
        <v>228</v>
      </c>
    </row>
    <row r="121" spans="1:17" ht="12.75" customHeight="1">
      <c r="A121" s="71" t="s">
        <v>236</v>
      </c>
      <c r="B121" s="72">
        <v>2</v>
      </c>
      <c r="C121" s="72">
        <v>2</v>
      </c>
      <c r="D121" s="72">
        <v>2</v>
      </c>
      <c r="E121" s="72">
        <v>2</v>
      </c>
      <c r="F121" s="72">
        <v>2</v>
      </c>
      <c r="G121" s="72">
        <v>2</v>
      </c>
      <c r="H121" s="72">
        <v>2</v>
      </c>
      <c r="I121" s="72">
        <v>2</v>
      </c>
      <c r="J121" s="72">
        <v>2</v>
      </c>
      <c r="K121" s="72">
        <v>2</v>
      </c>
      <c r="L121" s="72">
        <v>2</v>
      </c>
      <c r="M121" s="72">
        <v>2</v>
      </c>
      <c r="N121" s="73"/>
      <c r="O121" s="107"/>
      <c r="P121" s="76"/>
    </row>
    <row r="122" spans="1:17" ht="12.75" customHeight="1">
      <c r="A122" s="71" t="s">
        <v>225</v>
      </c>
      <c r="B122" s="72">
        <v>0</v>
      </c>
      <c r="C122" s="72">
        <v>0</v>
      </c>
      <c r="D122" s="72">
        <v>0</v>
      </c>
      <c r="E122" s="72">
        <v>0</v>
      </c>
      <c r="F122" s="72">
        <v>0</v>
      </c>
      <c r="G122" s="72">
        <v>0</v>
      </c>
      <c r="H122" s="72">
        <v>0</v>
      </c>
      <c r="I122" s="72">
        <v>0</v>
      </c>
      <c r="J122" s="72">
        <v>0</v>
      </c>
      <c r="K122" s="72">
        <v>1</v>
      </c>
      <c r="L122" s="72">
        <v>0</v>
      </c>
      <c r="M122" s="72">
        <v>0</v>
      </c>
      <c r="N122" s="73">
        <f>SUM(B122:M122)</f>
        <v>1</v>
      </c>
      <c r="O122" s="107"/>
      <c r="P122" s="76"/>
    </row>
    <row r="123" spans="1:17" ht="12.75" customHeight="1">
      <c r="A123" s="2"/>
      <c r="B123" s="42"/>
      <c r="C123" s="42"/>
      <c r="D123" s="42"/>
      <c r="E123" s="42"/>
      <c r="F123" s="42"/>
      <c r="G123" s="42"/>
      <c r="H123" s="42"/>
      <c r="I123" s="42"/>
      <c r="J123" s="42"/>
      <c r="K123" s="42"/>
      <c r="L123" s="42"/>
      <c r="M123" s="42"/>
      <c r="N123" s="119"/>
      <c r="O123" s="76"/>
      <c r="P123" s="76"/>
    </row>
    <row r="124" spans="1:17" ht="12.75" customHeight="1">
      <c r="A124" s="2"/>
      <c r="B124" s="2"/>
      <c r="C124" s="2"/>
      <c r="D124" s="2"/>
      <c r="E124" s="2"/>
      <c r="F124" s="2"/>
      <c r="G124" s="2"/>
      <c r="H124" s="2"/>
      <c r="I124" s="2"/>
      <c r="J124" s="2"/>
      <c r="K124" s="2"/>
      <c r="L124" s="2"/>
      <c r="M124" s="2"/>
      <c r="N124" s="123"/>
      <c r="O124" s="76"/>
      <c r="P124" s="76"/>
    </row>
    <row r="125" spans="1:17" ht="12.75" customHeight="1">
      <c r="A125" s="5"/>
      <c r="B125" s="5"/>
      <c r="C125" s="5"/>
      <c r="D125" s="5"/>
      <c r="E125" s="5"/>
      <c r="F125" s="5"/>
      <c r="G125" s="5"/>
      <c r="H125" s="5"/>
      <c r="I125" s="5"/>
      <c r="J125" s="5"/>
      <c r="K125" s="5"/>
      <c r="L125" s="5"/>
      <c r="M125" s="5"/>
      <c r="N125" s="118"/>
      <c r="O125" s="102"/>
      <c r="P125" s="102"/>
    </row>
    <row r="126" spans="1:17" ht="24.75" customHeight="1">
      <c r="A126" s="58"/>
      <c r="B126" s="59">
        <v>39995</v>
      </c>
      <c r="C126" s="59">
        <v>40026</v>
      </c>
      <c r="D126" s="59">
        <v>40057</v>
      </c>
      <c r="E126" s="59">
        <v>40087</v>
      </c>
      <c r="F126" s="59">
        <v>40118</v>
      </c>
      <c r="G126" s="59">
        <v>40148</v>
      </c>
      <c r="H126" s="59">
        <v>40179</v>
      </c>
      <c r="I126" s="59">
        <v>40210</v>
      </c>
      <c r="J126" s="59">
        <v>40238</v>
      </c>
      <c r="K126" s="59">
        <v>40269</v>
      </c>
      <c r="L126" s="59">
        <v>40299</v>
      </c>
      <c r="M126" s="59">
        <v>40330</v>
      </c>
      <c r="N126" s="60" t="s">
        <v>367</v>
      </c>
      <c r="O126" s="61" t="s">
        <v>166</v>
      </c>
      <c r="P126" s="61" t="s">
        <v>171</v>
      </c>
      <c r="Q126" s="2"/>
    </row>
    <row r="127" spans="1:17" ht="12.75" customHeight="1">
      <c r="A127" s="67" t="s">
        <v>170</v>
      </c>
      <c r="B127" s="59"/>
      <c r="C127" s="59"/>
      <c r="D127" s="59"/>
      <c r="E127" s="59"/>
      <c r="F127" s="59"/>
      <c r="G127" s="59"/>
      <c r="H127" s="59"/>
      <c r="I127" s="59"/>
      <c r="J127" s="59"/>
      <c r="K127" s="59"/>
      <c r="L127" s="59"/>
      <c r="M127" s="59"/>
      <c r="N127" s="53"/>
      <c r="O127" s="103"/>
      <c r="P127" s="103"/>
    </row>
    <row r="128" spans="1:17" ht="12.75" customHeight="1">
      <c r="A128" s="71" t="s">
        <v>301</v>
      </c>
      <c r="B128" s="23">
        <v>687</v>
      </c>
      <c r="C128" s="23">
        <v>312</v>
      </c>
      <c r="D128" s="23">
        <v>579</v>
      </c>
      <c r="E128" s="23">
        <v>1172</v>
      </c>
      <c r="F128" s="23">
        <v>1106</v>
      </c>
      <c r="G128" s="23">
        <v>574</v>
      </c>
      <c r="H128" s="23">
        <v>320</v>
      </c>
      <c r="I128" s="23">
        <v>776</v>
      </c>
      <c r="J128" s="23">
        <v>992</v>
      </c>
      <c r="K128" s="23">
        <v>968</v>
      </c>
      <c r="L128" s="23">
        <v>328</v>
      </c>
      <c r="M128" s="23">
        <v>432</v>
      </c>
      <c r="N128" s="73">
        <f>SUM(B128:M128)</f>
        <v>8246</v>
      </c>
      <c r="O128" s="107"/>
      <c r="P128" s="76"/>
    </row>
    <row r="129" spans="1:17" ht="12.75" customHeight="1">
      <c r="A129" s="71" t="s">
        <v>204</v>
      </c>
      <c r="B129" s="23">
        <v>2641</v>
      </c>
      <c r="C129" s="23">
        <v>1213</v>
      </c>
      <c r="D129" s="23">
        <v>1505</v>
      </c>
      <c r="E129" s="23">
        <v>3882</v>
      </c>
      <c r="F129" s="23">
        <v>2306</v>
      </c>
      <c r="G129" s="23">
        <v>1338</v>
      </c>
      <c r="H129" s="23">
        <v>1220</v>
      </c>
      <c r="I129" s="23">
        <v>2256</v>
      </c>
      <c r="J129" s="23">
        <v>2384</v>
      </c>
      <c r="K129" s="23">
        <v>3537</v>
      </c>
      <c r="L129" s="23">
        <v>1264</v>
      </c>
      <c r="M129" s="23">
        <v>1896</v>
      </c>
      <c r="N129" s="73">
        <f>SUM(B129:M129)</f>
        <v>25442</v>
      </c>
      <c r="O129" s="107">
        <v>9606.4</v>
      </c>
      <c r="P129" s="76">
        <f>O129/N129</f>
        <v>0.3775803789010298</v>
      </c>
    </row>
    <row r="130" spans="1:17" ht="12.75" customHeight="1">
      <c r="A130" s="71" t="s">
        <v>305</v>
      </c>
      <c r="B130" s="72">
        <v>2</v>
      </c>
      <c r="C130" s="72">
        <v>2</v>
      </c>
      <c r="D130" s="72">
        <v>2</v>
      </c>
      <c r="E130" s="72">
        <v>2</v>
      </c>
      <c r="F130" s="72">
        <v>2</v>
      </c>
      <c r="G130" s="72">
        <v>2</v>
      </c>
      <c r="H130" s="72">
        <v>2</v>
      </c>
      <c r="I130" s="72">
        <v>2</v>
      </c>
      <c r="J130" s="72">
        <v>2</v>
      </c>
      <c r="K130" s="72">
        <v>2</v>
      </c>
      <c r="L130" s="72">
        <v>2</v>
      </c>
      <c r="M130" s="72">
        <v>2</v>
      </c>
      <c r="N130" s="73"/>
      <c r="O130" s="107"/>
      <c r="P130" s="76"/>
    </row>
    <row r="131" spans="1:17" ht="12.75" customHeight="1">
      <c r="A131" s="71" t="s">
        <v>225</v>
      </c>
      <c r="B131" s="72">
        <v>223</v>
      </c>
      <c r="C131" s="72">
        <v>21</v>
      </c>
      <c r="D131" s="72">
        <v>70</v>
      </c>
      <c r="E131" s="72">
        <v>107</v>
      </c>
      <c r="F131" s="72">
        <v>115</v>
      </c>
      <c r="G131" s="72">
        <v>36</v>
      </c>
      <c r="H131" s="72">
        <v>15</v>
      </c>
      <c r="I131" s="72">
        <v>80</v>
      </c>
      <c r="J131" s="72">
        <v>123</v>
      </c>
      <c r="K131" s="72">
        <v>126</v>
      </c>
      <c r="L131" s="72">
        <v>2</v>
      </c>
      <c r="M131" s="72">
        <v>22</v>
      </c>
      <c r="N131" s="73">
        <f>SUM(B131:M131)</f>
        <v>940</v>
      </c>
      <c r="O131" s="107"/>
      <c r="P131" s="76"/>
    </row>
    <row r="132" spans="1:17" ht="12.75" customHeight="1">
      <c r="A132" s="2"/>
      <c r="B132" s="87"/>
      <c r="C132" s="87"/>
      <c r="D132" s="87"/>
      <c r="E132" s="87"/>
      <c r="F132" s="87"/>
      <c r="G132" s="87"/>
      <c r="H132" s="87"/>
      <c r="I132" s="87"/>
      <c r="J132" s="87"/>
      <c r="K132" s="87"/>
      <c r="L132" s="87"/>
      <c r="M132" s="87"/>
      <c r="N132" s="87"/>
      <c r="O132" s="76"/>
      <c r="P132" s="76"/>
    </row>
    <row r="133" spans="1:17" ht="12.75" customHeight="1">
      <c r="A133" s="5"/>
      <c r="B133" s="89"/>
      <c r="C133" s="89"/>
      <c r="D133" s="89"/>
      <c r="E133" s="89"/>
      <c r="F133" s="89"/>
      <c r="G133" s="89"/>
      <c r="H133" s="89"/>
      <c r="I133" s="89"/>
      <c r="J133" s="89"/>
      <c r="K133" s="89"/>
      <c r="L133" s="89"/>
      <c r="M133" s="89"/>
      <c r="N133" s="89"/>
      <c r="O133" s="102"/>
      <c r="P133" s="102"/>
    </row>
    <row r="134" spans="1:17" ht="24.75" customHeight="1">
      <c r="A134" s="58"/>
      <c r="B134" s="59">
        <v>39995</v>
      </c>
      <c r="C134" s="59">
        <v>40026</v>
      </c>
      <c r="D134" s="59">
        <v>40057</v>
      </c>
      <c r="E134" s="59">
        <v>40087</v>
      </c>
      <c r="F134" s="59">
        <v>40118</v>
      </c>
      <c r="G134" s="59">
        <v>40148</v>
      </c>
      <c r="H134" s="59">
        <v>40179</v>
      </c>
      <c r="I134" s="59">
        <v>40210</v>
      </c>
      <c r="J134" s="59">
        <v>40238</v>
      </c>
      <c r="K134" s="59">
        <v>40269</v>
      </c>
      <c r="L134" s="59">
        <v>40299</v>
      </c>
      <c r="M134" s="59">
        <v>40330</v>
      </c>
      <c r="N134" s="60" t="s">
        <v>367</v>
      </c>
      <c r="O134" s="61" t="s">
        <v>166</v>
      </c>
      <c r="P134" s="61" t="s">
        <v>171</v>
      </c>
      <c r="Q134" s="2"/>
    </row>
    <row r="135" spans="1:17" ht="12.75" customHeight="1">
      <c r="A135" s="67" t="s">
        <v>76</v>
      </c>
      <c r="B135" s="59"/>
      <c r="C135" s="59"/>
      <c r="D135" s="59"/>
      <c r="E135" s="59"/>
      <c r="F135" s="59"/>
      <c r="G135" s="59"/>
      <c r="H135" s="59"/>
      <c r="I135" s="59"/>
      <c r="J135" s="59"/>
      <c r="K135" s="59"/>
      <c r="L135" s="59"/>
      <c r="M135" s="59"/>
      <c r="N135" s="53"/>
      <c r="O135" s="103"/>
      <c r="P135" s="103"/>
    </row>
    <row r="136" spans="1:17" ht="12.75" customHeight="1">
      <c r="A136" s="71" t="s">
        <v>204</v>
      </c>
      <c r="B136" s="23">
        <v>3</v>
      </c>
      <c r="C136" s="23">
        <v>1</v>
      </c>
      <c r="D136" s="23">
        <v>4</v>
      </c>
      <c r="E136" s="23">
        <v>9</v>
      </c>
      <c r="F136" s="23">
        <v>1</v>
      </c>
      <c r="G136" s="23">
        <v>2</v>
      </c>
      <c r="H136" s="23">
        <v>0</v>
      </c>
      <c r="I136" s="23">
        <v>6</v>
      </c>
      <c r="J136" s="23">
        <v>27</v>
      </c>
      <c r="K136" s="23">
        <v>18</v>
      </c>
      <c r="L136" s="23">
        <v>0</v>
      </c>
      <c r="M136" s="23">
        <v>9</v>
      </c>
      <c r="N136" s="73">
        <f>SUM(B136:M136)</f>
        <v>80</v>
      </c>
      <c r="O136" s="107">
        <v>0</v>
      </c>
      <c r="P136" s="76" t="s">
        <v>228</v>
      </c>
    </row>
    <row r="137" spans="1:17" ht="12.75" customHeight="1">
      <c r="A137" s="2"/>
      <c r="B137" s="43"/>
      <c r="C137" s="43"/>
      <c r="D137" s="43"/>
      <c r="E137" s="43"/>
      <c r="F137" s="43"/>
      <c r="G137" s="43"/>
      <c r="H137" s="43"/>
      <c r="I137" s="43"/>
      <c r="J137" s="43"/>
      <c r="K137" s="43"/>
      <c r="L137" s="43"/>
      <c r="M137" s="43"/>
      <c r="N137" s="43"/>
      <c r="O137" s="2"/>
      <c r="P137" s="2"/>
    </row>
    <row r="138" spans="1:17" ht="12.75" customHeight="1">
      <c r="A138" s="2"/>
      <c r="O138" s="2"/>
      <c r="P138" s="2"/>
    </row>
    <row r="139" spans="1:17" ht="12.75" customHeight="1">
      <c r="A139" s="2"/>
      <c r="O139" s="2"/>
      <c r="P139" s="2"/>
    </row>
    <row r="140" spans="1:17" ht="12.75" customHeight="1">
      <c r="O140" s="2"/>
      <c r="P140" s="2"/>
    </row>
    <row r="141" spans="1:17" ht="12.75" customHeight="1">
      <c r="A141" s="2"/>
      <c r="O141" s="2"/>
      <c r="P141" s="2"/>
    </row>
  </sheetData>
  <pageMargins left="0.75" right="0.75" top="1" bottom="1" header="0.5" footer="0.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dimension ref="A1:P10"/>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5.140625" customWidth="1"/>
    <col min="2" max="14" width="9" customWidth="1"/>
    <col min="15" max="15" width="10.42578125" customWidth="1"/>
    <col min="16" max="16" width="9" customWidth="1"/>
    <col min="17" max="20" width="17.140625" customWidth="1"/>
  </cols>
  <sheetData>
    <row r="1" spans="1:16" ht="12.75" customHeight="1">
      <c r="A1" s="178" t="s">
        <v>374</v>
      </c>
      <c r="B1" s="181"/>
      <c r="C1" s="181"/>
      <c r="D1" s="181"/>
    </row>
    <row r="2" spans="1:16" ht="12.75" customHeight="1">
      <c r="A2" s="185" t="s">
        <v>342</v>
      </c>
      <c r="B2" s="181"/>
      <c r="C2" s="181"/>
      <c r="D2" s="181"/>
      <c r="E2" s="181"/>
      <c r="F2" s="181"/>
    </row>
    <row r="4" spans="1:16" ht="12.75" customHeight="1">
      <c r="A4" s="49" t="s">
        <v>45</v>
      </c>
      <c r="B4" s="49" t="s">
        <v>247</v>
      </c>
    </row>
    <row r="5" spans="1:16" ht="12.75" customHeight="1">
      <c r="A5" s="6"/>
      <c r="B5" s="6"/>
      <c r="C5" s="6"/>
      <c r="D5" s="6"/>
      <c r="E5" s="6"/>
      <c r="F5" s="6"/>
      <c r="G5" s="6"/>
      <c r="H5" s="6"/>
      <c r="I5" s="6"/>
      <c r="J5" s="6"/>
      <c r="K5" s="6"/>
      <c r="L5" s="6"/>
      <c r="M5" s="6"/>
      <c r="N5" s="6"/>
      <c r="O5" s="6"/>
      <c r="P5" s="6"/>
    </row>
    <row r="6" spans="1:16"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6" ht="12.75" customHeight="1">
      <c r="A7" s="52" t="s">
        <v>79</v>
      </c>
      <c r="B7" s="53"/>
      <c r="C7" s="53"/>
      <c r="D7" s="53"/>
      <c r="E7" s="53"/>
      <c r="F7" s="53"/>
      <c r="G7" s="53"/>
      <c r="H7" s="53"/>
      <c r="I7" s="53"/>
      <c r="J7" s="53"/>
      <c r="K7" s="53"/>
      <c r="L7" s="53"/>
      <c r="M7" s="53"/>
      <c r="N7" s="53"/>
      <c r="O7" s="43"/>
      <c r="P7" s="43"/>
    </row>
    <row r="8" spans="1:16" ht="12.75" customHeight="1">
      <c r="A8" s="71" t="s">
        <v>369</v>
      </c>
      <c r="B8" s="23">
        <v>0</v>
      </c>
      <c r="C8" s="23">
        <v>0</v>
      </c>
      <c r="D8" s="23">
        <v>0</v>
      </c>
      <c r="E8" s="23">
        <v>0</v>
      </c>
      <c r="F8" s="23">
        <v>1</v>
      </c>
      <c r="G8" s="23">
        <v>1</v>
      </c>
      <c r="H8" s="23">
        <v>2</v>
      </c>
      <c r="I8" s="23">
        <v>0</v>
      </c>
      <c r="J8" s="23">
        <v>2</v>
      </c>
      <c r="K8" s="23">
        <v>1</v>
      </c>
      <c r="L8" s="23">
        <v>0</v>
      </c>
      <c r="M8" s="23">
        <v>0</v>
      </c>
      <c r="N8" s="73">
        <f>SUM(B8:M8)</f>
        <v>7</v>
      </c>
      <c r="O8" s="56">
        <v>338</v>
      </c>
      <c r="P8" s="57">
        <f>O8/N8</f>
        <v>48.285714285714285</v>
      </c>
    </row>
    <row r="9" spans="1:16" ht="12.75" customHeight="1">
      <c r="A9" s="71" t="s">
        <v>155</v>
      </c>
      <c r="B9" s="40">
        <v>2</v>
      </c>
      <c r="C9" s="16">
        <v>0</v>
      </c>
      <c r="D9" s="16">
        <v>0</v>
      </c>
      <c r="E9" s="16">
        <v>1</v>
      </c>
      <c r="F9" s="16">
        <v>4</v>
      </c>
      <c r="G9" s="16">
        <v>2</v>
      </c>
      <c r="H9" s="16">
        <v>1</v>
      </c>
      <c r="I9" s="16">
        <v>2</v>
      </c>
      <c r="J9" s="16">
        <v>7</v>
      </c>
      <c r="K9" s="16">
        <v>1</v>
      </c>
      <c r="L9" s="16">
        <v>1</v>
      </c>
      <c r="M9" s="16">
        <v>0</v>
      </c>
      <c r="N9" s="73">
        <f>SUM(B9:M9)</f>
        <v>21</v>
      </c>
      <c r="O9" s="18"/>
    </row>
    <row r="10" spans="1:16" ht="12.75" customHeight="1">
      <c r="B10" s="43"/>
      <c r="C10" s="43"/>
      <c r="D10" s="43"/>
      <c r="E10" s="43"/>
      <c r="F10" s="43"/>
      <c r="G10" s="43"/>
      <c r="H10" s="43"/>
      <c r="I10" s="43"/>
      <c r="J10" s="43"/>
      <c r="K10" s="43"/>
      <c r="L10" s="43"/>
      <c r="M10" s="43"/>
      <c r="N10" s="43"/>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dimension ref="A1:Q2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6.85546875" customWidth="1"/>
    <col min="2" max="2" width="7.85546875" customWidth="1"/>
    <col min="3" max="3" width="8.7109375" customWidth="1"/>
    <col min="4" max="4" width="8" customWidth="1"/>
    <col min="5" max="5" width="8.85546875" customWidth="1"/>
    <col min="6" max="6" width="8.5703125" customWidth="1"/>
    <col min="7" max="7" width="9.140625" customWidth="1"/>
    <col min="8" max="8" width="7.85546875" customWidth="1"/>
    <col min="9" max="9" width="8.28515625" customWidth="1"/>
    <col min="10" max="10" width="9.42578125" customWidth="1"/>
    <col min="11" max="11" width="9" customWidth="1"/>
    <col min="12" max="12" width="9.28515625" customWidth="1"/>
    <col min="13" max="13" width="9" customWidth="1"/>
    <col min="14" max="14" width="10.28515625" customWidth="1"/>
    <col min="15" max="15" width="10.140625" customWidth="1"/>
    <col min="16" max="16" width="8.5703125" customWidth="1"/>
    <col min="17" max="17" width="9.140625" customWidth="1"/>
  </cols>
  <sheetData>
    <row r="1" spans="1:17" ht="19.5" customHeight="1">
      <c r="A1" s="1" t="s">
        <v>48</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row>
    <row r="4" spans="1:17" ht="12.75" customHeight="1">
      <c r="A4" s="2" t="s">
        <v>18</v>
      </c>
      <c r="B4" s="2" t="s">
        <v>187</v>
      </c>
    </row>
    <row r="5" spans="1:17" ht="12.75" customHeight="1">
      <c r="A5" s="5"/>
      <c r="B5" s="6"/>
      <c r="C5" s="6"/>
      <c r="D5" s="6"/>
      <c r="E5" s="6"/>
      <c r="F5" s="6"/>
      <c r="G5" s="6"/>
      <c r="H5" s="6"/>
      <c r="I5" s="6"/>
      <c r="J5" s="6"/>
      <c r="K5" s="6"/>
      <c r="L5" s="6"/>
      <c r="M5" s="6"/>
      <c r="N5" s="6"/>
      <c r="O5" s="6"/>
      <c r="P5" s="6"/>
    </row>
    <row r="6" spans="1:17" ht="28.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163</v>
      </c>
      <c r="B7" s="68"/>
      <c r="C7" s="68"/>
      <c r="D7" s="68"/>
      <c r="E7" s="68"/>
      <c r="F7" s="68"/>
      <c r="G7" s="68"/>
      <c r="H7" s="68"/>
      <c r="I7" s="68"/>
      <c r="J7" s="68"/>
      <c r="K7" s="68"/>
      <c r="L7" s="68"/>
      <c r="M7" s="68"/>
      <c r="N7" s="68"/>
      <c r="O7" s="183" t="s">
        <v>413</v>
      </c>
      <c r="P7" s="183"/>
    </row>
    <row r="8" spans="1:17" ht="12.75" customHeight="1">
      <c r="A8" s="71" t="s">
        <v>369</v>
      </c>
      <c r="B8" s="72">
        <v>76</v>
      </c>
      <c r="C8" s="72">
        <v>40</v>
      </c>
      <c r="D8" s="72">
        <v>255</v>
      </c>
      <c r="E8" s="72">
        <v>526</v>
      </c>
      <c r="F8" s="72">
        <v>928</v>
      </c>
      <c r="G8" s="72">
        <v>1756</v>
      </c>
      <c r="H8" s="23">
        <v>118</v>
      </c>
      <c r="I8" s="23">
        <v>445</v>
      </c>
      <c r="J8" s="23">
        <v>533</v>
      </c>
      <c r="K8" s="23">
        <v>781</v>
      </c>
      <c r="L8" s="23">
        <v>388</v>
      </c>
      <c r="M8" s="23">
        <v>187</v>
      </c>
      <c r="N8" s="73">
        <f>SUM(B8:M8)</f>
        <v>6033</v>
      </c>
      <c r="O8" s="74">
        <v>1986</v>
      </c>
      <c r="P8" s="75">
        <f>O8/N8</f>
        <v>0.32918945798110394</v>
      </c>
    </row>
    <row r="9" spans="1:17" ht="12.75" customHeight="1">
      <c r="A9" s="71" t="s">
        <v>253</v>
      </c>
      <c r="B9" s="72">
        <v>72</v>
      </c>
      <c r="C9" s="72">
        <v>47</v>
      </c>
      <c r="D9" s="72">
        <v>147</v>
      </c>
      <c r="E9" s="72">
        <v>302</v>
      </c>
      <c r="F9" s="72">
        <v>687</v>
      </c>
      <c r="G9" s="72">
        <v>859</v>
      </c>
      <c r="H9" s="23">
        <v>72</v>
      </c>
      <c r="I9" s="23">
        <v>312</v>
      </c>
      <c r="J9" s="23">
        <v>283</v>
      </c>
      <c r="K9" s="23">
        <v>444</v>
      </c>
      <c r="L9" s="23">
        <v>228</v>
      </c>
      <c r="M9" s="23">
        <v>88</v>
      </c>
      <c r="N9" s="73">
        <f>SUM(B9:M9)</f>
        <v>3541</v>
      </c>
      <c r="O9" s="74"/>
    </row>
    <row r="10" spans="1:17" ht="12.75" customHeight="1">
      <c r="A10" s="71" t="s">
        <v>225</v>
      </c>
      <c r="B10" s="23">
        <v>0</v>
      </c>
      <c r="C10" s="23">
        <v>0</v>
      </c>
      <c r="D10" s="23">
        <v>0</v>
      </c>
      <c r="E10" s="23">
        <v>0</v>
      </c>
      <c r="F10" s="23">
        <v>0</v>
      </c>
      <c r="G10" s="23">
        <v>0</v>
      </c>
      <c r="H10" s="23">
        <v>0</v>
      </c>
      <c r="I10" s="23">
        <v>0</v>
      </c>
      <c r="J10" s="23">
        <v>0</v>
      </c>
      <c r="K10" s="23">
        <v>0</v>
      </c>
      <c r="L10" s="23">
        <v>0</v>
      </c>
      <c r="M10" s="23">
        <v>0</v>
      </c>
      <c r="N10" s="73">
        <f>SUM(B10:M10)</f>
        <v>0</v>
      </c>
      <c r="O10" s="74"/>
      <c r="P10" s="75"/>
    </row>
    <row r="11" spans="1:17" ht="24.75" customHeight="1">
      <c r="A11" s="124" t="s">
        <v>269</v>
      </c>
      <c r="B11" s="125">
        <v>20</v>
      </c>
      <c r="C11" s="125">
        <v>17</v>
      </c>
      <c r="D11" s="125">
        <v>66</v>
      </c>
      <c r="E11" s="125">
        <v>156</v>
      </c>
      <c r="F11" s="125">
        <v>246</v>
      </c>
      <c r="G11" s="125">
        <v>474</v>
      </c>
      <c r="H11" s="125">
        <v>53</v>
      </c>
      <c r="I11" s="125">
        <v>187</v>
      </c>
      <c r="J11" s="125">
        <v>211</v>
      </c>
      <c r="K11" s="125">
        <v>229</v>
      </c>
      <c r="L11" s="125">
        <v>129</v>
      </c>
      <c r="M11" s="125">
        <v>64</v>
      </c>
      <c r="N11" s="126">
        <f>SUM(B11:M11)</f>
        <v>1852</v>
      </c>
      <c r="O11" s="74">
        <v>1986</v>
      </c>
      <c r="P11" s="75">
        <f>O11/N11</f>
        <v>1.0723542116630669</v>
      </c>
      <c r="Q11" s="2"/>
    </row>
    <row r="12" spans="1:17" ht="12.75" customHeight="1">
      <c r="A12" s="2"/>
      <c r="B12" s="43"/>
      <c r="C12" s="43"/>
      <c r="D12" s="43"/>
      <c r="E12" s="43"/>
      <c r="F12" s="43"/>
      <c r="G12" s="43"/>
      <c r="H12" s="43"/>
      <c r="I12" s="43"/>
      <c r="J12" s="43"/>
      <c r="K12" s="43"/>
      <c r="L12" s="43"/>
      <c r="M12" s="43"/>
      <c r="N12" s="43"/>
    </row>
    <row r="13" spans="1:17" ht="12.75" customHeight="1">
      <c r="A13" s="2"/>
    </row>
    <row r="15" spans="1:17" ht="12.75" customHeight="1">
      <c r="A15" s="2"/>
    </row>
    <row r="16" spans="1:17" ht="12.75" customHeight="1">
      <c r="A16" s="2"/>
    </row>
    <row r="17" spans="1:9" ht="12.75" customHeight="1">
      <c r="A17" s="2"/>
    </row>
    <row r="18" spans="1:9" ht="12.75" customHeight="1">
      <c r="A18" s="2"/>
      <c r="I18" s="127"/>
    </row>
    <row r="19" spans="1:9" ht="12.75" customHeight="1">
      <c r="A19" s="2"/>
      <c r="I19" s="128"/>
    </row>
    <row r="20" spans="1:9" ht="12.75" customHeight="1">
      <c r="A20" s="2"/>
      <c r="I20" s="128"/>
    </row>
    <row r="21" spans="1:9" ht="12.75" customHeight="1">
      <c r="A21" s="2"/>
      <c r="I21" s="128"/>
    </row>
    <row r="22" spans="1:9" ht="12.75" customHeight="1">
      <c r="A22" s="2"/>
      <c r="I22" s="128"/>
    </row>
    <row r="23" spans="1:9" ht="12.75" customHeight="1">
      <c r="A23" s="2"/>
    </row>
  </sheetData>
  <mergeCells count="1">
    <mergeCell ref="O7:P7"/>
  </mergeCells>
  <pageMargins left="0.75" right="0.75" top="1" bottom="1" header="0.5" footer="0.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dimension ref="A1:Q23"/>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30.85546875" customWidth="1"/>
    <col min="2" max="2" width="7.85546875" customWidth="1"/>
    <col min="3" max="3" width="8.7109375" customWidth="1"/>
    <col min="4" max="4" width="8" customWidth="1"/>
    <col min="5" max="5" width="8.85546875" customWidth="1"/>
    <col min="6" max="6" width="8.5703125" customWidth="1"/>
    <col min="7" max="7" width="9.140625" customWidth="1"/>
    <col min="8" max="8" width="7.85546875" customWidth="1"/>
    <col min="9" max="9" width="8.28515625" customWidth="1"/>
    <col min="10" max="10" width="9.42578125" customWidth="1"/>
    <col min="11" max="11" width="9" customWidth="1"/>
    <col min="12" max="12" width="9.28515625" customWidth="1"/>
    <col min="13" max="13" width="9" customWidth="1"/>
    <col min="14" max="14" width="10.28515625" customWidth="1"/>
    <col min="15" max="15" width="10.140625" customWidth="1"/>
    <col min="16" max="16" width="8.5703125" customWidth="1"/>
    <col min="17" max="17" width="9.140625" customWidth="1"/>
  </cols>
  <sheetData>
    <row r="1" spans="1:17" ht="19.5" customHeight="1">
      <c r="A1" s="1" t="s">
        <v>74</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row>
    <row r="4" spans="1:17" ht="12.75" customHeight="1">
      <c r="A4" s="2" t="s">
        <v>18</v>
      </c>
      <c r="B4" s="2" t="s">
        <v>148</v>
      </c>
    </row>
    <row r="5" spans="1:17" ht="12.75" customHeight="1">
      <c r="A5" s="5"/>
      <c r="B5" s="6"/>
      <c r="C5" s="6"/>
      <c r="D5" s="6"/>
      <c r="E5" s="6"/>
      <c r="F5" s="6"/>
      <c r="G5" s="6"/>
      <c r="H5" s="6"/>
      <c r="I5" s="6"/>
      <c r="J5" s="6"/>
      <c r="K5" s="6"/>
      <c r="L5" s="6"/>
      <c r="M5" s="6"/>
      <c r="N5" s="6"/>
      <c r="O5" s="6"/>
      <c r="P5" s="6"/>
    </row>
    <row r="6" spans="1:17" ht="28.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74</v>
      </c>
      <c r="B7" s="68"/>
      <c r="C7" s="68"/>
      <c r="D7" s="68"/>
      <c r="E7" s="68"/>
      <c r="F7" s="68"/>
      <c r="G7" s="68"/>
      <c r="H7" s="68"/>
      <c r="I7" s="68"/>
      <c r="J7" s="68"/>
      <c r="K7" s="68"/>
      <c r="L7" s="68"/>
      <c r="M7" s="68"/>
      <c r="N7" s="68"/>
      <c r="O7" s="43"/>
      <c r="P7" s="43"/>
    </row>
    <row r="8" spans="1:17" ht="12.75" customHeight="1">
      <c r="A8" s="71" t="s">
        <v>87</v>
      </c>
      <c r="B8" s="72"/>
      <c r="C8" s="72"/>
      <c r="D8" s="72">
        <v>64</v>
      </c>
      <c r="E8" s="72">
        <v>0</v>
      </c>
      <c r="F8" s="72">
        <v>4</v>
      </c>
      <c r="G8" s="72">
        <v>31</v>
      </c>
      <c r="H8" s="23">
        <v>0</v>
      </c>
      <c r="I8" s="23">
        <v>740</v>
      </c>
      <c r="J8" s="23">
        <v>63</v>
      </c>
      <c r="K8" s="23">
        <v>36</v>
      </c>
      <c r="L8" s="23">
        <v>0</v>
      </c>
      <c r="M8" s="23">
        <v>0</v>
      </c>
      <c r="N8" s="73">
        <f t="shared" ref="N8:N17" si="0">SUM(B8:M8)</f>
        <v>938</v>
      </c>
      <c r="O8" s="74">
        <v>8750</v>
      </c>
      <c r="P8" s="75">
        <f t="shared" ref="P8:P17" si="1">O8/N8</f>
        <v>9.3283582089552244</v>
      </c>
    </row>
    <row r="9" spans="1:17" ht="12.75" customHeight="1">
      <c r="A9" s="71" t="s">
        <v>279</v>
      </c>
      <c r="B9" s="72"/>
      <c r="C9" s="72"/>
      <c r="D9" s="72">
        <v>74</v>
      </c>
      <c r="E9" s="72">
        <v>0</v>
      </c>
      <c r="F9" s="72">
        <v>4</v>
      </c>
      <c r="G9" s="72">
        <v>31</v>
      </c>
      <c r="H9" s="23">
        <v>0</v>
      </c>
      <c r="I9" s="23">
        <v>757</v>
      </c>
      <c r="J9" s="23">
        <v>68</v>
      </c>
      <c r="K9" s="23">
        <v>72</v>
      </c>
      <c r="L9" s="23">
        <v>0</v>
      </c>
      <c r="M9" s="23">
        <v>0</v>
      </c>
      <c r="N9" s="73">
        <f t="shared" si="0"/>
        <v>1006</v>
      </c>
      <c r="O9" s="74">
        <v>8750</v>
      </c>
      <c r="P9" s="75">
        <f t="shared" si="1"/>
        <v>8.6978131212723664</v>
      </c>
    </row>
    <row r="10" spans="1:17" ht="12.75" customHeight="1">
      <c r="A10" s="71" t="s">
        <v>213</v>
      </c>
      <c r="B10" s="72"/>
      <c r="C10" s="72"/>
      <c r="D10" s="72">
        <v>74</v>
      </c>
      <c r="E10" s="72">
        <v>0</v>
      </c>
      <c r="F10" s="72">
        <v>4</v>
      </c>
      <c r="G10" s="72">
        <v>13</v>
      </c>
      <c r="H10" s="23">
        <v>0</v>
      </c>
      <c r="I10" s="23">
        <v>757</v>
      </c>
      <c r="J10" s="23">
        <v>54</v>
      </c>
      <c r="K10" s="23">
        <v>34</v>
      </c>
      <c r="L10" s="23">
        <v>0</v>
      </c>
      <c r="M10" s="23">
        <v>0</v>
      </c>
      <c r="N10" s="73">
        <f t="shared" si="0"/>
        <v>936</v>
      </c>
      <c r="O10" s="74">
        <v>8750</v>
      </c>
      <c r="P10" s="75">
        <f t="shared" si="1"/>
        <v>9.3482905982905979</v>
      </c>
    </row>
    <row r="11" spans="1:17" ht="12.75" customHeight="1">
      <c r="A11" s="71" t="s">
        <v>378</v>
      </c>
      <c r="B11" s="72"/>
      <c r="C11" s="72"/>
      <c r="D11" s="72">
        <v>38</v>
      </c>
      <c r="E11" s="72">
        <v>0</v>
      </c>
      <c r="F11" s="72">
        <v>1</v>
      </c>
      <c r="G11" s="72">
        <v>11</v>
      </c>
      <c r="H11" s="23">
        <v>0</v>
      </c>
      <c r="I11" s="23">
        <v>163</v>
      </c>
      <c r="J11" s="23">
        <v>10</v>
      </c>
      <c r="K11" s="23">
        <v>11</v>
      </c>
      <c r="L11" s="23">
        <v>0</v>
      </c>
      <c r="M11" s="23">
        <v>0</v>
      </c>
      <c r="N11" s="73">
        <f t="shared" si="0"/>
        <v>234</v>
      </c>
      <c r="O11" s="74">
        <v>8750</v>
      </c>
      <c r="P11" s="75">
        <f t="shared" si="1"/>
        <v>37.393162393162392</v>
      </c>
    </row>
    <row r="12" spans="1:17" ht="12.75" customHeight="1">
      <c r="A12" s="71" t="s">
        <v>199</v>
      </c>
      <c r="B12" s="72"/>
      <c r="C12" s="72"/>
      <c r="D12" s="72">
        <v>40</v>
      </c>
      <c r="E12" s="72">
        <v>0</v>
      </c>
      <c r="F12" s="72">
        <v>1</v>
      </c>
      <c r="G12" s="72">
        <v>11</v>
      </c>
      <c r="H12" s="23">
        <v>0</v>
      </c>
      <c r="I12" s="23">
        <v>169</v>
      </c>
      <c r="J12" s="23">
        <v>10</v>
      </c>
      <c r="K12" s="23">
        <v>12</v>
      </c>
      <c r="L12" s="23">
        <v>0</v>
      </c>
      <c r="M12" s="23">
        <v>0</v>
      </c>
      <c r="N12" s="73">
        <f t="shared" si="0"/>
        <v>243</v>
      </c>
      <c r="O12" s="74">
        <v>8750</v>
      </c>
      <c r="P12" s="75">
        <f t="shared" si="1"/>
        <v>36.008230452674894</v>
      </c>
    </row>
    <row r="13" spans="1:17" ht="12.75" customHeight="1">
      <c r="A13" s="71" t="s">
        <v>68</v>
      </c>
      <c r="B13" s="72"/>
      <c r="C13" s="72"/>
      <c r="D13" s="72">
        <v>40</v>
      </c>
      <c r="E13" s="72">
        <v>0</v>
      </c>
      <c r="F13" s="72">
        <v>1</v>
      </c>
      <c r="G13" s="72">
        <v>1</v>
      </c>
      <c r="H13" s="23">
        <v>0</v>
      </c>
      <c r="I13" s="23">
        <v>169</v>
      </c>
      <c r="J13" s="23">
        <v>8</v>
      </c>
      <c r="K13" s="23">
        <v>4</v>
      </c>
      <c r="L13" s="23">
        <v>0</v>
      </c>
      <c r="M13" s="23">
        <v>0</v>
      </c>
      <c r="N13" s="73">
        <f t="shared" si="0"/>
        <v>223</v>
      </c>
      <c r="O13" s="74">
        <v>8750</v>
      </c>
      <c r="P13" s="75">
        <f t="shared" si="1"/>
        <v>39.237668161434975</v>
      </c>
    </row>
    <row r="14" spans="1:17" ht="12.75" customHeight="1">
      <c r="A14" s="71" t="s">
        <v>370</v>
      </c>
      <c r="B14" s="72"/>
      <c r="C14" s="72"/>
      <c r="D14" s="72">
        <v>6</v>
      </c>
      <c r="E14" s="72">
        <v>0</v>
      </c>
      <c r="F14" s="72">
        <v>1</v>
      </c>
      <c r="G14" s="72">
        <v>4</v>
      </c>
      <c r="H14" s="23">
        <v>0</v>
      </c>
      <c r="I14" s="23">
        <v>12</v>
      </c>
      <c r="J14" s="23">
        <v>8</v>
      </c>
      <c r="K14" s="23">
        <v>7</v>
      </c>
      <c r="L14" s="23">
        <v>0</v>
      </c>
      <c r="M14" s="23">
        <v>0</v>
      </c>
      <c r="N14" s="73">
        <f t="shared" si="0"/>
        <v>38</v>
      </c>
      <c r="O14" s="74">
        <v>8750</v>
      </c>
      <c r="P14" s="75">
        <f t="shared" si="1"/>
        <v>230.26315789473685</v>
      </c>
    </row>
    <row r="15" spans="1:17" ht="12.75" customHeight="1">
      <c r="A15" s="71" t="s">
        <v>411</v>
      </c>
      <c r="B15" s="72"/>
      <c r="C15" s="72"/>
      <c r="D15" s="72">
        <v>7</v>
      </c>
      <c r="E15" s="72">
        <v>0</v>
      </c>
      <c r="F15" s="72">
        <v>1</v>
      </c>
      <c r="G15" s="72">
        <v>4</v>
      </c>
      <c r="H15" s="23">
        <v>0</v>
      </c>
      <c r="I15" s="23">
        <v>16</v>
      </c>
      <c r="J15" s="23">
        <v>8</v>
      </c>
      <c r="K15" s="23">
        <v>8</v>
      </c>
      <c r="L15" s="23">
        <v>0</v>
      </c>
      <c r="M15" s="23">
        <v>0</v>
      </c>
      <c r="N15" s="73">
        <f t="shared" si="0"/>
        <v>44</v>
      </c>
      <c r="O15" s="74">
        <v>8750</v>
      </c>
      <c r="P15" s="75">
        <f t="shared" si="1"/>
        <v>198.86363636363637</v>
      </c>
    </row>
    <row r="16" spans="1:17" ht="12.75" customHeight="1">
      <c r="A16" s="71" t="s">
        <v>149</v>
      </c>
      <c r="B16" s="72"/>
      <c r="C16" s="72"/>
      <c r="D16" s="72">
        <v>7</v>
      </c>
      <c r="E16" s="72">
        <v>0</v>
      </c>
      <c r="F16" s="72">
        <v>1</v>
      </c>
      <c r="G16" s="72">
        <v>1</v>
      </c>
      <c r="H16" s="23">
        <v>0</v>
      </c>
      <c r="I16" s="23">
        <v>16</v>
      </c>
      <c r="J16" s="23">
        <v>6</v>
      </c>
      <c r="K16" s="23">
        <v>4</v>
      </c>
      <c r="L16" s="23">
        <v>0</v>
      </c>
      <c r="M16" s="23">
        <v>0</v>
      </c>
      <c r="N16" s="73">
        <f t="shared" si="0"/>
        <v>35</v>
      </c>
      <c r="O16" s="74">
        <v>8750</v>
      </c>
      <c r="P16" s="75">
        <f t="shared" si="1"/>
        <v>250</v>
      </c>
    </row>
    <row r="17" spans="1:16" ht="12.75" customHeight="1">
      <c r="A17" s="71" t="s">
        <v>332</v>
      </c>
      <c r="B17" s="23"/>
      <c r="C17" s="23"/>
      <c r="D17" s="23">
        <v>2</v>
      </c>
      <c r="E17" s="23">
        <v>0</v>
      </c>
      <c r="F17" s="23">
        <v>1</v>
      </c>
      <c r="G17" s="23">
        <v>2</v>
      </c>
      <c r="H17" s="23">
        <v>0</v>
      </c>
      <c r="I17" s="23">
        <v>1</v>
      </c>
      <c r="J17" s="23">
        <v>6</v>
      </c>
      <c r="K17" s="23">
        <v>6</v>
      </c>
      <c r="L17" s="23">
        <v>0</v>
      </c>
      <c r="M17" s="23">
        <v>0</v>
      </c>
      <c r="N17" s="73">
        <f t="shared" si="0"/>
        <v>18</v>
      </c>
      <c r="O17" s="74">
        <v>8750</v>
      </c>
      <c r="P17" s="75">
        <f t="shared" si="1"/>
        <v>486.11111111111109</v>
      </c>
    </row>
    <row r="18" spans="1:16" ht="12.75" customHeight="1">
      <c r="A18" s="2"/>
      <c r="B18" s="43"/>
      <c r="C18" s="43"/>
      <c r="D18" s="43"/>
      <c r="E18" s="43"/>
      <c r="F18" s="43"/>
      <c r="G18" s="43"/>
      <c r="H18" s="43"/>
      <c r="I18" s="43"/>
      <c r="J18" s="43"/>
      <c r="K18" s="43"/>
      <c r="L18" s="43"/>
      <c r="M18" s="43"/>
      <c r="N18" s="43"/>
    </row>
    <row r="19" spans="1:16" ht="12.75" customHeight="1">
      <c r="A19" s="2"/>
    </row>
    <row r="20" spans="1:16" ht="12.75" customHeight="1">
      <c r="A20" s="2"/>
      <c r="I20" s="128"/>
    </row>
    <row r="21" spans="1:16" ht="12.75" customHeight="1">
      <c r="A21" s="2"/>
      <c r="I21" s="128"/>
    </row>
    <row r="22" spans="1:16" ht="12.75" customHeight="1">
      <c r="A22" s="179" t="s">
        <v>130</v>
      </c>
      <c r="B22" s="181"/>
      <c r="C22" s="181"/>
      <c r="D22" s="181"/>
      <c r="E22" s="181"/>
      <c r="F22" s="181"/>
      <c r="I22" s="128"/>
    </row>
    <row r="23" spans="1:16" ht="12.75" customHeight="1">
      <c r="A23" s="2"/>
    </row>
  </sheetData>
  <mergeCells count="1">
    <mergeCell ref="A22:F22"/>
  </mergeCells>
  <pageMargins left="0.75" right="0.75" top="1" bottom="1" header="0.5" footer="0.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dimension ref="A1:P100"/>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1.42578125" customWidth="1"/>
    <col min="2" max="14" width="9.140625" customWidth="1"/>
    <col min="15" max="15" width="10.42578125" customWidth="1"/>
    <col min="16" max="20" width="9.140625" customWidth="1"/>
  </cols>
  <sheetData>
    <row r="1" spans="1:16" ht="12.75" customHeight="1">
      <c r="A1" s="185" t="s">
        <v>383</v>
      </c>
      <c r="B1" s="193"/>
      <c r="C1" s="193"/>
      <c r="D1" s="193"/>
    </row>
    <row r="2" spans="1:16" ht="12.75" customHeight="1">
      <c r="A2" s="185" t="s">
        <v>342</v>
      </c>
      <c r="B2" s="193"/>
      <c r="C2" s="193"/>
      <c r="D2" s="129"/>
    </row>
    <row r="3" spans="1:16" ht="12.75" customHeight="1">
      <c r="A3" s="2"/>
    </row>
    <row r="4" spans="1:16" ht="12.75" customHeight="1">
      <c r="A4" s="49" t="s">
        <v>176</v>
      </c>
      <c r="B4" s="49" t="s">
        <v>148</v>
      </c>
    </row>
    <row r="5" spans="1:16" ht="12.75" customHeight="1">
      <c r="A5" s="5"/>
      <c r="B5" s="6"/>
      <c r="C5" s="6"/>
      <c r="D5" s="6"/>
      <c r="E5" s="6"/>
      <c r="F5" s="6"/>
      <c r="G5" s="6"/>
      <c r="H5" s="6"/>
      <c r="I5" s="6"/>
      <c r="J5" s="6"/>
      <c r="K5" s="6"/>
      <c r="L5" s="6"/>
      <c r="M5" s="6"/>
      <c r="N5" s="6"/>
      <c r="O5" s="6"/>
      <c r="P5" s="6"/>
    </row>
    <row r="6" spans="1:16"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6" ht="12.75" customHeight="1">
      <c r="A7" s="67" t="s">
        <v>383</v>
      </c>
      <c r="B7" s="68"/>
      <c r="C7" s="68"/>
      <c r="D7" s="68"/>
      <c r="E7" s="68"/>
      <c r="F7" s="68"/>
      <c r="G7" s="68"/>
      <c r="H7" s="68"/>
      <c r="I7" s="68"/>
      <c r="J7" s="68"/>
      <c r="K7" s="68"/>
      <c r="L7" s="68"/>
      <c r="M7" s="68"/>
      <c r="N7" s="68"/>
      <c r="O7" s="43"/>
      <c r="P7" s="43"/>
    </row>
    <row r="8" spans="1:16" ht="12.75" customHeight="1">
      <c r="A8" s="71" t="s">
        <v>204</v>
      </c>
      <c r="B8" s="72">
        <v>2</v>
      </c>
      <c r="C8" s="72">
        <v>1</v>
      </c>
      <c r="D8" s="72">
        <v>2</v>
      </c>
      <c r="E8" s="72">
        <v>52</v>
      </c>
      <c r="F8" s="72">
        <v>20</v>
      </c>
      <c r="G8" s="72">
        <v>5</v>
      </c>
      <c r="H8" s="23">
        <v>3</v>
      </c>
      <c r="I8" s="23">
        <v>26</v>
      </c>
      <c r="J8" s="23">
        <v>9</v>
      </c>
      <c r="K8" s="23">
        <v>7</v>
      </c>
      <c r="L8" s="23">
        <v>1</v>
      </c>
      <c r="M8" s="23">
        <v>2</v>
      </c>
      <c r="N8" s="73">
        <f>SUM(B8:M8)</f>
        <v>130</v>
      </c>
      <c r="O8" s="74">
        <v>1850</v>
      </c>
      <c r="P8" s="75">
        <f>O8/N8</f>
        <v>14.23076923076923</v>
      </c>
    </row>
    <row r="9" spans="1:16" ht="12.75" customHeight="1">
      <c r="A9" s="71" t="s">
        <v>241</v>
      </c>
      <c r="B9" s="23">
        <v>3</v>
      </c>
      <c r="C9" s="23">
        <v>5</v>
      </c>
      <c r="D9" s="23">
        <v>9</v>
      </c>
      <c r="E9" s="23">
        <v>117</v>
      </c>
      <c r="F9" s="23">
        <v>55</v>
      </c>
      <c r="G9" s="23">
        <v>14</v>
      </c>
      <c r="H9" s="23">
        <v>12</v>
      </c>
      <c r="I9" s="23">
        <v>95</v>
      </c>
      <c r="J9" s="23">
        <v>27</v>
      </c>
      <c r="K9" s="23">
        <v>25</v>
      </c>
      <c r="L9" s="23">
        <v>3</v>
      </c>
      <c r="M9" s="23">
        <v>5</v>
      </c>
      <c r="N9" s="73">
        <f>SUM(B9:M9)</f>
        <v>370</v>
      </c>
      <c r="O9" s="74"/>
      <c r="P9" s="75"/>
    </row>
    <row r="10" spans="1:16" ht="12.75" customHeight="1">
      <c r="A10" s="2"/>
      <c r="B10" s="43"/>
      <c r="C10" s="43"/>
      <c r="D10" s="43"/>
      <c r="E10" s="43"/>
      <c r="F10" s="43"/>
      <c r="G10" s="43"/>
      <c r="H10" s="43"/>
      <c r="I10" s="43"/>
      <c r="J10" s="43"/>
      <c r="K10" s="43"/>
      <c r="L10" s="43"/>
      <c r="M10" s="43"/>
      <c r="N10" s="43"/>
    </row>
    <row r="100" spans="1:1" ht="12.75" customHeight="1">
      <c r="A100" s="2" t="s">
        <v>375</v>
      </c>
    </row>
  </sheetData>
  <mergeCells count="2">
    <mergeCell ref="A1:D1"/>
    <mergeCell ref="A2:C2"/>
  </mergeCells>
  <pageMargins left="0.75" right="0.75" top="1" bottom="1" header="0.5" footer="0.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dimension ref="A1:Q13"/>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1" customWidth="1"/>
    <col min="2" max="9" width="8.85546875" customWidth="1"/>
    <col min="10" max="13" width="9.42578125" customWidth="1"/>
    <col min="14" max="14" width="9" customWidth="1"/>
    <col min="15" max="15" width="10.5703125" customWidth="1"/>
    <col min="16" max="16" width="10.28515625" customWidth="1"/>
    <col min="17" max="20" width="17.140625" customWidth="1"/>
  </cols>
  <sheetData>
    <row r="1" spans="1:17" ht="12.75" customHeight="1">
      <c r="A1" s="1" t="s">
        <v>184</v>
      </c>
      <c r="B1" s="2"/>
      <c r="C1" s="2"/>
      <c r="D1" s="2"/>
      <c r="E1" s="2"/>
      <c r="F1" s="2"/>
      <c r="G1" s="2"/>
      <c r="H1" s="2"/>
      <c r="I1" s="2"/>
      <c r="J1" s="2"/>
      <c r="K1" s="2"/>
      <c r="L1" s="2"/>
      <c r="M1" s="2"/>
      <c r="N1" s="2"/>
      <c r="O1" s="2"/>
      <c r="P1" s="2"/>
      <c r="Q1" s="2"/>
    </row>
    <row r="2" spans="1:17" ht="12.75"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148</v>
      </c>
      <c r="O4" s="2"/>
    </row>
    <row r="5" spans="1:17" ht="12.75" customHeight="1">
      <c r="A5" s="5"/>
      <c r="B5" s="6"/>
      <c r="C5" s="6"/>
      <c r="D5" s="6"/>
      <c r="E5" s="6"/>
      <c r="F5" s="6"/>
      <c r="G5" s="6"/>
      <c r="H5" s="6"/>
      <c r="I5" s="6"/>
      <c r="J5" s="6"/>
      <c r="K5" s="6"/>
      <c r="L5" s="6"/>
      <c r="M5" s="6"/>
      <c r="N5" s="6"/>
      <c r="O5" s="5"/>
      <c r="P5" s="6"/>
    </row>
    <row r="6" spans="1:17"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244</v>
      </c>
      <c r="B7" s="112"/>
      <c r="C7" s="112"/>
      <c r="D7" s="112"/>
      <c r="E7" s="112"/>
      <c r="F7" s="112"/>
      <c r="G7" s="112"/>
      <c r="H7" s="112"/>
      <c r="I7" s="112"/>
      <c r="J7" s="112"/>
      <c r="K7" s="112"/>
      <c r="L7" s="112"/>
      <c r="M7" s="112"/>
      <c r="N7" s="112"/>
      <c r="O7" s="42"/>
      <c r="P7" s="87"/>
    </row>
    <row r="8" spans="1:17" ht="12.75" customHeight="1">
      <c r="A8" s="71" t="s">
        <v>115</v>
      </c>
      <c r="B8" s="72">
        <v>119</v>
      </c>
      <c r="C8" s="72">
        <v>291</v>
      </c>
      <c r="D8" s="72">
        <v>427</v>
      </c>
      <c r="E8" s="72">
        <v>574</v>
      </c>
      <c r="F8" s="72">
        <v>463</v>
      </c>
      <c r="G8" s="72">
        <v>426</v>
      </c>
      <c r="H8" s="23">
        <v>476</v>
      </c>
      <c r="I8" s="23">
        <v>1107</v>
      </c>
      <c r="J8" s="23">
        <v>950</v>
      </c>
      <c r="K8" s="23">
        <v>626</v>
      </c>
      <c r="L8" s="23">
        <v>524</v>
      </c>
      <c r="M8" s="23">
        <v>707</v>
      </c>
      <c r="N8" s="73">
        <f>SUM(B8:M8)</f>
        <v>6690</v>
      </c>
      <c r="O8" s="74">
        <v>0</v>
      </c>
      <c r="P8" s="75" t="s">
        <v>228</v>
      </c>
    </row>
    <row r="9" spans="1:17" ht="12.75" customHeight="1">
      <c r="A9" s="71" t="s">
        <v>204</v>
      </c>
      <c r="B9" s="72">
        <v>492</v>
      </c>
      <c r="C9" s="72">
        <v>630</v>
      </c>
      <c r="D9" s="72">
        <v>802</v>
      </c>
      <c r="E9" s="72">
        <v>1458</v>
      </c>
      <c r="F9" s="72">
        <v>946</v>
      </c>
      <c r="G9" s="72">
        <v>691</v>
      </c>
      <c r="H9" s="23">
        <v>775</v>
      </c>
      <c r="I9" s="23">
        <v>2043</v>
      </c>
      <c r="J9" s="23">
        <v>2030</v>
      </c>
      <c r="K9" s="23">
        <v>1552</v>
      </c>
      <c r="L9" s="23">
        <v>1219</v>
      </c>
      <c r="M9" s="23">
        <v>1759</v>
      </c>
      <c r="N9" s="73">
        <f>SUM(B9:M9)</f>
        <v>14397</v>
      </c>
      <c r="O9" s="74">
        <v>0</v>
      </c>
      <c r="P9" s="75" t="s">
        <v>228</v>
      </c>
    </row>
    <row r="10" spans="1:17" ht="12.75" customHeight="1">
      <c r="A10" s="71" t="s">
        <v>193</v>
      </c>
      <c r="B10" s="72">
        <v>614</v>
      </c>
      <c r="C10" s="16">
        <v>758</v>
      </c>
      <c r="D10" s="16">
        <v>1131</v>
      </c>
      <c r="E10" s="16">
        <v>2193</v>
      </c>
      <c r="F10" s="16">
        <v>1491</v>
      </c>
      <c r="G10" s="16">
        <v>954</v>
      </c>
      <c r="H10" s="16">
        <v>1145</v>
      </c>
      <c r="I10" s="16">
        <v>2319</v>
      </c>
      <c r="J10" s="16">
        <v>2425</v>
      </c>
      <c r="K10" s="16">
        <v>1658</v>
      </c>
      <c r="L10" s="16">
        <v>1684</v>
      </c>
      <c r="M10" s="16">
        <v>2319</v>
      </c>
      <c r="N10" s="73">
        <f>SUM(B10:M10)</f>
        <v>18691</v>
      </c>
      <c r="O10" s="74">
        <v>0</v>
      </c>
      <c r="P10" s="75" t="s">
        <v>228</v>
      </c>
    </row>
    <row r="11" spans="1:17" ht="12.75" customHeight="1">
      <c r="A11" s="2"/>
      <c r="B11" s="43"/>
      <c r="C11" s="43"/>
      <c r="D11" s="43"/>
      <c r="E11" s="43"/>
      <c r="F11" s="43"/>
      <c r="G11" s="43"/>
      <c r="H11" s="43"/>
      <c r="I11" s="43"/>
      <c r="J11" s="43"/>
      <c r="K11" s="43"/>
      <c r="L11" s="43"/>
      <c r="M11" s="43"/>
      <c r="N11" s="43"/>
      <c r="O11" s="2"/>
    </row>
    <row r="12" spans="1:17" ht="12.75" customHeight="1">
      <c r="A12" s="2"/>
      <c r="O12" s="2"/>
    </row>
    <row r="13" spans="1:17" ht="12.75" customHeight="1">
      <c r="O13" s="2"/>
    </row>
  </sheetData>
  <pageMargins left="0.75" right="0.75" top="1" bottom="1" header="0.5" footer="0.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dimension ref="A1:Q18"/>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0.5703125" customWidth="1"/>
    <col min="2" max="14" width="8.5703125" customWidth="1"/>
    <col min="15" max="15" width="10.85546875" customWidth="1"/>
    <col min="16" max="16" width="8.5703125" customWidth="1"/>
    <col min="17" max="17" width="9.140625" customWidth="1"/>
  </cols>
  <sheetData>
    <row r="1" spans="1:17" ht="19.5" customHeight="1">
      <c r="A1" s="1" t="s">
        <v>356</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187</v>
      </c>
      <c r="O4" s="2"/>
    </row>
    <row r="5" spans="1:17" ht="12.75" customHeight="1">
      <c r="A5" s="5"/>
      <c r="B5" s="6"/>
      <c r="C5" s="6"/>
      <c r="D5" s="6"/>
      <c r="E5" s="6"/>
      <c r="F5" s="6"/>
      <c r="G5" s="6"/>
      <c r="H5" s="6"/>
      <c r="I5" s="6"/>
      <c r="J5" s="6"/>
      <c r="K5" s="6"/>
      <c r="L5" s="6"/>
      <c r="M5" s="6"/>
      <c r="N5" s="6"/>
      <c r="O5" s="5"/>
      <c r="P5" s="6"/>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131</v>
      </c>
      <c r="B7" s="112"/>
      <c r="C7" s="112"/>
      <c r="D7" s="112"/>
      <c r="E7" s="112"/>
      <c r="F7" s="112"/>
      <c r="G7" s="112"/>
      <c r="H7" s="112"/>
      <c r="I7" s="112"/>
      <c r="J7" s="112"/>
      <c r="K7" s="112"/>
      <c r="L7" s="112"/>
      <c r="M7" s="112"/>
      <c r="N7" s="112"/>
      <c r="O7" s="42"/>
      <c r="P7" s="87"/>
    </row>
    <row r="8" spans="1:17" ht="12.75" customHeight="1">
      <c r="A8" s="71" t="s">
        <v>253</v>
      </c>
      <c r="B8" s="40">
        <v>1593</v>
      </c>
      <c r="C8" s="40">
        <v>408</v>
      </c>
      <c r="D8" s="39">
        <v>1547</v>
      </c>
      <c r="E8" s="39">
        <v>3973</v>
      </c>
      <c r="F8" s="39">
        <v>4830</v>
      </c>
      <c r="G8" s="39">
        <v>2861</v>
      </c>
      <c r="H8" s="12">
        <v>1309</v>
      </c>
      <c r="I8" s="12">
        <v>2360</v>
      </c>
      <c r="J8" s="12">
        <v>5024</v>
      </c>
      <c r="K8" s="12">
        <v>6066</v>
      </c>
      <c r="L8" s="12">
        <v>1700</v>
      </c>
      <c r="M8" s="39">
        <v>842</v>
      </c>
      <c r="N8" s="73">
        <f>SUM(B8:M8)</f>
        <v>32513</v>
      </c>
      <c r="O8" s="10"/>
      <c r="P8" s="2"/>
    </row>
    <row r="9" spans="1:17" ht="12.75" customHeight="1">
      <c r="A9" s="71" t="s">
        <v>204</v>
      </c>
      <c r="B9" s="72">
        <v>1221</v>
      </c>
      <c r="C9" s="72">
        <v>285</v>
      </c>
      <c r="D9" s="72">
        <v>1181</v>
      </c>
      <c r="E9" s="72">
        <v>3295</v>
      </c>
      <c r="F9" s="72">
        <v>3719</v>
      </c>
      <c r="G9" s="72">
        <v>2115</v>
      </c>
      <c r="H9" s="23">
        <v>760</v>
      </c>
      <c r="I9" s="23">
        <v>1762</v>
      </c>
      <c r="J9" s="23">
        <v>4302</v>
      </c>
      <c r="K9" s="23">
        <v>4314</v>
      </c>
      <c r="L9" s="23">
        <v>1421</v>
      </c>
      <c r="M9" s="23">
        <v>682</v>
      </c>
      <c r="N9" s="73">
        <f>SUM(B9:M9)</f>
        <v>25057</v>
      </c>
      <c r="O9" s="74">
        <v>25295.63</v>
      </c>
      <c r="P9" s="75">
        <f>O9/N9</f>
        <v>1.009523486450892</v>
      </c>
    </row>
    <row r="10" spans="1:17" ht="12.75" customHeight="1">
      <c r="A10" s="2"/>
      <c r="B10" s="87"/>
      <c r="C10" s="92"/>
      <c r="D10" s="92"/>
      <c r="E10" s="92"/>
      <c r="F10" s="92"/>
      <c r="G10" s="92"/>
      <c r="H10" s="115"/>
      <c r="I10" s="115"/>
      <c r="J10" s="115"/>
      <c r="K10" s="115"/>
      <c r="L10" s="115"/>
      <c r="M10" s="115"/>
      <c r="N10" s="43"/>
      <c r="O10" s="75"/>
      <c r="P10" s="75"/>
    </row>
    <row r="11" spans="1:17" ht="12.75" customHeight="1">
      <c r="A11" s="5"/>
      <c r="B11" s="89"/>
      <c r="C11" s="95"/>
      <c r="D11" s="95"/>
      <c r="E11" s="95"/>
      <c r="F11" s="95"/>
      <c r="G11" s="95"/>
      <c r="H11" s="113"/>
      <c r="I11" s="113"/>
      <c r="J11" s="113"/>
      <c r="K11" s="113"/>
      <c r="L11" s="113"/>
      <c r="M11" s="113"/>
      <c r="N11" s="6"/>
      <c r="O11" s="90"/>
      <c r="P11" s="90"/>
    </row>
    <row r="12" spans="1:17" ht="12.75" customHeight="1">
      <c r="A12" s="58"/>
      <c r="B12" s="59">
        <v>39995</v>
      </c>
      <c r="C12" s="59">
        <v>40026</v>
      </c>
      <c r="D12" s="59">
        <v>40057</v>
      </c>
      <c r="E12" s="59">
        <v>40087</v>
      </c>
      <c r="F12" s="59">
        <v>40118</v>
      </c>
      <c r="G12" s="59">
        <v>40148</v>
      </c>
      <c r="H12" s="59">
        <v>40179</v>
      </c>
      <c r="I12" s="59">
        <v>40210</v>
      </c>
      <c r="J12" s="59">
        <v>40238</v>
      </c>
      <c r="K12" s="59">
        <v>40269</v>
      </c>
      <c r="L12" s="59">
        <v>40299</v>
      </c>
      <c r="M12" s="59">
        <v>40330</v>
      </c>
      <c r="N12" s="60" t="s">
        <v>367</v>
      </c>
      <c r="O12" s="61" t="s">
        <v>166</v>
      </c>
      <c r="P12" s="61" t="s">
        <v>171</v>
      </c>
    </row>
    <row r="13" spans="1:17" ht="12.75" customHeight="1">
      <c r="A13" s="67" t="s">
        <v>209</v>
      </c>
      <c r="B13" s="130"/>
      <c r="C13" s="53"/>
      <c r="D13" s="53"/>
      <c r="E13" s="53"/>
      <c r="F13" s="53"/>
      <c r="G13" s="53"/>
      <c r="H13" s="53"/>
      <c r="I13" s="53"/>
      <c r="J13" s="53"/>
      <c r="K13" s="53"/>
      <c r="L13" s="53"/>
      <c r="M13" s="53"/>
      <c r="N13" s="53"/>
      <c r="O13" s="70"/>
      <c r="P13" s="70"/>
    </row>
    <row r="14" spans="1:17" ht="12.75" customHeight="1">
      <c r="A14" s="71" t="s">
        <v>253</v>
      </c>
      <c r="B14" s="131">
        <v>10</v>
      </c>
      <c r="C14" s="40">
        <v>8</v>
      </c>
      <c r="D14" s="40">
        <v>23</v>
      </c>
      <c r="E14" s="40">
        <v>30</v>
      </c>
      <c r="F14" s="40">
        <v>28</v>
      </c>
      <c r="G14" s="40">
        <v>20</v>
      </c>
      <c r="H14" s="40">
        <v>7</v>
      </c>
      <c r="I14" s="40">
        <v>13</v>
      </c>
      <c r="J14" s="40">
        <v>78</v>
      </c>
      <c r="K14" s="40">
        <v>32</v>
      </c>
      <c r="L14" s="40">
        <v>9</v>
      </c>
      <c r="M14" s="40">
        <v>7</v>
      </c>
      <c r="N14" s="73">
        <f>SUM(B14:M14)</f>
        <v>265</v>
      </c>
      <c r="O14" s="74"/>
      <c r="P14" s="75"/>
    </row>
    <row r="15" spans="1:17" ht="12.75" customHeight="1">
      <c r="A15" s="71" t="s">
        <v>204</v>
      </c>
      <c r="B15" s="23">
        <v>29</v>
      </c>
      <c r="C15" s="23">
        <v>20</v>
      </c>
      <c r="D15" s="23">
        <v>49</v>
      </c>
      <c r="E15" s="72">
        <v>70</v>
      </c>
      <c r="F15" s="72">
        <v>42</v>
      </c>
      <c r="G15" s="72">
        <v>100</v>
      </c>
      <c r="H15" s="23">
        <v>10</v>
      </c>
      <c r="I15" s="23">
        <v>28</v>
      </c>
      <c r="J15" s="23">
        <v>292</v>
      </c>
      <c r="K15" s="23">
        <v>139</v>
      </c>
      <c r="L15" s="23">
        <v>16</v>
      </c>
      <c r="M15" s="23">
        <v>26</v>
      </c>
      <c r="N15" s="73">
        <f>SUM(B15:M15)</f>
        <v>821</v>
      </c>
      <c r="O15" s="132">
        <v>7284.14</v>
      </c>
      <c r="P15" s="75">
        <f>O15/N15</f>
        <v>8.8722777101096231</v>
      </c>
    </row>
    <row r="16" spans="1:17" ht="12.75" customHeight="1">
      <c r="A16" s="2"/>
      <c r="B16" s="121"/>
      <c r="C16" s="43"/>
      <c r="D16" s="43"/>
      <c r="E16" s="43"/>
      <c r="F16" s="43"/>
      <c r="G16" s="43"/>
      <c r="H16" s="43"/>
      <c r="I16" s="43"/>
      <c r="J16" s="43"/>
      <c r="K16" s="43"/>
      <c r="L16" s="43"/>
      <c r="M16" s="43"/>
      <c r="N16" s="43"/>
      <c r="O16" s="2"/>
    </row>
    <row r="17" spans="1:15" ht="12.75" customHeight="1">
      <c r="A17" s="2"/>
      <c r="B17" s="133"/>
      <c r="O17" s="2"/>
    </row>
    <row r="18" spans="1:15" ht="12.75" customHeight="1">
      <c r="A18" s="2"/>
      <c r="O18" s="2"/>
    </row>
  </sheetData>
  <pageMargins left="0.75" right="0.75" top="1" bottom="1" header="0.5" footer="0.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dimension ref="A1:Q39"/>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1.7109375" customWidth="1"/>
    <col min="2" max="14" width="8.5703125" customWidth="1"/>
    <col min="15" max="15" width="10.5703125" customWidth="1"/>
    <col min="16" max="16" width="8.5703125" customWidth="1"/>
    <col min="17" max="17" width="9.140625" customWidth="1"/>
  </cols>
  <sheetData>
    <row r="1" spans="1:17" ht="19.5" customHeight="1">
      <c r="A1" s="1" t="s">
        <v>313</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row>
    <row r="4" spans="1:17" ht="12.75" customHeight="1">
      <c r="A4" s="2" t="s">
        <v>18</v>
      </c>
      <c r="B4" s="2" t="s">
        <v>148</v>
      </c>
    </row>
    <row r="5" spans="1:17" ht="12.75" customHeight="1">
      <c r="A5" s="5"/>
      <c r="B5" s="6"/>
      <c r="C5" s="6"/>
      <c r="D5" s="6"/>
      <c r="E5" s="6"/>
      <c r="F5" s="6"/>
      <c r="G5" s="6"/>
      <c r="H5" s="6"/>
      <c r="I5" s="6"/>
      <c r="J5" s="6"/>
      <c r="K5" s="6"/>
      <c r="L5" s="6"/>
      <c r="M5" s="6"/>
      <c r="N5" s="6"/>
      <c r="O5" s="6"/>
      <c r="P5" s="6"/>
    </row>
    <row r="6" spans="1:17" ht="30"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313</v>
      </c>
      <c r="B7" s="68"/>
      <c r="C7" s="68"/>
      <c r="D7" s="68"/>
      <c r="E7" s="68"/>
      <c r="F7" s="68"/>
      <c r="G7" s="68"/>
      <c r="H7" s="68"/>
      <c r="I7" s="68"/>
      <c r="J7" s="68"/>
      <c r="K7" s="68"/>
      <c r="L7" s="68"/>
      <c r="M7" s="68"/>
      <c r="N7" s="68"/>
      <c r="O7" s="43"/>
      <c r="P7" s="43"/>
    </row>
    <row r="8" spans="1:17" ht="12.75" customHeight="1">
      <c r="A8" s="71" t="s">
        <v>253</v>
      </c>
      <c r="B8" s="23">
        <v>284</v>
      </c>
      <c r="C8" s="23">
        <v>963</v>
      </c>
      <c r="D8" s="23">
        <v>600</v>
      </c>
      <c r="E8" s="23">
        <v>751</v>
      </c>
      <c r="F8" s="23">
        <v>995</v>
      </c>
      <c r="G8" s="23">
        <v>1199</v>
      </c>
      <c r="H8" s="23">
        <v>1065</v>
      </c>
      <c r="I8" s="23">
        <v>896</v>
      </c>
      <c r="J8" s="23">
        <v>663</v>
      </c>
      <c r="K8" s="23">
        <v>791</v>
      </c>
      <c r="L8" s="23">
        <v>596</v>
      </c>
      <c r="M8" s="23">
        <v>328</v>
      </c>
      <c r="N8" s="73">
        <f>SUM(B8:M8)</f>
        <v>9131</v>
      </c>
      <c r="O8" s="74"/>
      <c r="P8" s="75"/>
    </row>
    <row r="9" spans="1:17" ht="12.75" customHeight="1">
      <c r="A9" s="71" t="s">
        <v>220</v>
      </c>
      <c r="B9" s="23">
        <v>575</v>
      </c>
      <c r="C9" s="23">
        <v>1290</v>
      </c>
      <c r="D9" s="23">
        <v>913</v>
      </c>
      <c r="E9" s="23">
        <v>1063</v>
      </c>
      <c r="F9" s="23">
        <v>1374</v>
      </c>
      <c r="G9" s="23">
        <v>1582</v>
      </c>
      <c r="H9" s="23">
        <v>1642</v>
      </c>
      <c r="I9" s="23">
        <v>1218</v>
      </c>
      <c r="J9" s="23">
        <v>1203</v>
      </c>
      <c r="K9" s="23">
        <v>1203</v>
      </c>
      <c r="L9" s="23">
        <v>974</v>
      </c>
      <c r="M9" s="23">
        <v>574</v>
      </c>
      <c r="N9" s="73">
        <f>SUM(B9:M9)</f>
        <v>13611</v>
      </c>
      <c r="O9" s="132">
        <v>7751</v>
      </c>
      <c r="P9" s="75">
        <f>O9/N9</f>
        <v>0.56946587319080155</v>
      </c>
    </row>
    <row r="10" spans="1:17" ht="12.75" customHeight="1">
      <c r="A10" s="2"/>
      <c r="B10" s="43"/>
      <c r="C10" s="43"/>
      <c r="D10" s="43"/>
      <c r="E10" s="43"/>
      <c r="F10" s="43"/>
      <c r="G10" s="43"/>
      <c r="H10" s="43"/>
      <c r="I10" s="43"/>
      <c r="J10" s="43"/>
      <c r="K10" s="43"/>
      <c r="L10" s="43"/>
      <c r="M10" s="43"/>
      <c r="N10" s="43"/>
    </row>
    <row r="11" spans="1:17" ht="12.75" customHeight="1">
      <c r="A11" s="2"/>
    </row>
    <row r="13" spans="1:17" ht="12.75" customHeight="1">
      <c r="A13" s="2"/>
    </row>
    <row r="14" spans="1:17" ht="12.75" customHeight="1">
      <c r="A14" s="2"/>
    </row>
    <row r="15" spans="1:17" ht="12.75" customHeight="1">
      <c r="A15" s="2"/>
    </row>
    <row r="16" spans="1:17" ht="12.75" customHeight="1">
      <c r="A16" s="2"/>
    </row>
    <row r="17" spans="1:1" ht="12.75" customHeight="1">
      <c r="A17" s="2"/>
    </row>
    <row r="18" spans="1:1" ht="12.75" customHeight="1">
      <c r="A18" s="2"/>
    </row>
    <row r="19" spans="1:1" ht="12.75" customHeight="1">
      <c r="A19" s="2"/>
    </row>
    <row r="20" spans="1:1" ht="12.75" customHeight="1">
      <c r="A20" s="2"/>
    </row>
    <row r="21" spans="1:1" ht="12.75" customHeight="1">
      <c r="A21" s="2"/>
    </row>
    <row r="22" spans="1:1" ht="12.75" customHeight="1">
      <c r="A22" s="2"/>
    </row>
    <row r="23" spans="1:1" ht="12.75" customHeight="1">
      <c r="A23" s="2"/>
    </row>
    <row r="24" spans="1:1" ht="12.75" customHeight="1">
      <c r="A24" s="2"/>
    </row>
    <row r="25" spans="1:1" ht="12.75" customHeight="1">
      <c r="A25" s="2"/>
    </row>
    <row r="26" spans="1:1" ht="12.75" customHeight="1">
      <c r="A26" s="2"/>
    </row>
    <row r="27" spans="1:1" ht="12.75" customHeight="1">
      <c r="A27" s="2"/>
    </row>
    <row r="28" spans="1:1" ht="12.75" customHeight="1">
      <c r="A28" s="2"/>
    </row>
    <row r="29" spans="1:1" ht="12.75" customHeight="1">
      <c r="A29" s="2"/>
    </row>
    <row r="30" spans="1:1" ht="12.75" customHeight="1">
      <c r="A30" s="2"/>
    </row>
    <row r="31" spans="1:1" ht="12.75" customHeight="1">
      <c r="A31" s="2"/>
    </row>
    <row r="32" spans="1:1" ht="12.75" customHeight="1">
      <c r="A32" s="2"/>
    </row>
    <row r="33" spans="1:9" ht="12.75" customHeight="1">
      <c r="A33" s="2"/>
    </row>
    <row r="34" spans="1:9" ht="12.75" customHeight="1">
      <c r="A34" s="2"/>
    </row>
    <row r="35" spans="1:9" ht="12.75" customHeight="1">
      <c r="A35" s="2"/>
    </row>
    <row r="36" spans="1:9" ht="12.75" customHeight="1">
      <c r="A36" s="2"/>
    </row>
    <row r="37" spans="1:9" ht="12.75" customHeight="1">
      <c r="A37" s="2"/>
    </row>
    <row r="38" spans="1:9" ht="12.75" customHeight="1">
      <c r="A38" s="2"/>
      <c r="I38" s="75"/>
    </row>
    <row r="39" spans="1:9" ht="12.75" customHeight="1">
      <c r="A39" s="2"/>
    </row>
  </sheetData>
  <pageMargins left="0.75" right="0.75" top="1" bottom="1" header="0.5" footer="0.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dimension ref="A1:Q23"/>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19.5" customHeight="1">
      <c r="A1" s="1" t="s">
        <v>157</v>
      </c>
      <c r="B1" s="2"/>
      <c r="C1" s="2"/>
      <c r="D1" s="2"/>
      <c r="E1" s="2"/>
      <c r="F1" s="2"/>
      <c r="G1" s="2"/>
      <c r="H1" s="2"/>
      <c r="I1" s="2"/>
      <c r="J1" s="2"/>
      <c r="K1" s="2"/>
      <c r="L1" s="2"/>
      <c r="M1" s="2"/>
      <c r="N1" s="2"/>
      <c r="O1" s="2"/>
      <c r="P1" s="2"/>
      <c r="Q1" s="2"/>
    </row>
    <row r="2" spans="1:17" ht="18" customHeight="1">
      <c r="A2" s="48" t="s">
        <v>189</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148</v>
      </c>
      <c r="O4" s="2"/>
    </row>
    <row r="5" spans="1:17" ht="12.75" customHeight="1">
      <c r="A5" s="5"/>
      <c r="B5" s="6"/>
      <c r="C5" s="6"/>
      <c r="D5" s="6"/>
      <c r="E5" s="6"/>
      <c r="F5" s="6"/>
      <c r="G5" s="6"/>
      <c r="H5" s="6"/>
      <c r="I5" s="6"/>
      <c r="J5" s="6"/>
      <c r="K5" s="6"/>
      <c r="L5" s="6"/>
      <c r="M5" s="6"/>
      <c r="N5" s="6"/>
      <c r="O5" s="5"/>
      <c r="P5" s="6"/>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217</v>
      </c>
      <c r="B7" s="68"/>
      <c r="C7" s="68"/>
      <c r="D7" s="68"/>
      <c r="E7" s="68"/>
      <c r="F7" s="68"/>
      <c r="G7" s="68"/>
      <c r="H7" s="68"/>
      <c r="I7" s="68"/>
      <c r="J7" s="68"/>
      <c r="K7" s="68"/>
      <c r="L7" s="68"/>
      <c r="M7" s="68"/>
      <c r="N7" s="68"/>
      <c r="O7" s="42"/>
      <c r="P7" s="43"/>
    </row>
    <row r="8" spans="1:17" ht="12.75" customHeight="1">
      <c r="A8" s="71" t="s">
        <v>115</v>
      </c>
      <c r="B8" s="23">
        <v>26</v>
      </c>
      <c r="C8" s="23">
        <v>5</v>
      </c>
      <c r="D8" s="23">
        <v>5</v>
      </c>
      <c r="E8" s="23">
        <v>38</v>
      </c>
      <c r="F8" s="23">
        <v>665</v>
      </c>
      <c r="G8" s="23">
        <v>99</v>
      </c>
      <c r="H8" s="23">
        <v>10</v>
      </c>
      <c r="I8" s="23">
        <v>144</v>
      </c>
      <c r="J8" s="23">
        <v>122</v>
      </c>
      <c r="K8" s="23">
        <v>179</v>
      </c>
      <c r="L8" s="23">
        <v>46</v>
      </c>
      <c r="M8" s="23">
        <v>15</v>
      </c>
      <c r="N8" s="73">
        <f>SUM(B8:M8)</f>
        <v>1354</v>
      </c>
      <c r="O8" s="10"/>
    </row>
    <row r="9" spans="1:17" ht="12.75" customHeight="1">
      <c r="A9" s="71" t="s">
        <v>197</v>
      </c>
      <c r="B9" s="23">
        <v>132</v>
      </c>
      <c r="C9" s="23">
        <v>43</v>
      </c>
      <c r="D9" s="23">
        <v>6</v>
      </c>
      <c r="E9" s="23">
        <v>55</v>
      </c>
      <c r="F9" s="23">
        <v>3307</v>
      </c>
      <c r="G9" s="23">
        <v>253</v>
      </c>
      <c r="H9" s="23">
        <v>31</v>
      </c>
      <c r="I9" s="23">
        <v>617</v>
      </c>
      <c r="J9" s="23" t="s">
        <v>251</v>
      </c>
      <c r="K9" s="23">
        <v>273</v>
      </c>
      <c r="L9" s="23">
        <v>131</v>
      </c>
      <c r="M9" s="23">
        <v>50</v>
      </c>
      <c r="N9" s="73">
        <f>SUM(B9:M9)</f>
        <v>4898</v>
      </c>
      <c r="O9" s="74">
        <v>15000</v>
      </c>
      <c r="P9" s="75">
        <f>O9/N9</f>
        <v>3.0624744793793384</v>
      </c>
    </row>
    <row r="10" spans="1:17" ht="12.75" customHeight="1">
      <c r="A10" s="71" t="s">
        <v>129</v>
      </c>
      <c r="B10" s="72">
        <v>68</v>
      </c>
      <c r="C10" s="72">
        <v>9</v>
      </c>
      <c r="D10" s="72">
        <v>0</v>
      </c>
      <c r="E10" s="72">
        <v>55</v>
      </c>
      <c r="F10" s="72">
        <v>939</v>
      </c>
      <c r="G10" s="72">
        <v>160</v>
      </c>
      <c r="H10" s="72">
        <v>7</v>
      </c>
      <c r="I10" s="72">
        <v>653</v>
      </c>
      <c r="J10" s="72">
        <v>107</v>
      </c>
      <c r="K10" s="72">
        <v>239</v>
      </c>
      <c r="L10" s="72">
        <v>74</v>
      </c>
      <c r="M10" s="72">
        <v>11</v>
      </c>
      <c r="N10" s="73">
        <f>SUM(B10:M10)</f>
        <v>2322</v>
      </c>
      <c r="O10" s="74">
        <v>15000</v>
      </c>
      <c r="P10" s="75">
        <f>O10/N10</f>
        <v>6.4599483204134369</v>
      </c>
    </row>
    <row r="11" spans="1:17" ht="12.75" customHeight="1">
      <c r="A11" s="71" t="s">
        <v>397</v>
      </c>
      <c r="B11" s="134">
        <v>0.30387731481481001</v>
      </c>
      <c r="C11" s="134">
        <v>8.9432870370369996E-2</v>
      </c>
      <c r="D11" s="134">
        <v>3.4131944444444E-2</v>
      </c>
      <c r="E11" s="134">
        <v>0.24584490740741</v>
      </c>
      <c r="F11" s="135" t="s">
        <v>84</v>
      </c>
      <c r="G11" s="134">
        <v>0.76778935185185004</v>
      </c>
      <c r="H11" s="134">
        <v>8.6342592592592998E-2</v>
      </c>
      <c r="I11" s="135" t="s">
        <v>42</v>
      </c>
      <c r="J11" s="135" t="s">
        <v>206</v>
      </c>
      <c r="K11" s="135" t="s">
        <v>248</v>
      </c>
      <c r="L11" s="134">
        <v>0.48851851851852002</v>
      </c>
      <c r="M11" s="134">
        <v>0.12185185185185</v>
      </c>
      <c r="N11" s="108" t="s">
        <v>243</v>
      </c>
      <c r="O11" s="10"/>
    </row>
    <row r="12" spans="1:17" ht="12.75" customHeight="1">
      <c r="A12" s="2"/>
      <c r="O12" s="2"/>
    </row>
    <row r="13" spans="1:17" ht="12.75" customHeight="1">
      <c r="A13" s="5"/>
      <c r="B13" s="6"/>
      <c r="C13" s="6"/>
      <c r="D13" s="6"/>
      <c r="E13" s="6"/>
      <c r="F13" s="6"/>
      <c r="G13" s="6"/>
      <c r="H13" s="6"/>
      <c r="I13" s="6"/>
      <c r="J13" s="6"/>
      <c r="K13" s="6"/>
      <c r="L13" s="6"/>
      <c r="M13" s="6"/>
      <c r="N13" s="6"/>
      <c r="O13" s="5"/>
      <c r="P13" s="6"/>
    </row>
    <row r="14" spans="1:17" ht="12.75" customHeight="1">
      <c r="A14" s="58"/>
      <c r="B14" s="59">
        <v>39995</v>
      </c>
      <c r="C14" s="59">
        <v>40026</v>
      </c>
      <c r="D14" s="59">
        <v>40057</v>
      </c>
      <c r="E14" s="59">
        <v>40087</v>
      </c>
      <c r="F14" s="59">
        <v>40118</v>
      </c>
      <c r="G14" s="59">
        <v>40148</v>
      </c>
      <c r="H14" s="59">
        <v>40179</v>
      </c>
      <c r="I14" s="59">
        <v>40210</v>
      </c>
      <c r="J14" s="59">
        <v>40238</v>
      </c>
      <c r="K14" s="59">
        <v>40269</v>
      </c>
      <c r="L14" s="59">
        <v>40299</v>
      </c>
      <c r="M14" s="59">
        <v>40330</v>
      </c>
      <c r="N14" s="60" t="s">
        <v>367</v>
      </c>
      <c r="O14" s="61" t="s">
        <v>166</v>
      </c>
      <c r="P14" s="61" t="s">
        <v>171</v>
      </c>
    </row>
    <row r="15" spans="1:17" ht="12.75" customHeight="1">
      <c r="A15" s="67" t="s">
        <v>291</v>
      </c>
      <c r="B15" s="68"/>
      <c r="C15" s="68"/>
      <c r="D15" s="68"/>
      <c r="E15" s="68"/>
      <c r="F15" s="68"/>
      <c r="G15" s="68"/>
      <c r="H15" s="68"/>
      <c r="I15" s="68"/>
      <c r="J15" s="68"/>
      <c r="K15" s="68"/>
      <c r="L15" s="68"/>
      <c r="M15" s="68"/>
      <c r="N15" s="68"/>
      <c r="O15" s="42"/>
      <c r="P15" s="43"/>
    </row>
    <row r="16" spans="1:17" ht="12.75" customHeight="1">
      <c r="A16" s="71" t="s">
        <v>115</v>
      </c>
      <c r="B16" s="23" t="s">
        <v>228</v>
      </c>
      <c r="C16" s="23" t="s">
        <v>228</v>
      </c>
      <c r="D16" s="23" t="s">
        <v>228</v>
      </c>
      <c r="E16" s="23" t="s">
        <v>228</v>
      </c>
      <c r="F16" s="23" t="s">
        <v>228</v>
      </c>
      <c r="G16" s="23" t="s">
        <v>228</v>
      </c>
      <c r="H16" s="23" t="s">
        <v>228</v>
      </c>
      <c r="I16" s="23" t="s">
        <v>228</v>
      </c>
      <c r="J16" s="23" t="s">
        <v>228</v>
      </c>
      <c r="K16" s="23" t="s">
        <v>228</v>
      </c>
      <c r="L16" s="20" t="s">
        <v>228</v>
      </c>
      <c r="M16" s="20" t="s">
        <v>228</v>
      </c>
      <c r="N16" s="73">
        <f>SUM(B16:M16)</f>
        <v>0</v>
      </c>
      <c r="O16" s="10"/>
    </row>
    <row r="17" spans="1:16" ht="12.75" customHeight="1">
      <c r="A17" s="71" t="s">
        <v>197</v>
      </c>
      <c r="B17" s="23" t="s">
        <v>228</v>
      </c>
      <c r="C17" s="23" t="s">
        <v>228</v>
      </c>
      <c r="D17" s="23" t="s">
        <v>228</v>
      </c>
      <c r="E17" s="23" t="s">
        <v>228</v>
      </c>
      <c r="F17" s="23" t="s">
        <v>228</v>
      </c>
      <c r="G17" s="23" t="s">
        <v>228</v>
      </c>
      <c r="H17" s="23" t="s">
        <v>228</v>
      </c>
      <c r="I17" s="23" t="s">
        <v>228</v>
      </c>
      <c r="J17" s="23" t="s">
        <v>228</v>
      </c>
      <c r="K17" s="23" t="s">
        <v>228</v>
      </c>
      <c r="L17" s="20" t="s">
        <v>228</v>
      </c>
      <c r="M17" s="20" t="s">
        <v>228</v>
      </c>
      <c r="N17" s="73">
        <f>SUM(B17:M17)</f>
        <v>0</v>
      </c>
      <c r="O17" s="74" t="s">
        <v>16</v>
      </c>
      <c r="P17" s="75" t="s">
        <v>228</v>
      </c>
    </row>
    <row r="18" spans="1:16" ht="12.75" customHeight="1">
      <c r="A18" s="71" t="s">
        <v>129</v>
      </c>
      <c r="B18" s="23" t="s">
        <v>228</v>
      </c>
      <c r="C18" s="23" t="s">
        <v>228</v>
      </c>
      <c r="D18" s="23" t="s">
        <v>228</v>
      </c>
      <c r="E18" s="23" t="s">
        <v>228</v>
      </c>
      <c r="F18" s="23" t="s">
        <v>228</v>
      </c>
      <c r="G18" s="23" t="s">
        <v>228</v>
      </c>
      <c r="H18" s="23" t="s">
        <v>228</v>
      </c>
      <c r="I18" s="23" t="s">
        <v>228</v>
      </c>
      <c r="J18" s="23" t="s">
        <v>228</v>
      </c>
      <c r="K18" s="20" t="s">
        <v>228</v>
      </c>
      <c r="L18" s="20" t="s">
        <v>228</v>
      </c>
      <c r="M18" s="20" t="s">
        <v>228</v>
      </c>
      <c r="N18" s="73">
        <f>SUM(B18:M18)</f>
        <v>0</v>
      </c>
      <c r="O18" s="74" t="s">
        <v>16</v>
      </c>
      <c r="P18" s="75" t="s">
        <v>228</v>
      </c>
    </row>
    <row r="19" spans="1:16" ht="12.75" customHeight="1">
      <c r="A19" s="71" t="s">
        <v>397</v>
      </c>
      <c r="B19" s="23" t="s">
        <v>228</v>
      </c>
      <c r="C19" s="23" t="s">
        <v>228</v>
      </c>
      <c r="D19" s="23" t="s">
        <v>228</v>
      </c>
      <c r="E19" s="23" t="s">
        <v>228</v>
      </c>
      <c r="F19" s="23" t="s">
        <v>228</v>
      </c>
      <c r="G19" s="23" t="s">
        <v>228</v>
      </c>
      <c r="H19" s="23" t="s">
        <v>228</v>
      </c>
      <c r="I19" s="23" t="s">
        <v>228</v>
      </c>
      <c r="J19" s="23" t="s">
        <v>228</v>
      </c>
      <c r="K19" s="41" t="s">
        <v>228</v>
      </c>
      <c r="L19" s="20" t="s">
        <v>228</v>
      </c>
      <c r="M19" s="20" t="s">
        <v>228</v>
      </c>
      <c r="N19" s="73" t="s">
        <v>243</v>
      </c>
      <c r="O19" s="10"/>
    </row>
    <row r="20" spans="1:16" ht="12.75" customHeight="1">
      <c r="A20" s="2"/>
      <c r="B20" s="43"/>
      <c r="C20" s="43"/>
      <c r="D20" s="43"/>
      <c r="E20" s="43"/>
      <c r="F20" s="43"/>
      <c r="G20" s="43"/>
      <c r="H20" s="43"/>
      <c r="I20" s="43"/>
      <c r="J20" s="43"/>
      <c r="K20" s="43"/>
      <c r="L20" s="43"/>
      <c r="M20" s="43"/>
      <c r="N20" s="87"/>
      <c r="O20" s="2"/>
    </row>
    <row r="21" spans="1:16" ht="12.75" customHeight="1">
      <c r="A21" s="2"/>
      <c r="B21" s="49"/>
      <c r="C21" s="49"/>
      <c r="D21" s="49"/>
      <c r="E21" s="49"/>
      <c r="F21" s="49"/>
      <c r="G21" s="49"/>
      <c r="H21" s="49"/>
      <c r="I21" s="49"/>
      <c r="J21" s="49"/>
      <c r="K21" s="49"/>
      <c r="L21" s="49"/>
      <c r="M21" s="49"/>
      <c r="N21" s="136"/>
      <c r="O21" s="2"/>
    </row>
    <row r="22" spans="1:16" ht="12.75" customHeight="1">
      <c r="A22" s="179" t="s">
        <v>280</v>
      </c>
      <c r="B22" s="184"/>
      <c r="C22" s="184"/>
      <c r="D22" s="184"/>
      <c r="E22" s="49"/>
      <c r="F22" s="49"/>
      <c r="G22" s="49"/>
      <c r="H22" s="49"/>
      <c r="I22" s="49"/>
      <c r="J22" s="49"/>
      <c r="K22" s="49"/>
      <c r="L22" s="49"/>
      <c r="M22" s="49"/>
      <c r="N22" s="136"/>
      <c r="O22" s="2"/>
    </row>
    <row r="23" spans="1:16" ht="12.75" customHeight="1">
      <c r="A23" s="2"/>
      <c r="B23" s="49"/>
      <c r="C23" s="49"/>
      <c r="D23" s="49"/>
      <c r="E23" s="49"/>
      <c r="F23" s="49"/>
      <c r="G23" s="49"/>
      <c r="H23" s="49"/>
      <c r="I23" s="49"/>
      <c r="J23" s="49"/>
      <c r="K23" s="49"/>
      <c r="L23" s="49"/>
      <c r="M23" s="49"/>
      <c r="N23" s="136"/>
      <c r="O23" s="2"/>
    </row>
  </sheetData>
  <mergeCells count="1">
    <mergeCell ref="A22:D22"/>
  </mergeCells>
  <pageMargins left="0.75" right="0.75" top="1" bottom="1" header="0.5" footer="0.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dimension ref="A1:Q38"/>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5.7109375" customWidth="1"/>
    <col min="2" max="14" width="8.5703125" customWidth="1"/>
    <col min="15" max="15" width="11.28515625" customWidth="1"/>
    <col min="16" max="16" width="8.5703125" customWidth="1"/>
    <col min="17" max="17" width="9.140625" customWidth="1"/>
  </cols>
  <sheetData>
    <row r="1" spans="1:17" ht="19.5" customHeight="1">
      <c r="A1" s="1" t="s">
        <v>57</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row>
    <row r="4" spans="1:17" ht="12.75" customHeight="1">
      <c r="A4" s="2" t="s">
        <v>18</v>
      </c>
      <c r="B4" s="2" t="s">
        <v>237</v>
      </c>
    </row>
    <row r="5" spans="1:17" ht="12.75" customHeight="1">
      <c r="A5" s="5"/>
      <c r="B5" s="6"/>
      <c r="C5" s="6"/>
      <c r="D5" s="6"/>
      <c r="E5" s="6"/>
      <c r="F5" s="6"/>
      <c r="G5" s="6"/>
      <c r="H5" s="6"/>
      <c r="I5" s="6"/>
      <c r="J5" s="6"/>
      <c r="K5" s="6"/>
      <c r="L5" s="6"/>
      <c r="M5" s="6"/>
      <c r="N5" s="6"/>
      <c r="O5" s="6"/>
      <c r="P5" s="6"/>
    </row>
    <row r="6" spans="1:17" ht="3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384</v>
      </c>
      <c r="B7" s="68"/>
      <c r="C7" s="68"/>
      <c r="D7" s="68"/>
      <c r="E7" s="68"/>
      <c r="F7" s="68"/>
      <c r="G7" s="68"/>
      <c r="H7" s="68"/>
      <c r="I7" s="68"/>
      <c r="J7" s="68"/>
      <c r="K7" s="68"/>
      <c r="L7" s="68"/>
      <c r="M7" s="68"/>
      <c r="N7" s="68"/>
      <c r="O7" s="43"/>
      <c r="P7" s="43"/>
    </row>
    <row r="8" spans="1:17" ht="12.75" customHeight="1">
      <c r="A8" s="124" t="s">
        <v>354</v>
      </c>
      <c r="B8" s="23">
        <v>0</v>
      </c>
      <c r="C8" s="23">
        <v>0</v>
      </c>
      <c r="D8" s="23">
        <v>0</v>
      </c>
      <c r="E8" s="23">
        <v>0</v>
      </c>
      <c r="F8" s="23">
        <v>0</v>
      </c>
      <c r="G8" s="23">
        <v>0</v>
      </c>
      <c r="H8" s="23">
        <v>1</v>
      </c>
      <c r="I8" s="23">
        <v>3</v>
      </c>
      <c r="J8" s="23">
        <v>0</v>
      </c>
      <c r="K8" s="23">
        <v>0</v>
      </c>
      <c r="L8" s="23">
        <v>3</v>
      </c>
      <c r="M8" s="23" t="s">
        <v>228</v>
      </c>
      <c r="N8" s="137">
        <f>SUM(B8:M8)</f>
        <v>7</v>
      </c>
      <c r="O8" s="138"/>
      <c r="P8" s="139" t="s">
        <v>228</v>
      </c>
    </row>
    <row r="9" spans="1:17" ht="12.75" customHeight="1">
      <c r="A9" s="2"/>
      <c r="B9" s="43"/>
      <c r="C9" s="43"/>
      <c r="D9" s="43"/>
      <c r="E9" s="43"/>
      <c r="F9" s="43"/>
      <c r="G9" s="43"/>
      <c r="H9" s="43"/>
      <c r="I9" s="43"/>
      <c r="J9" s="43"/>
      <c r="K9" s="43"/>
      <c r="L9" s="43"/>
      <c r="M9" s="43"/>
      <c r="N9" s="43"/>
    </row>
    <row r="10" spans="1:17" ht="12.75" customHeight="1">
      <c r="A10" s="179" t="s">
        <v>327</v>
      </c>
      <c r="B10" s="181"/>
      <c r="C10" s="181"/>
      <c r="D10" s="181"/>
      <c r="E10" s="181"/>
      <c r="F10" s="181"/>
      <c r="G10" s="181"/>
      <c r="H10" s="181"/>
      <c r="I10" s="181"/>
      <c r="J10" s="181"/>
      <c r="K10" s="181"/>
      <c r="L10" s="181"/>
    </row>
    <row r="11" spans="1:17" ht="12.75" customHeight="1">
      <c r="A11" s="179" t="s">
        <v>27</v>
      </c>
      <c r="B11" s="181"/>
      <c r="C11" s="181"/>
      <c r="D11" s="181"/>
      <c r="E11" s="181"/>
      <c r="F11" s="181"/>
    </row>
    <row r="12" spans="1:17" ht="12.75" customHeight="1">
      <c r="A12" s="2" t="s">
        <v>239</v>
      </c>
    </row>
    <row r="13" spans="1:17" ht="12.75" customHeight="1">
      <c r="A13" s="2"/>
      <c r="B13" s="2"/>
    </row>
    <row r="14" spans="1:17" ht="12.75" customHeight="1">
      <c r="A14" s="2"/>
    </row>
    <row r="15" spans="1:17" ht="12.75" customHeight="1">
      <c r="A15" s="2"/>
    </row>
    <row r="16" spans="1:17" ht="12.75" customHeight="1">
      <c r="A16" s="2"/>
    </row>
    <row r="17" spans="1:1" ht="12.75" customHeight="1">
      <c r="A17" s="2"/>
    </row>
    <row r="18" spans="1:1" ht="12.75" customHeight="1">
      <c r="A18" s="2"/>
    </row>
    <row r="19" spans="1:1" ht="12.75" customHeight="1">
      <c r="A19" s="2"/>
    </row>
    <row r="20" spans="1:1" ht="12.75" customHeight="1">
      <c r="A20" s="2"/>
    </row>
    <row r="21" spans="1:1" ht="12.75" customHeight="1">
      <c r="A21" s="2"/>
    </row>
    <row r="22" spans="1:1" ht="12.75" customHeight="1">
      <c r="A22" s="2"/>
    </row>
    <row r="23" spans="1:1" ht="12.75" customHeight="1">
      <c r="A23" s="2"/>
    </row>
    <row r="24" spans="1:1" ht="12.75" customHeight="1">
      <c r="A24" s="2"/>
    </row>
    <row r="25" spans="1:1" ht="12.75" customHeight="1">
      <c r="A25" s="2"/>
    </row>
    <row r="26" spans="1:1" ht="12.75" customHeight="1">
      <c r="A26" s="2"/>
    </row>
    <row r="27" spans="1:1" ht="12.75" customHeight="1">
      <c r="A27" s="2"/>
    </row>
    <row r="28" spans="1:1" ht="12.75" customHeight="1">
      <c r="A28" s="2"/>
    </row>
    <row r="29" spans="1:1" ht="12.75" customHeight="1">
      <c r="A29" s="2"/>
    </row>
    <row r="30" spans="1:1" ht="12.75" customHeight="1">
      <c r="A30" s="2"/>
    </row>
    <row r="31" spans="1:1" ht="12.75" customHeight="1">
      <c r="A31" s="2"/>
    </row>
    <row r="32" spans="1:1" ht="12.75" customHeight="1">
      <c r="A32" s="2"/>
    </row>
    <row r="33" spans="1:9" ht="12.75" customHeight="1">
      <c r="A33" s="2"/>
    </row>
    <row r="34" spans="1:9" ht="12.75" customHeight="1">
      <c r="A34" s="2"/>
    </row>
    <row r="35" spans="1:9" ht="12.75" customHeight="1">
      <c r="A35" s="2"/>
    </row>
    <row r="36" spans="1:9" ht="12.75" customHeight="1">
      <c r="A36" s="2"/>
    </row>
    <row r="37" spans="1:9" ht="12.75" customHeight="1">
      <c r="A37" s="2"/>
      <c r="I37" s="75"/>
    </row>
    <row r="38" spans="1:9" ht="12.75" customHeight="1">
      <c r="A38" s="2"/>
    </row>
  </sheetData>
  <mergeCells count="2">
    <mergeCell ref="A10:L10"/>
    <mergeCell ref="A11:F11"/>
  </mergeCells>
  <pageMargins left="0.75" right="0.75" top="1" bottom="1" header="0.5" footer="0.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dimension ref="A1:Q2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2.7109375" customWidth="1"/>
    <col min="2" max="14" width="8.5703125" customWidth="1"/>
    <col min="15" max="15" width="10.5703125" customWidth="1"/>
    <col min="16" max="16" width="8.5703125" customWidth="1"/>
    <col min="17" max="17" width="9.140625" customWidth="1"/>
  </cols>
  <sheetData>
    <row r="1" spans="1:17" ht="19.5" customHeight="1">
      <c r="A1" s="1" t="s">
        <v>71</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row>
    <row r="4" spans="1:17" ht="12.75" customHeight="1">
      <c r="A4" s="2" t="s">
        <v>18</v>
      </c>
      <c r="B4" s="49" t="s">
        <v>148</v>
      </c>
    </row>
    <row r="5" spans="1:17" ht="12.75" customHeight="1">
      <c r="A5" s="5"/>
      <c r="B5" s="6"/>
      <c r="C5" s="6"/>
      <c r="D5" s="6"/>
      <c r="E5" s="6"/>
      <c r="F5" s="6"/>
      <c r="G5" s="6"/>
      <c r="H5" s="6"/>
      <c r="I5" s="6"/>
      <c r="J5" s="6"/>
      <c r="K5" s="6"/>
      <c r="L5" s="6"/>
      <c r="M5" s="6"/>
      <c r="N5" s="6"/>
      <c r="O5" s="6"/>
      <c r="P5" s="6"/>
    </row>
    <row r="6" spans="1:17" ht="3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71</v>
      </c>
      <c r="B7" s="68"/>
      <c r="C7" s="68"/>
      <c r="D7" s="68"/>
      <c r="E7" s="68"/>
      <c r="F7" s="68"/>
      <c r="G7" s="68"/>
      <c r="H7" s="68"/>
      <c r="I7" s="68"/>
      <c r="J7" s="68"/>
      <c r="K7" s="68"/>
      <c r="L7" s="68"/>
      <c r="M7" s="68"/>
      <c r="N7" s="68"/>
      <c r="O7" s="43"/>
      <c r="P7" s="43"/>
    </row>
    <row r="8" spans="1:17" ht="12.75" customHeight="1">
      <c r="A8" s="71" t="s">
        <v>254</v>
      </c>
      <c r="B8" s="39">
        <v>44</v>
      </c>
      <c r="C8" s="39">
        <v>6</v>
      </c>
      <c r="D8" s="39">
        <v>18</v>
      </c>
      <c r="E8" s="39">
        <v>44</v>
      </c>
      <c r="F8" s="39">
        <v>78</v>
      </c>
      <c r="G8" s="39">
        <v>31</v>
      </c>
      <c r="H8" s="16">
        <v>40</v>
      </c>
      <c r="I8" s="16">
        <v>104</v>
      </c>
      <c r="J8" s="16">
        <v>62</v>
      </c>
      <c r="K8" s="16">
        <v>131</v>
      </c>
      <c r="L8" s="16">
        <v>44</v>
      </c>
      <c r="M8" s="16">
        <v>46</v>
      </c>
      <c r="N8" s="73">
        <f>SUM(B8:M8)</f>
        <v>648</v>
      </c>
      <c r="O8" s="74">
        <v>0</v>
      </c>
      <c r="P8" s="76" t="s">
        <v>228</v>
      </c>
    </row>
    <row r="9" spans="1:17" ht="12.75" customHeight="1">
      <c r="A9" s="71" t="s">
        <v>225</v>
      </c>
      <c r="B9" s="16">
        <v>43</v>
      </c>
      <c r="C9" s="16">
        <v>0</v>
      </c>
      <c r="D9" s="16">
        <v>5</v>
      </c>
      <c r="E9" s="16">
        <v>22</v>
      </c>
      <c r="F9" s="16">
        <v>10</v>
      </c>
      <c r="G9" s="16">
        <v>0</v>
      </c>
      <c r="H9" s="16">
        <v>60</v>
      </c>
      <c r="I9" s="16">
        <v>19</v>
      </c>
      <c r="J9" s="16">
        <v>2</v>
      </c>
      <c r="K9" s="16">
        <v>17</v>
      </c>
      <c r="L9" s="16">
        <v>14</v>
      </c>
      <c r="M9" s="16">
        <v>23</v>
      </c>
      <c r="N9" s="140">
        <f>SUM(B9:M9)</f>
        <v>215</v>
      </c>
      <c r="O9" s="74"/>
      <c r="P9" s="75"/>
    </row>
    <row r="10" spans="1:17" ht="12.75" customHeight="1">
      <c r="A10" s="2"/>
      <c r="B10" s="43"/>
      <c r="C10" s="43"/>
      <c r="D10" s="43"/>
      <c r="E10" s="43"/>
      <c r="F10" s="43"/>
      <c r="G10" s="43"/>
      <c r="H10" s="43"/>
      <c r="I10" s="43"/>
      <c r="J10" s="43"/>
      <c r="K10" s="43"/>
      <c r="L10" s="43"/>
      <c r="M10" s="43"/>
      <c r="N10" s="43"/>
    </row>
    <row r="11" spans="1:17" ht="12.75" customHeight="1">
      <c r="A11" s="2"/>
    </row>
    <row r="12" spans="1:17" ht="12.75" customHeight="1">
      <c r="A12" s="179" t="s">
        <v>70</v>
      </c>
      <c r="B12" s="181"/>
    </row>
    <row r="13" spans="1:17" ht="12.75" customHeight="1">
      <c r="A13" s="2"/>
      <c r="B13" s="2"/>
    </row>
    <row r="14" spans="1:17" ht="12.75" customHeight="1">
      <c r="A14" s="2"/>
    </row>
    <row r="15" spans="1:17" ht="12.75" customHeight="1">
      <c r="A15" s="2"/>
    </row>
    <row r="16" spans="1:17" ht="12.75" customHeight="1">
      <c r="A16" s="2"/>
      <c r="I16" s="127"/>
    </row>
    <row r="17" spans="1:9" ht="12.75" customHeight="1">
      <c r="A17" s="2"/>
      <c r="I17" s="128"/>
    </row>
    <row r="18" spans="1:9" ht="12.75" customHeight="1">
      <c r="A18" s="2"/>
      <c r="I18" s="128"/>
    </row>
    <row r="19" spans="1:9" ht="12.75" customHeight="1">
      <c r="A19" s="2"/>
      <c r="I19" s="128"/>
    </row>
    <row r="20" spans="1:9" ht="12.75" customHeight="1">
      <c r="A20" s="2"/>
      <c r="I20" s="128"/>
    </row>
    <row r="21" spans="1:9" ht="12.75" customHeight="1">
      <c r="A21" s="2"/>
    </row>
  </sheetData>
  <mergeCells count="1">
    <mergeCell ref="A12:B12"/>
  </mergeCells>
  <pageMargins left="0.75" right="0.75" top="1" bottom="1" header="0.5" footer="0.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dimension ref="A1:P28"/>
  <sheetViews>
    <sheetView zoomScaleNormal="100" workbookViewId="0">
      <pane ySplit="4" topLeftCell="A5" activePane="bottomLeft" state="frozen"/>
      <selection pane="bottomLeft" activeCell="A5" sqref="A5"/>
    </sheetView>
  </sheetViews>
  <sheetFormatPr defaultColWidth="17.140625" defaultRowHeight="12.75" customHeight="1"/>
  <cols>
    <col min="1" max="1" width="23.7109375" customWidth="1"/>
    <col min="2" max="2" width="8.28515625" customWidth="1"/>
    <col min="3" max="3" width="7.5703125" customWidth="1"/>
    <col min="4" max="4" width="7.85546875" customWidth="1"/>
    <col min="5" max="5" width="7" customWidth="1"/>
    <col min="6" max="9" width="7.140625" customWidth="1"/>
    <col min="10" max="10" width="7.5703125" customWidth="1"/>
    <col min="11" max="11" width="7.140625" customWidth="1"/>
    <col min="12" max="12" width="7.7109375" customWidth="1"/>
    <col min="13" max="13" width="7" customWidth="1"/>
    <col min="14" max="14" width="6.85546875" customWidth="1"/>
    <col min="15" max="15" width="11.28515625" customWidth="1"/>
    <col min="16" max="16" width="10.42578125" customWidth="1"/>
    <col min="17" max="20" width="17.140625" customWidth="1"/>
  </cols>
  <sheetData>
    <row r="1" spans="1:16" ht="12.75" customHeight="1">
      <c r="A1" s="185" t="s">
        <v>174</v>
      </c>
      <c r="B1" s="193"/>
      <c r="C1" s="193"/>
    </row>
    <row r="2" spans="1:16" ht="12.75" customHeight="1">
      <c r="A2" s="48" t="s">
        <v>342</v>
      </c>
      <c r="B2" s="129"/>
      <c r="C2" s="129"/>
    </row>
    <row r="4" spans="1:16" ht="12.75" customHeight="1">
      <c r="A4" s="2" t="s">
        <v>18</v>
      </c>
      <c r="B4" s="49" t="s">
        <v>247</v>
      </c>
    </row>
    <row r="5" spans="1:16" ht="12.75" customHeight="1">
      <c r="A5" s="6"/>
      <c r="B5" s="6"/>
      <c r="C5" s="6"/>
      <c r="D5" s="6"/>
      <c r="E5" s="6"/>
      <c r="F5" s="6"/>
      <c r="G5" s="6"/>
      <c r="H5" s="6"/>
      <c r="I5" s="6"/>
      <c r="J5" s="6"/>
      <c r="K5" s="6"/>
      <c r="L5" s="6"/>
      <c r="M5" s="6"/>
      <c r="N5" s="6"/>
      <c r="O5" s="6"/>
      <c r="P5" s="6"/>
    </row>
    <row r="6" spans="1:16"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6" ht="27.75" customHeight="1">
      <c r="A7" s="52" t="s">
        <v>139</v>
      </c>
      <c r="B7" s="53"/>
      <c r="C7" s="53"/>
      <c r="D7" s="53"/>
      <c r="E7" s="53"/>
      <c r="F7" s="53"/>
      <c r="G7" s="53"/>
      <c r="H7" s="53"/>
      <c r="I7" s="53"/>
      <c r="J7" s="53"/>
      <c r="K7" s="53"/>
      <c r="L7" s="53"/>
      <c r="M7" s="53"/>
      <c r="N7" s="53"/>
      <c r="O7" s="194" t="s">
        <v>339</v>
      </c>
      <c r="P7" s="194"/>
    </row>
    <row r="8" spans="1:16" ht="12.75" customHeight="1">
      <c r="A8" s="54" t="s">
        <v>19</v>
      </c>
      <c r="B8" s="40">
        <v>2</v>
      </c>
      <c r="C8" s="40">
        <v>0</v>
      </c>
      <c r="D8" s="40">
        <v>0</v>
      </c>
      <c r="E8" s="40">
        <v>4</v>
      </c>
      <c r="F8" s="40">
        <v>0</v>
      </c>
      <c r="G8" s="40">
        <v>0</v>
      </c>
      <c r="H8" s="40">
        <v>1</v>
      </c>
      <c r="I8" s="40">
        <v>0</v>
      </c>
      <c r="J8" s="40">
        <v>8</v>
      </c>
      <c r="K8" s="40">
        <v>1</v>
      </c>
      <c r="L8" s="40">
        <v>0</v>
      </c>
      <c r="M8" s="40">
        <v>0</v>
      </c>
      <c r="N8" s="55">
        <f>SUM(B8:M8)</f>
        <v>16</v>
      </c>
      <c r="O8" s="141"/>
    </row>
    <row r="9" spans="1:16" ht="12.75" customHeight="1">
      <c r="A9" s="54" t="s">
        <v>253</v>
      </c>
      <c r="B9" s="40" t="s">
        <v>228</v>
      </c>
      <c r="C9" s="40" t="s">
        <v>228</v>
      </c>
      <c r="D9" s="40" t="s">
        <v>228</v>
      </c>
      <c r="E9" s="40" t="s">
        <v>228</v>
      </c>
      <c r="F9" s="40" t="s">
        <v>228</v>
      </c>
      <c r="G9" s="40" t="s">
        <v>228</v>
      </c>
      <c r="H9" s="40" t="s">
        <v>228</v>
      </c>
      <c r="I9" s="40" t="s">
        <v>228</v>
      </c>
      <c r="J9" s="40" t="s">
        <v>228</v>
      </c>
      <c r="K9" s="40" t="s">
        <v>228</v>
      </c>
      <c r="L9" s="40" t="s">
        <v>228</v>
      </c>
      <c r="M9" s="40" t="s">
        <v>228</v>
      </c>
      <c r="N9" s="55" t="s">
        <v>228</v>
      </c>
      <c r="O9" s="18"/>
    </row>
    <row r="10" spans="1:16" ht="12.75" customHeight="1">
      <c r="B10" s="43"/>
      <c r="C10" s="43"/>
      <c r="D10" s="43"/>
      <c r="E10" s="43"/>
      <c r="F10" s="43"/>
      <c r="G10" s="43"/>
      <c r="H10" s="43"/>
      <c r="I10" s="43"/>
      <c r="J10" s="43"/>
      <c r="K10" s="43"/>
      <c r="L10" s="43"/>
      <c r="M10" s="43"/>
      <c r="N10" s="43"/>
    </row>
    <row r="11" spans="1:16" ht="12.75" customHeight="1">
      <c r="A11" s="6"/>
      <c r="B11" s="6"/>
      <c r="C11" s="6"/>
      <c r="D11" s="6"/>
      <c r="E11" s="6"/>
      <c r="F11" s="6"/>
      <c r="G11" s="6"/>
      <c r="H11" s="6"/>
      <c r="I11" s="6"/>
      <c r="J11" s="6"/>
      <c r="K11" s="6"/>
      <c r="L11" s="6"/>
      <c r="M11" s="6"/>
      <c r="N11" s="6"/>
      <c r="O11" s="6"/>
      <c r="P11" s="6"/>
    </row>
    <row r="12" spans="1:16" ht="12.75" customHeight="1">
      <c r="A12" s="58"/>
      <c r="B12" s="59">
        <v>39995</v>
      </c>
      <c r="C12" s="59">
        <v>40026</v>
      </c>
      <c r="D12" s="59">
        <v>40057</v>
      </c>
      <c r="E12" s="59">
        <v>40087</v>
      </c>
      <c r="F12" s="59">
        <v>40118</v>
      </c>
      <c r="G12" s="59">
        <v>40148</v>
      </c>
      <c r="H12" s="59">
        <v>40179</v>
      </c>
      <c r="I12" s="59">
        <v>40210</v>
      </c>
      <c r="J12" s="59">
        <v>40238</v>
      </c>
      <c r="K12" s="59">
        <v>40269</v>
      </c>
      <c r="L12" s="59">
        <v>40299</v>
      </c>
      <c r="M12" s="59">
        <v>40330</v>
      </c>
      <c r="N12" s="60" t="s">
        <v>367</v>
      </c>
      <c r="O12" s="61" t="s">
        <v>166</v>
      </c>
      <c r="P12" s="61" t="s">
        <v>171</v>
      </c>
    </row>
    <row r="13" spans="1:16" ht="12.75" customHeight="1">
      <c r="A13" s="52" t="s">
        <v>223</v>
      </c>
      <c r="B13" s="53"/>
      <c r="C13" s="53"/>
      <c r="D13" s="53"/>
      <c r="E13" s="53"/>
      <c r="F13" s="53"/>
      <c r="G13" s="53"/>
      <c r="H13" s="53"/>
      <c r="I13" s="53"/>
      <c r="J13" s="53"/>
      <c r="K13" s="53"/>
      <c r="L13" s="53"/>
      <c r="M13" s="53"/>
      <c r="N13" s="53"/>
      <c r="O13" s="194" t="s">
        <v>339</v>
      </c>
      <c r="P13" s="194"/>
    </row>
    <row r="14" spans="1:16" ht="12.75" customHeight="1">
      <c r="A14" s="54" t="s">
        <v>19</v>
      </c>
      <c r="B14" s="40">
        <v>1</v>
      </c>
      <c r="C14" s="40">
        <v>0</v>
      </c>
      <c r="D14" s="40">
        <v>0</v>
      </c>
      <c r="E14" s="40">
        <v>5</v>
      </c>
      <c r="F14" s="40">
        <v>6</v>
      </c>
      <c r="G14" s="40">
        <v>0</v>
      </c>
      <c r="H14" s="40">
        <v>1</v>
      </c>
      <c r="I14" s="40">
        <v>0</v>
      </c>
      <c r="J14" s="40">
        <v>36</v>
      </c>
      <c r="K14" s="40">
        <v>5</v>
      </c>
      <c r="L14" s="40">
        <v>0</v>
      </c>
      <c r="M14" s="40">
        <v>7</v>
      </c>
      <c r="N14" s="55">
        <f>SUM(B14:M14)</f>
        <v>61</v>
      </c>
      <c r="O14" s="141"/>
    </row>
    <row r="15" spans="1:16" ht="12.75" customHeight="1">
      <c r="A15" s="54" t="s">
        <v>253</v>
      </c>
      <c r="B15" s="40" t="s">
        <v>228</v>
      </c>
      <c r="C15" s="40" t="s">
        <v>228</v>
      </c>
      <c r="D15" s="40" t="s">
        <v>228</v>
      </c>
      <c r="E15" s="40" t="s">
        <v>228</v>
      </c>
      <c r="F15" s="40" t="s">
        <v>228</v>
      </c>
      <c r="G15" s="40" t="s">
        <v>228</v>
      </c>
      <c r="H15" s="40" t="s">
        <v>228</v>
      </c>
      <c r="I15" s="40" t="s">
        <v>228</v>
      </c>
      <c r="J15" s="40" t="s">
        <v>228</v>
      </c>
      <c r="K15" s="40" t="s">
        <v>228</v>
      </c>
      <c r="L15" s="40" t="s">
        <v>228</v>
      </c>
      <c r="M15" s="40" t="s">
        <v>228</v>
      </c>
      <c r="N15" s="142" t="s">
        <v>228</v>
      </c>
      <c r="O15" s="18"/>
    </row>
    <row r="16" spans="1:16" ht="12.75" customHeight="1">
      <c r="B16" s="43"/>
      <c r="C16" s="43"/>
      <c r="D16" s="43"/>
      <c r="E16" s="43"/>
      <c r="F16" s="43"/>
      <c r="G16" s="43"/>
      <c r="H16" s="43"/>
      <c r="I16" s="43"/>
      <c r="J16" s="43"/>
      <c r="K16" s="43"/>
      <c r="L16" s="43"/>
      <c r="M16" s="43"/>
      <c r="N16" s="43"/>
    </row>
    <row r="17" spans="1:16" ht="12.75" customHeight="1">
      <c r="A17" s="6"/>
      <c r="B17" s="6"/>
      <c r="C17" s="6"/>
      <c r="D17" s="6"/>
      <c r="E17" s="6"/>
      <c r="F17" s="6"/>
      <c r="G17" s="6"/>
      <c r="H17" s="6"/>
      <c r="I17" s="6"/>
      <c r="J17" s="6"/>
      <c r="K17" s="6"/>
      <c r="L17" s="6"/>
      <c r="M17" s="6"/>
      <c r="N17" s="6"/>
      <c r="O17" s="6"/>
      <c r="P17" s="6"/>
    </row>
    <row r="18" spans="1:16" ht="12.75" customHeight="1">
      <c r="A18" s="58"/>
      <c r="B18" s="59">
        <v>39995</v>
      </c>
      <c r="C18" s="59">
        <v>40026</v>
      </c>
      <c r="D18" s="59">
        <v>40057</v>
      </c>
      <c r="E18" s="59">
        <v>40087</v>
      </c>
      <c r="F18" s="59">
        <v>40118</v>
      </c>
      <c r="G18" s="59">
        <v>40148</v>
      </c>
      <c r="H18" s="59">
        <v>40179</v>
      </c>
      <c r="I18" s="59">
        <v>40210</v>
      </c>
      <c r="J18" s="59">
        <v>40238</v>
      </c>
      <c r="K18" s="59">
        <v>40269</v>
      </c>
      <c r="L18" s="59">
        <v>40299</v>
      </c>
      <c r="M18" s="59">
        <v>40330</v>
      </c>
      <c r="N18" s="60" t="s">
        <v>367</v>
      </c>
      <c r="O18" s="61" t="s">
        <v>166</v>
      </c>
      <c r="P18" s="61" t="s">
        <v>171</v>
      </c>
    </row>
    <row r="19" spans="1:16" ht="12.75" customHeight="1">
      <c r="A19" s="52" t="s">
        <v>20</v>
      </c>
      <c r="B19" s="53"/>
      <c r="C19" s="53"/>
      <c r="D19" s="53"/>
      <c r="E19" s="53"/>
      <c r="F19" s="53"/>
      <c r="G19" s="53"/>
      <c r="H19" s="53"/>
      <c r="I19" s="53"/>
      <c r="J19" s="53"/>
      <c r="K19" s="53"/>
      <c r="L19" s="53"/>
      <c r="M19" s="53"/>
      <c r="N19" s="53"/>
      <c r="O19" s="194" t="s">
        <v>339</v>
      </c>
      <c r="P19" s="194"/>
    </row>
    <row r="20" spans="1:16" ht="12.75" customHeight="1">
      <c r="A20" s="54" t="s">
        <v>19</v>
      </c>
      <c r="B20" s="40">
        <v>3</v>
      </c>
      <c r="C20" s="40">
        <v>58</v>
      </c>
      <c r="D20" s="40">
        <v>51</v>
      </c>
      <c r="E20" s="40">
        <v>48</v>
      </c>
      <c r="F20" s="40">
        <v>14</v>
      </c>
      <c r="G20" s="40">
        <v>12</v>
      </c>
      <c r="H20" s="40">
        <v>0</v>
      </c>
      <c r="I20" s="40">
        <v>12</v>
      </c>
      <c r="J20" s="40">
        <v>89</v>
      </c>
      <c r="K20" s="40">
        <v>65</v>
      </c>
      <c r="L20" s="40">
        <v>0</v>
      </c>
      <c r="M20" s="40">
        <v>2</v>
      </c>
      <c r="N20" s="55">
        <f>SUM(B20:M20)</f>
        <v>354</v>
      </c>
      <c r="O20" s="143"/>
    </row>
    <row r="21" spans="1:16" ht="15" customHeight="1">
      <c r="A21" s="54" t="s">
        <v>253</v>
      </c>
      <c r="B21" s="40" t="s">
        <v>228</v>
      </c>
      <c r="C21" s="40" t="s">
        <v>228</v>
      </c>
      <c r="D21" s="40" t="s">
        <v>228</v>
      </c>
      <c r="E21" s="40" t="s">
        <v>228</v>
      </c>
      <c r="F21" s="40" t="s">
        <v>228</v>
      </c>
      <c r="G21" s="40" t="s">
        <v>228</v>
      </c>
      <c r="H21" s="40" t="s">
        <v>228</v>
      </c>
      <c r="I21" s="40" t="s">
        <v>228</v>
      </c>
      <c r="J21" s="40" t="s">
        <v>228</v>
      </c>
      <c r="K21" s="40" t="s">
        <v>228</v>
      </c>
      <c r="L21" s="40" t="s">
        <v>228</v>
      </c>
      <c r="M21" s="40" t="s">
        <v>228</v>
      </c>
      <c r="N21" s="142" t="s">
        <v>228</v>
      </c>
      <c r="O21" s="56"/>
    </row>
    <row r="22" spans="1:16" ht="12.75" customHeight="1">
      <c r="B22" s="43"/>
      <c r="C22" s="43"/>
      <c r="D22" s="43"/>
      <c r="E22" s="43"/>
      <c r="F22" s="43"/>
      <c r="G22" s="43"/>
      <c r="H22" s="43"/>
      <c r="I22" s="43"/>
      <c r="J22" s="43"/>
      <c r="K22" s="43"/>
      <c r="L22" s="43"/>
      <c r="M22" s="43"/>
      <c r="N22" s="43"/>
    </row>
    <row r="23" spans="1:16" ht="12.75" customHeight="1">
      <c r="A23" s="6"/>
      <c r="B23" s="6"/>
      <c r="C23" s="6"/>
      <c r="D23" s="6"/>
      <c r="E23" s="6"/>
      <c r="F23" s="6"/>
      <c r="G23" s="6"/>
      <c r="H23" s="6"/>
      <c r="I23" s="6"/>
      <c r="J23" s="6"/>
      <c r="K23" s="6"/>
      <c r="L23" s="6"/>
      <c r="M23" s="6"/>
      <c r="N23" s="6"/>
      <c r="O23" s="6"/>
      <c r="P23" s="6"/>
    </row>
    <row r="24" spans="1:16" ht="12.75" customHeight="1">
      <c r="A24" s="58"/>
      <c r="B24" s="59">
        <v>39995</v>
      </c>
      <c r="C24" s="59">
        <v>40026</v>
      </c>
      <c r="D24" s="59">
        <v>40057</v>
      </c>
      <c r="E24" s="59">
        <v>40087</v>
      </c>
      <c r="F24" s="59">
        <v>40118</v>
      </c>
      <c r="G24" s="59">
        <v>40148</v>
      </c>
      <c r="H24" s="59">
        <v>40179</v>
      </c>
      <c r="I24" s="59">
        <v>40210</v>
      </c>
      <c r="J24" s="59">
        <v>40238</v>
      </c>
      <c r="K24" s="59">
        <v>40269</v>
      </c>
      <c r="L24" s="59">
        <v>40299</v>
      </c>
      <c r="M24" s="59">
        <v>40330</v>
      </c>
      <c r="N24" s="60" t="s">
        <v>367</v>
      </c>
      <c r="O24" s="61" t="s">
        <v>166</v>
      </c>
      <c r="P24" s="61" t="s">
        <v>171</v>
      </c>
    </row>
    <row r="25" spans="1:16" ht="12.75" customHeight="1">
      <c r="A25" s="52" t="s">
        <v>276</v>
      </c>
      <c r="B25" s="53"/>
      <c r="C25" s="53"/>
      <c r="D25" s="53"/>
      <c r="E25" s="53"/>
      <c r="F25" s="53"/>
      <c r="G25" s="53"/>
      <c r="H25" s="53"/>
      <c r="I25" s="53"/>
      <c r="J25" s="53"/>
      <c r="K25" s="53"/>
      <c r="L25" s="53"/>
      <c r="M25" s="53"/>
      <c r="N25" s="53"/>
      <c r="O25" s="194" t="s">
        <v>339</v>
      </c>
      <c r="P25" s="194"/>
    </row>
    <row r="26" spans="1:16" ht="12.75" customHeight="1">
      <c r="A26" s="54" t="s">
        <v>19</v>
      </c>
      <c r="B26" s="40">
        <v>19</v>
      </c>
      <c r="C26" s="40">
        <v>60</v>
      </c>
      <c r="D26" s="40">
        <v>52</v>
      </c>
      <c r="E26" s="40">
        <v>74</v>
      </c>
      <c r="F26" s="40">
        <v>43</v>
      </c>
      <c r="G26" s="40">
        <v>12</v>
      </c>
      <c r="H26" s="40">
        <v>6</v>
      </c>
      <c r="I26" s="40">
        <v>287</v>
      </c>
      <c r="J26" s="40">
        <v>133</v>
      </c>
      <c r="K26" s="40">
        <v>81</v>
      </c>
      <c r="L26" s="40">
        <v>0</v>
      </c>
      <c r="M26" s="40">
        <v>19</v>
      </c>
      <c r="N26" s="55">
        <f>SUM(B26:M26)</f>
        <v>786</v>
      </c>
      <c r="O26" s="143"/>
    </row>
    <row r="27" spans="1:16" ht="12.75" customHeight="1">
      <c r="A27" s="54" t="s">
        <v>253</v>
      </c>
      <c r="B27" s="40">
        <v>17</v>
      </c>
      <c r="C27" s="40">
        <v>55</v>
      </c>
      <c r="D27" s="40">
        <v>28</v>
      </c>
      <c r="E27" s="40">
        <v>78</v>
      </c>
      <c r="F27" s="40">
        <v>42</v>
      </c>
      <c r="G27" s="40">
        <v>30</v>
      </c>
      <c r="H27" s="40">
        <v>11</v>
      </c>
      <c r="I27" s="40">
        <v>47</v>
      </c>
      <c r="J27" s="40">
        <v>93</v>
      </c>
      <c r="K27" s="40">
        <v>68</v>
      </c>
      <c r="L27" s="40">
        <v>14</v>
      </c>
      <c r="M27" s="40">
        <v>18</v>
      </c>
      <c r="N27" s="55">
        <f>SUM(B27:M27)</f>
        <v>501</v>
      </c>
      <c r="O27" s="56"/>
    </row>
    <row r="28" spans="1:16" ht="12.75" customHeight="1">
      <c r="B28" s="43"/>
      <c r="C28" s="43"/>
      <c r="D28" s="43"/>
      <c r="E28" s="43"/>
      <c r="F28" s="43"/>
      <c r="G28" s="43"/>
      <c r="H28" s="43"/>
      <c r="I28" s="43"/>
      <c r="J28" s="43"/>
      <c r="K28" s="43"/>
      <c r="L28" s="43"/>
      <c r="M28" s="43"/>
      <c r="N28" s="43"/>
    </row>
  </sheetData>
  <mergeCells count="5">
    <mergeCell ref="A1:C1"/>
    <mergeCell ref="O7:P7"/>
    <mergeCell ref="O13:P13"/>
    <mergeCell ref="O19:P19"/>
    <mergeCell ref="O25:P25"/>
  </mergeCells>
  <pageMargins left="0.75" right="0.75" top="1" bottom="1" header="0.5" footer="0.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dimension ref="A1:Q47"/>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4.85546875" customWidth="1"/>
    <col min="2" max="14" width="8.5703125" customWidth="1"/>
    <col min="15" max="15" width="14.42578125" customWidth="1"/>
    <col min="16" max="16" width="11.85546875" customWidth="1"/>
    <col min="17" max="17" width="9.140625" customWidth="1"/>
  </cols>
  <sheetData>
    <row r="1" spans="1:17" ht="19.5" customHeight="1">
      <c r="A1" s="1" t="s">
        <v>338</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83"/>
      <c r="B3" s="2"/>
      <c r="C3" s="2"/>
      <c r="D3" s="2"/>
      <c r="E3" s="2"/>
      <c r="F3" s="2"/>
      <c r="G3" s="2"/>
      <c r="H3" s="2"/>
      <c r="I3" s="2"/>
      <c r="J3" s="2"/>
      <c r="K3" s="2"/>
      <c r="L3" s="2"/>
      <c r="M3" s="2"/>
      <c r="N3" s="2"/>
      <c r="O3" s="2"/>
      <c r="P3" s="2"/>
    </row>
    <row r="4" spans="1:17" ht="12.75" customHeight="1">
      <c r="A4" s="2" t="s">
        <v>18</v>
      </c>
      <c r="B4" s="2" t="s">
        <v>237</v>
      </c>
      <c r="C4" s="2"/>
      <c r="D4" s="2"/>
      <c r="E4" s="2"/>
      <c r="F4" s="2"/>
      <c r="G4" s="2"/>
      <c r="H4" s="2"/>
      <c r="I4" s="2"/>
      <c r="J4" s="2"/>
      <c r="K4" s="2"/>
      <c r="L4" s="2"/>
      <c r="M4" s="2"/>
      <c r="N4" s="2"/>
      <c r="O4" s="2"/>
      <c r="P4" s="2"/>
    </row>
    <row r="5" spans="1:17" ht="12.75" customHeight="1">
      <c r="A5" s="5"/>
      <c r="B5" s="6"/>
      <c r="C5" s="6"/>
      <c r="D5" s="6"/>
      <c r="E5" s="6"/>
      <c r="F5" s="6"/>
      <c r="G5" s="6"/>
      <c r="H5" s="6"/>
      <c r="I5" s="6"/>
      <c r="J5" s="6"/>
      <c r="K5" s="6"/>
      <c r="L5" s="6"/>
      <c r="M5" s="6"/>
      <c r="N5" s="6"/>
      <c r="O5" s="90"/>
      <c r="P5" s="5"/>
    </row>
    <row r="6" spans="1:17"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7" ht="12.75" customHeight="1">
      <c r="A7" s="67" t="s">
        <v>215</v>
      </c>
      <c r="B7" s="68"/>
      <c r="C7" s="68"/>
      <c r="D7" s="68"/>
      <c r="E7" s="68"/>
      <c r="F7" s="68"/>
      <c r="G7" s="68"/>
      <c r="H7" s="68"/>
      <c r="I7" s="68"/>
      <c r="J7" s="68"/>
      <c r="K7" s="68"/>
      <c r="L7" s="68"/>
      <c r="M7" s="68"/>
      <c r="N7" s="68"/>
      <c r="O7" s="42"/>
      <c r="P7" s="42"/>
    </row>
    <row r="8" spans="1:17" ht="12.75" customHeight="1">
      <c r="A8" s="71" t="s">
        <v>349</v>
      </c>
      <c r="B8" s="16">
        <v>18</v>
      </c>
      <c r="C8" s="16">
        <v>0</v>
      </c>
      <c r="D8" s="16">
        <v>0</v>
      </c>
      <c r="E8" s="16">
        <v>0</v>
      </c>
      <c r="F8" s="16">
        <v>0</v>
      </c>
      <c r="G8" s="16">
        <v>0</v>
      </c>
      <c r="H8" s="16">
        <v>0</v>
      </c>
      <c r="I8" s="16">
        <v>0</v>
      </c>
      <c r="J8" s="16">
        <v>0</v>
      </c>
      <c r="K8" s="16">
        <v>0</v>
      </c>
      <c r="L8" s="16">
        <v>0</v>
      </c>
      <c r="M8" s="16">
        <v>0</v>
      </c>
      <c r="N8" s="120">
        <f>SUM(B8:M8)</f>
        <v>18</v>
      </c>
      <c r="O8" s="74" t="s">
        <v>228</v>
      </c>
      <c r="P8" s="2" t="s">
        <v>228</v>
      </c>
    </row>
    <row r="9" spans="1:17" ht="12.75" customHeight="1">
      <c r="A9" s="71" t="s">
        <v>21</v>
      </c>
      <c r="B9" s="16">
        <v>11</v>
      </c>
      <c r="C9" s="16">
        <v>0</v>
      </c>
      <c r="D9" s="16">
        <v>0</v>
      </c>
      <c r="E9" s="16">
        <v>0</v>
      </c>
      <c r="F9" s="16">
        <v>0</v>
      </c>
      <c r="G9" s="16">
        <v>0</v>
      </c>
      <c r="H9" s="39">
        <v>0</v>
      </c>
      <c r="I9" s="39">
        <v>0</v>
      </c>
      <c r="J9" s="39">
        <v>0</v>
      </c>
      <c r="K9" s="39">
        <v>0</v>
      </c>
      <c r="L9" s="39">
        <v>0</v>
      </c>
      <c r="M9" s="39">
        <v>0</v>
      </c>
      <c r="N9" s="120">
        <f>SUM(B9:M9)</f>
        <v>11</v>
      </c>
      <c r="O9" s="74"/>
      <c r="P9" s="3"/>
    </row>
    <row r="10" spans="1:17" ht="12.75" customHeight="1">
      <c r="A10" s="71" t="s">
        <v>225</v>
      </c>
      <c r="B10" s="39">
        <v>0</v>
      </c>
      <c r="C10" s="39">
        <v>0</v>
      </c>
      <c r="D10" s="39">
        <v>0</v>
      </c>
      <c r="E10" s="39">
        <v>0</v>
      </c>
      <c r="F10" s="39">
        <v>0</v>
      </c>
      <c r="G10" s="39">
        <v>0</v>
      </c>
      <c r="H10" s="39">
        <v>0</v>
      </c>
      <c r="I10" s="39">
        <v>0</v>
      </c>
      <c r="J10" s="39">
        <v>0</v>
      </c>
      <c r="K10" s="39">
        <v>0</v>
      </c>
      <c r="L10" s="39">
        <v>0</v>
      </c>
      <c r="M10" s="39">
        <v>0</v>
      </c>
      <c r="N10" s="120">
        <f>SUM(B10:M10)</f>
        <v>0</v>
      </c>
      <c r="O10" s="74"/>
      <c r="P10" s="2"/>
    </row>
    <row r="11" spans="1:17" ht="12.75" customHeight="1">
      <c r="A11" s="2"/>
      <c r="B11" s="43"/>
      <c r="C11" s="43"/>
      <c r="D11" s="43"/>
      <c r="E11" s="43"/>
      <c r="F11" s="43"/>
      <c r="G11" s="43"/>
      <c r="H11" s="43"/>
      <c r="I11" s="43"/>
      <c r="J11" s="43"/>
      <c r="K11" s="43"/>
      <c r="L11" s="43"/>
      <c r="M11" s="43"/>
      <c r="N11" s="43"/>
      <c r="O11" s="75"/>
      <c r="P11" s="2"/>
    </row>
    <row r="12" spans="1:17" ht="12.75" customHeight="1">
      <c r="A12" s="5"/>
      <c r="B12" s="6"/>
      <c r="C12" s="6"/>
      <c r="D12" s="6"/>
      <c r="E12" s="6"/>
      <c r="F12" s="6"/>
      <c r="G12" s="6"/>
      <c r="H12" s="6"/>
      <c r="I12" s="6"/>
      <c r="J12" s="6"/>
      <c r="K12" s="6"/>
      <c r="L12" s="6"/>
      <c r="M12" s="6"/>
      <c r="N12" s="6"/>
      <c r="O12" s="90"/>
      <c r="P12" s="5"/>
    </row>
    <row r="13" spans="1:17" ht="12.75" customHeight="1">
      <c r="A13" s="58"/>
      <c r="B13" s="59">
        <v>39995</v>
      </c>
      <c r="C13" s="59">
        <v>40026</v>
      </c>
      <c r="D13" s="59">
        <v>40057</v>
      </c>
      <c r="E13" s="59">
        <v>40087</v>
      </c>
      <c r="F13" s="59">
        <v>40118</v>
      </c>
      <c r="G13" s="59">
        <v>40148</v>
      </c>
      <c r="H13" s="59">
        <v>40179</v>
      </c>
      <c r="I13" s="59">
        <v>40210</v>
      </c>
      <c r="J13" s="59">
        <v>40238</v>
      </c>
      <c r="K13" s="59">
        <v>40269</v>
      </c>
      <c r="L13" s="59">
        <v>40299</v>
      </c>
      <c r="M13" s="59">
        <v>40330</v>
      </c>
      <c r="N13" s="60" t="s">
        <v>367</v>
      </c>
      <c r="O13" s="61" t="s">
        <v>166</v>
      </c>
      <c r="P13" s="61" t="s">
        <v>171</v>
      </c>
    </row>
    <row r="14" spans="1:17" ht="12.75" customHeight="1">
      <c r="A14" s="67" t="s">
        <v>112</v>
      </c>
      <c r="B14" s="68"/>
      <c r="C14" s="68"/>
      <c r="D14" s="68"/>
      <c r="E14" s="68"/>
      <c r="F14" s="68"/>
      <c r="G14" s="68"/>
      <c r="H14" s="68"/>
      <c r="I14" s="68"/>
      <c r="J14" s="68"/>
      <c r="K14" s="68"/>
      <c r="L14" s="68"/>
      <c r="M14" s="68"/>
      <c r="N14" s="68"/>
      <c r="O14" s="42"/>
      <c r="P14" s="42"/>
    </row>
    <row r="15" spans="1:17" ht="12.75" customHeight="1">
      <c r="A15" s="71" t="s">
        <v>349</v>
      </c>
      <c r="B15" s="16">
        <v>2</v>
      </c>
      <c r="C15" s="16">
        <v>0</v>
      </c>
      <c r="D15" s="16">
        <v>0</v>
      </c>
      <c r="E15" s="16">
        <v>0</v>
      </c>
      <c r="F15" s="16">
        <v>0</v>
      </c>
      <c r="G15" s="16">
        <v>0</v>
      </c>
      <c r="H15" s="16">
        <v>0</v>
      </c>
      <c r="I15" s="16">
        <v>0</v>
      </c>
      <c r="J15" s="16">
        <v>0</v>
      </c>
      <c r="K15" s="16">
        <v>0</v>
      </c>
      <c r="L15" s="16">
        <v>0</v>
      </c>
      <c r="M15" s="16">
        <v>0</v>
      </c>
      <c r="N15" s="120">
        <f>SUM(B15:M15)</f>
        <v>2</v>
      </c>
      <c r="O15" s="74" t="s">
        <v>228</v>
      </c>
      <c r="P15" s="2" t="s">
        <v>228</v>
      </c>
    </row>
    <row r="16" spans="1:17" ht="12.75" customHeight="1">
      <c r="A16" s="71" t="s">
        <v>21</v>
      </c>
      <c r="B16" s="16">
        <v>2</v>
      </c>
      <c r="C16" s="16">
        <v>0</v>
      </c>
      <c r="D16" s="16">
        <v>0</v>
      </c>
      <c r="E16" s="16">
        <v>0</v>
      </c>
      <c r="F16" s="16">
        <v>0</v>
      </c>
      <c r="G16" s="16">
        <v>0</v>
      </c>
      <c r="H16" s="39">
        <v>0</v>
      </c>
      <c r="I16" s="39">
        <v>0</v>
      </c>
      <c r="J16" s="39">
        <v>0</v>
      </c>
      <c r="K16" s="39">
        <v>0</v>
      </c>
      <c r="L16" s="39">
        <v>0</v>
      </c>
      <c r="M16" s="39">
        <v>0</v>
      </c>
      <c r="N16" s="120">
        <f>SUM(B16:M16)</f>
        <v>2</v>
      </c>
      <c r="O16" s="74"/>
      <c r="P16" s="3"/>
    </row>
    <row r="17" spans="1:17" ht="12.75" customHeight="1">
      <c r="A17" s="71" t="s">
        <v>225</v>
      </c>
      <c r="B17" s="39">
        <v>0</v>
      </c>
      <c r="C17" s="39">
        <v>0</v>
      </c>
      <c r="D17" s="39">
        <v>0</v>
      </c>
      <c r="E17" s="39">
        <v>0</v>
      </c>
      <c r="F17" s="39">
        <v>0</v>
      </c>
      <c r="G17" s="39">
        <v>0</v>
      </c>
      <c r="H17" s="39">
        <v>0</v>
      </c>
      <c r="I17" s="39">
        <v>0</v>
      </c>
      <c r="J17" s="39">
        <v>0</v>
      </c>
      <c r="K17" s="39">
        <v>0</v>
      </c>
      <c r="L17" s="39">
        <v>0</v>
      </c>
      <c r="M17" s="39">
        <v>0</v>
      </c>
      <c r="N17" s="120">
        <f>SUM(B17:M17)</f>
        <v>0</v>
      </c>
      <c r="O17" s="74"/>
      <c r="P17" s="2"/>
    </row>
    <row r="18" spans="1:17" ht="12.75" customHeight="1">
      <c r="A18" s="2"/>
      <c r="B18" s="43"/>
      <c r="C18" s="43"/>
      <c r="D18" s="43"/>
      <c r="E18" s="43"/>
      <c r="F18" s="43"/>
      <c r="G18" s="43"/>
      <c r="H18" s="43"/>
      <c r="I18" s="43"/>
      <c r="J18" s="43"/>
      <c r="K18" s="43"/>
      <c r="L18" s="43"/>
      <c r="M18" s="43"/>
      <c r="N18" s="43"/>
      <c r="O18" s="75"/>
      <c r="P18" s="2"/>
    </row>
    <row r="19" spans="1:17" ht="12.75" customHeight="1">
      <c r="A19" s="5"/>
      <c r="B19" s="6"/>
      <c r="C19" s="6"/>
      <c r="D19" s="6"/>
      <c r="E19" s="6"/>
      <c r="F19" s="6"/>
      <c r="G19" s="6"/>
      <c r="H19" s="6"/>
      <c r="I19" s="6"/>
      <c r="J19" s="6"/>
      <c r="K19" s="6"/>
      <c r="L19" s="6"/>
      <c r="M19" s="6"/>
      <c r="N19" s="6"/>
      <c r="O19" s="90"/>
      <c r="P19" s="5"/>
    </row>
    <row r="20" spans="1:17" ht="24.75" customHeight="1">
      <c r="A20" s="58"/>
      <c r="B20" s="59">
        <v>39995</v>
      </c>
      <c r="C20" s="59">
        <v>40026</v>
      </c>
      <c r="D20" s="59">
        <v>40057</v>
      </c>
      <c r="E20" s="59">
        <v>40087</v>
      </c>
      <c r="F20" s="59">
        <v>40118</v>
      </c>
      <c r="G20" s="59">
        <v>40148</v>
      </c>
      <c r="H20" s="59">
        <v>40179</v>
      </c>
      <c r="I20" s="59">
        <v>40210</v>
      </c>
      <c r="J20" s="59">
        <v>40238</v>
      </c>
      <c r="K20" s="59">
        <v>40269</v>
      </c>
      <c r="L20" s="59">
        <v>40299</v>
      </c>
      <c r="M20" s="59">
        <v>40330</v>
      </c>
      <c r="N20" s="60" t="s">
        <v>367</v>
      </c>
      <c r="O20" s="61" t="s">
        <v>166</v>
      </c>
      <c r="P20" s="61" t="s">
        <v>171</v>
      </c>
      <c r="Q20" s="2"/>
    </row>
    <row r="21" spans="1:17" ht="12.75" customHeight="1">
      <c r="A21" s="67" t="s">
        <v>386</v>
      </c>
      <c r="B21" s="68"/>
      <c r="C21" s="68"/>
      <c r="D21" s="68"/>
      <c r="E21" s="68"/>
      <c r="F21" s="68"/>
      <c r="G21" s="68"/>
      <c r="H21" s="68"/>
      <c r="I21" s="68"/>
      <c r="J21" s="68"/>
      <c r="K21" s="68"/>
      <c r="L21" s="68"/>
      <c r="M21" s="68"/>
      <c r="N21" s="68"/>
      <c r="O21" s="70"/>
      <c r="P21" s="42"/>
    </row>
    <row r="22" spans="1:17" ht="12.75" customHeight="1">
      <c r="A22" s="71" t="s">
        <v>349</v>
      </c>
      <c r="B22" s="23">
        <v>0</v>
      </c>
      <c r="C22" s="23">
        <v>0</v>
      </c>
      <c r="D22" s="23">
        <v>0</v>
      </c>
      <c r="E22" s="23">
        <v>4</v>
      </c>
      <c r="F22" s="23">
        <v>0</v>
      </c>
      <c r="G22" s="23">
        <v>0</v>
      </c>
      <c r="H22" s="23">
        <v>0</v>
      </c>
      <c r="I22" s="23">
        <v>0</v>
      </c>
      <c r="J22" s="23">
        <v>3</v>
      </c>
      <c r="K22" s="23">
        <v>1</v>
      </c>
      <c r="L22" s="23">
        <v>0</v>
      </c>
      <c r="M22" s="23">
        <v>0</v>
      </c>
      <c r="N22" s="73">
        <f>SUM(B22:M22)</f>
        <v>8</v>
      </c>
      <c r="O22" s="74" t="s">
        <v>228</v>
      </c>
      <c r="P22" s="2" t="s">
        <v>228</v>
      </c>
    </row>
    <row r="23" spans="1:17" ht="12.75" customHeight="1">
      <c r="A23" s="71" t="s">
        <v>21</v>
      </c>
      <c r="B23" s="23">
        <v>0</v>
      </c>
      <c r="C23" s="23">
        <v>0</v>
      </c>
      <c r="D23" s="23">
        <v>0</v>
      </c>
      <c r="E23" s="23">
        <v>1</v>
      </c>
      <c r="F23" s="23">
        <v>0</v>
      </c>
      <c r="G23" s="23">
        <v>0</v>
      </c>
      <c r="H23" s="72">
        <v>0</v>
      </c>
      <c r="I23" s="72">
        <v>0</v>
      </c>
      <c r="J23" s="72">
        <v>2</v>
      </c>
      <c r="K23" s="72">
        <v>3</v>
      </c>
      <c r="L23" s="72">
        <v>0</v>
      </c>
      <c r="M23" s="72">
        <v>0</v>
      </c>
      <c r="N23" s="73">
        <f>SUM(B23:M23)</f>
        <v>6</v>
      </c>
      <c r="O23" s="74"/>
      <c r="P23" s="3"/>
    </row>
    <row r="24" spans="1:17" ht="12.75" customHeight="1">
      <c r="A24" s="71" t="s">
        <v>225</v>
      </c>
      <c r="B24" s="39">
        <v>0</v>
      </c>
      <c r="C24" s="39">
        <v>0</v>
      </c>
      <c r="D24" s="39">
        <v>0</v>
      </c>
      <c r="E24" s="72">
        <v>0</v>
      </c>
      <c r="F24" s="72">
        <v>0</v>
      </c>
      <c r="G24" s="72">
        <v>0</v>
      </c>
      <c r="H24" s="72">
        <v>0</v>
      </c>
      <c r="I24" s="72">
        <v>0</v>
      </c>
      <c r="J24" s="72">
        <v>0</v>
      </c>
      <c r="K24" s="72">
        <v>0</v>
      </c>
      <c r="L24" s="72">
        <v>0</v>
      </c>
      <c r="M24" s="72">
        <v>0</v>
      </c>
      <c r="N24" s="73">
        <f>SUM(B24:M24)</f>
        <v>0</v>
      </c>
      <c r="O24" s="74"/>
      <c r="P24" s="2"/>
    </row>
    <row r="25" spans="1:17" ht="12.75" customHeight="1">
      <c r="A25" s="2"/>
      <c r="B25" s="43"/>
      <c r="C25" s="43"/>
      <c r="D25" s="43"/>
      <c r="E25" s="43"/>
      <c r="F25" s="43"/>
      <c r="G25" s="43"/>
      <c r="H25" s="43"/>
      <c r="I25" s="43"/>
      <c r="J25" s="43"/>
      <c r="K25" s="43"/>
      <c r="L25" s="43"/>
      <c r="M25" s="43"/>
      <c r="N25" s="43"/>
      <c r="O25" s="75"/>
      <c r="P25" s="2"/>
    </row>
    <row r="26" spans="1:17" ht="12.75" customHeight="1">
      <c r="A26" s="5"/>
      <c r="B26" s="5"/>
      <c r="C26" s="5"/>
      <c r="D26" s="5"/>
      <c r="E26" s="5"/>
      <c r="F26" s="5"/>
      <c r="G26" s="5"/>
      <c r="H26" s="5"/>
      <c r="I26" s="5"/>
      <c r="J26" s="5"/>
      <c r="K26" s="5"/>
      <c r="L26" s="5"/>
      <c r="M26" s="5"/>
      <c r="N26" s="118"/>
      <c r="O26" s="90"/>
      <c r="P26" s="5"/>
    </row>
    <row r="27" spans="1:17" ht="24.75" customHeight="1">
      <c r="A27" s="58"/>
      <c r="B27" s="59">
        <v>39995</v>
      </c>
      <c r="C27" s="59">
        <v>40026</v>
      </c>
      <c r="D27" s="59">
        <v>40057</v>
      </c>
      <c r="E27" s="59">
        <v>40087</v>
      </c>
      <c r="F27" s="59">
        <v>40118</v>
      </c>
      <c r="G27" s="59">
        <v>40148</v>
      </c>
      <c r="H27" s="59">
        <v>40179</v>
      </c>
      <c r="I27" s="59">
        <v>40210</v>
      </c>
      <c r="J27" s="59">
        <v>40238</v>
      </c>
      <c r="K27" s="59">
        <v>40269</v>
      </c>
      <c r="L27" s="59">
        <v>40299</v>
      </c>
      <c r="M27" s="59">
        <v>40330</v>
      </c>
      <c r="N27" s="60" t="s">
        <v>367</v>
      </c>
      <c r="O27" s="61" t="s">
        <v>166</v>
      </c>
      <c r="P27" s="61" t="s">
        <v>171</v>
      </c>
      <c r="Q27" s="2"/>
    </row>
    <row r="28" spans="1:17" ht="12.75" customHeight="1">
      <c r="A28" s="67" t="s">
        <v>124</v>
      </c>
      <c r="B28" s="68"/>
      <c r="C28" s="68"/>
      <c r="D28" s="68"/>
      <c r="E28" s="68"/>
      <c r="F28" s="68"/>
      <c r="G28" s="68"/>
      <c r="H28" s="68"/>
      <c r="I28" s="68"/>
      <c r="J28" s="68"/>
      <c r="K28" s="68"/>
      <c r="L28" s="68"/>
      <c r="M28" s="68"/>
      <c r="N28" s="68"/>
      <c r="O28" s="70"/>
      <c r="P28" s="42"/>
    </row>
    <row r="29" spans="1:17" ht="12.75" customHeight="1">
      <c r="A29" s="71" t="s">
        <v>349</v>
      </c>
      <c r="B29" s="16">
        <v>153</v>
      </c>
      <c r="C29" s="16">
        <v>99</v>
      </c>
      <c r="D29" s="16">
        <v>545</v>
      </c>
      <c r="E29" s="16">
        <v>541</v>
      </c>
      <c r="F29" s="16">
        <v>869</v>
      </c>
      <c r="G29" s="16">
        <v>310</v>
      </c>
      <c r="H29" s="23">
        <v>192</v>
      </c>
      <c r="I29" s="23">
        <v>622</v>
      </c>
      <c r="J29" s="23">
        <v>891</v>
      </c>
      <c r="K29" s="23">
        <v>1076</v>
      </c>
      <c r="L29" s="23">
        <v>243</v>
      </c>
      <c r="M29" s="23">
        <v>344</v>
      </c>
      <c r="N29" s="73">
        <f>SUM(B29:M29)</f>
        <v>5885</v>
      </c>
      <c r="O29" s="132"/>
      <c r="P29" s="2"/>
    </row>
    <row r="30" spans="1:17" ht="12.75" customHeight="1">
      <c r="A30" s="71" t="s">
        <v>21</v>
      </c>
      <c r="B30" s="16">
        <v>134</v>
      </c>
      <c r="C30" s="16">
        <v>82</v>
      </c>
      <c r="D30" s="16">
        <v>556</v>
      </c>
      <c r="E30" s="16">
        <v>510</v>
      </c>
      <c r="F30" s="16">
        <v>805</v>
      </c>
      <c r="G30" s="16">
        <v>298</v>
      </c>
      <c r="H30" s="72">
        <v>189</v>
      </c>
      <c r="I30" s="72">
        <v>531</v>
      </c>
      <c r="J30" s="72">
        <v>760</v>
      </c>
      <c r="K30" s="72">
        <v>907</v>
      </c>
      <c r="L30" s="72">
        <v>216</v>
      </c>
      <c r="M30" s="72">
        <v>289</v>
      </c>
      <c r="N30" s="73">
        <f>SUM(B30:M30)</f>
        <v>5277</v>
      </c>
      <c r="O30" s="74"/>
      <c r="P30" s="75"/>
    </row>
    <row r="31" spans="1:17" ht="12.75" customHeight="1">
      <c r="A31" s="71" t="s">
        <v>225</v>
      </c>
      <c r="B31" s="39">
        <v>0</v>
      </c>
      <c r="C31" s="39">
        <v>0</v>
      </c>
      <c r="D31" s="39">
        <v>0</v>
      </c>
      <c r="E31" s="39">
        <v>0</v>
      </c>
      <c r="F31" s="39">
        <v>0</v>
      </c>
      <c r="G31" s="39">
        <v>0</v>
      </c>
      <c r="H31" s="72">
        <v>0</v>
      </c>
      <c r="I31" s="72">
        <v>0</v>
      </c>
      <c r="J31" s="72">
        <v>0</v>
      </c>
      <c r="K31" s="72">
        <v>0</v>
      </c>
      <c r="L31" s="72">
        <v>0</v>
      </c>
      <c r="M31" s="72">
        <v>0</v>
      </c>
      <c r="N31" s="73">
        <f>SUM(B31:M31)</f>
        <v>0</v>
      </c>
      <c r="O31" s="74"/>
      <c r="P31" s="2"/>
    </row>
    <row r="32" spans="1:17" ht="12.75" customHeight="1">
      <c r="A32" s="2"/>
      <c r="B32" s="42"/>
      <c r="C32" s="42"/>
      <c r="D32" s="42"/>
      <c r="E32" s="42"/>
      <c r="F32" s="42"/>
      <c r="G32" s="42"/>
      <c r="H32" s="42"/>
      <c r="I32" s="42"/>
      <c r="J32" s="42"/>
      <c r="K32" s="42"/>
      <c r="L32" s="42"/>
      <c r="M32" s="42"/>
      <c r="N32" s="119"/>
      <c r="O32" s="75"/>
      <c r="P32" s="2"/>
    </row>
    <row r="33" spans="1:17" ht="12.75" customHeight="1">
      <c r="A33" s="2"/>
      <c r="B33" s="2"/>
      <c r="C33" s="2"/>
      <c r="D33" s="2"/>
      <c r="E33" s="2"/>
      <c r="F33" s="2"/>
      <c r="G33" s="2"/>
      <c r="H33" s="2"/>
      <c r="I33" s="2"/>
      <c r="J33" s="2"/>
      <c r="K33" s="2"/>
      <c r="L33" s="2"/>
      <c r="M33" s="2"/>
      <c r="N33" s="123"/>
      <c r="O33" s="75"/>
      <c r="P33" s="2"/>
    </row>
    <row r="34" spans="1:17" ht="12.75" customHeight="1">
      <c r="A34" s="84"/>
      <c r="B34" s="144"/>
      <c r="C34" s="144"/>
      <c r="D34" s="144"/>
      <c r="E34" s="144"/>
      <c r="F34" s="144"/>
      <c r="G34" s="144"/>
      <c r="H34" s="144"/>
      <c r="I34" s="144"/>
      <c r="J34" s="144"/>
      <c r="K34" s="144"/>
      <c r="L34" s="144"/>
      <c r="M34" s="144"/>
      <c r="N34" s="118"/>
      <c r="O34" s="90"/>
      <c r="P34" s="5"/>
    </row>
    <row r="35" spans="1:17" ht="24.75" customHeight="1">
      <c r="A35" s="145"/>
      <c r="B35" s="59">
        <v>39995</v>
      </c>
      <c r="C35" s="59">
        <v>40026</v>
      </c>
      <c r="D35" s="59">
        <v>40057</v>
      </c>
      <c r="E35" s="59">
        <v>40087</v>
      </c>
      <c r="F35" s="59">
        <v>40118</v>
      </c>
      <c r="G35" s="59">
        <v>40148</v>
      </c>
      <c r="H35" s="59">
        <v>40179</v>
      </c>
      <c r="I35" s="59">
        <v>40210</v>
      </c>
      <c r="J35" s="59">
        <v>40238</v>
      </c>
      <c r="K35" s="59">
        <v>40269</v>
      </c>
      <c r="L35" s="59">
        <v>40299</v>
      </c>
      <c r="M35" s="59">
        <v>40330</v>
      </c>
      <c r="N35" s="60" t="s">
        <v>367</v>
      </c>
      <c r="O35" s="61" t="s">
        <v>166</v>
      </c>
      <c r="P35" s="61" t="s">
        <v>171</v>
      </c>
      <c r="Q35" s="2"/>
    </row>
    <row r="36" spans="1:17" ht="12.75" customHeight="1">
      <c r="A36" s="67" t="s">
        <v>102</v>
      </c>
      <c r="B36" s="68"/>
      <c r="C36" s="68"/>
      <c r="D36" s="68"/>
      <c r="E36" s="68"/>
      <c r="F36" s="68"/>
      <c r="G36" s="68"/>
      <c r="H36" s="68"/>
      <c r="I36" s="68"/>
      <c r="J36" s="68"/>
      <c r="K36" s="68"/>
      <c r="L36" s="68"/>
      <c r="M36" s="68"/>
      <c r="N36" s="68"/>
      <c r="O36" s="70"/>
      <c r="P36" s="42"/>
    </row>
    <row r="37" spans="1:17" ht="12.75" customHeight="1">
      <c r="A37" s="71" t="s">
        <v>349</v>
      </c>
      <c r="B37" s="23">
        <v>3</v>
      </c>
      <c r="C37" s="23">
        <v>15</v>
      </c>
      <c r="D37" s="23">
        <v>73</v>
      </c>
      <c r="E37" s="23">
        <v>53</v>
      </c>
      <c r="F37" s="23">
        <v>70</v>
      </c>
      <c r="G37" s="23">
        <v>16</v>
      </c>
      <c r="H37" s="23">
        <v>25</v>
      </c>
      <c r="I37" s="23">
        <v>41</v>
      </c>
      <c r="J37" s="23">
        <v>92</v>
      </c>
      <c r="K37" s="23">
        <v>27</v>
      </c>
      <c r="L37" s="23">
        <v>2</v>
      </c>
      <c r="M37" s="23">
        <v>0</v>
      </c>
      <c r="N37" s="73">
        <f>SUM(B37:M37)</f>
        <v>417</v>
      </c>
      <c r="O37" s="132"/>
      <c r="P37" s="2"/>
    </row>
    <row r="38" spans="1:17" ht="12.75" customHeight="1">
      <c r="A38" s="71" t="s">
        <v>21</v>
      </c>
      <c r="B38" s="72">
        <v>3</v>
      </c>
      <c r="C38" s="72">
        <v>11</v>
      </c>
      <c r="D38" s="72">
        <v>72</v>
      </c>
      <c r="E38" s="72">
        <v>44</v>
      </c>
      <c r="F38" s="72">
        <v>60</v>
      </c>
      <c r="G38" s="72">
        <v>16</v>
      </c>
      <c r="H38" s="72">
        <v>12</v>
      </c>
      <c r="I38" s="72">
        <v>40</v>
      </c>
      <c r="J38" s="72">
        <v>88</v>
      </c>
      <c r="K38" s="72">
        <v>21</v>
      </c>
      <c r="L38" s="72">
        <v>2</v>
      </c>
      <c r="M38" s="72">
        <v>1</v>
      </c>
      <c r="N38" s="73">
        <f>SUM(B38:M38)</f>
        <v>370</v>
      </c>
      <c r="O38" s="74"/>
      <c r="P38" s="75"/>
    </row>
    <row r="39" spans="1:17" ht="12.75" customHeight="1">
      <c r="A39" s="71" t="s">
        <v>225</v>
      </c>
      <c r="B39" s="39">
        <v>0</v>
      </c>
      <c r="C39" s="39">
        <v>0</v>
      </c>
      <c r="D39" s="39">
        <v>0</v>
      </c>
      <c r="E39" s="72">
        <v>0</v>
      </c>
      <c r="F39" s="72">
        <v>0</v>
      </c>
      <c r="G39" s="72">
        <v>0</v>
      </c>
      <c r="H39" s="72">
        <v>0</v>
      </c>
      <c r="I39" s="72">
        <v>0</v>
      </c>
      <c r="J39" s="72">
        <v>0</v>
      </c>
      <c r="K39" s="72">
        <v>0</v>
      </c>
      <c r="L39" s="72">
        <v>0</v>
      </c>
      <c r="M39" s="72">
        <v>0</v>
      </c>
      <c r="N39" s="73">
        <f>SUM(B39:M39)</f>
        <v>0</v>
      </c>
      <c r="O39" s="74"/>
      <c r="P39" s="2"/>
    </row>
    <row r="40" spans="1:17" ht="12.75" customHeight="1">
      <c r="A40" s="2"/>
      <c r="B40" s="43"/>
      <c r="C40" s="43"/>
      <c r="D40" s="43"/>
      <c r="E40" s="43"/>
      <c r="F40" s="43"/>
      <c r="G40" s="43"/>
      <c r="H40" s="43"/>
      <c r="I40" s="43"/>
      <c r="J40" s="43"/>
      <c r="K40" s="43"/>
      <c r="L40" s="43"/>
      <c r="M40" s="43"/>
      <c r="N40" s="43"/>
      <c r="O40" s="2"/>
      <c r="P40" s="2"/>
    </row>
    <row r="41" spans="1:17" ht="12.75" customHeight="1">
      <c r="A41" s="5"/>
      <c r="B41" s="6"/>
      <c r="C41" s="6"/>
      <c r="D41" s="6"/>
      <c r="E41" s="6"/>
      <c r="F41" s="6"/>
      <c r="G41" s="6"/>
      <c r="H41" s="6"/>
      <c r="I41" s="6"/>
      <c r="J41" s="6"/>
      <c r="K41" s="6"/>
      <c r="L41" s="6"/>
      <c r="M41" s="6"/>
      <c r="N41" s="6"/>
      <c r="O41" s="5"/>
      <c r="P41" s="5"/>
    </row>
    <row r="42" spans="1:17" ht="12.75" customHeight="1">
      <c r="A42" s="145"/>
      <c r="B42" s="59">
        <v>39995</v>
      </c>
      <c r="C42" s="59">
        <v>40026</v>
      </c>
      <c r="D42" s="59">
        <v>40057</v>
      </c>
      <c r="E42" s="59">
        <v>40087</v>
      </c>
      <c r="F42" s="59">
        <v>40118</v>
      </c>
      <c r="G42" s="59">
        <v>40148</v>
      </c>
      <c r="H42" s="59">
        <v>40179</v>
      </c>
      <c r="I42" s="59">
        <v>40210</v>
      </c>
      <c r="J42" s="59">
        <v>40238</v>
      </c>
      <c r="K42" s="59">
        <v>40269</v>
      </c>
      <c r="L42" s="59">
        <v>40299</v>
      </c>
      <c r="M42" s="59">
        <v>40330</v>
      </c>
      <c r="N42" s="60" t="s">
        <v>367</v>
      </c>
      <c r="O42" s="61" t="s">
        <v>166</v>
      </c>
      <c r="P42" s="61" t="s">
        <v>171</v>
      </c>
    </row>
    <row r="43" spans="1:17" ht="12.75" customHeight="1">
      <c r="A43" s="67" t="s">
        <v>321</v>
      </c>
      <c r="B43" s="68"/>
      <c r="C43" s="68"/>
      <c r="D43" s="68"/>
      <c r="E43" s="68"/>
      <c r="F43" s="68"/>
      <c r="G43" s="68"/>
      <c r="H43" s="68"/>
      <c r="I43" s="68"/>
      <c r="J43" s="68"/>
      <c r="K43" s="68"/>
      <c r="L43" s="68"/>
      <c r="M43" s="68"/>
      <c r="N43" s="68"/>
      <c r="O43" s="70"/>
      <c r="P43" s="42"/>
    </row>
    <row r="44" spans="1:17" ht="12.75" customHeight="1">
      <c r="A44" s="71" t="s">
        <v>349</v>
      </c>
      <c r="B44" s="23">
        <v>176</v>
      </c>
      <c r="C44" s="23">
        <v>114</v>
      </c>
      <c r="D44" s="23">
        <v>618</v>
      </c>
      <c r="E44" s="23">
        <v>598</v>
      </c>
      <c r="F44" s="23">
        <v>939</v>
      </c>
      <c r="G44" s="23">
        <v>326</v>
      </c>
      <c r="H44" s="23">
        <v>217</v>
      </c>
      <c r="I44" s="23">
        <v>633</v>
      </c>
      <c r="J44" s="23">
        <v>986</v>
      </c>
      <c r="K44" s="23">
        <v>1104</v>
      </c>
      <c r="L44" s="23">
        <v>245</v>
      </c>
      <c r="M44" s="23">
        <v>344</v>
      </c>
      <c r="N44" s="73">
        <f>SUM(B44:M44)</f>
        <v>6300</v>
      </c>
      <c r="O44" s="74" t="s">
        <v>228</v>
      </c>
      <c r="P44" s="2" t="s">
        <v>228</v>
      </c>
    </row>
    <row r="45" spans="1:17" ht="12.75" customHeight="1">
      <c r="A45" s="71" t="s">
        <v>21</v>
      </c>
      <c r="B45" s="72">
        <v>150</v>
      </c>
      <c r="C45" s="72">
        <v>93</v>
      </c>
      <c r="D45" s="72">
        <v>628</v>
      </c>
      <c r="E45" s="72">
        <v>555</v>
      </c>
      <c r="F45" s="72">
        <v>865</v>
      </c>
      <c r="G45" s="72">
        <v>314</v>
      </c>
      <c r="H45" s="72">
        <v>197</v>
      </c>
      <c r="I45" s="72">
        <v>560</v>
      </c>
      <c r="J45" s="72">
        <v>560</v>
      </c>
      <c r="K45" s="72">
        <v>812</v>
      </c>
      <c r="L45" s="72">
        <v>218</v>
      </c>
      <c r="M45" s="72">
        <v>290</v>
      </c>
      <c r="N45" s="73">
        <f>SUM(B45:M45)</f>
        <v>5242</v>
      </c>
      <c r="O45" s="74"/>
      <c r="P45" s="75"/>
    </row>
    <row r="46" spans="1:17" ht="12.75" customHeight="1">
      <c r="A46" s="71" t="s">
        <v>225</v>
      </c>
      <c r="B46" s="39">
        <v>0</v>
      </c>
      <c r="C46" s="39">
        <v>0</v>
      </c>
      <c r="D46" s="39">
        <v>0</v>
      </c>
      <c r="E46" s="72">
        <v>0</v>
      </c>
      <c r="F46" s="72">
        <v>0</v>
      </c>
      <c r="G46" s="72">
        <v>0</v>
      </c>
      <c r="H46" s="72">
        <v>0</v>
      </c>
      <c r="I46" s="72">
        <v>0</v>
      </c>
      <c r="J46" s="72">
        <v>0</v>
      </c>
      <c r="K46" s="72">
        <v>0</v>
      </c>
      <c r="L46" s="72">
        <v>0</v>
      </c>
      <c r="M46" s="72">
        <v>0</v>
      </c>
      <c r="N46" s="73">
        <f>SUM(B46:M46)</f>
        <v>0</v>
      </c>
      <c r="O46" s="74"/>
      <c r="P46" s="2"/>
    </row>
    <row r="47" spans="1:17" ht="12.75" customHeight="1">
      <c r="A47" s="2"/>
      <c r="B47" s="43"/>
      <c r="C47" s="43"/>
      <c r="D47" s="43"/>
      <c r="E47" s="43"/>
      <c r="F47" s="43"/>
      <c r="G47" s="43"/>
      <c r="H47" s="43"/>
      <c r="I47" s="43"/>
      <c r="J47" s="43"/>
      <c r="K47" s="43"/>
      <c r="L47" s="43"/>
      <c r="M47" s="43"/>
      <c r="N47" s="43"/>
      <c r="O47" s="2"/>
      <c r="P47" s="2"/>
    </row>
  </sheetData>
  <pageMargins left="0.75" right="0.75" top="1" bottom="1" header="0.5" footer="0.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dimension ref="A1:Q19"/>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6" customWidth="1"/>
    <col min="2" max="14" width="8.5703125" customWidth="1"/>
    <col min="15" max="15" width="10.7109375" customWidth="1"/>
    <col min="16" max="16" width="8.5703125" customWidth="1"/>
    <col min="17" max="17" width="9.140625" customWidth="1"/>
  </cols>
  <sheetData>
    <row r="1" spans="1:17" ht="19.5" customHeight="1">
      <c r="A1" s="1" t="s">
        <v>289</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row>
    <row r="4" spans="1:17" ht="12.75" customHeight="1">
      <c r="A4" s="2" t="s">
        <v>18</v>
      </c>
      <c r="B4" s="2" t="s">
        <v>148</v>
      </c>
    </row>
    <row r="5" spans="1:17" ht="12.75" customHeight="1">
      <c r="A5" s="5"/>
      <c r="B5" s="6"/>
      <c r="C5" s="6"/>
      <c r="D5" s="6"/>
      <c r="E5" s="6"/>
      <c r="F5" s="6"/>
      <c r="G5" s="6"/>
      <c r="H5" s="6"/>
      <c r="I5" s="6"/>
      <c r="J5" s="6"/>
      <c r="K5" s="6"/>
      <c r="L5" s="6"/>
      <c r="M5" s="6"/>
      <c r="N5" s="6"/>
      <c r="O5" s="6"/>
      <c r="P5" s="6"/>
    </row>
    <row r="6" spans="1:17" ht="3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67" t="s">
        <v>258</v>
      </c>
      <c r="B7" s="68"/>
      <c r="C7" s="68"/>
      <c r="D7" s="68"/>
      <c r="E7" s="68"/>
      <c r="F7" s="68"/>
      <c r="G7" s="68"/>
      <c r="H7" s="68"/>
      <c r="I7" s="68"/>
      <c r="J7" s="68"/>
      <c r="K7" s="68"/>
      <c r="L7" s="68"/>
      <c r="M7" s="68"/>
      <c r="N7" s="68"/>
      <c r="O7" s="43"/>
      <c r="P7" s="43"/>
    </row>
    <row r="8" spans="1:17" ht="12.75" customHeight="1">
      <c r="A8" s="71" t="s">
        <v>261</v>
      </c>
      <c r="B8" s="23">
        <v>18</v>
      </c>
      <c r="C8" s="23">
        <v>7</v>
      </c>
      <c r="D8" s="23">
        <v>31</v>
      </c>
      <c r="E8" s="23">
        <v>44</v>
      </c>
      <c r="F8" s="23">
        <v>27</v>
      </c>
      <c r="G8" s="23">
        <v>33</v>
      </c>
      <c r="H8" s="23">
        <v>20</v>
      </c>
      <c r="I8" s="23">
        <v>57</v>
      </c>
      <c r="J8" s="23">
        <v>89</v>
      </c>
      <c r="K8" s="23">
        <v>69</v>
      </c>
      <c r="L8" s="23">
        <v>29</v>
      </c>
      <c r="M8" s="23">
        <v>48</v>
      </c>
      <c r="N8" s="73">
        <f>SUM(B8:M8)</f>
        <v>472</v>
      </c>
      <c r="O8" s="74"/>
      <c r="P8" s="75"/>
    </row>
    <row r="9" spans="1:17" ht="12.75" customHeight="1">
      <c r="A9" s="71" t="s">
        <v>336</v>
      </c>
      <c r="B9" s="23">
        <v>28</v>
      </c>
      <c r="C9" s="23">
        <v>15</v>
      </c>
      <c r="D9" s="23">
        <v>83</v>
      </c>
      <c r="E9" s="23">
        <v>81</v>
      </c>
      <c r="F9" s="23">
        <v>74</v>
      </c>
      <c r="G9" s="23">
        <v>109</v>
      </c>
      <c r="H9" s="23">
        <v>22</v>
      </c>
      <c r="I9" s="23">
        <v>162</v>
      </c>
      <c r="J9" s="23">
        <v>206</v>
      </c>
      <c r="K9" s="23">
        <v>139</v>
      </c>
      <c r="L9" s="23">
        <v>92</v>
      </c>
      <c r="M9" s="23">
        <v>124</v>
      </c>
      <c r="N9" s="73">
        <f>SUM(B9:M9)</f>
        <v>1135</v>
      </c>
      <c r="O9" s="74"/>
      <c r="P9" s="75"/>
    </row>
    <row r="10" spans="1:17" ht="12.75" customHeight="1">
      <c r="A10" s="71" t="s">
        <v>366</v>
      </c>
      <c r="B10" s="23">
        <v>28</v>
      </c>
      <c r="C10" s="23">
        <v>9</v>
      </c>
      <c r="D10" s="23">
        <v>48</v>
      </c>
      <c r="E10" s="23">
        <v>91</v>
      </c>
      <c r="F10" s="23">
        <v>51</v>
      </c>
      <c r="G10" s="23">
        <v>64</v>
      </c>
      <c r="H10" s="23">
        <v>15</v>
      </c>
      <c r="I10" s="23">
        <v>182</v>
      </c>
      <c r="J10" s="23">
        <v>163</v>
      </c>
      <c r="K10" s="23">
        <v>119</v>
      </c>
      <c r="L10" s="23">
        <v>88</v>
      </c>
      <c r="M10" s="23">
        <v>123</v>
      </c>
      <c r="N10" s="73">
        <f>SUM(B10:M10)</f>
        <v>981</v>
      </c>
      <c r="O10" s="74">
        <v>1597.5</v>
      </c>
      <c r="P10" s="75">
        <f>O10/N10</f>
        <v>1.628440366972477</v>
      </c>
    </row>
    <row r="11" spans="1:17" ht="12.75" customHeight="1">
      <c r="A11" s="71" t="s">
        <v>225</v>
      </c>
      <c r="B11" s="23">
        <v>0</v>
      </c>
      <c r="C11" s="23">
        <v>0</v>
      </c>
      <c r="D11" s="23">
        <v>0</v>
      </c>
      <c r="E11" s="23">
        <v>248</v>
      </c>
      <c r="F11" s="23">
        <v>0</v>
      </c>
      <c r="G11" s="23">
        <v>0</v>
      </c>
      <c r="H11" s="23">
        <v>0</v>
      </c>
      <c r="I11" s="23">
        <v>117</v>
      </c>
      <c r="J11" s="23">
        <v>14</v>
      </c>
      <c r="K11" s="23">
        <v>3</v>
      </c>
      <c r="L11" s="23">
        <v>0</v>
      </c>
      <c r="M11" s="23">
        <v>0</v>
      </c>
      <c r="N11" s="73">
        <f>SUM(B11:M11)</f>
        <v>382</v>
      </c>
      <c r="O11" s="74"/>
      <c r="P11" s="75"/>
    </row>
    <row r="12" spans="1:17" ht="12.75" customHeight="1">
      <c r="A12" s="2"/>
      <c r="B12" s="43"/>
      <c r="C12" s="43"/>
      <c r="D12" s="43"/>
      <c r="E12" s="43"/>
      <c r="F12" s="43"/>
      <c r="G12" s="43"/>
      <c r="H12" s="43"/>
      <c r="I12" s="43"/>
      <c r="J12" s="43"/>
      <c r="K12" s="43"/>
      <c r="L12" s="43"/>
      <c r="M12" s="43"/>
      <c r="N12" s="43"/>
    </row>
    <row r="13" spans="1:17" ht="12.75" customHeight="1">
      <c r="A13" s="83" t="s">
        <v>201</v>
      </c>
      <c r="B13" s="85"/>
      <c r="C13" s="85"/>
      <c r="D13" s="85"/>
      <c r="E13" s="85"/>
      <c r="F13" s="85"/>
      <c r="G13" s="85"/>
      <c r="H13" s="85"/>
      <c r="I13" s="85"/>
      <c r="J13" s="85"/>
      <c r="K13" s="85"/>
      <c r="L13" s="85"/>
      <c r="M13" s="85"/>
      <c r="N13" s="85"/>
    </row>
    <row r="14" spans="1:17" ht="12.75" customHeight="1">
      <c r="A14" s="71" t="s">
        <v>261</v>
      </c>
      <c r="B14" s="23">
        <v>207</v>
      </c>
      <c r="C14" s="23">
        <v>105</v>
      </c>
      <c r="D14" s="23">
        <v>505</v>
      </c>
      <c r="E14" s="23">
        <v>842</v>
      </c>
      <c r="F14" s="23">
        <v>809</v>
      </c>
      <c r="G14" s="23">
        <v>625</v>
      </c>
      <c r="H14" s="23">
        <v>79</v>
      </c>
      <c r="I14" s="23">
        <v>454</v>
      </c>
      <c r="J14" s="23">
        <v>941</v>
      </c>
      <c r="K14" s="23">
        <v>470</v>
      </c>
      <c r="L14" s="23">
        <v>368</v>
      </c>
      <c r="M14" s="23">
        <v>221</v>
      </c>
      <c r="N14" s="73">
        <f>SUM(B14:M14)</f>
        <v>5626</v>
      </c>
      <c r="O14" s="74"/>
      <c r="P14" s="75"/>
    </row>
    <row r="15" spans="1:17" ht="12.75" customHeight="1">
      <c r="A15" s="71" t="s">
        <v>336</v>
      </c>
      <c r="B15" s="23">
        <v>624</v>
      </c>
      <c r="C15" s="23">
        <v>264</v>
      </c>
      <c r="D15" s="23">
        <v>2373</v>
      </c>
      <c r="E15" s="23">
        <v>3333</v>
      </c>
      <c r="F15" s="23">
        <v>2475</v>
      </c>
      <c r="G15" s="23">
        <v>2138</v>
      </c>
      <c r="H15" s="23">
        <v>268</v>
      </c>
      <c r="I15" s="23">
        <v>1697</v>
      </c>
      <c r="J15" s="23">
        <v>3118</v>
      </c>
      <c r="K15" s="23">
        <v>1361</v>
      </c>
      <c r="L15" s="23">
        <v>1054</v>
      </c>
      <c r="M15" s="23">
        <v>677</v>
      </c>
      <c r="N15" s="73">
        <f>SUM(B15:M15)</f>
        <v>19382</v>
      </c>
      <c r="O15" s="74"/>
      <c r="P15" s="75"/>
    </row>
    <row r="16" spans="1:17" ht="12.75" customHeight="1">
      <c r="A16" s="71" t="s">
        <v>366</v>
      </c>
      <c r="B16" s="23">
        <v>708</v>
      </c>
      <c r="C16" s="23">
        <v>316</v>
      </c>
      <c r="D16" s="23">
        <v>2668</v>
      </c>
      <c r="E16" s="23">
        <v>3272</v>
      </c>
      <c r="F16" s="23">
        <v>2353</v>
      </c>
      <c r="G16" s="23">
        <v>2252</v>
      </c>
      <c r="H16" s="23">
        <v>290</v>
      </c>
      <c r="I16" s="23">
        <v>1930</v>
      </c>
      <c r="J16" s="23">
        <v>3290</v>
      </c>
      <c r="K16" s="23">
        <v>1506</v>
      </c>
      <c r="L16" s="23">
        <v>1224</v>
      </c>
      <c r="M16" s="23">
        <v>539</v>
      </c>
      <c r="N16" s="73">
        <f>SUM(B16:M16)</f>
        <v>20348</v>
      </c>
      <c r="O16" s="74">
        <v>2968.02</v>
      </c>
      <c r="P16" s="75">
        <f>O16/N16</f>
        <v>0.14586298407705917</v>
      </c>
    </row>
    <row r="17" spans="1:15" ht="12.75" customHeight="1">
      <c r="A17" s="71" t="s">
        <v>225</v>
      </c>
      <c r="B17" s="23">
        <v>0</v>
      </c>
      <c r="C17" s="23">
        <v>0</v>
      </c>
      <c r="D17" s="23">
        <v>0</v>
      </c>
      <c r="E17" s="23">
        <v>0</v>
      </c>
      <c r="F17" s="23">
        <v>0</v>
      </c>
      <c r="G17" s="23">
        <v>0</v>
      </c>
      <c r="H17" s="23">
        <v>0</v>
      </c>
      <c r="I17" s="23">
        <v>0</v>
      </c>
      <c r="J17" s="23">
        <v>0</v>
      </c>
      <c r="K17" s="23">
        <v>0</v>
      </c>
      <c r="L17" s="23">
        <v>0</v>
      </c>
      <c r="M17" s="23">
        <v>0</v>
      </c>
      <c r="N17" s="73">
        <f>SUM(B17:M17)</f>
        <v>0</v>
      </c>
      <c r="O17" s="18"/>
    </row>
    <row r="18" spans="1:15" ht="13.5" customHeight="1">
      <c r="A18" s="2"/>
      <c r="B18" s="43"/>
      <c r="C18" s="43"/>
      <c r="D18" s="43"/>
      <c r="E18" s="43"/>
      <c r="F18" s="43"/>
      <c r="G18" s="43"/>
      <c r="H18" s="43"/>
      <c r="I18" s="43"/>
      <c r="J18" s="43"/>
      <c r="K18" s="43"/>
      <c r="L18" s="43"/>
      <c r="M18" s="43"/>
      <c r="N18" s="43"/>
    </row>
    <row r="19" spans="1:15" ht="12.75" customHeight="1">
      <c r="A19" s="2"/>
    </row>
  </sheetData>
  <pageMargins left="0.75" right="0.75" top="1" bottom="1" header="0.5" footer="0.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dimension ref="A1:Q85"/>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4.7109375" customWidth="1"/>
    <col min="2" max="14" width="8.5703125" customWidth="1"/>
    <col min="15" max="15" width="10.85546875" customWidth="1"/>
    <col min="16" max="16" width="9.7109375" customWidth="1"/>
    <col min="17" max="17" width="9.140625" customWidth="1"/>
  </cols>
  <sheetData>
    <row r="1" spans="1:17" ht="19.5" customHeight="1">
      <c r="A1" s="1" t="s">
        <v>399</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c r="P3" s="2"/>
    </row>
    <row r="4" spans="1:17" ht="12.75" customHeight="1">
      <c r="A4" s="2" t="s">
        <v>18</v>
      </c>
      <c r="B4" s="2" t="s">
        <v>187</v>
      </c>
      <c r="O4" s="2"/>
      <c r="P4" s="2"/>
    </row>
    <row r="5" spans="1:17" ht="12.75" customHeight="1">
      <c r="A5" s="5"/>
      <c r="B5" s="6"/>
      <c r="C5" s="6"/>
      <c r="D5" s="6"/>
      <c r="E5" s="6"/>
      <c r="F5" s="6"/>
      <c r="G5" s="6"/>
      <c r="H5" s="6"/>
      <c r="I5" s="6"/>
      <c r="J5" s="6"/>
      <c r="K5" s="6"/>
      <c r="L5" s="6"/>
      <c r="M5" s="6"/>
      <c r="N5" s="6"/>
      <c r="O5" s="5"/>
      <c r="P5" s="5"/>
    </row>
    <row r="6" spans="1:17" ht="12.75" customHeight="1">
      <c r="A6" s="146"/>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7" ht="12.75" customHeight="1">
      <c r="A7" s="67" t="s">
        <v>178</v>
      </c>
      <c r="B7" s="59"/>
      <c r="C7" s="59"/>
      <c r="D7" s="59"/>
      <c r="E7" s="59"/>
      <c r="F7" s="59"/>
      <c r="G7" s="59"/>
      <c r="H7" s="59"/>
      <c r="I7" s="59"/>
      <c r="J7" s="59"/>
      <c r="K7" s="59"/>
      <c r="L7" s="59"/>
      <c r="M7" s="59"/>
      <c r="N7" s="61"/>
      <c r="O7" s="106"/>
      <c r="P7" s="106"/>
    </row>
    <row r="8" spans="1:17" ht="12.75" customHeight="1">
      <c r="A8" s="71" t="s">
        <v>204</v>
      </c>
      <c r="B8" s="23">
        <v>731</v>
      </c>
      <c r="C8" s="23">
        <v>308</v>
      </c>
      <c r="D8" s="23">
        <v>631</v>
      </c>
      <c r="E8" s="23">
        <v>1795</v>
      </c>
      <c r="F8" s="23">
        <v>1709</v>
      </c>
      <c r="G8" s="23">
        <v>1291</v>
      </c>
      <c r="H8" s="23">
        <v>626</v>
      </c>
      <c r="I8" s="23">
        <v>1137</v>
      </c>
      <c r="J8" s="23">
        <v>1496</v>
      </c>
      <c r="K8" s="23">
        <v>1824</v>
      </c>
      <c r="L8" s="23">
        <v>705</v>
      </c>
      <c r="M8" s="23">
        <v>563</v>
      </c>
      <c r="N8" s="73">
        <f>SUM(B8:M8)</f>
        <v>12816</v>
      </c>
      <c r="O8" s="74">
        <v>0</v>
      </c>
      <c r="P8" s="76" t="s">
        <v>228</v>
      </c>
    </row>
    <row r="9" spans="1:17" ht="12.75" customHeight="1">
      <c r="A9" s="71" t="s">
        <v>253</v>
      </c>
      <c r="B9" s="40">
        <v>201</v>
      </c>
      <c r="C9" s="40">
        <v>86</v>
      </c>
      <c r="D9" s="40">
        <v>215</v>
      </c>
      <c r="E9" s="40">
        <v>544</v>
      </c>
      <c r="F9" s="40">
        <v>535</v>
      </c>
      <c r="G9" s="40">
        <v>378</v>
      </c>
      <c r="H9" s="40">
        <v>212</v>
      </c>
      <c r="I9" s="40">
        <v>468</v>
      </c>
      <c r="J9" s="40">
        <v>573</v>
      </c>
      <c r="K9" s="40">
        <v>711</v>
      </c>
      <c r="L9" s="40">
        <v>285</v>
      </c>
      <c r="M9" s="40">
        <v>214</v>
      </c>
      <c r="N9" s="73">
        <f>SUM(B9:M9)</f>
        <v>4422</v>
      </c>
      <c r="O9" s="10"/>
      <c r="P9" s="2"/>
    </row>
    <row r="10" spans="1:17" ht="12.75" customHeight="1">
      <c r="A10" s="2"/>
      <c r="B10" s="43"/>
      <c r="C10" s="43"/>
      <c r="D10" s="43"/>
      <c r="E10" s="43"/>
      <c r="F10" s="43"/>
      <c r="G10" s="43"/>
      <c r="H10" s="43"/>
      <c r="I10" s="43"/>
      <c r="J10" s="43"/>
      <c r="K10" s="43"/>
      <c r="L10" s="43"/>
      <c r="M10" s="43"/>
      <c r="N10" s="43"/>
      <c r="O10" s="2"/>
      <c r="P10" s="2"/>
    </row>
    <row r="11" spans="1:17" ht="12.75" customHeight="1">
      <c r="A11" s="5"/>
      <c r="B11" s="6"/>
      <c r="C11" s="6"/>
      <c r="D11" s="6"/>
      <c r="E11" s="6"/>
      <c r="F11" s="6"/>
      <c r="G11" s="6"/>
      <c r="H11" s="6"/>
      <c r="I11" s="6"/>
      <c r="J11" s="6"/>
      <c r="K11" s="6"/>
      <c r="L11" s="6"/>
      <c r="M11" s="6"/>
      <c r="N11" s="6"/>
      <c r="O11" s="5"/>
      <c r="P11" s="5"/>
    </row>
    <row r="12" spans="1:17" ht="24.75" customHeight="1">
      <c r="A12" s="146"/>
      <c r="B12" s="59">
        <v>39995</v>
      </c>
      <c r="C12" s="59">
        <v>40026</v>
      </c>
      <c r="D12" s="59">
        <v>40057</v>
      </c>
      <c r="E12" s="59">
        <v>40087</v>
      </c>
      <c r="F12" s="59">
        <v>40118</v>
      </c>
      <c r="G12" s="59">
        <v>40148</v>
      </c>
      <c r="H12" s="59">
        <v>40179</v>
      </c>
      <c r="I12" s="59">
        <v>40210</v>
      </c>
      <c r="J12" s="59">
        <v>40238</v>
      </c>
      <c r="K12" s="59">
        <v>40269</v>
      </c>
      <c r="L12" s="59">
        <v>40299</v>
      </c>
      <c r="M12" s="59">
        <v>40330</v>
      </c>
      <c r="N12" s="60" t="s">
        <v>367</v>
      </c>
      <c r="O12" s="61" t="s">
        <v>166</v>
      </c>
      <c r="P12" s="61" t="s">
        <v>171</v>
      </c>
      <c r="Q12" s="2"/>
    </row>
    <row r="13" spans="1:17" ht="12.75" customHeight="1">
      <c r="A13" s="67" t="s">
        <v>41</v>
      </c>
      <c r="B13" s="53"/>
      <c r="C13" s="53"/>
      <c r="D13" s="53"/>
      <c r="E13" s="53"/>
      <c r="F13" s="53"/>
      <c r="G13" s="53"/>
      <c r="H13" s="53"/>
      <c r="I13" s="53"/>
      <c r="J13" s="53"/>
      <c r="K13" s="53"/>
      <c r="L13" s="53"/>
      <c r="M13" s="53"/>
      <c r="N13" s="53"/>
      <c r="O13" s="42"/>
      <c r="P13" s="42"/>
    </row>
    <row r="14" spans="1:17" ht="12.75" customHeight="1">
      <c r="A14" s="71" t="s">
        <v>204</v>
      </c>
      <c r="B14" s="23">
        <v>1080</v>
      </c>
      <c r="C14" s="23">
        <v>397</v>
      </c>
      <c r="D14" s="23">
        <v>1128</v>
      </c>
      <c r="E14" s="23">
        <v>2641</v>
      </c>
      <c r="F14" s="23">
        <v>3403</v>
      </c>
      <c r="G14" s="23">
        <v>2037</v>
      </c>
      <c r="H14" s="23">
        <v>1199</v>
      </c>
      <c r="I14" s="23">
        <v>1927</v>
      </c>
      <c r="J14" s="23">
        <v>2823</v>
      </c>
      <c r="K14" s="23">
        <v>2643</v>
      </c>
      <c r="L14" s="23">
        <v>1062</v>
      </c>
      <c r="M14" s="23">
        <v>1417</v>
      </c>
      <c r="N14" s="73">
        <f>SUM(B14:M14)</f>
        <v>21757</v>
      </c>
      <c r="O14" s="74">
        <v>19320</v>
      </c>
      <c r="P14" s="76">
        <f>O14/N14</f>
        <v>0.88799007216068393</v>
      </c>
    </row>
    <row r="15" spans="1:17" ht="12.75" customHeight="1">
      <c r="A15" s="71" t="s">
        <v>253</v>
      </c>
      <c r="B15" s="23">
        <v>302</v>
      </c>
      <c r="C15" s="23">
        <v>120</v>
      </c>
      <c r="D15" s="23">
        <v>328</v>
      </c>
      <c r="E15" s="23">
        <v>726</v>
      </c>
      <c r="F15" s="23">
        <v>1002</v>
      </c>
      <c r="G15" s="23">
        <v>575</v>
      </c>
      <c r="H15" s="23">
        <v>440</v>
      </c>
      <c r="I15" s="23">
        <v>772</v>
      </c>
      <c r="J15" s="23">
        <v>925</v>
      </c>
      <c r="K15" s="23">
        <v>897</v>
      </c>
      <c r="L15" s="23">
        <v>327</v>
      </c>
      <c r="M15" s="23">
        <v>408</v>
      </c>
      <c r="N15" s="73">
        <f>SUM(B15:M15)</f>
        <v>6822</v>
      </c>
      <c r="O15" s="74"/>
      <c r="P15" s="75"/>
    </row>
    <row r="16" spans="1:17" ht="12.75" customHeight="1">
      <c r="A16" s="2"/>
      <c r="B16" s="86"/>
      <c r="C16" s="86"/>
      <c r="D16" s="86"/>
      <c r="E16" s="86"/>
      <c r="F16" s="86"/>
      <c r="G16" s="86"/>
      <c r="H16" s="86"/>
      <c r="I16" s="86"/>
      <c r="J16" s="86"/>
      <c r="K16" s="86"/>
      <c r="L16" s="86"/>
      <c r="M16" s="86"/>
      <c r="N16" s="87"/>
      <c r="O16" s="75"/>
      <c r="P16" s="75"/>
    </row>
    <row r="17" spans="1:17" ht="12.75" customHeight="1">
      <c r="A17" s="5"/>
      <c r="B17" s="5"/>
      <c r="C17" s="5"/>
      <c r="D17" s="5"/>
      <c r="E17" s="5"/>
      <c r="F17" s="5"/>
      <c r="G17" s="5"/>
      <c r="H17" s="5"/>
      <c r="I17" s="5"/>
      <c r="J17" s="5"/>
      <c r="K17" s="5"/>
      <c r="L17" s="5"/>
      <c r="M17" s="5"/>
      <c r="N17" s="118"/>
      <c r="O17" s="90"/>
      <c r="P17" s="90"/>
    </row>
    <row r="18" spans="1:17" ht="24.75" customHeight="1">
      <c r="A18" s="146"/>
      <c r="B18" s="59">
        <v>39995</v>
      </c>
      <c r="C18" s="59">
        <v>40026</v>
      </c>
      <c r="D18" s="59">
        <v>40057</v>
      </c>
      <c r="E18" s="59">
        <v>40087</v>
      </c>
      <c r="F18" s="59">
        <v>40118</v>
      </c>
      <c r="G18" s="59">
        <v>40148</v>
      </c>
      <c r="H18" s="59">
        <v>40179</v>
      </c>
      <c r="I18" s="59">
        <v>40210</v>
      </c>
      <c r="J18" s="59">
        <v>40238</v>
      </c>
      <c r="K18" s="59">
        <v>40269</v>
      </c>
      <c r="L18" s="59">
        <v>40299</v>
      </c>
      <c r="M18" s="59">
        <v>40330</v>
      </c>
      <c r="N18" s="60" t="s">
        <v>367</v>
      </c>
      <c r="O18" s="61" t="s">
        <v>166</v>
      </c>
      <c r="P18" s="61" t="s">
        <v>171</v>
      </c>
      <c r="Q18" s="2"/>
    </row>
    <row r="19" spans="1:17" ht="12.75" customHeight="1">
      <c r="A19" s="67" t="s">
        <v>99</v>
      </c>
      <c r="B19" s="59"/>
      <c r="C19" s="59"/>
      <c r="D19" s="59"/>
      <c r="E19" s="59"/>
      <c r="F19" s="59"/>
      <c r="G19" s="59"/>
      <c r="H19" s="59"/>
      <c r="I19" s="59"/>
      <c r="J19" s="59"/>
      <c r="K19" s="59"/>
      <c r="L19" s="59"/>
      <c r="M19" s="59"/>
      <c r="N19" s="61"/>
      <c r="O19" s="106"/>
      <c r="P19" s="106"/>
    </row>
    <row r="20" spans="1:17" ht="12.75" customHeight="1">
      <c r="A20" s="71" t="s">
        <v>204</v>
      </c>
      <c r="B20" s="23">
        <v>796</v>
      </c>
      <c r="C20" s="23">
        <v>287</v>
      </c>
      <c r="D20" s="23">
        <v>639</v>
      </c>
      <c r="E20" s="23">
        <v>1552</v>
      </c>
      <c r="F20" s="23">
        <v>1383</v>
      </c>
      <c r="G20" s="23">
        <v>1217</v>
      </c>
      <c r="H20" s="23">
        <v>590</v>
      </c>
      <c r="I20" s="23">
        <v>1132</v>
      </c>
      <c r="J20" s="23">
        <v>1377</v>
      </c>
      <c r="K20" s="23">
        <v>1603</v>
      </c>
      <c r="L20" s="23">
        <v>702</v>
      </c>
      <c r="M20" s="23">
        <v>543</v>
      </c>
      <c r="N20" s="73">
        <f>SUM(B20:M20)</f>
        <v>11821</v>
      </c>
      <c r="O20" s="74">
        <v>0</v>
      </c>
      <c r="P20" s="76" t="s">
        <v>228</v>
      </c>
    </row>
    <row r="21" spans="1:17" ht="12.75" customHeight="1">
      <c r="A21" s="71" t="s">
        <v>253</v>
      </c>
      <c r="B21" s="12">
        <v>211</v>
      </c>
      <c r="C21" s="12">
        <v>86</v>
      </c>
      <c r="D21" s="12">
        <v>196</v>
      </c>
      <c r="E21" s="12">
        <v>490</v>
      </c>
      <c r="F21" s="12">
        <v>485</v>
      </c>
      <c r="G21" s="12">
        <v>370</v>
      </c>
      <c r="H21" s="12">
        <v>232</v>
      </c>
      <c r="I21" s="12">
        <v>438</v>
      </c>
      <c r="J21" s="12">
        <v>472</v>
      </c>
      <c r="K21" s="12">
        <v>595</v>
      </c>
      <c r="L21" s="12">
        <v>220</v>
      </c>
      <c r="M21" s="12">
        <v>204</v>
      </c>
      <c r="N21" s="73">
        <f>SUM(B21:M21)</f>
        <v>3999</v>
      </c>
      <c r="O21" s="74"/>
      <c r="P21" s="75"/>
    </row>
    <row r="22" spans="1:17" ht="12.75" customHeight="1">
      <c r="A22" s="2"/>
      <c r="B22" s="119"/>
      <c r="C22" s="119"/>
      <c r="D22" s="119"/>
      <c r="E22" s="119"/>
      <c r="F22" s="119"/>
      <c r="G22" s="119"/>
      <c r="H22" s="119"/>
      <c r="I22" s="119"/>
      <c r="J22" s="119"/>
      <c r="K22" s="119"/>
      <c r="L22" s="119"/>
      <c r="M22" s="119"/>
      <c r="N22" s="119"/>
      <c r="O22" s="75"/>
      <c r="P22" s="75"/>
    </row>
    <row r="23" spans="1:17" ht="12.75" customHeight="1">
      <c r="A23" s="5"/>
      <c r="B23" s="118"/>
      <c r="C23" s="118"/>
      <c r="D23" s="118"/>
      <c r="E23" s="118"/>
      <c r="F23" s="118"/>
      <c r="G23" s="118"/>
      <c r="H23" s="118"/>
      <c r="I23" s="118"/>
      <c r="J23" s="118"/>
      <c r="K23" s="118"/>
      <c r="L23" s="118"/>
      <c r="M23" s="118"/>
      <c r="N23" s="118"/>
      <c r="O23" s="90"/>
      <c r="P23" s="90"/>
    </row>
    <row r="24" spans="1:17" ht="24.75" customHeight="1">
      <c r="A24" s="146"/>
      <c r="B24" s="59">
        <v>39995</v>
      </c>
      <c r="C24" s="59">
        <v>40026</v>
      </c>
      <c r="D24" s="59">
        <v>40057</v>
      </c>
      <c r="E24" s="59">
        <v>40087</v>
      </c>
      <c r="F24" s="59">
        <v>40118</v>
      </c>
      <c r="G24" s="59">
        <v>40148</v>
      </c>
      <c r="H24" s="59">
        <v>40179</v>
      </c>
      <c r="I24" s="59">
        <v>40210</v>
      </c>
      <c r="J24" s="59">
        <v>40238</v>
      </c>
      <c r="K24" s="59">
        <v>40269</v>
      </c>
      <c r="L24" s="59">
        <v>40299</v>
      </c>
      <c r="M24" s="59">
        <v>40330</v>
      </c>
      <c r="N24" s="60" t="s">
        <v>367</v>
      </c>
      <c r="O24" s="61" t="s">
        <v>166</v>
      </c>
      <c r="P24" s="61" t="s">
        <v>171</v>
      </c>
      <c r="Q24" s="2"/>
    </row>
    <row r="25" spans="1:17" ht="12.75" customHeight="1">
      <c r="A25" s="67" t="s">
        <v>81</v>
      </c>
      <c r="B25" s="59"/>
      <c r="C25" s="59"/>
      <c r="D25" s="59"/>
      <c r="E25" s="59"/>
      <c r="F25" s="59"/>
      <c r="G25" s="59"/>
      <c r="H25" s="59"/>
      <c r="I25" s="59"/>
      <c r="J25" s="59"/>
      <c r="K25" s="59"/>
      <c r="L25" s="59"/>
      <c r="M25" s="59"/>
      <c r="N25" s="61"/>
      <c r="O25" s="106"/>
      <c r="P25" s="106"/>
    </row>
    <row r="26" spans="1:17" ht="12.75" customHeight="1">
      <c r="A26" s="71" t="s">
        <v>204</v>
      </c>
      <c r="B26" s="23">
        <v>740</v>
      </c>
      <c r="C26" s="23">
        <v>384</v>
      </c>
      <c r="D26" s="23">
        <v>841</v>
      </c>
      <c r="E26" s="23">
        <v>1823</v>
      </c>
      <c r="F26" s="23">
        <v>1514</v>
      </c>
      <c r="G26" s="23">
        <v>1281</v>
      </c>
      <c r="H26" s="23">
        <v>715</v>
      </c>
      <c r="I26" s="23">
        <v>1150</v>
      </c>
      <c r="J26" s="23">
        <v>1430</v>
      </c>
      <c r="K26" s="23">
        <v>1343</v>
      </c>
      <c r="L26" s="23">
        <v>683</v>
      </c>
      <c r="M26" s="23">
        <v>710</v>
      </c>
      <c r="N26" s="73">
        <f>SUM(B26:M26)</f>
        <v>12614</v>
      </c>
      <c r="O26" s="74">
        <v>0</v>
      </c>
      <c r="P26" s="76" t="s">
        <v>228</v>
      </c>
    </row>
    <row r="27" spans="1:17" ht="12.75" customHeight="1">
      <c r="A27" s="2"/>
      <c r="B27" s="42"/>
      <c r="C27" s="42"/>
      <c r="D27" s="42"/>
      <c r="E27" s="42"/>
      <c r="F27" s="42"/>
      <c r="G27" s="42"/>
      <c r="H27" s="42"/>
      <c r="I27" s="42"/>
      <c r="J27" s="42"/>
      <c r="K27" s="42"/>
      <c r="L27" s="42"/>
      <c r="M27" s="42"/>
      <c r="N27" s="119"/>
      <c r="O27" s="75"/>
      <c r="P27" s="75"/>
    </row>
    <row r="28" spans="1:17" ht="12.75" customHeight="1">
      <c r="A28" s="5"/>
      <c r="B28" s="5"/>
      <c r="C28" s="5"/>
      <c r="D28" s="5"/>
      <c r="E28" s="5"/>
      <c r="F28" s="5"/>
      <c r="G28" s="5"/>
      <c r="H28" s="5"/>
      <c r="I28" s="5"/>
      <c r="J28" s="5"/>
      <c r="K28" s="5"/>
      <c r="L28" s="5"/>
      <c r="M28" s="5"/>
      <c r="N28" s="118"/>
      <c r="O28" s="90"/>
      <c r="P28" s="90"/>
    </row>
    <row r="29" spans="1:17" ht="12.75" customHeight="1">
      <c r="A29" s="146"/>
      <c r="B29" s="59">
        <v>39995</v>
      </c>
      <c r="C29" s="59">
        <v>40026</v>
      </c>
      <c r="D29" s="59">
        <v>40057</v>
      </c>
      <c r="E29" s="59">
        <v>40087</v>
      </c>
      <c r="F29" s="59">
        <v>40118</v>
      </c>
      <c r="G29" s="59">
        <v>40148</v>
      </c>
      <c r="H29" s="59">
        <v>40179</v>
      </c>
      <c r="I29" s="59">
        <v>40210</v>
      </c>
      <c r="J29" s="59">
        <v>40238</v>
      </c>
      <c r="K29" s="59">
        <v>40269</v>
      </c>
      <c r="L29" s="59">
        <v>40299</v>
      </c>
      <c r="M29" s="59">
        <v>40330</v>
      </c>
      <c r="N29" s="60" t="s">
        <v>367</v>
      </c>
      <c r="O29" s="61" t="s">
        <v>166</v>
      </c>
      <c r="P29" s="61" t="s">
        <v>171</v>
      </c>
    </row>
    <row r="30" spans="1:17" ht="12.75" customHeight="1">
      <c r="A30" s="67" t="s">
        <v>80</v>
      </c>
      <c r="B30" s="59"/>
      <c r="C30" s="59"/>
      <c r="D30" s="59"/>
      <c r="E30" s="59"/>
      <c r="F30" s="59"/>
      <c r="G30" s="59"/>
      <c r="H30" s="59"/>
      <c r="I30" s="59"/>
      <c r="J30" s="59"/>
      <c r="K30" s="59"/>
      <c r="L30" s="59"/>
      <c r="M30" s="59"/>
      <c r="N30" s="61"/>
      <c r="O30" s="106"/>
      <c r="P30" s="106"/>
    </row>
    <row r="31" spans="1:17" ht="12.75" customHeight="1">
      <c r="A31" s="71" t="s">
        <v>204</v>
      </c>
      <c r="B31" s="23">
        <v>709</v>
      </c>
      <c r="C31" s="23">
        <v>362</v>
      </c>
      <c r="D31" s="23">
        <v>776</v>
      </c>
      <c r="E31" s="23">
        <v>1737</v>
      </c>
      <c r="F31" s="23">
        <v>1444</v>
      </c>
      <c r="G31" s="23">
        <v>1246</v>
      </c>
      <c r="H31" s="23">
        <v>647</v>
      </c>
      <c r="I31" s="23">
        <v>1016</v>
      </c>
      <c r="J31" s="23">
        <v>1334</v>
      </c>
      <c r="K31" s="23">
        <v>1291</v>
      </c>
      <c r="L31" s="23">
        <v>614</v>
      </c>
      <c r="M31" s="23">
        <v>658</v>
      </c>
      <c r="N31" s="73">
        <f>SUM(B31:M31)</f>
        <v>11834</v>
      </c>
      <c r="O31" s="74">
        <v>6010</v>
      </c>
      <c r="P31" s="76">
        <f>O31/N31</f>
        <v>0.50785871218522904</v>
      </c>
    </row>
    <row r="32" spans="1:17" ht="12.75" customHeight="1">
      <c r="A32" s="71" t="s">
        <v>253</v>
      </c>
      <c r="B32" s="12">
        <v>215</v>
      </c>
      <c r="C32" s="12">
        <v>122</v>
      </c>
      <c r="D32" s="12">
        <v>265</v>
      </c>
      <c r="E32" s="12">
        <v>551</v>
      </c>
      <c r="F32" s="12">
        <v>505</v>
      </c>
      <c r="G32" s="12">
        <v>350</v>
      </c>
      <c r="H32" s="12">
        <v>216</v>
      </c>
      <c r="I32" s="12">
        <v>405</v>
      </c>
      <c r="J32" s="12">
        <v>476</v>
      </c>
      <c r="K32" s="12">
        <v>542</v>
      </c>
      <c r="L32" s="12">
        <v>232</v>
      </c>
      <c r="M32" s="12">
        <v>231</v>
      </c>
      <c r="N32" s="73">
        <f>SUM(B32:M32)</f>
        <v>4110</v>
      </c>
      <c r="O32" s="74"/>
      <c r="P32" s="75"/>
    </row>
    <row r="33" spans="1:17" ht="12.75" customHeight="1">
      <c r="B33" s="43"/>
      <c r="C33" s="43"/>
      <c r="D33" s="43"/>
      <c r="E33" s="43"/>
      <c r="F33" s="43"/>
      <c r="G33" s="43"/>
      <c r="H33" s="43"/>
      <c r="I33" s="43"/>
      <c r="J33" s="43"/>
      <c r="K33" s="43"/>
      <c r="L33" s="43"/>
      <c r="M33" s="43"/>
      <c r="N33" s="43"/>
    </row>
    <row r="34" spans="1:17" ht="12.75" customHeight="1">
      <c r="A34" s="6"/>
      <c r="B34" s="6"/>
      <c r="C34" s="6"/>
      <c r="D34" s="6"/>
      <c r="E34" s="6"/>
      <c r="F34" s="6"/>
      <c r="G34" s="6"/>
      <c r="H34" s="6"/>
      <c r="I34" s="6"/>
      <c r="J34" s="6"/>
      <c r="K34" s="6"/>
      <c r="L34" s="6"/>
      <c r="M34" s="6"/>
      <c r="N34" s="6"/>
      <c r="O34" s="6"/>
      <c r="P34" s="6"/>
    </row>
    <row r="35" spans="1:17" ht="12.75" customHeight="1">
      <c r="A35" s="146"/>
      <c r="B35" s="59">
        <v>39995</v>
      </c>
      <c r="C35" s="59">
        <v>40026</v>
      </c>
      <c r="D35" s="59">
        <v>40057</v>
      </c>
      <c r="E35" s="59">
        <v>40087</v>
      </c>
      <c r="F35" s="59">
        <v>40118</v>
      </c>
      <c r="G35" s="59">
        <v>40148</v>
      </c>
      <c r="H35" s="59">
        <v>40179</v>
      </c>
      <c r="I35" s="59">
        <v>40210</v>
      </c>
      <c r="J35" s="59">
        <v>40238</v>
      </c>
      <c r="K35" s="59">
        <v>40269</v>
      </c>
      <c r="L35" s="59">
        <v>40299</v>
      </c>
      <c r="M35" s="59">
        <v>40330</v>
      </c>
      <c r="N35" s="60" t="s">
        <v>367</v>
      </c>
      <c r="O35" s="61" t="s">
        <v>166</v>
      </c>
      <c r="P35" s="61" t="s">
        <v>171</v>
      </c>
    </row>
    <row r="36" spans="1:17" ht="12.75" customHeight="1">
      <c r="A36" s="106" t="s">
        <v>24</v>
      </c>
      <c r="B36" s="59"/>
      <c r="C36" s="59"/>
      <c r="D36" s="59"/>
      <c r="E36" s="59"/>
      <c r="F36" s="59"/>
      <c r="G36" s="59"/>
      <c r="H36" s="59"/>
      <c r="I36" s="59"/>
      <c r="J36" s="59"/>
      <c r="K36" s="59"/>
      <c r="L36" s="59"/>
      <c r="M36" s="59"/>
      <c r="N36" s="61"/>
      <c r="O36" s="106"/>
      <c r="P36" s="106"/>
    </row>
    <row r="37" spans="1:17" ht="12.75" customHeight="1">
      <c r="A37" s="71" t="s">
        <v>204</v>
      </c>
      <c r="B37" s="23">
        <v>740</v>
      </c>
      <c r="C37" s="23">
        <v>384</v>
      </c>
      <c r="D37" s="23">
        <v>841</v>
      </c>
      <c r="E37" s="23">
        <v>1822</v>
      </c>
      <c r="F37" s="23">
        <v>1514</v>
      </c>
      <c r="G37" s="23">
        <v>1281</v>
      </c>
      <c r="H37" s="23">
        <v>715</v>
      </c>
      <c r="I37" s="23">
        <v>1150</v>
      </c>
      <c r="J37" s="23">
        <v>1430</v>
      </c>
      <c r="K37" s="23">
        <v>1343</v>
      </c>
      <c r="L37" s="23">
        <v>682</v>
      </c>
      <c r="M37" s="23">
        <v>669</v>
      </c>
      <c r="N37" s="73">
        <f>SUM(B37:M37)</f>
        <v>12571</v>
      </c>
      <c r="O37" s="74">
        <v>0</v>
      </c>
      <c r="P37" s="76" t="s">
        <v>228</v>
      </c>
    </row>
    <row r="38" spans="1:17" ht="12.75" customHeight="1">
      <c r="A38" s="71" t="s">
        <v>253</v>
      </c>
      <c r="B38" s="12">
        <v>226</v>
      </c>
      <c r="C38" s="12">
        <v>129</v>
      </c>
      <c r="D38" s="12">
        <v>285</v>
      </c>
      <c r="E38" s="12">
        <v>595</v>
      </c>
      <c r="F38" s="12">
        <v>530</v>
      </c>
      <c r="G38" s="12">
        <v>369</v>
      </c>
      <c r="H38" s="12">
        <v>238</v>
      </c>
      <c r="I38" s="12">
        <v>442</v>
      </c>
      <c r="J38" s="12">
        <v>504</v>
      </c>
      <c r="K38" s="12">
        <v>567</v>
      </c>
      <c r="L38" s="12">
        <v>253</v>
      </c>
      <c r="M38" s="12">
        <v>247</v>
      </c>
      <c r="N38" s="73">
        <f>SUM(B38:M38)</f>
        <v>4385</v>
      </c>
      <c r="O38" s="74"/>
      <c r="P38" s="75"/>
    </row>
    <row r="39" spans="1:17" ht="12.75" customHeight="1">
      <c r="B39" s="43"/>
      <c r="C39" s="43"/>
      <c r="D39" s="43"/>
      <c r="E39" s="43"/>
      <c r="F39" s="43"/>
      <c r="G39" s="43"/>
      <c r="H39" s="43"/>
      <c r="I39" s="43"/>
      <c r="J39" s="43"/>
      <c r="K39" s="43"/>
      <c r="L39" s="43"/>
      <c r="M39" s="43"/>
      <c r="N39" s="43"/>
    </row>
    <row r="40" spans="1:17" ht="12.75" customHeight="1">
      <c r="A40" s="5"/>
      <c r="B40" s="5"/>
      <c r="C40" s="5"/>
      <c r="D40" s="5"/>
      <c r="E40" s="5"/>
      <c r="F40" s="5"/>
      <c r="G40" s="5"/>
      <c r="H40" s="5"/>
      <c r="I40" s="5"/>
      <c r="J40" s="5"/>
      <c r="K40" s="5"/>
      <c r="L40" s="5"/>
      <c r="M40" s="5"/>
      <c r="N40" s="118"/>
      <c r="O40" s="90"/>
      <c r="P40" s="90"/>
    </row>
    <row r="41" spans="1:17" ht="24.75" customHeight="1">
      <c r="A41" s="146"/>
      <c r="B41" s="59">
        <v>39995</v>
      </c>
      <c r="C41" s="59">
        <v>40026</v>
      </c>
      <c r="D41" s="59">
        <v>40057</v>
      </c>
      <c r="E41" s="59">
        <v>40087</v>
      </c>
      <c r="F41" s="59">
        <v>40118</v>
      </c>
      <c r="G41" s="59">
        <v>40148</v>
      </c>
      <c r="H41" s="59">
        <v>40179</v>
      </c>
      <c r="I41" s="59">
        <v>40210</v>
      </c>
      <c r="J41" s="59">
        <v>40238</v>
      </c>
      <c r="K41" s="59">
        <v>40269</v>
      </c>
      <c r="L41" s="59">
        <v>40299</v>
      </c>
      <c r="M41" s="59">
        <v>40330</v>
      </c>
      <c r="N41" s="60" t="s">
        <v>367</v>
      </c>
      <c r="O41" s="61" t="s">
        <v>166</v>
      </c>
      <c r="P41" s="61" t="s">
        <v>171</v>
      </c>
      <c r="Q41" s="2"/>
    </row>
    <row r="42" spans="1:17" ht="12.75" customHeight="1">
      <c r="A42" s="67" t="s">
        <v>391</v>
      </c>
      <c r="B42" s="59"/>
      <c r="C42" s="59"/>
      <c r="D42" s="59"/>
      <c r="E42" s="53"/>
      <c r="F42" s="53"/>
      <c r="G42" s="59"/>
      <c r="H42" s="59"/>
      <c r="I42" s="59"/>
      <c r="J42" s="59"/>
      <c r="K42" s="59"/>
      <c r="L42" s="59"/>
      <c r="M42" s="59"/>
      <c r="N42" s="61"/>
      <c r="O42" s="106"/>
      <c r="P42" s="106"/>
    </row>
    <row r="43" spans="1:17" ht="12.75" customHeight="1">
      <c r="A43" s="71" t="s">
        <v>204</v>
      </c>
      <c r="B43" s="147">
        <v>569</v>
      </c>
      <c r="C43" s="147">
        <v>285</v>
      </c>
      <c r="D43" s="147">
        <v>470</v>
      </c>
      <c r="E43" s="147">
        <v>1442</v>
      </c>
      <c r="F43" s="147">
        <v>1278</v>
      </c>
      <c r="G43" s="147">
        <v>927</v>
      </c>
      <c r="H43" s="147" t="s">
        <v>251</v>
      </c>
      <c r="I43" s="147" t="s">
        <v>251</v>
      </c>
      <c r="J43" s="147" t="s">
        <v>251</v>
      </c>
      <c r="K43" s="147" t="s">
        <v>251</v>
      </c>
      <c r="L43" s="147" t="s">
        <v>251</v>
      </c>
      <c r="M43" s="147" t="s">
        <v>251</v>
      </c>
      <c r="N43" s="73">
        <f>SUM(B43:M43)</f>
        <v>4971</v>
      </c>
      <c r="O43" s="74">
        <v>0</v>
      </c>
      <c r="P43" s="76" t="s">
        <v>228</v>
      </c>
    </row>
    <row r="44" spans="1:17" ht="12.75" customHeight="1">
      <c r="A44" s="71" t="s">
        <v>253</v>
      </c>
      <c r="B44" s="33">
        <v>160</v>
      </c>
      <c r="C44" s="33">
        <v>81</v>
      </c>
      <c r="D44" s="33">
        <v>148</v>
      </c>
      <c r="E44" s="33">
        <v>451</v>
      </c>
      <c r="F44" s="33">
        <v>439</v>
      </c>
      <c r="G44" s="33">
        <v>225</v>
      </c>
      <c r="H44" s="33" t="s">
        <v>251</v>
      </c>
      <c r="I44" s="33" t="s">
        <v>251</v>
      </c>
      <c r="J44" s="33" t="s">
        <v>251</v>
      </c>
      <c r="K44" s="33" t="s">
        <v>251</v>
      </c>
      <c r="L44" s="33" t="s">
        <v>251</v>
      </c>
      <c r="M44" s="33" t="s">
        <v>251</v>
      </c>
      <c r="N44" s="73">
        <f>SUM(B44:M44)</f>
        <v>1504</v>
      </c>
      <c r="O44" s="74"/>
      <c r="P44" s="76"/>
    </row>
    <row r="45" spans="1:17" ht="12.75" customHeight="1">
      <c r="A45" s="2"/>
      <c r="B45" s="86"/>
      <c r="C45" s="86"/>
      <c r="D45" s="86"/>
      <c r="E45" s="86"/>
      <c r="F45" s="86"/>
      <c r="G45" s="86"/>
      <c r="H45" s="86"/>
      <c r="I45" s="86"/>
      <c r="J45" s="86"/>
      <c r="K45" s="86"/>
      <c r="L45" s="86"/>
      <c r="M45" s="86"/>
      <c r="N45" s="87"/>
      <c r="O45" s="75"/>
      <c r="P45" s="76"/>
    </row>
    <row r="46" spans="1:17" ht="12.75" customHeight="1">
      <c r="A46" s="5"/>
      <c r="B46" s="88"/>
      <c r="C46" s="88"/>
      <c r="D46" s="88"/>
      <c r="E46" s="88"/>
      <c r="F46" s="88"/>
      <c r="G46" s="88"/>
      <c r="H46" s="88"/>
      <c r="I46" s="88"/>
      <c r="J46" s="88"/>
      <c r="K46" s="88"/>
      <c r="L46" s="88"/>
      <c r="M46" s="88"/>
      <c r="N46" s="89"/>
      <c r="O46" s="90"/>
      <c r="P46" s="102"/>
    </row>
    <row r="47" spans="1:17" ht="12.75" customHeight="1">
      <c r="A47" s="146"/>
      <c r="B47" s="59">
        <v>39995</v>
      </c>
      <c r="C47" s="59">
        <v>40026</v>
      </c>
      <c r="D47" s="59">
        <v>40057</v>
      </c>
      <c r="E47" s="59">
        <v>40087</v>
      </c>
      <c r="F47" s="59">
        <v>40118</v>
      </c>
      <c r="G47" s="59">
        <v>40148</v>
      </c>
      <c r="H47" s="59">
        <v>40179</v>
      </c>
      <c r="I47" s="59">
        <v>40210</v>
      </c>
      <c r="J47" s="59">
        <v>40238</v>
      </c>
      <c r="K47" s="59">
        <v>40269</v>
      </c>
      <c r="L47" s="59">
        <v>40299</v>
      </c>
      <c r="M47" s="59">
        <v>40330</v>
      </c>
      <c r="N47" s="60" t="s">
        <v>367</v>
      </c>
      <c r="O47" s="61" t="s">
        <v>166</v>
      </c>
      <c r="P47" s="61" t="s">
        <v>171</v>
      </c>
    </row>
    <row r="48" spans="1:17" ht="24.75" customHeight="1">
      <c r="A48" s="106" t="s">
        <v>72</v>
      </c>
      <c r="B48" s="59"/>
      <c r="C48" s="59"/>
      <c r="D48" s="59"/>
      <c r="E48" s="59"/>
      <c r="F48" s="59"/>
      <c r="G48" s="59"/>
      <c r="H48" s="59"/>
      <c r="I48" s="59"/>
      <c r="J48" s="59"/>
      <c r="K48" s="59"/>
      <c r="L48" s="59"/>
      <c r="M48" s="59"/>
      <c r="N48" s="61"/>
      <c r="O48" s="106"/>
      <c r="P48" s="106"/>
    </row>
    <row r="49" spans="1:17" ht="12.75" customHeight="1">
      <c r="A49" s="71" t="s">
        <v>204</v>
      </c>
      <c r="B49" s="23">
        <v>11</v>
      </c>
      <c r="C49" s="23">
        <v>21</v>
      </c>
      <c r="D49" s="23">
        <v>0</v>
      </c>
      <c r="E49" s="23" t="s">
        <v>251</v>
      </c>
      <c r="F49" s="23" t="s">
        <v>251</v>
      </c>
      <c r="G49" s="23" t="s">
        <v>251</v>
      </c>
      <c r="H49" s="23" t="s">
        <v>251</v>
      </c>
      <c r="I49" s="23" t="s">
        <v>251</v>
      </c>
      <c r="J49" s="23" t="s">
        <v>251</v>
      </c>
      <c r="K49" s="23" t="s">
        <v>251</v>
      </c>
      <c r="L49" s="23" t="s">
        <v>251</v>
      </c>
      <c r="M49" s="23" t="s">
        <v>251</v>
      </c>
      <c r="N49" s="73">
        <f>SUM(B49:M49)</f>
        <v>32</v>
      </c>
      <c r="O49" s="74">
        <v>0</v>
      </c>
      <c r="P49" s="76" t="s">
        <v>228</v>
      </c>
    </row>
    <row r="50" spans="1:17" ht="12.75" customHeight="1">
      <c r="A50" s="71" t="s">
        <v>253</v>
      </c>
      <c r="B50" s="23">
        <v>4</v>
      </c>
      <c r="C50" s="23">
        <v>4</v>
      </c>
      <c r="D50" s="23">
        <v>0</v>
      </c>
      <c r="E50" s="23" t="s">
        <v>251</v>
      </c>
      <c r="F50" s="23" t="s">
        <v>251</v>
      </c>
      <c r="G50" s="23" t="s">
        <v>251</v>
      </c>
      <c r="H50" s="23" t="s">
        <v>251</v>
      </c>
      <c r="I50" s="23" t="s">
        <v>251</v>
      </c>
      <c r="J50" s="23" t="s">
        <v>251</v>
      </c>
      <c r="K50" s="23" t="s">
        <v>251</v>
      </c>
      <c r="L50" s="23" t="s">
        <v>251</v>
      </c>
      <c r="M50" s="23" t="s">
        <v>251</v>
      </c>
      <c r="N50" s="73">
        <f>SUM(B50:M50)</f>
        <v>8</v>
      </c>
      <c r="O50" s="74"/>
      <c r="P50" s="76"/>
    </row>
    <row r="51" spans="1:17" ht="12.75" customHeight="1">
      <c r="A51" s="2"/>
      <c r="B51" s="86"/>
      <c r="C51" s="86"/>
      <c r="D51" s="86"/>
      <c r="E51" s="86"/>
      <c r="F51" s="86"/>
      <c r="G51" s="86"/>
      <c r="H51" s="86"/>
      <c r="I51" s="86"/>
      <c r="J51" s="86"/>
      <c r="K51" s="86"/>
      <c r="L51" s="86"/>
      <c r="M51" s="86"/>
      <c r="N51" s="87"/>
      <c r="O51" s="75"/>
      <c r="P51" s="76"/>
    </row>
    <row r="52" spans="1:17" ht="12.75" customHeight="1">
      <c r="A52" s="5"/>
      <c r="B52" s="88"/>
      <c r="C52" s="88"/>
      <c r="D52" s="88"/>
      <c r="E52" s="88"/>
      <c r="F52" s="88"/>
      <c r="G52" s="88"/>
      <c r="H52" s="88"/>
      <c r="I52" s="88"/>
      <c r="J52" s="88"/>
      <c r="K52" s="88"/>
      <c r="L52" s="88"/>
      <c r="M52" s="88"/>
      <c r="N52" s="89"/>
      <c r="O52" s="90"/>
      <c r="P52" s="102"/>
    </row>
    <row r="53" spans="1:17" ht="12.75" customHeight="1">
      <c r="A53" s="146"/>
      <c r="B53" s="59">
        <v>39995</v>
      </c>
      <c r="C53" s="59">
        <v>40026</v>
      </c>
      <c r="D53" s="59">
        <v>40057</v>
      </c>
      <c r="E53" s="59">
        <v>40087</v>
      </c>
      <c r="F53" s="59">
        <v>40118</v>
      </c>
      <c r="G53" s="59">
        <v>40148</v>
      </c>
      <c r="H53" s="59">
        <v>40179</v>
      </c>
      <c r="I53" s="59">
        <v>40210</v>
      </c>
      <c r="J53" s="59">
        <v>40238</v>
      </c>
      <c r="K53" s="59">
        <v>40269</v>
      </c>
      <c r="L53" s="59">
        <v>40299</v>
      </c>
      <c r="M53" s="59">
        <v>40330</v>
      </c>
      <c r="N53" s="60" t="s">
        <v>367</v>
      </c>
      <c r="O53" s="61" t="s">
        <v>166</v>
      </c>
      <c r="P53" s="61" t="s">
        <v>171</v>
      </c>
    </row>
    <row r="54" spans="1:17" ht="12.75" customHeight="1">
      <c r="A54" s="67" t="s">
        <v>188</v>
      </c>
      <c r="B54" s="59"/>
      <c r="C54" s="59"/>
      <c r="D54" s="59"/>
      <c r="E54" s="59"/>
      <c r="F54" s="59"/>
      <c r="G54" s="59"/>
      <c r="H54" s="59"/>
      <c r="I54" s="59"/>
      <c r="J54" s="59"/>
      <c r="K54" s="59"/>
      <c r="L54" s="59"/>
      <c r="M54" s="59"/>
      <c r="N54" s="61"/>
      <c r="O54" s="106"/>
      <c r="P54" s="106"/>
    </row>
    <row r="55" spans="1:17" ht="12.75" customHeight="1">
      <c r="A55" s="71" t="s">
        <v>204</v>
      </c>
      <c r="B55" s="23">
        <v>699</v>
      </c>
      <c r="C55" s="23">
        <v>311</v>
      </c>
      <c r="D55" s="23">
        <v>735</v>
      </c>
      <c r="E55" s="23">
        <v>1590</v>
      </c>
      <c r="F55" s="23">
        <v>1605</v>
      </c>
      <c r="G55" s="23">
        <v>1291</v>
      </c>
      <c r="H55" s="23">
        <v>725</v>
      </c>
      <c r="I55" s="23">
        <v>1753</v>
      </c>
      <c r="J55" s="23">
        <v>1197</v>
      </c>
      <c r="K55" s="23">
        <v>1478</v>
      </c>
      <c r="L55" s="23">
        <v>702</v>
      </c>
      <c r="M55" s="23">
        <v>600</v>
      </c>
      <c r="N55" s="73">
        <f>SUM(B55:M55)</f>
        <v>12686</v>
      </c>
      <c r="O55" s="74">
        <v>3370</v>
      </c>
      <c r="P55" s="76">
        <f>O55/N55</f>
        <v>0.26564717010878136</v>
      </c>
    </row>
    <row r="56" spans="1:17" ht="12.75" customHeight="1">
      <c r="A56" s="71" t="s">
        <v>253</v>
      </c>
      <c r="B56" s="12">
        <v>191</v>
      </c>
      <c r="C56" s="12">
        <v>87</v>
      </c>
      <c r="D56" s="12">
        <v>226</v>
      </c>
      <c r="E56" s="12">
        <v>496</v>
      </c>
      <c r="F56" s="12">
        <v>560</v>
      </c>
      <c r="G56" s="12">
        <v>372</v>
      </c>
      <c r="H56" s="12">
        <v>253</v>
      </c>
      <c r="I56" s="12">
        <v>523</v>
      </c>
      <c r="J56" s="12">
        <v>440</v>
      </c>
      <c r="K56" s="12">
        <v>586</v>
      </c>
      <c r="L56" s="12">
        <v>211</v>
      </c>
      <c r="M56" s="12">
        <v>205</v>
      </c>
      <c r="N56" s="73">
        <f>SUM(B56:M56)</f>
        <v>4150</v>
      </c>
      <c r="O56" s="74"/>
      <c r="P56" s="75"/>
    </row>
    <row r="57" spans="1:17" ht="12.75" customHeight="1">
      <c r="A57" s="2"/>
      <c r="B57" s="86"/>
      <c r="C57" s="86"/>
      <c r="D57" s="86"/>
      <c r="E57" s="86"/>
      <c r="F57" s="86"/>
      <c r="G57" s="86"/>
      <c r="H57" s="86"/>
      <c r="I57" s="86"/>
      <c r="J57" s="86"/>
      <c r="K57" s="86"/>
      <c r="L57" s="86"/>
      <c r="M57" s="86"/>
      <c r="N57" s="87"/>
      <c r="O57" s="75"/>
      <c r="P57" s="76"/>
    </row>
    <row r="58" spans="1:17" ht="12.75" customHeight="1">
      <c r="A58" s="5"/>
      <c r="B58" s="88"/>
      <c r="C58" s="88"/>
      <c r="D58" s="88"/>
      <c r="E58" s="88"/>
      <c r="F58" s="88"/>
      <c r="G58" s="88"/>
      <c r="H58" s="88"/>
      <c r="I58" s="88"/>
      <c r="J58" s="88"/>
      <c r="K58" s="88"/>
      <c r="L58" s="88"/>
      <c r="M58" s="88"/>
      <c r="N58" s="89"/>
      <c r="O58" s="90"/>
      <c r="P58" s="102"/>
    </row>
    <row r="59" spans="1:17" ht="12.75" customHeight="1">
      <c r="A59" s="146"/>
      <c r="B59" s="59">
        <v>39995</v>
      </c>
      <c r="C59" s="59">
        <v>40026</v>
      </c>
      <c r="D59" s="59">
        <v>40057</v>
      </c>
      <c r="E59" s="59">
        <v>40087</v>
      </c>
      <c r="F59" s="59">
        <v>40118</v>
      </c>
      <c r="G59" s="59">
        <v>40148</v>
      </c>
      <c r="H59" s="59">
        <v>40179</v>
      </c>
      <c r="I59" s="59">
        <v>40210</v>
      </c>
      <c r="J59" s="59">
        <v>40238</v>
      </c>
      <c r="K59" s="59">
        <v>40269</v>
      </c>
      <c r="L59" s="59">
        <v>40299</v>
      </c>
      <c r="M59" s="59">
        <v>40330</v>
      </c>
      <c r="N59" s="60" t="s">
        <v>367</v>
      </c>
      <c r="O59" s="61" t="s">
        <v>166</v>
      </c>
      <c r="P59" s="61" t="s">
        <v>171</v>
      </c>
    </row>
    <row r="60" spans="1:17" ht="12.75" customHeight="1">
      <c r="A60" s="67" t="s">
        <v>297</v>
      </c>
      <c r="B60" s="59"/>
      <c r="C60" s="59"/>
      <c r="D60" s="59"/>
      <c r="E60" s="59"/>
      <c r="F60" s="59"/>
      <c r="G60" s="59"/>
      <c r="H60" s="59"/>
      <c r="I60" s="59"/>
      <c r="J60" s="59"/>
      <c r="K60" s="59"/>
      <c r="L60" s="59"/>
      <c r="M60" s="59"/>
      <c r="N60" s="61"/>
      <c r="O60" s="106"/>
      <c r="P60" s="106"/>
    </row>
    <row r="61" spans="1:17" ht="12.75" customHeight="1">
      <c r="A61" s="71" t="s">
        <v>204</v>
      </c>
      <c r="B61" s="23">
        <v>891</v>
      </c>
      <c r="C61" s="23">
        <v>403</v>
      </c>
      <c r="D61" s="23">
        <v>868</v>
      </c>
      <c r="E61" s="23">
        <v>1737</v>
      </c>
      <c r="F61" s="23">
        <v>1852</v>
      </c>
      <c r="G61" s="23">
        <v>1359</v>
      </c>
      <c r="H61" s="23">
        <v>887</v>
      </c>
      <c r="I61" s="23">
        <v>1844</v>
      </c>
      <c r="J61" s="23">
        <v>1510</v>
      </c>
      <c r="K61" s="23">
        <v>1728</v>
      </c>
      <c r="L61" s="23">
        <v>867</v>
      </c>
      <c r="M61" s="23">
        <v>709</v>
      </c>
      <c r="N61" s="73">
        <f>SUM(B61:M61)</f>
        <v>14655</v>
      </c>
      <c r="O61" s="74">
        <v>0</v>
      </c>
      <c r="P61" s="76" t="s">
        <v>228</v>
      </c>
    </row>
    <row r="62" spans="1:17" ht="12.75" customHeight="1">
      <c r="A62" s="2"/>
      <c r="B62" s="86"/>
      <c r="C62" s="86"/>
      <c r="D62" s="86"/>
      <c r="E62" s="86"/>
      <c r="F62" s="86"/>
      <c r="G62" s="86"/>
      <c r="H62" s="86"/>
      <c r="I62" s="86"/>
      <c r="J62" s="86"/>
      <c r="K62" s="86"/>
      <c r="L62" s="86"/>
      <c r="M62" s="86"/>
      <c r="N62" s="87"/>
      <c r="O62" s="75"/>
      <c r="P62" s="76"/>
    </row>
    <row r="63" spans="1:17" ht="12.75" customHeight="1">
      <c r="A63" s="5"/>
      <c r="B63" s="88"/>
      <c r="C63" s="88"/>
      <c r="D63" s="88"/>
      <c r="E63" s="88"/>
      <c r="F63" s="88"/>
      <c r="G63" s="88"/>
      <c r="H63" s="88"/>
      <c r="I63" s="88"/>
      <c r="J63" s="88"/>
      <c r="K63" s="88"/>
      <c r="L63" s="88"/>
      <c r="M63" s="88"/>
      <c r="N63" s="89"/>
      <c r="O63" s="90"/>
      <c r="P63" s="102"/>
    </row>
    <row r="64" spans="1:17" ht="24.75" customHeight="1">
      <c r="A64" s="146"/>
      <c r="B64" s="59">
        <v>39995</v>
      </c>
      <c r="C64" s="59">
        <v>40026</v>
      </c>
      <c r="D64" s="59">
        <v>40057</v>
      </c>
      <c r="E64" s="59">
        <v>40087</v>
      </c>
      <c r="F64" s="59">
        <v>40118</v>
      </c>
      <c r="G64" s="59">
        <v>40148</v>
      </c>
      <c r="H64" s="59">
        <v>40179</v>
      </c>
      <c r="I64" s="59">
        <v>40210</v>
      </c>
      <c r="J64" s="59">
        <v>40238</v>
      </c>
      <c r="K64" s="59">
        <v>40269</v>
      </c>
      <c r="L64" s="59">
        <v>40299</v>
      </c>
      <c r="M64" s="59">
        <v>40330</v>
      </c>
      <c r="N64" s="60" t="s">
        <v>367</v>
      </c>
      <c r="O64" s="61" t="s">
        <v>166</v>
      </c>
      <c r="P64" s="61" t="s">
        <v>171</v>
      </c>
      <c r="Q64" s="2"/>
    </row>
    <row r="65" spans="1:17" ht="12.75" customHeight="1">
      <c r="A65" s="67" t="s">
        <v>156</v>
      </c>
      <c r="B65" s="59"/>
      <c r="C65" s="59"/>
      <c r="D65" s="59"/>
      <c r="E65" s="59"/>
      <c r="F65" s="59"/>
      <c r="G65" s="59"/>
      <c r="H65" s="59"/>
      <c r="I65" s="59"/>
      <c r="J65" s="59"/>
      <c r="K65" s="59"/>
      <c r="L65" s="59"/>
      <c r="M65" s="59"/>
      <c r="N65" s="61"/>
      <c r="O65" s="106"/>
      <c r="P65" s="106"/>
    </row>
    <row r="66" spans="1:17" ht="12.75" customHeight="1">
      <c r="A66" s="71" t="s">
        <v>204</v>
      </c>
      <c r="B66" s="23">
        <v>760</v>
      </c>
      <c r="C66" s="23">
        <v>372</v>
      </c>
      <c r="D66" s="23">
        <v>694</v>
      </c>
      <c r="E66" s="23">
        <v>1607</v>
      </c>
      <c r="F66" s="23">
        <v>1489</v>
      </c>
      <c r="G66" s="23">
        <v>1208</v>
      </c>
      <c r="H66" s="23">
        <v>675</v>
      </c>
      <c r="I66" s="23">
        <v>918</v>
      </c>
      <c r="J66" s="23">
        <v>1310</v>
      </c>
      <c r="K66" s="23">
        <v>1462</v>
      </c>
      <c r="L66" s="23">
        <v>563</v>
      </c>
      <c r="M66" s="23">
        <v>621</v>
      </c>
      <c r="N66" s="73">
        <f>SUM(B66:M66)</f>
        <v>11679</v>
      </c>
      <c r="O66" s="74">
        <v>1940</v>
      </c>
      <c r="P66" s="76">
        <f>O66/N66</f>
        <v>0.16611011216713759</v>
      </c>
    </row>
    <row r="67" spans="1:17" ht="12.75" customHeight="1">
      <c r="A67" s="71" t="s">
        <v>253</v>
      </c>
      <c r="B67" s="147">
        <v>188</v>
      </c>
      <c r="C67" s="147">
        <v>106</v>
      </c>
      <c r="D67" s="147">
        <v>214</v>
      </c>
      <c r="E67" s="147">
        <v>500</v>
      </c>
      <c r="F67" s="147">
        <v>505</v>
      </c>
      <c r="G67" s="147">
        <v>320</v>
      </c>
      <c r="H67" s="147">
        <v>199</v>
      </c>
      <c r="I67" s="147">
        <v>339</v>
      </c>
      <c r="J67" s="147">
        <v>458</v>
      </c>
      <c r="K67" s="147">
        <v>557</v>
      </c>
      <c r="L67" s="147">
        <v>196</v>
      </c>
      <c r="M67" s="147">
        <v>205</v>
      </c>
      <c r="N67" s="108">
        <f>SUM(B67:M67)</f>
        <v>3787</v>
      </c>
      <c r="O67" s="74"/>
      <c r="P67" s="75"/>
    </row>
    <row r="68" spans="1:17" ht="12.75" customHeight="1">
      <c r="A68" s="148"/>
      <c r="B68" s="33"/>
      <c r="C68" s="33"/>
      <c r="D68" s="33"/>
      <c r="E68" s="33"/>
      <c r="F68" s="33"/>
      <c r="G68" s="33"/>
      <c r="H68" s="33"/>
      <c r="I68" s="33"/>
      <c r="J68" s="33"/>
      <c r="K68" s="33"/>
      <c r="L68" s="33"/>
      <c r="M68" s="33"/>
      <c r="N68" s="149"/>
      <c r="O68" s="150"/>
      <c r="P68" s="90"/>
    </row>
    <row r="69" spans="1:17" ht="12.75" customHeight="1">
      <c r="A69" s="146"/>
      <c r="B69" s="59">
        <v>39995</v>
      </c>
      <c r="C69" s="59">
        <v>40026</v>
      </c>
      <c r="D69" s="59">
        <v>40057</v>
      </c>
      <c r="E69" s="59">
        <v>40087</v>
      </c>
      <c r="F69" s="59">
        <v>40118</v>
      </c>
      <c r="G69" s="59">
        <v>40148</v>
      </c>
      <c r="H69" s="59">
        <v>40179</v>
      </c>
      <c r="I69" s="59">
        <v>40210</v>
      </c>
      <c r="J69" s="59">
        <v>40238</v>
      </c>
      <c r="K69" s="59">
        <v>40269</v>
      </c>
      <c r="L69" s="59">
        <v>40299</v>
      </c>
      <c r="M69" s="59">
        <v>40330</v>
      </c>
      <c r="N69" s="60" t="s">
        <v>367</v>
      </c>
      <c r="O69" s="61" t="s">
        <v>166</v>
      </c>
      <c r="P69" s="61" t="s">
        <v>171</v>
      </c>
      <c r="Q69" s="2"/>
    </row>
    <row r="70" spans="1:17" ht="12.75" customHeight="1">
      <c r="A70" s="67" t="s">
        <v>315</v>
      </c>
      <c r="B70" s="59"/>
      <c r="C70" s="59"/>
      <c r="D70" s="59"/>
      <c r="E70" s="59"/>
      <c r="F70" s="59"/>
      <c r="G70" s="59"/>
      <c r="H70" s="59"/>
      <c r="I70" s="59"/>
      <c r="J70" s="59"/>
      <c r="K70" s="59"/>
      <c r="L70" s="59"/>
      <c r="M70" s="59"/>
      <c r="N70" s="61"/>
      <c r="O70" s="106"/>
      <c r="P70" s="106"/>
    </row>
    <row r="71" spans="1:17" ht="12.75" customHeight="1">
      <c r="A71" s="71" t="s">
        <v>204</v>
      </c>
      <c r="B71" s="23" t="s">
        <v>16</v>
      </c>
      <c r="C71" s="23" t="s">
        <v>16</v>
      </c>
      <c r="D71" s="23" t="s">
        <v>16</v>
      </c>
      <c r="E71" s="23" t="s">
        <v>16</v>
      </c>
      <c r="F71" s="151" t="s">
        <v>16</v>
      </c>
      <c r="G71" s="59"/>
      <c r="H71" s="59"/>
      <c r="I71" s="152" t="s">
        <v>16</v>
      </c>
      <c r="J71" s="23" t="s">
        <v>16</v>
      </c>
      <c r="K71" s="23" t="s">
        <v>16</v>
      </c>
      <c r="L71" s="23"/>
      <c r="M71" s="23"/>
      <c r="N71" s="73">
        <f>SUM(B71:M71)</f>
        <v>0</v>
      </c>
      <c r="O71" s="74">
        <v>4501</v>
      </c>
      <c r="P71" s="49" t="s">
        <v>228</v>
      </c>
    </row>
    <row r="72" spans="1:17" ht="12.75" customHeight="1">
      <c r="A72" s="71" t="s">
        <v>253</v>
      </c>
      <c r="B72" s="23" t="s">
        <v>16</v>
      </c>
      <c r="C72" s="23" t="s">
        <v>16</v>
      </c>
      <c r="D72" s="23" t="s">
        <v>16</v>
      </c>
      <c r="E72" s="23" t="s">
        <v>16</v>
      </c>
      <c r="F72" s="23" t="s">
        <v>16</v>
      </c>
      <c r="G72" s="23" t="s">
        <v>16</v>
      </c>
      <c r="H72" s="23" t="s">
        <v>16</v>
      </c>
      <c r="I72" s="23" t="s">
        <v>16</v>
      </c>
      <c r="J72" s="23" t="s">
        <v>16</v>
      </c>
      <c r="K72" s="23" t="s">
        <v>16</v>
      </c>
      <c r="L72" s="23"/>
      <c r="M72" s="23"/>
      <c r="N72" s="73">
        <f>SUM(B72:M72)</f>
        <v>0</v>
      </c>
      <c r="O72" s="74"/>
      <c r="P72" s="76"/>
    </row>
    <row r="73" spans="1:17" ht="12.75" customHeight="1">
      <c r="A73" s="5"/>
      <c r="B73" s="97"/>
      <c r="C73" s="97"/>
      <c r="D73" s="97"/>
      <c r="E73" s="97"/>
      <c r="F73" s="97"/>
      <c r="G73" s="97"/>
      <c r="H73" s="97"/>
      <c r="I73" s="97"/>
      <c r="J73" s="97"/>
      <c r="K73" s="97"/>
      <c r="L73" s="97"/>
      <c r="M73" s="97"/>
      <c r="N73" s="97"/>
      <c r="O73" s="95"/>
      <c r="P73" s="95"/>
    </row>
    <row r="74" spans="1:17" ht="24.75" customHeight="1">
      <c r="A74" s="146"/>
      <c r="B74" s="59">
        <v>39995</v>
      </c>
      <c r="C74" s="59">
        <v>40026</v>
      </c>
      <c r="D74" s="59">
        <v>40057</v>
      </c>
      <c r="E74" s="59">
        <v>40087</v>
      </c>
      <c r="F74" s="59">
        <v>40118</v>
      </c>
      <c r="G74" s="59">
        <v>40148</v>
      </c>
      <c r="H74" s="59">
        <v>40179</v>
      </c>
      <c r="I74" s="59">
        <v>40210</v>
      </c>
      <c r="J74" s="59">
        <v>40238</v>
      </c>
      <c r="K74" s="59">
        <v>40269</v>
      </c>
      <c r="L74" s="59">
        <v>40299</v>
      </c>
      <c r="M74" s="59">
        <v>40330</v>
      </c>
      <c r="N74" s="60" t="s">
        <v>367</v>
      </c>
      <c r="O74" s="61" t="s">
        <v>166</v>
      </c>
      <c r="P74" s="61" t="s">
        <v>171</v>
      </c>
      <c r="Q74" s="2"/>
    </row>
    <row r="75" spans="1:17" ht="12.75" customHeight="1">
      <c r="A75" s="67" t="s">
        <v>312</v>
      </c>
      <c r="B75" s="59"/>
      <c r="C75" s="59"/>
      <c r="D75" s="59"/>
      <c r="E75" s="59"/>
      <c r="F75" s="59"/>
      <c r="G75" s="59"/>
      <c r="H75" s="59"/>
      <c r="I75" s="59"/>
      <c r="J75" s="59"/>
      <c r="K75" s="59"/>
      <c r="L75" s="59"/>
      <c r="M75" s="59"/>
      <c r="N75" s="61"/>
      <c r="O75" s="106"/>
      <c r="P75" s="106"/>
    </row>
    <row r="76" spans="1:17" ht="12.75" customHeight="1">
      <c r="A76" s="71" t="s">
        <v>204</v>
      </c>
      <c r="B76" s="23">
        <v>573</v>
      </c>
      <c r="C76" s="23">
        <v>288</v>
      </c>
      <c r="D76" s="23">
        <v>462</v>
      </c>
      <c r="E76" s="23">
        <v>1444</v>
      </c>
      <c r="F76" s="23">
        <v>1314</v>
      </c>
      <c r="G76" s="23">
        <v>1143</v>
      </c>
      <c r="H76" s="23">
        <v>513</v>
      </c>
      <c r="I76" s="23">
        <v>836</v>
      </c>
      <c r="J76" s="23">
        <v>1026</v>
      </c>
      <c r="K76" s="23">
        <v>1218</v>
      </c>
      <c r="L76" s="23">
        <v>586</v>
      </c>
      <c r="M76" s="23">
        <v>519</v>
      </c>
      <c r="N76" s="73">
        <f>SUM(B76:M76)</f>
        <v>9922</v>
      </c>
      <c r="O76" s="74">
        <v>0</v>
      </c>
      <c r="P76" s="76" t="s">
        <v>228</v>
      </c>
    </row>
    <row r="77" spans="1:17" ht="12.75" customHeight="1">
      <c r="A77" s="71" t="s">
        <v>253</v>
      </c>
      <c r="B77" s="23">
        <v>161</v>
      </c>
      <c r="C77" s="23">
        <v>82</v>
      </c>
      <c r="D77" s="23">
        <v>148</v>
      </c>
      <c r="E77" s="23">
        <v>451</v>
      </c>
      <c r="F77" s="23">
        <v>441</v>
      </c>
      <c r="G77" s="23">
        <v>298</v>
      </c>
      <c r="H77" s="23">
        <v>166</v>
      </c>
      <c r="I77" s="23">
        <v>316</v>
      </c>
      <c r="J77" s="23">
        <v>388</v>
      </c>
      <c r="K77" s="23">
        <v>506</v>
      </c>
      <c r="L77" s="23">
        <v>181</v>
      </c>
      <c r="M77" s="23">
        <v>186</v>
      </c>
      <c r="N77" s="73">
        <f>SUM(B77:M77)</f>
        <v>3324</v>
      </c>
      <c r="O77" s="74"/>
      <c r="P77" s="76"/>
    </row>
    <row r="78" spans="1:17" ht="12.75" customHeight="1">
      <c r="A78" s="2"/>
      <c r="B78" s="86"/>
      <c r="C78" s="86"/>
      <c r="D78" s="86"/>
      <c r="E78" s="86"/>
      <c r="F78" s="86"/>
      <c r="G78" s="86"/>
      <c r="H78" s="86"/>
      <c r="I78" s="86"/>
      <c r="J78" s="86"/>
      <c r="K78" s="86"/>
      <c r="L78" s="86"/>
      <c r="M78" s="86"/>
      <c r="N78" s="87"/>
      <c r="O78" s="75"/>
      <c r="P78" s="76"/>
    </row>
    <row r="79" spans="1:17" ht="12.75" customHeight="1">
      <c r="A79" s="2"/>
      <c r="B79" s="153"/>
      <c r="C79" s="153"/>
      <c r="D79" s="153"/>
      <c r="E79" s="153"/>
      <c r="F79" s="153"/>
      <c r="G79" s="153"/>
      <c r="H79" s="153"/>
      <c r="I79" s="153"/>
      <c r="J79" s="153"/>
      <c r="K79" s="153"/>
      <c r="L79" s="153"/>
      <c r="M79" s="153"/>
      <c r="N79" s="136"/>
      <c r="O79" s="75"/>
      <c r="P79" s="76"/>
    </row>
    <row r="80" spans="1:17" ht="13.5" customHeight="1">
      <c r="Q80" s="2"/>
    </row>
    <row r="81" spans="1:17" ht="12.75" customHeight="1">
      <c r="Q81" s="2"/>
    </row>
    <row r="84" spans="1:17" ht="12.75" customHeight="1">
      <c r="A84" s="2"/>
      <c r="B84" s="123"/>
      <c r="C84" s="123"/>
      <c r="D84" s="123"/>
      <c r="E84" s="123"/>
      <c r="F84" s="123"/>
      <c r="G84" s="123"/>
      <c r="H84" s="123"/>
      <c r="I84" s="123"/>
      <c r="J84" s="123"/>
      <c r="K84" s="123"/>
      <c r="L84" s="123"/>
      <c r="M84" s="123"/>
      <c r="N84" s="123"/>
      <c r="O84" s="75"/>
      <c r="P84" s="75"/>
    </row>
    <row r="85" spans="1:17" ht="12.75" customHeight="1">
      <c r="A85" s="2"/>
      <c r="O85" s="2"/>
      <c r="P85" s="2"/>
    </row>
  </sheetData>
  <pageMargins left="0.75" right="0.75" top="1" bottom="1" header="0.5" footer="0.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dimension ref="A1:Q64"/>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9.140625" customWidth="1"/>
    <col min="2" max="14" width="8.5703125" customWidth="1"/>
    <col min="15" max="15" width="15.140625" customWidth="1"/>
    <col min="16" max="16" width="8.5703125" customWidth="1"/>
    <col min="17" max="17" width="9.140625" customWidth="1"/>
  </cols>
  <sheetData>
    <row r="1" spans="1:17" ht="19.5" customHeight="1">
      <c r="A1" s="1" t="s">
        <v>59</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148</v>
      </c>
      <c r="O4" s="2"/>
    </row>
    <row r="5" spans="1:17" ht="12.75" customHeight="1">
      <c r="A5" s="5"/>
      <c r="B5" s="6"/>
      <c r="C5" s="6"/>
      <c r="D5" s="6"/>
      <c r="E5" s="6"/>
      <c r="F5" s="6"/>
      <c r="G5" s="6"/>
      <c r="H5" s="6"/>
      <c r="I5" s="6"/>
      <c r="J5" s="6"/>
      <c r="K5" s="6"/>
      <c r="L5" s="6"/>
      <c r="M5" s="6"/>
      <c r="N5" s="6"/>
      <c r="O5" s="2"/>
    </row>
    <row r="6" spans="1:17" ht="1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154"/>
      <c r="P6" s="154"/>
      <c r="Q6" s="2"/>
    </row>
    <row r="7" spans="1:17" ht="12.75" customHeight="1">
      <c r="A7" s="96" t="s">
        <v>192</v>
      </c>
      <c r="B7" s="97"/>
      <c r="C7" s="97"/>
      <c r="D7" s="97"/>
      <c r="E7" s="97"/>
      <c r="F7" s="97"/>
      <c r="G7" s="97"/>
      <c r="H7" s="97"/>
      <c r="I7" s="97"/>
      <c r="J7" s="97"/>
      <c r="K7" s="97"/>
      <c r="L7" s="97"/>
      <c r="M7" s="97"/>
      <c r="N7" s="97"/>
      <c r="O7" s="93"/>
      <c r="P7" s="93"/>
    </row>
    <row r="8" spans="1:17" ht="12.75" customHeight="1">
      <c r="A8" s="71" t="s">
        <v>115</v>
      </c>
      <c r="B8" s="14">
        <v>32</v>
      </c>
      <c r="C8" s="14">
        <v>22</v>
      </c>
      <c r="D8" s="14">
        <v>64</v>
      </c>
      <c r="E8" s="14">
        <v>151</v>
      </c>
      <c r="F8" s="14">
        <v>88</v>
      </c>
      <c r="G8" s="14">
        <v>53</v>
      </c>
      <c r="H8" s="14">
        <v>47</v>
      </c>
      <c r="I8" s="14">
        <v>177</v>
      </c>
      <c r="J8" s="14">
        <v>107</v>
      </c>
      <c r="K8" s="14">
        <v>96</v>
      </c>
      <c r="L8" s="14">
        <v>58</v>
      </c>
      <c r="M8" s="14">
        <v>88</v>
      </c>
      <c r="N8" s="73">
        <f t="shared" ref="N8:N21" si="0">SUM(B8:M8)</f>
        <v>983</v>
      </c>
      <c r="O8" s="74"/>
      <c r="P8" s="75"/>
    </row>
    <row r="9" spans="1:17" ht="12.75" customHeight="1">
      <c r="A9" s="155" t="s">
        <v>406</v>
      </c>
      <c r="B9" s="156">
        <v>127</v>
      </c>
      <c r="C9" s="156">
        <v>99</v>
      </c>
      <c r="D9" s="156">
        <v>62</v>
      </c>
      <c r="E9" s="156">
        <v>286</v>
      </c>
      <c r="F9" s="156">
        <v>125</v>
      </c>
      <c r="G9" s="156">
        <v>86</v>
      </c>
      <c r="H9" s="156">
        <v>135</v>
      </c>
      <c r="I9" s="156">
        <v>575</v>
      </c>
      <c r="J9" s="156">
        <v>274</v>
      </c>
      <c r="K9" s="156">
        <v>279</v>
      </c>
      <c r="L9" s="156">
        <v>122</v>
      </c>
      <c r="M9" s="156">
        <v>1158</v>
      </c>
      <c r="N9" s="157">
        <f t="shared" si="0"/>
        <v>3328</v>
      </c>
      <c r="O9" s="74"/>
      <c r="P9" s="75"/>
    </row>
    <row r="10" spans="1:17" ht="12.75" customHeight="1">
      <c r="A10" s="71" t="s">
        <v>362</v>
      </c>
      <c r="B10" s="131">
        <v>471</v>
      </c>
      <c r="C10" s="131">
        <v>432</v>
      </c>
      <c r="D10" s="131">
        <v>137</v>
      </c>
      <c r="E10" s="131">
        <v>1006</v>
      </c>
      <c r="F10" s="131">
        <v>559</v>
      </c>
      <c r="G10" s="131">
        <v>140</v>
      </c>
      <c r="H10" s="131">
        <v>964</v>
      </c>
      <c r="I10" s="131">
        <v>1960</v>
      </c>
      <c r="J10" s="131">
        <v>533</v>
      </c>
      <c r="K10" s="131">
        <v>373</v>
      </c>
      <c r="L10" s="131">
        <v>189</v>
      </c>
      <c r="M10" s="131">
        <v>1121</v>
      </c>
      <c r="N10" s="73">
        <f t="shared" si="0"/>
        <v>7885</v>
      </c>
      <c r="O10" s="74"/>
      <c r="P10" s="75"/>
    </row>
    <row r="11" spans="1:17" ht="12.75" customHeight="1">
      <c r="A11" s="71" t="s">
        <v>17</v>
      </c>
      <c r="B11" s="131">
        <v>11677</v>
      </c>
      <c r="C11" s="131">
        <v>10800</v>
      </c>
      <c r="D11" s="131">
        <v>3425</v>
      </c>
      <c r="E11" s="131">
        <v>25150</v>
      </c>
      <c r="F11" s="131">
        <v>13975</v>
      </c>
      <c r="G11" s="131">
        <v>3500</v>
      </c>
      <c r="H11" s="131">
        <v>24100</v>
      </c>
      <c r="I11" s="131">
        <v>49000</v>
      </c>
      <c r="J11" s="131">
        <v>11771</v>
      </c>
      <c r="K11" s="131">
        <v>6372</v>
      </c>
      <c r="L11" s="131">
        <v>3108</v>
      </c>
      <c r="M11" s="131">
        <v>18964</v>
      </c>
      <c r="N11" s="73">
        <f t="shared" si="0"/>
        <v>181842</v>
      </c>
      <c r="O11" s="74"/>
      <c r="P11" s="75"/>
    </row>
    <row r="12" spans="1:17" ht="12.75" customHeight="1">
      <c r="A12" s="71" t="s">
        <v>344</v>
      </c>
      <c r="B12" s="131">
        <v>23</v>
      </c>
      <c r="C12" s="131">
        <v>19</v>
      </c>
      <c r="D12" s="131">
        <v>45</v>
      </c>
      <c r="E12" s="131">
        <v>270</v>
      </c>
      <c r="F12" s="131">
        <v>65</v>
      </c>
      <c r="G12" s="131">
        <v>126</v>
      </c>
      <c r="H12" s="131">
        <v>0</v>
      </c>
      <c r="I12" s="131">
        <v>439</v>
      </c>
      <c r="J12" s="131">
        <v>196</v>
      </c>
      <c r="K12" s="131">
        <v>160</v>
      </c>
      <c r="L12" s="131">
        <v>95</v>
      </c>
      <c r="M12" s="131">
        <v>244</v>
      </c>
      <c r="N12" s="73">
        <f t="shared" si="0"/>
        <v>1682</v>
      </c>
      <c r="O12" s="74"/>
      <c r="P12" s="75"/>
    </row>
    <row r="13" spans="1:17" ht="12.75" customHeight="1">
      <c r="A13" s="71" t="s">
        <v>298</v>
      </c>
      <c r="B13" s="131">
        <v>23</v>
      </c>
      <c r="C13" s="131">
        <v>19</v>
      </c>
      <c r="D13" s="131">
        <v>45</v>
      </c>
      <c r="E13" s="131">
        <v>270</v>
      </c>
      <c r="F13" s="131">
        <v>65</v>
      </c>
      <c r="G13" s="131">
        <v>126</v>
      </c>
      <c r="H13" s="131">
        <v>0</v>
      </c>
      <c r="I13" s="131">
        <v>439</v>
      </c>
      <c r="J13" s="131">
        <v>196</v>
      </c>
      <c r="K13" s="131">
        <v>160</v>
      </c>
      <c r="L13" s="131">
        <v>95</v>
      </c>
      <c r="M13" s="131">
        <v>244</v>
      </c>
      <c r="N13" s="73">
        <f t="shared" si="0"/>
        <v>1682</v>
      </c>
      <c r="O13" s="74"/>
      <c r="P13" s="75"/>
    </row>
    <row r="14" spans="1:17" ht="12.75" customHeight="1">
      <c r="A14" s="71" t="s">
        <v>107</v>
      </c>
      <c r="B14" s="72">
        <v>10</v>
      </c>
      <c r="C14" s="72">
        <v>5</v>
      </c>
      <c r="D14" s="72">
        <v>2</v>
      </c>
      <c r="E14" s="72">
        <v>52</v>
      </c>
      <c r="F14" s="72">
        <v>3</v>
      </c>
      <c r="G14" s="72">
        <v>0</v>
      </c>
      <c r="H14" s="72">
        <v>0</v>
      </c>
      <c r="I14" s="72">
        <v>0</v>
      </c>
      <c r="J14" s="72">
        <v>6</v>
      </c>
      <c r="K14" s="72">
        <v>0</v>
      </c>
      <c r="L14" s="72">
        <v>8</v>
      </c>
      <c r="M14" s="72">
        <v>4</v>
      </c>
      <c r="N14" s="73">
        <f t="shared" si="0"/>
        <v>90</v>
      </c>
      <c r="O14" s="74"/>
      <c r="P14" s="75"/>
    </row>
    <row r="15" spans="1:17" ht="12.75" customHeight="1">
      <c r="A15" s="71" t="s">
        <v>392</v>
      </c>
      <c r="B15" s="131">
        <v>24</v>
      </c>
      <c r="C15" s="131">
        <v>101</v>
      </c>
      <c r="D15" s="131">
        <v>50</v>
      </c>
      <c r="E15" s="131">
        <v>1956</v>
      </c>
      <c r="F15" s="131">
        <v>2395</v>
      </c>
      <c r="G15" s="131">
        <v>0</v>
      </c>
      <c r="H15" s="131">
        <v>0</v>
      </c>
      <c r="I15" s="131">
        <v>0</v>
      </c>
      <c r="J15" s="131">
        <v>50</v>
      </c>
      <c r="K15" s="131">
        <v>0</v>
      </c>
      <c r="L15" s="131">
        <v>9</v>
      </c>
      <c r="M15" s="131">
        <v>16</v>
      </c>
      <c r="N15" s="73">
        <f t="shared" si="0"/>
        <v>4601</v>
      </c>
      <c r="O15" s="74"/>
      <c r="P15" s="75"/>
    </row>
    <row r="16" spans="1:17" ht="12.75" customHeight="1">
      <c r="A16" s="71" t="s">
        <v>138</v>
      </c>
      <c r="B16" s="131">
        <v>71</v>
      </c>
      <c r="C16" s="131">
        <v>69</v>
      </c>
      <c r="D16" s="131">
        <v>1</v>
      </c>
      <c r="E16" s="131">
        <v>19</v>
      </c>
      <c r="F16" s="131">
        <v>31</v>
      </c>
      <c r="G16" s="131">
        <v>180</v>
      </c>
      <c r="H16" s="131">
        <v>144</v>
      </c>
      <c r="I16" s="131">
        <v>176</v>
      </c>
      <c r="J16" s="131">
        <v>24</v>
      </c>
      <c r="K16" s="131">
        <v>11</v>
      </c>
      <c r="L16" s="131">
        <v>17</v>
      </c>
      <c r="M16" s="131">
        <v>40</v>
      </c>
      <c r="N16" s="73">
        <f t="shared" si="0"/>
        <v>783</v>
      </c>
      <c r="O16" s="74"/>
      <c r="P16" s="75"/>
    </row>
    <row r="17" spans="1:16" ht="12.75" customHeight="1">
      <c r="A17" s="71" t="s">
        <v>92</v>
      </c>
      <c r="B17" s="131">
        <v>3479</v>
      </c>
      <c r="C17" s="131">
        <v>3425</v>
      </c>
      <c r="D17" s="131">
        <v>25</v>
      </c>
      <c r="E17" s="131">
        <v>471</v>
      </c>
      <c r="F17" s="131">
        <v>1054</v>
      </c>
      <c r="G17" s="131">
        <v>0</v>
      </c>
      <c r="H17" s="131">
        <v>5779</v>
      </c>
      <c r="I17" s="131">
        <v>7711</v>
      </c>
      <c r="J17" s="131">
        <v>782</v>
      </c>
      <c r="K17" s="131">
        <v>223</v>
      </c>
      <c r="L17" s="131">
        <v>466</v>
      </c>
      <c r="M17" s="131">
        <v>1690</v>
      </c>
      <c r="N17" s="73">
        <f t="shared" si="0"/>
        <v>25105</v>
      </c>
      <c r="O17" s="74"/>
      <c r="P17" s="75"/>
    </row>
    <row r="18" spans="1:16" ht="12.75" customHeight="1">
      <c r="A18" s="71" t="s">
        <v>353</v>
      </c>
      <c r="B18" s="131">
        <v>0</v>
      </c>
      <c r="C18" s="131">
        <v>0</v>
      </c>
      <c r="D18" s="131">
        <v>0</v>
      </c>
      <c r="E18" s="131">
        <v>0</v>
      </c>
      <c r="F18" s="131">
        <v>0</v>
      </c>
      <c r="G18" s="131">
        <v>0</v>
      </c>
      <c r="H18" s="131">
        <v>0</v>
      </c>
      <c r="I18" s="131">
        <v>0</v>
      </c>
      <c r="J18" s="131">
        <v>0</v>
      </c>
      <c r="K18" s="131">
        <v>0</v>
      </c>
      <c r="L18" s="131">
        <v>0</v>
      </c>
      <c r="M18" s="131">
        <v>0</v>
      </c>
      <c r="N18" s="73">
        <f t="shared" si="0"/>
        <v>0</v>
      </c>
      <c r="O18" s="74"/>
      <c r="P18" s="75"/>
    </row>
    <row r="19" spans="1:16" ht="12.75" customHeight="1">
      <c r="A19" s="71" t="s">
        <v>203</v>
      </c>
      <c r="B19" s="131">
        <v>0</v>
      </c>
      <c r="C19" s="131">
        <v>0</v>
      </c>
      <c r="D19" s="131">
        <v>0</v>
      </c>
      <c r="E19" s="131">
        <v>0</v>
      </c>
      <c r="F19" s="131">
        <v>0</v>
      </c>
      <c r="G19" s="131">
        <v>0</v>
      </c>
      <c r="H19" s="131">
        <v>0</v>
      </c>
      <c r="I19" s="131">
        <v>0</v>
      </c>
      <c r="J19" s="131">
        <v>0</v>
      </c>
      <c r="K19" s="131">
        <v>0</v>
      </c>
      <c r="L19" s="131">
        <v>0</v>
      </c>
      <c r="M19" s="131">
        <v>0</v>
      </c>
      <c r="N19" s="73">
        <f t="shared" si="0"/>
        <v>0</v>
      </c>
      <c r="O19" s="74"/>
      <c r="P19" s="75"/>
    </row>
    <row r="20" spans="1:16" ht="12.75" customHeight="1">
      <c r="A20" s="71" t="s">
        <v>382</v>
      </c>
      <c r="B20" s="131">
        <v>0</v>
      </c>
      <c r="C20" s="131">
        <v>0</v>
      </c>
      <c r="D20" s="131">
        <v>0</v>
      </c>
      <c r="E20" s="131">
        <v>0</v>
      </c>
      <c r="F20" s="131">
        <v>0</v>
      </c>
      <c r="G20" s="131">
        <v>0</v>
      </c>
      <c r="H20" s="131">
        <v>0</v>
      </c>
      <c r="I20" s="131">
        <v>0</v>
      </c>
      <c r="J20" s="131">
        <v>0</v>
      </c>
      <c r="K20" s="131">
        <v>0</v>
      </c>
      <c r="L20" s="131">
        <v>0</v>
      </c>
      <c r="M20" s="131">
        <v>0</v>
      </c>
      <c r="N20" s="73">
        <f t="shared" si="0"/>
        <v>0</v>
      </c>
      <c r="O20" s="74"/>
      <c r="P20" s="75"/>
    </row>
    <row r="21" spans="1:16" ht="12.75" customHeight="1">
      <c r="A21" s="71" t="s">
        <v>400</v>
      </c>
      <c r="B21" s="23">
        <v>0</v>
      </c>
      <c r="C21" s="23">
        <v>0</v>
      </c>
      <c r="D21" s="23">
        <v>0</v>
      </c>
      <c r="E21" s="23">
        <v>0</v>
      </c>
      <c r="F21" s="23">
        <v>0</v>
      </c>
      <c r="G21" s="23">
        <v>0</v>
      </c>
      <c r="H21" s="23">
        <v>0</v>
      </c>
      <c r="I21" s="23">
        <v>0</v>
      </c>
      <c r="J21" s="23">
        <v>0</v>
      </c>
      <c r="K21" s="23">
        <v>0</v>
      </c>
      <c r="L21" s="23">
        <v>0</v>
      </c>
      <c r="M21" s="23">
        <v>0</v>
      </c>
      <c r="N21" s="73">
        <f t="shared" si="0"/>
        <v>0</v>
      </c>
      <c r="O21" s="74"/>
      <c r="P21" s="75"/>
    </row>
    <row r="22" spans="1:16" ht="12.75" customHeight="1">
      <c r="A22" s="2"/>
      <c r="B22" s="43"/>
      <c r="C22" s="43"/>
      <c r="D22" s="43"/>
      <c r="E22" s="43"/>
      <c r="F22" s="43"/>
      <c r="G22" s="43"/>
      <c r="H22" s="43"/>
      <c r="I22" s="43"/>
      <c r="J22" s="43"/>
      <c r="K22" s="43"/>
      <c r="L22" s="43"/>
      <c r="M22" s="43"/>
      <c r="N22" s="43"/>
      <c r="O22" s="2"/>
    </row>
    <row r="23" spans="1:16" ht="12.75" customHeight="1">
      <c r="A23" s="5"/>
      <c r="B23" s="6"/>
      <c r="C23" s="6"/>
      <c r="D23" s="6"/>
      <c r="E23" s="6"/>
      <c r="F23" s="6"/>
      <c r="G23" s="6"/>
      <c r="H23" s="6"/>
      <c r="I23" s="6"/>
      <c r="J23" s="6"/>
      <c r="K23" s="6"/>
      <c r="L23" s="6"/>
      <c r="M23" s="6"/>
      <c r="N23" s="6"/>
      <c r="O23" s="2"/>
    </row>
    <row r="24" spans="1:16" ht="12.75" customHeight="1">
      <c r="A24" s="58"/>
      <c r="B24" s="59">
        <v>39995</v>
      </c>
      <c r="C24" s="59">
        <v>40026</v>
      </c>
      <c r="D24" s="59">
        <v>40057</v>
      </c>
      <c r="E24" s="59">
        <v>40087</v>
      </c>
      <c r="F24" s="59">
        <v>40118</v>
      </c>
      <c r="G24" s="59">
        <v>40148</v>
      </c>
      <c r="H24" s="59">
        <v>40179</v>
      </c>
      <c r="I24" s="59">
        <v>40210</v>
      </c>
      <c r="J24" s="59">
        <v>40238</v>
      </c>
      <c r="K24" s="59">
        <v>40269</v>
      </c>
      <c r="L24" s="59">
        <v>40299</v>
      </c>
      <c r="M24" s="59">
        <v>40330</v>
      </c>
      <c r="N24" s="60" t="s">
        <v>367</v>
      </c>
      <c r="O24" s="154"/>
      <c r="P24" s="154"/>
    </row>
    <row r="25" spans="1:16" ht="12.75" customHeight="1">
      <c r="A25" s="96" t="s">
        <v>191</v>
      </c>
      <c r="B25" s="97"/>
      <c r="C25" s="97"/>
      <c r="D25" s="97"/>
      <c r="E25" s="97"/>
      <c r="F25" s="97"/>
      <c r="G25" s="97"/>
      <c r="H25" s="97"/>
      <c r="I25" s="97"/>
      <c r="J25" s="97"/>
      <c r="K25" s="97"/>
      <c r="L25" s="97"/>
      <c r="M25" s="97"/>
      <c r="N25" s="97"/>
      <c r="O25" s="93"/>
      <c r="P25" s="93"/>
    </row>
    <row r="26" spans="1:16" ht="12.75" customHeight="1">
      <c r="A26" s="71" t="s">
        <v>115</v>
      </c>
      <c r="B26" s="14">
        <v>32</v>
      </c>
      <c r="C26" s="14">
        <v>22</v>
      </c>
      <c r="D26" s="14">
        <v>64</v>
      </c>
      <c r="E26" s="14">
        <v>151</v>
      </c>
      <c r="F26" s="14">
        <v>88</v>
      </c>
      <c r="G26" s="14">
        <v>53</v>
      </c>
      <c r="H26" s="14">
        <v>47</v>
      </c>
      <c r="I26" s="14">
        <v>177</v>
      </c>
      <c r="J26" s="14">
        <v>107</v>
      </c>
      <c r="K26" s="14">
        <v>96</v>
      </c>
      <c r="L26" s="14">
        <v>58</v>
      </c>
      <c r="M26" s="14">
        <v>88</v>
      </c>
      <c r="N26" s="73">
        <f t="shared" ref="N26:N39" si="1">SUM(B26:M26)</f>
        <v>983</v>
      </c>
      <c r="O26" s="74"/>
      <c r="P26" s="75"/>
    </row>
    <row r="27" spans="1:16" ht="12.75" customHeight="1">
      <c r="A27" s="155" t="s">
        <v>406</v>
      </c>
      <c r="B27" s="156">
        <v>8</v>
      </c>
      <c r="C27" s="156">
        <v>14</v>
      </c>
      <c r="D27" s="156">
        <v>28</v>
      </c>
      <c r="E27" s="156">
        <v>18</v>
      </c>
      <c r="F27" s="156">
        <v>20</v>
      </c>
      <c r="G27" s="156">
        <v>3</v>
      </c>
      <c r="H27" s="156">
        <v>9</v>
      </c>
      <c r="I27" s="156">
        <v>20</v>
      </c>
      <c r="J27" s="156">
        <v>33</v>
      </c>
      <c r="K27" s="156">
        <v>32</v>
      </c>
      <c r="L27" s="156">
        <v>157</v>
      </c>
      <c r="M27" s="156">
        <v>38</v>
      </c>
      <c r="N27" s="157">
        <f t="shared" si="1"/>
        <v>380</v>
      </c>
      <c r="O27" s="74"/>
      <c r="P27" s="75"/>
    </row>
    <row r="28" spans="1:16" ht="12.75" customHeight="1">
      <c r="A28" s="71" t="s">
        <v>362</v>
      </c>
      <c r="B28" s="131">
        <v>9</v>
      </c>
      <c r="C28" s="131">
        <v>18</v>
      </c>
      <c r="D28" s="131">
        <v>40</v>
      </c>
      <c r="E28" s="131">
        <v>31</v>
      </c>
      <c r="F28" s="131">
        <v>31</v>
      </c>
      <c r="G28" s="131">
        <v>3</v>
      </c>
      <c r="H28" s="131">
        <v>9</v>
      </c>
      <c r="I28" s="131">
        <v>39</v>
      </c>
      <c r="J28" s="131">
        <v>75</v>
      </c>
      <c r="K28" s="131">
        <v>40</v>
      </c>
      <c r="L28" s="131">
        <v>207</v>
      </c>
      <c r="M28" s="131">
        <v>34</v>
      </c>
      <c r="N28" s="73">
        <f t="shared" si="1"/>
        <v>536</v>
      </c>
      <c r="O28" s="74"/>
      <c r="P28" s="75"/>
    </row>
    <row r="29" spans="1:16" ht="12.75" customHeight="1">
      <c r="A29" s="71" t="s">
        <v>17</v>
      </c>
      <c r="B29" s="131">
        <v>86</v>
      </c>
      <c r="C29" s="131">
        <v>227</v>
      </c>
      <c r="D29" s="131">
        <v>661</v>
      </c>
      <c r="E29" s="131">
        <v>469</v>
      </c>
      <c r="F29" s="131">
        <v>547</v>
      </c>
      <c r="G29" s="131">
        <v>5</v>
      </c>
      <c r="H29" s="131">
        <v>61</v>
      </c>
      <c r="I29" s="131">
        <v>975</v>
      </c>
      <c r="J29" s="131">
        <v>1703</v>
      </c>
      <c r="K29" s="131">
        <v>735</v>
      </c>
      <c r="L29" s="131">
        <v>3294</v>
      </c>
      <c r="M29" s="131">
        <v>244</v>
      </c>
      <c r="N29" s="73">
        <f t="shared" si="1"/>
        <v>9007</v>
      </c>
      <c r="O29" s="74"/>
      <c r="P29" s="75"/>
    </row>
    <row r="30" spans="1:16" ht="12.75" customHeight="1">
      <c r="A30" s="71" t="s">
        <v>344</v>
      </c>
      <c r="B30" s="131">
        <v>0</v>
      </c>
      <c r="C30" s="131">
        <v>0</v>
      </c>
      <c r="D30" s="131">
        <v>0</v>
      </c>
      <c r="E30" s="131">
        <v>0</v>
      </c>
      <c r="F30" s="131">
        <v>0</v>
      </c>
      <c r="G30" s="131">
        <v>0</v>
      </c>
      <c r="H30" s="131">
        <v>0</v>
      </c>
      <c r="I30" s="131">
        <v>8</v>
      </c>
      <c r="J30" s="131">
        <v>6</v>
      </c>
      <c r="K30" s="131">
        <v>5</v>
      </c>
      <c r="L30" s="131">
        <v>103</v>
      </c>
      <c r="M30" s="131">
        <v>16</v>
      </c>
      <c r="N30" s="73">
        <f t="shared" si="1"/>
        <v>138</v>
      </c>
      <c r="O30" s="74"/>
      <c r="P30" s="75"/>
    </row>
    <row r="31" spans="1:16" ht="12.75" customHeight="1">
      <c r="A31" s="71" t="s">
        <v>298</v>
      </c>
      <c r="B31" s="131">
        <v>0</v>
      </c>
      <c r="C31" s="131">
        <v>0</v>
      </c>
      <c r="D31" s="131">
        <v>0</v>
      </c>
      <c r="E31" s="131">
        <v>0</v>
      </c>
      <c r="F31" s="131">
        <v>0</v>
      </c>
      <c r="G31" s="131">
        <v>0</v>
      </c>
      <c r="H31" s="131">
        <v>0</v>
      </c>
      <c r="I31" s="131">
        <v>8</v>
      </c>
      <c r="J31" s="131">
        <v>6</v>
      </c>
      <c r="K31" s="131">
        <v>5</v>
      </c>
      <c r="L31" s="131">
        <v>103</v>
      </c>
      <c r="M31" s="131">
        <v>16</v>
      </c>
      <c r="N31" s="73">
        <f t="shared" si="1"/>
        <v>138</v>
      </c>
      <c r="O31" s="74"/>
      <c r="P31" s="75"/>
    </row>
    <row r="32" spans="1:16" ht="12.75" customHeight="1">
      <c r="A32" s="71" t="s">
        <v>107</v>
      </c>
      <c r="B32" s="72">
        <v>5</v>
      </c>
      <c r="C32" s="72">
        <v>4</v>
      </c>
      <c r="D32" s="72">
        <v>6</v>
      </c>
      <c r="E32" s="72">
        <v>2</v>
      </c>
      <c r="F32" s="72">
        <v>9</v>
      </c>
      <c r="G32" s="72">
        <v>1</v>
      </c>
      <c r="H32" s="72">
        <v>7</v>
      </c>
      <c r="I32" s="72">
        <v>0</v>
      </c>
      <c r="J32" s="72">
        <v>0</v>
      </c>
      <c r="K32" s="72">
        <v>0</v>
      </c>
      <c r="L32" s="72">
        <v>8</v>
      </c>
      <c r="M32" s="72">
        <v>2</v>
      </c>
      <c r="N32" s="73">
        <f t="shared" si="1"/>
        <v>44</v>
      </c>
      <c r="O32" s="74"/>
      <c r="P32" s="75"/>
    </row>
    <row r="33" spans="1:16" ht="12.75" customHeight="1">
      <c r="A33" s="71" t="s">
        <v>392</v>
      </c>
      <c r="B33" s="131">
        <v>5</v>
      </c>
      <c r="C33" s="131">
        <v>4</v>
      </c>
      <c r="D33" s="131">
        <v>6</v>
      </c>
      <c r="E33" s="131">
        <v>2</v>
      </c>
      <c r="F33" s="131">
        <v>9</v>
      </c>
      <c r="G33" s="131">
        <v>1</v>
      </c>
      <c r="H33" s="131">
        <v>7</v>
      </c>
      <c r="I33" s="131">
        <v>0</v>
      </c>
      <c r="J33" s="131">
        <v>0</v>
      </c>
      <c r="K33" s="131">
        <v>0</v>
      </c>
      <c r="L33" s="131">
        <v>9</v>
      </c>
      <c r="M33" s="131">
        <v>5</v>
      </c>
      <c r="N33" s="73">
        <f t="shared" si="1"/>
        <v>48</v>
      </c>
      <c r="O33" s="74"/>
      <c r="P33" s="75"/>
    </row>
    <row r="34" spans="1:16" ht="12.75" customHeight="1">
      <c r="A34" s="71" t="s">
        <v>138</v>
      </c>
      <c r="B34" s="131">
        <v>0</v>
      </c>
      <c r="C34" s="131">
        <v>0</v>
      </c>
      <c r="D34" s="131">
        <v>0</v>
      </c>
      <c r="E34" s="131">
        <v>0</v>
      </c>
      <c r="F34" s="131">
        <v>0</v>
      </c>
      <c r="G34" s="131">
        <v>0</v>
      </c>
      <c r="H34" s="131">
        <v>0</v>
      </c>
      <c r="I34" s="131">
        <v>0</v>
      </c>
      <c r="J34" s="131">
        <v>7</v>
      </c>
      <c r="K34" s="131">
        <v>0</v>
      </c>
      <c r="L34" s="131">
        <v>17</v>
      </c>
      <c r="M34" s="131">
        <v>0</v>
      </c>
      <c r="N34" s="73">
        <f t="shared" si="1"/>
        <v>24</v>
      </c>
      <c r="O34" s="74"/>
      <c r="P34" s="75"/>
    </row>
    <row r="35" spans="1:16" ht="12.75" customHeight="1">
      <c r="A35" s="71" t="s">
        <v>92</v>
      </c>
      <c r="B35" s="131">
        <v>0</v>
      </c>
      <c r="C35" s="131">
        <v>0</v>
      </c>
      <c r="D35" s="131">
        <v>0</v>
      </c>
      <c r="E35" s="131">
        <v>0</v>
      </c>
      <c r="F35" s="131">
        <v>0</v>
      </c>
      <c r="G35" s="131">
        <v>0</v>
      </c>
      <c r="H35" s="131">
        <v>0</v>
      </c>
      <c r="I35" s="131">
        <v>0</v>
      </c>
      <c r="J35" s="131">
        <v>275</v>
      </c>
      <c r="K35" s="131">
        <v>0</v>
      </c>
      <c r="L35" s="131">
        <v>466</v>
      </c>
      <c r="M35" s="131">
        <v>0</v>
      </c>
      <c r="N35" s="73">
        <f t="shared" si="1"/>
        <v>741</v>
      </c>
      <c r="O35" s="74"/>
      <c r="P35" s="75"/>
    </row>
    <row r="36" spans="1:16" ht="12.75" customHeight="1">
      <c r="A36" s="71" t="s">
        <v>353</v>
      </c>
      <c r="B36" s="131">
        <v>0</v>
      </c>
      <c r="C36" s="131">
        <v>0</v>
      </c>
      <c r="D36" s="131">
        <v>0</v>
      </c>
      <c r="E36" s="131">
        <v>0</v>
      </c>
      <c r="F36" s="131">
        <v>0</v>
      </c>
      <c r="G36" s="131">
        <v>0</v>
      </c>
      <c r="H36" s="131">
        <v>0</v>
      </c>
      <c r="I36" s="131">
        <v>0</v>
      </c>
      <c r="J36" s="131">
        <v>0</v>
      </c>
      <c r="K36" s="131">
        <v>0</v>
      </c>
      <c r="L36" s="131">
        <v>0</v>
      </c>
      <c r="M36" s="131">
        <v>0</v>
      </c>
      <c r="N36" s="73">
        <f t="shared" si="1"/>
        <v>0</v>
      </c>
      <c r="O36" s="74"/>
      <c r="P36" s="75"/>
    </row>
    <row r="37" spans="1:16" ht="12.75" customHeight="1">
      <c r="A37" s="71" t="s">
        <v>203</v>
      </c>
      <c r="B37" s="131">
        <v>0</v>
      </c>
      <c r="C37" s="131">
        <v>0</v>
      </c>
      <c r="D37" s="131">
        <v>0</v>
      </c>
      <c r="E37" s="131">
        <v>0</v>
      </c>
      <c r="F37" s="131">
        <v>0</v>
      </c>
      <c r="G37" s="131">
        <v>0</v>
      </c>
      <c r="H37" s="131">
        <v>0</v>
      </c>
      <c r="I37" s="131">
        <v>0</v>
      </c>
      <c r="J37" s="131">
        <v>0</v>
      </c>
      <c r="K37" s="131">
        <v>0</v>
      </c>
      <c r="L37" s="131">
        <v>0</v>
      </c>
      <c r="M37" s="131">
        <v>0</v>
      </c>
      <c r="N37" s="73">
        <f t="shared" si="1"/>
        <v>0</v>
      </c>
      <c r="O37" s="74"/>
      <c r="P37" s="75"/>
    </row>
    <row r="38" spans="1:16" ht="12.75" customHeight="1">
      <c r="A38" s="71" t="s">
        <v>382</v>
      </c>
      <c r="B38" s="131">
        <v>0</v>
      </c>
      <c r="C38" s="131">
        <v>0</v>
      </c>
      <c r="D38" s="131">
        <v>0</v>
      </c>
      <c r="E38" s="131">
        <v>0</v>
      </c>
      <c r="F38" s="131">
        <v>0</v>
      </c>
      <c r="G38" s="131">
        <v>0</v>
      </c>
      <c r="H38" s="131">
        <v>0</v>
      </c>
      <c r="I38" s="131">
        <v>0</v>
      </c>
      <c r="J38" s="131">
        <v>0</v>
      </c>
      <c r="K38" s="131">
        <v>0</v>
      </c>
      <c r="L38" s="131">
        <v>0</v>
      </c>
      <c r="M38" s="131">
        <v>0</v>
      </c>
      <c r="N38" s="73">
        <f t="shared" si="1"/>
        <v>0</v>
      </c>
      <c r="O38" s="74"/>
      <c r="P38" s="75"/>
    </row>
    <row r="39" spans="1:16" ht="12.75" customHeight="1">
      <c r="A39" s="71" t="s">
        <v>400</v>
      </c>
      <c r="B39" s="23">
        <v>0</v>
      </c>
      <c r="C39" s="23">
        <v>0</v>
      </c>
      <c r="D39" s="23">
        <v>0</v>
      </c>
      <c r="E39" s="23">
        <v>0</v>
      </c>
      <c r="F39" s="23">
        <v>0</v>
      </c>
      <c r="G39" s="23">
        <v>0</v>
      </c>
      <c r="H39" s="23">
        <v>0</v>
      </c>
      <c r="I39" s="23">
        <v>0</v>
      </c>
      <c r="J39" s="23">
        <v>0</v>
      </c>
      <c r="K39" s="23">
        <v>0</v>
      </c>
      <c r="L39" s="23">
        <v>0</v>
      </c>
      <c r="M39" s="23">
        <v>0</v>
      </c>
      <c r="N39" s="73">
        <f t="shared" si="1"/>
        <v>0</v>
      </c>
      <c r="O39" s="74"/>
      <c r="P39" s="75"/>
    </row>
    <row r="40" spans="1:16" ht="12.75" customHeight="1">
      <c r="A40" s="2"/>
      <c r="B40" s="43"/>
      <c r="C40" s="43"/>
      <c r="D40" s="43"/>
      <c r="E40" s="43"/>
      <c r="F40" s="43"/>
      <c r="G40" s="43"/>
      <c r="H40" s="43"/>
      <c r="I40" s="43"/>
      <c r="J40" s="43"/>
      <c r="K40" s="43"/>
      <c r="L40" s="43"/>
      <c r="M40" s="43"/>
      <c r="N40" s="43"/>
      <c r="O40" s="2"/>
    </row>
    <row r="41" spans="1:16" ht="12.75" customHeight="1">
      <c r="A41" s="5"/>
      <c r="B41" s="6"/>
      <c r="C41" s="6"/>
      <c r="D41" s="6"/>
      <c r="E41" s="6"/>
      <c r="F41" s="6"/>
      <c r="G41" s="6"/>
      <c r="H41" s="6"/>
      <c r="I41" s="6"/>
      <c r="J41" s="6"/>
      <c r="K41" s="6"/>
      <c r="L41" s="6"/>
      <c r="M41" s="6"/>
      <c r="N41" s="6"/>
      <c r="O41" s="5"/>
      <c r="P41" s="6"/>
    </row>
    <row r="42" spans="1:16" ht="12.75" customHeight="1">
      <c r="A42" s="58"/>
      <c r="B42" s="59">
        <v>39995</v>
      </c>
      <c r="C42" s="59">
        <v>40026</v>
      </c>
      <c r="D42" s="59">
        <v>40057</v>
      </c>
      <c r="E42" s="59">
        <v>40087</v>
      </c>
      <c r="F42" s="59">
        <v>40118</v>
      </c>
      <c r="G42" s="59">
        <v>40148</v>
      </c>
      <c r="H42" s="59">
        <v>40179</v>
      </c>
      <c r="I42" s="59">
        <v>40210</v>
      </c>
      <c r="J42" s="59">
        <v>40238</v>
      </c>
      <c r="K42" s="59">
        <v>40269</v>
      </c>
      <c r="L42" s="59">
        <v>40299</v>
      </c>
      <c r="M42" s="59">
        <v>40330</v>
      </c>
      <c r="N42" s="60" t="s">
        <v>367</v>
      </c>
      <c r="O42" s="61" t="s">
        <v>166</v>
      </c>
      <c r="P42" s="61" t="s">
        <v>171</v>
      </c>
    </row>
    <row r="43" spans="1:16" ht="12.75" customHeight="1">
      <c r="A43" s="96" t="s">
        <v>69</v>
      </c>
      <c r="B43" s="97"/>
      <c r="C43" s="97"/>
      <c r="D43" s="97"/>
      <c r="E43" s="97"/>
      <c r="F43" s="97"/>
      <c r="G43" s="97"/>
      <c r="H43" s="97"/>
      <c r="I43" s="97"/>
      <c r="J43" s="97"/>
      <c r="K43" s="97"/>
      <c r="L43" s="97"/>
      <c r="M43" s="97"/>
      <c r="N43" s="97"/>
      <c r="O43" s="92"/>
      <c r="P43" s="92"/>
    </row>
    <row r="44" spans="1:16" ht="12.75" customHeight="1">
      <c r="A44" s="71" t="s">
        <v>115</v>
      </c>
      <c r="B44" s="158">
        <f t="shared" ref="B44:M44" si="2">B26</f>
        <v>32</v>
      </c>
      <c r="C44" s="158">
        <f t="shared" si="2"/>
        <v>22</v>
      </c>
      <c r="D44" s="158">
        <f t="shared" si="2"/>
        <v>64</v>
      </c>
      <c r="E44" s="158">
        <f t="shared" si="2"/>
        <v>151</v>
      </c>
      <c r="F44" s="158">
        <f t="shared" si="2"/>
        <v>88</v>
      </c>
      <c r="G44" s="158">
        <f t="shared" si="2"/>
        <v>53</v>
      </c>
      <c r="H44" s="158">
        <f t="shared" si="2"/>
        <v>47</v>
      </c>
      <c r="I44" s="158">
        <f t="shared" si="2"/>
        <v>177</v>
      </c>
      <c r="J44" s="158">
        <f t="shared" si="2"/>
        <v>107</v>
      </c>
      <c r="K44" s="158">
        <f t="shared" si="2"/>
        <v>96</v>
      </c>
      <c r="L44" s="158">
        <f t="shared" si="2"/>
        <v>58</v>
      </c>
      <c r="M44" s="158">
        <f t="shared" si="2"/>
        <v>88</v>
      </c>
      <c r="N44" s="73">
        <f t="shared" ref="N44:N57" si="3">SUM(B44:M44)</f>
        <v>983</v>
      </c>
      <c r="O44" s="74"/>
      <c r="P44" s="75"/>
    </row>
    <row r="45" spans="1:16" ht="12.75" customHeight="1">
      <c r="A45" s="155" t="s">
        <v>406</v>
      </c>
      <c r="B45" s="159">
        <f t="shared" ref="B45:M45" si="4">B9+B27</f>
        <v>135</v>
      </c>
      <c r="C45" s="159">
        <f t="shared" si="4"/>
        <v>113</v>
      </c>
      <c r="D45" s="159">
        <f t="shared" si="4"/>
        <v>90</v>
      </c>
      <c r="E45" s="159">
        <f t="shared" si="4"/>
        <v>304</v>
      </c>
      <c r="F45" s="159">
        <f t="shared" si="4"/>
        <v>145</v>
      </c>
      <c r="G45" s="159">
        <f t="shared" si="4"/>
        <v>89</v>
      </c>
      <c r="H45" s="159">
        <f t="shared" si="4"/>
        <v>144</v>
      </c>
      <c r="I45" s="159">
        <f t="shared" si="4"/>
        <v>595</v>
      </c>
      <c r="J45" s="159">
        <f t="shared" si="4"/>
        <v>307</v>
      </c>
      <c r="K45" s="159">
        <f t="shared" si="4"/>
        <v>311</v>
      </c>
      <c r="L45" s="159">
        <f t="shared" si="4"/>
        <v>279</v>
      </c>
      <c r="M45" s="159">
        <f t="shared" si="4"/>
        <v>1196</v>
      </c>
      <c r="N45" s="157">
        <f t="shared" si="3"/>
        <v>3708</v>
      </c>
      <c r="O45" s="132"/>
      <c r="P45" s="75">
        <f>O45/N45</f>
        <v>0</v>
      </c>
    </row>
    <row r="46" spans="1:16" ht="12.75" customHeight="1">
      <c r="A46" s="71" t="s">
        <v>362</v>
      </c>
      <c r="B46" s="160">
        <f t="shared" ref="B46:M46" si="5">B10+B28</f>
        <v>480</v>
      </c>
      <c r="C46" s="160">
        <f t="shared" si="5"/>
        <v>450</v>
      </c>
      <c r="D46" s="160">
        <f t="shared" si="5"/>
        <v>177</v>
      </c>
      <c r="E46" s="160">
        <f t="shared" si="5"/>
        <v>1037</v>
      </c>
      <c r="F46" s="160">
        <f t="shared" si="5"/>
        <v>590</v>
      </c>
      <c r="G46" s="160">
        <f t="shared" si="5"/>
        <v>143</v>
      </c>
      <c r="H46" s="160">
        <f t="shared" si="5"/>
        <v>973</v>
      </c>
      <c r="I46" s="160">
        <f t="shared" si="5"/>
        <v>1999</v>
      </c>
      <c r="J46" s="160">
        <f t="shared" si="5"/>
        <v>608</v>
      </c>
      <c r="K46" s="160">
        <f t="shared" si="5"/>
        <v>413</v>
      </c>
      <c r="L46" s="160">
        <f t="shared" si="5"/>
        <v>396</v>
      </c>
      <c r="M46" s="160">
        <f t="shared" si="5"/>
        <v>1155</v>
      </c>
      <c r="N46" s="73">
        <f t="shared" si="3"/>
        <v>8421</v>
      </c>
      <c r="O46" s="74"/>
      <c r="P46" s="75"/>
    </row>
    <row r="47" spans="1:16" ht="12.75" customHeight="1">
      <c r="A47" s="71" t="s">
        <v>17</v>
      </c>
      <c r="B47" s="160">
        <f t="shared" ref="B47:M47" si="6">B11+B29</f>
        <v>11763</v>
      </c>
      <c r="C47" s="160">
        <f t="shared" si="6"/>
        <v>11027</v>
      </c>
      <c r="D47" s="160">
        <f t="shared" si="6"/>
        <v>4086</v>
      </c>
      <c r="E47" s="160">
        <f t="shared" si="6"/>
        <v>25619</v>
      </c>
      <c r="F47" s="160">
        <f t="shared" si="6"/>
        <v>14522</v>
      </c>
      <c r="G47" s="160">
        <f t="shared" si="6"/>
        <v>3505</v>
      </c>
      <c r="H47" s="160">
        <f t="shared" si="6"/>
        <v>24161</v>
      </c>
      <c r="I47" s="160">
        <f t="shared" si="6"/>
        <v>49975</v>
      </c>
      <c r="J47" s="160">
        <f t="shared" si="6"/>
        <v>13474</v>
      </c>
      <c r="K47" s="160">
        <f t="shared" si="6"/>
        <v>7107</v>
      </c>
      <c r="L47" s="160">
        <f t="shared" si="6"/>
        <v>6402</v>
      </c>
      <c r="M47" s="160">
        <f t="shared" si="6"/>
        <v>19208</v>
      </c>
      <c r="N47" s="73">
        <f t="shared" si="3"/>
        <v>190849</v>
      </c>
      <c r="O47" s="74"/>
      <c r="P47" s="75"/>
    </row>
    <row r="48" spans="1:16" ht="12.75" customHeight="1">
      <c r="A48" s="71" t="s">
        <v>344</v>
      </c>
      <c r="B48" s="160">
        <f t="shared" ref="B48:M48" si="7">B12+B30</f>
        <v>23</v>
      </c>
      <c r="C48" s="160">
        <f t="shared" si="7"/>
        <v>19</v>
      </c>
      <c r="D48" s="160">
        <f t="shared" si="7"/>
        <v>45</v>
      </c>
      <c r="E48" s="160">
        <f t="shared" si="7"/>
        <v>270</v>
      </c>
      <c r="F48" s="160">
        <f t="shared" si="7"/>
        <v>65</v>
      </c>
      <c r="G48" s="160">
        <f t="shared" si="7"/>
        <v>126</v>
      </c>
      <c r="H48" s="160">
        <f t="shared" si="7"/>
        <v>0</v>
      </c>
      <c r="I48" s="160">
        <f t="shared" si="7"/>
        <v>447</v>
      </c>
      <c r="J48" s="160">
        <f t="shared" si="7"/>
        <v>202</v>
      </c>
      <c r="K48" s="160">
        <f t="shared" si="7"/>
        <v>165</v>
      </c>
      <c r="L48" s="160">
        <f t="shared" si="7"/>
        <v>198</v>
      </c>
      <c r="M48" s="160">
        <f t="shared" si="7"/>
        <v>260</v>
      </c>
      <c r="N48" s="73">
        <f t="shared" si="3"/>
        <v>1820</v>
      </c>
      <c r="O48" s="74"/>
      <c r="P48" s="75"/>
    </row>
    <row r="49" spans="1:16" ht="12.75" customHeight="1">
      <c r="A49" s="71" t="s">
        <v>298</v>
      </c>
      <c r="B49" s="160">
        <f t="shared" ref="B49:M49" si="8">B13+B31</f>
        <v>23</v>
      </c>
      <c r="C49" s="160">
        <f t="shared" si="8"/>
        <v>19</v>
      </c>
      <c r="D49" s="160">
        <f t="shared" si="8"/>
        <v>45</v>
      </c>
      <c r="E49" s="160">
        <f t="shared" si="8"/>
        <v>270</v>
      </c>
      <c r="F49" s="160">
        <f t="shared" si="8"/>
        <v>65</v>
      </c>
      <c r="G49" s="160">
        <f t="shared" si="8"/>
        <v>126</v>
      </c>
      <c r="H49" s="160">
        <f t="shared" si="8"/>
        <v>0</v>
      </c>
      <c r="I49" s="160">
        <f t="shared" si="8"/>
        <v>447</v>
      </c>
      <c r="J49" s="160">
        <f t="shared" si="8"/>
        <v>202</v>
      </c>
      <c r="K49" s="160">
        <f t="shared" si="8"/>
        <v>165</v>
      </c>
      <c r="L49" s="160">
        <f t="shared" si="8"/>
        <v>198</v>
      </c>
      <c r="M49" s="160">
        <f t="shared" si="8"/>
        <v>260</v>
      </c>
      <c r="N49" s="73">
        <f t="shared" si="3"/>
        <v>1820</v>
      </c>
      <c r="O49" s="74"/>
      <c r="P49" s="75"/>
    </row>
    <row r="50" spans="1:16" ht="12.75" customHeight="1">
      <c r="A50" s="71" t="s">
        <v>311</v>
      </c>
      <c r="B50" s="161">
        <f t="shared" ref="B50:M50" si="9">B14+B32</f>
        <v>15</v>
      </c>
      <c r="C50" s="161">
        <f t="shared" si="9"/>
        <v>9</v>
      </c>
      <c r="D50" s="161">
        <f t="shared" si="9"/>
        <v>8</v>
      </c>
      <c r="E50" s="161">
        <f t="shared" si="9"/>
        <v>54</v>
      </c>
      <c r="F50" s="161">
        <f t="shared" si="9"/>
        <v>12</v>
      </c>
      <c r="G50" s="161">
        <f t="shared" si="9"/>
        <v>1</v>
      </c>
      <c r="H50" s="161">
        <f t="shared" si="9"/>
        <v>7</v>
      </c>
      <c r="I50" s="161">
        <f t="shared" si="9"/>
        <v>0</v>
      </c>
      <c r="J50" s="161">
        <f t="shared" si="9"/>
        <v>6</v>
      </c>
      <c r="K50" s="161">
        <f t="shared" si="9"/>
        <v>0</v>
      </c>
      <c r="L50" s="161">
        <f t="shared" si="9"/>
        <v>16</v>
      </c>
      <c r="M50" s="161">
        <f t="shared" si="9"/>
        <v>6</v>
      </c>
      <c r="N50" s="73">
        <f t="shared" si="3"/>
        <v>134</v>
      </c>
      <c r="O50" s="74"/>
      <c r="P50" s="75"/>
    </row>
    <row r="51" spans="1:16" ht="12.75" customHeight="1">
      <c r="A51" s="71" t="s">
        <v>392</v>
      </c>
      <c r="B51" s="160">
        <f t="shared" ref="B51:M51" si="10">B15+B33</f>
        <v>29</v>
      </c>
      <c r="C51" s="160">
        <f t="shared" si="10"/>
        <v>105</v>
      </c>
      <c r="D51" s="160">
        <f t="shared" si="10"/>
        <v>56</v>
      </c>
      <c r="E51" s="160">
        <f t="shared" si="10"/>
        <v>1958</v>
      </c>
      <c r="F51" s="160">
        <f t="shared" si="10"/>
        <v>2404</v>
      </c>
      <c r="G51" s="160">
        <f t="shared" si="10"/>
        <v>1</v>
      </c>
      <c r="H51" s="160">
        <f t="shared" si="10"/>
        <v>7</v>
      </c>
      <c r="I51" s="160">
        <f t="shared" si="10"/>
        <v>0</v>
      </c>
      <c r="J51" s="160">
        <f t="shared" si="10"/>
        <v>50</v>
      </c>
      <c r="K51" s="160">
        <f t="shared" si="10"/>
        <v>0</v>
      </c>
      <c r="L51" s="160">
        <f t="shared" si="10"/>
        <v>18</v>
      </c>
      <c r="M51" s="160">
        <f t="shared" si="10"/>
        <v>21</v>
      </c>
      <c r="N51" s="73">
        <f t="shared" si="3"/>
        <v>4649</v>
      </c>
      <c r="O51" s="74"/>
      <c r="P51" s="75"/>
    </row>
    <row r="52" spans="1:16" ht="12.75" customHeight="1">
      <c r="A52" s="71" t="s">
        <v>138</v>
      </c>
      <c r="B52" s="160">
        <f t="shared" ref="B52:M52" si="11">B16+B34</f>
        <v>71</v>
      </c>
      <c r="C52" s="160">
        <f t="shared" si="11"/>
        <v>69</v>
      </c>
      <c r="D52" s="160">
        <f t="shared" si="11"/>
        <v>1</v>
      </c>
      <c r="E52" s="160">
        <f t="shared" si="11"/>
        <v>19</v>
      </c>
      <c r="F52" s="160">
        <f t="shared" si="11"/>
        <v>31</v>
      </c>
      <c r="G52" s="160">
        <f t="shared" si="11"/>
        <v>180</v>
      </c>
      <c r="H52" s="160">
        <f t="shared" si="11"/>
        <v>144</v>
      </c>
      <c r="I52" s="160">
        <f t="shared" si="11"/>
        <v>176</v>
      </c>
      <c r="J52" s="160">
        <f t="shared" si="11"/>
        <v>31</v>
      </c>
      <c r="K52" s="160">
        <f t="shared" si="11"/>
        <v>11</v>
      </c>
      <c r="L52" s="160">
        <f t="shared" si="11"/>
        <v>34</v>
      </c>
      <c r="M52" s="160">
        <f t="shared" si="11"/>
        <v>40</v>
      </c>
      <c r="N52" s="73">
        <f t="shared" si="3"/>
        <v>807</v>
      </c>
      <c r="O52" s="74"/>
      <c r="P52" s="75"/>
    </row>
    <row r="53" spans="1:16" ht="12.75" customHeight="1">
      <c r="A53" s="71" t="s">
        <v>92</v>
      </c>
      <c r="B53" s="160">
        <f t="shared" ref="B53:M53" si="12">B17+B35</f>
        <v>3479</v>
      </c>
      <c r="C53" s="160">
        <f t="shared" si="12"/>
        <v>3425</v>
      </c>
      <c r="D53" s="160">
        <f t="shared" si="12"/>
        <v>25</v>
      </c>
      <c r="E53" s="160">
        <f t="shared" si="12"/>
        <v>471</v>
      </c>
      <c r="F53" s="160">
        <f t="shared" si="12"/>
        <v>1054</v>
      </c>
      <c r="G53" s="160">
        <f t="shared" si="12"/>
        <v>0</v>
      </c>
      <c r="H53" s="160">
        <f t="shared" si="12"/>
        <v>5779</v>
      </c>
      <c r="I53" s="160">
        <f t="shared" si="12"/>
        <v>7711</v>
      </c>
      <c r="J53" s="160">
        <f t="shared" si="12"/>
        <v>1057</v>
      </c>
      <c r="K53" s="160">
        <f t="shared" si="12"/>
        <v>223</v>
      </c>
      <c r="L53" s="160">
        <f t="shared" si="12"/>
        <v>932</v>
      </c>
      <c r="M53" s="160">
        <f t="shared" si="12"/>
        <v>1690</v>
      </c>
      <c r="N53" s="73">
        <f t="shared" si="3"/>
        <v>25846</v>
      </c>
      <c r="O53" s="74"/>
      <c r="P53" s="75"/>
    </row>
    <row r="54" spans="1:16" ht="12.75" customHeight="1">
      <c r="A54" s="71" t="s">
        <v>353</v>
      </c>
      <c r="B54" s="160">
        <f t="shared" ref="B54:M54" si="13">B18+B36</f>
        <v>0</v>
      </c>
      <c r="C54" s="160">
        <f t="shared" si="13"/>
        <v>0</v>
      </c>
      <c r="D54" s="160">
        <f t="shared" si="13"/>
        <v>0</v>
      </c>
      <c r="E54" s="160">
        <f t="shared" si="13"/>
        <v>0</v>
      </c>
      <c r="F54" s="160">
        <f t="shared" si="13"/>
        <v>0</v>
      </c>
      <c r="G54" s="160">
        <f t="shared" si="13"/>
        <v>0</v>
      </c>
      <c r="H54" s="160">
        <f t="shared" si="13"/>
        <v>0</v>
      </c>
      <c r="I54" s="160">
        <f t="shared" si="13"/>
        <v>0</v>
      </c>
      <c r="J54" s="160">
        <f t="shared" si="13"/>
        <v>0</v>
      </c>
      <c r="K54" s="160">
        <f t="shared" si="13"/>
        <v>0</v>
      </c>
      <c r="L54" s="160">
        <f t="shared" si="13"/>
        <v>0</v>
      </c>
      <c r="M54" s="160">
        <f t="shared" si="13"/>
        <v>0</v>
      </c>
      <c r="N54" s="73">
        <f t="shared" si="3"/>
        <v>0</v>
      </c>
      <c r="O54" s="74"/>
      <c r="P54" s="75"/>
    </row>
    <row r="55" spans="1:16" ht="12.75" customHeight="1">
      <c r="A55" s="71" t="s">
        <v>203</v>
      </c>
      <c r="B55" s="160">
        <f t="shared" ref="B55:M55" si="14">B19+B37</f>
        <v>0</v>
      </c>
      <c r="C55" s="160">
        <f t="shared" si="14"/>
        <v>0</v>
      </c>
      <c r="D55" s="160">
        <f t="shared" si="14"/>
        <v>0</v>
      </c>
      <c r="E55" s="160">
        <f t="shared" si="14"/>
        <v>0</v>
      </c>
      <c r="F55" s="160">
        <f t="shared" si="14"/>
        <v>0</v>
      </c>
      <c r="G55" s="160">
        <f t="shared" si="14"/>
        <v>0</v>
      </c>
      <c r="H55" s="160">
        <f t="shared" si="14"/>
        <v>0</v>
      </c>
      <c r="I55" s="160">
        <f t="shared" si="14"/>
        <v>0</v>
      </c>
      <c r="J55" s="160">
        <f t="shared" si="14"/>
        <v>0</v>
      </c>
      <c r="K55" s="160">
        <f t="shared" si="14"/>
        <v>0</v>
      </c>
      <c r="L55" s="160">
        <f t="shared" si="14"/>
        <v>0</v>
      </c>
      <c r="M55" s="160">
        <f t="shared" si="14"/>
        <v>0</v>
      </c>
      <c r="N55" s="73">
        <f t="shared" si="3"/>
        <v>0</v>
      </c>
      <c r="O55" s="74"/>
      <c r="P55" s="75"/>
    </row>
    <row r="56" spans="1:16" ht="12.75" customHeight="1">
      <c r="A56" s="71" t="s">
        <v>382</v>
      </c>
      <c r="B56" s="160">
        <f t="shared" ref="B56:M56" si="15">B20+B38</f>
        <v>0</v>
      </c>
      <c r="C56" s="160">
        <f t="shared" si="15"/>
        <v>0</v>
      </c>
      <c r="D56" s="160">
        <f t="shared" si="15"/>
        <v>0</v>
      </c>
      <c r="E56" s="160">
        <f t="shared" si="15"/>
        <v>0</v>
      </c>
      <c r="F56" s="160">
        <f t="shared" si="15"/>
        <v>0</v>
      </c>
      <c r="G56" s="160">
        <f t="shared" si="15"/>
        <v>0</v>
      </c>
      <c r="H56" s="160">
        <f t="shared" si="15"/>
        <v>0</v>
      </c>
      <c r="I56" s="160">
        <f t="shared" si="15"/>
        <v>0</v>
      </c>
      <c r="J56" s="160">
        <f t="shared" si="15"/>
        <v>0</v>
      </c>
      <c r="K56" s="160">
        <f t="shared" si="15"/>
        <v>0</v>
      </c>
      <c r="L56" s="160">
        <f t="shared" si="15"/>
        <v>0</v>
      </c>
      <c r="M56" s="160">
        <f t="shared" si="15"/>
        <v>0</v>
      </c>
      <c r="N56" s="73">
        <f t="shared" si="3"/>
        <v>0</v>
      </c>
      <c r="O56" s="74"/>
      <c r="P56" s="75"/>
    </row>
    <row r="57" spans="1:16" ht="12.75" customHeight="1">
      <c r="A57" s="71" t="s">
        <v>400</v>
      </c>
      <c r="B57" s="36">
        <f t="shared" ref="B57:M57" si="16">B21+B39</f>
        <v>0</v>
      </c>
      <c r="C57" s="36">
        <f t="shared" si="16"/>
        <v>0</v>
      </c>
      <c r="D57" s="36">
        <f t="shared" si="16"/>
        <v>0</v>
      </c>
      <c r="E57" s="36">
        <f t="shared" si="16"/>
        <v>0</v>
      </c>
      <c r="F57" s="36">
        <f t="shared" si="16"/>
        <v>0</v>
      </c>
      <c r="G57" s="36">
        <f t="shared" si="16"/>
        <v>0</v>
      </c>
      <c r="H57" s="36">
        <f t="shared" si="16"/>
        <v>0</v>
      </c>
      <c r="I57" s="36">
        <f t="shared" si="16"/>
        <v>0</v>
      </c>
      <c r="J57" s="36">
        <f t="shared" si="16"/>
        <v>0</v>
      </c>
      <c r="K57" s="36">
        <f t="shared" si="16"/>
        <v>0</v>
      </c>
      <c r="L57" s="36">
        <f t="shared" si="16"/>
        <v>0</v>
      </c>
      <c r="M57" s="36">
        <f t="shared" si="16"/>
        <v>0</v>
      </c>
      <c r="N57" s="73">
        <f t="shared" si="3"/>
        <v>0</v>
      </c>
      <c r="O57" s="74"/>
      <c r="P57" s="75"/>
    </row>
    <row r="58" spans="1:16" ht="12.75" customHeight="1">
      <c r="A58" s="2"/>
      <c r="B58" s="43"/>
      <c r="C58" s="43"/>
      <c r="D58" s="43"/>
      <c r="E58" s="43"/>
      <c r="F58" s="43"/>
      <c r="G58" s="43"/>
      <c r="H58" s="43"/>
      <c r="I58" s="43"/>
      <c r="J58" s="43"/>
      <c r="K58" s="43"/>
      <c r="L58" s="43"/>
      <c r="M58" s="43"/>
      <c r="N58" s="43"/>
      <c r="O58" s="2"/>
    </row>
    <row r="59" spans="1:16" ht="12.75" customHeight="1">
      <c r="A59" s="2"/>
      <c r="O59" s="2"/>
    </row>
    <row r="60" spans="1:16" ht="12.75" customHeight="1">
      <c r="A60" s="2"/>
      <c r="O60" s="2"/>
    </row>
    <row r="61" spans="1:16" ht="12.75" customHeight="1">
      <c r="A61" s="2"/>
      <c r="O61" s="2"/>
    </row>
    <row r="62" spans="1:16" ht="12.75" customHeight="1">
      <c r="A62" s="2"/>
      <c r="O62" s="2"/>
    </row>
    <row r="63" spans="1:16" ht="12.75" customHeight="1">
      <c r="A63" s="2"/>
      <c r="O63" s="2"/>
    </row>
    <row r="64" spans="1:16" ht="12.75" customHeight="1">
      <c r="A64" s="2"/>
      <c r="O64" s="2"/>
    </row>
  </sheetData>
  <pageMargins left="0.75" right="0.75" top="1" bottom="1" header="0.5" footer="0.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dimension ref="A1:Q15"/>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6.85546875" customWidth="1"/>
    <col min="2" max="14" width="8.5703125" customWidth="1"/>
    <col min="15" max="15" width="10.85546875" customWidth="1"/>
    <col min="16" max="16" width="8.5703125" customWidth="1"/>
    <col min="17" max="17" width="9.140625" customWidth="1"/>
  </cols>
  <sheetData>
    <row r="1" spans="1:17" ht="19.5" customHeight="1">
      <c r="A1" s="1" t="s">
        <v>361</v>
      </c>
      <c r="B1" s="2"/>
      <c r="C1" s="2"/>
      <c r="D1" s="2"/>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O3" s="2"/>
    </row>
    <row r="4" spans="1:17" ht="12.75" customHeight="1">
      <c r="A4" s="2" t="s">
        <v>18</v>
      </c>
      <c r="B4" s="2" t="s">
        <v>148</v>
      </c>
      <c r="O4" s="2"/>
    </row>
    <row r="5" spans="1:17" ht="12.75" customHeight="1">
      <c r="A5" s="5"/>
      <c r="B5" s="6"/>
      <c r="C5" s="6"/>
      <c r="D5" s="6"/>
      <c r="E5" s="6"/>
      <c r="F5" s="6"/>
      <c r="G5" s="6"/>
      <c r="H5" s="6"/>
      <c r="I5" s="6"/>
      <c r="J5" s="6"/>
      <c r="K5" s="6"/>
      <c r="L5" s="6"/>
      <c r="M5" s="6"/>
      <c r="N5" s="6"/>
      <c r="O5" s="5"/>
      <c r="P5" s="6"/>
    </row>
    <row r="6" spans="1:17" ht="24.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c r="Q6" s="2"/>
    </row>
    <row r="7" spans="1:17" ht="12.75" customHeight="1">
      <c r="A7" s="162" t="s">
        <v>277</v>
      </c>
      <c r="B7" s="163">
        <v>23</v>
      </c>
      <c r="C7" s="163">
        <v>5</v>
      </c>
      <c r="D7" s="163">
        <v>33</v>
      </c>
      <c r="E7" s="164">
        <v>85</v>
      </c>
      <c r="F7" s="164">
        <v>15</v>
      </c>
      <c r="G7" s="164">
        <v>15</v>
      </c>
      <c r="H7" s="164">
        <v>3</v>
      </c>
      <c r="I7" s="164">
        <v>98</v>
      </c>
      <c r="J7" s="164">
        <v>56</v>
      </c>
      <c r="K7" s="164">
        <v>21</v>
      </c>
      <c r="L7" s="164">
        <v>6</v>
      </c>
      <c r="M7" s="164">
        <v>9</v>
      </c>
      <c r="N7" s="73">
        <f t="shared" ref="N7:N13" si="0">SUM(B7:M7)</f>
        <v>369</v>
      </c>
      <c r="O7" s="165">
        <v>14030</v>
      </c>
      <c r="P7" s="166">
        <f t="shared" ref="P7:P13" si="1">O7/N7</f>
        <v>38.021680216802167</v>
      </c>
      <c r="Q7" s="18"/>
    </row>
    <row r="8" spans="1:17" ht="12.75" customHeight="1">
      <c r="A8" s="71" t="s">
        <v>234</v>
      </c>
      <c r="B8" s="163">
        <v>27</v>
      </c>
      <c r="C8" s="163">
        <v>27</v>
      </c>
      <c r="D8" s="163">
        <v>36</v>
      </c>
      <c r="E8" s="72">
        <v>64</v>
      </c>
      <c r="F8" s="72">
        <v>96</v>
      </c>
      <c r="G8" s="72">
        <v>73</v>
      </c>
      <c r="H8" s="72">
        <v>35</v>
      </c>
      <c r="I8" s="72">
        <v>65</v>
      </c>
      <c r="J8" s="72">
        <v>78</v>
      </c>
      <c r="K8" s="72">
        <v>80</v>
      </c>
      <c r="L8" s="72">
        <v>42</v>
      </c>
      <c r="M8" s="72">
        <v>24</v>
      </c>
      <c r="N8" s="73">
        <f t="shared" si="0"/>
        <v>647</v>
      </c>
      <c r="O8" s="165">
        <v>14030</v>
      </c>
      <c r="P8" s="166">
        <f t="shared" si="1"/>
        <v>21.68469860896445</v>
      </c>
      <c r="Q8" s="18"/>
    </row>
    <row r="9" spans="1:17" ht="12.75" customHeight="1">
      <c r="A9" s="155" t="s">
        <v>15</v>
      </c>
      <c r="B9" s="163">
        <v>50</v>
      </c>
      <c r="C9" s="163">
        <v>32</v>
      </c>
      <c r="D9" s="163">
        <v>69</v>
      </c>
      <c r="E9" s="23">
        <v>149</v>
      </c>
      <c r="F9" s="23">
        <v>111</v>
      </c>
      <c r="G9" s="23">
        <v>88</v>
      </c>
      <c r="H9" s="23">
        <v>38</v>
      </c>
      <c r="I9" s="23">
        <v>163</v>
      </c>
      <c r="J9" s="23">
        <v>134</v>
      </c>
      <c r="K9" s="23">
        <v>101</v>
      </c>
      <c r="L9" s="23">
        <v>48</v>
      </c>
      <c r="M9" s="23">
        <v>33</v>
      </c>
      <c r="N9" s="157">
        <f t="shared" si="0"/>
        <v>1016</v>
      </c>
      <c r="O9" s="165">
        <v>14030</v>
      </c>
      <c r="P9" s="167">
        <f t="shared" si="1"/>
        <v>13.809055118110237</v>
      </c>
      <c r="Q9" s="18"/>
    </row>
    <row r="10" spans="1:17" ht="12.75" customHeight="1">
      <c r="A10" s="155" t="s">
        <v>152</v>
      </c>
      <c r="B10" s="163">
        <v>198</v>
      </c>
      <c r="C10" s="163">
        <v>101</v>
      </c>
      <c r="D10" s="163">
        <v>214</v>
      </c>
      <c r="E10" s="23">
        <v>592</v>
      </c>
      <c r="F10" s="23">
        <v>462</v>
      </c>
      <c r="G10" s="23">
        <v>277</v>
      </c>
      <c r="H10" s="23">
        <v>206</v>
      </c>
      <c r="I10" s="23">
        <v>471</v>
      </c>
      <c r="J10" s="23">
        <v>467</v>
      </c>
      <c r="K10" s="23">
        <v>402</v>
      </c>
      <c r="L10" s="23">
        <v>156</v>
      </c>
      <c r="M10" s="23">
        <v>147</v>
      </c>
      <c r="N10" s="157">
        <f t="shared" si="0"/>
        <v>3693</v>
      </c>
      <c r="O10" s="165">
        <v>14030</v>
      </c>
      <c r="P10" s="167">
        <f t="shared" si="1"/>
        <v>3.7990793392905498</v>
      </c>
      <c r="Q10" s="18"/>
    </row>
    <row r="11" spans="1:17" ht="12.75" customHeight="1">
      <c r="A11" s="71" t="s">
        <v>348</v>
      </c>
      <c r="B11" s="168">
        <v>3.96</v>
      </c>
      <c r="C11" s="168">
        <v>3.16</v>
      </c>
      <c r="D11" s="168">
        <v>3.91</v>
      </c>
      <c r="E11" s="169">
        <v>3.97</v>
      </c>
      <c r="F11" s="169">
        <v>4.16</v>
      </c>
      <c r="G11" s="169">
        <v>3.15</v>
      </c>
      <c r="H11" s="169">
        <v>5.42</v>
      </c>
      <c r="I11" s="169">
        <v>2.89</v>
      </c>
      <c r="J11" s="169">
        <v>3.49</v>
      </c>
      <c r="K11" s="169">
        <v>3.98</v>
      </c>
      <c r="L11" s="169">
        <v>325</v>
      </c>
      <c r="M11" s="169">
        <v>1.45</v>
      </c>
      <c r="N11" s="170">
        <f t="shared" si="0"/>
        <v>364.54</v>
      </c>
      <c r="O11" s="165">
        <v>14030</v>
      </c>
      <c r="P11" s="166">
        <f t="shared" si="1"/>
        <v>38.486860152520983</v>
      </c>
      <c r="Q11" s="18"/>
    </row>
    <row r="12" spans="1:17" ht="12.75" customHeight="1">
      <c r="A12" s="155" t="s">
        <v>181</v>
      </c>
      <c r="B12" s="163">
        <v>509</v>
      </c>
      <c r="C12" s="163">
        <v>1273</v>
      </c>
      <c r="D12" s="163">
        <v>1291</v>
      </c>
      <c r="E12" s="72">
        <v>2485</v>
      </c>
      <c r="F12" s="72">
        <v>1479</v>
      </c>
      <c r="G12" s="72">
        <v>869</v>
      </c>
      <c r="H12" s="72">
        <v>1144</v>
      </c>
      <c r="I12" s="72">
        <v>3770</v>
      </c>
      <c r="J12" s="72">
        <v>2067</v>
      </c>
      <c r="K12" s="72">
        <v>2935</v>
      </c>
      <c r="L12" s="72">
        <v>500</v>
      </c>
      <c r="M12" s="72">
        <v>1797</v>
      </c>
      <c r="N12" s="157">
        <f t="shared" si="0"/>
        <v>20119</v>
      </c>
      <c r="O12" s="165">
        <v>14030</v>
      </c>
      <c r="P12" s="167">
        <f t="shared" si="1"/>
        <v>0.69735076296038567</v>
      </c>
      <c r="Q12" s="18"/>
    </row>
    <row r="13" spans="1:17" ht="12.75" customHeight="1">
      <c r="A13" s="71" t="s">
        <v>95</v>
      </c>
      <c r="B13" s="168">
        <v>10.18</v>
      </c>
      <c r="C13" s="168">
        <v>39.78</v>
      </c>
      <c r="D13" s="168">
        <v>18.71</v>
      </c>
      <c r="E13" s="169">
        <v>16.68</v>
      </c>
      <c r="F13" s="169">
        <v>13.32</v>
      </c>
      <c r="G13" s="169">
        <v>9.8800000000000008</v>
      </c>
      <c r="H13" s="169">
        <v>30.11</v>
      </c>
      <c r="I13" s="169">
        <v>23.13</v>
      </c>
      <c r="J13" s="169">
        <v>15.43</v>
      </c>
      <c r="K13" s="169">
        <v>29.06</v>
      </c>
      <c r="L13" s="169">
        <v>10.42</v>
      </c>
      <c r="M13" s="169">
        <v>54.45</v>
      </c>
      <c r="N13" s="170">
        <f t="shared" si="0"/>
        <v>271.14999999999998</v>
      </c>
      <c r="O13" s="165">
        <v>14030</v>
      </c>
      <c r="P13" s="166">
        <f t="shared" si="1"/>
        <v>51.742577908906512</v>
      </c>
      <c r="Q13" s="18"/>
    </row>
    <row r="14" spans="1:17" ht="12.75" customHeight="1">
      <c r="A14" s="2"/>
      <c r="B14" s="43"/>
      <c r="C14" s="43"/>
      <c r="D14" s="43"/>
      <c r="E14" s="43"/>
      <c r="F14" s="43"/>
      <c r="G14" s="43"/>
      <c r="H14" s="43"/>
      <c r="I14" s="43"/>
      <c r="J14" s="43"/>
      <c r="K14" s="43"/>
      <c r="L14" s="43"/>
      <c r="M14" s="43"/>
      <c r="N14" s="43"/>
      <c r="O14" s="42"/>
      <c r="P14" s="43"/>
    </row>
    <row r="15" spans="1:17" ht="12.75" customHeight="1">
      <c r="A15" s="171"/>
      <c r="B15" s="2"/>
      <c r="C15" s="2"/>
      <c r="D15" s="2"/>
      <c r="E15" s="2"/>
      <c r="F15" s="2"/>
      <c r="G15" s="2"/>
      <c r="H15" s="2"/>
      <c r="I15" s="2"/>
      <c r="J15" s="2"/>
      <c r="K15" s="2"/>
      <c r="L15" s="2"/>
      <c r="M15" s="2"/>
      <c r="N15" s="2"/>
      <c r="O15" s="2"/>
      <c r="P15" s="2"/>
      <c r="Q15" s="2"/>
    </row>
  </sheetData>
  <pageMargins left="0.75" right="0.75" top="1" bottom="1" header="0.5" footer="0.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dimension ref="A1:Q12"/>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4.85546875" customWidth="1"/>
    <col min="2" max="2" width="9.7109375" customWidth="1"/>
    <col min="3" max="14" width="8.5703125" customWidth="1"/>
    <col min="15" max="15" width="10.85546875" customWidth="1"/>
    <col min="16" max="16" width="8.5703125" customWidth="1"/>
    <col min="17" max="17" width="9.140625" customWidth="1"/>
  </cols>
  <sheetData>
    <row r="1" spans="1:17" ht="19.5" customHeight="1">
      <c r="A1" s="178" t="s">
        <v>0</v>
      </c>
      <c r="B1" s="179"/>
      <c r="C1" s="179"/>
      <c r="D1" s="179"/>
      <c r="E1" s="2"/>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B3" s="2"/>
      <c r="C3" s="2"/>
      <c r="O3" s="2"/>
    </row>
    <row r="4" spans="1:17" ht="12.75" customHeight="1">
      <c r="A4" s="2" t="s">
        <v>18</v>
      </c>
      <c r="B4" s="2" t="s">
        <v>148</v>
      </c>
      <c r="C4" s="2"/>
      <c r="O4" s="2"/>
    </row>
    <row r="5" spans="1:17" ht="12.75" customHeight="1">
      <c r="A5" s="5"/>
      <c r="B5" s="5"/>
      <c r="C5" s="5"/>
      <c r="D5" s="6"/>
      <c r="E5" s="6"/>
      <c r="F5" s="6"/>
      <c r="G5" s="6"/>
      <c r="H5" s="6"/>
      <c r="I5" s="6"/>
      <c r="J5" s="6"/>
      <c r="K5" s="6"/>
      <c r="L5" s="6"/>
      <c r="M5" s="6"/>
      <c r="N5" s="6"/>
      <c r="O5" s="5"/>
      <c r="P5" s="6"/>
    </row>
    <row r="6" spans="1:17" ht="33" customHeight="1">
      <c r="A6" s="172"/>
      <c r="B6" s="59">
        <v>39995</v>
      </c>
      <c r="C6" s="59">
        <v>40026</v>
      </c>
      <c r="D6" s="59">
        <v>40057</v>
      </c>
      <c r="E6" s="59">
        <v>40087</v>
      </c>
      <c r="F6" s="59">
        <v>40118</v>
      </c>
      <c r="G6" s="59">
        <v>40148</v>
      </c>
      <c r="H6" s="59">
        <v>40179</v>
      </c>
      <c r="I6" s="59">
        <v>40210</v>
      </c>
      <c r="J6" s="59">
        <v>40238</v>
      </c>
      <c r="K6" s="59">
        <v>40269</v>
      </c>
      <c r="L6" s="59">
        <v>40299</v>
      </c>
      <c r="M6" s="59">
        <v>40330</v>
      </c>
      <c r="N6" s="173" t="s">
        <v>367</v>
      </c>
      <c r="O6" s="106" t="s">
        <v>166</v>
      </c>
      <c r="P6" s="106" t="s">
        <v>171</v>
      </c>
      <c r="Q6" s="2"/>
    </row>
    <row r="7" spans="1:17" ht="12.75" customHeight="1">
      <c r="A7" s="174" t="s">
        <v>0</v>
      </c>
      <c r="B7" s="97"/>
      <c r="C7" s="97"/>
      <c r="D7" s="97"/>
      <c r="E7" s="97"/>
      <c r="F7" s="97"/>
      <c r="G7" s="97"/>
      <c r="H7" s="97"/>
      <c r="I7" s="97"/>
      <c r="J7" s="97"/>
      <c r="K7" s="97"/>
      <c r="L7" s="97"/>
      <c r="M7" s="97"/>
      <c r="N7" s="95"/>
      <c r="O7" s="95"/>
      <c r="P7" s="95"/>
    </row>
    <row r="8" spans="1:17" ht="12.75" customHeight="1">
      <c r="A8" s="162" t="s">
        <v>125</v>
      </c>
      <c r="B8" s="72">
        <v>257</v>
      </c>
      <c r="C8" s="72">
        <v>190</v>
      </c>
      <c r="D8" s="72">
        <v>273</v>
      </c>
      <c r="E8" s="72">
        <v>342</v>
      </c>
      <c r="F8" s="72">
        <v>257</v>
      </c>
      <c r="G8" s="72">
        <v>242</v>
      </c>
      <c r="H8" s="14">
        <v>221</v>
      </c>
      <c r="I8" s="14">
        <v>290</v>
      </c>
      <c r="J8" s="14">
        <v>364</v>
      </c>
      <c r="K8" s="14">
        <v>274</v>
      </c>
      <c r="L8" s="14">
        <v>215</v>
      </c>
      <c r="M8" s="14">
        <v>225</v>
      </c>
      <c r="N8" s="73">
        <f>SUM(B8:M8)</f>
        <v>3150</v>
      </c>
      <c r="O8" s="175"/>
      <c r="P8" s="70"/>
    </row>
    <row r="9" spans="1:17" ht="12.75" customHeight="1">
      <c r="A9" s="71" t="s">
        <v>52</v>
      </c>
      <c r="B9" s="72">
        <v>759</v>
      </c>
      <c r="C9" s="72">
        <v>480</v>
      </c>
      <c r="D9" s="72">
        <v>753</v>
      </c>
      <c r="E9" s="72">
        <v>781</v>
      </c>
      <c r="F9" s="72">
        <v>631</v>
      </c>
      <c r="G9" s="72">
        <v>554</v>
      </c>
      <c r="H9" s="72">
        <v>526</v>
      </c>
      <c r="I9" s="14">
        <v>692</v>
      </c>
      <c r="J9" s="14">
        <v>966</v>
      </c>
      <c r="K9" s="14">
        <v>570</v>
      </c>
      <c r="L9" s="14">
        <v>503</v>
      </c>
      <c r="M9" s="14">
        <v>475</v>
      </c>
      <c r="N9" s="73">
        <f>SUM(B9:M9)</f>
        <v>7690</v>
      </c>
      <c r="O9" s="132">
        <v>32670</v>
      </c>
      <c r="P9" s="75">
        <f>O9/N9</f>
        <v>4.2483745123537062</v>
      </c>
    </row>
    <row r="10" spans="1:17" ht="12.75" customHeight="1">
      <c r="A10" s="71" t="s">
        <v>6</v>
      </c>
      <c r="B10" s="72">
        <v>60</v>
      </c>
      <c r="C10" s="72">
        <v>30</v>
      </c>
      <c r="D10" s="72">
        <v>139</v>
      </c>
      <c r="E10" s="72">
        <v>145</v>
      </c>
      <c r="F10" s="72">
        <v>121</v>
      </c>
      <c r="G10" s="72">
        <v>89</v>
      </c>
      <c r="H10" s="23">
        <v>42</v>
      </c>
      <c r="I10" s="23">
        <v>119</v>
      </c>
      <c r="J10" s="23">
        <v>174</v>
      </c>
      <c r="K10" s="23">
        <v>72</v>
      </c>
      <c r="L10" s="23">
        <v>37</v>
      </c>
      <c r="M10" s="23">
        <v>47</v>
      </c>
      <c r="N10" s="73">
        <f>SUM(B10:M10)</f>
        <v>1075</v>
      </c>
      <c r="O10" s="74"/>
      <c r="P10" s="75"/>
    </row>
    <row r="11" spans="1:17" ht="12.75" customHeight="1">
      <c r="A11" s="71" t="s">
        <v>268</v>
      </c>
      <c r="B11" s="72">
        <v>1</v>
      </c>
      <c r="C11" s="72">
        <v>1</v>
      </c>
      <c r="D11" s="72">
        <v>1</v>
      </c>
      <c r="E11" s="72">
        <v>1</v>
      </c>
      <c r="F11" s="72">
        <v>1</v>
      </c>
      <c r="G11" s="72">
        <v>1</v>
      </c>
      <c r="H11" s="72">
        <v>1</v>
      </c>
      <c r="I11" s="72">
        <v>1</v>
      </c>
      <c r="J11" s="72">
        <v>1</v>
      </c>
      <c r="K11" s="72">
        <v>1</v>
      </c>
      <c r="L11" s="72">
        <v>1</v>
      </c>
      <c r="M11" s="72">
        <v>1</v>
      </c>
      <c r="N11" s="73"/>
      <c r="O11" s="10"/>
    </row>
    <row r="12" spans="1:17" ht="12.75" customHeight="1">
      <c r="A12" s="2"/>
      <c r="B12" s="42"/>
      <c r="C12" s="42"/>
      <c r="D12" s="43"/>
      <c r="E12" s="43"/>
      <c r="F12" s="43"/>
      <c r="G12" s="43"/>
      <c r="H12" s="43"/>
      <c r="I12" s="43"/>
      <c r="J12" s="43"/>
      <c r="K12" s="43"/>
      <c r="L12" s="43"/>
      <c r="M12" s="43"/>
      <c r="N12" s="43"/>
      <c r="O12" s="2"/>
    </row>
  </sheetData>
  <mergeCells count="1">
    <mergeCell ref="A1:D1"/>
  </mergeCells>
  <pageMargins left="0.75" right="0.75" top="1" bottom="1" header="0.5" footer="0.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dimension ref="A1:Q41"/>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27.140625" customWidth="1"/>
    <col min="2" max="2" width="10.85546875" customWidth="1"/>
    <col min="3" max="14" width="8.5703125" customWidth="1"/>
    <col min="15" max="15" width="12.85546875" customWidth="1"/>
    <col min="16" max="16" width="8.5703125" customWidth="1"/>
    <col min="17" max="17" width="9.140625" customWidth="1"/>
  </cols>
  <sheetData>
    <row r="1" spans="1:17" ht="19.5" customHeight="1">
      <c r="A1" s="178" t="s">
        <v>398</v>
      </c>
      <c r="B1" s="179"/>
      <c r="C1" s="179"/>
      <c r="D1" s="179"/>
      <c r="E1" s="179"/>
      <c r="F1" s="2"/>
      <c r="G1" s="2"/>
      <c r="H1" s="2"/>
      <c r="I1" s="2"/>
      <c r="J1" s="2"/>
      <c r="K1" s="2"/>
      <c r="L1" s="2"/>
      <c r="M1" s="2"/>
      <c r="N1" s="2"/>
      <c r="O1" s="2"/>
      <c r="P1" s="2"/>
      <c r="Q1" s="2"/>
    </row>
    <row r="2" spans="1:17" ht="18" customHeight="1">
      <c r="A2" s="48" t="s">
        <v>342</v>
      </c>
      <c r="B2" s="2"/>
      <c r="C2" s="2"/>
      <c r="D2" s="2"/>
      <c r="E2" s="2"/>
      <c r="F2" s="2"/>
      <c r="G2" s="2"/>
      <c r="H2" s="2"/>
      <c r="I2" s="2"/>
      <c r="J2" s="2"/>
      <c r="K2" s="2"/>
      <c r="L2" s="2"/>
      <c r="M2" s="2"/>
      <c r="N2" s="2"/>
      <c r="O2" s="2"/>
      <c r="P2" s="2"/>
      <c r="Q2" s="2"/>
    </row>
    <row r="3" spans="1:17" ht="12.75" customHeight="1">
      <c r="A3" s="2"/>
      <c r="B3" s="2"/>
      <c r="O3" s="2"/>
    </row>
    <row r="4" spans="1:17" ht="12.75" customHeight="1">
      <c r="A4" s="2" t="s">
        <v>18</v>
      </c>
      <c r="B4" s="2" t="s">
        <v>187</v>
      </c>
      <c r="O4" s="2"/>
    </row>
    <row r="5" spans="1:17" ht="12.75" customHeight="1">
      <c r="A5" s="5"/>
      <c r="B5" s="5"/>
      <c r="C5" s="6"/>
      <c r="D5" s="6"/>
      <c r="E5" s="6"/>
      <c r="F5" s="6"/>
      <c r="G5" s="6"/>
      <c r="H5" s="6"/>
      <c r="I5" s="6"/>
      <c r="J5" s="6"/>
      <c r="K5" s="6"/>
      <c r="L5" s="6"/>
      <c r="M5" s="6"/>
      <c r="N5" s="6"/>
      <c r="O5" s="5"/>
      <c r="P5" s="6"/>
    </row>
    <row r="6" spans="1:17" ht="12.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7" ht="12.75" customHeight="1">
      <c r="A7" s="67" t="s">
        <v>112</v>
      </c>
      <c r="B7" s="112"/>
      <c r="C7" s="112"/>
      <c r="D7" s="112"/>
      <c r="E7" s="112"/>
      <c r="F7" s="112"/>
      <c r="G7" s="112"/>
      <c r="H7" s="112"/>
      <c r="I7" s="112"/>
      <c r="J7" s="112"/>
      <c r="K7" s="112"/>
      <c r="L7" s="112"/>
      <c r="M7" s="112"/>
      <c r="N7" s="112"/>
      <c r="O7" s="43"/>
      <c r="P7" s="43"/>
    </row>
    <row r="8" spans="1:17" ht="12.75" customHeight="1">
      <c r="A8" s="71" t="s">
        <v>253</v>
      </c>
      <c r="B8" s="23">
        <v>21</v>
      </c>
      <c r="C8" s="23">
        <v>12</v>
      </c>
      <c r="D8" s="23">
        <v>45</v>
      </c>
      <c r="E8" s="23">
        <v>100</v>
      </c>
      <c r="F8" s="23">
        <v>64</v>
      </c>
      <c r="G8" s="23">
        <v>18</v>
      </c>
      <c r="H8" s="23">
        <v>18</v>
      </c>
      <c r="I8" s="23">
        <v>34</v>
      </c>
      <c r="J8" s="23">
        <v>41</v>
      </c>
      <c r="K8" s="23">
        <v>35</v>
      </c>
      <c r="L8" s="23">
        <v>12</v>
      </c>
      <c r="M8" s="23">
        <v>19</v>
      </c>
      <c r="N8" s="73">
        <f>SUM(B8:M8)</f>
        <v>419</v>
      </c>
      <c r="O8" s="74"/>
      <c r="P8" s="75"/>
    </row>
    <row r="9" spans="1:17" ht="12.75" customHeight="1">
      <c r="A9" s="71" t="s">
        <v>220</v>
      </c>
      <c r="B9" s="176">
        <v>96</v>
      </c>
      <c r="C9" s="176">
        <v>27</v>
      </c>
      <c r="D9" s="176">
        <v>101</v>
      </c>
      <c r="E9" s="176">
        <v>454</v>
      </c>
      <c r="F9" s="176">
        <v>213</v>
      </c>
      <c r="G9" s="176">
        <v>152</v>
      </c>
      <c r="H9" s="147">
        <v>41</v>
      </c>
      <c r="I9" s="147">
        <v>64</v>
      </c>
      <c r="J9" s="147">
        <v>85</v>
      </c>
      <c r="K9" s="147">
        <v>73</v>
      </c>
      <c r="L9" s="147">
        <v>72</v>
      </c>
      <c r="M9" s="147">
        <v>42</v>
      </c>
      <c r="N9" s="108">
        <f>SUM(B9:M9)</f>
        <v>1420</v>
      </c>
      <c r="O9" s="132">
        <v>27982.5</v>
      </c>
      <c r="P9" s="75">
        <f>O9/N9</f>
        <v>19.705985915492956</v>
      </c>
    </row>
    <row r="10" spans="1:17" ht="12.75" customHeight="1">
      <c r="A10" s="2"/>
      <c r="B10" s="2"/>
      <c r="O10" s="2"/>
    </row>
    <row r="11" spans="1:17" ht="12.75" customHeight="1">
      <c r="A11" s="5"/>
      <c r="B11" s="5"/>
      <c r="C11" s="6"/>
      <c r="D11" s="6"/>
      <c r="E11" s="6"/>
      <c r="F11" s="6"/>
      <c r="G11" s="6"/>
      <c r="H11" s="6"/>
      <c r="I11" s="6"/>
      <c r="J11" s="6"/>
      <c r="K11" s="6"/>
      <c r="L11" s="6"/>
      <c r="M11" s="6"/>
      <c r="N11" s="6"/>
      <c r="O11" s="5"/>
      <c r="P11" s="6"/>
    </row>
    <row r="12" spans="1:17" ht="12.75" customHeight="1">
      <c r="A12" s="58"/>
      <c r="B12" s="59">
        <v>39995</v>
      </c>
      <c r="C12" s="59">
        <v>40026</v>
      </c>
      <c r="D12" s="59">
        <v>40057</v>
      </c>
      <c r="E12" s="59">
        <v>40087</v>
      </c>
      <c r="F12" s="59">
        <v>40118</v>
      </c>
      <c r="G12" s="59">
        <v>40148</v>
      </c>
      <c r="H12" s="59">
        <v>40179</v>
      </c>
      <c r="I12" s="59">
        <v>40210</v>
      </c>
      <c r="J12" s="59">
        <v>40238</v>
      </c>
      <c r="K12" s="59">
        <v>40269</v>
      </c>
      <c r="L12" s="59">
        <v>40299</v>
      </c>
      <c r="M12" s="59">
        <v>40330</v>
      </c>
      <c r="N12" s="60" t="s">
        <v>367</v>
      </c>
      <c r="O12" s="61"/>
      <c r="P12" s="61"/>
    </row>
    <row r="13" spans="1:17" ht="12.75" customHeight="1">
      <c r="A13" s="67" t="s">
        <v>331</v>
      </c>
      <c r="B13" s="112"/>
      <c r="C13" s="112"/>
      <c r="D13" s="112"/>
      <c r="E13" s="112"/>
      <c r="F13" s="112"/>
      <c r="G13" s="112"/>
      <c r="H13" s="112"/>
      <c r="I13" s="112"/>
      <c r="J13" s="112"/>
      <c r="K13" s="112"/>
      <c r="L13" s="112"/>
      <c r="M13" s="112"/>
      <c r="N13" s="112"/>
      <c r="O13" s="43"/>
      <c r="P13" s="43"/>
    </row>
    <row r="14" spans="1:17" ht="12.75" customHeight="1">
      <c r="A14" s="71" t="s">
        <v>253</v>
      </c>
      <c r="B14" s="23">
        <v>489</v>
      </c>
      <c r="C14" s="23">
        <v>463</v>
      </c>
      <c r="D14" s="23">
        <v>801</v>
      </c>
      <c r="E14" s="23">
        <v>1052</v>
      </c>
      <c r="F14" s="23">
        <v>878</v>
      </c>
      <c r="G14" s="23">
        <v>629</v>
      </c>
      <c r="H14" s="23">
        <v>719</v>
      </c>
      <c r="I14" s="23">
        <v>895</v>
      </c>
      <c r="J14" s="23">
        <v>994</v>
      </c>
      <c r="K14" s="23">
        <v>1065</v>
      </c>
      <c r="L14" s="23">
        <v>613</v>
      </c>
      <c r="M14" s="23">
        <v>600</v>
      </c>
      <c r="N14" s="73">
        <f>SUM(B14:M14)</f>
        <v>9198</v>
      </c>
      <c r="O14" s="74"/>
      <c r="P14" s="75"/>
    </row>
    <row r="15" spans="1:17" ht="12.75" customHeight="1">
      <c r="A15" s="71" t="s">
        <v>220</v>
      </c>
      <c r="B15" s="72">
        <v>751</v>
      </c>
      <c r="C15" s="72">
        <v>695</v>
      </c>
      <c r="D15" s="72">
        <v>744</v>
      </c>
      <c r="E15" s="72">
        <v>945</v>
      </c>
      <c r="F15" s="72">
        <v>590</v>
      </c>
      <c r="G15" s="72">
        <v>737</v>
      </c>
      <c r="H15" s="23">
        <v>729</v>
      </c>
      <c r="I15" s="23">
        <v>609</v>
      </c>
      <c r="J15" s="23">
        <v>847</v>
      </c>
      <c r="K15" s="23">
        <v>609</v>
      </c>
      <c r="L15" s="23">
        <v>359</v>
      </c>
      <c r="M15" s="23">
        <v>369</v>
      </c>
      <c r="N15" s="73">
        <f>SUM(B15:M15)</f>
        <v>7984</v>
      </c>
      <c r="O15" s="74"/>
      <c r="P15" s="75"/>
    </row>
    <row r="16" spans="1:17" ht="12.75" customHeight="1">
      <c r="A16" s="2"/>
      <c r="B16" s="42"/>
      <c r="C16" s="43"/>
      <c r="D16" s="43"/>
      <c r="E16" s="43"/>
      <c r="F16" s="43"/>
      <c r="G16" s="43"/>
      <c r="H16" s="43"/>
      <c r="I16" s="43"/>
      <c r="J16" s="43"/>
      <c r="K16" s="43"/>
      <c r="L16" s="43"/>
      <c r="M16" s="43"/>
      <c r="N16" s="43"/>
      <c r="O16" s="2"/>
    </row>
    <row r="17" spans="1:16" ht="12.75" customHeight="1">
      <c r="A17" s="5"/>
      <c r="B17" s="5"/>
      <c r="C17" s="6"/>
      <c r="D17" s="6"/>
      <c r="E17" s="6"/>
      <c r="F17" s="6"/>
      <c r="G17" s="6"/>
      <c r="H17" s="6"/>
      <c r="I17" s="6"/>
      <c r="J17" s="6"/>
      <c r="K17" s="6"/>
      <c r="L17" s="6"/>
      <c r="M17" s="6"/>
      <c r="N17" s="6"/>
      <c r="O17" s="5"/>
      <c r="P17" s="6"/>
    </row>
    <row r="18" spans="1:16" ht="12.75" customHeight="1">
      <c r="A18" s="58"/>
      <c r="B18" s="59">
        <v>39995</v>
      </c>
      <c r="C18" s="59">
        <v>40026</v>
      </c>
      <c r="D18" s="59">
        <v>40057</v>
      </c>
      <c r="E18" s="59">
        <v>40087</v>
      </c>
      <c r="F18" s="59">
        <v>40118</v>
      </c>
      <c r="G18" s="59">
        <v>40148</v>
      </c>
      <c r="H18" s="59">
        <v>40179</v>
      </c>
      <c r="I18" s="59">
        <v>40210</v>
      </c>
      <c r="J18" s="59">
        <v>40238</v>
      </c>
      <c r="K18" s="59">
        <v>40269</v>
      </c>
      <c r="L18" s="59">
        <v>40299</v>
      </c>
      <c r="M18" s="59">
        <v>40330</v>
      </c>
      <c r="N18" s="60" t="s">
        <v>367</v>
      </c>
      <c r="O18" s="61"/>
      <c r="P18" s="61"/>
    </row>
    <row r="19" spans="1:16" ht="12.75" customHeight="1">
      <c r="A19" s="67" t="s">
        <v>290</v>
      </c>
      <c r="B19" s="112"/>
      <c r="C19" s="112"/>
      <c r="D19" s="112"/>
      <c r="E19" s="112"/>
      <c r="F19" s="112"/>
      <c r="G19" s="112"/>
      <c r="H19" s="112"/>
      <c r="I19" s="112"/>
      <c r="J19" s="112"/>
      <c r="K19" s="112"/>
      <c r="L19" s="112"/>
      <c r="M19" s="112"/>
      <c r="N19" s="112"/>
      <c r="O19" s="43"/>
      <c r="P19" s="43"/>
    </row>
    <row r="20" spans="1:16" ht="12.75" customHeight="1">
      <c r="A20" s="71" t="s">
        <v>253</v>
      </c>
      <c r="B20" s="23">
        <v>617</v>
      </c>
      <c r="C20" s="23">
        <v>603</v>
      </c>
      <c r="D20" s="23">
        <v>1511</v>
      </c>
      <c r="E20" s="23">
        <v>1204</v>
      </c>
      <c r="F20" s="23">
        <v>1539</v>
      </c>
      <c r="G20" s="23">
        <v>1268</v>
      </c>
      <c r="H20" s="23">
        <v>1298</v>
      </c>
      <c r="I20" s="23">
        <v>1739</v>
      </c>
      <c r="J20" s="23">
        <v>2040</v>
      </c>
      <c r="K20" s="23">
        <v>1687</v>
      </c>
      <c r="L20" s="23">
        <v>789</v>
      </c>
      <c r="M20" s="23">
        <v>785</v>
      </c>
      <c r="N20" s="73">
        <f>SUM(B20:M20)</f>
        <v>15080</v>
      </c>
      <c r="O20" s="74"/>
      <c r="P20" s="75"/>
    </row>
    <row r="21" spans="1:16" ht="12.75" customHeight="1">
      <c r="A21" s="2"/>
      <c r="B21" s="42"/>
      <c r="C21" s="43"/>
      <c r="D21" s="43"/>
      <c r="E21" s="43"/>
      <c r="F21" s="43"/>
      <c r="G21" s="43"/>
      <c r="H21" s="43"/>
      <c r="I21" s="43"/>
      <c r="J21" s="43"/>
      <c r="K21" s="43"/>
      <c r="L21" s="43"/>
      <c r="M21" s="43"/>
      <c r="N21" s="43"/>
      <c r="O21" s="2"/>
    </row>
    <row r="22" spans="1:16" ht="12.75" customHeight="1">
      <c r="A22" s="5"/>
      <c r="B22" s="5"/>
      <c r="C22" s="6"/>
      <c r="D22" s="6"/>
      <c r="E22" s="6"/>
      <c r="F22" s="6"/>
      <c r="G22" s="6"/>
      <c r="H22" s="6"/>
      <c r="I22" s="6"/>
      <c r="J22" s="6"/>
      <c r="K22" s="6"/>
      <c r="L22" s="6"/>
      <c r="M22" s="6"/>
      <c r="N22" s="6"/>
      <c r="O22" s="5"/>
      <c r="P22" s="6"/>
    </row>
    <row r="23" spans="1:16" ht="12.75" customHeight="1">
      <c r="A23" s="58"/>
      <c r="B23" s="59">
        <v>39995</v>
      </c>
      <c r="C23" s="59">
        <v>40026</v>
      </c>
      <c r="D23" s="59">
        <v>40057</v>
      </c>
      <c r="E23" s="59">
        <v>40087</v>
      </c>
      <c r="F23" s="59">
        <v>40118</v>
      </c>
      <c r="G23" s="59">
        <v>40148</v>
      </c>
      <c r="H23" s="59">
        <v>40179</v>
      </c>
      <c r="I23" s="59">
        <v>40210</v>
      </c>
      <c r="J23" s="59">
        <v>40238</v>
      </c>
      <c r="K23" s="59">
        <v>40269</v>
      </c>
      <c r="L23" s="59">
        <v>40299</v>
      </c>
      <c r="M23" s="59">
        <v>40330</v>
      </c>
      <c r="N23" s="60" t="s">
        <v>367</v>
      </c>
      <c r="O23" s="61" t="s">
        <v>166</v>
      </c>
      <c r="P23" s="61" t="s">
        <v>171</v>
      </c>
    </row>
    <row r="24" spans="1:16" ht="12.75" customHeight="1">
      <c r="A24" s="67" t="s">
        <v>123</v>
      </c>
      <c r="B24" s="112"/>
      <c r="C24" s="112"/>
      <c r="D24" s="112"/>
      <c r="E24" s="112"/>
      <c r="F24" s="112"/>
      <c r="G24" s="112"/>
      <c r="H24" s="112"/>
      <c r="I24" s="112"/>
      <c r="J24" s="112"/>
      <c r="K24" s="112"/>
      <c r="L24" s="112"/>
      <c r="M24" s="112"/>
      <c r="N24" s="112"/>
      <c r="O24" s="43"/>
      <c r="P24" s="43"/>
    </row>
    <row r="25" spans="1:16" ht="12.75" customHeight="1">
      <c r="A25" s="71" t="s">
        <v>253</v>
      </c>
      <c r="B25" s="23">
        <v>411</v>
      </c>
      <c r="C25" s="23">
        <v>462</v>
      </c>
      <c r="D25" s="23">
        <v>1232</v>
      </c>
      <c r="E25" s="23">
        <v>764</v>
      </c>
      <c r="F25" s="23">
        <v>1276</v>
      </c>
      <c r="G25" s="23">
        <v>1043</v>
      </c>
      <c r="H25" s="23">
        <v>1024</v>
      </c>
      <c r="I25" s="23">
        <v>1456</v>
      </c>
      <c r="J25" s="23">
        <v>1650</v>
      </c>
      <c r="K25" s="23">
        <v>1306</v>
      </c>
      <c r="L25" s="23">
        <v>572</v>
      </c>
      <c r="M25" s="23">
        <v>556</v>
      </c>
      <c r="N25" s="73">
        <f>SUM(B25:M25)</f>
        <v>11752</v>
      </c>
      <c r="O25" s="74"/>
      <c r="P25" s="75"/>
    </row>
    <row r="26" spans="1:16" ht="12.75" customHeight="1">
      <c r="A26" s="71" t="s">
        <v>220</v>
      </c>
      <c r="B26" s="72">
        <v>1636</v>
      </c>
      <c r="C26" s="72">
        <v>1835</v>
      </c>
      <c r="D26" s="72">
        <v>3414</v>
      </c>
      <c r="E26" s="72">
        <v>3174</v>
      </c>
      <c r="F26" s="72">
        <v>3341</v>
      </c>
      <c r="G26" s="72">
        <v>2546</v>
      </c>
      <c r="H26" s="23">
        <v>2569</v>
      </c>
      <c r="I26" s="23">
        <v>3608</v>
      </c>
      <c r="J26" s="23">
        <v>4186</v>
      </c>
      <c r="K26" s="23">
        <v>4083</v>
      </c>
      <c r="L26" s="23">
        <v>2562</v>
      </c>
      <c r="M26" s="23">
        <v>2057</v>
      </c>
      <c r="N26" s="73">
        <f>SUM(B26:M26)</f>
        <v>35011</v>
      </c>
      <c r="O26" s="132">
        <v>106743</v>
      </c>
      <c r="P26" s="75">
        <f>O26/N26</f>
        <v>3.0488417925794749</v>
      </c>
    </row>
    <row r="27" spans="1:16" ht="12.75" customHeight="1">
      <c r="A27" s="2"/>
      <c r="B27" s="42"/>
      <c r="C27" s="43"/>
      <c r="D27" s="43"/>
      <c r="E27" s="43"/>
      <c r="F27" s="43"/>
      <c r="G27" s="43"/>
      <c r="H27" s="43"/>
      <c r="I27" s="43"/>
      <c r="J27" s="43"/>
      <c r="K27" s="43"/>
      <c r="L27" s="43"/>
      <c r="M27" s="43"/>
      <c r="N27" s="43"/>
      <c r="O27" s="2"/>
    </row>
    <row r="28" spans="1:16" ht="12.75" customHeight="1">
      <c r="A28" s="5"/>
      <c r="B28" s="5"/>
      <c r="C28" s="6"/>
      <c r="D28" s="6"/>
      <c r="E28" s="6"/>
      <c r="F28" s="6"/>
      <c r="G28" s="6"/>
      <c r="H28" s="6"/>
      <c r="I28" s="6"/>
      <c r="J28" s="6"/>
      <c r="K28" s="6"/>
      <c r="L28" s="6"/>
      <c r="M28" s="6"/>
      <c r="N28" s="6"/>
      <c r="O28" s="5"/>
      <c r="P28" s="6"/>
    </row>
    <row r="29" spans="1:16" ht="12.75" customHeight="1">
      <c r="A29" s="58"/>
      <c r="B29" s="59">
        <v>39995</v>
      </c>
      <c r="C29" s="59">
        <v>40026</v>
      </c>
      <c r="D29" s="59">
        <v>40057</v>
      </c>
      <c r="E29" s="59">
        <v>40087</v>
      </c>
      <c r="F29" s="59">
        <v>40118</v>
      </c>
      <c r="G29" s="59">
        <v>40148</v>
      </c>
      <c r="H29" s="59">
        <v>40179</v>
      </c>
      <c r="I29" s="59">
        <v>40210</v>
      </c>
      <c r="J29" s="59">
        <v>40238</v>
      </c>
      <c r="K29" s="59">
        <v>40269</v>
      </c>
      <c r="L29" s="59">
        <v>40299</v>
      </c>
      <c r="M29" s="59">
        <v>40330</v>
      </c>
      <c r="N29" s="60" t="s">
        <v>367</v>
      </c>
      <c r="O29" s="61"/>
      <c r="P29" s="61"/>
    </row>
    <row r="30" spans="1:16" ht="12.75" customHeight="1">
      <c r="A30" s="67" t="s">
        <v>318</v>
      </c>
      <c r="B30" s="112"/>
      <c r="C30" s="112"/>
      <c r="D30" s="112"/>
      <c r="E30" s="112"/>
      <c r="F30" s="112"/>
      <c r="G30" s="112"/>
      <c r="H30" s="112"/>
      <c r="I30" s="112"/>
      <c r="J30" s="112"/>
      <c r="K30" s="112"/>
      <c r="L30" s="112"/>
      <c r="M30" s="112"/>
      <c r="N30" s="112"/>
      <c r="O30" s="43"/>
      <c r="P30" s="43"/>
    </row>
    <row r="31" spans="1:16" ht="12.75" customHeight="1">
      <c r="A31" s="71" t="s">
        <v>115</v>
      </c>
      <c r="B31" s="23">
        <v>0</v>
      </c>
      <c r="C31" s="23">
        <v>2</v>
      </c>
      <c r="D31" s="23">
        <v>12</v>
      </c>
      <c r="E31" s="23">
        <v>17</v>
      </c>
      <c r="F31" s="23">
        <v>4</v>
      </c>
      <c r="G31" s="23">
        <v>10</v>
      </c>
      <c r="H31" s="23">
        <v>5</v>
      </c>
      <c r="I31" s="23">
        <v>28</v>
      </c>
      <c r="J31" s="23">
        <v>3</v>
      </c>
      <c r="K31" s="23">
        <v>5</v>
      </c>
      <c r="L31" s="23">
        <v>3</v>
      </c>
      <c r="M31" s="23">
        <v>18</v>
      </c>
      <c r="N31" s="73">
        <f t="shared" ref="N31:N40" si="0">SUM(B31:M31)</f>
        <v>107</v>
      </c>
      <c r="O31" s="74"/>
      <c r="P31" s="75"/>
    </row>
    <row r="32" spans="1:16" ht="12.75" customHeight="1">
      <c r="A32" s="71" t="s">
        <v>277</v>
      </c>
      <c r="B32" s="12">
        <v>0</v>
      </c>
      <c r="C32" s="40">
        <v>0</v>
      </c>
      <c r="D32" s="40">
        <v>2</v>
      </c>
      <c r="E32" s="40">
        <v>2</v>
      </c>
      <c r="F32" s="40">
        <v>0</v>
      </c>
      <c r="G32" s="40">
        <v>0</v>
      </c>
      <c r="H32" s="40">
        <v>0</v>
      </c>
      <c r="I32" s="40">
        <v>2</v>
      </c>
      <c r="J32" s="40">
        <v>0</v>
      </c>
      <c r="K32" s="40">
        <v>0</v>
      </c>
      <c r="L32" s="40">
        <v>0</v>
      </c>
      <c r="M32" s="40">
        <v>1</v>
      </c>
      <c r="N32" s="73">
        <f t="shared" si="0"/>
        <v>7</v>
      </c>
      <c r="O32" s="10"/>
    </row>
    <row r="33" spans="1:15" ht="12.75" customHeight="1">
      <c r="A33" s="71" t="s">
        <v>404</v>
      </c>
      <c r="B33" s="12">
        <v>0</v>
      </c>
      <c r="C33" s="40">
        <v>17</v>
      </c>
      <c r="D33" s="40">
        <v>5</v>
      </c>
      <c r="E33" s="40">
        <v>1</v>
      </c>
      <c r="F33" s="40">
        <v>0</v>
      </c>
      <c r="G33" s="40">
        <v>2</v>
      </c>
      <c r="H33" s="40">
        <v>0</v>
      </c>
      <c r="I33" s="40">
        <v>1</v>
      </c>
      <c r="J33" s="40">
        <v>2</v>
      </c>
      <c r="K33" s="40">
        <v>0</v>
      </c>
      <c r="L33" s="40">
        <v>0</v>
      </c>
      <c r="M33" s="40">
        <v>18</v>
      </c>
      <c r="N33" s="73">
        <f t="shared" si="0"/>
        <v>46</v>
      </c>
      <c r="O33" s="10"/>
    </row>
    <row r="34" spans="1:15" ht="12.75" customHeight="1">
      <c r="A34" s="71" t="s">
        <v>264</v>
      </c>
      <c r="B34" s="12">
        <v>1</v>
      </c>
      <c r="C34" s="40">
        <v>2</v>
      </c>
      <c r="D34" s="40">
        <v>3</v>
      </c>
      <c r="E34" s="40">
        <v>3</v>
      </c>
      <c r="F34" s="40">
        <v>0</v>
      </c>
      <c r="G34" s="40">
        <v>6</v>
      </c>
      <c r="H34" s="40">
        <v>3</v>
      </c>
      <c r="I34" s="40">
        <v>4</v>
      </c>
      <c r="J34" s="40">
        <v>1</v>
      </c>
      <c r="K34" s="40">
        <v>7</v>
      </c>
      <c r="L34" s="40">
        <v>3</v>
      </c>
      <c r="M34" s="40">
        <v>8</v>
      </c>
      <c r="N34" s="73">
        <f t="shared" si="0"/>
        <v>41</v>
      </c>
      <c r="O34" s="10"/>
    </row>
    <row r="35" spans="1:15" ht="12.75" customHeight="1">
      <c r="A35" s="71" t="s">
        <v>296</v>
      </c>
      <c r="B35" s="12">
        <v>0</v>
      </c>
      <c r="C35" s="40">
        <v>0</v>
      </c>
      <c r="D35" s="40">
        <v>11</v>
      </c>
      <c r="E35" s="40">
        <v>0</v>
      </c>
      <c r="F35" s="40">
        <v>0</v>
      </c>
      <c r="G35" s="40">
        <v>6</v>
      </c>
      <c r="H35" s="40">
        <v>2</v>
      </c>
      <c r="I35" s="40">
        <v>1</v>
      </c>
      <c r="J35" s="40">
        <v>1</v>
      </c>
      <c r="K35" s="40">
        <v>0</v>
      </c>
      <c r="L35" s="40">
        <v>0</v>
      </c>
      <c r="M35" s="40">
        <v>4</v>
      </c>
      <c r="N35" s="73">
        <f t="shared" si="0"/>
        <v>25</v>
      </c>
      <c r="O35" s="10"/>
    </row>
    <row r="36" spans="1:15" ht="12.75" customHeight="1">
      <c r="A36" s="71" t="s">
        <v>204</v>
      </c>
      <c r="B36" s="12">
        <v>0</v>
      </c>
      <c r="C36" s="40">
        <v>0</v>
      </c>
      <c r="D36" s="40">
        <v>0</v>
      </c>
      <c r="E36" s="40">
        <v>12</v>
      </c>
      <c r="F36" s="40">
        <v>3</v>
      </c>
      <c r="G36" s="40">
        <v>0</v>
      </c>
      <c r="H36" s="40">
        <v>0</v>
      </c>
      <c r="I36" s="40">
        <v>1</v>
      </c>
      <c r="J36" s="40">
        <v>0</v>
      </c>
      <c r="K36" s="40">
        <v>0</v>
      </c>
      <c r="L36" s="40">
        <v>0</v>
      </c>
      <c r="M36" s="40">
        <v>44</v>
      </c>
      <c r="N36" s="73">
        <f t="shared" si="0"/>
        <v>60</v>
      </c>
      <c r="O36" s="10"/>
    </row>
    <row r="37" spans="1:15" ht="12.75" customHeight="1">
      <c r="A37" s="71" t="s">
        <v>387</v>
      </c>
      <c r="B37" s="12">
        <v>0</v>
      </c>
      <c r="C37" s="40">
        <v>0</v>
      </c>
      <c r="D37" s="40">
        <v>0</v>
      </c>
      <c r="E37" s="40">
        <v>0</v>
      </c>
      <c r="F37" s="40">
        <v>0</v>
      </c>
      <c r="G37" s="40">
        <v>0</v>
      </c>
      <c r="H37" s="40">
        <v>0</v>
      </c>
      <c r="I37" s="40">
        <v>0</v>
      </c>
      <c r="J37" s="40">
        <v>0</v>
      </c>
      <c r="K37" s="40">
        <v>0</v>
      </c>
      <c r="L37" s="40">
        <v>0</v>
      </c>
      <c r="M37" s="40">
        <v>6</v>
      </c>
      <c r="N37" s="73">
        <f t="shared" si="0"/>
        <v>6</v>
      </c>
      <c r="O37" s="10"/>
    </row>
    <row r="38" spans="1:15" ht="12.75" customHeight="1">
      <c r="A38" s="71" t="s">
        <v>211</v>
      </c>
      <c r="B38" s="12">
        <v>0</v>
      </c>
      <c r="C38" s="40">
        <v>0</v>
      </c>
      <c r="D38" s="40">
        <v>2</v>
      </c>
      <c r="E38" s="40">
        <v>0</v>
      </c>
      <c r="F38" s="40">
        <v>0</v>
      </c>
      <c r="G38" s="40">
        <v>0</v>
      </c>
      <c r="H38" s="40">
        <v>0</v>
      </c>
      <c r="I38" s="40">
        <v>0</v>
      </c>
      <c r="J38" s="40">
        <v>0</v>
      </c>
      <c r="K38" s="40">
        <v>0</v>
      </c>
      <c r="L38" s="40">
        <v>0</v>
      </c>
      <c r="M38" s="40">
        <v>42</v>
      </c>
      <c r="N38" s="73">
        <f t="shared" si="0"/>
        <v>44</v>
      </c>
      <c r="O38" s="10"/>
    </row>
    <row r="39" spans="1:15" ht="12.75" customHeight="1">
      <c r="A39" s="71" t="s">
        <v>335</v>
      </c>
      <c r="B39" s="12">
        <v>0</v>
      </c>
      <c r="C39" s="40">
        <v>0</v>
      </c>
      <c r="D39" s="40">
        <v>0</v>
      </c>
      <c r="E39" s="40">
        <v>0</v>
      </c>
      <c r="F39" s="40">
        <v>0</v>
      </c>
      <c r="G39" s="40">
        <v>0</v>
      </c>
      <c r="H39" s="40">
        <v>0</v>
      </c>
      <c r="I39" s="40">
        <v>0</v>
      </c>
      <c r="J39" s="40">
        <v>0</v>
      </c>
      <c r="K39" s="40">
        <v>0</v>
      </c>
      <c r="L39" s="40">
        <v>0</v>
      </c>
      <c r="M39" s="40">
        <v>0</v>
      </c>
      <c r="N39" s="73">
        <f t="shared" si="0"/>
        <v>0</v>
      </c>
      <c r="O39" s="10"/>
    </row>
    <row r="40" spans="1:15" ht="12.75" customHeight="1">
      <c r="A40" s="71" t="s">
        <v>63</v>
      </c>
      <c r="B40" s="12">
        <v>1</v>
      </c>
      <c r="C40" s="40">
        <v>21</v>
      </c>
      <c r="D40" s="40">
        <v>35</v>
      </c>
      <c r="E40" s="40">
        <v>35</v>
      </c>
      <c r="F40" s="40">
        <v>7</v>
      </c>
      <c r="G40" s="40">
        <v>24</v>
      </c>
      <c r="H40" s="40">
        <v>10</v>
      </c>
      <c r="I40" s="40">
        <v>37</v>
      </c>
      <c r="J40" s="40">
        <v>7</v>
      </c>
      <c r="K40" s="40">
        <v>12</v>
      </c>
      <c r="L40" s="40">
        <v>6</v>
      </c>
      <c r="M40" s="40">
        <v>141</v>
      </c>
      <c r="N40" s="73">
        <f t="shared" si="0"/>
        <v>336</v>
      </c>
      <c r="O40" s="10"/>
    </row>
    <row r="41" spans="1:15" ht="12.75" customHeight="1">
      <c r="A41" s="2"/>
      <c r="B41" s="42"/>
      <c r="C41" s="43"/>
      <c r="D41" s="43"/>
      <c r="E41" s="43"/>
      <c r="F41" s="43"/>
      <c r="G41" s="43"/>
      <c r="H41" s="43"/>
      <c r="I41" s="43"/>
      <c r="J41" s="43"/>
      <c r="K41" s="43"/>
      <c r="L41" s="43"/>
      <c r="M41" s="43"/>
      <c r="N41" s="43"/>
      <c r="O41" s="2"/>
    </row>
  </sheetData>
  <mergeCells count="1">
    <mergeCell ref="A1:E1"/>
  </mergeCells>
  <pageMargins left="0.75" right="0.75" top="1" bottom="1" header="0.5" footer="0.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dimension ref="A1:P104"/>
  <sheetViews>
    <sheetView zoomScaleNormal="100" workbookViewId="0">
      <pane ySplit="4" topLeftCell="A5" activePane="bottomLeft" state="frozen"/>
      <selection pane="bottomLeft" activeCell="A5" sqref="A5"/>
    </sheetView>
  </sheetViews>
  <sheetFormatPr defaultColWidth="9.140625" defaultRowHeight="12.75" customHeight="1"/>
  <cols>
    <col min="1" max="1" width="33.140625" customWidth="1"/>
    <col min="2" max="14" width="8.5703125" customWidth="1"/>
    <col min="15" max="15" width="11.42578125" customWidth="1"/>
    <col min="16" max="16" width="12.42578125" customWidth="1"/>
  </cols>
  <sheetData>
    <row r="1" spans="1:16" ht="19.5" customHeight="1">
      <c r="A1" s="1" t="s">
        <v>229</v>
      </c>
      <c r="B1" s="2"/>
      <c r="C1" s="2"/>
      <c r="D1" s="2"/>
      <c r="E1" s="2"/>
      <c r="F1" s="2"/>
      <c r="G1" s="2"/>
      <c r="H1" s="2"/>
      <c r="I1" s="2"/>
      <c r="J1" s="2"/>
      <c r="K1" s="2"/>
      <c r="L1" s="2"/>
      <c r="M1" s="2"/>
      <c r="N1" s="2"/>
      <c r="O1" s="2"/>
      <c r="P1" s="2"/>
    </row>
    <row r="2" spans="1:16" ht="18" customHeight="1">
      <c r="A2" s="48" t="s">
        <v>189</v>
      </c>
      <c r="B2" s="2"/>
      <c r="C2" s="2"/>
      <c r="D2" s="2"/>
      <c r="E2" s="2"/>
      <c r="F2" s="2"/>
      <c r="G2" s="2"/>
      <c r="H2" s="2"/>
      <c r="I2" s="2"/>
      <c r="J2" s="2"/>
      <c r="K2" s="2"/>
      <c r="L2" s="2"/>
      <c r="M2" s="2"/>
      <c r="N2" s="2"/>
      <c r="O2" s="2"/>
      <c r="P2" s="2"/>
    </row>
    <row r="3" spans="1:16" ht="12.75" customHeight="1">
      <c r="A3" s="2"/>
    </row>
    <row r="4" spans="1:16" ht="12.75" customHeight="1">
      <c r="A4" s="2" t="s">
        <v>328</v>
      </c>
    </row>
    <row r="5" spans="1:16" ht="12.75" customHeight="1">
      <c r="A5" s="5"/>
      <c r="B5" s="6"/>
      <c r="C5" s="6"/>
      <c r="D5" s="6"/>
      <c r="E5" s="6"/>
      <c r="F5" s="6"/>
      <c r="G5" s="6"/>
      <c r="H5" s="6"/>
      <c r="I5" s="6"/>
      <c r="J5" s="6"/>
      <c r="K5" s="6"/>
      <c r="L5" s="6"/>
      <c r="M5" s="6"/>
      <c r="N5" s="6"/>
      <c r="O5" s="6"/>
      <c r="P5" s="6"/>
    </row>
    <row r="6" spans="1:16" ht="37.5" customHeight="1">
      <c r="A6" s="58"/>
      <c r="B6" s="59">
        <v>39995</v>
      </c>
      <c r="C6" s="59">
        <v>40026</v>
      </c>
      <c r="D6" s="59">
        <v>40057</v>
      </c>
      <c r="E6" s="59">
        <v>40087</v>
      </c>
      <c r="F6" s="59">
        <v>40118</v>
      </c>
      <c r="G6" s="59">
        <v>40148</v>
      </c>
      <c r="H6" s="59">
        <v>40179</v>
      </c>
      <c r="I6" s="59">
        <v>40210</v>
      </c>
      <c r="J6" s="59">
        <v>40238</v>
      </c>
      <c r="K6" s="59">
        <v>40269</v>
      </c>
      <c r="L6" s="59">
        <v>40299</v>
      </c>
      <c r="M6" s="59">
        <v>40330</v>
      </c>
      <c r="N6" s="60" t="s">
        <v>367</v>
      </c>
      <c r="O6" s="61" t="s">
        <v>166</v>
      </c>
      <c r="P6" s="61" t="s">
        <v>171</v>
      </c>
    </row>
    <row r="7" spans="1:16" ht="12.75" customHeight="1">
      <c r="A7" s="67" t="s">
        <v>116</v>
      </c>
      <c r="B7" s="112"/>
      <c r="C7" s="112"/>
      <c r="D7" s="112"/>
      <c r="E7" s="112"/>
      <c r="F7" s="112"/>
      <c r="G7" s="112"/>
      <c r="H7" s="112"/>
      <c r="I7" s="112"/>
      <c r="J7" s="112"/>
      <c r="K7" s="112"/>
      <c r="L7" s="112"/>
      <c r="M7" s="112"/>
      <c r="N7" s="112"/>
      <c r="O7" s="43"/>
      <c r="P7" s="43"/>
    </row>
    <row r="8" spans="1:16" ht="12.75" customHeight="1">
      <c r="A8" s="71" t="s">
        <v>253</v>
      </c>
      <c r="B8" s="23">
        <v>15</v>
      </c>
      <c r="C8" s="23">
        <v>6</v>
      </c>
      <c r="D8" s="23">
        <v>29</v>
      </c>
      <c r="E8" s="23">
        <v>84</v>
      </c>
      <c r="F8" s="23">
        <v>63</v>
      </c>
      <c r="G8" s="23">
        <v>62</v>
      </c>
      <c r="H8" s="23">
        <v>6</v>
      </c>
      <c r="I8" s="23">
        <v>72</v>
      </c>
      <c r="J8" s="23">
        <v>60</v>
      </c>
      <c r="K8" s="23">
        <v>107</v>
      </c>
      <c r="L8" s="23">
        <v>22</v>
      </c>
      <c r="M8" s="23">
        <v>14</v>
      </c>
      <c r="N8" s="73">
        <f>SUM(B8:M8)</f>
        <v>540</v>
      </c>
      <c r="O8" s="74"/>
      <c r="P8" s="75"/>
    </row>
    <row r="9" spans="1:16" ht="12.75" customHeight="1">
      <c r="A9" s="71" t="s">
        <v>204</v>
      </c>
      <c r="B9" s="72">
        <v>40</v>
      </c>
      <c r="C9" s="72">
        <v>17</v>
      </c>
      <c r="D9" s="72">
        <v>76</v>
      </c>
      <c r="E9" s="72">
        <v>275</v>
      </c>
      <c r="F9" s="72">
        <v>194</v>
      </c>
      <c r="G9" s="72">
        <v>197</v>
      </c>
      <c r="H9" s="23">
        <v>15</v>
      </c>
      <c r="I9" s="23">
        <v>261</v>
      </c>
      <c r="J9" s="23">
        <v>271</v>
      </c>
      <c r="K9" s="23">
        <v>323</v>
      </c>
      <c r="L9" s="23">
        <v>63</v>
      </c>
      <c r="M9" s="23">
        <v>81</v>
      </c>
      <c r="N9" s="73">
        <f>SUM(B9:M9)</f>
        <v>1813</v>
      </c>
      <c r="O9" s="74">
        <v>6291</v>
      </c>
      <c r="P9" s="75">
        <f>O9/N9</f>
        <v>3.4699393270821841</v>
      </c>
    </row>
    <row r="10" spans="1:16" ht="12.75" customHeight="1">
      <c r="A10" s="71" t="s">
        <v>225</v>
      </c>
      <c r="B10" s="23">
        <v>0</v>
      </c>
      <c r="C10" s="23">
        <v>0</v>
      </c>
      <c r="D10" s="23">
        <v>0</v>
      </c>
      <c r="E10" s="23">
        <v>0</v>
      </c>
      <c r="F10" s="23">
        <v>0</v>
      </c>
      <c r="G10" s="23">
        <v>0</v>
      </c>
      <c r="H10" s="23" t="s">
        <v>228</v>
      </c>
      <c r="I10" s="23" t="s">
        <v>228</v>
      </c>
      <c r="J10" s="23" t="s">
        <v>228</v>
      </c>
      <c r="K10" s="23" t="s">
        <v>228</v>
      </c>
      <c r="L10" s="23" t="s">
        <v>228</v>
      </c>
      <c r="M10" s="23" t="s">
        <v>228</v>
      </c>
      <c r="N10" s="73">
        <f>SUM(B10:M10)</f>
        <v>0</v>
      </c>
      <c r="O10" s="74"/>
      <c r="P10" s="75"/>
    </row>
    <row r="11" spans="1:16" ht="12.75" customHeight="1">
      <c r="A11" s="71" t="s">
        <v>346</v>
      </c>
      <c r="B11" s="12" t="s">
        <v>228</v>
      </c>
      <c r="C11" s="12" t="s">
        <v>228</v>
      </c>
      <c r="D11" s="12" t="s">
        <v>228</v>
      </c>
      <c r="E11" s="12" t="s">
        <v>228</v>
      </c>
      <c r="F11" s="12" t="s">
        <v>228</v>
      </c>
      <c r="G11" s="12" t="s">
        <v>228</v>
      </c>
      <c r="H11" s="12" t="s">
        <v>228</v>
      </c>
      <c r="I11" s="12" t="s">
        <v>228</v>
      </c>
      <c r="J11" s="12" t="s">
        <v>228</v>
      </c>
      <c r="K11" s="12" t="s">
        <v>228</v>
      </c>
      <c r="L11" s="12" t="s">
        <v>228</v>
      </c>
      <c r="M11" s="12" t="s">
        <v>228</v>
      </c>
      <c r="N11" s="12" t="s">
        <v>228</v>
      </c>
      <c r="O11" s="74"/>
      <c r="P11" s="75"/>
    </row>
    <row r="12" spans="1:16" ht="12.75" customHeight="1">
      <c r="A12" s="2"/>
      <c r="B12" s="92"/>
      <c r="C12" s="92"/>
      <c r="D12" s="92"/>
      <c r="E12" s="92"/>
      <c r="F12" s="92"/>
      <c r="G12" s="92"/>
      <c r="H12" s="92"/>
      <c r="I12" s="92"/>
      <c r="J12" s="92"/>
      <c r="K12" s="92"/>
      <c r="L12" s="92"/>
      <c r="M12" s="92"/>
      <c r="N12" s="42"/>
      <c r="O12" s="75"/>
      <c r="P12" s="75"/>
    </row>
    <row r="13" spans="1:16" ht="12.75" customHeight="1">
      <c r="A13" s="5"/>
      <c r="B13" s="95"/>
      <c r="C13" s="95"/>
      <c r="D13" s="95"/>
      <c r="E13" s="95"/>
      <c r="F13" s="95"/>
      <c r="G13" s="95"/>
      <c r="H13" s="95"/>
      <c r="I13" s="95"/>
      <c r="J13" s="95"/>
      <c r="K13" s="95"/>
      <c r="L13" s="95"/>
      <c r="M13" s="95"/>
      <c r="N13" s="5"/>
      <c r="O13" s="90"/>
      <c r="P13" s="90"/>
    </row>
    <row r="14" spans="1:16" ht="36.75" customHeight="1">
      <c r="A14" s="58"/>
      <c r="B14" s="59">
        <v>39995</v>
      </c>
      <c r="C14" s="59">
        <v>40026</v>
      </c>
      <c r="D14" s="59">
        <v>40057</v>
      </c>
      <c r="E14" s="59">
        <v>40087</v>
      </c>
      <c r="F14" s="59">
        <v>40118</v>
      </c>
      <c r="G14" s="59">
        <v>40148</v>
      </c>
      <c r="H14" s="59">
        <v>40179</v>
      </c>
      <c r="I14" s="59">
        <v>40210</v>
      </c>
      <c r="J14" s="59">
        <v>40238</v>
      </c>
      <c r="K14" s="59">
        <v>40269</v>
      </c>
      <c r="L14" s="59">
        <v>40299</v>
      </c>
      <c r="M14" s="59">
        <v>40330</v>
      </c>
      <c r="N14" s="60" t="s">
        <v>367</v>
      </c>
      <c r="O14" s="61" t="s">
        <v>166</v>
      </c>
      <c r="P14" s="61" t="s">
        <v>171</v>
      </c>
    </row>
    <row r="15" spans="1:16" ht="12.75" customHeight="1">
      <c r="A15" s="67" t="s">
        <v>132</v>
      </c>
      <c r="B15" s="53"/>
      <c r="C15" s="53"/>
      <c r="D15" s="53"/>
      <c r="E15" s="53"/>
      <c r="F15" s="53"/>
      <c r="G15" s="53"/>
      <c r="H15" s="53"/>
      <c r="I15" s="53"/>
      <c r="J15" s="53"/>
      <c r="K15" s="53"/>
      <c r="L15" s="53"/>
      <c r="M15" s="53"/>
      <c r="N15" s="53"/>
      <c r="O15" s="194" t="s">
        <v>339</v>
      </c>
      <c r="P15" s="194"/>
    </row>
    <row r="16" spans="1:16" ht="12.75" customHeight="1">
      <c r="A16" s="71" t="s">
        <v>253</v>
      </c>
      <c r="B16" s="163">
        <v>5</v>
      </c>
      <c r="C16" s="163">
        <v>5</v>
      </c>
      <c r="D16" s="163">
        <v>7</v>
      </c>
      <c r="E16" s="163">
        <v>24</v>
      </c>
      <c r="F16" s="163">
        <v>17</v>
      </c>
      <c r="G16" s="163">
        <v>11</v>
      </c>
      <c r="H16" s="23">
        <v>1</v>
      </c>
      <c r="I16" s="23">
        <v>19</v>
      </c>
      <c r="J16" s="23">
        <v>24</v>
      </c>
      <c r="K16" s="23">
        <v>14</v>
      </c>
      <c r="L16" s="23">
        <v>2</v>
      </c>
      <c r="M16" s="23">
        <v>8</v>
      </c>
      <c r="N16" s="73">
        <f>SUM(B16:M16)</f>
        <v>137</v>
      </c>
      <c r="O16" s="74"/>
      <c r="P16" s="75"/>
    </row>
    <row r="17" spans="1:16" ht="12.75" customHeight="1">
      <c r="A17" s="71" t="s">
        <v>204</v>
      </c>
      <c r="B17" s="163">
        <v>6</v>
      </c>
      <c r="C17" s="163">
        <v>17</v>
      </c>
      <c r="D17" s="163">
        <v>23</v>
      </c>
      <c r="E17" s="163">
        <v>58</v>
      </c>
      <c r="F17" s="163">
        <v>45</v>
      </c>
      <c r="G17" s="163">
        <v>40</v>
      </c>
      <c r="H17" s="23">
        <v>3</v>
      </c>
      <c r="I17" s="23">
        <v>64</v>
      </c>
      <c r="J17" s="23">
        <v>89</v>
      </c>
      <c r="K17" s="23">
        <v>34</v>
      </c>
      <c r="L17" s="23">
        <v>2</v>
      </c>
      <c r="M17" s="23">
        <v>22</v>
      </c>
      <c r="N17" s="73">
        <f>SUM(B17:M17)</f>
        <v>403</v>
      </c>
      <c r="O17" s="132">
        <v>258.22000000000003</v>
      </c>
      <c r="P17" s="75">
        <f>O17/N17</f>
        <v>0.64074441687344919</v>
      </c>
    </row>
    <row r="18" spans="1:16" ht="12.75" customHeight="1">
      <c r="A18" s="71" t="s">
        <v>225</v>
      </c>
      <c r="B18" s="23">
        <v>0</v>
      </c>
      <c r="C18" s="23">
        <v>0</v>
      </c>
      <c r="D18" s="23">
        <v>0</v>
      </c>
      <c r="E18" s="23">
        <v>0</v>
      </c>
      <c r="F18" s="23">
        <v>0</v>
      </c>
      <c r="G18" s="23">
        <v>0</v>
      </c>
      <c r="H18" s="23" t="s">
        <v>228</v>
      </c>
      <c r="I18" s="23" t="s">
        <v>228</v>
      </c>
      <c r="J18" s="23">
        <v>0</v>
      </c>
      <c r="K18" s="23">
        <v>0</v>
      </c>
      <c r="L18" s="23">
        <v>0</v>
      </c>
      <c r="M18" s="23">
        <v>0</v>
      </c>
      <c r="N18" s="73">
        <f>SUM(B18:M18)</f>
        <v>0</v>
      </c>
      <c r="O18" s="74"/>
      <c r="P18" s="75"/>
    </row>
    <row r="19" spans="1:16" ht="12.75" customHeight="1">
      <c r="A19" s="71" t="s">
        <v>346</v>
      </c>
      <c r="B19" s="135">
        <v>3</v>
      </c>
      <c r="C19" s="135">
        <v>3</v>
      </c>
      <c r="D19" s="135">
        <v>3</v>
      </c>
      <c r="E19" s="135">
        <v>3</v>
      </c>
      <c r="F19" s="135">
        <v>3</v>
      </c>
      <c r="G19" s="135">
        <v>3</v>
      </c>
      <c r="H19" s="135">
        <v>3</v>
      </c>
      <c r="I19" s="135">
        <v>3</v>
      </c>
      <c r="J19" s="135">
        <v>3</v>
      </c>
      <c r="K19" s="135">
        <v>3</v>
      </c>
      <c r="L19" s="135">
        <v>3</v>
      </c>
      <c r="M19" s="135">
        <v>3</v>
      </c>
      <c r="N19" s="135">
        <v>3</v>
      </c>
      <c r="O19" s="18"/>
    </row>
    <row r="20" spans="1:16" ht="12.75" customHeight="1">
      <c r="A20" s="2"/>
    </row>
    <row r="21" spans="1:16" ht="12.75" customHeight="1">
      <c r="A21" s="5"/>
      <c r="B21" s="6"/>
      <c r="C21" s="6"/>
      <c r="D21" s="6"/>
      <c r="E21" s="6"/>
      <c r="F21" s="6"/>
      <c r="G21" s="6"/>
      <c r="H21" s="6"/>
      <c r="I21" s="6"/>
      <c r="J21" s="6"/>
      <c r="K21" s="6"/>
      <c r="L21" s="6"/>
      <c r="M21" s="6"/>
      <c r="N21" s="6"/>
      <c r="O21" s="6"/>
      <c r="P21" s="6"/>
    </row>
    <row r="22" spans="1:16" ht="12.75" customHeight="1">
      <c r="A22" s="58"/>
      <c r="B22" s="59">
        <v>39995</v>
      </c>
      <c r="C22" s="59">
        <v>40026</v>
      </c>
      <c r="D22" s="59">
        <v>40057</v>
      </c>
      <c r="E22" s="59">
        <v>40087</v>
      </c>
      <c r="F22" s="59">
        <v>40118</v>
      </c>
      <c r="G22" s="59">
        <v>40148</v>
      </c>
      <c r="H22" s="59">
        <v>40179</v>
      </c>
      <c r="I22" s="59">
        <v>40210</v>
      </c>
      <c r="J22" s="59">
        <v>40238</v>
      </c>
      <c r="K22" s="59">
        <v>40269</v>
      </c>
      <c r="L22" s="59">
        <v>40299</v>
      </c>
      <c r="M22" s="59">
        <v>40330</v>
      </c>
      <c r="N22" s="60" t="s">
        <v>367</v>
      </c>
      <c r="O22" s="61" t="s">
        <v>166</v>
      </c>
      <c r="P22" s="61" t="s">
        <v>171</v>
      </c>
    </row>
    <row r="23" spans="1:16" ht="12.75" customHeight="1">
      <c r="A23" s="106" t="s">
        <v>393</v>
      </c>
      <c r="B23" s="53"/>
      <c r="C23" s="53"/>
      <c r="D23" s="53"/>
      <c r="E23" s="53"/>
      <c r="F23" s="53"/>
      <c r="G23" s="53"/>
      <c r="H23" s="53"/>
      <c r="I23" s="53"/>
      <c r="J23" s="53"/>
      <c r="K23" s="53"/>
      <c r="L23" s="53"/>
      <c r="M23" s="53"/>
      <c r="N23" s="53"/>
      <c r="O23" s="194" t="s">
        <v>221</v>
      </c>
      <c r="P23" s="194"/>
    </row>
    <row r="24" spans="1:16" ht="12.75" customHeight="1">
      <c r="A24" s="71" t="s">
        <v>253</v>
      </c>
      <c r="B24" s="23" t="s">
        <v>228</v>
      </c>
      <c r="C24" s="23" t="s">
        <v>228</v>
      </c>
      <c r="D24" s="23" t="s">
        <v>228</v>
      </c>
      <c r="E24" s="23" t="s">
        <v>228</v>
      </c>
      <c r="F24" s="23" t="s">
        <v>228</v>
      </c>
      <c r="G24" s="23" t="s">
        <v>228</v>
      </c>
      <c r="H24" s="23" t="s">
        <v>228</v>
      </c>
      <c r="I24" s="23" t="s">
        <v>228</v>
      </c>
      <c r="J24" s="23" t="s">
        <v>228</v>
      </c>
      <c r="K24" s="23" t="s">
        <v>228</v>
      </c>
      <c r="L24" s="23" t="s">
        <v>228</v>
      </c>
      <c r="M24" s="23" t="s">
        <v>228</v>
      </c>
      <c r="N24" s="73">
        <f>SUM(B24:M24)</f>
        <v>0</v>
      </c>
      <c r="O24" s="74"/>
      <c r="P24" s="75"/>
    </row>
    <row r="25" spans="1:16" ht="12.75" customHeight="1">
      <c r="A25" s="71" t="s">
        <v>204</v>
      </c>
      <c r="B25" s="23" t="s">
        <v>228</v>
      </c>
      <c r="C25" s="23" t="s">
        <v>228</v>
      </c>
      <c r="D25" s="23" t="s">
        <v>228</v>
      </c>
      <c r="E25" s="23" t="s">
        <v>228</v>
      </c>
      <c r="F25" s="23" t="s">
        <v>228</v>
      </c>
      <c r="G25" s="23" t="s">
        <v>228</v>
      </c>
      <c r="H25" s="23" t="s">
        <v>228</v>
      </c>
      <c r="I25" s="23" t="s">
        <v>228</v>
      </c>
      <c r="J25" s="23" t="s">
        <v>228</v>
      </c>
      <c r="K25" s="23" t="s">
        <v>228</v>
      </c>
      <c r="L25" s="23" t="s">
        <v>228</v>
      </c>
      <c r="M25" s="23" t="s">
        <v>228</v>
      </c>
      <c r="N25" s="73">
        <f>SUM(B25:M25)</f>
        <v>0</v>
      </c>
      <c r="O25" s="74">
        <v>5656</v>
      </c>
      <c r="P25" s="75" t="e">
        <f>O25/N25</f>
        <v>#DIV/0!</v>
      </c>
    </row>
    <row r="26" spans="1:16" ht="12.75" customHeight="1">
      <c r="A26" s="71" t="s">
        <v>225</v>
      </c>
      <c r="B26" s="23" t="s">
        <v>228</v>
      </c>
      <c r="C26" s="23" t="s">
        <v>228</v>
      </c>
      <c r="D26" s="23" t="s">
        <v>228</v>
      </c>
      <c r="E26" s="23" t="s">
        <v>228</v>
      </c>
      <c r="F26" s="23" t="s">
        <v>228</v>
      </c>
      <c r="G26" s="23" t="s">
        <v>228</v>
      </c>
      <c r="H26" s="23" t="s">
        <v>228</v>
      </c>
      <c r="I26" s="23" t="s">
        <v>228</v>
      </c>
      <c r="J26" s="23" t="s">
        <v>228</v>
      </c>
      <c r="K26" s="23" t="s">
        <v>228</v>
      </c>
      <c r="L26" s="23" t="s">
        <v>228</v>
      </c>
      <c r="M26" s="23" t="s">
        <v>228</v>
      </c>
      <c r="N26" s="73">
        <f>SUM(B26:M26)</f>
        <v>0</v>
      </c>
      <c r="O26" s="74"/>
      <c r="P26" s="75"/>
    </row>
    <row r="27" spans="1:16" ht="12.75" customHeight="1">
      <c r="A27" s="71" t="s">
        <v>346</v>
      </c>
      <c r="B27" s="40">
        <v>3</v>
      </c>
      <c r="C27" s="40">
        <v>3</v>
      </c>
      <c r="D27" s="40">
        <v>3</v>
      </c>
      <c r="E27" s="40">
        <v>3</v>
      </c>
      <c r="F27" s="40">
        <v>3</v>
      </c>
      <c r="G27" s="40">
        <v>3</v>
      </c>
      <c r="H27" s="40">
        <v>3</v>
      </c>
      <c r="I27" s="40">
        <v>3</v>
      </c>
      <c r="J27" s="40">
        <v>3</v>
      </c>
      <c r="K27" s="40">
        <v>3</v>
      </c>
      <c r="L27" s="40">
        <v>3</v>
      </c>
      <c r="M27" s="40">
        <v>3</v>
      </c>
      <c r="N27" s="40">
        <v>3</v>
      </c>
      <c r="O27" s="18"/>
    </row>
    <row r="28" spans="1:16" ht="12.75" customHeight="1">
      <c r="A28" s="2"/>
      <c r="B28" s="43"/>
      <c r="C28" s="43"/>
      <c r="D28" s="43"/>
      <c r="E28" s="43"/>
      <c r="F28" s="43"/>
      <c r="G28" s="43"/>
      <c r="H28" s="43"/>
      <c r="I28" s="43"/>
      <c r="J28" s="43"/>
      <c r="K28" s="43"/>
      <c r="L28" s="43"/>
      <c r="M28" s="43"/>
      <c r="N28" s="43"/>
    </row>
    <row r="29" spans="1:16" ht="12.75" customHeight="1">
      <c r="A29" s="5"/>
      <c r="B29" s="95"/>
      <c r="C29" s="95"/>
      <c r="D29" s="95"/>
      <c r="E29" s="95"/>
      <c r="F29" s="95"/>
      <c r="G29" s="95"/>
      <c r="H29" s="95"/>
      <c r="I29" s="95"/>
      <c r="J29" s="95"/>
      <c r="K29" s="95"/>
      <c r="L29" s="95"/>
      <c r="M29" s="95"/>
      <c r="N29" s="5"/>
      <c r="O29" s="90"/>
      <c r="P29" s="90"/>
    </row>
    <row r="30" spans="1:16" ht="12.75" customHeight="1">
      <c r="A30" s="58"/>
      <c r="B30" s="59">
        <v>39995</v>
      </c>
      <c r="C30" s="59">
        <v>40026</v>
      </c>
      <c r="D30" s="59">
        <v>40057</v>
      </c>
      <c r="E30" s="59">
        <v>40087</v>
      </c>
      <c r="F30" s="59">
        <v>40118</v>
      </c>
      <c r="G30" s="59">
        <v>40148</v>
      </c>
      <c r="H30" s="59">
        <v>40179</v>
      </c>
      <c r="I30" s="59">
        <v>40210</v>
      </c>
      <c r="J30" s="59">
        <v>40238</v>
      </c>
      <c r="K30" s="59">
        <v>40269</v>
      </c>
      <c r="L30" s="59">
        <v>40299</v>
      </c>
      <c r="M30" s="59">
        <v>40330</v>
      </c>
      <c r="N30" s="60" t="s">
        <v>367</v>
      </c>
      <c r="O30" s="61" t="s">
        <v>166</v>
      </c>
      <c r="P30" s="61" t="s">
        <v>171</v>
      </c>
    </row>
    <row r="31" spans="1:16" ht="12.75" customHeight="1">
      <c r="A31" s="67" t="s">
        <v>343</v>
      </c>
      <c r="B31" s="53"/>
      <c r="C31" s="53"/>
      <c r="D31" s="53"/>
      <c r="E31" s="53"/>
      <c r="F31" s="53"/>
      <c r="G31" s="53"/>
      <c r="H31" s="53"/>
      <c r="I31" s="53"/>
      <c r="J31" s="53"/>
      <c r="K31" s="53"/>
      <c r="L31" s="53"/>
      <c r="M31" s="53"/>
      <c r="N31" s="53"/>
      <c r="O31" s="70"/>
      <c r="P31" s="70"/>
    </row>
    <row r="32" spans="1:16" ht="12.75" customHeight="1">
      <c r="A32" s="71" t="s">
        <v>253</v>
      </c>
      <c r="B32" s="23">
        <v>26</v>
      </c>
      <c r="C32" s="23">
        <v>19</v>
      </c>
      <c r="D32" s="23">
        <v>34</v>
      </c>
      <c r="E32" s="23">
        <v>78</v>
      </c>
      <c r="F32" s="23">
        <v>58</v>
      </c>
      <c r="G32" s="23">
        <v>32</v>
      </c>
      <c r="H32" s="23">
        <v>18</v>
      </c>
      <c r="I32" s="23">
        <v>42</v>
      </c>
      <c r="J32" s="23">
        <v>48</v>
      </c>
      <c r="K32" s="23">
        <v>43</v>
      </c>
      <c r="L32" s="23">
        <v>22</v>
      </c>
      <c r="M32" s="23">
        <v>39</v>
      </c>
      <c r="N32" s="73">
        <f>SUM(B32:M32)</f>
        <v>459</v>
      </c>
      <c r="O32" s="74"/>
      <c r="P32" s="75"/>
    </row>
    <row r="33" spans="1:16" ht="12.75" customHeight="1">
      <c r="A33" s="71" t="s">
        <v>204</v>
      </c>
      <c r="B33" s="164">
        <v>65</v>
      </c>
      <c r="C33" s="164">
        <v>39</v>
      </c>
      <c r="D33" s="164">
        <v>75</v>
      </c>
      <c r="E33" s="164">
        <v>192</v>
      </c>
      <c r="F33" s="164">
        <v>155</v>
      </c>
      <c r="G33" s="164">
        <v>67</v>
      </c>
      <c r="H33" s="23">
        <v>35</v>
      </c>
      <c r="I33" s="23">
        <v>99</v>
      </c>
      <c r="J33" s="23">
        <v>125</v>
      </c>
      <c r="K33" s="23">
        <v>113</v>
      </c>
      <c r="L33" s="23">
        <v>51</v>
      </c>
      <c r="M33" s="23">
        <v>83</v>
      </c>
      <c r="N33" s="73">
        <f>SUM(B33:M33)</f>
        <v>1099</v>
      </c>
      <c r="O33" s="74">
        <v>3514.5</v>
      </c>
      <c r="P33" s="75">
        <f>O33/N33</f>
        <v>3.1979071883530481</v>
      </c>
    </row>
    <row r="34" spans="1:16" ht="12.75" customHeight="1">
      <c r="A34" s="71" t="s">
        <v>225</v>
      </c>
      <c r="B34" s="23">
        <v>0</v>
      </c>
      <c r="C34" s="23">
        <v>0</v>
      </c>
      <c r="D34" s="23">
        <v>0</v>
      </c>
      <c r="E34" s="23">
        <v>0</v>
      </c>
      <c r="F34" s="23">
        <v>0</v>
      </c>
      <c r="G34" s="23">
        <v>0</v>
      </c>
      <c r="H34" s="23" t="s">
        <v>228</v>
      </c>
      <c r="I34" s="23" t="s">
        <v>228</v>
      </c>
      <c r="J34" s="23">
        <v>0</v>
      </c>
      <c r="K34" s="23">
        <v>0</v>
      </c>
      <c r="L34" s="23">
        <v>0</v>
      </c>
      <c r="M34" s="23">
        <v>0</v>
      </c>
      <c r="N34" s="73">
        <f>SUM(B34:M34)</f>
        <v>0</v>
      </c>
      <c r="O34" s="74"/>
      <c r="P34" s="75"/>
    </row>
    <row r="35" spans="1:16" ht="12.75" customHeight="1">
      <c r="A35" s="71" t="s">
        <v>346</v>
      </c>
      <c r="B35" s="177" t="s">
        <v>228</v>
      </c>
      <c r="C35" s="177" t="s">
        <v>228</v>
      </c>
      <c r="D35" s="177" t="s">
        <v>228</v>
      </c>
      <c r="E35" s="177" t="s">
        <v>228</v>
      </c>
      <c r="F35" s="177" t="s">
        <v>228</v>
      </c>
      <c r="G35" s="177" t="s">
        <v>228</v>
      </c>
      <c r="H35" s="177" t="s">
        <v>228</v>
      </c>
      <c r="I35" s="177" t="s">
        <v>228</v>
      </c>
      <c r="J35" s="177" t="s">
        <v>228</v>
      </c>
      <c r="K35" s="177" t="s">
        <v>228</v>
      </c>
      <c r="L35" s="177" t="s">
        <v>228</v>
      </c>
      <c r="M35" s="177" t="s">
        <v>228</v>
      </c>
      <c r="N35" s="177" t="s">
        <v>228</v>
      </c>
      <c r="O35" s="74"/>
      <c r="P35" s="75"/>
    </row>
    <row r="36" spans="1:16" ht="12.75" customHeight="1">
      <c r="A36" s="2"/>
      <c r="B36" s="93"/>
      <c r="C36" s="93"/>
      <c r="D36" s="93"/>
      <c r="E36" s="93"/>
      <c r="F36" s="93"/>
      <c r="G36" s="93"/>
      <c r="H36" s="93"/>
      <c r="I36" s="93"/>
      <c r="J36" s="93"/>
      <c r="K36" s="93"/>
      <c r="L36" s="93"/>
      <c r="M36" s="93"/>
      <c r="N36" s="93"/>
      <c r="O36" s="75"/>
      <c r="P36" s="75"/>
    </row>
    <row r="37" spans="1:16" ht="12.75" customHeight="1">
      <c r="A37" s="5"/>
      <c r="B37" s="95"/>
      <c r="C37" s="95"/>
      <c r="D37" s="95"/>
      <c r="E37" s="95"/>
      <c r="F37" s="95"/>
      <c r="G37" s="95"/>
      <c r="H37" s="95"/>
      <c r="I37" s="95"/>
      <c r="J37" s="95"/>
      <c r="K37" s="95"/>
      <c r="L37" s="95"/>
      <c r="M37" s="95"/>
      <c r="N37" s="95"/>
      <c r="O37" s="90"/>
      <c r="P37" s="90"/>
    </row>
    <row r="38" spans="1:16" ht="12.75" customHeight="1">
      <c r="A38" s="58"/>
      <c r="B38" s="59">
        <v>39995</v>
      </c>
      <c r="C38" s="59">
        <v>40026</v>
      </c>
      <c r="D38" s="59">
        <v>40057</v>
      </c>
      <c r="E38" s="59">
        <v>40087</v>
      </c>
      <c r="F38" s="59">
        <v>40118</v>
      </c>
      <c r="G38" s="59">
        <v>40148</v>
      </c>
      <c r="H38" s="59">
        <v>40179</v>
      </c>
      <c r="I38" s="59">
        <v>40210</v>
      </c>
      <c r="J38" s="59">
        <v>40238</v>
      </c>
      <c r="K38" s="59">
        <v>40269</v>
      </c>
      <c r="L38" s="59">
        <v>40299</v>
      </c>
      <c r="M38" s="59">
        <v>40330</v>
      </c>
      <c r="N38" s="60" t="s">
        <v>367</v>
      </c>
      <c r="O38" s="61" t="s">
        <v>166</v>
      </c>
      <c r="P38" s="61" t="s">
        <v>171</v>
      </c>
    </row>
    <row r="39" spans="1:16" ht="12.75" customHeight="1">
      <c r="A39" s="106" t="s">
        <v>37</v>
      </c>
      <c r="B39" s="53"/>
      <c r="C39" s="53"/>
      <c r="D39" s="53"/>
      <c r="E39" s="53"/>
      <c r="F39" s="53"/>
      <c r="G39" s="53"/>
      <c r="H39" s="53"/>
      <c r="I39" s="53"/>
      <c r="J39" s="53"/>
      <c r="K39" s="53"/>
      <c r="L39" s="53"/>
      <c r="M39" s="53"/>
      <c r="N39" s="53"/>
      <c r="O39" s="194" t="s">
        <v>221</v>
      </c>
      <c r="P39" s="194"/>
    </row>
    <row r="40" spans="1:16" ht="12.75" customHeight="1">
      <c r="A40" s="71" t="s">
        <v>253</v>
      </c>
      <c r="B40" s="23" t="s">
        <v>228</v>
      </c>
      <c r="C40" s="23" t="s">
        <v>228</v>
      </c>
      <c r="D40" s="23" t="s">
        <v>228</v>
      </c>
      <c r="E40" s="23" t="s">
        <v>228</v>
      </c>
      <c r="F40" s="23" t="s">
        <v>228</v>
      </c>
      <c r="G40" s="23" t="s">
        <v>228</v>
      </c>
      <c r="H40" s="23" t="s">
        <v>228</v>
      </c>
      <c r="I40" s="23" t="s">
        <v>228</v>
      </c>
      <c r="J40" s="23" t="s">
        <v>228</v>
      </c>
      <c r="K40" s="23" t="s">
        <v>228</v>
      </c>
      <c r="L40" s="23" t="s">
        <v>228</v>
      </c>
      <c r="M40" s="23" t="s">
        <v>228</v>
      </c>
      <c r="N40" s="73">
        <f>SUM(B40:M40)</f>
        <v>0</v>
      </c>
      <c r="O40" s="74"/>
      <c r="P40" s="75"/>
    </row>
    <row r="41" spans="1:16" ht="12.75" customHeight="1">
      <c r="A41" s="71" t="s">
        <v>204</v>
      </c>
      <c r="B41" s="23" t="s">
        <v>228</v>
      </c>
      <c r="C41" s="23" t="s">
        <v>228</v>
      </c>
      <c r="D41" s="23" t="s">
        <v>228</v>
      </c>
      <c r="E41" s="23" t="s">
        <v>228</v>
      </c>
      <c r="F41" s="23" t="s">
        <v>228</v>
      </c>
      <c r="G41" s="23" t="s">
        <v>228</v>
      </c>
      <c r="H41" s="23" t="s">
        <v>228</v>
      </c>
      <c r="I41" s="23" t="s">
        <v>228</v>
      </c>
      <c r="J41" s="23" t="s">
        <v>228</v>
      </c>
      <c r="K41" s="23" t="s">
        <v>228</v>
      </c>
      <c r="L41" s="23" t="s">
        <v>228</v>
      </c>
      <c r="M41" s="23" t="s">
        <v>228</v>
      </c>
      <c r="N41" s="73">
        <f>SUM(B41:M41)</f>
        <v>0</v>
      </c>
      <c r="O41" s="74">
        <v>9292</v>
      </c>
      <c r="P41" s="75" t="e">
        <f>O41/N41</f>
        <v>#DIV/0!</v>
      </c>
    </row>
    <row r="42" spans="1:16" ht="12.75" customHeight="1">
      <c r="A42" s="71" t="s">
        <v>225</v>
      </c>
      <c r="B42" s="23" t="s">
        <v>228</v>
      </c>
      <c r="C42" s="23" t="s">
        <v>228</v>
      </c>
      <c r="D42" s="23" t="s">
        <v>228</v>
      </c>
      <c r="E42" s="23" t="s">
        <v>228</v>
      </c>
      <c r="F42" s="23" t="s">
        <v>228</v>
      </c>
      <c r="G42" s="23" t="s">
        <v>228</v>
      </c>
      <c r="H42" s="23" t="s">
        <v>228</v>
      </c>
      <c r="I42" s="23" t="s">
        <v>228</v>
      </c>
      <c r="J42" s="23" t="s">
        <v>228</v>
      </c>
      <c r="K42" s="23" t="s">
        <v>228</v>
      </c>
      <c r="L42" s="23" t="s">
        <v>228</v>
      </c>
      <c r="M42" s="23" t="s">
        <v>228</v>
      </c>
      <c r="N42" s="73">
        <f>SUM(B42:M42)</f>
        <v>0</v>
      </c>
      <c r="O42" s="74"/>
      <c r="P42" s="75"/>
    </row>
    <row r="43" spans="1:16" ht="12.75" customHeight="1">
      <c r="A43" s="71" t="s">
        <v>346</v>
      </c>
      <c r="B43" s="40">
        <v>3</v>
      </c>
      <c r="C43" s="40">
        <v>3</v>
      </c>
      <c r="D43" s="40">
        <v>3</v>
      </c>
      <c r="E43" s="40">
        <v>3</v>
      </c>
      <c r="F43" s="40">
        <v>3</v>
      </c>
      <c r="G43" s="40">
        <v>3</v>
      </c>
      <c r="H43" s="40">
        <v>3</v>
      </c>
      <c r="I43" s="40">
        <v>3</v>
      </c>
      <c r="J43" s="40">
        <v>3</v>
      </c>
      <c r="K43" s="40">
        <v>3</v>
      </c>
      <c r="L43" s="40">
        <v>3</v>
      </c>
      <c r="M43" s="40">
        <v>3</v>
      </c>
      <c r="N43" s="40">
        <v>3</v>
      </c>
      <c r="O43" s="18"/>
    </row>
    <row r="44" spans="1:16" ht="12.75" customHeight="1">
      <c r="A44" s="2"/>
      <c r="B44" s="92"/>
      <c r="C44" s="92"/>
      <c r="D44" s="92"/>
      <c r="E44" s="92"/>
      <c r="F44" s="92"/>
      <c r="G44" s="92"/>
      <c r="H44" s="92"/>
      <c r="I44" s="92"/>
      <c r="J44" s="92"/>
      <c r="K44" s="92"/>
      <c r="L44" s="92"/>
      <c r="M44" s="92"/>
      <c r="N44" s="92"/>
      <c r="O44" s="75"/>
      <c r="P44" s="75"/>
    </row>
    <row r="45" spans="1:16" ht="12.75" customHeight="1">
      <c r="A45" s="5"/>
      <c r="B45" s="95"/>
      <c r="C45" s="95"/>
      <c r="D45" s="95"/>
      <c r="E45" s="95"/>
      <c r="F45" s="95"/>
      <c r="G45" s="95"/>
      <c r="H45" s="95"/>
      <c r="I45" s="95"/>
      <c r="J45" s="95"/>
      <c r="K45" s="95"/>
      <c r="L45" s="95"/>
      <c r="M45" s="95"/>
      <c r="N45" s="5"/>
      <c r="O45" s="90"/>
      <c r="P45" s="90"/>
    </row>
    <row r="46" spans="1:16" ht="12.75" customHeight="1">
      <c r="A46" s="58"/>
      <c r="B46" s="59">
        <v>39995</v>
      </c>
      <c r="C46" s="59">
        <v>40026</v>
      </c>
      <c r="D46" s="59">
        <v>40057</v>
      </c>
      <c r="E46" s="59">
        <v>40087</v>
      </c>
      <c r="F46" s="59">
        <v>40118</v>
      </c>
      <c r="G46" s="59">
        <v>40148</v>
      </c>
      <c r="H46" s="59">
        <v>40179</v>
      </c>
      <c r="I46" s="59">
        <v>40210</v>
      </c>
      <c r="J46" s="59">
        <v>40238</v>
      </c>
      <c r="K46" s="59">
        <v>40269</v>
      </c>
      <c r="L46" s="59">
        <v>40299</v>
      </c>
      <c r="M46" s="59">
        <v>40330</v>
      </c>
      <c r="N46" s="60" t="s">
        <v>367</v>
      </c>
      <c r="O46" s="61" t="s">
        <v>166</v>
      </c>
      <c r="P46" s="61" t="s">
        <v>171</v>
      </c>
    </row>
    <row r="47" spans="1:16" ht="12.75" customHeight="1">
      <c r="A47" s="67" t="s">
        <v>320</v>
      </c>
      <c r="B47" s="53"/>
      <c r="C47" s="53"/>
      <c r="D47" s="53"/>
      <c r="E47" s="53"/>
      <c r="F47" s="53"/>
      <c r="G47" s="53"/>
      <c r="H47" s="53"/>
      <c r="I47" s="53"/>
      <c r="J47" s="53"/>
      <c r="K47" s="53"/>
      <c r="L47" s="53"/>
      <c r="M47" s="53"/>
      <c r="N47" s="53"/>
      <c r="O47" s="70"/>
      <c r="P47" s="70"/>
    </row>
    <row r="48" spans="1:16" ht="12.75" customHeight="1">
      <c r="A48" s="71" t="s">
        <v>253</v>
      </c>
      <c r="B48" s="163">
        <v>225</v>
      </c>
      <c r="C48" s="163">
        <v>76</v>
      </c>
      <c r="D48" s="163">
        <v>304</v>
      </c>
      <c r="E48" s="163">
        <v>461</v>
      </c>
      <c r="F48" s="163">
        <v>506</v>
      </c>
      <c r="G48" s="163">
        <v>278</v>
      </c>
      <c r="H48" s="163">
        <v>86</v>
      </c>
      <c r="I48" s="163">
        <v>363</v>
      </c>
      <c r="J48" s="163">
        <v>449</v>
      </c>
      <c r="K48" s="23">
        <v>467</v>
      </c>
      <c r="L48" s="23">
        <v>98</v>
      </c>
      <c r="M48" s="23">
        <v>255</v>
      </c>
      <c r="N48" s="73">
        <f>SUM(B48:M48)</f>
        <v>3568</v>
      </c>
      <c r="O48" s="74"/>
      <c r="P48" s="75"/>
    </row>
    <row r="49" spans="1:16" ht="12.75" customHeight="1">
      <c r="A49" s="71" t="s">
        <v>204</v>
      </c>
      <c r="B49" s="163">
        <v>760</v>
      </c>
      <c r="C49" s="163">
        <v>268</v>
      </c>
      <c r="D49" s="163">
        <v>943</v>
      </c>
      <c r="E49" s="163">
        <v>1698</v>
      </c>
      <c r="F49" s="163">
        <v>1729</v>
      </c>
      <c r="G49" s="163">
        <v>1101</v>
      </c>
      <c r="H49" s="163">
        <v>241</v>
      </c>
      <c r="I49" s="163">
        <v>1533</v>
      </c>
      <c r="J49" s="163">
        <v>1707</v>
      </c>
      <c r="K49" s="23">
        <v>1516</v>
      </c>
      <c r="L49" s="23">
        <v>259</v>
      </c>
      <c r="M49" s="23">
        <v>1031</v>
      </c>
      <c r="N49" s="73">
        <f>SUM(B49:M49)</f>
        <v>12786</v>
      </c>
      <c r="O49" s="74">
        <v>6340.5</v>
      </c>
      <c r="P49" s="75">
        <f>O49/N49</f>
        <v>0.49589394650398871</v>
      </c>
    </row>
    <row r="50" spans="1:16" ht="12.75" customHeight="1">
      <c r="A50" s="71" t="s">
        <v>225</v>
      </c>
      <c r="B50" s="23">
        <v>0</v>
      </c>
      <c r="C50" s="23">
        <v>0</v>
      </c>
      <c r="D50" s="23">
        <v>0</v>
      </c>
      <c r="E50" s="23">
        <v>0</v>
      </c>
      <c r="F50" s="23">
        <v>0</v>
      </c>
      <c r="G50" s="23">
        <v>0</v>
      </c>
      <c r="H50" s="23">
        <v>0</v>
      </c>
      <c r="I50" s="23">
        <v>151</v>
      </c>
      <c r="J50" s="23">
        <v>0</v>
      </c>
      <c r="K50" s="23">
        <v>0</v>
      </c>
      <c r="L50" s="23">
        <v>0</v>
      </c>
      <c r="M50" s="23">
        <v>0</v>
      </c>
      <c r="N50" s="73">
        <f>SUM(B50:M50)</f>
        <v>151</v>
      </c>
      <c r="O50" s="74"/>
      <c r="P50" s="75"/>
    </row>
    <row r="51" spans="1:16" ht="12.75" customHeight="1">
      <c r="A51" s="71" t="s">
        <v>346</v>
      </c>
      <c r="B51" s="40" t="s">
        <v>228</v>
      </c>
      <c r="C51" s="40" t="s">
        <v>228</v>
      </c>
      <c r="D51" s="40" t="s">
        <v>228</v>
      </c>
      <c r="E51" s="40" t="s">
        <v>228</v>
      </c>
      <c r="F51" s="40" t="s">
        <v>228</v>
      </c>
      <c r="G51" s="40" t="s">
        <v>228</v>
      </c>
      <c r="H51" s="40" t="s">
        <v>228</v>
      </c>
      <c r="I51" s="40" t="s">
        <v>228</v>
      </c>
      <c r="J51" s="40" t="s">
        <v>228</v>
      </c>
      <c r="K51" s="40" t="s">
        <v>228</v>
      </c>
      <c r="L51" s="40" t="s">
        <v>228</v>
      </c>
      <c r="M51" s="40" t="s">
        <v>228</v>
      </c>
      <c r="N51" s="40" t="s">
        <v>172</v>
      </c>
      <c r="O51" s="18"/>
    </row>
    <row r="52" spans="1:16" ht="12.75" customHeight="1">
      <c r="A52" s="2"/>
      <c r="B52" s="92"/>
      <c r="C52" s="92"/>
      <c r="D52" s="92"/>
      <c r="E52" s="92"/>
      <c r="F52" s="92"/>
      <c r="G52" s="92"/>
      <c r="H52" s="92"/>
      <c r="I52" s="92"/>
      <c r="J52" s="92"/>
      <c r="K52" s="92"/>
      <c r="L52" s="92"/>
      <c r="M52" s="92"/>
      <c r="N52" s="42"/>
      <c r="O52" s="75"/>
      <c r="P52" s="75"/>
    </row>
    <row r="53" spans="1:16" ht="12.75" customHeight="1">
      <c r="A53" s="5"/>
      <c r="B53" s="95"/>
      <c r="C53" s="95"/>
      <c r="D53" s="95"/>
      <c r="E53" s="95"/>
      <c r="F53" s="95"/>
      <c r="G53" s="95"/>
      <c r="H53" s="95"/>
      <c r="I53" s="95"/>
      <c r="J53" s="95"/>
      <c r="K53" s="95"/>
      <c r="L53" s="95"/>
      <c r="M53" s="95"/>
      <c r="N53" s="5"/>
      <c r="O53" s="90"/>
      <c r="P53" s="90"/>
    </row>
    <row r="54" spans="1:16" ht="28.5" customHeight="1">
      <c r="A54" s="58"/>
      <c r="B54" s="59">
        <v>39995</v>
      </c>
      <c r="C54" s="59">
        <v>40026</v>
      </c>
      <c r="D54" s="59">
        <v>40057</v>
      </c>
      <c r="E54" s="59">
        <v>40087</v>
      </c>
      <c r="F54" s="59">
        <v>40118</v>
      </c>
      <c r="G54" s="59">
        <v>40148</v>
      </c>
      <c r="H54" s="59">
        <v>40179</v>
      </c>
      <c r="I54" s="59">
        <v>40210</v>
      </c>
      <c r="J54" s="59">
        <v>40238</v>
      </c>
      <c r="K54" s="59">
        <v>40269</v>
      </c>
      <c r="L54" s="59">
        <v>40299</v>
      </c>
      <c r="M54" s="59">
        <v>40330</v>
      </c>
      <c r="N54" s="60" t="s">
        <v>367</v>
      </c>
      <c r="O54" s="61" t="s">
        <v>166</v>
      </c>
      <c r="P54" s="61" t="s">
        <v>171</v>
      </c>
    </row>
    <row r="55" spans="1:16" ht="12.75" customHeight="1">
      <c r="A55" s="67" t="s">
        <v>161</v>
      </c>
      <c r="B55" s="53"/>
      <c r="C55" s="53"/>
      <c r="D55" s="53"/>
      <c r="E55" s="53"/>
      <c r="F55" s="53"/>
      <c r="G55" s="53"/>
      <c r="H55" s="53"/>
      <c r="I55" s="53"/>
      <c r="J55" s="53"/>
      <c r="K55" s="53"/>
      <c r="L55" s="53"/>
      <c r="M55" s="53"/>
      <c r="N55" s="53"/>
      <c r="O55" s="194" t="s">
        <v>339</v>
      </c>
      <c r="P55" s="194"/>
    </row>
    <row r="56" spans="1:16" ht="12.75" customHeight="1">
      <c r="A56" s="71" t="s">
        <v>253</v>
      </c>
      <c r="B56" s="163">
        <v>5</v>
      </c>
      <c r="C56" s="163">
        <v>3</v>
      </c>
      <c r="D56" s="163">
        <v>20</v>
      </c>
      <c r="E56" s="163">
        <v>36</v>
      </c>
      <c r="F56" s="163">
        <v>11</v>
      </c>
      <c r="G56" s="163">
        <v>13</v>
      </c>
      <c r="H56" s="163">
        <v>3</v>
      </c>
      <c r="I56" s="163">
        <v>34</v>
      </c>
      <c r="J56" s="163">
        <v>31</v>
      </c>
      <c r="K56" s="23">
        <v>15</v>
      </c>
      <c r="L56" s="23">
        <v>2</v>
      </c>
      <c r="M56" s="23">
        <v>4</v>
      </c>
      <c r="N56" s="73">
        <f>SUM(B56:M56)</f>
        <v>177</v>
      </c>
      <c r="O56" s="74"/>
      <c r="P56" s="75"/>
    </row>
    <row r="57" spans="1:16" ht="12.75" customHeight="1">
      <c r="A57" s="71" t="s">
        <v>204</v>
      </c>
      <c r="B57" s="163">
        <v>13</v>
      </c>
      <c r="C57" s="163">
        <v>13</v>
      </c>
      <c r="D57" s="163">
        <v>75</v>
      </c>
      <c r="E57" s="163">
        <v>182</v>
      </c>
      <c r="F57" s="163">
        <v>24</v>
      </c>
      <c r="G57" s="163">
        <v>60</v>
      </c>
      <c r="H57" s="163">
        <v>7</v>
      </c>
      <c r="I57" s="163">
        <v>154</v>
      </c>
      <c r="J57" s="163">
        <v>151</v>
      </c>
      <c r="K57" s="23">
        <v>106</v>
      </c>
      <c r="L57" s="23">
        <v>2</v>
      </c>
      <c r="M57" s="23">
        <v>11</v>
      </c>
      <c r="N57" s="73">
        <f>SUM(B57:M57)</f>
        <v>798</v>
      </c>
      <c r="O57" s="132">
        <v>199.5</v>
      </c>
      <c r="P57" s="75">
        <f>O57/N57</f>
        <v>0.25</v>
      </c>
    </row>
    <row r="58" spans="1:16" ht="12.75" customHeight="1">
      <c r="A58" s="71" t="s">
        <v>225</v>
      </c>
      <c r="B58" s="23">
        <v>0</v>
      </c>
      <c r="C58" s="23">
        <v>0</v>
      </c>
      <c r="D58" s="23">
        <v>74</v>
      </c>
      <c r="E58" s="23">
        <v>66</v>
      </c>
      <c r="F58" s="23">
        <v>0</v>
      </c>
      <c r="G58" s="23">
        <v>0</v>
      </c>
      <c r="H58" s="23" t="s">
        <v>228</v>
      </c>
      <c r="I58" s="23" t="s">
        <v>228</v>
      </c>
      <c r="J58" s="23">
        <v>44</v>
      </c>
      <c r="K58" s="23">
        <v>0</v>
      </c>
      <c r="L58" s="23">
        <v>0</v>
      </c>
      <c r="M58" s="23">
        <v>0</v>
      </c>
      <c r="N58" s="73">
        <f>SUM(B58:M58)</f>
        <v>184</v>
      </c>
      <c r="O58" s="74"/>
      <c r="P58" s="75"/>
    </row>
    <row r="59" spans="1:16" ht="12.75" customHeight="1">
      <c r="A59" s="71" t="s">
        <v>346</v>
      </c>
      <c r="B59" s="40">
        <v>3</v>
      </c>
      <c r="C59" s="40">
        <v>3</v>
      </c>
      <c r="D59" s="40">
        <v>3</v>
      </c>
      <c r="E59" s="40">
        <v>3</v>
      </c>
      <c r="F59" s="40">
        <v>3</v>
      </c>
      <c r="G59" s="40">
        <v>3</v>
      </c>
      <c r="H59" s="40">
        <v>3</v>
      </c>
      <c r="I59" s="40">
        <v>3</v>
      </c>
      <c r="J59" s="40">
        <v>3</v>
      </c>
      <c r="K59" s="40">
        <v>3</v>
      </c>
      <c r="L59" s="40">
        <v>3</v>
      </c>
      <c r="M59" s="40">
        <v>3</v>
      </c>
      <c r="N59" s="40">
        <v>3</v>
      </c>
      <c r="O59" s="18"/>
    </row>
    <row r="60" spans="1:16" ht="12.75" customHeight="1">
      <c r="A60" s="2"/>
      <c r="B60" s="92"/>
      <c r="C60" s="92"/>
      <c r="D60" s="92"/>
      <c r="E60" s="92"/>
      <c r="F60" s="92"/>
      <c r="G60" s="92"/>
      <c r="H60" s="92"/>
      <c r="I60" s="92"/>
      <c r="J60" s="92"/>
      <c r="K60" s="92"/>
      <c r="L60" s="92"/>
      <c r="M60" s="92"/>
      <c r="N60" s="42"/>
      <c r="O60" s="75"/>
      <c r="P60" s="75"/>
    </row>
    <row r="61" spans="1:16" ht="12.75" customHeight="1">
      <c r="A61" s="5"/>
      <c r="B61" s="95"/>
      <c r="C61" s="95"/>
      <c r="D61" s="95"/>
      <c r="E61" s="95"/>
      <c r="F61" s="95"/>
      <c r="G61" s="95"/>
      <c r="H61" s="95"/>
      <c r="I61" s="95"/>
      <c r="J61" s="95"/>
      <c r="K61" s="95"/>
      <c r="L61" s="95"/>
      <c r="M61" s="95"/>
      <c r="N61" s="5"/>
      <c r="O61" s="90"/>
      <c r="P61" s="90"/>
    </row>
    <row r="62" spans="1:16" ht="12.75" customHeight="1">
      <c r="A62" s="58"/>
      <c r="B62" s="59">
        <v>39995</v>
      </c>
      <c r="C62" s="59">
        <v>40026</v>
      </c>
      <c r="D62" s="59">
        <v>40057</v>
      </c>
      <c r="E62" s="59">
        <v>40087</v>
      </c>
      <c r="F62" s="59">
        <v>40118</v>
      </c>
      <c r="G62" s="59">
        <v>40148</v>
      </c>
      <c r="H62" s="59">
        <v>40179</v>
      </c>
      <c r="I62" s="59">
        <v>40210</v>
      </c>
      <c r="J62" s="59">
        <v>40238</v>
      </c>
      <c r="K62" s="59">
        <v>40269</v>
      </c>
      <c r="L62" s="59">
        <v>40299</v>
      </c>
      <c r="M62" s="59">
        <v>40330</v>
      </c>
      <c r="N62" s="60" t="s">
        <v>367</v>
      </c>
      <c r="O62" s="61" t="s">
        <v>166</v>
      </c>
      <c r="P62" s="61" t="s">
        <v>82</v>
      </c>
    </row>
    <row r="63" spans="1:16" ht="12.75" customHeight="1">
      <c r="A63" s="67" t="s">
        <v>350</v>
      </c>
      <c r="B63" s="53"/>
      <c r="C63" s="53"/>
      <c r="D63" s="53"/>
      <c r="E63" s="53"/>
      <c r="F63" s="53"/>
      <c r="G63" s="53"/>
      <c r="H63" s="53"/>
      <c r="I63" s="53"/>
      <c r="J63" s="53"/>
      <c r="K63" s="53"/>
      <c r="L63" s="53"/>
      <c r="M63" s="53"/>
      <c r="N63" s="53"/>
      <c r="O63" s="70"/>
      <c r="P63" s="70"/>
    </row>
    <row r="64" spans="1:16" ht="12.75" customHeight="1">
      <c r="A64" s="71" t="s">
        <v>253</v>
      </c>
      <c r="B64" s="163">
        <v>155</v>
      </c>
      <c r="C64" s="163">
        <v>37</v>
      </c>
      <c r="D64" s="163">
        <v>191</v>
      </c>
      <c r="E64" s="163">
        <v>301</v>
      </c>
      <c r="F64" s="163">
        <v>355</v>
      </c>
      <c r="G64" s="163">
        <v>197</v>
      </c>
      <c r="H64" s="163">
        <v>46</v>
      </c>
      <c r="I64" s="163">
        <v>247</v>
      </c>
      <c r="J64" s="163">
        <v>296</v>
      </c>
      <c r="K64" s="23">
        <v>336</v>
      </c>
      <c r="L64" s="23">
        <v>46</v>
      </c>
      <c r="M64" s="23">
        <v>185</v>
      </c>
      <c r="N64" s="73">
        <f>SUM(B64:M64)</f>
        <v>2392</v>
      </c>
      <c r="O64" s="74"/>
      <c r="P64" s="75"/>
    </row>
    <row r="65" spans="1:16" ht="12.75" customHeight="1">
      <c r="A65" s="71" t="s">
        <v>204</v>
      </c>
      <c r="B65" s="163">
        <v>616</v>
      </c>
      <c r="C65" s="163">
        <v>143</v>
      </c>
      <c r="D65" s="163">
        <v>603</v>
      </c>
      <c r="E65" s="163">
        <v>1357</v>
      </c>
      <c r="F65" s="163">
        <v>1317</v>
      </c>
      <c r="G65" s="163">
        <v>909</v>
      </c>
      <c r="H65" s="163">
        <v>139</v>
      </c>
      <c r="I65" s="163">
        <v>1217</v>
      </c>
      <c r="J65" s="163">
        <v>1420</v>
      </c>
      <c r="K65" s="23">
        <v>1326</v>
      </c>
      <c r="L65" s="23">
        <v>155</v>
      </c>
      <c r="M65" s="23">
        <v>789</v>
      </c>
      <c r="N65" s="73">
        <f>SUM(B65:M65)</f>
        <v>9991</v>
      </c>
      <c r="O65" s="74">
        <v>0</v>
      </c>
      <c r="P65" s="75">
        <f>O65/N65</f>
        <v>0</v>
      </c>
    </row>
    <row r="66" spans="1:16" ht="12.75" customHeight="1">
      <c r="A66" s="71" t="s">
        <v>225</v>
      </c>
      <c r="B66" s="23">
        <v>0</v>
      </c>
      <c r="C66" s="23">
        <v>0</v>
      </c>
      <c r="D66" s="23">
        <v>0</v>
      </c>
      <c r="E66" s="23">
        <v>0</v>
      </c>
      <c r="F66" s="23">
        <v>0</v>
      </c>
      <c r="G66" s="23">
        <v>0</v>
      </c>
      <c r="H66" s="23" t="s">
        <v>228</v>
      </c>
      <c r="I66" s="23" t="s">
        <v>228</v>
      </c>
      <c r="J66" s="23">
        <v>0</v>
      </c>
      <c r="K66" s="23">
        <v>0</v>
      </c>
      <c r="L66" s="23">
        <v>0</v>
      </c>
      <c r="M66" s="23">
        <v>0</v>
      </c>
      <c r="N66" s="73">
        <f>SUM(B66:M66)</f>
        <v>0</v>
      </c>
      <c r="O66" s="74"/>
      <c r="P66" s="75"/>
    </row>
    <row r="67" spans="1:16" ht="12.75" customHeight="1">
      <c r="A67" s="71" t="s">
        <v>346</v>
      </c>
      <c r="B67" s="40">
        <v>3</v>
      </c>
      <c r="C67" s="40">
        <v>3</v>
      </c>
      <c r="D67" s="40">
        <v>3</v>
      </c>
      <c r="E67" s="40">
        <v>3</v>
      </c>
      <c r="F67" s="40">
        <v>3</v>
      </c>
      <c r="G67" s="40">
        <v>3</v>
      </c>
      <c r="H67" s="40">
        <v>3</v>
      </c>
      <c r="I67" s="40">
        <v>3</v>
      </c>
      <c r="J67" s="40">
        <v>3</v>
      </c>
      <c r="K67" s="40">
        <v>3</v>
      </c>
      <c r="L67" s="40">
        <v>3</v>
      </c>
      <c r="M67" s="40">
        <v>3</v>
      </c>
      <c r="N67" s="40">
        <v>3</v>
      </c>
      <c r="O67" s="18"/>
    </row>
    <row r="68" spans="1:16" ht="12.75" customHeight="1">
      <c r="A68" s="2"/>
      <c r="B68" s="92"/>
      <c r="C68" s="92"/>
      <c r="D68" s="92"/>
      <c r="E68" s="92"/>
      <c r="F68" s="92"/>
      <c r="G68" s="92"/>
      <c r="H68" s="92"/>
      <c r="I68" s="92"/>
      <c r="J68" s="92"/>
      <c r="K68" s="92"/>
      <c r="L68" s="92"/>
      <c r="M68" s="92"/>
      <c r="N68" s="42"/>
      <c r="O68" s="75"/>
      <c r="P68" s="75"/>
    </row>
    <row r="69" spans="1:16" ht="12.75" customHeight="1">
      <c r="A69" s="5"/>
      <c r="B69" s="95"/>
      <c r="C69" s="95"/>
      <c r="D69" s="95"/>
      <c r="E69" s="95"/>
      <c r="F69" s="95"/>
      <c r="G69" s="95"/>
      <c r="H69" s="95"/>
      <c r="I69" s="95"/>
      <c r="J69" s="95"/>
      <c r="K69" s="95"/>
      <c r="L69" s="95"/>
      <c r="M69" s="95"/>
      <c r="N69" s="5"/>
      <c r="O69" s="90"/>
      <c r="P69" s="90"/>
    </row>
    <row r="70" spans="1:16" ht="12.75" customHeight="1">
      <c r="A70" s="58"/>
      <c r="B70" s="59">
        <v>39995</v>
      </c>
      <c r="C70" s="59">
        <v>40026</v>
      </c>
      <c r="D70" s="59">
        <v>40057</v>
      </c>
      <c r="E70" s="59">
        <v>40087</v>
      </c>
      <c r="F70" s="59">
        <v>40118</v>
      </c>
      <c r="G70" s="59">
        <v>40148</v>
      </c>
      <c r="H70" s="59">
        <v>40179</v>
      </c>
      <c r="I70" s="59">
        <v>40210</v>
      </c>
      <c r="J70" s="59">
        <v>40238</v>
      </c>
      <c r="K70" s="59">
        <v>40269</v>
      </c>
      <c r="L70" s="59">
        <v>40299</v>
      </c>
      <c r="M70" s="59">
        <v>40330</v>
      </c>
      <c r="N70" s="60" t="s">
        <v>367</v>
      </c>
      <c r="O70" s="61" t="s">
        <v>166</v>
      </c>
      <c r="P70" s="61" t="s">
        <v>82</v>
      </c>
    </row>
    <row r="71" spans="1:16" ht="12.75" customHeight="1">
      <c r="A71" s="67" t="s">
        <v>287</v>
      </c>
      <c r="B71" s="53"/>
      <c r="C71" s="53"/>
      <c r="D71" s="53"/>
      <c r="E71" s="53"/>
      <c r="F71" s="53"/>
      <c r="G71" s="53"/>
      <c r="H71" s="53"/>
      <c r="I71" s="53"/>
      <c r="J71" s="53"/>
      <c r="K71" s="53"/>
      <c r="L71" s="53"/>
      <c r="M71" s="53"/>
      <c r="N71" s="53"/>
      <c r="O71" s="194" t="s">
        <v>339</v>
      </c>
      <c r="P71" s="194"/>
    </row>
    <row r="72" spans="1:16" ht="12.75" customHeight="1">
      <c r="A72" s="71" t="s">
        <v>253</v>
      </c>
      <c r="B72" s="163">
        <v>41</v>
      </c>
      <c r="C72" s="163">
        <v>8</v>
      </c>
      <c r="D72" s="163">
        <v>40</v>
      </c>
      <c r="E72" s="163">
        <v>92</v>
      </c>
      <c r="F72" s="163">
        <v>63</v>
      </c>
      <c r="G72" s="163">
        <v>41</v>
      </c>
      <c r="H72" s="23">
        <v>8</v>
      </c>
      <c r="I72" s="23">
        <v>50</v>
      </c>
      <c r="J72" s="23">
        <v>95</v>
      </c>
      <c r="K72" s="23">
        <v>71</v>
      </c>
      <c r="L72" s="23">
        <v>17</v>
      </c>
      <c r="M72" s="23">
        <v>17</v>
      </c>
      <c r="N72" s="73">
        <f>SUM(B72:M72)</f>
        <v>543</v>
      </c>
      <c r="O72" s="74"/>
      <c r="P72" s="75"/>
    </row>
    <row r="73" spans="1:16" ht="12.75" customHeight="1">
      <c r="A73" s="71" t="s">
        <v>204</v>
      </c>
      <c r="B73" s="163">
        <v>140</v>
      </c>
      <c r="C73" s="163">
        <v>25</v>
      </c>
      <c r="D73" s="163">
        <v>120</v>
      </c>
      <c r="E73" s="163">
        <v>248</v>
      </c>
      <c r="F73" s="163">
        <v>157</v>
      </c>
      <c r="G73" s="163">
        <v>115</v>
      </c>
      <c r="H73" s="23">
        <v>15</v>
      </c>
      <c r="I73" s="23">
        <v>156</v>
      </c>
      <c r="J73" s="23">
        <v>265</v>
      </c>
      <c r="K73" s="23">
        <v>193</v>
      </c>
      <c r="L73" s="23">
        <v>36</v>
      </c>
      <c r="M73" s="23">
        <v>49</v>
      </c>
      <c r="N73" s="73">
        <f>SUM(B73:M73)</f>
        <v>1519</v>
      </c>
      <c r="O73" s="132">
        <v>205.5</v>
      </c>
      <c r="P73" s="75">
        <f>O73/N73</f>
        <v>0.13528637261356155</v>
      </c>
    </row>
    <row r="74" spans="1:16" ht="12.75" customHeight="1">
      <c r="A74" s="71" t="s">
        <v>225</v>
      </c>
      <c r="B74" s="23">
        <v>0</v>
      </c>
      <c r="C74" s="23">
        <v>0</v>
      </c>
      <c r="D74" s="23">
        <v>0</v>
      </c>
      <c r="E74" s="23">
        <v>0</v>
      </c>
      <c r="F74" s="23">
        <v>0</v>
      </c>
      <c r="G74" s="23">
        <v>0</v>
      </c>
      <c r="H74" s="23" t="s">
        <v>228</v>
      </c>
      <c r="I74" s="23" t="s">
        <v>228</v>
      </c>
      <c r="J74" s="23">
        <v>0</v>
      </c>
      <c r="K74" s="23">
        <v>0</v>
      </c>
      <c r="L74" s="23">
        <v>0</v>
      </c>
      <c r="M74" s="23">
        <v>0</v>
      </c>
      <c r="N74" s="73">
        <f>SUM(B74:M74)</f>
        <v>0</v>
      </c>
      <c r="O74" s="74"/>
      <c r="P74" s="75"/>
    </row>
    <row r="75" spans="1:16" ht="12.75" customHeight="1">
      <c r="A75" s="71" t="s">
        <v>346</v>
      </c>
      <c r="B75" s="40">
        <v>3</v>
      </c>
      <c r="C75" s="40">
        <v>3</v>
      </c>
      <c r="D75" s="40">
        <v>3</v>
      </c>
      <c r="E75" s="40">
        <v>3</v>
      </c>
      <c r="F75" s="40">
        <v>3</v>
      </c>
      <c r="G75" s="40">
        <v>3</v>
      </c>
      <c r="H75" s="40">
        <v>3</v>
      </c>
      <c r="I75" s="40">
        <v>3</v>
      </c>
      <c r="J75" s="40">
        <v>3</v>
      </c>
      <c r="K75" s="40">
        <v>3</v>
      </c>
      <c r="L75" s="40">
        <v>3</v>
      </c>
      <c r="M75" s="40">
        <v>3</v>
      </c>
      <c r="N75" s="40">
        <v>3</v>
      </c>
      <c r="O75" s="18"/>
    </row>
    <row r="76" spans="1:16" ht="12.75" customHeight="1">
      <c r="A76" s="2"/>
      <c r="B76" s="92"/>
      <c r="C76" s="92"/>
      <c r="D76" s="92"/>
      <c r="E76" s="92"/>
      <c r="F76" s="92"/>
      <c r="G76" s="92"/>
      <c r="H76" s="92"/>
      <c r="I76" s="92"/>
      <c r="J76" s="92"/>
      <c r="K76" s="92"/>
      <c r="L76" s="92"/>
      <c r="M76" s="92"/>
      <c r="N76" s="42"/>
      <c r="O76" s="75"/>
      <c r="P76" s="75"/>
    </row>
    <row r="77" spans="1:16" ht="12.75" customHeight="1">
      <c r="A77" s="5"/>
      <c r="B77" s="95"/>
      <c r="C77" s="95"/>
      <c r="D77" s="95"/>
      <c r="E77" s="95"/>
      <c r="F77" s="95"/>
      <c r="G77" s="95"/>
      <c r="H77" s="95"/>
      <c r="I77" s="95"/>
      <c r="J77" s="95"/>
      <c r="K77" s="95"/>
      <c r="L77" s="95"/>
      <c r="M77" s="95"/>
      <c r="N77" s="5"/>
      <c r="O77" s="90"/>
      <c r="P77" s="90"/>
    </row>
    <row r="78" spans="1:16" ht="12.75" customHeight="1">
      <c r="A78" s="58"/>
      <c r="B78" s="59">
        <v>39995</v>
      </c>
      <c r="C78" s="59">
        <v>40026</v>
      </c>
      <c r="D78" s="59">
        <v>40057</v>
      </c>
      <c r="E78" s="59">
        <v>40087</v>
      </c>
      <c r="F78" s="59">
        <v>40118</v>
      </c>
      <c r="G78" s="59">
        <v>40148</v>
      </c>
      <c r="H78" s="59">
        <v>40179</v>
      </c>
      <c r="I78" s="59">
        <v>40210</v>
      </c>
      <c r="J78" s="59">
        <v>40238</v>
      </c>
      <c r="K78" s="59">
        <v>40269</v>
      </c>
      <c r="L78" s="59">
        <v>40299</v>
      </c>
      <c r="M78" s="59">
        <v>40330</v>
      </c>
      <c r="N78" s="60" t="s">
        <v>367</v>
      </c>
      <c r="O78" s="61" t="s">
        <v>166</v>
      </c>
      <c r="P78" s="61" t="s">
        <v>171</v>
      </c>
    </row>
    <row r="79" spans="1:16" ht="12.75" customHeight="1">
      <c r="A79" s="106" t="s">
        <v>323</v>
      </c>
      <c r="B79" s="53"/>
      <c r="C79" s="53"/>
      <c r="D79" s="53"/>
      <c r="E79" s="53"/>
      <c r="F79" s="53"/>
      <c r="G79" s="53"/>
      <c r="H79" s="53"/>
      <c r="I79" s="53"/>
      <c r="J79" s="53"/>
      <c r="K79" s="53"/>
      <c r="L79" s="53"/>
      <c r="M79" s="53"/>
      <c r="N79" s="53"/>
      <c r="O79" s="194" t="s">
        <v>221</v>
      </c>
      <c r="P79" s="194"/>
    </row>
    <row r="80" spans="1:16" ht="12.75" customHeight="1">
      <c r="A80" s="71" t="s">
        <v>253</v>
      </c>
      <c r="B80" s="23" t="s">
        <v>228</v>
      </c>
      <c r="C80" s="23" t="s">
        <v>228</v>
      </c>
      <c r="D80" s="23" t="s">
        <v>228</v>
      </c>
      <c r="E80" s="23" t="s">
        <v>228</v>
      </c>
      <c r="F80" s="23" t="s">
        <v>228</v>
      </c>
      <c r="G80" s="23" t="s">
        <v>228</v>
      </c>
      <c r="H80" s="23" t="s">
        <v>228</v>
      </c>
      <c r="I80" s="23" t="s">
        <v>228</v>
      </c>
      <c r="J80" s="23" t="s">
        <v>228</v>
      </c>
      <c r="K80" s="23" t="s">
        <v>228</v>
      </c>
      <c r="L80" s="23" t="s">
        <v>228</v>
      </c>
      <c r="M80" s="23" t="s">
        <v>228</v>
      </c>
      <c r="N80" s="73">
        <f>SUM(B80:M80)</f>
        <v>0</v>
      </c>
      <c r="O80" s="74"/>
      <c r="P80" s="75"/>
    </row>
    <row r="81" spans="1:16" ht="12.75" customHeight="1">
      <c r="A81" s="71" t="s">
        <v>204</v>
      </c>
      <c r="B81" s="23" t="s">
        <v>228</v>
      </c>
      <c r="C81" s="23" t="s">
        <v>228</v>
      </c>
      <c r="D81" s="23" t="s">
        <v>228</v>
      </c>
      <c r="E81" s="23" t="s">
        <v>228</v>
      </c>
      <c r="F81" s="23" t="s">
        <v>228</v>
      </c>
      <c r="G81" s="23" t="s">
        <v>228</v>
      </c>
      <c r="H81" s="23" t="s">
        <v>228</v>
      </c>
      <c r="I81" s="23" t="s">
        <v>228</v>
      </c>
      <c r="J81" s="23" t="s">
        <v>228</v>
      </c>
      <c r="K81" s="23" t="s">
        <v>228</v>
      </c>
      <c r="L81" s="23" t="s">
        <v>228</v>
      </c>
      <c r="M81" s="23" t="s">
        <v>228</v>
      </c>
      <c r="N81" s="73">
        <f>SUM(B81:M81)</f>
        <v>0</v>
      </c>
      <c r="O81" s="74">
        <v>9292</v>
      </c>
      <c r="P81" s="75" t="e">
        <f>O81/N81</f>
        <v>#DIV/0!</v>
      </c>
    </row>
    <row r="82" spans="1:16" ht="12.75" customHeight="1">
      <c r="A82" s="71" t="s">
        <v>225</v>
      </c>
      <c r="B82" s="23" t="s">
        <v>228</v>
      </c>
      <c r="C82" s="23" t="s">
        <v>228</v>
      </c>
      <c r="D82" s="23" t="s">
        <v>228</v>
      </c>
      <c r="E82" s="23" t="s">
        <v>228</v>
      </c>
      <c r="F82" s="23" t="s">
        <v>228</v>
      </c>
      <c r="G82" s="23" t="s">
        <v>228</v>
      </c>
      <c r="H82" s="23" t="s">
        <v>228</v>
      </c>
      <c r="I82" s="23" t="s">
        <v>228</v>
      </c>
      <c r="J82" s="23" t="s">
        <v>228</v>
      </c>
      <c r="K82" s="23" t="s">
        <v>228</v>
      </c>
      <c r="L82" s="23" t="s">
        <v>228</v>
      </c>
      <c r="M82" s="23" t="s">
        <v>228</v>
      </c>
      <c r="N82" s="73">
        <f>SUM(B82:M82)</f>
        <v>0</v>
      </c>
      <c r="O82" s="74"/>
      <c r="P82" s="75"/>
    </row>
    <row r="83" spans="1:16" ht="12.75" customHeight="1">
      <c r="A83" s="71" t="s">
        <v>346</v>
      </c>
      <c r="B83" s="40">
        <v>3</v>
      </c>
      <c r="C83" s="40">
        <v>3</v>
      </c>
      <c r="D83" s="40">
        <v>3</v>
      </c>
      <c r="E83" s="40">
        <v>3</v>
      </c>
      <c r="F83" s="40">
        <v>3</v>
      </c>
      <c r="G83" s="40">
        <v>3</v>
      </c>
      <c r="H83" s="40">
        <v>3</v>
      </c>
      <c r="I83" s="40">
        <v>3</v>
      </c>
      <c r="J83" s="40">
        <v>3</v>
      </c>
      <c r="K83" s="40">
        <v>3</v>
      </c>
      <c r="L83" s="40">
        <v>3</v>
      </c>
      <c r="M83" s="40">
        <v>3</v>
      </c>
      <c r="N83" s="40">
        <v>3</v>
      </c>
      <c r="O83" s="18"/>
    </row>
    <row r="84" spans="1:16" ht="12.75" customHeight="1">
      <c r="A84" s="2"/>
      <c r="B84" s="92"/>
      <c r="C84" s="92"/>
      <c r="D84" s="92"/>
      <c r="E84" s="92"/>
      <c r="F84" s="92"/>
      <c r="G84" s="92"/>
      <c r="H84" s="92"/>
      <c r="I84" s="92"/>
      <c r="J84" s="92"/>
      <c r="K84" s="92"/>
      <c r="L84" s="92"/>
      <c r="M84" s="92"/>
      <c r="N84" s="42"/>
      <c r="O84" s="75"/>
      <c r="P84" s="75"/>
    </row>
    <row r="85" spans="1:16" ht="12.75" customHeight="1">
      <c r="A85" s="2"/>
      <c r="B85" s="93"/>
      <c r="C85" s="93"/>
      <c r="D85" s="93"/>
      <c r="E85" s="93"/>
      <c r="F85" s="93"/>
      <c r="G85" s="93"/>
      <c r="H85" s="93"/>
      <c r="I85" s="93"/>
      <c r="J85" s="93"/>
      <c r="K85" s="93"/>
      <c r="L85" s="93"/>
      <c r="M85" s="93"/>
      <c r="N85" s="2"/>
      <c r="O85" s="75"/>
      <c r="P85" s="75"/>
    </row>
    <row r="86" spans="1:16" ht="12.75" customHeight="1">
      <c r="A86" s="5"/>
      <c r="B86" s="95"/>
      <c r="C86" s="95"/>
      <c r="D86" s="95"/>
      <c r="E86" s="95"/>
      <c r="F86" s="95"/>
      <c r="G86" s="95"/>
      <c r="H86" s="95"/>
      <c r="I86" s="95"/>
      <c r="J86" s="95"/>
      <c r="K86" s="95"/>
      <c r="L86" s="95"/>
      <c r="M86" s="95"/>
      <c r="N86" s="5"/>
      <c r="O86" s="90"/>
      <c r="P86" s="90"/>
    </row>
    <row r="87" spans="1:16" ht="12.75" customHeight="1">
      <c r="A87" s="58"/>
      <c r="B87" s="59">
        <v>39995</v>
      </c>
      <c r="C87" s="59">
        <v>40026</v>
      </c>
      <c r="D87" s="59">
        <v>40057</v>
      </c>
      <c r="E87" s="59">
        <v>40087</v>
      </c>
      <c r="F87" s="59">
        <v>40118</v>
      </c>
      <c r="G87" s="59">
        <v>40148</v>
      </c>
      <c r="H87" s="59">
        <v>40179</v>
      </c>
      <c r="I87" s="59">
        <v>40210</v>
      </c>
      <c r="J87" s="59">
        <v>40238</v>
      </c>
      <c r="K87" s="59">
        <v>40269</v>
      </c>
      <c r="L87" s="59">
        <v>40299</v>
      </c>
      <c r="M87" s="59">
        <v>40330</v>
      </c>
      <c r="N87" s="60" t="s">
        <v>367</v>
      </c>
      <c r="O87" s="61" t="s">
        <v>166</v>
      </c>
      <c r="P87" s="61" t="s">
        <v>171</v>
      </c>
    </row>
    <row r="88" spans="1:16" ht="12.75" customHeight="1">
      <c r="A88" s="67" t="s">
        <v>43</v>
      </c>
      <c r="B88" s="53"/>
      <c r="C88" s="53"/>
      <c r="D88" s="53"/>
      <c r="E88" s="53"/>
      <c r="F88" s="53"/>
      <c r="G88" s="53"/>
      <c r="H88" s="53"/>
      <c r="I88" s="53"/>
      <c r="J88" s="53"/>
      <c r="K88" s="53"/>
      <c r="L88" s="53"/>
      <c r="M88" s="53"/>
      <c r="N88" s="53"/>
      <c r="O88" s="194" t="s">
        <v>339</v>
      </c>
      <c r="P88" s="194"/>
    </row>
    <row r="89" spans="1:16" ht="12.75" customHeight="1">
      <c r="A89" s="71" t="s">
        <v>253</v>
      </c>
      <c r="B89" s="164">
        <v>5</v>
      </c>
      <c r="C89" s="164">
        <v>6</v>
      </c>
      <c r="D89" s="164">
        <v>8</v>
      </c>
      <c r="E89" s="164">
        <v>23</v>
      </c>
      <c r="F89" s="164">
        <v>14</v>
      </c>
      <c r="G89" s="164">
        <v>24</v>
      </c>
      <c r="H89" s="23">
        <v>5</v>
      </c>
      <c r="I89" s="23">
        <v>71</v>
      </c>
      <c r="J89" s="23">
        <v>55</v>
      </c>
      <c r="K89" s="23">
        <v>24</v>
      </c>
      <c r="L89" s="23">
        <v>1</v>
      </c>
      <c r="M89" s="23">
        <v>4</v>
      </c>
      <c r="N89" s="73">
        <f>SUM(B89:M89)</f>
        <v>240</v>
      </c>
      <c r="O89" s="74"/>
      <c r="P89" s="75"/>
    </row>
    <row r="90" spans="1:16" ht="12.75" customHeight="1">
      <c r="A90" s="71" t="s">
        <v>204</v>
      </c>
      <c r="B90" s="164">
        <v>13</v>
      </c>
      <c r="C90" s="164">
        <v>21</v>
      </c>
      <c r="D90" s="164">
        <v>34</v>
      </c>
      <c r="E90" s="164">
        <v>51</v>
      </c>
      <c r="F90" s="164">
        <v>32</v>
      </c>
      <c r="G90" s="164">
        <v>101</v>
      </c>
      <c r="H90" s="23">
        <v>17</v>
      </c>
      <c r="I90" s="23">
        <v>449</v>
      </c>
      <c r="J90" s="23">
        <v>227</v>
      </c>
      <c r="K90" s="23">
        <v>87</v>
      </c>
      <c r="L90" s="23">
        <v>1</v>
      </c>
      <c r="M90" s="23">
        <v>10</v>
      </c>
      <c r="N90" s="73">
        <f>SUM(B90:M90)</f>
        <v>1043</v>
      </c>
      <c r="O90" s="74">
        <v>326</v>
      </c>
      <c r="P90" s="75">
        <f>O90/N90</f>
        <v>0.31255992329817833</v>
      </c>
    </row>
    <row r="91" spans="1:16" ht="12.75" customHeight="1">
      <c r="A91" s="71" t="s">
        <v>225</v>
      </c>
      <c r="B91" s="23">
        <v>0</v>
      </c>
      <c r="C91" s="23">
        <v>0</v>
      </c>
      <c r="D91" s="23">
        <v>0</v>
      </c>
      <c r="E91" s="23">
        <v>0</v>
      </c>
      <c r="F91" s="23">
        <v>0</v>
      </c>
      <c r="G91" s="23">
        <v>0</v>
      </c>
      <c r="H91" s="23">
        <v>0</v>
      </c>
      <c r="I91" s="23">
        <v>17</v>
      </c>
      <c r="J91" s="23">
        <v>1</v>
      </c>
      <c r="K91" s="23">
        <v>0</v>
      </c>
      <c r="L91" s="23">
        <v>0</v>
      </c>
      <c r="M91" s="23">
        <v>0</v>
      </c>
      <c r="N91" s="73">
        <f>SUM(B91:M91)</f>
        <v>18</v>
      </c>
      <c r="O91" s="74"/>
      <c r="P91" s="75"/>
    </row>
    <row r="92" spans="1:16" ht="12.75" customHeight="1">
      <c r="A92" s="71" t="s">
        <v>346</v>
      </c>
      <c r="B92" s="40">
        <v>4</v>
      </c>
      <c r="C92" s="40">
        <v>4</v>
      </c>
      <c r="D92" s="40">
        <v>4</v>
      </c>
      <c r="E92" s="40">
        <v>4</v>
      </c>
      <c r="F92" s="40">
        <v>4</v>
      </c>
      <c r="G92" s="40">
        <v>4</v>
      </c>
      <c r="H92" s="40">
        <v>4</v>
      </c>
      <c r="I92" s="40">
        <v>4</v>
      </c>
      <c r="J92" s="40">
        <v>4</v>
      </c>
      <c r="K92" s="40">
        <v>4</v>
      </c>
      <c r="L92" s="40">
        <v>4</v>
      </c>
      <c r="M92" s="40">
        <v>4</v>
      </c>
      <c r="N92" s="40">
        <v>4</v>
      </c>
      <c r="O92" s="18"/>
    </row>
    <row r="93" spans="1:16" ht="12.75" customHeight="1">
      <c r="A93" s="2"/>
      <c r="B93" s="43"/>
      <c r="C93" s="43"/>
      <c r="D93" s="43"/>
      <c r="E93" s="43"/>
      <c r="F93" s="43"/>
      <c r="G93" s="43"/>
      <c r="H93" s="43"/>
      <c r="I93" s="43"/>
      <c r="J93" s="43"/>
      <c r="K93" s="43"/>
      <c r="L93" s="43"/>
      <c r="M93" s="43"/>
      <c r="N93" s="43"/>
    </row>
    <row r="94" spans="1:16" ht="12.75" customHeight="1">
      <c r="A94" s="6"/>
      <c r="B94" s="6"/>
      <c r="C94" s="6"/>
      <c r="D94" s="6"/>
      <c r="E94" s="6"/>
      <c r="F94" s="6"/>
      <c r="G94" s="6"/>
      <c r="H94" s="6"/>
      <c r="I94" s="6"/>
      <c r="J94" s="6"/>
      <c r="K94" s="6"/>
      <c r="L94" s="6"/>
      <c r="M94" s="6"/>
      <c r="N94" s="6"/>
      <c r="O94" s="6"/>
      <c r="P94" s="6"/>
    </row>
    <row r="95" spans="1:16" ht="12.75" customHeight="1">
      <c r="A95" s="58"/>
      <c r="B95" s="59">
        <v>39995</v>
      </c>
      <c r="C95" s="59">
        <v>40026</v>
      </c>
      <c r="D95" s="59">
        <v>40057</v>
      </c>
      <c r="E95" s="59">
        <v>40087</v>
      </c>
      <c r="F95" s="59">
        <v>40118</v>
      </c>
      <c r="G95" s="59">
        <v>40148</v>
      </c>
      <c r="H95" s="59">
        <v>40179</v>
      </c>
      <c r="I95" s="59">
        <v>40210</v>
      </c>
      <c r="J95" s="59">
        <v>40238</v>
      </c>
      <c r="K95" s="59">
        <v>40269</v>
      </c>
      <c r="L95" s="59">
        <v>40299</v>
      </c>
      <c r="M95" s="59">
        <v>40330</v>
      </c>
      <c r="N95" s="60" t="s">
        <v>367</v>
      </c>
      <c r="O95" s="61" t="s">
        <v>166</v>
      </c>
      <c r="P95" s="61" t="s">
        <v>171</v>
      </c>
    </row>
    <row r="96" spans="1:16" ht="12.75" customHeight="1">
      <c r="A96" s="67" t="s">
        <v>294</v>
      </c>
      <c r="B96" s="53"/>
      <c r="C96" s="53"/>
      <c r="D96" s="53"/>
      <c r="E96" s="53"/>
      <c r="F96" s="53"/>
      <c r="G96" s="53"/>
      <c r="H96" s="53"/>
      <c r="I96" s="53"/>
      <c r="J96" s="53"/>
      <c r="K96" s="53"/>
      <c r="L96" s="53"/>
      <c r="M96" s="53"/>
      <c r="N96" s="53"/>
      <c r="O96" s="194" t="s">
        <v>221</v>
      </c>
      <c r="P96" s="194"/>
    </row>
    <row r="97" spans="1:16" ht="12.75" customHeight="1">
      <c r="A97" s="71" t="s">
        <v>253</v>
      </c>
      <c r="B97" s="23" t="s">
        <v>228</v>
      </c>
      <c r="C97" s="23" t="s">
        <v>228</v>
      </c>
      <c r="D97" s="23" t="s">
        <v>228</v>
      </c>
      <c r="E97" s="23" t="s">
        <v>228</v>
      </c>
      <c r="F97" s="23" t="s">
        <v>228</v>
      </c>
      <c r="G97" s="23" t="s">
        <v>228</v>
      </c>
      <c r="H97" s="23" t="s">
        <v>228</v>
      </c>
      <c r="I97" s="23" t="s">
        <v>228</v>
      </c>
      <c r="J97" s="23" t="s">
        <v>228</v>
      </c>
      <c r="K97" s="23" t="s">
        <v>228</v>
      </c>
      <c r="L97" s="23" t="s">
        <v>228</v>
      </c>
      <c r="M97" s="23" t="s">
        <v>228</v>
      </c>
      <c r="N97" s="73">
        <f>SUM(B97:M97)</f>
        <v>0</v>
      </c>
      <c r="O97" s="74"/>
      <c r="P97" s="75"/>
    </row>
    <row r="98" spans="1:16" ht="12.75" customHeight="1">
      <c r="A98" s="71" t="s">
        <v>204</v>
      </c>
      <c r="B98" s="23" t="s">
        <v>228</v>
      </c>
      <c r="C98" s="23" t="s">
        <v>228</v>
      </c>
      <c r="D98" s="23" t="s">
        <v>228</v>
      </c>
      <c r="E98" s="23" t="s">
        <v>228</v>
      </c>
      <c r="F98" s="23" t="s">
        <v>228</v>
      </c>
      <c r="G98" s="23" t="s">
        <v>228</v>
      </c>
      <c r="H98" s="23" t="s">
        <v>228</v>
      </c>
      <c r="I98" s="23" t="s">
        <v>228</v>
      </c>
      <c r="J98" s="23" t="s">
        <v>228</v>
      </c>
      <c r="K98" s="23" t="s">
        <v>228</v>
      </c>
      <c r="L98" s="23" t="s">
        <v>228</v>
      </c>
      <c r="M98" s="23" t="s">
        <v>228</v>
      </c>
      <c r="N98" s="73">
        <f>SUM(B98:M98)</f>
        <v>0</v>
      </c>
      <c r="O98" s="74">
        <v>3880</v>
      </c>
      <c r="P98" s="75" t="e">
        <f>O98/N98</f>
        <v>#DIV/0!</v>
      </c>
    </row>
    <row r="99" spans="1:16" ht="12.75" customHeight="1">
      <c r="A99" s="71" t="s">
        <v>225</v>
      </c>
      <c r="B99" s="23" t="s">
        <v>228</v>
      </c>
      <c r="C99" s="23" t="s">
        <v>228</v>
      </c>
      <c r="D99" s="23" t="s">
        <v>228</v>
      </c>
      <c r="E99" s="23" t="s">
        <v>228</v>
      </c>
      <c r="F99" s="23" t="s">
        <v>228</v>
      </c>
      <c r="G99" s="23" t="s">
        <v>228</v>
      </c>
      <c r="H99" s="23" t="s">
        <v>228</v>
      </c>
      <c r="I99" s="23" t="s">
        <v>228</v>
      </c>
      <c r="J99" s="23" t="s">
        <v>228</v>
      </c>
      <c r="K99" s="23" t="s">
        <v>228</v>
      </c>
      <c r="L99" s="23" t="s">
        <v>228</v>
      </c>
      <c r="M99" s="23" t="s">
        <v>228</v>
      </c>
      <c r="N99" s="73">
        <f>SUM(B99:M99)</f>
        <v>0</v>
      </c>
      <c r="O99" s="74"/>
      <c r="P99" s="75"/>
    </row>
    <row r="100" spans="1:16" ht="12.75" customHeight="1">
      <c r="A100" s="71" t="s">
        <v>346</v>
      </c>
      <c r="B100" s="40">
        <v>3</v>
      </c>
      <c r="C100" s="40">
        <v>3</v>
      </c>
      <c r="D100" s="40">
        <v>3</v>
      </c>
      <c r="E100" s="40">
        <v>3</v>
      </c>
      <c r="F100" s="40">
        <v>3</v>
      </c>
      <c r="G100" s="40">
        <v>3</v>
      </c>
      <c r="H100" s="40">
        <v>3</v>
      </c>
      <c r="I100" s="40">
        <v>3</v>
      </c>
      <c r="J100" s="40">
        <v>3</v>
      </c>
      <c r="K100" s="40">
        <v>3</v>
      </c>
      <c r="L100" s="40">
        <v>3</v>
      </c>
      <c r="M100" s="40">
        <v>3</v>
      </c>
      <c r="N100" s="40">
        <v>3</v>
      </c>
      <c r="O100" s="18"/>
    </row>
    <row r="101" spans="1:16" ht="12.75" customHeight="1">
      <c r="A101" s="2"/>
      <c r="B101" s="43"/>
      <c r="C101" s="43"/>
      <c r="D101" s="43"/>
      <c r="E101" s="43"/>
      <c r="F101" s="43"/>
      <c r="G101" s="43"/>
      <c r="H101" s="43"/>
      <c r="I101" s="43"/>
      <c r="J101" s="43"/>
      <c r="K101" s="43"/>
      <c r="L101" s="43"/>
      <c r="M101" s="43"/>
      <c r="N101" s="43"/>
    </row>
    <row r="102" spans="1:16" ht="12.75" customHeight="1">
      <c r="A102" s="2"/>
    </row>
    <row r="103" spans="1:16" ht="12.75" customHeight="1">
      <c r="A103" s="2"/>
    </row>
    <row r="104" spans="1:16" ht="12.75" customHeight="1">
      <c r="A104" s="2"/>
    </row>
  </sheetData>
  <mergeCells count="8">
    <mergeCell ref="O88:P88"/>
    <mergeCell ref="O96:P96"/>
    <mergeCell ref="O15:P15"/>
    <mergeCell ref="O23:P23"/>
    <mergeCell ref="O39:P39"/>
    <mergeCell ref="O55:P55"/>
    <mergeCell ref="O71:P71"/>
    <mergeCell ref="O79:P79"/>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31</vt:i4>
      </vt:variant>
    </vt:vector>
  </HeadingPairs>
  <TitlesOfParts>
    <vt:vector size="31" baseType="lpstr">
      <vt:lpstr>Summary</vt:lpstr>
      <vt:lpstr>ALA Guide to Reference</vt:lpstr>
      <vt:lpstr>ARTstor</vt:lpstr>
      <vt:lpstr>CIAO</vt:lpstr>
      <vt:lpstr>Cochrane</vt:lpstr>
      <vt:lpstr>Compendex(EI)</vt:lpstr>
      <vt:lpstr>CQ Researcher</vt:lpstr>
      <vt:lpstr>CSA</vt:lpstr>
      <vt:lpstr>EBSCOhost</vt:lpstr>
      <vt:lpstr>Elsevier</vt:lpstr>
      <vt:lpstr>EMBASE</vt:lpstr>
      <vt:lpstr>FirstSearch</vt:lpstr>
      <vt:lpstr>Greenwood</vt:lpstr>
      <vt:lpstr>InfoTrac</vt:lpstr>
      <vt:lpstr>ICPSR</vt:lpstr>
      <vt:lpstr>KCDL</vt:lpstr>
      <vt:lpstr>Lexi-Comp</vt:lpstr>
      <vt:lpstr>LexisNexis</vt:lpstr>
      <vt:lpstr>MathSciNet</vt:lpstr>
      <vt:lpstr>Mergent</vt:lpstr>
      <vt:lpstr>MetaPress</vt:lpstr>
      <vt:lpstr>netLibrary</vt:lpstr>
      <vt:lpstr>Newsbank</vt:lpstr>
      <vt:lpstr>OVID</vt:lpstr>
      <vt:lpstr>Oxford</vt:lpstr>
      <vt:lpstr>ProQuest</vt:lpstr>
      <vt:lpstr>ReferenceUSA</vt:lpstr>
      <vt:lpstr>RefWorks</vt:lpstr>
      <vt:lpstr>SciFinderScholar</vt:lpstr>
      <vt:lpstr>WebofScience</vt:lpstr>
      <vt:lpstr>WilsonWeb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cp:lastModifiedBy>
  <cp:lastPrinted>2010-08-04T16:48:32Z</cp:lastPrinted>
  <dcterms:created xsi:type="dcterms:W3CDTF">2010-08-04T16:48:42Z</dcterms:created>
  <dcterms:modified xsi:type="dcterms:W3CDTF">2010-08-04T16:48:42Z</dcterms:modified>
</cp:coreProperties>
</file>