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375" windowWidth="38520" windowHeight="1164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H23" i="1" l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</calcChain>
</file>

<file path=xl/sharedStrings.xml><?xml version="1.0" encoding="utf-8"?>
<sst xmlns="http://schemas.openxmlformats.org/spreadsheetml/2006/main" count="30" uniqueCount="28">
  <si>
    <t>University of Newcastle and Sector Average ERA 2010 vrs 2012 Ratings</t>
  </si>
  <si>
    <t>UoN</t>
  </si>
  <si>
    <t>Sector</t>
  </si>
  <si>
    <t>UoN Comp to Sector</t>
  </si>
  <si>
    <t>FoR</t>
  </si>
  <si>
    <t>FoR Descriptor</t>
  </si>
  <si>
    <t>Mathematical Sciences</t>
  </si>
  <si>
    <t>Physical Sciences</t>
  </si>
  <si>
    <t>Chemical Sciences</t>
  </si>
  <si>
    <t>Earth Sciences</t>
  </si>
  <si>
    <t>Biological Sciences</t>
  </si>
  <si>
    <t>Information and Computing Sciences</t>
  </si>
  <si>
    <t>Engineering</t>
  </si>
  <si>
    <t>11a</t>
  </si>
  <si>
    <t>Medical and Health Sciences</t>
  </si>
  <si>
    <t>11b</t>
  </si>
  <si>
    <t>12a</t>
  </si>
  <si>
    <t>Built Environment and Design</t>
  </si>
  <si>
    <t>12b</t>
  </si>
  <si>
    <t>Education</t>
  </si>
  <si>
    <t>Economics</t>
  </si>
  <si>
    <t>Commerce, Management, Tourism and Services</t>
  </si>
  <si>
    <t>Studies In Human Society</t>
  </si>
  <si>
    <t>Psychology and Cognitive Sciences</t>
  </si>
  <si>
    <t>Studies In Creative Arts and Writing</t>
  </si>
  <si>
    <t>Language, Communication and Culture</t>
  </si>
  <si>
    <t>History and Archaeology</t>
  </si>
  <si>
    <t>Philosophy and Religious Studies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</si>
</sst>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"/>
    <numFmt numFmtId="165" formatCode="0.0"/>
    <numFmt numFmtId="166" formatCode="0.0_ ;[Red]\-0.0\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2" borderId="3" xfId="0" applyFont="1" applyFill="1" applyBorder="1"/>
    <xf numFmtId="0" fontId="1" fillId="2" borderId="4" xfId="0" applyFont="1" applyFill="1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64" fontId="1" fillId="0" borderId="6" xfId="0" applyNumberFormat="1" applyFont="1" applyBorder="1"/>
    <xf numFmtId="0" fontId="0" fillId="0" borderId="7" xfId="0" applyBorder="1"/>
    <xf numFmtId="0" fontId="0" fillId="0" borderId="7" xfId="0" applyNumberFormat="1" applyBorder="1"/>
    <xf numFmtId="0" fontId="0" fillId="0" borderId="8" xfId="0" applyNumberFormat="1" applyBorder="1"/>
    <xf numFmtId="165" fontId="0" fillId="0" borderId="6" xfId="0" applyNumberFormat="1" applyFont="1" applyBorder="1" applyAlignment="1">
      <alignment horizontal="center" vertical="center"/>
    </xf>
    <xf numFmtId="165" fontId="0" fillId="0" borderId="9" xfId="0" applyNumberFormat="1" applyFont="1" applyBorder="1" applyAlignment="1">
      <alignment horizontal="center" vertical="center"/>
    </xf>
    <xf numFmtId="166" fontId="0" fillId="0" borderId="10" xfId="0" applyNumberFormat="1" applyBorder="1"/>
    <xf numFmtId="166" fontId="0" fillId="0" borderId="11" xfId="0" applyNumberFormat="1" applyBorder="1"/>
    <xf numFmtId="166" fontId="0" fillId="0" borderId="6" xfId="0" applyNumberFormat="1" applyBorder="1"/>
    <xf numFmtId="166" fontId="0" fillId="0" borderId="8" xfId="0" applyNumberFormat="1" applyBorder="1"/>
    <xf numFmtId="0" fontId="1" fillId="0" borderId="6" xfId="0" applyFont="1" applyBorder="1"/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4">
    <dxf>
      <fill>
        <patternFill>
          <bgColor rgb="FF00B050"/>
        </patternFill>
      </fill>
    </dxf>
    <dxf>
      <fill>
        <patternFill>
          <bgColor theme="5"/>
        </patternFill>
      </fill>
    </dxf>
    <dxf>
      <font>
        <color theme="1"/>
      </font>
      <fill>
        <patternFill>
          <bgColor rgb="FF00B050"/>
        </patternFill>
      </fill>
    </dxf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tabSelected="1" workbookViewId="0">
      <selection activeCell="G26" sqref="G26"/>
    </sheetView>
  </sheetViews>
  <sheetFormatPr defaultRowHeight="15" x14ac:dyDescent="0.25"/>
  <cols>
    <col min="1" max="1" width="6" customWidth="1"/>
    <col min="2" max="2" width="44" bestFit="1" customWidth="1"/>
    <col min="3" max="4" width="5" bestFit="1" customWidth="1"/>
    <col min="5" max="5" width="6.5703125" bestFit="1" customWidth="1"/>
    <col min="6" max="6" width="5" bestFit="1" customWidth="1"/>
    <col min="7" max="7" width="19.140625" bestFit="1" customWidth="1"/>
    <col min="8" max="8" width="5" bestFit="1" customWidth="1"/>
  </cols>
  <sheetData>
    <row r="1" spans="1:8" ht="15.75" thickBot="1" x14ac:dyDescent="0.3">
      <c r="A1" s="20" t="s">
        <v>0</v>
      </c>
      <c r="B1" s="20"/>
      <c r="C1" s="20"/>
      <c r="D1" s="20"/>
      <c r="E1" s="20"/>
      <c r="F1" s="20"/>
      <c r="G1" s="20"/>
      <c r="H1" s="20"/>
    </row>
    <row r="2" spans="1:8" ht="15.75" thickBot="1" x14ac:dyDescent="0.3">
      <c r="A2" s="1"/>
      <c r="B2" s="1"/>
      <c r="C2" s="2" t="s">
        <v>1</v>
      </c>
      <c r="D2" s="3"/>
      <c r="E2" s="2" t="s">
        <v>2</v>
      </c>
      <c r="F2" s="3"/>
      <c r="G2" s="2" t="s">
        <v>3</v>
      </c>
      <c r="H2" s="3"/>
    </row>
    <row r="3" spans="1:8" x14ac:dyDescent="0.25">
      <c r="A3" s="4" t="s">
        <v>4</v>
      </c>
      <c r="B3" s="5" t="s">
        <v>5</v>
      </c>
      <c r="C3" s="6">
        <v>2010</v>
      </c>
      <c r="D3" s="7">
        <v>2012</v>
      </c>
      <c r="E3" s="8">
        <v>2010</v>
      </c>
      <c r="F3" s="7">
        <v>2012</v>
      </c>
      <c r="G3" s="8">
        <v>2010</v>
      </c>
      <c r="H3" s="7">
        <v>2012</v>
      </c>
    </row>
    <row r="4" spans="1:8" x14ac:dyDescent="0.25">
      <c r="A4" s="9">
        <v>1</v>
      </c>
      <c r="B4" s="10" t="s">
        <v>6</v>
      </c>
      <c r="C4" s="11">
        <v>3</v>
      </c>
      <c r="D4" s="12">
        <v>3</v>
      </c>
      <c r="E4" s="13">
        <v>3.1666666666666665</v>
      </c>
      <c r="F4" s="14">
        <v>3.3333333333333335</v>
      </c>
      <c r="G4" s="15">
        <f>C4-E4</f>
        <v>-0.16666666666666652</v>
      </c>
      <c r="H4" s="16">
        <f>D4-F4</f>
        <v>-0.33333333333333348</v>
      </c>
    </row>
    <row r="5" spans="1:8" x14ac:dyDescent="0.25">
      <c r="A5" s="9">
        <v>2</v>
      </c>
      <c r="B5" s="10" t="s">
        <v>7</v>
      </c>
      <c r="C5" s="11">
        <v>3</v>
      </c>
      <c r="D5" s="12">
        <v>2</v>
      </c>
      <c r="E5" s="13">
        <v>3.6666666666666665</v>
      </c>
      <c r="F5" s="14">
        <v>3.4166666666666665</v>
      </c>
      <c r="G5" s="17">
        <f t="shared" ref="G5:H23" si="0">C5-E5</f>
        <v>-0.66666666666666652</v>
      </c>
      <c r="H5" s="18">
        <f t="shared" si="0"/>
        <v>-1.4166666666666665</v>
      </c>
    </row>
    <row r="6" spans="1:8" x14ac:dyDescent="0.25">
      <c r="A6" s="9">
        <v>3</v>
      </c>
      <c r="B6" s="10" t="s">
        <v>8</v>
      </c>
      <c r="C6" s="11">
        <v>3</v>
      </c>
      <c r="D6" s="12">
        <v>3</v>
      </c>
      <c r="E6" s="13">
        <v>3.5</v>
      </c>
      <c r="F6" s="14">
        <v>3.3793103448275863</v>
      </c>
      <c r="G6" s="17">
        <f t="shared" si="0"/>
        <v>-0.5</v>
      </c>
      <c r="H6" s="18">
        <f t="shared" si="0"/>
        <v>-0.3793103448275863</v>
      </c>
    </row>
    <row r="7" spans="1:8" x14ac:dyDescent="0.25">
      <c r="A7" s="9">
        <v>4</v>
      </c>
      <c r="B7" s="10" t="s">
        <v>9</v>
      </c>
      <c r="C7" s="11">
        <v>3</v>
      </c>
      <c r="D7" s="12">
        <v>5</v>
      </c>
      <c r="E7" s="13">
        <v>3.8095238095238093</v>
      </c>
      <c r="F7" s="14">
        <v>3.9473684210526314</v>
      </c>
      <c r="G7" s="17">
        <f t="shared" si="0"/>
        <v>-0.80952380952380931</v>
      </c>
      <c r="H7" s="18">
        <f t="shared" si="0"/>
        <v>1.0526315789473686</v>
      </c>
    </row>
    <row r="8" spans="1:8" x14ac:dyDescent="0.25">
      <c r="A8" s="9">
        <v>6</v>
      </c>
      <c r="B8" s="10" t="s">
        <v>10</v>
      </c>
      <c r="C8" s="11">
        <v>4</v>
      </c>
      <c r="D8" s="12">
        <v>4</v>
      </c>
      <c r="E8" s="13">
        <v>3.1176470588235294</v>
      </c>
      <c r="F8" s="14">
        <v>3.3125</v>
      </c>
      <c r="G8" s="17">
        <f t="shared" si="0"/>
        <v>0.88235294117647056</v>
      </c>
      <c r="H8" s="18">
        <f t="shared" si="0"/>
        <v>0.6875</v>
      </c>
    </row>
    <row r="9" spans="1:8" x14ac:dyDescent="0.25">
      <c r="A9" s="9">
        <v>8</v>
      </c>
      <c r="B9" s="10" t="s">
        <v>11</v>
      </c>
      <c r="C9" s="11">
        <v>2</v>
      </c>
      <c r="D9" s="12">
        <v>2</v>
      </c>
      <c r="E9" s="13">
        <v>2.6666666666666665</v>
      </c>
      <c r="F9" s="14">
        <v>2.7428571428571429</v>
      </c>
      <c r="G9" s="17">
        <f t="shared" si="0"/>
        <v>-0.66666666666666652</v>
      </c>
      <c r="H9" s="18">
        <f t="shared" si="0"/>
        <v>-0.74285714285714288</v>
      </c>
    </row>
    <row r="10" spans="1:8" x14ac:dyDescent="0.25">
      <c r="A10" s="9">
        <v>9</v>
      </c>
      <c r="B10" s="10" t="s">
        <v>12</v>
      </c>
      <c r="C10" s="11">
        <v>4</v>
      </c>
      <c r="D10" s="12">
        <v>5</v>
      </c>
      <c r="E10" s="13">
        <v>3.032258064516129</v>
      </c>
      <c r="F10" s="14">
        <v>3.3928571428571428</v>
      </c>
      <c r="G10" s="17">
        <f t="shared" si="0"/>
        <v>0.967741935483871</v>
      </c>
      <c r="H10" s="18">
        <f t="shared" si="0"/>
        <v>1.6071428571428572</v>
      </c>
    </row>
    <row r="11" spans="1:8" x14ac:dyDescent="0.25">
      <c r="A11" s="9" t="s">
        <v>13</v>
      </c>
      <c r="B11" s="10" t="s">
        <v>14</v>
      </c>
      <c r="C11" s="11">
        <v>4</v>
      </c>
      <c r="D11" s="12">
        <v>4</v>
      </c>
      <c r="E11" s="13">
        <v>3.2285714285714286</v>
      </c>
      <c r="F11" s="14">
        <v>3.0769230769230771</v>
      </c>
      <c r="G11" s="17">
        <f t="shared" si="0"/>
        <v>0.77142857142857135</v>
      </c>
      <c r="H11" s="18">
        <f t="shared" si="0"/>
        <v>0.92307692307692291</v>
      </c>
    </row>
    <row r="12" spans="1:8" x14ac:dyDescent="0.25">
      <c r="A12" s="9" t="s">
        <v>15</v>
      </c>
      <c r="B12" s="10" t="s">
        <v>14</v>
      </c>
      <c r="C12" s="11">
        <v>3</v>
      </c>
      <c r="D12" s="12">
        <v>4</v>
      </c>
      <c r="E12" s="13">
        <v>2.6578947368421053</v>
      </c>
      <c r="F12" s="14">
        <v>3.0769230769230771</v>
      </c>
      <c r="G12" s="17">
        <f t="shared" si="0"/>
        <v>0.34210526315789469</v>
      </c>
      <c r="H12" s="18">
        <f t="shared" si="0"/>
        <v>0.92307692307692291</v>
      </c>
    </row>
    <row r="13" spans="1:8" x14ac:dyDescent="0.25">
      <c r="A13" s="9" t="s">
        <v>16</v>
      </c>
      <c r="B13" s="10" t="s">
        <v>17</v>
      </c>
      <c r="C13" s="11">
        <v>3</v>
      </c>
      <c r="D13" s="12">
        <v>3</v>
      </c>
      <c r="E13" s="13">
        <v>2.5454545454545454</v>
      </c>
      <c r="F13" s="14">
        <v>2.9047619047619047</v>
      </c>
      <c r="G13" s="17">
        <f t="shared" si="0"/>
        <v>0.45454545454545459</v>
      </c>
      <c r="H13" s="18">
        <f t="shared" si="0"/>
        <v>9.5238095238095344E-2</v>
      </c>
    </row>
    <row r="14" spans="1:8" x14ac:dyDescent="0.25">
      <c r="A14" s="9" t="s">
        <v>18</v>
      </c>
      <c r="B14" s="10" t="s">
        <v>17</v>
      </c>
      <c r="C14" s="11">
        <v>2</v>
      </c>
      <c r="D14" s="12">
        <v>3</v>
      </c>
      <c r="E14" s="13">
        <v>2.5</v>
      </c>
      <c r="F14" s="14">
        <v>2.9047619047619047</v>
      </c>
      <c r="G14" s="17">
        <f t="shared" si="0"/>
        <v>-0.5</v>
      </c>
      <c r="H14" s="18">
        <f t="shared" si="0"/>
        <v>9.5238095238095344E-2</v>
      </c>
    </row>
    <row r="15" spans="1:8" x14ac:dyDescent="0.25">
      <c r="A15" s="19">
        <v>13</v>
      </c>
      <c r="B15" s="10" t="s">
        <v>19</v>
      </c>
      <c r="C15" s="11">
        <v>3</v>
      </c>
      <c r="D15" s="12">
        <v>3</v>
      </c>
      <c r="E15" s="13">
        <v>2.2051282051282053</v>
      </c>
      <c r="F15" s="14">
        <v>2.4210526315789473</v>
      </c>
      <c r="G15" s="17">
        <f t="shared" si="0"/>
        <v>0.79487179487179471</v>
      </c>
      <c r="H15" s="18">
        <f t="shared" si="0"/>
        <v>0.57894736842105265</v>
      </c>
    </row>
    <row r="16" spans="1:8" x14ac:dyDescent="0.25">
      <c r="A16" s="19">
        <v>14</v>
      </c>
      <c r="B16" s="10" t="s">
        <v>20</v>
      </c>
      <c r="C16" s="11">
        <v>1</v>
      </c>
      <c r="D16" s="12">
        <v>1</v>
      </c>
      <c r="E16" s="13">
        <v>2.1714285714285713</v>
      </c>
      <c r="F16" s="14">
        <v>2.7878787878787881</v>
      </c>
      <c r="G16" s="17">
        <f t="shared" si="0"/>
        <v>-1.1714285714285713</v>
      </c>
      <c r="H16" s="18">
        <f t="shared" si="0"/>
        <v>-1.7878787878787881</v>
      </c>
    </row>
    <row r="17" spans="1:8" x14ac:dyDescent="0.25">
      <c r="A17" s="19">
        <v>15</v>
      </c>
      <c r="B17" s="10" t="s">
        <v>21</v>
      </c>
      <c r="C17" s="11">
        <v>2</v>
      </c>
      <c r="D17" s="12">
        <v>2</v>
      </c>
      <c r="E17" s="13">
        <v>2.2307692307692308</v>
      </c>
      <c r="F17" s="14">
        <v>2.3157894736842106</v>
      </c>
      <c r="G17" s="17">
        <f t="shared" si="0"/>
        <v>-0.23076923076923084</v>
      </c>
      <c r="H17" s="18">
        <f t="shared" si="0"/>
        <v>-0.31578947368421062</v>
      </c>
    </row>
    <row r="18" spans="1:8" x14ac:dyDescent="0.25">
      <c r="A18" s="19">
        <v>16</v>
      </c>
      <c r="B18" s="10" t="s">
        <v>22</v>
      </c>
      <c r="C18" s="11">
        <v>2</v>
      </c>
      <c r="D18" s="12">
        <v>3</v>
      </c>
      <c r="E18" s="13">
        <v>2.0789473684210527</v>
      </c>
      <c r="F18" s="14">
        <v>2.736842105263158</v>
      </c>
      <c r="G18" s="17">
        <f t="shared" si="0"/>
        <v>-7.8947368421052655E-2</v>
      </c>
      <c r="H18" s="18">
        <f t="shared" si="0"/>
        <v>0.26315789473684204</v>
      </c>
    </row>
    <row r="19" spans="1:8" x14ac:dyDescent="0.25">
      <c r="A19" s="19">
        <v>17</v>
      </c>
      <c r="B19" s="10" t="s">
        <v>23</v>
      </c>
      <c r="C19" s="11">
        <v>3</v>
      </c>
      <c r="D19" s="12">
        <v>5</v>
      </c>
      <c r="E19" s="13">
        <v>2.4516129032258065</v>
      </c>
      <c r="F19" s="14">
        <v>2.8333333333333335</v>
      </c>
      <c r="G19" s="17">
        <f t="shared" si="0"/>
        <v>0.54838709677419351</v>
      </c>
      <c r="H19" s="18">
        <f t="shared" si="0"/>
        <v>2.1666666666666665</v>
      </c>
    </row>
    <row r="20" spans="1:8" x14ac:dyDescent="0.25">
      <c r="A20" s="19">
        <v>19</v>
      </c>
      <c r="B20" s="10" t="s">
        <v>24</v>
      </c>
      <c r="C20" s="11">
        <v>2</v>
      </c>
      <c r="D20" s="12">
        <v>3</v>
      </c>
      <c r="E20" s="13">
        <v>2.8157894736842106</v>
      </c>
      <c r="F20" s="14">
        <v>3.0857142857142859</v>
      </c>
      <c r="G20" s="17">
        <f t="shared" si="0"/>
        <v>-0.81578947368421062</v>
      </c>
      <c r="H20" s="18">
        <f t="shared" si="0"/>
        <v>-8.5714285714285854E-2</v>
      </c>
    </row>
    <row r="21" spans="1:8" x14ac:dyDescent="0.25">
      <c r="A21" s="19">
        <v>20</v>
      </c>
      <c r="B21" s="10" t="s">
        <v>25</v>
      </c>
      <c r="C21" s="11">
        <v>2</v>
      </c>
      <c r="D21" s="12">
        <v>3</v>
      </c>
      <c r="E21" s="13">
        <v>2.8333333333333335</v>
      </c>
      <c r="F21" s="14">
        <v>3.393939393939394</v>
      </c>
      <c r="G21" s="17">
        <f t="shared" si="0"/>
        <v>-0.83333333333333348</v>
      </c>
      <c r="H21" s="18">
        <f t="shared" si="0"/>
        <v>-0.39393939393939403</v>
      </c>
    </row>
    <row r="22" spans="1:8" x14ac:dyDescent="0.25">
      <c r="A22" s="19">
        <v>21</v>
      </c>
      <c r="B22" s="10" t="s">
        <v>26</v>
      </c>
      <c r="C22" s="11">
        <v>3</v>
      </c>
      <c r="D22" s="12">
        <v>3</v>
      </c>
      <c r="E22" s="13">
        <v>2.9696969696969697</v>
      </c>
      <c r="F22" s="14">
        <v>3.5555555555555554</v>
      </c>
      <c r="G22" s="17">
        <f t="shared" si="0"/>
        <v>3.0303030303030276E-2</v>
      </c>
      <c r="H22" s="18">
        <f t="shared" si="0"/>
        <v>-0.55555555555555536</v>
      </c>
    </row>
    <row r="23" spans="1:8" x14ac:dyDescent="0.25">
      <c r="A23" s="19">
        <v>22</v>
      </c>
      <c r="B23" s="10" t="s">
        <v>27</v>
      </c>
      <c r="C23" s="11">
        <v>3</v>
      </c>
      <c r="D23" s="12">
        <v>3</v>
      </c>
      <c r="E23" s="13">
        <v>2.96</v>
      </c>
      <c r="F23" s="14">
        <v>3.3043478260869565</v>
      </c>
      <c r="G23" s="17">
        <f t="shared" si="0"/>
        <v>4.0000000000000036E-2</v>
      </c>
      <c r="H23" s="18">
        <f t="shared" si="0"/>
        <v>-0.30434782608695654</v>
      </c>
    </row>
  </sheetData>
  <mergeCells count="1">
    <mergeCell ref="A1:H1"/>
  </mergeCells>
  <conditionalFormatting sqref="D4:D23">
    <cfRule type="cellIs" dxfId="3" priority="3" operator="lessThan">
      <formula>$C4</formula>
    </cfRule>
    <cfRule type="cellIs" dxfId="2" priority="4" operator="greaterThan">
      <formula>$C4</formula>
    </cfRule>
  </conditionalFormatting>
  <conditionalFormatting sqref="F4:F23">
    <cfRule type="cellIs" dxfId="1" priority="1" operator="lessThan">
      <formula>E4</formula>
    </cfRule>
    <cfRule type="cellIs" dxfId="0" priority="2" operator="greaterThan">
      <formula>E4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Newcastle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University of Newcastle</dc:creator>
  <cp:lastModifiedBy>Trudi Wynne</cp:lastModifiedBy>
  <dcterms:created xsi:type="dcterms:W3CDTF">2012-12-06T05:50:30Z</dcterms:created>
  <dcterms:modified xsi:type="dcterms:W3CDTF">2012-12-06T06:20:21Z</dcterms:modified>
</cp:coreProperties>
</file>