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480" yWindow="96" windowWidth="11352" windowHeight="7620" tabRatio="702"/>
  </bookViews>
  <sheets>
    <sheet name="CoverSheet" sheetId="14" r:id="rId1"/>
    <sheet name="Section D" sheetId="15" r:id="rId2"/>
    <sheet name="Section E" sheetId="16" r:id="rId3"/>
    <sheet name="Section F" sheetId="17" r:id="rId4"/>
    <sheet name="Section G" sheetId="18" r:id="rId5"/>
    <sheet name="Goal 1" sheetId="6" r:id="rId6"/>
    <sheet name="Goal 1 Notes" sheetId="7" state="hidden" r:id="rId7"/>
    <sheet name="Goal 2" sheetId="3" r:id="rId8"/>
    <sheet name="Goal 2 Notes" sheetId="10" state="hidden" r:id="rId9"/>
    <sheet name="Goal 3" sheetId="9" r:id="rId10"/>
    <sheet name="Goal 3 Notes" sheetId="11" state="hidden" r:id="rId11"/>
    <sheet name="Goal 4" sheetId="8" r:id="rId12"/>
    <sheet name="Goal 4 Notes" sheetId="12" state="hidden" r:id="rId13"/>
    <sheet name="Goal 5" sheetId="4" r:id="rId14"/>
    <sheet name="Goal 5 Notes" sheetId="13" state="hidden" r:id="rId15"/>
    <sheet name="Goal 6" sheetId="5" r:id="rId16"/>
    <sheet name="Goal 6 Notes" sheetId="2" state="hidden" r:id="rId17"/>
  </sheets>
  <definedNames>
    <definedName name="dropdown">'Section D'!$D$424:$D$433</definedName>
    <definedName name="_xlnm.Print_Area" localSheetId="5">'Goal 1'!$A$1:$I$98</definedName>
    <definedName name="_xlnm.Print_Area" localSheetId="6">'Goal 1 Notes'!$A$1:$J$53</definedName>
    <definedName name="_xlnm.Print_Area" localSheetId="7">'Goal 2'!$A$1:$I$69</definedName>
    <definedName name="_xlnm.Print_Area" localSheetId="8">'Goal 2 Notes'!$A$1:$J$53</definedName>
    <definedName name="_xlnm.Print_Area" localSheetId="9">'Goal 3'!$A$1:$H$35</definedName>
    <definedName name="_xlnm.Print_Area" localSheetId="10">'Goal 3 Notes'!$A$1:$J$54</definedName>
    <definedName name="_xlnm.Print_Area" localSheetId="11">'Goal 4'!$A$1:$H$37</definedName>
    <definedName name="_xlnm.Print_Area" localSheetId="12">'Goal 4 Notes'!$A$1:$J$54</definedName>
    <definedName name="_xlnm.Print_Area" localSheetId="13">'Goal 5'!$A$1:$H$34</definedName>
    <definedName name="_xlnm.Print_Area" localSheetId="14">'Goal 5 Notes'!$A$1:$J$53</definedName>
    <definedName name="_xlnm.Print_Area" localSheetId="15">'Goal 6'!$A$1:$J$112</definedName>
    <definedName name="_xlnm.Print_Area" localSheetId="16">'Goal 6 Notes'!$A$1:$J$53</definedName>
    <definedName name="_xlnm.Print_Area" localSheetId="1">'Section D'!$A$2:$O$88</definedName>
    <definedName name="_xlnm.Print_Area" localSheetId="2">'Section E'!$A$3:$J$52</definedName>
    <definedName name="_xlnm.Print_Area" localSheetId="3">'Section F'!$B$4:$L$147</definedName>
    <definedName name="_xlnm.Print_Area" localSheetId="4">'Section G'!$A$3:$O$81</definedName>
    <definedName name="_xlnm.Print_Titles" localSheetId="5">'Goal 1'!$5:$5</definedName>
    <definedName name="_xlnm.Print_Titles" localSheetId="7">'Goal 2'!$5:$5</definedName>
    <definedName name="_xlnm.Print_Titles" localSheetId="9">'Goal 3'!$5:$5</definedName>
    <definedName name="_xlnm.Print_Titles" localSheetId="11">'Goal 4'!$5:$6</definedName>
    <definedName name="_xlnm.Print_Titles" localSheetId="13">'Goal 5'!$5:$5</definedName>
    <definedName name="_xlnm.Print_Titles" localSheetId="15">'Goal 6'!$5:$5</definedName>
  </definedNames>
  <calcPr calcId="145621"/>
</workbook>
</file>

<file path=xl/calcChain.xml><?xml version="1.0" encoding="utf-8"?>
<calcChain xmlns="http://schemas.openxmlformats.org/spreadsheetml/2006/main">
  <c r="J135" i="17" l="1"/>
  <c r="J117" i="17"/>
  <c r="J100" i="17"/>
  <c r="J97" i="17"/>
  <c r="M20" i="18" l="1"/>
  <c r="E58" i="18"/>
  <c r="F32" i="18"/>
  <c r="E39" i="18"/>
  <c r="E33" i="18"/>
  <c r="D78" i="14" l="1"/>
  <c r="E5" i="18" l="1"/>
  <c r="I5" i="17"/>
  <c r="C4" i="16"/>
  <c r="D2" i="15"/>
  <c r="E72" i="18"/>
  <c r="M68" i="18"/>
  <c r="F63" i="18"/>
  <c r="F62" i="18"/>
  <c r="M61" i="18"/>
  <c r="M50" i="18"/>
  <c r="E49" i="18"/>
  <c r="M36" i="18"/>
  <c r="M28" i="18"/>
  <c r="E22" i="18"/>
  <c r="I12" i="18"/>
  <c r="L64" i="17"/>
  <c r="J64" i="17"/>
  <c r="L31" i="17"/>
  <c r="J31" i="17"/>
  <c r="J67" i="17" s="1"/>
  <c r="J144" i="17" s="1"/>
  <c r="E33" i="16"/>
  <c r="C2" i="5"/>
  <c r="C2" i="4"/>
  <c r="C2" i="8"/>
  <c r="C2" i="9"/>
  <c r="E2" i="3"/>
  <c r="E3" i="6"/>
  <c r="D67" i="14"/>
  <c r="I65" i="5"/>
  <c r="I24" i="6"/>
  <c r="I20" i="5"/>
  <c r="H35" i="8"/>
  <c r="G35" i="8"/>
  <c r="H94" i="6"/>
  <c r="H90" i="6"/>
  <c r="I18" i="6"/>
  <c r="I77" i="5"/>
  <c r="I76" i="5"/>
  <c r="I75" i="5"/>
  <c r="I73" i="5"/>
  <c r="I72" i="5"/>
  <c r="I71" i="5"/>
  <c r="I70" i="5"/>
  <c r="I69" i="5"/>
  <c r="I68" i="5"/>
  <c r="I67" i="5"/>
  <c r="I66" i="5"/>
  <c r="I64" i="5"/>
  <c r="I63" i="5"/>
  <c r="H97" i="6"/>
  <c r="H98" i="6"/>
  <c r="H75" i="6"/>
  <c r="H74" i="6"/>
  <c r="H73" i="6"/>
  <c r="H96" i="6"/>
  <c r="H93" i="6"/>
  <c r="H92" i="6"/>
  <c r="H91" i="6"/>
  <c r="H89" i="6"/>
  <c r="H88" i="6"/>
  <c r="H71" i="6"/>
  <c r="H70" i="6"/>
  <c r="H69" i="6"/>
  <c r="I17" i="6"/>
  <c r="I23" i="6"/>
  <c r="I22" i="6"/>
  <c r="I20" i="6"/>
  <c r="I19" i="6"/>
  <c r="L67" i="17" l="1"/>
  <c r="L144" i="17" s="1"/>
  <c r="J147" i="17"/>
</calcChain>
</file>

<file path=xl/comments1.xml><?xml version="1.0" encoding="utf-8"?>
<comments xmlns="http://schemas.openxmlformats.org/spreadsheetml/2006/main">
  <authors>
    <author>Jenae Bjelland</author>
  </authors>
  <commentList>
    <comment ref="B7" authorId="0">
      <text>
        <r>
          <rPr>
            <b/>
            <sz val="8"/>
            <color indexed="81"/>
            <rFont val="Tahoma"/>
            <family val="2"/>
          </rPr>
          <t>Please include all FY 11 &amp; FY 12 funds expended during the 12 month period covered by this report, this will include CSBG Discretionary grants received.</t>
        </r>
        <r>
          <rPr>
            <sz val="8"/>
            <color indexed="81"/>
            <rFont val="Tahoma"/>
            <family val="2"/>
          </rPr>
          <t xml:space="preserve">
</t>
        </r>
      </text>
    </comment>
  </commentList>
</comments>
</file>

<file path=xl/comments2.xml><?xml version="1.0" encoding="utf-8"?>
<comments xmlns="http://schemas.openxmlformats.org/spreadsheetml/2006/main">
  <authors>
    <author xml:space="preserve"> </author>
  </authors>
  <commentList>
    <comment ref="F53" authorId="0">
      <text>
        <r>
          <rPr>
            <b/>
            <sz val="8"/>
            <color indexed="81"/>
            <rFont val="Tahoma"/>
            <family val="2"/>
          </rPr>
          <t>This item only applies to individuals aged 24 or older</t>
        </r>
        <r>
          <rPr>
            <sz val="8"/>
            <color indexed="81"/>
            <rFont val="Tahoma"/>
            <family val="2"/>
          </rPr>
          <t xml:space="preserve">
</t>
        </r>
      </text>
    </comment>
    <comment ref="E69" authorId="0">
      <text>
        <r>
          <rPr>
            <b/>
            <sz val="8"/>
            <color indexed="81"/>
            <rFont val="Tahoma"/>
            <family val="2"/>
          </rPr>
          <t xml:space="preserve"> : </t>
        </r>
        <r>
          <rPr>
            <sz val="8"/>
            <color indexed="81"/>
            <rFont val="Tahoma"/>
            <family val="2"/>
          </rPr>
          <t>This Number will automactly populate Cell 13A</t>
        </r>
      </text>
    </comment>
  </commentList>
</comments>
</file>

<file path=xl/sharedStrings.xml><?xml version="1.0" encoding="utf-8"?>
<sst xmlns="http://schemas.openxmlformats.org/spreadsheetml/2006/main" count="1286" uniqueCount="1080">
  <si>
    <t>Employment</t>
  </si>
  <si>
    <t xml:space="preserve">Participants </t>
  </si>
  <si>
    <t xml:space="preserve">Enrolled in </t>
  </si>
  <si>
    <t>(#)</t>
  </si>
  <si>
    <t>(Target)</t>
  </si>
  <si>
    <t xml:space="preserve">Period </t>
  </si>
  <si>
    <t xml:space="preserve">Reporting </t>
  </si>
  <si>
    <t>Outcome in</t>
  </si>
  <si>
    <t>Achieve</t>
  </si>
  <si>
    <t xml:space="preserve">Achieving </t>
  </si>
  <si>
    <t>Participants</t>
  </si>
  <si>
    <t>(%)</t>
  </si>
  <si>
    <t>National Performance Indicator 1.2</t>
  </si>
  <si>
    <t xml:space="preserve">Employment Supports </t>
  </si>
  <si>
    <t>are reduced or eliminated through assistance from</t>
  </si>
  <si>
    <t xml:space="preserve">the following: </t>
  </si>
  <si>
    <t>Program(s)</t>
  </si>
  <si>
    <t xml:space="preserve">In the rows below, please include any additional indicators that were not captured above.  </t>
  </si>
  <si>
    <t>National Performance</t>
  </si>
  <si>
    <t>Economic Asset Enhancement</t>
  </si>
  <si>
    <t>and Utilization</t>
  </si>
  <si>
    <t xml:space="preserve">The number and percentage of </t>
  </si>
  <si>
    <t xml:space="preserve">achieve an increase in financial </t>
  </si>
  <si>
    <t xml:space="preserve">assets and/or financial skills as a </t>
  </si>
  <si>
    <t xml:space="preserve">assistance, and the aggregated </t>
  </si>
  <si>
    <t xml:space="preserve">amount of those assets and </t>
  </si>
  <si>
    <t xml:space="preserve">following: </t>
  </si>
  <si>
    <t>($)</t>
  </si>
  <si>
    <t xml:space="preserve">Outcome in </t>
  </si>
  <si>
    <t xml:space="preserve">Achieve </t>
  </si>
  <si>
    <t>Reporting</t>
  </si>
  <si>
    <t>Savings)</t>
  </si>
  <si>
    <t xml:space="preserve">National Performance </t>
  </si>
  <si>
    <t>Enrolled in</t>
  </si>
  <si>
    <t>Expected to</t>
  </si>
  <si>
    <t>(Payments,</t>
  </si>
  <si>
    <t>resources for all participants</t>
  </si>
  <si>
    <t xml:space="preserve">achieving the outcome, as </t>
  </si>
  <si>
    <t>In the rows below, please include any additional indicators that were not captured above.</t>
  </si>
  <si>
    <t xml:space="preserve">National Performance Indicators - Agency Level Forms </t>
  </si>
  <si>
    <t xml:space="preserve">Goal 2: The conditions in which low-income people live are improved.  </t>
  </si>
  <si>
    <t>National Performance Indicator 2.1</t>
  </si>
  <si>
    <t>Community Improvement and Revitalization</t>
  </si>
  <si>
    <t>Resources</t>
  </si>
  <si>
    <t xml:space="preserve">In the rows below, please include any additional indicators that were not captured above. </t>
  </si>
  <si>
    <t>National Performance Indicator 2.2</t>
  </si>
  <si>
    <t xml:space="preserve">Community Quality of Life and Assets  </t>
  </si>
  <si>
    <t xml:space="preserve">Participation </t>
  </si>
  <si>
    <t xml:space="preserve">The number low-income people mobilized as a direct </t>
  </si>
  <si>
    <t xml:space="preserve">that support and promote their own well-being and that of </t>
  </si>
  <si>
    <t>National Performance Indicator 4.1</t>
  </si>
  <si>
    <t>Community-Wide Partnerships</t>
  </si>
  <si>
    <t>Partnerships</t>
  </si>
  <si>
    <t>The number of organizations, both public and private,</t>
  </si>
  <si>
    <t xml:space="preserve">resources and opportunities in order to achieve family </t>
  </si>
  <si>
    <t>National Performance Indicator 5.1</t>
  </si>
  <si>
    <t>National Performance Indicator 6.1</t>
  </si>
  <si>
    <t>Independent Living</t>
  </si>
  <si>
    <t>Living</t>
  </si>
  <si>
    <t>Independently</t>
  </si>
  <si>
    <t>National Performance Indicator 6.2</t>
  </si>
  <si>
    <t>Assistance</t>
  </si>
  <si>
    <t>National Performance Indicator 6.3</t>
  </si>
  <si>
    <t xml:space="preserve">Child and Family Development </t>
  </si>
  <si>
    <t>The number and percentage of all infants,</t>
  </si>
  <si>
    <t>children, youth, parents, and other adults</t>
  </si>
  <si>
    <t xml:space="preserve">participating in developmental or </t>
  </si>
  <si>
    <t>The number and percentage of low-income</t>
  </si>
  <si>
    <t>Period</t>
  </si>
  <si>
    <t>N/A</t>
  </si>
  <si>
    <t xml:space="preserve">improved by Community Action initiative or advocacy, as </t>
  </si>
  <si>
    <t xml:space="preserve">result of Community Action initiative to engage in activities </t>
  </si>
  <si>
    <t>that Community Action actively works with to expand</t>
  </si>
  <si>
    <t xml:space="preserve">The number of vulnerable individuals receiving services from Community Action </t>
  </si>
  <si>
    <t xml:space="preserve">enrichment programs who achieve </t>
  </si>
  <si>
    <r>
      <t>Indicator 1.3</t>
    </r>
    <r>
      <rPr>
        <b/>
        <sz val="10"/>
        <rFont val="Arial"/>
        <family val="2"/>
      </rPr>
      <t xml:space="preserve"> (Continued)</t>
    </r>
  </si>
  <si>
    <t>National Performance Indicator 1.1</t>
  </si>
  <si>
    <t xml:space="preserve"> Outcome in</t>
  </si>
  <si>
    <t xml:space="preserve">Reporting  </t>
  </si>
  <si>
    <r>
      <t>one or more</t>
    </r>
    <r>
      <rPr>
        <sz val="10"/>
        <rFont val="Arial"/>
        <family val="2"/>
      </rPr>
      <t xml:space="preserve"> of the following: </t>
    </r>
  </si>
  <si>
    <t xml:space="preserve">A.  Unemployed and obtained a job </t>
  </si>
  <si>
    <t>The conditions in which low-income people live are improved.</t>
  </si>
  <si>
    <t>Low-income people become more self-sufficient.</t>
  </si>
  <si>
    <t>(Actual)</t>
  </si>
  <si>
    <t xml:space="preserve"> </t>
  </si>
  <si>
    <t>Indicator 1.3</t>
  </si>
  <si>
    <t>Agencies increase their capacity to achieve results.</t>
  </si>
  <si>
    <t xml:space="preserve">Low-income people own stake in their community.  </t>
  </si>
  <si>
    <t xml:space="preserve">Partnerships among supporters and providers of services </t>
  </si>
  <si>
    <t xml:space="preserve">to low-income people are achieved. </t>
  </si>
  <si>
    <t>Community Assets,</t>
  </si>
  <si>
    <t>Facilities Preserved</t>
  </si>
  <si>
    <t>or Increased</t>
  </si>
  <si>
    <t>and/or Community</t>
  </si>
  <si>
    <t>Low-Income</t>
  </si>
  <si>
    <t xml:space="preserve"> People</t>
  </si>
  <si>
    <t xml:space="preserve">The number of volunteer hours donated to Community Action. </t>
  </si>
  <si>
    <t xml:space="preserve">who maintain an independent living situation as a result of those services: </t>
  </si>
  <si>
    <t>Emergency Assistance</t>
  </si>
  <si>
    <t xml:space="preserve">Agency Notes and Clarifications on Goal 1: </t>
  </si>
  <si>
    <t xml:space="preserve">Agency Notes and Clarifications on Goal 2: </t>
  </si>
  <si>
    <t xml:space="preserve">Agency Notes and Clarifications on Goal 3: </t>
  </si>
  <si>
    <t xml:space="preserve">Agency Notes and Clarifications on Goal 4: </t>
  </si>
  <si>
    <t xml:space="preserve">Agency Notes and Clarifications on Goal 5: </t>
  </si>
  <si>
    <t xml:space="preserve">Agency Notes and Clarifications on Goal 6:  </t>
  </si>
  <si>
    <r>
      <t>measured by</t>
    </r>
    <r>
      <rPr>
        <sz val="10"/>
        <rFont val="Arial"/>
        <family val="2"/>
      </rPr>
      <t xml:space="preserve"> </t>
    </r>
    <r>
      <rPr>
        <u/>
        <sz val="10"/>
        <rFont val="Arial"/>
        <family val="2"/>
      </rPr>
      <t>one or more</t>
    </r>
    <r>
      <rPr>
        <sz val="10"/>
        <rFont val="Arial"/>
        <family val="2"/>
      </rPr>
      <t xml:space="preserve"> of the </t>
    </r>
  </si>
  <si>
    <t>0-17</t>
  </si>
  <si>
    <t>18-54</t>
  </si>
  <si>
    <t>55-over</t>
  </si>
  <si>
    <t>C. Emergency Rent or Mortgage Assistance</t>
  </si>
  <si>
    <t xml:space="preserve">F. Emergency Medical Care </t>
  </si>
  <si>
    <t>Family Supports (Seniors, Disabled and Caregivers)</t>
  </si>
  <si>
    <t>B.  Employed and maintained a job for at least 90 days</t>
  </si>
  <si>
    <t>Service Counts</t>
  </si>
  <si>
    <t>Services</t>
  </si>
  <si>
    <t xml:space="preserve">The number of community members working with </t>
  </si>
  <si>
    <t>Community Engagement</t>
  </si>
  <si>
    <t>B.  Number of volunteer hours donated to the agency (This will be ALL volunteer hours)</t>
  </si>
  <si>
    <t>Community Action to improve conditions in the community.</t>
  </si>
  <si>
    <t>Community Enhancement through Maximum Feasible Participation</t>
  </si>
  <si>
    <t>Community</t>
  </si>
  <si>
    <t>Agency Development</t>
  </si>
  <si>
    <t>Agency</t>
  </si>
  <si>
    <t>Community Action who sought emergency assistance</t>
  </si>
  <si>
    <t>The number of low-income individuals served by</t>
  </si>
  <si>
    <t>and the number of those individuals for whom</t>
  </si>
  <si>
    <t xml:space="preserve">assistance was provided, including such services as: </t>
  </si>
  <si>
    <t>of Individuals</t>
  </si>
  <si>
    <t>A. Enrolled children in before or after school programs</t>
  </si>
  <si>
    <t>C. Obtained access to reliable transportation and/or driver's license</t>
  </si>
  <si>
    <t xml:space="preserve">D. Obtained health care services for themselves or family member </t>
  </si>
  <si>
    <t xml:space="preserve">Community Empowerment through Maximum Feasible </t>
  </si>
  <si>
    <t xml:space="preserve">family stability are reduced or eliminated, as measured by </t>
  </si>
  <si>
    <t xml:space="preserve">Low-income people who are unable to work, especially seniors, </t>
  </si>
  <si>
    <t>adults with disabilities, and caregivers, for whom barriers to</t>
  </si>
  <si>
    <t>for low-income people in the community as a result of Community Action projects/initiatives</t>
  </si>
  <si>
    <t xml:space="preserve">The quality of life and assets in low-income neighborhoods are </t>
  </si>
  <si>
    <t xml:space="preserve">The number of human capital resources available to </t>
  </si>
  <si>
    <t xml:space="preserve">Community Action that increase agency capacity to </t>
  </si>
  <si>
    <t xml:space="preserve">achieve family and community outcomes, as measured </t>
  </si>
  <si>
    <t>B. Obtained care for child or other dependant</t>
  </si>
  <si>
    <t xml:space="preserve">Goal 3: Low-income people own a stake in their community.  </t>
  </si>
  <si>
    <t>The number of low-income participants for whom</t>
  </si>
  <si>
    <t>C.  Safe and affordable housing units created in the community</t>
  </si>
  <si>
    <r>
      <t xml:space="preserve">In the rows below, please add other types of partners with which your CAA has formed relationships that were not captured above.  </t>
    </r>
    <r>
      <rPr>
        <i/>
        <sz val="10"/>
        <rFont val="Arial"/>
        <family val="2"/>
      </rPr>
      <t>Please describe these partnerships in Goal 4 Notes.</t>
    </r>
    <r>
      <rPr>
        <sz val="10"/>
        <rFont val="Arial"/>
        <family val="2"/>
      </rPr>
      <t xml:space="preserve">  </t>
    </r>
  </si>
  <si>
    <t>The number of services provided to low-income individuals and/or families,</t>
  </si>
  <si>
    <t>Advocacy Efforts</t>
  </si>
  <si>
    <t>Contribution by</t>
  </si>
  <si>
    <t>Achieving</t>
  </si>
  <si>
    <r>
      <t xml:space="preserve">Community Action, as measured by </t>
    </r>
    <r>
      <rPr>
        <u/>
        <sz val="10"/>
        <rFont val="Arial"/>
        <family val="2"/>
      </rPr>
      <t>one or more</t>
    </r>
    <r>
      <rPr>
        <sz val="10"/>
        <rFont val="Arial"/>
        <family val="2"/>
      </rPr>
      <t xml:space="preserve"> of </t>
    </r>
  </si>
  <si>
    <r>
      <t xml:space="preserve">or advocacy with other public and private agencies, as measured by </t>
    </r>
    <r>
      <rPr>
        <u/>
        <sz val="10"/>
        <rFont val="Arial"/>
        <family val="2"/>
      </rPr>
      <t>one or more</t>
    </r>
    <r>
      <rPr>
        <sz val="10"/>
        <rFont val="Arial"/>
        <family val="2"/>
      </rPr>
      <t xml:space="preserve"> of the following:</t>
    </r>
  </si>
  <si>
    <r>
      <t xml:space="preserve">measured by </t>
    </r>
    <r>
      <rPr>
        <u/>
        <sz val="10"/>
        <rFont val="Arial"/>
        <family val="2"/>
      </rPr>
      <t>one or more</t>
    </r>
    <r>
      <rPr>
        <sz val="10"/>
        <rFont val="Arial"/>
        <family val="2"/>
      </rPr>
      <t xml:space="preserve"> of the following:</t>
    </r>
  </si>
  <si>
    <r>
      <t xml:space="preserve">their community, as measured by </t>
    </r>
    <r>
      <rPr>
        <u/>
        <sz val="10"/>
        <rFont val="Arial"/>
        <family val="2"/>
      </rPr>
      <t>one or more</t>
    </r>
    <r>
      <rPr>
        <sz val="10"/>
        <rFont val="Arial"/>
        <family val="2"/>
      </rPr>
      <t xml:space="preserve"> of the following: </t>
    </r>
  </si>
  <si>
    <r>
      <t xml:space="preserve">program goals, as measured by </t>
    </r>
    <r>
      <rPr>
        <u/>
        <sz val="10"/>
        <rFont val="Arial"/>
        <family val="2"/>
      </rPr>
      <t>one or</t>
    </r>
  </si>
  <si>
    <r>
      <rPr>
        <u/>
        <sz val="10"/>
        <rFont val="Arial"/>
        <family val="2"/>
      </rPr>
      <t>one or more</t>
    </r>
    <r>
      <rPr>
        <sz val="10"/>
        <rFont val="Arial"/>
        <family val="2"/>
      </rPr>
      <t xml:space="preserve"> of the following:</t>
    </r>
  </si>
  <si>
    <r>
      <t xml:space="preserve">as measured by </t>
    </r>
    <r>
      <rPr>
        <u/>
        <sz val="10"/>
        <rFont val="Arial"/>
        <family val="2"/>
      </rPr>
      <t>one or more</t>
    </r>
    <r>
      <rPr>
        <sz val="10"/>
        <rFont val="Arial"/>
        <family val="2"/>
      </rPr>
      <t xml:space="preserve"> of the following:</t>
    </r>
  </si>
  <si>
    <t xml:space="preserve">A.  Obtained skills/competencies required for employment </t>
  </si>
  <si>
    <t>B.  Completed ABE/GED and received certificate or diploma</t>
  </si>
  <si>
    <t>D.  Enrolled children in before or after school programs</t>
  </si>
  <si>
    <t>E.  Obtained care for child or other dependant</t>
  </si>
  <si>
    <t>F.  Obtained access to reliable transportation and/or driver's license</t>
  </si>
  <si>
    <t xml:space="preserve">G.  Obtained health care services for themselves or family member </t>
  </si>
  <si>
    <t>barriers to initial or continuous employment</t>
  </si>
  <si>
    <t xml:space="preserve">low-income households that </t>
  </si>
  <si>
    <t>result of Community Action</t>
  </si>
  <si>
    <t>Increase in, or safeguarding of, threatened opportunities and community resources or services</t>
  </si>
  <si>
    <t>National Performance Indicator 3.2</t>
  </si>
  <si>
    <t xml:space="preserve">Expanding Opportunities through </t>
  </si>
  <si>
    <r>
      <t xml:space="preserve">In the rows below, please include any additional indicators that were not captured above. </t>
    </r>
    <r>
      <rPr>
        <i/>
        <sz val="10"/>
        <rFont val="Arial"/>
        <family val="2"/>
      </rPr>
      <t xml:space="preserve">Please describe these measures in Goal 5 Notes.  </t>
    </r>
  </si>
  <si>
    <t xml:space="preserve">potential by strengthening family and other supportive environments. </t>
  </si>
  <si>
    <t xml:space="preserve">Low-income people, especially vulnerable populations, achieve their </t>
  </si>
  <si>
    <t xml:space="preserve">Goal 1: Low-income people become more self-sufficient. </t>
  </si>
  <si>
    <t>in</t>
  </si>
  <si>
    <t>J.  Obtained non-emergency LIHEAP energy assistance</t>
  </si>
  <si>
    <t>K.  Obtained non-emergency WX energy assistance</t>
  </si>
  <si>
    <t>G. Obtained non-emergency LIHEAP energy assistance</t>
  </si>
  <si>
    <t>H. Obtained non-emergency WX energy assistance</t>
  </si>
  <si>
    <t>F. Obtained food assistance</t>
  </si>
  <si>
    <t>I.   Obtained food assistance</t>
  </si>
  <si>
    <t>Seeking</t>
  </si>
  <si>
    <t>Receiving</t>
  </si>
  <si>
    <t>Vulnerable</t>
  </si>
  <si>
    <t>Individuals</t>
  </si>
  <si>
    <t>Volunteer Hours</t>
  </si>
  <si>
    <t>Projects or</t>
  </si>
  <si>
    <t>Initiatives</t>
  </si>
  <si>
    <t>Opportunities</t>
  </si>
  <si>
    <t>Preserved or</t>
  </si>
  <si>
    <t>Increased</t>
  </si>
  <si>
    <t>Program</t>
  </si>
  <si>
    <t>Initiatives or</t>
  </si>
  <si>
    <t xml:space="preserve"> Services or</t>
  </si>
  <si>
    <t>Dollar</t>
  </si>
  <si>
    <t>Amounts</t>
  </si>
  <si>
    <t>Credits, or</t>
  </si>
  <si>
    <t xml:space="preserve">and community outcomes. </t>
  </si>
  <si>
    <t>A.  Food Boxes</t>
  </si>
  <si>
    <t>B.  Pounds of Food</t>
  </si>
  <si>
    <t>C.  Units of Clothing</t>
  </si>
  <si>
    <t>D.  Rides Provided</t>
  </si>
  <si>
    <t>E.  Information and Referral Calls</t>
  </si>
  <si>
    <r>
      <t>A. Emergency Food</t>
    </r>
    <r>
      <rPr>
        <sz val="10"/>
        <rFont val="Arial"/>
        <family val="2"/>
      </rPr>
      <t xml:space="preserve"> </t>
    </r>
  </si>
  <si>
    <t>E. Emergency Temporary Shelter</t>
  </si>
  <si>
    <t>G. Emergency Protection from Violence</t>
  </si>
  <si>
    <t>H. Emergency Legal Assistance</t>
  </si>
  <si>
    <t>J. Emergency Disaster Relief</t>
  </si>
  <si>
    <t>K. Emergency Clothing</t>
  </si>
  <si>
    <t>I.  Emergency Transportation</t>
  </si>
  <si>
    <t>Jobs</t>
  </si>
  <si>
    <t xml:space="preserve">A.  Jobs created at least in part by ARRA funds </t>
  </si>
  <si>
    <t>B.  Jobs saved at least in part by ARRA funds</t>
  </si>
  <si>
    <t>The total number of jobs created or saved,</t>
  </si>
  <si>
    <r>
      <t xml:space="preserve">by </t>
    </r>
    <r>
      <rPr>
        <u/>
        <sz val="10"/>
        <rFont val="Arial"/>
        <family val="2"/>
      </rPr>
      <t>one or more</t>
    </r>
    <r>
      <rPr>
        <sz val="10"/>
        <rFont val="Arial"/>
        <family val="2"/>
      </rPr>
      <t xml:space="preserve"> of the following:</t>
    </r>
  </si>
  <si>
    <t>at least in part by ARRA funds, in the community.</t>
  </si>
  <si>
    <t>Employment Growth from ARRA Funds</t>
  </si>
  <si>
    <t xml:space="preserve">National Performance Indicator 3.1 </t>
  </si>
  <si>
    <t xml:space="preserve">National Performance Indicator 2.4 </t>
  </si>
  <si>
    <t xml:space="preserve">National Performance Indicator 2.3 </t>
  </si>
  <si>
    <t xml:space="preserve">National Performance Indicator 6.4  </t>
  </si>
  <si>
    <t xml:space="preserve">National Performance Indicator 6.5 </t>
  </si>
  <si>
    <t xml:space="preserve">H.  Obtained and/or maintained safe and affordable housing </t>
  </si>
  <si>
    <t xml:space="preserve">E. Obtained and/or maintained safe and affordable housing </t>
  </si>
  <si>
    <t>I.) Number of</t>
  </si>
  <si>
    <t>II.) Number of</t>
  </si>
  <si>
    <t>III.) Number of</t>
  </si>
  <si>
    <t>IV.) Percentage</t>
  </si>
  <si>
    <t>participants who get a job or become</t>
  </si>
  <si>
    <t>self-employed, as a result of Community</t>
  </si>
  <si>
    <t xml:space="preserve">Action Assistance, as measured by </t>
  </si>
  <si>
    <t>V.) Aggregated</t>
  </si>
  <si>
    <t>I. ) Number of</t>
  </si>
  <si>
    <t>I.) Total</t>
  </si>
  <si>
    <t>I.) Total Number of</t>
  </si>
  <si>
    <t>Organizations</t>
  </si>
  <si>
    <t>B. Faith Based</t>
  </si>
  <si>
    <t>C. Local Government</t>
  </si>
  <si>
    <t>D. State Government</t>
  </si>
  <si>
    <t>E. Federal Government</t>
  </si>
  <si>
    <t>F. For-Profit Business or Corporation</t>
  </si>
  <si>
    <t>G. Consortiums/Collaboration</t>
  </si>
  <si>
    <t>H. Housing Consortiums/Collaboration</t>
  </si>
  <si>
    <t>I.) Resources</t>
  </si>
  <si>
    <t>B. Number of Nationally Certified ROMA Trainers</t>
  </si>
  <si>
    <t>C. Number of Family Development Certified Staff</t>
  </si>
  <si>
    <t>Age Unknown</t>
  </si>
  <si>
    <t>I.) Number</t>
  </si>
  <si>
    <t>II.) Number</t>
  </si>
  <si>
    <t xml:space="preserve">I.) Number of </t>
  </si>
  <si>
    <t xml:space="preserve">II.) Number of </t>
  </si>
  <si>
    <t xml:space="preserve">III.) Number of </t>
  </si>
  <si>
    <t xml:space="preserve">IV.) Percentage </t>
  </si>
  <si>
    <t>[ III/ II = IV]</t>
  </si>
  <si>
    <t>[ III / II = IV]</t>
  </si>
  <si>
    <t xml:space="preserve">  [ III / II = IV ]</t>
  </si>
  <si>
    <t>I.  School Districts</t>
  </si>
  <si>
    <t>J.  Institutions of post secondary education/training</t>
  </si>
  <si>
    <t>D. Number of Child Development Certified Staff</t>
  </si>
  <si>
    <t>E. Number of staff attending trainings</t>
  </si>
  <si>
    <t>F. Number of board members attending trainings</t>
  </si>
  <si>
    <r>
      <t xml:space="preserve">G. </t>
    </r>
    <r>
      <rPr>
        <b/>
        <i/>
        <sz val="10"/>
        <rFont val="Arial"/>
        <family val="2"/>
      </rPr>
      <t>Hours</t>
    </r>
    <r>
      <rPr>
        <b/>
        <sz val="10"/>
        <rFont val="Arial"/>
        <family val="2"/>
      </rPr>
      <t xml:space="preserve"> </t>
    </r>
    <r>
      <rPr>
        <sz val="10"/>
        <rFont val="Arial"/>
        <family val="2"/>
      </rPr>
      <t>of staff in trainings</t>
    </r>
  </si>
  <si>
    <r>
      <t xml:space="preserve">H. </t>
    </r>
    <r>
      <rPr>
        <b/>
        <i/>
        <sz val="10"/>
        <rFont val="Arial"/>
        <family val="2"/>
      </rPr>
      <t>Hours</t>
    </r>
    <r>
      <rPr>
        <b/>
        <sz val="10"/>
        <rFont val="Arial"/>
        <family val="2"/>
      </rPr>
      <t xml:space="preserve"> </t>
    </r>
    <r>
      <rPr>
        <sz val="10"/>
        <rFont val="Arial"/>
        <family val="2"/>
      </rPr>
      <t>of board members in trainings</t>
    </r>
  </si>
  <si>
    <r>
      <t xml:space="preserve">TOTAL Individuals with disabilities </t>
    </r>
    <r>
      <rPr>
        <b/>
        <i/>
        <sz val="10"/>
        <rFont val="Arial"/>
        <family val="2"/>
      </rPr>
      <t>(automatically calculates)</t>
    </r>
  </si>
  <si>
    <r>
      <rPr>
        <u/>
        <sz val="10"/>
        <rFont val="Arial"/>
        <family val="2"/>
      </rPr>
      <t>more</t>
    </r>
    <r>
      <rPr>
        <sz val="10"/>
        <rFont val="Arial"/>
        <family val="2"/>
      </rPr>
      <t xml:space="preserve"> of the following:</t>
    </r>
  </si>
  <si>
    <t>A. Nonprofit</t>
  </si>
  <si>
    <t xml:space="preserve">A. Number of Certified Community Action Professionals </t>
  </si>
  <si>
    <t>K. Financial/Banking Institutions</t>
  </si>
  <si>
    <t>L. Health Service Institutions</t>
  </si>
  <si>
    <t>M. State wide associations or collaborations</t>
  </si>
  <si>
    <t>I.) Number of Participants Enrolled in Program(s)</t>
  </si>
  <si>
    <t>II.) Number of Participants Expected to Achieve Outcome in Reporting Period (Target)</t>
  </si>
  <si>
    <t>IV.) Percentage Achieving Outcome in Reporting Period [III / II = IV]</t>
  </si>
  <si>
    <t xml:space="preserve">D.  Achieved "living wage" employment and/or benefits </t>
  </si>
  <si>
    <t>C.  Employed and obtained an increase in employment income and/or benefits</t>
  </si>
  <si>
    <t xml:space="preserve">C.  Completed post-secondary education program and obtained certificate or diploma </t>
  </si>
  <si>
    <t>L.  Obtained other non-emergency energy assistance (State/local/private energy programs. Do Not Include LIHEAP or WX)</t>
  </si>
  <si>
    <t xml:space="preserve">A.  Jobs created, or saved, from reduction or elimination in the community </t>
  </si>
  <si>
    <t>1.1 A</t>
  </si>
  <si>
    <t>1.1 B</t>
  </si>
  <si>
    <t>1.1 C</t>
  </si>
  <si>
    <t>1.1 D</t>
  </si>
  <si>
    <t>1.1 new 1</t>
  </si>
  <si>
    <t>1.1 new 2</t>
  </si>
  <si>
    <t>1.1 new 3</t>
  </si>
  <si>
    <t>1.2 A</t>
  </si>
  <si>
    <t>1.2 B</t>
  </si>
  <si>
    <t>1.2 C</t>
  </si>
  <si>
    <t>1.2 D</t>
  </si>
  <si>
    <t>1.2 E</t>
  </si>
  <si>
    <t>1.2 F</t>
  </si>
  <si>
    <t>1.2 G</t>
  </si>
  <si>
    <t>1.2 H</t>
  </si>
  <si>
    <t>1.2 I</t>
  </si>
  <si>
    <t>1.2 J</t>
  </si>
  <si>
    <t>1.2 K</t>
  </si>
  <si>
    <t>1.2 L</t>
  </si>
  <si>
    <t>1.2 new 1</t>
  </si>
  <si>
    <t>1.2 new 2</t>
  </si>
  <si>
    <t>1.2 new 3</t>
  </si>
  <si>
    <t xml:space="preserve">A. Number and percent of participants in tax preparation programs who qualified for any type of Federal or State tax credit and the expected aggregated dollar  of credits amount </t>
  </si>
  <si>
    <t>ENHANCEMENT</t>
  </si>
  <si>
    <t xml:space="preserve">C. Number and percent of participants who were enrolled in telephone lifeline and/or energy discounts with the assistance of the agency and the expected aggregated dollar amount of savings </t>
  </si>
  <si>
    <t>1.3E A</t>
  </si>
  <si>
    <t>1.3E B</t>
  </si>
  <si>
    <t>1.3E C</t>
  </si>
  <si>
    <t>1.3E new 1</t>
  </si>
  <si>
    <t>1.3E new 2</t>
  </si>
  <si>
    <t>1.3E new 3</t>
  </si>
  <si>
    <t xml:space="preserve">D.  Number and percent of participants demonstrating  ability to complete and maintain a budget for over 90 days  </t>
  </si>
  <si>
    <t xml:space="preserve">E.  Number and percent of participants opening an Individual Development Account (IDA) or other savings account  </t>
  </si>
  <si>
    <t>F.  Number and percent of participants who increased their savings through IDA or other savings accounts and the aggregated amount of savings</t>
  </si>
  <si>
    <t>G.  Number and percent of participants capitalizing a small business with accumulated IDA or other savings</t>
  </si>
  <si>
    <t xml:space="preserve">H.  Number and percent of participants pursuing post-secondary education with accumulated IDA or other savings </t>
  </si>
  <si>
    <t xml:space="preserve">I.  Number and percent of participants purchasing a home with accumulated IDA or other savings </t>
  </si>
  <si>
    <t>J.  Number and percent of participants purchasing other assets with accumulated IDA or other savings</t>
  </si>
  <si>
    <t xml:space="preserve">B. Number and percent of participants who obtained court-ordered child support payments and the expected annual aggregated dollar amount of payments </t>
  </si>
  <si>
    <t>UTILIZATION</t>
  </si>
  <si>
    <t>1.3U D</t>
  </si>
  <si>
    <t>1.3U E</t>
  </si>
  <si>
    <t>1.3U F</t>
  </si>
  <si>
    <t>1.3U G</t>
  </si>
  <si>
    <t>1.3U H</t>
  </si>
  <si>
    <t>1.3U I</t>
  </si>
  <si>
    <t>1.3U J</t>
  </si>
  <si>
    <t>1.3U new 1</t>
  </si>
  <si>
    <t>1.3U new 2</t>
  </si>
  <si>
    <t>1.3U new 3</t>
  </si>
  <si>
    <t xml:space="preserve">B.  Accessible "living wage" jobs created, or saved, from reduction or elimination in the community </t>
  </si>
  <si>
    <t xml:space="preserve">D.  Safe and affordable housing units in the community preserved or improved through construction, weatherization or rehabilitation achieved byCommunity Action activity or advocacy </t>
  </si>
  <si>
    <t>E.  Accessible safe and affordable health care services/facilities for low-income people created, or saved from reduction or elimination</t>
  </si>
  <si>
    <t xml:space="preserve">F.  Accessible safe and affordable child care or child  development placement opportunities for low-income families created, or saved from reduction or elimination </t>
  </si>
  <si>
    <r>
      <t>G.  Accessible before-school and after-school</t>
    </r>
    <r>
      <rPr>
        <sz val="8"/>
        <rFont val="Times New Roman"/>
        <family val="1"/>
      </rPr>
      <t> </t>
    </r>
    <r>
      <rPr>
        <b/>
        <sz val="10"/>
        <rFont val="Arial"/>
        <family val="2"/>
      </rPr>
      <t xml:space="preserve"> program placement opportunities for low-income families created, or saved from reduction or elimination</t>
    </r>
  </si>
  <si>
    <t>H.  Accessible new or expanded transportation resources, or those that are saved from reduction or elimination, that are available to low-income people, including public or private transportation</t>
  </si>
  <si>
    <t xml:space="preserve">I.   Accessible or increased educational and training placement opportunities, or those that are saved from reduction or elimination, that are available for low-income people in the community, including vocational, literacy, and life skill training, ABE/GED, and post secondary education   </t>
  </si>
  <si>
    <t xml:space="preserve">A.  Increases in community assets as a result of a change in law, regulation or policy, which results in improvements in quality of life and assets </t>
  </si>
  <si>
    <t xml:space="preserve">B.  Increase in the availability or preservation of community facilities </t>
  </si>
  <si>
    <t>C.  Increase in the availability or preservation of community services to improve public health and safety</t>
  </si>
  <si>
    <t>D.  Increase in the availability or preservation of commercial services within low-income neighborhoods</t>
  </si>
  <si>
    <t>E.  Increase in or preservation of neighborhood quality-of-life resources</t>
  </si>
  <si>
    <t>2.1 A</t>
  </si>
  <si>
    <t>2.1 B</t>
  </si>
  <si>
    <t>2.1 C</t>
  </si>
  <si>
    <t>2.1 D</t>
  </si>
  <si>
    <t>2.1 E</t>
  </si>
  <si>
    <t>2.1 F</t>
  </si>
  <si>
    <t>2.1 G</t>
  </si>
  <si>
    <t>2.1 H</t>
  </si>
  <si>
    <t>2.1 I</t>
  </si>
  <si>
    <t>2.2 A</t>
  </si>
  <si>
    <t>2.2 B</t>
  </si>
  <si>
    <t>2.2 C</t>
  </si>
  <si>
    <t>2.2 D</t>
  </si>
  <si>
    <t>A.  Number of community members mobilized by Community Action that participate in community revitalization and anti-poverty initiatives</t>
  </si>
  <si>
    <t>2.3 A</t>
  </si>
  <si>
    <t>2.3 B</t>
  </si>
  <si>
    <t>2.2 new 1</t>
  </si>
  <si>
    <t>2.2 new 2</t>
  </si>
  <si>
    <t>2.2 new 3</t>
  </si>
  <si>
    <t>2.4 A</t>
  </si>
  <si>
    <t>2.4 new 1</t>
  </si>
  <si>
    <t>2.4 new 2</t>
  </si>
  <si>
    <t>2.4 new 3</t>
  </si>
  <si>
    <r>
      <t xml:space="preserve">A.  Total number of volunteer hours donated by </t>
    </r>
    <r>
      <rPr>
        <b/>
        <u/>
        <sz val="10"/>
        <rFont val="Arial"/>
        <family val="2"/>
      </rPr>
      <t>low-income individuals to Community Action (This is ONLY the number ofvolunteer hours from individuals who are low-income)</t>
    </r>
  </si>
  <si>
    <t>3.1 A</t>
  </si>
  <si>
    <t xml:space="preserve">A.  Number of low-income people participating in formal community organizations, government, boards or councils that provide input to decision-making and policy-setting through Community Action efforts </t>
  </si>
  <si>
    <t xml:space="preserve">B.  Number of low-income people acquiring businesses in their community as a result of Community Action assistance </t>
  </si>
  <si>
    <t xml:space="preserve">C.  Number of low-income people purchasing their own home in their community as a result of Community Action assistance  </t>
  </si>
  <si>
    <t xml:space="preserve">D.  Number of low-income people engaged in non-governance community activities or groups created or supported by Community Action  </t>
  </si>
  <si>
    <t>3.2 A</t>
  </si>
  <si>
    <t>3.2 B</t>
  </si>
  <si>
    <t>3.2 C</t>
  </si>
  <si>
    <t>3.2 D</t>
  </si>
  <si>
    <t>3.2 new 1</t>
  </si>
  <si>
    <t>3.2 new 2</t>
  </si>
  <si>
    <t>3.1 new 1</t>
  </si>
  <si>
    <t>3.1 new 2</t>
  </si>
  <si>
    <t>4.1 A</t>
  </si>
  <si>
    <t>4.1 B</t>
  </si>
  <si>
    <t>4.1 C</t>
  </si>
  <si>
    <t>4.1 D</t>
  </si>
  <si>
    <t>4.1 E</t>
  </si>
  <si>
    <t>4.1 F</t>
  </si>
  <si>
    <t>4.1 G</t>
  </si>
  <si>
    <t>4.1 H</t>
  </si>
  <si>
    <t>4.1 I</t>
  </si>
  <si>
    <t>4.1 J</t>
  </si>
  <si>
    <t>4.1 K</t>
  </si>
  <si>
    <t>4.1 L</t>
  </si>
  <si>
    <t>4.1 M</t>
  </si>
  <si>
    <t>N. The total number of organizations and total number of partnerships CAAs work with to promote family and community outcomes  (automatically calculates)</t>
  </si>
  <si>
    <t>5.1 A</t>
  </si>
  <si>
    <t>5.1 B</t>
  </si>
  <si>
    <t>5.1 C</t>
  </si>
  <si>
    <t>5.1 D</t>
  </si>
  <si>
    <t>5.1 E</t>
  </si>
  <si>
    <t>5.1 F</t>
  </si>
  <si>
    <t>5.1 G</t>
  </si>
  <si>
    <t>5.1 H</t>
  </si>
  <si>
    <t>5.1 new 1</t>
  </si>
  <si>
    <t>5.1 new 2</t>
  </si>
  <si>
    <t>5.1 new 3</t>
  </si>
  <si>
    <t>4.1 new 1</t>
  </si>
  <si>
    <t>4.1 new 2</t>
  </si>
  <si>
    <t>4.1 new 3</t>
  </si>
  <si>
    <t xml:space="preserve">             </t>
  </si>
  <si>
    <t xml:space="preserve">Goal 4:  Partnerships among supporters and providers of services to low-income people are achieved.  </t>
  </si>
  <si>
    <t>6.1 A</t>
  </si>
  <si>
    <t>A. Senior Citizens(seniors can be reported twice, once under Senior Citizens and again if they are disabled under Individuals with Disabilities, ages 55-over)</t>
  </si>
  <si>
    <t>B. Individuals with Disabilities Ages:</t>
  </si>
  <si>
    <t>6.1 B</t>
  </si>
  <si>
    <t>6.1 new 1</t>
  </si>
  <si>
    <t>6.1 new 2</t>
  </si>
  <si>
    <t>6.1 new 3</t>
  </si>
  <si>
    <t>B. Emergency fuel or utility payments funded by LIHEAP or other public and private funding sources</t>
  </si>
  <si>
    <t>D. Emergency Car or Home Repair (i.e. structural, appliance, heating system, etc.)</t>
  </si>
  <si>
    <t>6.2 A</t>
  </si>
  <si>
    <t>6.2 B</t>
  </si>
  <si>
    <t>6.2 C</t>
  </si>
  <si>
    <t>6.2 D</t>
  </si>
  <si>
    <t>6.2 E</t>
  </si>
  <si>
    <t>6.2 F</t>
  </si>
  <si>
    <t>6.2 G</t>
  </si>
  <si>
    <t>6.2 H</t>
  </si>
  <si>
    <t>6.2 I</t>
  </si>
  <si>
    <t>6.2 J</t>
  </si>
  <si>
    <t>6.2 K</t>
  </si>
  <si>
    <t>6.2 new 1</t>
  </si>
  <si>
    <t>6.2 new 2</t>
  </si>
  <si>
    <t>6.2 new 3</t>
  </si>
  <si>
    <t>INFANTS &amp; CHILDREN</t>
  </si>
  <si>
    <t>YOUTH</t>
  </si>
  <si>
    <t>ADULTS</t>
  </si>
  <si>
    <t xml:space="preserve">A.  Infants and children obtain age-appropriate immunizations, medical, and dental care </t>
  </si>
  <si>
    <t xml:space="preserve">B.  Infant and child health and physical development are improved as a result of adequate nutrition   </t>
  </si>
  <si>
    <t xml:space="preserve">C.  Children participate in pre-school activities to develop school readiness skills  </t>
  </si>
  <si>
    <t xml:space="preserve">D.  Children who participate in pre-school activities are developmentally ready to enter Kindergarten or 1st Grade     </t>
  </si>
  <si>
    <t>E.  Youth improve health and physical development</t>
  </si>
  <si>
    <t>F.  Youth improve social/emotional development</t>
  </si>
  <si>
    <t xml:space="preserve">G.  Youth avoid risk-taking behavior for a defined period of time </t>
  </si>
  <si>
    <t>H.  Youth have reduced involvement with criminal justice system</t>
  </si>
  <si>
    <t>I.  Youth increase academic, athletic, or social skills for school success</t>
  </si>
  <si>
    <t xml:space="preserve">J.  Parents and other adults learn and exhibit improved parenting skills </t>
  </si>
  <si>
    <t xml:space="preserve">K.  Parents and other adults learn and exhibit improved family functioning skills  </t>
  </si>
  <si>
    <t>6.3 A</t>
  </si>
  <si>
    <t>6.3 B</t>
  </si>
  <si>
    <t>6.3 C</t>
  </si>
  <si>
    <t>6.3 D</t>
  </si>
  <si>
    <t>6.3 E</t>
  </si>
  <si>
    <t>6.3 F</t>
  </si>
  <si>
    <t>6.3 G</t>
  </si>
  <si>
    <t>6.3 H</t>
  </si>
  <si>
    <t>6.3 I</t>
  </si>
  <si>
    <t>6.3 J</t>
  </si>
  <si>
    <t>6.3 K</t>
  </si>
  <si>
    <t>6.3 new 1</t>
  </si>
  <si>
    <t>6.3 new 2</t>
  </si>
  <si>
    <t>6.3 new 3</t>
  </si>
  <si>
    <t>I.  Obtained other non-emergency energy assistance (State/local/private energy programs. Do Not Include LIHEAP or WX)</t>
  </si>
  <si>
    <t>6.4 A</t>
  </si>
  <si>
    <t>6.4 B</t>
  </si>
  <si>
    <t>6.4 C</t>
  </si>
  <si>
    <t>6.4 D</t>
  </si>
  <si>
    <t>6.4 E</t>
  </si>
  <si>
    <t>6.4 F</t>
  </si>
  <si>
    <t>6.4 G</t>
  </si>
  <si>
    <t>6.4 H</t>
  </si>
  <si>
    <t>6.4 I</t>
  </si>
  <si>
    <t>6.5 A</t>
  </si>
  <si>
    <t>6.5 B</t>
  </si>
  <si>
    <t>6.5 C</t>
  </si>
  <si>
    <t>6.5 D</t>
  </si>
  <si>
    <t>6.5 E</t>
  </si>
  <si>
    <t xml:space="preserve">Goal 6: Low-income people, especially vulnerable populations, achieve their potential by strengthening family and other supportive environments. </t>
  </si>
  <si>
    <t>Reporting Period: (Check which reporting period this report is applicable to)</t>
  </si>
  <si>
    <t>Federal Objective: (complete one report for each federal objective carried-out)</t>
  </si>
  <si>
    <t>2. Is this number on track with the “projected” number of clients from your application and plan?</t>
  </si>
  <si>
    <t>4. Were there updates or changes to the Tripartite Board during this reporting period, if so please explain:</t>
  </si>
  <si>
    <t>7. If you need training or technical assistance from DOLA, you may request it here. Please be specific.</t>
  </si>
  <si>
    <t>Print Name of Responsible Administrator</t>
  </si>
  <si>
    <t>Program:</t>
  </si>
  <si>
    <t>Actual Amount of the CSBG spent: $</t>
  </si>
  <si>
    <t>Name &amp; Title of Person Filling this Report:</t>
  </si>
  <si>
    <t>Address:</t>
  </si>
  <si>
    <t>Phone Number:</t>
  </si>
  <si>
    <t>Program Director’s Name and Title:</t>
  </si>
  <si>
    <t>Title and Name of Person Completing this Report:</t>
  </si>
  <si>
    <t xml:space="preserve">March 1 through May 31 </t>
  </si>
  <si>
    <t xml:space="preserve">September 1 through November 30 </t>
  </si>
  <si>
    <t>June 1 through August 31</t>
  </si>
  <si>
    <t>December 1 through February 28</t>
  </si>
  <si>
    <t xml:space="preserve">Employment </t>
  </si>
  <si>
    <t>Education</t>
  </si>
  <si>
    <t>Housing</t>
  </si>
  <si>
    <t>Income Management</t>
  </si>
  <si>
    <t>Nutrition</t>
  </si>
  <si>
    <t xml:space="preserve">Emergency Services </t>
  </si>
  <si>
    <t>Linkages</t>
  </si>
  <si>
    <t>Health</t>
  </si>
  <si>
    <t xml:space="preserve">Self Sufficiency </t>
  </si>
  <si>
    <t xml:space="preserve">1. How many participants were served during this reporting period: </t>
  </si>
  <si>
    <t>Yes</t>
  </si>
  <si>
    <t>No</t>
  </si>
  <si>
    <t>I hereby certify to the best of my knowledge and belief that the information in this report, including any supplemental information, is true and correct.</t>
  </si>
  <si>
    <t xml:space="preserve">Signature of Responsible Administrator </t>
  </si>
  <si>
    <t>Date</t>
  </si>
  <si>
    <t>State of Colorado Department of Local Affairs Community Services Block Grant         Quarterly Performance Report</t>
  </si>
  <si>
    <t>This must match with the one identified in the application and plan.</t>
  </si>
  <si>
    <t>Phone:</t>
  </si>
  <si>
    <t>6. Please identify any problems encountered during the reporting period, and include what actions your organization has taken or plans to take to resolve the issue:</t>
  </si>
  <si>
    <t xml:space="preserve">    </t>
  </si>
  <si>
    <t xml:space="preserve">Period Ending </t>
  </si>
  <si>
    <t xml:space="preserve">NATIONAL INDICATORS: </t>
  </si>
  <si>
    <t xml:space="preserve">Agency Name: </t>
  </si>
  <si>
    <t>Agency Name:</t>
  </si>
  <si>
    <t xml:space="preserve"> Agency Name</t>
  </si>
  <si>
    <t xml:space="preserve">Goal 5: Agencies increase their capacity to achieve results.  </t>
  </si>
  <si>
    <t>2.2 E</t>
  </si>
  <si>
    <t>2.4 B</t>
  </si>
  <si>
    <t>4.1 N</t>
  </si>
  <si>
    <t>email:</t>
  </si>
  <si>
    <t>III.) Number of Participants Achieving Outcome in Reporting Period (Actual)</t>
  </si>
  <si>
    <t>Section D: Accomplishments and Coordination of Funds</t>
  </si>
  <si>
    <r>
      <t>Ø</t>
    </r>
    <r>
      <rPr>
        <sz val="7"/>
        <rFont val="Times New Roman"/>
        <family val="1"/>
      </rPr>
      <t xml:space="preserve">  </t>
    </r>
    <r>
      <rPr>
        <sz val="10"/>
        <rFont val="Arial"/>
        <family val="2"/>
      </rPr>
      <t>Use a separate sheet for your answers, or enter them here. Please do not use acronyms.</t>
    </r>
  </si>
  <si>
    <r>
      <rPr>
        <b/>
        <sz val="10"/>
        <rFont val="Arial"/>
        <family val="2"/>
      </rPr>
      <t xml:space="preserve">1.     </t>
    </r>
    <r>
      <rPr>
        <b/>
        <u/>
        <sz val="10"/>
        <rFont val="Arial"/>
        <family val="2"/>
      </rPr>
      <t>Strategic Thinking for Long-Term Solutions</t>
    </r>
  </si>
  <si>
    <r>
      <rPr>
        <b/>
        <sz val="10"/>
        <rFont val="Arial"/>
        <family val="2"/>
      </rPr>
      <t>a.</t>
    </r>
    <r>
      <rPr>
        <sz val="10"/>
        <rFont val="Arial"/>
        <family val="2"/>
      </rPr>
      <t xml:space="preserve"> Please describe an agency strategy which addresses a long-term solution to a persistent problem affecting members of the low-income community.  Address the following questions:</t>
    </r>
  </si>
  <si>
    <r>
      <t xml:space="preserve">                                          </t>
    </r>
    <r>
      <rPr>
        <sz val="10"/>
        <rFont val="Arial"/>
        <family val="2"/>
      </rPr>
      <t>i.</t>
    </r>
    <r>
      <rPr>
        <sz val="7"/>
        <rFont val="Times New Roman"/>
        <family val="1"/>
      </rPr>
      <t xml:space="preserve">    </t>
    </r>
    <r>
      <rPr>
        <sz val="10"/>
        <rFont val="Arial"/>
        <family val="2"/>
      </rPr>
      <t>How did the agency identify the community need?</t>
    </r>
  </si>
  <si>
    <r>
      <t xml:space="preserve">                                         </t>
    </r>
    <r>
      <rPr>
        <sz val="10"/>
        <rFont val="Arial"/>
        <family val="2"/>
      </rPr>
      <t>ii.</t>
    </r>
    <r>
      <rPr>
        <sz val="7"/>
        <rFont val="Times New Roman"/>
        <family val="1"/>
      </rPr>
      <t xml:space="preserve">    </t>
    </r>
    <r>
      <rPr>
        <sz val="10"/>
        <rFont val="Arial"/>
        <family val="2"/>
      </rPr>
      <t>How were CSBG funds used to plan, manage, and/or develop the approach?</t>
    </r>
  </si>
  <si>
    <r>
      <t xml:space="preserve">                                        </t>
    </r>
    <r>
      <rPr>
        <sz val="10"/>
        <rFont val="Arial"/>
        <family val="2"/>
      </rPr>
      <t>iii.</t>
    </r>
    <r>
      <rPr>
        <sz val="7"/>
        <rFont val="Times New Roman"/>
        <family val="1"/>
      </rPr>
      <t xml:space="preserve">    </t>
    </r>
    <r>
      <rPr>
        <sz val="10"/>
        <rFont val="Arial"/>
        <family val="2"/>
      </rPr>
      <t>What local partners were involved, and how did each contribute to the program?</t>
    </r>
  </si>
  <si>
    <r>
      <t xml:space="preserve">                                        </t>
    </r>
    <r>
      <rPr>
        <sz val="10"/>
        <rFont val="Arial"/>
        <family val="2"/>
      </rPr>
      <t>iv.</t>
    </r>
    <r>
      <rPr>
        <sz val="7"/>
        <rFont val="Times New Roman"/>
        <family val="1"/>
      </rPr>
      <t xml:space="preserve">    </t>
    </r>
    <r>
      <rPr>
        <sz val="10"/>
        <rFont val="Arial"/>
        <family val="2"/>
      </rPr>
      <t>What outcome indicators did the agency use to measure success?</t>
    </r>
  </si>
  <si>
    <r>
      <rPr>
        <b/>
        <sz val="10"/>
        <rFont val="Arial"/>
        <family val="2"/>
      </rPr>
      <t xml:space="preserve">2.     </t>
    </r>
    <r>
      <rPr>
        <b/>
        <u/>
        <sz val="10"/>
        <rFont val="Arial"/>
        <family val="2"/>
      </rPr>
      <t>Delivering High-Quality, Accessible, and Well-Managed Services</t>
    </r>
  </si>
  <si>
    <t>Top State Management Accomplishment:</t>
  </si>
  <si>
    <r>
      <t xml:space="preserve">Top </t>
    </r>
    <r>
      <rPr>
        <b/>
        <i/>
        <sz val="10"/>
        <rFont val="Arial"/>
        <family val="2"/>
      </rPr>
      <t>Three</t>
    </r>
    <r>
      <rPr>
        <b/>
        <sz val="10"/>
        <rFont val="Arial"/>
        <family val="2"/>
      </rPr>
      <t xml:space="preserve"> Agency Management Accomplishments:</t>
    </r>
  </si>
  <si>
    <r>
      <t>1.</t>
    </r>
    <r>
      <rPr>
        <sz val="7"/>
        <rFont val="Times New Roman"/>
        <family val="1"/>
      </rPr>
      <t xml:space="preserve">     </t>
    </r>
    <r>
      <rPr>
        <b/>
        <sz val="10"/>
        <rFont val="Arial"/>
        <family val="2"/>
      </rPr>
      <t> </t>
    </r>
  </si>
  <si>
    <r>
      <t>2.</t>
    </r>
    <r>
      <rPr>
        <sz val="7"/>
        <rFont val="Times New Roman"/>
        <family val="1"/>
      </rPr>
      <t xml:space="preserve">     </t>
    </r>
    <r>
      <rPr>
        <b/>
        <sz val="10"/>
        <rFont val="Arial"/>
        <family val="2"/>
      </rPr>
      <t> </t>
    </r>
  </si>
  <si>
    <r>
      <t>3.</t>
    </r>
    <r>
      <rPr>
        <sz val="7"/>
        <rFont val="Times New Roman"/>
        <family val="1"/>
      </rPr>
      <t xml:space="preserve">     </t>
    </r>
    <r>
      <rPr>
        <b/>
        <sz val="10"/>
        <rFont val="Arial"/>
        <family val="2"/>
      </rPr>
      <t> </t>
    </r>
  </si>
  <si>
    <r>
      <t>3.</t>
    </r>
    <r>
      <rPr>
        <b/>
        <sz val="7"/>
        <rFont val="Times New Roman"/>
        <family val="1"/>
      </rPr>
      <t xml:space="preserve">     </t>
    </r>
    <r>
      <rPr>
        <b/>
        <u/>
        <sz val="10"/>
        <rFont val="Arial"/>
        <family val="2"/>
      </rPr>
      <t>Mobilizing Resources to Support Innovative Solutions</t>
    </r>
  </si>
  <si>
    <r>
      <t>a.</t>
    </r>
    <r>
      <rPr>
        <sz val="7"/>
        <rFont val="Times New Roman"/>
        <family val="1"/>
      </rPr>
      <t xml:space="preserve">     </t>
    </r>
    <r>
      <rPr>
        <sz val="10"/>
        <rFont val="Arial"/>
        <family val="2"/>
      </rPr>
      <t xml:space="preserve">Please describe how your agency addressed a cause or condition of poverty in the community using an </t>
    </r>
    <r>
      <rPr>
        <u/>
        <sz val="10"/>
        <rFont val="Arial"/>
        <family val="2"/>
      </rPr>
      <t>innovative or creative approach</t>
    </r>
    <r>
      <rPr>
        <sz val="10"/>
        <rFont val="Arial"/>
        <family val="2"/>
      </rPr>
      <t>.  Showcase how your agency relied on mobilization and coordination of resources to help reach interim and final outcomes.  Demonstrate how CSBG “works” as it funds staff activities, investments, or services to meet a community need.  Include the following elements:</t>
    </r>
  </si>
  <si>
    <r>
      <rPr>
        <b/>
        <sz val="10"/>
        <rFont val="Arial"/>
        <family val="2"/>
      </rPr>
      <t>a.</t>
    </r>
    <r>
      <rPr>
        <sz val="10"/>
        <rFont val="Arial"/>
        <family val="2"/>
      </rPr>
      <t xml:space="preserve"> Please describe how your agency addressed a cause or condition of poverty in the community using an innovative or creative approach.  Showcase how your agency relied on mobilization and coordination of resources to help reach interim and final outcomes.  Demonstrate how CSBG “works” as it funds staff activities, investments, or services to meet a community need.  Include the following elements:</t>
    </r>
  </si>
  <si>
    <r>
      <t xml:space="preserve">                                          </t>
    </r>
    <r>
      <rPr>
        <sz val="10"/>
        <rFont val="Arial"/>
        <family val="2"/>
      </rPr>
      <t>i.</t>
    </r>
    <r>
      <rPr>
        <sz val="7"/>
        <rFont val="Times New Roman"/>
        <family val="1"/>
      </rPr>
      <t xml:space="preserve">    </t>
    </r>
    <r>
      <rPr>
        <sz val="10"/>
        <rFont val="Arial"/>
        <family val="2"/>
      </rPr>
      <t>Agency name (no acronyms please)</t>
    </r>
  </si>
  <si>
    <r>
      <t xml:space="preserve">                                         </t>
    </r>
    <r>
      <rPr>
        <sz val="10"/>
        <rFont val="Arial"/>
        <family val="2"/>
      </rPr>
      <t>ii.</t>
    </r>
    <r>
      <rPr>
        <sz val="7"/>
        <rFont val="Times New Roman"/>
        <family val="1"/>
      </rPr>
      <t xml:space="preserve">    </t>
    </r>
    <r>
      <rPr>
        <sz val="10"/>
        <rFont val="Arial"/>
        <family val="2"/>
      </rPr>
      <t>Program name</t>
    </r>
  </si>
  <si>
    <r>
      <t xml:space="preserve">                                        </t>
    </r>
    <r>
      <rPr>
        <sz val="10"/>
        <rFont val="Arial"/>
        <family val="2"/>
      </rPr>
      <t>iii.</t>
    </r>
    <r>
      <rPr>
        <sz val="7"/>
        <rFont val="Times New Roman"/>
        <family val="1"/>
      </rPr>
      <t xml:space="preserve">    </t>
    </r>
    <r>
      <rPr>
        <sz val="10"/>
        <rFont val="Arial"/>
        <family val="2"/>
      </rPr>
      <t>CSBG service category</t>
    </r>
  </si>
  <si>
    <r>
      <t xml:space="preserve">                                        </t>
    </r>
    <r>
      <rPr>
        <sz val="10"/>
        <rFont val="Arial"/>
        <family val="2"/>
      </rPr>
      <t>iv.</t>
    </r>
    <r>
      <rPr>
        <sz val="7"/>
        <rFont val="Times New Roman"/>
        <family val="1"/>
      </rPr>
      <t xml:space="preserve">    </t>
    </r>
    <r>
      <rPr>
        <sz val="10"/>
        <rFont val="Arial"/>
        <family val="2"/>
      </rPr>
      <t>Description of program (capacity, duration, targeted population, etc)</t>
    </r>
  </si>
  <si>
    <r>
      <t xml:space="preserve">                                         </t>
    </r>
    <r>
      <rPr>
        <sz val="10"/>
        <rFont val="Arial"/>
        <family val="2"/>
      </rPr>
      <t>v.</t>
    </r>
    <r>
      <rPr>
        <sz val="7"/>
        <rFont val="Times New Roman"/>
        <family val="1"/>
      </rPr>
      <t xml:space="preserve">    </t>
    </r>
    <r>
      <rPr>
        <sz val="10"/>
        <rFont val="Arial"/>
        <family val="2"/>
      </rPr>
      <t>How was the agency’s approach innovative or creative?  Please be specific.</t>
    </r>
  </si>
  <si>
    <r>
      <t xml:space="preserve">                                        </t>
    </r>
    <r>
      <rPr>
        <sz val="10"/>
        <rFont val="Arial"/>
        <family val="2"/>
      </rPr>
      <t>vi.</t>
    </r>
    <r>
      <rPr>
        <sz val="7"/>
        <rFont val="Times New Roman"/>
        <family val="1"/>
      </rPr>
      <t xml:space="preserve">    </t>
    </r>
    <r>
      <rPr>
        <sz val="10"/>
        <rFont val="Arial"/>
        <family val="2"/>
      </rPr>
      <t xml:space="preserve">Outcomes achieved (include the number of people enrolled and areas affected) </t>
    </r>
  </si>
  <si>
    <r>
      <t xml:space="preserve">                                       </t>
    </r>
    <r>
      <rPr>
        <sz val="10"/>
        <rFont val="Arial"/>
        <family val="2"/>
      </rPr>
      <t>vii.</t>
    </r>
    <r>
      <rPr>
        <sz val="7"/>
        <rFont val="Times New Roman"/>
        <family val="1"/>
      </rPr>
      <t xml:space="preserve">    </t>
    </r>
    <r>
      <rPr>
        <sz val="10"/>
        <rFont val="Arial"/>
        <family val="2"/>
      </rPr>
      <t>How were CSBG funds used?  Please be specific.</t>
    </r>
  </si>
  <si>
    <r>
      <t xml:space="preserve">                                      </t>
    </r>
    <r>
      <rPr>
        <sz val="10"/>
        <rFont val="Arial"/>
        <family val="2"/>
      </rPr>
      <t>viii.</t>
    </r>
    <r>
      <rPr>
        <sz val="7"/>
        <rFont val="Times New Roman"/>
        <family val="1"/>
      </rPr>
      <t xml:space="preserve">    </t>
    </r>
    <r>
      <rPr>
        <sz val="10"/>
        <rFont val="Arial"/>
        <family val="2"/>
      </rPr>
      <t>What local partners were involved, and how did each contribute to the program?</t>
    </r>
  </si>
  <si>
    <r>
      <t>4.</t>
    </r>
    <r>
      <rPr>
        <b/>
        <sz val="7"/>
        <rFont val="Times New Roman"/>
        <family val="1"/>
      </rPr>
      <t xml:space="preserve">     </t>
    </r>
    <r>
      <rPr>
        <b/>
        <u/>
        <sz val="10"/>
        <rFont val="Arial"/>
        <family val="2"/>
      </rPr>
      <t>Providing Positive Results for Vulnerable Populations</t>
    </r>
  </si>
  <si>
    <r>
      <rPr>
        <b/>
        <sz val="10"/>
        <rFont val="Arial"/>
        <family val="2"/>
      </rPr>
      <t xml:space="preserve">a. </t>
    </r>
    <r>
      <rPr>
        <sz val="10"/>
        <rFont val="Arial"/>
        <family val="2"/>
      </rPr>
      <t xml:space="preserve">Please describe </t>
    </r>
    <r>
      <rPr>
        <u/>
        <sz val="10"/>
        <rFont val="Arial"/>
        <family val="2"/>
      </rPr>
      <t>one youth-focused</t>
    </r>
    <r>
      <rPr>
        <sz val="10"/>
        <rFont val="Arial"/>
        <family val="2"/>
      </rPr>
      <t xml:space="preserve"> initiative that illustrates how CSBG funding was used and coordinated with other programs and resources. Include the following elements: </t>
    </r>
  </si>
  <si>
    <r>
      <t xml:space="preserve">                                          </t>
    </r>
    <r>
      <rPr>
        <sz val="10"/>
        <rFont val="Arial"/>
        <family val="2"/>
      </rPr>
      <t>i.</t>
    </r>
    <r>
      <rPr>
        <sz val="7"/>
        <rFont val="Times New Roman"/>
        <family val="1"/>
      </rPr>
      <t xml:space="preserve">    </t>
    </r>
    <r>
      <rPr>
        <sz val="10"/>
        <rFont val="Arial"/>
        <family val="2"/>
      </rPr>
      <t>Description of initiative</t>
    </r>
  </si>
  <si>
    <r>
      <t xml:space="preserve">                                         </t>
    </r>
    <r>
      <rPr>
        <sz val="10"/>
        <rFont val="Arial"/>
        <family val="2"/>
      </rPr>
      <t>ii.</t>
    </r>
    <r>
      <rPr>
        <sz val="7"/>
        <rFont val="Times New Roman"/>
        <family val="1"/>
      </rPr>
      <t xml:space="preserve">    </t>
    </r>
    <r>
      <rPr>
        <sz val="10"/>
        <rFont val="Arial"/>
        <family val="2"/>
      </rPr>
      <t>What local partners were involved, and how did each contribute to the program?</t>
    </r>
  </si>
  <si>
    <r>
      <t xml:space="preserve">                                        </t>
    </r>
    <r>
      <rPr>
        <sz val="10"/>
        <rFont val="Arial"/>
        <family val="2"/>
      </rPr>
      <t>iii.</t>
    </r>
    <r>
      <rPr>
        <sz val="7"/>
        <rFont val="Times New Roman"/>
        <family val="1"/>
      </rPr>
      <t xml:space="preserve">    </t>
    </r>
    <r>
      <rPr>
        <sz val="10"/>
        <rFont val="Arial"/>
        <family val="2"/>
      </rPr>
      <t xml:space="preserve">Outcomes achieved (include the number of people enrolled and areas affected) </t>
    </r>
  </si>
  <si>
    <r>
      <t xml:space="preserve">                                        </t>
    </r>
    <r>
      <rPr>
        <sz val="10"/>
        <rFont val="Arial"/>
        <family val="2"/>
      </rPr>
      <t>iv.</t>
    </r>
    <r>
      <rPr>
        <sz val="7"/>
        <rFont val="Times New Roman"/>
        <family val="1"/>
      </rPr>
      <t xml:space="preserve">    </t>
    </r>
    <r>
      <rPr>
        <sz val="10"/>
        <rFont val="Arial"/>
        <family val="2"/>
      </rPr>
      <t>How were CSBG funds used?  Please be specific.</t>
    </r>
  </si>
  <si>
    <r>
      <t xml:space="preserve">b. </t>
    </r>
    <r>
      <rPr>
        <sz val="10"/>
        <rFont val="Arial"/>
        <family val="2"/>
      </rPr>
      <t xml:space="preserve"> Please describe </t>
    </r>
    <r>
      <rPr>
        <u/>
        <sz val="10"/>
        <rFont val="Arial"/>
        <family val="2"/>
      </rPr>
      <t>one senior-focused</t>
    </r>
    <r>
      <rPr>
        <sz val="10"/>
        <rFont val="Arial"/>
        <family val="2"/>
      </rPr>
      <t xml:space="preserve"> initiative that illustrates how CSBG funding was used and coordinated with other programs and resources. Include the following elements:</t>
    </r>
  </si>
  <si>
    <t>(Individuals aged 55 and up)</t>
  </si>
  <si>
    <t>2. Seniors</t>
  </si>
  <si>
    <t>(Individuals aged 12 to 18)</t>
  </si>
  <si>
    <t>1. Youth</t>
  </si>
  <si>
    <t>CSBG Funds</t>
  </si>
  <si>
    <t>Demographic Category</t>
  </si>
  <si>
    <t xml:space="preserve">    Please consult the instructions regarding what constitutes "administration." </t>
  </si>
  <si>
    <r>
      <t xml:space="preserve">*** </t>
    </r>
    <r>
      <rPr>
        <sz val="10"/>
        <rFont val="Arial"/>
        <family val="2"/>
      </rPr>
      <t xml:space="preserve">were for administration. </t>
    </r>
  </si>
  <si>
    <r>
      <t xml:space="preserve">Of the </t>
    </r>
    <r>
      <rPr>
        <b/>
        <sz val="10"/>
        <rFont val="Arial"/>
        <family val="2"/>
      </rPr>
      <t>CSBG</t>
    </r>
    <r>
      <rPr>
        <sz val="10"/>
        <rFont val="Arial"/>
        <family val="2"/>
      </rPr>
      <t xml:space="preserve"> </t>
    </r>
    <r>
      <rPr>
        <b/>
        <sz val="10"/>
        <rFont val="Arial"/>
        <family val="2"/>
      </rPr>
      <t>funds</t>
    </r>
    <r>
      <rPr>
        <sz val="10"/>
        <rFont val="Arial"/>
        <family val="2"/>
      </rPr>
      <t xml:space="preserve"> reported above </t>
    </r>
    <r>
      <rPr>
        <sz val="10"/>
        <color indexed="10"/>
        <rFont val="Arial"/>
        <family val="2"/>
      </rPr>
      <t>***</t>
    </r>
  </si>
  <si>
    <t xml:space="preserve"> Totals</t>
  </si>
  <si>
    <t>10. Other</t>
  </si>
  <si>
    <t>9. Health</t>
  </si>
  <si>
    <t>8. Self Sufficiency</t>
  </si>
  <si>
    <t>7. Linkages</t>
  </si>
  <si>
    <t>6. Nutrition</t>
  </si>
  <si>
    <t>5. Emergency Services</t>
  </si>
  <si>
    <t>4. Housing</t>
  </si>
  <si>
    <t>3. Income Management</t>
  </si>
  <si>
    <t>2. Education</t>
  </si>
  <si>
    <t>1. Employment</t>
  </si>
  <si>
    <t>Service Category</t>
  </si>
  <si>
    <t>Agency Reporting:</t>
  </si>
  <si>
    <t>Section E: CSBG Expenditures by Service Category</t>
  </si>
  <si>
    <t>Section F.   Resources Administered and Generated by the CSBG Network</t>
  </si>
  <si>
    <t>1.</t>
  </si>
  <si>
    <t xml:space="preserve">Name of Local Agency Reporting </t>
  </si>
  <si>
    <t>ARRA ONLY</t>
  </si>
  <si>
    <t>2.</t>
  </si>
  <si>
    <t>Federal Resources (Other than CSBG)</t>
  </si>
  <si>
    <t>3.</t>
  </si>
  <si>
    <t>Weatherization (DOE) (include oil overcharge $$)</t>
  </si>
  <si>
    <t>4.</t>
  </si>
  <si>
    <t>Health and Human Services (HHS)</t>
  </si>
  <si>
    <t>a.  LIHEAP - Fuel Assistance  (include oil overcharge $$)</t>
  </si>
  <si>
    <t>4a.</t>
  </si>
  <si>
    <t>b.  LIHEAP - Weatherization  (include oil overcharge $$)</t>
  </si>
  <si>
    <t>4b.</t>
  </si>
  <si>
    <t>c.  Head Start</t>
  </si>
  <si>
    <t>4c.</t>
  </si>
  <si>
    <t xml:space="preserve">d.  Early Head Start </t>
  </si>
  <si>
    <t>4d.</t>
  </si>
  <si>
    <t xml:space="preserve">e. Older Americans Act </t>
  </si>
  <si>
    <t>4e.</t>
  </si>
  <si>
    <t xml:space="preserve">f.  Social Services Block Grant (SSBG) </t>
  </si>
  <si>
    <t>4f.</t>
  </si>
  <si>
    <t xml:space="preserve">g.  Medicare/Medicaid </t>
  </si>
  <si>
    <t>4g.</t>
  </si>
  <si>
    <t>h.  Assets for Independence (AFI)</t>
  </si>
  <si>
    <t>4h.</t>
  </si>
  <si>
    <t>i.  Temporary Assistance for Needy Families (TANF)</t>
  </si>
  <si>
    <t>4i.</t>
  </si>
  <si>
    <t>j.  Child Care Development Block Grant (CCDBG)</t>
  </si>
  <si>
    <t>4j.</t>
  </si>
  <si>
    <t>k. Other HHS Resources:</t>
  </si>
  <si>
    <t>i.</t>
  </si>
  <si>
    <t>CFDA #:</t>
  </si>
  <si>
    <t>4k.i</t>
  </si>
  <si>
    <t>ii.</t>
  </si>
  <si>
    <t>4k.ii</t>
  </si>
  <si>
    <t>iii.</t>
  </si>
  <si>
    <t>4k.iii</t>
  </si>
  <si>
    <t>iv.</t>
  </si>
  <si>
    <t>4k.iv</t>
  </si>
  <si>
    <t>Total Other HHS Resources</t>
  </si>
  <si>
    <t>4k.</t>
  </si>
  <si>
    <t>5.</t>
  </si>
  <si>
    <t>Department of Agriculture (USDA)</t>
  </si>
  <si>
    <t>a.  Special Supplemental Nutrition for Women, Infants, and Children (WIC)</t>
  </si>
  <si>
    <t>5a.</t>
  </si>
  <si>
    <t>b.  All USDA Non-Food programs (e.g. rural development)</t>
  </si>
  <si>
    <t>5b.</t>
  </si>
  <si>
    <t>c.  All other USDA Food programs</t>
  </si>
  <si>
    <t>5c.</t>
  </si>
  <si>
    <t>6.</t>
  </si>
  <si>
    <t>Department of Housing and Urban Development (HUD)</t>
  </si>
  <si>
    <t>a.   Community Development Block Grant (CDBG) - Fed., State, and local</t>
  </si>
  <si>
    <t>6a.</t>
  </si>
  <si>
    <t>b.    Section 8</t>
  </si>
  <si>
    <t>6b.</t>
  </si>
  <si>
    <t>c.    Section 202</t>
  </si>
  <si>
    <t>6c.</t>
  </si>
  <si>
    <t>d.    Home tenant based assistance</t>
  </si>
  <si>
    <t>6d.</t>
  </si>
  <si>
    <t>e.    HOPE for Homeowners Program (H4H)</t>
  </si>
  <si>
    <t>6e.</t>
  </si>
  <si>
    <t>f.     Emergency Shelter Grant Program (ESGP)</t>
  </si>
  <si>
    <t>6f.</t>
  </si>
  <si>
    <t>g.    Continum of Care (CofC)</t>
  </si>
  <si>
    <t>6g.</t>
  </si>
  <si>
    <t>h.    All other HUD including homeless programs</t>
  </si>
  <si>
    <t>6h.</t>
  </si>
  <si>
    <t>7.</t>
  </si>
  <si>
    <t>Department of Labor (DOL)</t>
  </si>
  <si>
    <t>a.  Workforce Investment Act (WIA)</t>
  </si>
  <si>
    <t>7a.</t>
  </si>
  <si>
    <t xml:space="preserve">b.  Other DOL Employment and training programs </t>
  </si>
  <si>
    <t>7b.</t>
  </si>
  <si>
    <t>c.  All other DOL programs</t>
  </si>
  <si>
    <t>7c.</t>
  </si>
  <si>
    <t>8.</t>
  </si>
  <si>
    <t>Corp. for National &amp; Community Service (CNCS) programs</t>
  </si>
  <si>
    <t>9.</t>
  </si>
  <si>
    <t>Federal Emergency Management Agency (FEMA)</t>
  </si>
  <si>
    <t>10.</t>
  </si>
  <si>
    <t>Department of Transportation</t>
  </si>
  <si>
    <t>11.</t>
  </si>
  <si>
    <t>Department of Education</t>
  </si>
  <si>
    <t>12.</t>
  </si>
  <si>
    <t>Department of Justice</t>
  </si>
  <si>
    <t>13.</t>
  </si>
  <si>
    <t>Department of Treasury</t>
  </si>
  <si>
    <t>Other Federal Resources:</t>
  </si>
  <si>
    <t>14.i</t>
  </si>
  <si>
    <t>14.ii</t>
  </si>
  <si>
    <t>14.iii</t>
  </si>
  <si>
    <t>14.iv</t>
  </si>
  <si>
    <t>14.</t>
  </si>
  <si>
    <t>Total Other Federal Resources</t>
  </si>
  <si>
    <t>15.</t>
  </si>
  <si>
    <t>TOTAL: NON-CSBG FEDERAL RESOURCES</t>
  </si>
  <si>
    <t>SECTION F.   Resources Administered and Generated</t>
  </si>
  <si>
    <t>16. State Resources</t>
  </si>
  <si>
    <t>a.   State appropriated funds used for the same purpose as</t>
  </si>
  <si>
    <t>16a.</t>
  </si>
  <si>
    <t xml:space="preserve">        federal CSBG funds </t>
  </si>
  <si>
    <t>b.   State Housing and Homeless programs (include housing tax credits)</t>
  </si>
  <si>
    <t>16b.</t>
  </si>
  <si>
    <t>c.   State Nutrition programs</t>
  </si>
  <si>
    <t>16c.</t>
  </si>
  <si>
    <t>d.   State Day Care and Early Childhood programs</t>
  </si>
  <si>
    <t>16d.</t>
  </si>
  <si>
    <t>e.   State Energy programs</t>
  </si>
  <si>
    <t>16e.</t>
  </si>
  <si>
    <t>f.    State Health programs</t>
  </si>
  <si>
    <t>16f.</t>
  </si>
  <si>
    <t>g.   State Youth Development programs</t>
  </si>
  <si>
    <t>16g.</t>
  </si>
  <si>
    <t>h.   State Employment and Training programs</t>
  </si>
  <si>
    <t>16h.</t>
  </si>
  <si>
    <t>i.    State Head Start programs</t>
  </si>
  <si>
    <t>16i.</t>
  </si>
  <si>
    <t>j.    State Senior programs</t>
  </si>
  <si>
    <t>16j.</t>
  </si>
  <si>
    <t>k.   State Transportation programs</t>
  </si>
  <si>
    <t>16k.</t>
  </si>
  <si>
    <t>l.    State Education programs</t>
  </si>
  <si>
    <t>16l.</t>
  </si>
  <si>
    <t>m.  State Community, Rural and Economic Development programs</t>
  </si>
  <si>
    <t>16m.</t>
  </si>
  <si>
    <t>n.   State Family Development programs</t>
  </si>
  <si>
    <t>16n.</t>
  </si>
  <si>
    <t xml:space="preserve">o.  Other State Resources: </t>
  </si>
  <si>
    <t>16o.i.</t>
  </si>
  <si>
    <t>16o.ii.</t>
  </si>
  <si>
    <t>16o.iii.</t>
  </si>
  <si>
    <t>16o.iv.</t>
  </si>
  <si>
    <t>Total Other State Resources</t>
  </si>
  <si>
    <t>16o.</t>
  </si>
  <si>
    <t>17.</t>
  </si>
  <si>
    <t>TOTAL: STATE RESOURCES</t>
  </si>
  <si>
    <t>18.</t>
  </si>
  <si>
    <t>If any of these resources were also reported under Item 15 (Federal Resources)</t>
  </si>
  <si>
    <t>please estimate the amount</t>
  </si>
  <si>
    <t xml:space="preserve">Section F.  Resources Administered and Generated </t>
  </si>
  <si>
    <t>19.  Local Resources</t>
  </si>
  <si>
    <t>a.  Amount of unrestricted funds appropriated by local government</t>
  </si>
  <si>
    <t>19a.</t>
  </si>
  <si>
    <t>b.  Amount of restricted funds appropriated by local government</t>
  </si>
  <si>
    <t>19b.</t>
  </si>
  <si>
    <t>c.  Value of Contract Services</t>
  </si>
  <si>
    <t>19c.</t>
  </si>
  <si>
    <t>d.  Value of in-kind goods/services received from local government</t>
  </si>
  <si>
    <t>19d.</t>
  </si>
  <si>
    <t>20.</t>
  </si>
  <si>
    <t>TOTAL: LOCAL PUBLIC RESOURCES</t>
  </si>
  <si>
    <t>21.</t>
  </si>
  <si>
    <t>If any of these resources were also reported under Items 15 or 17, (Federal or</t>
  </si>
  <si>
    <t>State resources) please estimate the amount</t>
  </si>
  <si>
    <t>22. Private Sector Resources</t>
  </si>
  <si>
    <t>a.  Funds from foundations, corps., United Way, other nonprofits</t>
  </si>
  <si>
    <t>22a.</t>
  </si>
  <si>
    <t>b.  Other donated funds</t>
  </si>
  <si>
    <t>22b.</t>
  </si>
  <si>
    <t>c.  Value of other donated items, food, clothing, furniture, etc.</t>
  </si>
  <si>
    <t>22c.</t>
  </si>
  <si>
    <t>d.  Value of in-kind services received from businesses</t>
  </si>
  <si>
    <t>22d.</t>
  </si>
  <si>
    <t>e.  Payments by clients for services</t>
  </si>
  <si>
    <t>22e.</t>
  </si>
  <si>
    <t xml:space="preserve">f.   Payments by private entities for goods or services for </t>
  </si>
  <si>
    <t>22f.</t>
  </si>
  <si>
    <t xml:space="preserve">        low-income clients or communities</t>
  </si>
  <si>
    <t>23.</t>
  </si>
  <si>
    <t>TOTAL: PRIVATE SECTOR RESOURCES</t>
  </si>
  <si>
    <t>24.</t>
  </si>
  <si>
    <t>If any of these resources were also included in subtotal Items 15, 17, or 20</t>
  </si>
  <si>
    <t xml:space="preserve">(Federal, State, or Local resources) please estimate the amount. </t>
  </si>
  <si>
    <t xml:space="preserve">                     ALL NON-CSBG RESOURCES</t>
  </si>
  <si>
    <r>
      <rPr>
        <b/>
        <sz val="12"/>
        <rFont val="Arial"/>
        <family val="2"/>
      </rPr>
      <t>25</t>
    </r>
    <r>
      <rPr>
        <b/>
        <sz val="14"/>
        <rFont val="Arial"/>
        <family val="2"/>
      </rPr>
      <t xml:space="preserve">. TOTAL: </t>
    </r>
    <r>
      <rPr>
        <sz val="11"/>
        <rFont val="Arial"/>
        <family val="2"/>
      </rPr>
      <t>(FEDERAL, STATE, LOCAL, PRIVATE)</t>
    </r>
  </si>
  <si>
    <t xml:space="preserve">            less amount of double count from items 18, 21, and 24</t>
  </si>
  <si>
    <r>
      <rPr>
        <b/>
        <sz val="12"/>
        <rFont val="Arial"/>
        <family val="2"/>
      </rPr>
      <t>26</t>
    </r>
    <r>
      <rPr>
        <b/>
        <sz val="14"/>
        <rFont val="Arial"/>
        <family val="2"/>
      </rPr>
      <t xml:space="preserve">. TOTAL: </t>
    </r>
    <r>
      <rPr>
        <sz val="11"/>
        <rFont val="Arial"/>
        <family val="2"/>
      </rPr>
      <t>(Including CSBG)</t>
    </r>
  </si>
  <si>
    <t>Section G Program Participant Characteristics</t>
  </si>
  <si>
    <t>1. Name of Agency Reporting</t>
  </si>
  <si>
    <t>2a. Total Non CSBG Resources Reported in Section F</t>
  </si>
  <si>
    <t>2b. Total amount of CSBG Funds allocated</t>
  </si>
  <si>
    <t>Total Resourcs for FY 2012 (2a + 2b)</t>
  </si>
  <si>
    <t>3.  Total unduplicated number of persons about whom one or more characteristics were obtained:</t>
  </si>
  <si>
    <t>4.  Total unduplicated number of persons about whom no characteristics were obtained:</t>
  </si>
  <si>
    <t>5.  Total unduplicated number of families about whom one or more characteristics were obtained:</t>
  </si>
  <si>
    <t>6.  Total unduplicated number of families about whom no characteristics were obtained:</t>
  </si>
  <si>
    <t>7.   Gender</t>
  </si>
  <si>
    <t>Number of Persons*</t>
  </si>
  <si>
    <t>13.  Family Size</t>
  </si>
  <si>
    <t>Number of Families***</t>
  </si>
  <si>
    <t xml:space="preserve">a.   Male  </t>
  </si>
  <si>
    <t xml:space="preserve">a.  One  </t>
  </si>
  <si>
    <t xml:space="preserve">b.   Female  </t>
  </si>
  <si>
    <t xml:space="preserve">b.  Two  </t>
  </si>
  <si>
    <t>TOTAL*</t>
  </si>
  <si>
    <t xml:space="preserve">c.  Three  </t>
  </si>
  <si>
    <t xml:space="preserve">d.  Four  </t>
  </si>
  <si>
    <t>8.  Age</t>
  </si>
  <si>
    <t xml:space="preserve">e.  Five  </t>
  </si>
  <si>
    <t xml:space="preserve">a.    0 - 5  </t>
  </si>
  <si>
    <t xml:space="preserve">f.   Six  </t>
  </si>
  <si>
    <t xml:space="preserve">b.    6 - 11  </t>
  </si>
  <si>
    <t xml:space="preserve">g.  Seven  </t>
  </si>
  <si>
    <t xml:space="preserve">c.  12 - 17  </t>
  </si>
  <si>
    <t xml:space="preserve">h.  Eight or more  </t>
  </si>
  <si>
    <t xml:space="preserve">d.  18 - 23  </t>
  </si>
  <si>
    <t>TOTAL***</t>
  </si>
  <si>
    <t xml:space="preserve">e.  24 - 44  </t>
  </si>
  <si>
    <t xml:space="preserve">f.   45 - 54  </t>
  </si>
  <si>
    <t>14. Source of Family Income</t>
  </si>
  <si>
    <t>Number of Families</t>
  </si>
  <si>
    <t xml:space="preserve">g.  55 - 69  </t>
  </si>
  <si>
    <t xml:space="preserve">a.  Unduplicated # Families Reporting </t>
  </si>
  <si>
    <t xml:space="preserve">h.  70 +  </t>
  </si>
  <si>
    <t xml:space="preserve">     One or More Sources of Income  </t>
  </si>
  <si>
    <t xml:space="preserve">b.  Unduplicated # Families Reporting </t>
  </si>
  <si>
    <t xml:space="preserve">     Zero Income  </t>
  </si>
  <si>
    <t>9.  Ethnicity/Race</t>
  </si>
  <si>
    <t>TOTAL Unduplicated # Families Reporting One or More Sources of Income or Zero Income.***</t>
  </si>
  <si>
    <t>I. Ethnicity</t>
  </si>
  <si>
    <t>a.  Hispanic, Latino or Spanish Origin</t>
  </si>
  <si>
    <t>b.  Not Hispanic, Latino, or Spanish Origin</t>
  </si>
  <si>
    <t xml:space="preserve">Below please report the total # of families </t>
  </si>
  <si>
    <t>identifying the applicable sources of income</t>
  </si>
  <si>
    <t>II. Race</t>
  </si>
  <si>
    <t xml:space="preserve">c.  TANF  </t>
  </si>
  <si>
    <t>a.  White</t>
  </si>
  <si>
    <t xml:space="preserve">d.  SSI  </t>
  </si>
  <si>
    <t>b.  Black or African American</t>
  </si>
  <si>
    <t xml:space="preserve">e.  Social Security  </t>
  </si>
  <si>
    <t>c.  American Indian and Alaska Native</t>
  </si>
  <si>
    <t xml:space="preserve">f.   Pension  </t>
  </si>
  <si>
    <t>d.  Asian</t>
  </si>
  <si>
    <t xml:space="preserve">g.  General Assistance  </t>
  </si>
  <si>
    <t>e.  Native Hawaiian and Other Pacific Islander</t>
  </si>
  <si>
    <t xml:space="preserve">h.  Unemployment Insurance  </t>
  </si>
  <si>
    <t>f.  Other</t>
  </si>
  <si>
    <t xml:space="preserve">i.   Employment + Other Source  </t>
  </si>
  <si>
    <t>g.  Multi-Race (any two or more of the above)</t>
  </si>
  <si>
    <t xml:space="preserve">j.   Employment Only  </t>
  </si>
  <si>
    <t xml:space="preserve">k.  Other  </t>
  </si>
  <si>
    <t>l.   Total (Items c-k)</t>
  </si>
  <si>
    <t>10.  Education Levels of Adults #</t>
  </si>
  <si>
    <t xml:space="preserve">15. Level of Family Income </t>
  </si>
  <si>
    <r>
      <t xml:space="preserve">(# </t>
    </r>
    <r>
      <rPr>
        <b/>
        <i/>
        <sz val="10"/>
        <rFont val="Arial"/>
        <family val="2"/>
      </rPr>
      <t>For Adults 24 Years Or Older Only)</t>
    </r>
  </si>
  <si>
    <t>Number of Persons**</t>
  </si>
  <si>
    <t>(% Of HHS Guideline)</t>
  </si>
  <si>
    <t xml:space="preserve">a.  0-8  </t>
  </si>
  <si>
    <t xml:space="preserve">a.  Up to 50%  </t>
  </si>
  <si>
    <t xml:space="preserve">b.  9-12/Non-Graduate  </t>
  </si>
  <si>
    <t xml:space="preserve">b.  51% to 75%  </t>
  </si>
  <si>
    <t xml:space="preserve">c.  High School Graduate/GED  </t>
  </si>
  <si>
    <t xml:space="preserve">c.  76% to 100%  </t>
  </si>
  <si>
    <t xml:space="preserve">d.  12+ Some Post Secondary  </t>
  </si>
  <si>
    <t xml:space="preserve">d.  101% to 125%  </t>
  </si>
  <si>
    <t xml:space="preserve">e.  2 or 4 years College Graduate  </t>
  </si>
  <si>
    <t xml:space="preserve">e.  126% to 150%  </t>
  </si>
  <si>
    <t>TOTAL**</t>
  </si>
  <si>
    <t xml:space="preserve">f.   151% to 175%  </t>
  </si>
  <si>
    <t>g.  176% to 200%</t>
  </si>
  <si>
    <t>11. Other Characteristics</t>
  </si>
  <si>
    <t>h.  201% and over</t>
  </si>
  <si>
    <t xml:space="preserve">a.  Health Insurance  </t>
  </si>
  <si>
    <t xml:space="preserve">b.  Disabled   </t>
  </si>
  <si>
    <t>16. Housing</t>
  </si>
  <si>
    <t xml:space="preserve">a.  Own  </t>
  </si>
  <si>
    <t>12.  Family Type</t>
  </si>
  <si>
    <t xml:space="preserve">b.  Rent  </t>
  </si>
  <si>
    <t xml:space="preserve">a.  Single Parent Female  </t>
  </si>
  <si>
    <t xml:space="preserve">c.  Homeless  </t>
  </si>
  <si>
    <t xml:space="preserve">b.  Single Parent Male  </t>
  </si>
  <si>
    <r>
      <t>d.  Other</t>
    </r>
    <r>
      <rPr>
        <vertAlign val="superscript"/>
        <sz val="10"/>
        <rFont val="Calibri"/>
        <family val="2"/>
      </rPr>
      <t>†</t>
    </r>
  </si>
  <si>
    <t xml:space="preserve">c.  Two Parent Household  </t>
  </si>
  <si>
    <t xml:space="preserve">d.  Single Person  </t>
  </si>
  <si>
    <t xml:space="preserve">e.  Two Adults NO children  </t>
  </si>
  <si>
    <r>
      <t xml:space="preserve">e. </t>
    </r>
    <r>
      <rPr>
        <vertAlign val="superscript"/>
        <sz val="10"/>
        <rFont val="Arial"/>
        <family val="2"/>
      </rPr>
      <t>†</t>
    </r>
    <r>
      <rPr>
        <sz val="10"/>
        <rFont val="Arial"/>
        <family val="2"/>
      </rPr>
      <t>Please describe housing situations included in 16.d. Other:</t>
    </r>
  </si>
  <si>
    <t xml:space="preserve">f.  Other  </t>
  </si>
  <si>
    <t>*  The sum of this category should not exceed the value of Item 3</t>
  </si>
  <si>
    <t>**  The sum of this category should not exceed the value of Items 8 e-h</t>
  </si>
  <si>
    <t>***  The sum of this category should not exceed the value of Item 5</t>
  </si>
  <si>
    <t>Sec D 2.a</t>
  </si>
  <si>
    <t>Sec D 2.b1</t>
  </si>
  <si>
    <t>Sec D 1.a1</t>
  </si>
  <si>
    <t>Sec D 1.a2</t>
  </si>
  <si>
    <t>Sec D 1.a3</t>
  </si>
  <si>
    <t>Sec D 1.a4</t>
  </si>
  <si>
    <t>Sec D 1.a5</t>
  </si>
  <si>
    <t>Sec D 3.a1</t>
  </si>
  <si>
    <t>Sec D 3.a2</t>
  </si>
  <si>
    <t>Sec D 3.a3</t>
  </si>
  <si>
    <t>Sec D 3.a4</t>
  </si>
  <si>
    <t>Sec D 3.a5</t>
  </si>
  <si>
    <t>Sec D 3.a6</t>
  </si>
  <si>
    <t>Sec D 3.a7</t>
  </si>
  <si>
    <t>Sec D 3.a8</t>
  </si>
  <si>
    <t>Sec D 4.a1</t>
  </si>
  <si>
    <t>Sec D 4.a2</t>
  </si>
  <si>
    <t>Sec D 4.a3</t>
  </si>
  <si>
    <t>Sec D 4.a4</t>
  </si>
  <si>
    <t>Sec D 4.b1</t>
  </si>
  <si>
    <t>Sec D 4.b2</t>
  </si>
  <si>
    <t>Sec D 4.b3</t>
  </si>
  <si>
    <t>Sec D 4.b4</t>
  </si>
  <si>
    <t>Sec F 1</t>
  </si>
  <si>
    <t>Sec E 1.1</t>
  </si>
  <si>
    <t>Sec E 1.2</t>
  </si>
  <si>
    <t>Sec E 1.3</t>
  </si>
  <si>
    <t>Sec E 1.4</t>
  </si>
  <si>
    <t>Sec E 1.5</t>
  </si>
  <si>
    <t>Sec E 1.6</t>
  </si>
  <si>
    <t>Sec E 1.7</t>
  </si>
  <si>
    <t>Sec E 1.8</t>
  </si>
  <si>
    <t>Sec E 1.9</t>
  </si>
  <si>
    <t>Sec E 1.10</t>
  </si>
  <si>
    <t>Sec E 2.1</t>
  </si>
  <si>
    <t>Sec E 2.2</t>
  </si>
  <si>
    <t>Sec F 2</t>
  </si>
  <si>
    <t>Sec F 3</t>
  </si>
  <si>
    <t>Sec F 8</t>
  </si>
  <si>
    <t>Sec F 9</t>
  </si>
  <si>
    <t>Sec F 10</t>
  </si>
  <si>
    <t>Sec F 4a</t>
  </si>
  <si>
    <t>Sec F 4b</t>
  </si>
  <si>
    <t>Sec F 4c</t>
  </si>
  <si>
    <t>Sec F 4d</t>
  </si>
  <si>
    <t>Sec F 4e</t>
  </si>
  <si>
    <t>Sec F 4f</t>
  </si>
  <si>
    <t>Sec F 4g</t>
  </si>
  <si>
    <t>Sec F 4h</t>
  </si>
  <si>
    <t>Sec F 4i</t>
  </si>
  <si>
    <t>Sec F 4j</t>
  </si>
  <si>
    <t>Sec F 4k.1</t>
  </si>
  <si>
    <t>Sec F 4k.2</t>
  </si>
  <si>
    <t>Sec F 4k.3</t>
  </si>
  <si>
    <t>Sec F 4k.4</t>
  </si>
  <si>
    <t>Sec F 4k.total</t>
  </si>
  <si>
    <t>Sec F 5a</t>
  </si>
  <si>
    <t>Sec F 5b</t>
  </si>
  <si>
    <t>Sec F 5c</t>
  </si>
  <si>
    <t>Sec F 6a</t>
  </si>
  <si>
    <t>Sec F 6b</t>
  </si>
  <si>
    <t>Sec F 6c</t>
  </si>
  <si>
    <t>Sec F 6d</t>
  </si>
  <si>
    <t>Sec F 6e</t>
  </si>
  <si>
    <t>Sec F 6f</t>
  </si>
  <si>
    <t>Sec F 6g</t>
  </si>
  <si>
    <t>Sec F 6h</t>
  </si>
  <si>
    <t>Sec F 7a</t>
  </si>
  <si>
    <t>Sec F 7b</t>
  </si>
  <si>
    <t>Sec F 7c</t>
  </si>
  <si>
    <t>Sec F 11</t>
  </si>
  <si>
    <t>Sec F 12</t>
  </si>
  <si>
    <t>Sec F 13</t>
  </si>
  <si>
    <t>Sec F other 1</t>
  </si>
  <si>
    <t>Sec F other 2</t>
  </si>
  <si>
    <t>Sec F other 3</t>
  </si>
  <si>
    <t>Sec F other 4</t>
  </si>
  <si>
    <t>Sec F 14 Total</t>
  </si>
  <si>
    <t>Sec F 15 Total</t>
  </si>
  <si>
    <t>Sec F 16a</t>
  </si>
  <si>
    <t>Sec F 16b</t>
  </si>
  <si>
    <t>Sec F 16c</t>
  </si>
  <si>
    <t>Sec F 16d</t>
  </si>
  <si>
    <t>Sec F 16e</t>
  </si>
  <si>
    <t>Sec F 16f</t>
  </si>
  <si>
    <t>Sec F 16g</t>
  </si>
  <si>
    <t>Sec F 16h</t>
  </si>
  <si>
    <t>Sec F 16i</t>
  </si>
  <si>
    <t>Sec F 16j</t>
  </si>
  <si>
    <t>Sec F 16k</t>
  </si>
  <si>
    <t>Sec F 16l</t>
  </si>
  <si>
    <t>Sec F 16m</t>
  </si>
  <si>
    <t>Sec F 16n</t>
  </si>
  <si>
    <t>Sec F 0.1</t>
  </si>
  <si>
    <t>Sec F 0.2</t>
  </si>
  <si>
    <t>Sec F 0.3</t>
  </si>
  <si>
    <t>Sec F 0.4</t>
  </si>
  <si>
    <t>Sec F O Total</t>
  </si>
  <si>
    <t>Sec F 17</t>
  </si>
  <si>
    <t>Sec F 18</t>
  </si>
  <si>
    <t>Sec F 19a</t>
  </si>
  <si>
    <t>Sec F 19b</t>
  </si>
  <si>
    <t>Sec F 19c</t>
  </si>
  <si>
    <t>Sec F 19d</t>
  </si>
  <si>
    <t>Sec F 20</t>
  </si>
  <si>
    <t>Sec F 21</t>
  </si>
  <si>
    <t>Sec F 22a</t>
  </si>
  <si>
    <t>Sec F 22b</t>
  </si>
  <si>
    <t>Sec F 22c</t>
  </si>
  <si>
    <t>Sec F 22d</t>
  </si>
  <si>
    <t>Sec F 22e</t>
  </si>
  <si>
    <t>Sec F 22f</t>
  </si>
  <si>
    <t>Sec F 23</t>
  </si>
  <si>
    <t>Sec F 24</t>
  </si>
  <si>
    <t>Sec F 25</t>
  </si>
  <si>
    <t>Sec G 2a</t>
  </si>
  <si>
    <t>Sec G 3</t>
  </si>
  <si>
    <t>Sec G 4</t>
  </si>
  <si>
    <t>Sec G 5</t>
  </si>
  <si>
    <t>Sec G 6</t>
  </si>
  <si>
    <t>Sec G 7a</t>
  </si>
  <si>
    <t>Sec G 7b</t>
  </si>
  <si>
    <t>Sec G 8a</t>
  </si>
  <si>
    <t>Sec G 7 Total</t>
  </si>
  <si>
    <t>Sec G 8b</t>
  </si>
  <si>
    <t>Sec G 8c</t>
  </si>
  <si>
    <t>Sec G 8d</t>
  </si>
  <si>
    <t>Sec G 8e</t>
  </si>
  <si>
    <t>Sec G 8f</t>
  </si>
  <si>
    <t>Sec G 8g</t>
  </si>
  <si>
    <t>Sec G 8h</t>
  </si>
  <si>
    <t>Sec G 8 Total</t>
  </si>
  <si>
    <t>Sec G 9.1a</t>
  </si>
  <si>
    <t>Sec G 9.1b</t>
  </si>
  <si>
    <t>Sec G 9.1 Total</t>
  </si>
  <si>
    <t>Sec G 9.2 Total</t>
  </si>
  <si>
    <t>Sec G 10a</t>
  </si>
  <si>
    <t>Sec G 10b</t>
  </si>
  <si>
    <t>Sec G 10c</t>
  </si>
  <si>
    <t>Sec G 10d</t>
  </si>
  <si>
    <t>Sec G 10e</t>
  </si>
  <si>
    <t>Sec G 10 Total</t>
  </si>
  <si>
    <t>Sec G 9.2a</t>
  </si>
  <si>
    <t>Sec G 9.2b</t>
  </si>
  <si>
    <t>Sec G 9.2c</t>
  </si>
  <si>
    <t>Sec G 9.2d</t>
  </si>
  <si>
    <t>Sec G 9.2e</t>
  </si>
  <si>
    <t>Sec G 9.2f</t>
  </si>
  <si>
    <t>Sec G 9.2g</t>
  </si>
  <si>
    <t>Sec G 11a</t>
  </si>
  <si>
    <t>Sec G 11b</t>
  </si>
  <si>
    <t>Sec G 12a</t>
  </si>
  <si>
    <t>Sec G 12b</t>
  </si>
  <si>
    <t>Sec G 12c</t>
  </si>
  <si>
    <t>Sec G 12d</t>
  </si>
  <si>
    <t>Sec G 12e</t>
  </si>
  <si>
    <t>Sec G 12f</t>
  </si>
  <si>
    <t>Sec G 12 Total</t>
  </si>
  <si>
    <t>Sec G 13a</t>
  </si>
  <si>
    <t>Sec G 13b</t>
  </si>
  <si>
    <t>Sec G 13c</t>
  </si>
  <si>
    <t>Sec G 13d</t>
  </si>
  <si>
    <t>Sec G 13e</t>
  </si>
  <si>
    <t>Sec G 13f</t>
  </si>
  <si>
    <t>Sec G 13g</t>
  </si>
  <si>
    <t>Sec G 13h</t>
  </si>
  <si>
    <t>Sec G 13 Total</t>
  </si>
  <si>
    <t>Sec G 14 a</t>
  </si>
  <si>
    <t>Sec G 14 b</t>
  </si>
  <si>
    <t>Sec G 14 Total</t>
  </si>
  <si>
    <t>Sec G 14c</t>
  </si>
  <si>
    <t>Sec G 14d</t>
  </si>
  <si>
    <t>Sec G 14e</t>
  </si>
  <si>
    <t>Sec G 14f</t>
  </si>
  <si>
    <t>Sec G 14g</t>
  </si>
  <si>
    <t>Sec G 14h</t>
  </si>
  <si>
    <t>Sec G 14i</t>
  </si>
  <si>
    <t>Sec G 14j</t>
  </si>
  <si>
    <t>Sec G 14k</t>
  </si>
  <si>
    <t>Sec G 15a</t>
  </si>
  <si>
    <t>Sec G 15b</t>
  </si>
  <si>
    <t>Sec G 15c</t>
  </si>
  <si>
    <t>Sec G 15d</t>
  </si>
  <si>
    <t>Sec G 15e</t>
  </si>
  <si>
    <t>Sec G 15f</t>
  </si>
  <si>
    <t>Sec G 15g</t>
  </si>
  <si>
    <t>Sec G 15h</t>
  </si>
  <si>
    <t>Sec G 15 Total</t>
  </si>
  <si>
    <t>Sec G 16a</t>
  </si>
  <si>
    <t>Sec G 16b</t>
  </si>
  <si>
    <t>Sec G 16c</t>
  </si>
  <si>
    <t>Sec G 16d</t>
  </si>
  <si>
    <t>Sec G 16 Total</t>
  </si>
  <si>
    <t>Sec G 16e</t>
  </si>
  <si>
    <t>Back to Top</t>
  </si>
  <si>
    <t>Next</t>
  </si>
  <si>
    <t>Back to Coversheet</t>
  </si>
  <si>
    <t>3. On what date/s did your tri-partite board meet during this reporting period? (Include a copy of all meeting minutes that occurred during the reporting quarter in your email.)</t>
  </si>
  <si>
    <r>
      <t xml:space="preserve">5. For “Linkages” programs, provide specific activities undertaken, the purpose of the activity and the outcome for the client or community. Describe what kinds of new collaborative partnerships were formed (or strengthened) between your agency and other organizations as a result of the activity. </t>
    </r>
    <r>
      <rPr>
        <b/>
        <u/>
        <sz val="12"/>
        <rFont val="Arial"/>
        <family val="2"/>
      </rPr>
      <t>Simply providing a list of meetings attended is not sufficient.</t>
    </r>
  </si>
  <si>
    <t>Stop - Next Section is for your Agency's Final IS Report - Stop</t>
  </si>
  <si>
    <t>Final "IS" Report (March 31)</t>
  </si>
  <si>
    <t>Click Here to complete your agency's Final IS Report</t>
  </si>
  <si>
    <t>Emergency Services</t>
  </si>
  <si>
    <t>Other</t>
  </si>
  <si>
    <t>Choose From The Dropdown</t>
  </si>
  <si>
    <t>Total: 24 Yrs +</t>
  </si>
  <si>
    <r>
      <t>çç</t>
    </r>
    <r>
      <rPr>
        <b/>
        <sz val="10"/>
        <color theme="1"/>
        <rFont val="Arial"/>
        <family val="2"/>
      </rPr>
      <t>This field has been prepopulated from cell 12d</t>
    </r>
  </si>
  <si>
    <t>emergency Services</t>
  </si>
  <si>
    <t>Program Director Signature (please type your name authorizing submission of this report):</t>
  </si>
  <si>
    <r>
      <t xml:space="preserve">7. What </t>
    </r>
    <r>
      <rPr>
        <b/>
        <sz val="12"/>
        <rFont val="Arial"/>
        <family val="2"/>
      </rPr>
      <t xml:space="preserve">services/assistance </t>
    </r>
    <r>
      <rPr>
        <sz val="12"/>
        <rFont val="Arial"/>
        <family val="2"/>
      </rPr>
      <t>did you provide your clients? List all that apply (separate services by commas). For example:  mortgage/rent assistance, homeownership counseling services, food boxes, job readiness, etc.</t>
    </r>
  </si>
  <si>
    <r>
      <t xml:space="preserve">8. What was the </t>
    </r>
    <r>
      <rPr>
        <b/>
        <sz val="12"/>
        <rFont val="Arial"/>
        <family val="2"/>
      </rPr>
      <t>outcome</t>
    </r>
    <r>
      <rPr>
        <sz val="12"/>
        <rFont val="Arial"/>
        <family val="2"/>
      </rPr>
      <t xml:space="preserve"> for the client as a result of the service? (separate outcomes by commas). For example: unemployed &amp; obtained a job, removed barriers to education, maintained an independent living situation, etc.</t>
    </r>
  </si>
  <si>
    <t>9. How many Persons are more self-sufficient as a result of your services?</t>
  </si>
  <si>
    <t>10. How many Persons moved out of poverty as a result of your services (126% of FPL)?</t>
  </si>
  <si>
    <t>11. Provide one example of the impact of services provided. Give an overall picture, the struggles/accomplishments, partnerships, other resources utilized and how this made an impact to the intended recipient(s). Use additional paper if needed.</t>
  </si>
  <si>
    <t>Please remember that the answers to these questions must relate to your original application and current grant contract.</t>
  </si>
  <si>
    <t>CSBG FINAL IS PROGRAM REPORT DUE MARCH 31 EACH YEAR MUST BE COMPLETED AND ACCOMPANIED WITH: NATIONAL INDICATORS FORMS, SECTIONS D. E. F. AND G.</t>
  </si>
  <si>
    <r>
      <t xml:space="preserve">                                         </t>
    </r>
    <r>
      <rPr>
        <sz val="10"/>
        <rFont val="Arial"/>
        <family val="2"/>
      </rPr>
      <t>v.</t>
    </r>
    <r>
      <rPr>
        <sz val="7"/>
        <rFont val="Times New Roman"/>
        <family val="1"/>
      </rPr>
      <t xml:space="preserve">    </t>
    </r>
    <r>
      <rPr>
        <sz val="10"/>
        <rFont val="Arial"/>
        <family val="2"/>
      </rPr>
      <t>What outcomes have resulted in PY 2012?  If no outcomes yet, when?</t>
    </r>
  </si>
  <si>
    <r>
      <rPr>
        <b/>
        <sz val="10"/>
        <rFont val="Arial"/>
        <family val="2"/>
      </rPr>
      <t>a.</t>
    </r>
    <r>
      <rPr>
        <sz val="10"/>
        <rFont val="Arial"/>
        <family val="2"/>
      </rPr>
      <t xml:space="preserve"> Please describe what you consider to be the top management accomplishment achieved by your State CSBG office during PY 2012.  Show how responsible, informed leadership led to effective and efficient management of CSBG.</t>
    </r>
  </si>
  <si>
    <r>
      <rPr>
        <b/>
        <sz val="10"/>
        <rFont val="Arial"/>
        <family val="2"/>
      </rPr>
      <t xml:space="preserve">b. </t>
    </r>
    <r>
      <rPr>
        <sz val="10"/>
        <rFont val="Arial"/>
        <family val="2"/>
      </rPr>
      <t>Please describe what you consider to be the top three management accomplishments achieved by your agencies during PY 2012.  Show how responsible, informed leadership and effective, efficient processes led to high-quality, accessible, and well-managed services.</t>
    </r>
  </si>
  <si>
    <r>
      <t>Ø</t>
    </r>
    <r>
      <rPr>
        <sz val="7"/>
        <rFont val="Times New Roman"/>
        <family val="1"/>
      </rPr>
      <t xml:space="preserve">  </t>
    </r>
    <r>
      <rPr>
        <sz val="10"/>
        <rFont val="Arial"/>
        <family val="2"/>
      </rPr>
      <t>Click on the Cell, and then click on arrow to the right of the Cell.</t>
    </r>
  </si>
  <si>
    <t>Table 2: Of the funding listed in Table 1: Funds for Services by Demographic Category, PY 2012</t>
  </si>
  <si>
    <t xml:space="preserve">Table 1: Total amount of CSBG funds expended in Program Year 2012 by Service Category </t>
  </si>
  <si>
    <t>Amount of PY 2012 CSBG allocated to reporting agencies</t>
  </si>
  <si>
    <t xml:space="preserve"> PY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</si>
</sst>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5" formatCode="&quot;$&quot;#,##0_);\(&quot;$&quot;#,##0\)"/>
    <numFmt numFmtId="42" formatCode="_(&quot;$&quot;* #,##0_);_(&quot;$&quot;* \(#,##0\);_(&quot;$&quot;* &quot;-&quot;_);_(@_)"/>
    <numFmt numFmtId="44" formatCode="_(&quot;$&quot;* #,##0.00_);_(&quot;$&quot;* \(#,##0.00\);_(&quot;$&quot;* &quot;-&quot;??_);_(@_)"/>
    <numFmt numFmtId="164" formatCode="&quot;$&quot;#,##0"/>
  </numFmts>
  <fonts count="55">
    <font>
      <sz val="10"/>
      <name val="Arial"/>
    </font>
    <font>
      <b/>
      <i/>
      <sz val="14"/>
      <name val="Arial"/>
      <family val="2"/>
    </font>
    <font>
      <sz val="14"/>
      <name val="Arial"/>
      <family val="2"/>
    </font>
    <font>
      <b/>
      <sz val="10"/>
      <name val="Arial"/>
      <family val="2"/>
    </font>
    <font>
      <b/>
      <u/>
      <sz val="10"/>
      <name val="Arial"/>
      <family val="2"/>
    </font>
    <font>
      <u/>
      <sz val="10"/>
      <name val="Arial"/>
      <family val="2"/>
    </font>
    <font>
      <sz val="10"/>
      <name val="Arial"/>
      <family val="2"/>
    </font>
    <font>
      <i/>
      <sz val="10"/>
      <name val="Arial"/>
      <family val="2"/>
    </font>
    <font>
      <b/>
      <sz val="14"/>
      <name val="Arial"/>
      <family val="2"/>
    </font>
    <font>
      <sz val="8"/>
      <name val="Arial"/>
      <family val="2"/>
    </font>
    <font>
      <sz val="8"/>
      <name val="Times New Roman"/>
      <family val="1"/>
    </font>
    <font>
      <i/>
      <sz val="9"/>
      <name val="Arial"/>
      <family val="2"/>
    </font>
    <font>
      <sz val="11"/>
      <name val="Arial"/>
      <family val="2"/>
    </font>
    <font>
      <sz val="14"/>
      <name val="Arial"/>
      <family val="2"/>
    </font>
    <font>
      <u/>
      <sz val="10"/>
      <name val="Arial"/>
      <family val="2"/>
    </font>
    <font>
      <b/>
      <sz val="16"/>
      <name val="Arial"/>
      <family val="2"/>
    </font>
    <font>
      <b/>
      <sz val="13"/>
      <name val="Arial"/>
      <family val="2"/>
    </font>
    <font>
      <sz val="9"/>
      <name val="Times New Roman"/>
      <family val="1"/>
    </font>
    <font>
      <sz val="12"/>
      <name val="Times New Roman"/>
      <family val="1"/>
    </font>
    <font>
      <b/>
      <i/>
      <sz val="10"/>
      <name val="Arial"/>
      <family val="2"/>
    </font>
    <font>
      <sz val="10"/>
      <color indexed="17"/>
      <name val="Arial"/>
      <family val="2"/>
    </font>
    <font>
      <sz val="11"/>
      <color rgb="FF006100"/>
      <name val="Calibri"/>
      <family val="2"/>
      <scheme val="minor"/>
    </font>
    <font>
      <b/>
      <sz val="10"/>
      <color rgb="FF0000FF"/>
      <name val="Arial"/>
      <family val="2"/>
    </font>
    <font>
      <b/>
      <sz val="12"/>
      <name val="Arial"/>
      <family val="2"/>
    </font>
    <font>
      <sz val="12"/>
      <name val="Arial"/>
      <family val="2"/>
    </font>
    <font>
      <b/>
      <i/>
      <sz val="12"/>
      <name val="Arial"/>
      <family val="2"/>
    </font>
    <font>
      <b/>
      <sz val="16"/>
      <color rgb="FF000000"/>
      <name val="Arial"/>
      <family val="2"/>
    </font>
    <font>
      <sz val="10"/>
      <name val="Wingdings"/>
      <charset val="2"/>
    </font>
    <font>
      <sz val="7"/>
      <name val="Times New Roman"/>
      <family val="1"/>
    </font>
    <font>
      <b/>
      <sz val="7"/>
      <name val="Times New Roman"/>
      <family val="1"/>
    </font>
    <font>
      <sz val="10"/>
      <color rgb="FFFF0000"/>
      <name val="Arial"/>
      <family val="2"/>
    </font>
    <font>
      <b/>
      <sz val="9"/>
      <name val="Arial"/>
      <family val="2"/>
    </font>
    <font>
      <sz val="9"/>
      <name val="Arial"/>
      <family val="2"/>
    </font>
    <font>
      <b/>
      <sz val="10"/>
      <color indexed="10"/>
      <name val="Arial"/>
      <family val="2"/>
    </font>
    <font>
      <sz val="10"/>
      <color indexed="10"/>
      <name val="Arial"/>
      <family val="2"/>
    </font>
    <font>
      <b/>
      <sz val="8"/>
      <color indexed="81"/>
      <name val="Tahoma"/>
      <family val="2"/>
    </font>
    <font>
      <sz val="8"/>
      <color indexed="81"/>
      <name val="Tahoma"/>
      <family val="2"/>
    </font>
    <font>
      <b/>
      <sz val="11"/>
      <name val="Arial"/>
      <family val="2"/>
    </font>
    <font>
      <b/>
      <u/>
      <sz val="11"/>
      <name val="Arial"/>
      <family val="2"/>
    </font>
    <font>
      <b/>
      <i/>
      <sz val="10"/>
      <color indexed="8"/>
      <name val="Arial"/>
      <family val="2"/>
    </font>
    <font>
      <b/>
      <sz val="10"/>
      <color indexed="8"/>
      <name val="Arial"/>
      <family val="2"/>
    </font>
    <font>
      <i/>
      <sz val="10"/>
      <color indexed="12"/>
      <name val="Arial"/>
      <family val="2"/>
    </font>
    <font>
      <b/>
      <sz val="8"/>
      <color indexed="10"/>
      <name val="Arial"/>
      <family val="2"/>
    </font>
    <font>
      <vertAlign val="superscript"/>
      <sz val="10"/>
      <name val="Calibri"/>
      <family val="2"/>
    </font>
    <font>
      <sz val="10"/>
      <name val="Calibri"/>
      <family val="2"/>
    </font>
    <font>
      <vertAlign val="superscript"/>
      <sz val="10"/>
      <name val="Arial"/>
      <family val="2"/>
    </font>
    <font>
      <u/>
      <sz val="10"/>
      <color theme="10"/>
      <name val="Arial"/>
      <family val="2"/>
    </font>
    <font>
      <u/>
      <sz val="18"/>
      <color theme="10"/>
      <name val="Arial"/>
      <family val="2"/>
    </font>
    <font>
      <b/>
      <sz val="20"/>
      <color rgb="FFFF0000"/>
      <name val="Arial"/>
      <family val="2"/>
    </font>
    <font>
      <b/>
      <u/>
      <sz val="12"/>
      <name val="Arial"/>
      <family val="2"/>
    </font>
    <font>
      <sz val="10"/>
      <name val="French Script MT"/>
      <family val="4"/>
    </font>
    <font>
      <sz val="12"/>
      <color theme="1"/>
      <name val="Calibri"/>
      <family val="2"/>
    </font>
    <font>
      <sz val="12"/>
      <color theme="1"/>
      <name val="Arial"/>
      <family val="2"/>
    </font>
    <font>
      <b/>
      <sz val="10"/>
      <color theme="1"/>
      <name val="Arial"/>
      <family val="2"/>
    </font>
    <font>
      <b/>
      <sz val="10"/>
      <color rgb="FFFF0000"/>
      <name val="Wingdings"/>
      <charset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rgb="FFC6EFCE"/>
      </patternFill>
    </fill>
    <fill>
      <patternFill patternType="solid">
        <fgColor theme="0" tint="-0.14999847407452621"/>
        <bgColor indexed="64"/>
      </patternFill>
    </fill>
    <fill>
      <patternFill patternType="solid">
        <fgColor rgb="FFFFFF00"/>
        <bgColor indexed="64"/>
      </patternFill>
    </fill>
    <fill>
      <patternFill patternType="solid">
        <fgColor theme="8" tint="0.59999389629810485"/>
        <bgColor indexed="64"/>
      </patternFill>
    </fill>
    <fill>
      <patternFill patternType="solid">
        <fgColor indexed="42"/>
        <bgColor indexed="64"/>
      </patternFill>
    </fill>
    <fill>
      <patternFill patternType="solid">
        <fgColor theme="0" tint="-0.249977111117893"/>
        <bgColor indexed="64"/>
      </patternFill>
    </fill>
  </fills>
  <borders count="47">
    <border>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right/>
      <top/>
      <bottom style="double">
        <color rgb="FF0000FF"/>
      </bottom>
      <diagonal/>
    </border>
    <border>
      <left style="double">
        <color indexed="64"/>
      </left>
      <right style="double">
        <color rgb="FF0000FF"/>
      </right>
      <top style="double">
        <color indexed="64"/>
      </top>
      <bottom style="double">
        <color indexed="64"/>
      </bottom>
      <diagonal/>
    </border>
    <border>
      <left style="double">
        <color rgb="FF0000FF"/>
      </left>
      <right style="double">
        <color rgb="FF0000FF"/>
      </right>
      <top style="double">
        <color indexed="64"/>
      </top>
      <bottom style="double">
        <color indexed="64"/>
      </bottom>
      <diagonal/>
    </border>
    <border>
      <left style="double">
        <color indexed="64"/>
      </left>
      <right/>
      <top/>
      <bottom/>
      <diagonal/>
    </border>
    <border>
      <left style="double">
        <color rgb="FF0000FF"/>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rgb="FF0000FF"/>
      </left>
      <right style="double">
        <color indexed="64"/>
      </right>
      <top style="double">
        <color indexed="64"/>
      </top>
      <bottom style="double">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1" fillId="5" borderId="0" applyNumberFormat="0" applyBorder="0" applyAlignment="0" applyProtection="0"/>
    <xf numFmtId="44" fontId="6" fillId="0" borderId="0" applyFont="0" applyFill="0" applyBorder="0" applyAlignment="0" applyProtection="0"/>
    <xf numFmtId="0" fontId="46" fillId="0" borderId="0" applyNumberFormat="0" applyFill="0" applyBorder="0" applyAlignment="0" applyProtection="0">
      <alignment vertical="top"/>
      <protection locked="0"/>
    </xf>
  </cellStyleXfs>
  <cellXfs count="792">
    <xf numFmtId="0" fontId="0" fillId="0" borderId="0" xfId="0"/>
    <xf numFmtId="0" fontId="1" fillId="0" borderId="0" xfId="0" applyFont="1" applyFill="1"/>
    <xf numFmtId="0" fontId="0" fillId="2" borderId="1" xfId="0" applyFill="1" applyBorder="1" applyAlignment="1">
      <alignment horizontal="center"/>
    </xf>
    <xf numFmtId="0" fontId="0" fillId="2" borderId="2" xfId="0" applyFill="1" applyBorder="1"/>
    <xf numFmtId="0" fontId="0" fillId="2" borderId="1" xfId="0" applyFill="1" applyBorder="1"/>
    <xf numFmtId="0" fontId="0" fillId="2" borderId="3" xfId="0" applyFill="1" applyBorder="1" applyAlignment="1">
      <alignment horizontal="center"/>
    </xf>
    <xf numFmtId="0" fontId="4" fillId="2" borderId="0" xfId="0" applyFont="1" applyFill="1" applyBorder="1" applyAlignment="1">
      <alignment horizontal="left"/>
    </xf>
    <xf numFmtId="0" fontId="0" fillId="2" borderId="3" xfId="0" applyFill="1" applyBorder="1"/>
    <xf numFmtId="0" fontId="3" fillId="2" borderId="0" xfId="0" applyFont="1" applyFill="1" applyBorder="1" applyAlignment="1">
      <alignment horizontal="left"/>
    </xf>
    <xf numFmtId="0" fontId="0" fillId="2" borderId="0" xfId="0" applyFill="1" applyBorder="1"/>
    <xf numFmtId="0" fontId="0" fillId="2" borderId="0" xfId="0" applyFill="1" applyBorder="1" applyAlignment="1">
      <alignment horizontal="left"/>
    </xf>
    <xf numFmtId="0" fontId="3" fillId="2" borderId="3" xfId="0" applyFont="1" applyFill="1" applyBorder="1" applyAlignment="1">
      <alignment horizontal="center"/>
    </xf>
    <xf numFmtId="0" fontId="0" fillId="2" borderId="4" xfId="0" applyFill="1" applyBorder="1" applyAlignment="1">
      <alignment horizontal="left"/>
    </xf>
    <xf numFmtId="0" fontId="0" fillId="2" borderId="5" xfId="0" applyFill="1" applyBorder="1"/>
    <xf numFmtId="0" fontId="0" fillId="0" borderId="0" xfId="0" applyFill="1" applyBorder="1"/>
    <xf numFmtId="0" fontId="0" fillId="0" borderId="0" xfId="0" applyFill="1" applyAlignment="1">
      <alignment horizontal="center"/>
    </xf>
    <xf numFmtId="0" fontId="0" fillId="0" borderId="0" xfId="0" applyFill="1"/>
    <xf numFmtId="0" fontId="0" fillId="2" borderId="6" xfId="0" applyFill="1" applyBorder="1"/>
    <xf numFmtId="0" fontId="3" fillId="2" borderId="1" xfId="0" applyFont="1" applyFill="1" applyBorder="1" applyAlignment="1">
      <alignment horizontal="center"/>
    </xf>
    <xf numFmtId="0" fontId="4" fillId="2" borderId="7" xfId="0" applyFont="1" applyFill="1" applyBorder="1"/>
    <xf numFmtId="0" fontId="0" fillId="2" borderId="7" xfId="0" applyFill="1" applyBorder="1"/>
    <xf numFmtId="0" fontId="3" fillId="2" borderId="7" xfId="0" applyFont="1" applyFill="1" applyBorder="1"/>
    <xf numFmtId="0" fontId="0" fillId="2" borderId="8" xfId="0" applyFill="1" applyBorder="1"/>
    <xf numFmtId="0" fontId="3" fillId="2" borderId="9" xfId="0" applyFont="1" applyFill="1" applyBorder="1" applyAlignment="1">
      <alignment horizontal="center"/>
    </xf>
    <xf numFmtId="0" fontId="0" fillId="2" borderId="11" xfId="0" applyFill="1" applyBorder="1"/>
    <xf numFmtId="0" fontId="0" fillId="2" borderId="4" xfId="0" applyFill="1" applyBorder="1"/>
    <xf numFmtId="0" fontId="0" fillId="0" borderId="11" xfId="0" applyFill="1" applyBorder="1"/>
    <xf numFmtId="0" fontId="0" fillId="0" borderId="4" xfId="0" applyFill="1" applyBorder="1"/>
    <xf numFmtId="0" fontId="0" fillId="0" borderId="0" xfId="0" applyFill="1" applyProtection="1">
      <protection locked="0"/>
    </xf>
    <xf numFmtId="0" fontId="0" fillId="0" borderId="0" xfId="0" applyFill="1" applyBorder="1" applyAlignment="1" applyProtection="1">
      <protection locked="0"/>
    </xf>
    <xf numFmtId="0" fontId="8" fillId="0" borderId="0" xfId="0" applyFont="1" applyFill="1"/>
    <xf numFmtId="0" fontId="3" fillId="0" borderId="0" xfId="0" applyFont="1" applyFill="1"/>
    <xf numFmtId="0" fontId="0" fillId="2" borderId="10" xfId="0" applyFill="1" applyBorder="1"/>
    <xf numFmtId="0" fontId="0" fillId="3" borderId="0" xfId="0" applyFill="1" applyBorder="1"/>
    <xf numFmtId="0" fontId="6" fillId="0" borderId="0" xfId="0" applyFont="1"/>
    <xf numFmtId="0" fontId="3" fillId="2" borderId="3" xfId="0" applyFont="1" applyFill="1" applyBorder="1"/>
    <xf numFmtId="0" fontId="7" fillId="0" borderId="0" xfId="0" applyFont="1" applyFill="1"/>
    <xf numFmtId="0" fontId="12" fillId="0" borderId="0" xfId="0" applyFont="1" applyFill="1"/>
    <xf numFmtId="0" fontId="13" fillId="0" borderId="0" xfId="0" applyFont="1" applyFill="1"/>
    <xf numFmtId="0" fontId="0" fillId="0" borderId="4" xfId="0" applyFill="1" applyBorder="1" applyAlignment="1">
      <alignment horizontal="center"/>
    </xf>
    <xf numFmtId="0" fontId="0" fillId="0" borderId="0" xfId="0" applyFill="1" applyBorder="1" applyAlignment="1">
      <alignment horizontal="center"/>
    </xf>
    <xf numFmtId="0" fontId="0" fillId="0" borderId="0"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5" fillId="2" borderId="0" xfId="0" applyFont="1" applyFill="1" applyBorder="1"/>
    <xf numFmtId="0" fontId="0" fillId="0" borderId="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2" borderId="2" xfId="0" applyFill="1" applyBorder="1" applyAlignment="1">
      <alignment horizontal="center"/>
    </xf>
    <xf numFmtId="0" fontId="3" fillId="2" borderId="2" xfId="0" applyFont="1" applyFill="1" applyBorder="1" applyAlignment="1">
      <alignment horizontal="center"/>
    </xf>
    <xf numFmtId="0" fontId="3" fillId="2" borderId="5" xfId="0" applyFont="1" applyFill="1" applyBorder="1" applyAlignment="1">
      <alignment horizontal="center"/>
    </xf>
    <xf numFmtId="0" fontId="0" fillId="0" borderId="0" xfId="0" applyFill="1" applyBorder="1" applyAlignment="1" applyProtection="1">
      <alignment horizontal="center" vertical="center"/>
      <protection locked="0"/>
    </xf>
    <xf numFmtId="0" fontId="6" fillId="0" borderId="0" xfId="0" applyFont="1" applyFill="1"/>
    <xf numFmtId="9" fontId="0" fillId="0" borderId="0" xfId="0" applyNumberFormat="1"/>
    <xf numFmtId="0" fontId="0" fillId="2" borderId="10"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 xfId="0" applyFill="1" applyBorder="1" applyAlignment="1" applyProtection="1">
      <alignment horizontal="center" vertical="center"/>
      <protection locked="0"/>
    </xf>
    <xf numFmtId="0" fontId="6" fillId="0" borderId="0" xfId="0" applyFont="1" applyFill="1" applyAlignment="1">
      <alignment horizontal="center"/>
    </xf>
    <xf numFmtId="0" fontId="0" fillId="0" borderId="0" xfId="0" applyFill="1" applyBorder="1" applyAlignment="1"/>
    <xf numFmtId="0" fontId="3" fillId="0" borderId="0" xfId="0" applyFont="1" applyFill="1" applyBorder="1" applyAlignment="1">
      <alignment horizontal="center"/>
    </xf>
    <xf numFmtId="0" fontId="0" fillId="0" borderId="16" xfId="0" applyFill="1" applyBorder="1"/>
    <xf numFmtId="0" fontId="0" fillId="0" borderId="17" xfId="0" applyFill="1" applyBorder="1"/>
    <xf numFmtId="0" fontId="0" fillId="0" borderId="18" xfId="0" applyFill="1" applyBorder="1"/>
    <xf numFmtId="0" fontId="0" fillId="0" borderId="19" xfId="0" applyFill="1" applyBorder="1"/>
    <xf numFmtId="0" fontId="0" fillId="0" borderId="15" xfId="0" applyFill="1" applyBorder="1"/>
    <xf numFmtId="0" fontId="0" fillId="0" borderId="20" xfId="0" applyFill="1" applyBorder="1"/>
    <xf numFmtId="0" fontId="0" fillId="0" borderId="21" xfId="0" applyFill="1" applyBorder="1"/>
    <xf numFmtId="0" fontId="0" fillId="0" borderId="22" xfId="0" applyFill="1" applyBorder="1"/>
    <xf numFmtId="0" fontId="0" fillId="0" borderId="23" xfId="0" applyFill="1" applyBorder="1"/>
    <xf numFmtId="0" fontId="4" fillId="2" borderId="11" xfId="0" applyFont="1" applyFill="1" applyBorder="1" applyAlignment="1"/>
    <xf numFmtId="0" fontId="4" fillId="2" borderId="7" xfId="0" applyFont="1" applyFill="1" applyBorder="1" applyAlignment="1"/>
    <xf numFmtId="0" fontId="4" fillId="2" borderId="0" xfId="0" applyFont="1" applyFill="1" applyBorder="1" applyAlignment="1"/>
    <xf numFmtId="0" fontId="3" fillId="2" borderId="7" xfId="0" applyFont="1" applyFill="1" applyBorder="1" applyAlignment="1"/>
    <xf numFmtId="0" fontId="4" fillId="2" borderId="2" xfId="0" applyFont="1" applyFill="1" applyBorder="1" applyAlignment="1"/>
    <xf numFmtId="0" fontId="17" fillId="0" borderId="0" xfId="0" applyFont="1" applyBorder="1" applyAlignment="1">
      <alignment vertical="top" wrapText="1"/>
    </xf>
    <xf numFmtId="0" fontId="0" fillId="2" borderId="0" xfId="0" applyFill="1"/>
    <xf numFmtId="0" fontId="6" fillId="2" borderId="8" xfId="0" applyFont="1" applyFill="1" applyBorder="1"/>
    <xf numFmtId="0" fontId="6" fillId="2" borderId="7" xfId="0" applyFont="1" applyFill="1" applyBorder="1"/>
    <xf numFmtId="0" fontId="0" fillId="2" borderId="11" xfId="0" applyFill="1" applyBorder="1" applyAlignment="1">
      <alignment horizontal="center"/>
    </xf>
    <xf numFmtId="0" fontId="0" fillId="2" borderId="6" xfId="0" applyFill="1" applyBorder="1" applyAlignment="1">
      <alignment horizontal="center"/>
    </xf>
    <xf numFmtId="0" fontId="5" fillId="2" borderId="2" xfId="0" applyFont="1" applyFill="1" applyBorder="1"/>
    <xf numFmtId="0" fontId="0" fillId="2" borderId="10" xfId="0" applyFill="1" applyBorder="1" applyAlignment="1">
      <alignment horizontal="center"/>
    </xf>
    <xf numFmtId="10" fontId="0" fillId="2" borderId="1" xfId="0" applyNumberFormat="1" applyFill="1" applyBorder="1" applyAlignment="1" applyProtection="1">
      <alignment horizontal="center" vertical="center"/>
    </xf>
    <xf numFmtId="44" fontId="0" fillId="2" borderId="1" xfId="0" applyNumberFormat="1" applyFill="1" applyBorder="1" applyAlignment="1" applyProtection="1">
      <alignment horizontal="center" vertical="center"/>
    </xf>
    <xf numFmtId="0" fontId="7" fillId="0" borderId="0" xfId="0" applyFont="1" applyFill="1" applyBorder="1" applyAlignment="1"/>
    <xf numFmtId="3" fontId="0" fillId="0" borderId="9" xfId="0" applyNumberFormat="1" applyFill="1" applyBorder="1" applyAlignment="1" applyProtection="1">
      <alignment horizontal="center" vertical="center"/>
      <protection locked="0"/>
    </xf>
    <xf numFmtId="0" fontId="5" fillId="2" borderId="7" xfId="0" applyFont="1" applyFill="1" applyBorder="1"/>
    <xf numFmtId="0" fontId="3" fillId="2" borderId="3" xfId="1" applyFont="1" applyFill="1" applyBorder="1" applyAlignment="1">
      <alignment horizontal="center"/>
    </xf>
    <xf numFmtId="0" fontId="6" fillId="2" borderId="0" xfId="0" applyFont="1" applyFill="1" applyBorder="1"/>
    <xf numFmtId="0" fontId="3" fillId="2" borderId="0" xfId="0" applyFont="1" applyFill="1" applyBorder="1"/>
    <xf numFmtId="3" fontId="0" fillId="0" borderId="24" xfId="0" applyNumberFormat="1" applyFill="1" applyBorder="1" applyAlignment="1" applyProtection="1">
      <alignment horizontal="center" vertical="center"/>
      <protection locked="0"/>
    </xf>
    <xf numFmtId="3" fontId="0" fillId="0" borderId="24" xfId="0" applyNumberFormat="1" applyFill="1" applyBorder="1" applyAlignment="1">
      <alignment horizontal="center" vertical="center"/>
    </xf>
    <xf numFmtId="0" fontId="14" fillId="2" borderId="0" xfId="0" applyFont="1" applyFill="1" applyBorder="1"/>
    <xf numFmtId="0" fontId="0" fillId="2" borderId="6" xfId="0" applyFill="1" applyBorder="1" applyAlignment="1" applyProtection="1">
      <alignment horizontal="center" vertical="center"/>
      <protection locked="0"/>
    </xf>
    <xf numFmtId="0" fontId="6" fillId="2" borderId="7" xfId="1" applyFont="1" applyFill="1" applyBorder="1"/>
    <xf numFmtId="0" fontId="20" fillId="2" borderId="0" xfId="1" applyFont="1" applyFill="1" applyBorder="1"/>
    <xf numFmtId="0" fontId="4" fillId="2" borderId="6" xfId="0" applyFont="1" applyFill="1" applyBorder="1" applyAlignment="1"/>
    <xf numFmtId="3" fontId="0" fillId="0" borderId="1" xfId="0" applyNumberFormat="1" applyFill="1" applyBorder="1" applyAlignment="1" applyProtection="1">
      <alignment horizontal="center" vertical="center"/>
      <protection locked="0"/>
    </xf>
    <xf numFmtId="3" fontId="0" fillId="0" borderId="1" xfId="0" applyNumberFormat="1" applyFill="1" applyBorder="1" applyAlignment="1" applyProtection="1">
      <alignment horizontal="center" vertical="center"/>
      <protection locked="0"/>
    </xf>
    <xf numFmtId="5" fontId="0" fillId="0" borderId="1" xfId="0" applyNumberFormat="1" applyFill="1" applyBorder="1" applyAlignment="1" applyProtection="1">
      <alignment horizontal="center" vertical="center"/>
    </xf>
    <xf numFmtId="9" fontId="0" fillId="0" borderId="1" xfId="0" applyNumberFormat="1" applyFill="1" applyBorder="1" applyAlignment="1" applyProtection="1">
      <alignment horizontal="center" vertical="center"/>
    </xf>
    <xf numFmtId="0" fontId="0" fillId="2" borderId="3" xfId="0" applyFill="1" applyBorder="1" applyAlignment="1">
      <alignment horizontal="center"/>
    </xf>
    <xf numFmtId="3" fontId="6" fillId="0" borderId="1" xfId="0" applyNumberFormat="1" applyFont="1" applyFill="1" applyBorder="1" applyAlignment="1">
      <alignment horizontal="center" vertical="center"/>
    </xf>
    <xf numFmtId="9" fontId="0" fillId="0" borderId="1" xfId="0" applyNumberFormat="1" applyFill="1" applyBorder="1" applyAlignment="1" applyProtection="1">
      <alignment horizontal="center" vertical="center"/>
      <protection locked="0"/>
    </xf>
    <xf numFmtId="9" fontId="0" fillId="0" borderId="10" xfId="0" applyNumberFormat="1" applyFill="1" applyBorder="1" applyAlignment="1" applyProtection="1">
      <alignment horizontal="center" vertical="center"/>
    </xf>
    <xf numFmtId="5" fontId="0" fillId="0" borderId="1" xfId="0" applyNumberFormat="1" applyFill="1" applyBorder="1" applyAlignment="1" applyProtection="1">
      <alignment horizontal="center" vertical="center"/>
      <protection locked="0"/>
    </xf>
    <xf numFmtId="44" fontId="8" fillId="4" borderId="1" xfId="0" applyNumberFormat="1" applyFont="1" applyFill="1" applyBorder="1" applyAlignment="1" applyProtection="1">
      <alignment horizontal="center" vertical="center"/>
    </xf>
    <xf numFmtId="44" fontId="8" fillId="4" borderId="6" xfId="0" applyNumberFormat="1" applyFont="1" applyFill="1" applyBorder="1" applyAlignment="1" applyProtection="1">
      <alignment horizontal="center" vertical="center"/>
    </xf>
    <xf numFmtId="5" fontId="6" fillId="0" borderId="1" xfId="0" applyNumberFormat="1" applyFont="1" applyFill="1" applyBorder="1" applyAlignment="1">
      <alignment horizontal="center" vertical="center"/>
    </xf>
    <xf numFmtId="5" fontId="0" fillId="0" borderId="6" xfId="0" applyNumberFormat="1" applyFill="1" applyBorder="1" applyAlignment="1" applyProtection="1">
      <alignment horizontal="center" vertical="center"/>
      <protection locked="0"/>
    </xf>
    <xf numFmtId="3" fontId="0" fillId="3" borderId="1" xfId="0" applyNumberFormat="1" applyFill="1" applyBorder="1" applyAlignment="1" applyProtection="1">
      <alignment horizontal="center" vertical="center"/>
      <protection locked="0"/>
    </xf>
    <xf numFmtId="0" fontId="0" fillId="0" borderId="0" xfId="0" applyFill="1" applyBorder="1" applyAlignment="1">
      <alignment horizontal="center"/>
    </xf>
    <xf numFmtId="9" fontId="0" fillId="0" borderId="1" xfId="0" applyNumberFormat="1" applyFill="1" applyBorder="1" applyAlignment="1" applyProtection="1">
      <alignment vertical="center"/>
    </xf>
    <xf numFmtId="0" fontId="3" fillId="0" borderId="12" xfId="0" applyFont="1" applyFill="1" applyBorder="1" applyAlignment="1">
      <alignment vertical="center"/>
    </xf>
    <xf numFmtId="0" fontId="3" fillId="0" borderId="13" xfId="0" applyFont="1" applyFill="1" applyBorder="1" applyAlignment="1">
      <alignment vertical="center"/>
    </xf>
    <xf numFmtId="0" fontId="3" fillId="0" borderId="14" xfId="0" applyFont="1" applyFill="1" applyBorder="1" applyAlignment="1">
      <alignment vertical="center"/>
    </xf>
    <xf numFmtId="3" fontId="0" fillId="0" borderId="1" xfId="0" applyNumberFormat="1" applyFill="1" applyBorder="1" applyAlignment="1" applyProtection="1">
      <alignment horizontal="center" vertical="center"/>
      <protection locked="0"/>
    </xf>
    <xf numFmtId="0" fontId="0" fillId="2" borderId="2" xfId="0" applyFill="1" applyBorder="1" applyAlignment="1">
      <alignment horizontal="center"/>
    </xf>
    <xf numFmtId="9" fontId="0" fillId="0" borderId="0" xfId="0" applyNumberFormat="1" applyFill="1" applyBorder="1" applyAlignment="1" applyProtection="1">
      <alignment horizontal="center" vertical="center"/>
    </xf>
    <xf numFmtId="3" fontId="0" fillId="0" borderId="1" xfId="0" applyNumberFormat="1" applyFill="1" applyBorder="1" applyAlignment="1">
      <alignment horizontal="center" vertical="center"/>
    </xf>
    <xf numFmtId="0" fontId="0" fillId="0" borderId="0" xfId="0" applyAlignment="1">
      <alignment horizontal="center"/>
    </xf>
    <xf numFmtId="0" fontId="0" fillId="0" borderId="24" xfId="0" applyBorder="1"/>
    <xf numFmtId="0" fontId="22" fillId="0" borderId="24" xfId="0" applyFont="1" applyBorder="1" applyAlignment="1">
      <alignment horizontal="center" vertical="center"/>
    </xf>
    <xf numFmtId="0" fontId="22" fillId="0" borderId="24" xfId="0" applyFont="1" applyBorder="1" applyAlignment="1">
      <alignment horizontal="center" vertical="center" wrapText="1"/>
    </xf>
    <xf numFmtId="0" fontId="22" fillId="0" borderId="1" xfId="0" applyFont="1" applyBorder="1" applyAlignment="1">
      <alignment vertical="center" wrapText="1"/>
    </xf>
    <xf numFmtId="3" fontId="6" fillId="0" borderId="1" xfId="0" applyNumberFormat="1" applyFont="1" applyFill="1" applyBorder="1" applyAlignment="1">
      <alignment vertical="center"/>
    </xf>
    <xf numFmtId="5" fontId="6" fillId="0" borderId="1" xfId="0" applyNumberFormat="1" applyFont="1" applyFill="1" applyBorder="1" applyAlignment="1" applyProtection="1">
      <alignment vertical="center"/>
    </xf>
    <xf numFmtId="9" fontId="0" fillId="0" borderId="24" xfId="0" applyNumberFormat="1" applyFill="1" applyBorder="1" applyAlignment="1" applyProtection="1">
      <alignment horizontal="center" vertical="center"/>
    </xf>
    <xf numFmtId="5" fontId="6" fillId="0" borderId="24" xfId="0" applyNumberFormat="1" applyFont="1" applyFill="1" applyBorder="1" applyAlignment="1" applyProtection="1">
      <alignment horizontal="center" vertical="center"/>
    </xf>
    <xf numFmtId="5" fontId="0" fillId="0" borderId="24" xfId="0" applyNumberFormat="1" applyFill="1" applyBorder="1" applyAlignment="1" applyProtection="1">
      <alignment horizontal="center" vertical="center"/>
    </xf>
    <xf numFmtId="3" fontId="0" fillId="0" borderId="24" xfId="0" applyNumberFormat="1" applyBorder="1" applyAlignment="1">
      <alignment horizontal="center" vertical="center"/>
    </xf>
    <xf numFmtId="5" fontId="0" fillId="0" borderId="24" xfId="0" applyNumberFormat="1" applyBorder="1" applyAlignment="1">
      <alignment horizontal="center" vertical="center"/>
    </xf>
    <xf numFmtId="0" fontId="0" fillId="0" borderId="0" xfId="0" applyAlignment="1">
      <alignment vertical="center"/>
    </xf>
    <xf numFmtId="3" fontId="0" fillId="3" borderId="24" xfId="0" applyNumberFormat="1" applyFill="1" applyBorder="1" applyAlignment="1" applyProtection="1">
      <alignment horizontal="center" vertical="center"/>
      <protection locked="0"/>
    </xf>
    <xf numFmtId="3" fontId="0" fillId="0" borderId="1" xfId="0" applyNumberFormat="1" applyFill="1" applyBorder="1" applyAlignment="1" applyProtection="1">
      <alignment horizontal="center" vertical="center"/>
      <protection locked="0"/>
    </xf>
    <xf numFmtId="3" fontId="0" fillId="0" borderId="3" xfId="0" applyNumberFormat="1" applyFill="1" applyBorder="1" applyAlignment="1" applyProtection="1">
      <alignment horizontal="center" vertical="center"/>
      <protection locked="0"/>
    </xf>
    <xf numFmtId="3" fontId="0" fillId="0" borderId="1" xfId="0" applyNumberFormat="1" applyFill="1" applyBorder="1" applyAlignment="1" applyProtection="1">
      <alignment horizontal="center" vertical="center"/>
    </xf>
    <xf numFmtId="0" fontId="0" fillId="0" borderId="0" xfId="0" applyFill="1" applyBorder="1" applyAlignment="1">
      <alignment horizontal="center"/>
    </xf>
    <xf numFmtId="3" fontId="0" fillId="0" borderId="6" xfId="0" applyNumberFormat="1" applyFill="1" applyBorder="1" applyAlignment="1">
      <alignment horizontal="center" vertical="center"/>
    </xf>
    <xf numFmtId="0" fontId="0" fillId="0" borderId="0" xfId="0" applyBorder="1" applyAlignment="1">
      <alignment horizontal="center"/>
    </xf>
    <xf numFmtId="3" fontId="0" fillId="0" borderId="2" xfId="0" applyNumberFormat="1" applyFill="1" applyBorder="1" applyAlignment="1" applyProtection="1">
      <alignment horizontal="center" vertical="center"/>
      <protection locked="0"/>
    </xf>
    <xf numFmtId="9" fontId="0" fillId="0" borderId="1" xfId="0" applyNumberFormat="1" applyFill="1" applyBorder="1" applyAlignment="1" applyProtection="1">
      <alignment horizontal="center" vertical="center"/>
    </xf>
    <xf numFmtId="9" fontId="0" fillId="0" borderId="3" xfId="0" applyNumberFormat="1" applyFill="1" applyBorder="1" applyAlignment="1" applyProtection="1">
      <alignment horizontal="center" vertical="center"/>
    </xf>
    <xf numFmtId="0" fontId="0" fillId="0" borderId="0" xfId="0" applyFill="1" applyBorder="1" applyAlignment="1" applyProtection="1">
      <alignment horizontal="center"/>
      <protection locked="0"/>
    </xf>
    <xf numFmtId="9" fontId="0" fillId="0" borderId="6" xfId="0" applyNumberFormat="1" applyFill="1" applyBorder="1" applyAlignment="1" applyProtection="1">
      <alignment horizontal="center" vertical="center"/>
    </xf>
    <xf numFmtId="0" fontId="0" fillId="0" borderId="0" xfId="0" applyFill="1" applyBorder="1" applyAlignment="1" applyProtection="1">
      <alignment horizontal="center" vertical="center"/>
      <protection locked="0"/>
    </xf>
    <xf numFmtId="0" fontId="0" fillId="0" borderId="0" xfId="0" applyFill="1" applyAlignment="1">
      <alignment vertical="top"/>
    </xf>
    <xf numFmtId="3" fontId="0" fillId="0" borderId="24" xfId="0" applyNumberFormat="1" applyFill="1" applyBorder="1" applyAlignment="1" applyProtection="1">
      <alignment horizontal="center" vertical="center"/>
    </xf>
    <xf numFmtId="0" fontId="22" fillId="0" borderId="2" xfId="0" applyFont="1" applyFill="1" applyBorder="1" applyAlignment="1">
      <alignment horizontal="center" vertical="center"/>
    </xf>
    <xf numFmtId="0" fontId="0" fillId="0" borderId="12" xfId="0" applyFill="1" applyBorder="1" applyAlignment="1" applyProtection="1">
      <alignment horizontal="left" vertical="center" wrapText="1"/>
      <protection locked="0"/>
    </xf>
    <xf numFmtId="0" fontId="0" fillId="0" borderId="13" xfId="0" applyFill="1" applyBorder="1" applyAlignment="1" applyProtection="1">
      <alignment horizontal="left" vertical="center" wrapText="1"/>
      <protection locked="0"/>
    </xf>
    <xf numFmtId="0" fontId="0" fillId="0" borderId="14" xfId="0" applyFill="1" applyBorder="1" applyAlignment="1" applyProtection="1">
      <alignment horizontal="left" vertical="center" wrapText="1"/>
      <protection locked="0"/>
    </xf>
    <xf numFmtId="0" fontId="8" fillId="0" borderId="0" xfId="0" applyFont="1" applyFill="1" applyAlignment="1"/>
    <xf numFmtId="0" fontId="6" fillId="0" borderId="12" xfId="0" applyFont="1" applyFill="1" applyBorder="1" applyAlignment="1"/>
    <xf numFmtId="0" fontId="6" fillId="0" borderId="13" xfId="0" applyFont="1" applyFill="1" applyBorder="1" applyAlignment="1"/>
    <xf numFmtId="0" fontId="6" fillId="0" borderId="14" xfId="0" applyFont="1" applyFill="1" applyBorder="1" applyAlignment="1"/>
    <xf numFmtId="0" fontId="3" fillId="6" borderId="24" xfId="0" applyFont="1" applyFill="1" applyBorder="1" applyAlignment="1"/>
    <xf numFmtId="0" fontId="22" fillId="0" borderId="24" xfId="0" applyFont="1" applyFill="1" applyBorder="1" applyAlignment="1">
      <alignment horizontal="center" vertical="center"/>
    </xf>
    <xf numFmtId="0" fontId="2" fillId="0" borderId="0" xfId="0" applyFont="1"/>
    <xf numFmtId="0" fontId="24" fillId="0" borderId="0" xfId="0" applyFont="1"/>
    <xf numFmtId="0" fontId="0" fillId="0" borderId="25" xfId="0" applyBorder="1"/>
    <xf numFmtId="0" fontId="3" fillId="0" borderId="0" xfId="0" applyFont="1" applyAlignment="1">
      <alignment horizontal="center"/>
    </xf>
    <xf numFmtId="0" fontId="24" fillId="0" borderId="0" xfId="0" applyFont="1" applyAlignment="1">
      <alignment horizontal="right" vertical="center"/>
    </xf>
    <xf numFmtId="0" fontId="24" fillId="0" borderId="0" xfId="0" applyFont="1" applyAlignment="1">
      <alignment horizontal="right" vertical="center" wrapText="1"/>
    </xf>
    <xf numFmtId="0" fontId="0" fillId="7" borderId="24" xfId="0" applyFill="1" applyBorder="1" applyAlignment="1">
      <alignment horizontal="center" vertical="center" wrapText="1"/>
    </xf>
    <xf numFmtId="0" fontId="24" fillId="0" borderId="0" xfId="0" applyFont="1" applyAlignment="1">
      <alignment vertical="top" wrapText="1"/>
    </xf>
    <xf numFmtId="0" fontId="24" fillId="0" borderId="0" xfId="0" applyFont="1" applyAlignment="1">
      <alignment horizontal="left" vertical="center" wrapText="1"/>
    </xf>
    <xf numFmtId="0" fontId="24" fillId="0" borderId="0" xfId="0" applyFont="1" applyAlignment="1">
      <alignment horizontal="left" vertical="top" wrapText="1"/>
    </xf>
    <xf numFmtId="0" fontId="2" fillId="0" borderId="0" xfId="0" applyFont="1" applyBorder="1"/>
    <xf numFmtId="0" fontId="0" fillId="0" borderId="13" xfId="0" applyBorder="1"/>
    <xf numFmtId="0" fontId="6" fillId="0" borderId="0" xfId="0" applyFont="1" applyAlignment="1">
      <alignment horizontal="right"/>
    </xf>
    <xf numFmtId="0" fontId="24" fillId="0" borderId="0" xfId="0" applyFont="1" applyAlignment="1">
      <alignment horizontal="right"/>
    </xf>
    <xf numFmtId="0" fontId="0" fillId="0" borderId="32" xfId="0" applyBorder="1"/>
    <xf numFmtId="0" fontId="24" fillId="0" borderId="11" xfId="0" applyFont="1" applyBorder="1" applyAlignment="1">
      <alignment horizontal="right" vertical="center"/>
    </xf>
    <xf numFmtId="0" fontId="9" fillId="0" borderId="0" xfId="0" applyFont="1" applyAlignment="1">
      <alignment horizontal="center" vertical="center" wrapText="1"/>
    </xf>
    <xf numFmtId="0" fontId="0" fillId="7" borderId="24" xfId="0" applyFill="1" applyBorder="1" applyAlignment="1">
      <alignment horizontal="left" vertical="top"/>
    </xf>
    <xf numFmtId="0" fontId="24" fillId="0" borderId="0" xfId="0" applyFont="1" applyAlignment="1">
      <alignment vertical="center" wrapText="1"/>
    </xf>
    <xf numFmtId="0" fontId="24" fillId="0" borderId="0" xfId="0" applyFont="1" applyBorder="1" applyAlignment="1">
      <alignment horizontal="left" vertical="center" wrapText="1"/>
    </xf>
    <xf numFmtId="0" fontId="16" fillId="0" borderId="24" xfId="0" applyFont="1" applyFill="1" applyBorder="1" applyAlignment="1">
      <alignment horizontal="center"/>
    </xf>
    <xf numFmtId="0" fontId="0" fillId="0" borderId="0" xfId="0" applyAlignment="1">
      <alignment horizontal="left" vertical="top"/>
    </xf>
    <xf numFmtId="0" fontId="0" fillId="0" borderId="0" xfId="0" applyFill="1" applyBorder="1" applyAlignment="1" applyProtection="1">
      <alignment horizontal="center"/>
      <protection locked="0"/>
    </xf>
    <xf numFmtId="0" fontId="24" fillId="0" borderId="0" xfId="0" applyFont="1" applyFill="1" applyBorder="1"/>
    <xf numFmtId="0" fontId="27" fillId="0" borderId="0" xfId="0" applyFont="1" applyAlignment="1">
      <alignment horizontal="left" indent="4"/>
    </xf>
    <xf numFmtId="0" fontId="4" fillId="0" borderId="0" xfId="0" applyFont="1" applyAlignment="1">
      <alignment horizontal="left" indent="1"/>
    </xf>
    <xf numFmtId="0" fontId="6" fillId="0" borderId="0" xfId="0" applyFont="1" applyAlignment="1">
      <alignment horizontal="left" wrapText="1"/>
    </xf>
    <xf numFmtId="0" fontId="6" fillId="0" borderId="0" xfId="0" applyFont="1" applyAlignment="1">
      <alignment wrapText="1"/>
    </xf>
    <xf numFmtId="0" fontId="28" fillId="0" borderId="0" xfId="0" applyFont="1" applyAlignment="1">
      <alignment horizontal="left" indent="12"/>
    </xf>
    <xf numFmtId="0" fontId="0" fillId="0" borderId="0" xfId="0" applyBorder="1" applyAlignment="1" applyProtection="1">
      <alignment horizontal="left" vertical="top" wrapText="1"/>
      <protection locked="0"/>
    </xf>
    <xf numFmtId="0" fontId="3" fillId="0" borderId="0" xfId="0" applyFont="1"/>
    <xf numFmtId="0" fontId="0" fillId="0" borderId="7" xfId="0" applyBorder="1" applyAlignment="1" applyProtection="1">
      <alignment horizontal="left" vertical="top" wrapText="1"/>
      <protection locked="0"/>
    </xf>
    <xf numFmtId="0" fontId="6" fillId="0" borderId="0" xfId="0" applyFont="1" applyAlignment="1">
      <alignment horizontal="left" indent="14"/>
    </xf>
    <xf numFmtId="0" fontId="3" fillId="0" borderId="0" xfId="0" applyFont="1" applyAlignment="1">
      <alignment horizontal="left" indent="4"/>
    </xf>
    <xf numFmtId="0" fontId="6" fillId="0" borderId="0" xfId="0" applyFont="1" applyAlignment="1">
      <alignment horizontal="left" indent="8"/>
    </xf>
    <xf numFmtId="0" fontId="6" fillId="0" borderId="0" xfId="0" applyFont="1" applyAlignment="1">
      <alignment horizontal="left" vertical="top" wrapText="1"/>
    </xf>
    <xf numFmtId="0" fontId="0" fillId="0" borderId="0" xfId="0" applyAlignment="1">
      <alignment vertical="top" wrapText="1"/>
    </xf>
    <xf numFmtId="0" fontId="30" fillId="0" borderId="7" xfId="0" applyFont="1" applyBorder="1" applyAlignment="1" applyProtection="1">
      <alignment horizontal="left" vertical="top" wrapText="1"/>
      <protection locked="0"/>
    </xf>
    <xf numFmtId="0" fontId="30" fillId="0" borderId="0" xfId="0" applyFont="1" applyBorder="1" applyAlignment="1" applyProtection="1">
      <alignment horizontal="left" vertical="top" wrapText="1"/>
      <protection locked="0"/>
    </xf>
    <xf numFmtId="0" fontId="0" fillId="0" borderId="0" xfId="0" applyAlignment="1">
      <alignment horizontal="left" wrapText="1"/>
    </xf>
    <xf numFmtId="0" fontId="6" fillId="0" borderId="0" xfId="0" applyFont="1" applyAlignment="1">
      <alignment horizontal="left" indent="11"/>
    </xf>
    <xf numFmtId="0" fontId="3" fillId="0" borderId="0" xfId="0" applyFont="1" applyAlignment="1">
      <alignment horizontal="center" wrapText="1"/>
    </xf>
    <xf numFmtId="0" fontId="6" fillId="0" borderId="0" xfId="0" applyFont="1" applyAlignment="1">
      <alignment horizontal="left" indent="1"/>
    </xf>
    <xf numFmtId="0" fontId="3" fillId="0" borderId="0" xfId="0" applyFont="1" applyAlignment="1">
      <alignment horizontal="left" wrapText="1"/>
    </xf>
    <xf numFmtId="0" fontId="6" fillId="0" borderId="0" xfId="0" applyFont="1" applyAlignment="1">
      <alignment horizontal="left" indent="15"/>
    </xf>
    <xf numFmtId="0" fontId="6" fillId="0" borderId="0" xfId="0" applyFont="1" applyBorder="1" applyAlignment="1">
      <alignment horizontal="left" indent="15"/>
    </xf>
    <xf numFmtId="0" fontId="0" fillId="0" borderId="0" xfId="0" applyBorder="1" applyAlignment="1" applyProtection="1">
      <alignment vertical="top" wrapText="1"/>
      <protection locked="0"/>
    </xf>
    <xf numFmtId="0" fontId="0" fillId="0" borderId="0" xfId="0" applyProtection="1"/>
    <xf numFmtId="0" fontId="3" fillId="0" borderId="0" xfId="0" applyFont="1" applyAlignment="1" applyProtection="1">
      <alignment wrapText="1"/>
    </xf>
    <xf numFmtId="0" fontId="3" fillId="0" borderId="0" xfId="0" applyFont="1" applyAlignment="1" applyProtection="1">
      <alignment vertical="center" wrapText="1"/>
    </xf>
    <xf numFmtId="0" fontId="3" fillId="0" borderId="0" xfId="0" applyFont="1" applyAlignment="1" applyProtection="1"/>
    <xf numFmtId="0" fontId="33" fillId="0" borderId="0" xfId="0" applyFont="1" applyAlignment="1" applyProtection="1"/>
    <xf numFmtId="0" fontId="34" fillId="0" borderId="0" xfId="0" applyFont="1" applyBorder="1" applyAlignment="1" applyProtection="1"/>
    <xf numFmtId="0" fontId="0" fillId="0" borderId="0" xfId="0" applyFill="1" applyBorder="1" applyAlignment="1" applyProtection="1">
      <alignment horizontal="center"/>
    </xf>
    <xf numFmtId="0" fontId="6" fillId="0" borderId="0" xfId="0" applyFont="1" applyBorder="1" applyAlignment="1" applyProtection="1">
      <alignment horizontal="right"/>
    </xf>
    <xf numFmtId="0" fontId="0" fillId="0" borderId="0" xfId="0" applyBorder="1" applyProtection="1"/>
    <xf numFmtId="0" fontId="0" fillId="0" borderId="0" xfId="0" applyFill="1" applyBorder="1" applyProtection="1"/>
    <xf numFmtId="0" fontId="3" fillId="0" borderId="5" xfId="0" applyFont="1" applyBorder="1" applyAlignment="1" applyProtection="1">
      <alignment vertical="center"/>
    </xf>
    <xf numFmtId="0" fontId="3" fillId="0" borderId="4" xfId="0" applyFont="1" applyBorder="1" applyAlignment="1" applyProtection="1">
      <alignment vertical="center"/>
    </xf>
    <xf numFmtId="0" fontId="3" fillId="0" borderId="8" xfId="0" applyFont="1" applyBorder="1" applyAlignment="1" applyProtection="1">
      <alignment vertical="center"/>
    </xf>
    <xf numFmtId="0" fontId="3" fillId="0" borderId="6" xfId="0" applyFont="1" applyBorder="1" applyAlignment="1" applyProtection="1">
      <alignment vertical="center"/>
    </xf>
    <xf numFmtId="0" fontId="3" fillId="0" borderId="11" xfId="0" applyFont="1" applyBorder="1" applyAlignment="1" applyProtection="1">
      <alignment vertical="center"/>
    </xf>
    <xf numFmtId="0" fontId="3" fillId="0" borderId="10" xfId="0" applyFont="1" applyBorder="1" applyAlignment="1" applyProtection="1">
      <alignment vertical="center"/>
    </xf>
    <xf numFmtId="0" fontId="3" fillId="0" borderId="0" xfId="0" applyFont="1" applyBorder="1" applyAlignment="1" applyProtection="1"/>
    <xf numFmtId="0" fontId="8" fillId="0" borderId="0" xfId="0" applyFont="1" applyBorder="1" applyAlignment="1" applyProtection="1">
      <alignment vertical="center" wrapText="1"/>
    </xf>
    <xf numFmtId="0" fontId="0" fillId="0" borderId="0" xfId="0" applyFill="1" applyProtection="1"/>
    <xf numFmtId="0" fontId="23" fillId="0" borderId="0" xfId="0" applyFont="1" applyFill="1" applyAlignment="1" applyProtection="1">
      <alignment horizontal="left"/>
    </xf>
    <xf numFmtId="0" fontId="8" fillId="0" borderId="0" xfId="0" applyFont="1" applyFill="1" applyAlignment="1" applyProtection="1">
      <alignment horizontal="right"/>
    </xf>
    <xf numFmtId="0" fontId="23" fillId="0" borderId="0" xfId="0" applyFont="1" applyFill="1" applyBorder="1" applyAlignment="1" applyProtection="1">
      <alignment horizontal="center"/>
    </xf>
    <xf numFmtId="0" fontId="37" fillId="0" borderId="0" xfId="0" applyFont="1" applyFill="1" applyAlignment="1" applyProtection="1">
      <alignment horizontal="center"/>
    </xf>
    <xf numFmtId="0" fontId="23" fillId="0" borderId="0" xfId="0" quotePrefix="1" applyFont="1" applyFill="1" applyBorder="1" applyAlignment="1" applyProtection="1">
      <alignment horizontal="right"/>
    </xf>
    <xf numFmtId="0" fontId="37" fillId="0" borderId="0" xfId="0" applyFont="1" applyFill="1" applyAlignment="1" applyProtection="1">
      <alignment horizontal="left"/>
    </xf>
    <xf numFmtId="0" fontId="23" fillId="0" borderId="0" xfId="0" applyFont="1" applyFill="1" applyAlignment="1" applyProtection="1">
      <alignment horizontal="right"/>
    </xf>
    <xf numFmtId="0" fontId="3" fillId="0" borderId="0" xfId="0" applyFont="1" applyFill="1" applyAlignment="1" applyProtection="1">
      <alignment horizontal="right"/>
    </xf>
    <xf numFmtId="0" fontId="0" fillId="0" borderId="0" xfId="0" applyFill="1" applyAlignment="1" applyProtection="1">
      <alignment horizontal="right"/>
    </xf>
    <xf numFmtId="0" fontId="23" fillId="0" borderId="0" xfId="0" applyFont="1" applyFill="1" applyBorder="1" applyAlignment="1" applyProtection="1">
      <alignment horizontal="left"/>
      <protection locked="0"/>
    </xf>
    <xf numFmtId="0" fontId="23" fillId="0" borderId="0" xfId="0" applyFont="1" applyFill="1" applyBorder="1" applyAlignment="1" applyProtection="1">
      <alignment horizontal="center"/>
      <protection locked="0"/>
    </xf>
    <xf numFmtId="0" fontId="37" fillId="0" borderId="0" xfId="0" applyFont="1" applyFill="1" applyAlignment="1" applyProtection="1">
      <alignment horizontal="right"/>
    </xf>
    <xf numFmtId="0" fontId="23" fillId="0" borderId="0" xfId="0" applyFont="1" applyFill="1" applyBorder="1" applyAlignment="1" applyProtection="1">
      <alignment horizontal="left"/>
    </xf>
    <xf numFmtId="0" fontId="33" fillId="9" borderId="24" xfId="0" applyFont="1" applyFill="1" applyBorder="1" applyAlignment="1" applyProtection="1">
      <alignment horizontal="center"/>
    </xf>
    <xf numFmtId="49" fontId="3" fillId="0" borderId="0" xfId="0" applyNumberFormat="1" applyFont="1" applyFill="1" applyAlignment="1" applyProtection="1">
      <alignment horizontal="left"/>
    </xf>
    <xf numFmtId="42" fontId="0" fillId="0" borderId="24" xfId="0" applyNumberFormat="1" applyFill="1" applyBorder="1" applyProtection="1">
      <protection locked="0"/>
    </xf>
    <xf numFmtId="42" fontId="0" fillId="0" borderId="0" xfId="0" applyNumberFormat="1" applyFill="1" applyBorder="1" applyProtection="1">
      <protection locked="0"/>
    </xf>
    <xf numFmtId="42" fontId="0" fillId="0" borderId="0" xfId="0" applyNumberFormat="1" applyFill="1" applyBorder="1" applyProtection="1"/>
    <xf numFmtId="49" fontId="0" fillId="0" borderId="0" xfId="0" applyNumberFormat="1" applyFill="1" applyAlignment="1" applyProtection="1">
      <alignment horizontal="left"/>
    </xf>
    <xf numFmtId="0" fontId="38" fillId="0" borderId="0" xfId="0" applyFont="1" applyFill="1" applyProtection="1"/>
    <xf numFmtId="0" fontId="23" fillId="0" borderId="0" xfId="0" applyFont="1" applyFill="1" applyProtection="1"/>
    <xf numFmtId="0" fontId="37" fillId="0" borderId="0" xfId="0" applyFont="1" applyFill="1" applyProtection="1"/>
    <xf numFmtId="49" fontId="3" fillId="0" borderId="0" xfId="0" applyNumberFormat="1" applyFont="1" applyFill="1" applyBorder="1" applyAlignment="1" applyProtection="1">
      <alignment horizontal="left"/>
    </xf>
    <xf numFmtId="42" fontId="0" fillId="0" borderId="24" xfId="2" applyNumberFormat="1" applyFont="1" applyFill="1" applyBorder="1" applyAlignment="1" applyProtection="1">
      <alignment horizontal="center"/>
      <protection locked="0"/>
    </xf>
    <xf numFmtId="42" fontId="0" fillId="0" borderId="0" xfId="2" applyNumberFormat="1" applyFont="1" applyFill="1" applyBorder="1" applyAlignment="1" applyProtection="1">
      <alignment horizontal="center"/>
      <protection locked="0"/>
    </xf>
    <xf numFmtId="42" fontId="0" fillId="9" borderId="24" xfId="0" applyNumberFormat="1" applyFill="1" applyBorder="1" applyProtection="1"/>
    <xf numFmtId="42" fontId="0" fillId="0" borderId="13" xfId="2" applyNumberFormat="1" applyFont="1" applyFill="1" applyBorder="1" applyAlignment="1" applyProtection="1">
      <alignment horizontal="center"/>
      <protection locked="0"/>
    </xf>
    <xf numFmtId="42" fontId="0" fillId="0" borderId="13" xfId="0" applyNumberFormat="1" applyFill="1" applyBorder="1" applyProtection="1"/>
    <xf numFmtId="0" fontId="6" fillId="0" borderId="0" xfId="0" applyFont="1" applyFill="1" applyAlignment="1" applyProtection="1">
      <alignment horizontal="left" indent="1"/>
    </xf>
    <xf numFmtId="42" fontId="6" fillId="0" borderId="24" xfId="2" applyNumberFormat="1" applyFont="1" applyFill="1" applyBorder="1" applyAlignment="1" applyProtection="1">
      <alignment horizontal="center"/>
      <protection locked="0"/>
    </xf>
    <xf numFmtId="42" fontId="6" fillId="0" borderId="0" xfId="2" applyNumberFormat="1" applyFont="1" applyFill="1" applyBorder="1" applyAlignment="1" applyProtection="1">
      <alignment horizontal="center"/>
      <protection locked="0"/>
    </xf>
    <xf numFmtId="0" fontId="0" fillId="0" borderId="0" xfId="0" applyFill="1" applyAlignment="1" applyProtection="1">
      <alignment horizontal="left" indent="1"/>
    </xf>
    <xf numFmtId="0" fontId="3" fillId="0" borderId="0" xfId="0" applyFont="1" applyFill="1" applyAlignment="1" applyProtection="1">
      <alignment horizontal="left"/>
    </xf>
    <xf numFmtId="164" fontId="0" fillId="0" borderId="0" xfId="0" applyNumberFormat="1" applyFill="1" applyBorder="1" applyAlignment="1" applyProtection="1">
      <alignment horizontal="right"/>
    </xf>
    <xf numFmtId="0" fontId="6" fillId="0" borderId="0" xfId="0" applyFont="1" applyFill="1" applyAlignment="1" applyProtection="1">
      <alignment horizontal="left"/>
    </xf>
    <xf numFmtId="0" fontId="6" fillId="0" borderId="0" xfId="0" applyFont="1" applyFill="1" applyBorder="1" applyAlignment="1" applyProtection="1">
      <alignment horizontal="left"/>
    </xf>
    <xf numFmtId="0" fontId="0" fillId="0" borderId="0" xfId="0" applyFill="1" applyBorder="1" applyAlignment="1" applyProtection="1">
      <alignment horizontal="left"/>
    </xf>
    <xf numFmtId="0" fontId="0" fillId="0" borderId="2" xfId="0" applyFill="1" applyBorder="1" applyAlignment="1" applyProtection="1">
      <alignment horizontal="right"/>
    </xf>
    <xf numFmtId="0" fontId="0" fillId="0" borderId="24" xfId="0" applyFill="1" applyBorder="1" applyAlignment="1" applyProtection="1">
      <alignment horizontal="left"/>
      <protection locked="0"/>
    </xf>
    <xf numFmtId="42" fontId="0" fillId="0" borderId="24" xfId="0" applyNumberFormat="1" applyFill="1" applyBorder="1" applyAlignment="1" applyProtection="1">
      <protection locked="0"/>
    </xf>
    <xf numFmtId="42" fontId="0" fillId="0" borderId="0" xfId="0" applyNumberFormat="1" applyFill="1" applyBorder="1" applyAlignment="1" applyProtection="1">
      <protection locked="0"/>
    </xf>
    <xf numFmtId="0" fontId="6" fillId="0" borderId="2" xfId="0" applyFont="1" applyFill="1" applyBorder="1" applyAlignment="1" applyProtection="1">
      <alignment horizontal="right"/>
    </xf>
    <xf numFmtId="0" fontId="32" fillId="0" borderId="24" xfId="0" applyFont="1" applyFill="1" applyBorder="1" applyAlignment="1" applyProtection="1">
      <alignment horizontal="left"/>
      <protection locked="0"/>
    </xf>
    <xf numFmtId="42" fontId="32" fillId="0" borderId="24" xfId="0" applyNumberFormat="1" applyFont="1" applyFill="1" applyBorder="1" applyAlignment="1" applyProtection="1">
      <protection locked="0"/>
    </xf>
    <xf numFmtId="42" fontId="32" fillId="0" borderId="0" xfId="0" applyNumberFormat="1" applyFont="1" applyFill="1" applyBorder="1" applyAlignment="1" applyProtection="1">
      <protection locked="0"/>
    </xf>
    <xf numFmtId="0" fontId="32" fillId="0" borderId="0" xfId="0" applyFont="1" applyFill="1" applyBorder="1" applyAlignment="1" applyProtection="1"/>
    <xf numFmtId="0" fontId="32" fillId="0" borderId="0" xfId="0" applyFont="1" applyFill="1" applyBorder="1" applyAlignment="1" applyProtection="1">
      <alignment horizontal="center"/>
      <protection locked="0"/>
    </xf>
    <xf numFmtId="42" fontId="32" fillId="0" borderId="0" xfId="0" applyNumberFormat="1" applyFont="1" applyFill="1" applyBorder="1" applyAlignment="1" applyProtection="1">
      <alignment horizontal="center"/>
      <protection locked="0"/>
    </xf>
    <xf numFmtId="0" fontId="0" fillId="0" borderId="0" xfId="0" applyFill="1" applyAlignment="1" applyProtection="1">
      <alignment horizontal="left"/>
    </xf>
    <xf numFmtId="164" fontId="0" fillId="0" borderId="0" xfId="0" applyNumberFormat="1" applyFill="1" applyBorder="1" applyAlignment="1" applyProtection="1">
      <alignment horizontal="left"/>
    </xf>
    <xf numFmtId="42" fontId="3" fillId="0" borderId="0" xfId="0" applyNumberFormat="1" applyFont="1" applyFill="1" applyBorder="1" applyAlignment="1" applyProtection="1">
      <alignment horizontal="right"/>
      <protection locked="0"/>
    </xf>
    <xf numFmtId="44" fontId="3" fillId="0" borderId="0" xfId="2" applyFont="1" applyFill="1" applyBorder="1" applyAlignment="1" applyProtection="1">
      <alignment horizontal="left"/>
    </xf>
    <xf numFmtId="42" fontId="3" fillId="2" borderId="24" xfId="0" applyNumberFormat="1" applyFont="1" applyFill="1" applyBorder="1" applyAlignment="1" applyProtection="1">
      <alignment horizontal="left"/>
    </xf>
    <xf numFmtId="42" fontId="3" fillId="0" borderId="0" xfId="0" applyNumberFormat="1" applyFont="1" applyFill="1" applyBorder="1" applyAlignment="1" applyProtection="1">
      <alignment horizontal="left"/>
    </xf>
    <xf numFmtId="44" fontId="0" fillId="0" borderId="0" xfId="0" applyNumberFormat="1" applyFill="1" applyBorder="1" applyAlignment="1" applyProtection="1">
      <alignment horizontal="center"/>
    </xf>
    <xf numFmtId="0" fontId="3" fillId="0" borderId="0" xfId="0" applyFont="1" applyFill="1" applyProtection="1"/>
    <xf numFmtId="42" fontId="0" fillId="0" borderId="1" xfId="2" applyNumberFormat="1" applyFont="1" applyFill="1" applyBorder="1" applyAlignment="1" applyProtection="1">
      <alignment horizontal="center"/>
      <protection locked="0"/>
    </xf>
    <xf numFmtId="42" fontId="0" fillId="0" borderId="24" xfId="0" applyNumberFormat="1" applyFill="1" applyBorder="1" applyAlignment="1" applyProtection="1">
      <alignment horizontal="center"/>
    </xf>
    <xf numFmtId="0" fontId="0" fillId="0" borderId="0" xfId="0" applyFill="1" applyBorder="1" applyAlignment="1" applyProtection="1"/>
    <xf numFmtId="0" fontId="3" fillId="0" borderId="2" xfId="0" applyFont="1" applyFill="1" applyBorder="1" applyAlignment="1" applyProtection="1">
      <alignment horizontal="left"/>
    </xf>
    <xf numFmtId="42" fontId="0" fillId="9" borderId="1" xfId="0" applyNumberFormat="1" applyFill="1" applyBorder="1" applyProtection="1"/>
    <xf numFmtId="44" fontId="0" fillId="0" borderId="0" xfId="2" applyFont="1" applyFill="1" applyBorder="1" applyAlignment="1" applyProtection="1">
      <alignment horizontal="left"/>
    </xf>
    <xf numFmtId="0" fontId="3" fillId="0" borderId="0" xfId="0" applyFont="1" applyFill="1" applyBorder="1" applyAlignment="1" applyProtection="1">
      <alignment horizontal="left"/>
    </xf>
    <xf numFmtId="0" fontId="3" fillId="0" borderId="0" xfId="0" applyFont="1" applyFill="1" applyAlignment="1" applyProtection="1">
      <alignment horizontal="center"/>
    </xf>
    <xf numFmtId="0" fontId="0" fillId="0" borderId="0" xfId="0" applyFill="1" applyBorder="1" applyAlignment="1" applyProtection="1">
      <alignment horizontal="right"/>
    </xf>
    <xf numFmtId="0" fontId="0" fillId="0" borderId="37" xfId="0" applyFill="1" applyBorder="1" applyProtection="1"/>
    <xf numFmtId="0" fontId="0" fillId="0" borderId="38" xfId="0" applyFill="1" applyBorder="1" applyProtection="1"/>
    <xf numFmtId="0" fontId="3" fillId="0" borderId="38" xfId="0" applyFont="1" applyFill="1" applyBorder="1" applyAlignment="1" applyProtection="1">
      <alignment horizontal="left"/>
    </xf>
    <xf numFmtId="0" fontId="0" fillId="0" borderId="38" xfId="0" applyFill="1" applyBorder="1" applyAlignment="1" applyProtection="1">
      <alignment horizontal="right"/>
    </xf>
    <xf numFmtId="0" fontId="0" fillId="0" borderId="39" xfId="0" applyFill="1" applyBorder="1" applyProtection="1"/>
    <xf numFmtId="0" fontId="23" fillId="0" borderId="2" xfId="0" quotePrefix="1" applyFont="1" applyFill="1" applyBorder="1" applyAlignment="1" applyProtection="1">
      <alignment horizontal="right"/>
    </xf>
    <xf numFmtId="42" fontId="3" fillId="2" borderId="41" xfId="0" applyNumberFormat="1" applyFont="1" applyFill="1" applyBorder="1" applyAlignment="1" applyProtection="1">
      <alignment horizontal="left"/>
    </xf>
    <xf numFmtId="0" fontId="0" fillId="0" borderId="42" xfId="0" applyFill="1" applyBorder="1" applyAlignment="1" applyProtection="1">
      <alignment horizontal="left" wrapText="1"/>
    </xf>
    <xf numFmtId="0" fontId="0" fillId="0" borderId="36" xfId="0" applyFill="1" applyBorder="1" applyAlignment="1" applyProtection="1">
      <alignment horizontal="left" wrapText="1"/>
    </xf>
    <xf numFmtId="0" fontId="0" fillId="0" borderId="36" xfId="0" applyFill="1" applyBorder="1" applyProtection="1"/>
    <xf numFmtId="0" fontId="0" fillId="0" borderId="36" xfId="0" applyFill="1" applyBorder="1" applyAlignment="1" applyProtection="1">
      <alignment horizontal="left"/>
    </xf>
    <xf numFmtId="164" fontId="0" fillId="0" borderId="36" xfId="0" applyNumberFormat="1" applyFill="1" applyBorder="1" applyAlignment="1" applyProtection="1">
      <alignment horizontal="right"/>
    </xf>
    <xf numFmtId="0" fontId="0" fillId="0" borderId="43" xfId="0" applyFill="1" applyBorder="1" applyProtection="1"/>
    <xf numFmtId="0" fontId="0" fillId="0" borderId="0" xfId="0" applyFill="1" applyBorder="1" applyAlignment="1" applyProtection="1">
      <alignment horizontal="left" wrapText="1"/>
    </xf>
    <xf numFmtId="0" fontId="3" fillId="0" borderId="0" xfId="0" applyFont="1" applyFill="1" applyBorder="1" applyProtection="1"/>
    <xf numFmtId="0" fontId="3" fillId="0" borderId="0" xfId="0" applyFont="1" applyFill="1" applyBorder="1" applyAlignment="1" applyProtection="1">
      <alignment horizontal="left" wrapText="1"/>
    </xf>
    <xf numFmtId="0" fontId="8" fillId="0" borderId="36" xfId="0" applyFont="1" applyFill="1" applyBorder="1" applyProtection="1"/>
    <xf numFmtId="0" fontId="2" fillId="0" borderId="36" xfId="0" applyFont="1" applyFill="1" applyBorder="1" applyProtection="1"/>
    <xf numFmtId="0" fontId="2" fillId="0" borderId="36" xfId="0" applyFont="1" applyFill="1" applyBorder="1" applyAlignment="1" applyProtection="1">
      <alignment horizontal="left"/>
    </xf>
    <xf numFmtId="0" fontId="2" fillId="0" borderId="36" xfId="0" applyFont="1" applyFill="1" applyBorder="1" applyAlignment="1" applyProtection="1">
      <alignment horizontal="right"/>
    </xf>
    <xf numFmtId="0" fontId="2" fillId="0" borderId="0" xfId="0" applyFont="1" applyFill="1" applyBorder="1" applyProtection="1"/>
    <xf numFmtId="0" fontId="2" fillId="0" borderId="0" xfId="0" applyFont="1" applyFill="1" applyProtection="1"/>
    <xf numFmtId="0" fontId="0" fillId="0" borderId="0" xfId="0" applyFill="1" applyAlignment="1" applyProtection="1">
      <alignment horizontal="left" wrapText="1"/>
    </xf>
    <xf numFmtId="0" fontId="6" fillId="0" borderId="0" xfId="0" applyFont="1" applyFill="1" applyProtection="1"/>
    <xf numFmtId="42" fontId="0" fillId="0" borderId="24" xfId="0" applyNumberFormat="1" applyFill="1" applyBorder="1" applyAlignment="1" applyProtection="1">
      <alignment horizontal="center"/>
      <protection locked="0"/>
    </xf>
    <xf numFmtId="42" fontId="0" fillId="0" borderId="0" xfId="0" applyNumberFormat="1" applyFill="1" applyBorder="1" applyAlignment="1" applyProtection="1">
      <alignment horizontal="center"/>
      <protection locked="0"/>
    </xf>
    <xf numFmtId="42" fontId="0" fillId="0" borderId="24" xfId="0" applyNumberFormat="1" applyFill="1" applyBorder="1" applyAlignment="1" applyProtection="1">
      <alignment horizontal="right"/>
    </xf>
    <xf numFmtId="42" fontId="0" fillId="0" borderId="0" xfId="0" applyNumberFormat="1" applyFill="1" applyBorder="1" applyAlignment="1" applyProtection="1">
      <alignment horizontal="right"/>
    </xf>
    <xf numFmtId="44" fontId="0" fillId="0" borderId="0" xfId="0" applyNumberFormat="1" applyFill="1" applyBorder="1" applyAlignment="1" applyProtection="1">
      <alignment horizontal="left"/>
      <protection locked="0"/>
    </xf>
    <xf numFmtId="42" fontId="6" fillId="0" borderId="24" xfId="0" applyNumberFormat="1" applyFont="1" applyFill="1" applyBorder="1" applyAlignment="1" applyProtection="1">
      <protection locked="0"/>
    </xf>
    <xf numFmtId="42" fontId="6" fillId="0" borderId="0" xfId="0" applyNumberFormat="1" applyFont="1" applyFill="1" applyBorder="1" applyAlignment="1" applyProtection="1">
      <protection locked="0"/>
    </xf>
    <xf numFmtId="42" fontId="6" fillId="0" borderId="24" xfId="0" applyNumberFormat="1" applyFont="1" applyFill="1" applyBorder="1" applyAlignment="1" applyProtection="1">
      <alignment horizontal="right"/>
      <protection locked="0"/>
    </xf>
    <xf numFmtId="42" fontId="6" fillId="0" borderId="0" xfId="0" applyNumberFormat="1" applyFont="1" applyFill="1" applyBorder="1" applyAlignment="1" applyProtection="1">
      <alignment horizontal="right"/>
      <protection locked="0"/>
    </xf>
    <xf numFmtId="42" fontId="3" fillId="2" borderId="24" xfId="0" applyNumberFormat="1" applyFont="1" applyFill="1" applyBorder="1" applyAlignment="1" applyProtection="1">
      <alignment horizontal="center"/>
    </xf>
    <xf numFmtId="42" fontId="3" fillId="0" borderId="0" xfId="0" applyNumberFormat="1" applyFont="1" applyFill="1" applyBorder="1" applyAlignment="1" applyProtection="1">
      <alignment horizontal="center"/>
    </xf>
    <xf numFmtId="0" fontId="0" fillId="0" borderId="2" xfId="0" applyFill="1" applyBorder="1" applyAlignment="1" applyProtection="1"/>
    <xf numFmtId="0" fontId="0" fillId="0" borderId="11" xfId="0" applyFill="1" applyBorder="1" applyAlignment="1" applyProtection="1"/>
    <xf numFmtId="0" fontId="0" fillId="0" borderId="11" xfId="0" applyFill="1" applyBorder="1" applyAlignment="1" applyProtection="1">
      <alignment horizontal="left"/>
    </xf>
    <xf numFmtId="0" fontId="0" fillId="0" borderId="11" xfId="0" applyFill="1" applyBorder="1" applyAlignment="1" applyProtection="1">
      <alignment horizontal="right"/>
    </xf>
    <xf numFmtId="0" fontId="0" fillId="0" borderId="6" xfId="0" applyFill="1" applyBorder="1" applyProtection="1"/>
    <xf numFmtId="0" fontId="23" fillId="0" borderId="2" xfId="0" quotePrefix="1" applyFont="1" applyFill="1" applyBorder="1" applyAlignment="1" applyProtection="1">
      <alignment horizontal="left"/>
    </xf>
    <xf numFmtId="42" fontId="3" fillId="2" borderId="41" xfId="0" applyNumberFormat="1" applyFont="1" applyFill="1" applyBorder="1" applyAlignment="1" applyProtection="1">
      <alignment horizontal="center"/>
    </xf>
    <xf numFmtId="0" fontId="0" fillId="0" borderId="2" xfId="0" applyFill="1" applyBorder="1" applyProtection="1"/>
    <xf numFmtId="0" fontId="0" fillId="0" borderId="4" xfId="0" applyFill="1" applyBorder="1" applyAlignment="1" applyProtection="1"/>
    <xf numFmtId="0" fontId="3" fillId="0" borderId="4" xfId="0" applyFont="1" applyFill="1" applyBorder="1" applyAlignment="1" applyProtection="1">
      <alignment horizontal="left"/>
    </xf>
    <xf numFmtId="0" fontId="37" fillId="0" borderId="4" xfId="0" applyFont="1" applyFill="1" applyBorder="1" applyAlignment="1" applyProtection="1">
      <alignment horizontal="center"/>
    </xf>
    <xf numFmtId="0" fontId="0" fillId="0" borderId="5" xfId="0" applyFill="1" applyBorder="1" applyProtection="1"/>
    <xf numFmtId="0" fontId="6" fillId="0" borderId="11" xfId="0" applyFont="1" applyFill="1" applyBorder="1" applyProtection="1"/>
    <xf numFmtId="0" fontId="0" fillId="0" borderId="11" xfId="0" applyFill="1" applyBorder="1" applyProtection="1"/>
    <xf numFmtId="0" fontId="3" fillId="0" borderId="11" xfId="0" applyFont="1" applyFill="1" applyBorder="1" applyAlignment="1" applyProtection="1">
      <alignment horizontal="center"/>
    </xf>
    <xf numFmtId="0" fontId="3" fillId="0" borderId="11" xfId="0" applyFont="1" applyFill="1" applyBorder="1" applyAlignment="1" applyProtection="1">
      <alignment horizontal="left"/>
    </xf>
    <xf numFmtId="0" fontId="37" fillId="0" borderId="11" xfId="0" applyFont="1" applyFill="1" applyBorder="1" applyAlignment="1" applyProtection="1">
      <alignment horizontal="center"/>
    </xf>
    <xf numFmtId="0" fontId="3" fillId="0" borderId="0" xfId="0" applyFont="1" applyFill="1" applyBorder="1" applyAlignment="1" applyProtection="1">
      <alignment horizontal="center"/>
    </xf>
    <xf numFmtId="42" fontId="12" fillId="0" borderId="24" xfId="0" applyNumberFormat="1" applyFont="1" applyFill="1" applyBorder="1" applyAlignment="1" applyProtection="1">
      <alignment horizontal="center"/>
      <protection locked="0"/>
    </xf>
    <xf numFmtId="42" fontId="12" fillId="0" borderId="0" xfId="0" applyNumberFormat="1" applyFont="1" applyFill="1" applyBorder="1" applyAlignment="1" applyProtection="1">
      <alignment horizontal="center"/>
      <protection locked="0"/>
    </xf>
    <xf numFmtId="0" fontId="0" fillId="0" borderId="8" xfId="0" applyFill="1" applyBorder="1" applyProtection="1"/>
    <xf numFmtId="0" fontId="0" fillId="0" borderId="4" xfId="0" applyFill="1" applyBorder="1" applyProtection="1"/>
    <xf numFmtId="0" fontId="3" fillId="0" borderId="4" xfId="0" applyFont="1" applyFill="1" applyBorder="1" applyAlignment="1" applyProtection="1">
      <alignment horizontal="center"/>
    </xf>
    <xf numFmtId="0" fontId="37" fillId="0" borderId="0" xfId="0" applyFont="1" applyFill="1" applyBorder="1" applyAlignment="1" applyProtection="1">
      <alignment horizontal="center"/>
    </xf>
    <xf numFmtId="0" fontId="8" fillId="0" borderId="36" xfId="0" applyFont="1" applyFill="1" applyBorder="1" applyAlignment="1" applyProtection="1">
      <alignment horizontal="center"/>
    </xf>
    <xf numFmtId="0" fontId="8" fillId="0" borderId="36" xfId="0" applyFont="1" applyFill="1" applyBorder="1" applyAlignment="1" applyProtection="1">
      <alignment horizontal="left"/>
    </xf>
    <xf numFmtId="42" fontId="0" fillId="0" borderId="24" xfId="0" applyNumberFormat="1" applyFill="1" applyBorder="1" applyAlignment="1" applyProtection="1">
      <alignment horizontal="right"/>
      <protection locked="0"/>
    </xf>
    <xf numFmtId="42" fontId="0" fillId="0" borderId="0" xfId="0" applyNumberFormat="1" applyFill="1" applyBorder="1" applyAlignment="1" applyProtection="1">
      <alignment horizontal="right"/>
      <protection locked="0"/>
    </xf>
    <xf numFmtId="0" fontId="0" fillId="0" borderId="4" xfId="0" applyFill="1" applyBorder="1" applyAlignment="1" applyProtection="1">
      <alignment horizontal="left"/>
    </xf>
    <xf numFmtId="0" fontId="0" fillId="0" borderId="13" xfId="0" applyFill="1" applyBorder="1" applyAlignment="1" applyProtection="1">
      <alignment horizontal="right"/>
    </xf>
    <xf numFmtId="0" fontId="0" fillId="0" borderId="4" xfId="0" applyFill="1" applyBorder="1" applyAlignment="1" applyProtection="1">
      <alignment horizontal="right"/>
    </xf>
    <xf numFmtId="0" fontId="0" fillId="0" borderId="10" xfId="0" applyFill="1" applyBorder="1" applyProtection="1"/>
    <xf numFmtId="164" fontId="0" fillId="0" borderId="11" xfId="0" applyNumberFormat="1" applyFill="1" applyBorder="1" applyAlignment="1" applyProtection="1">
      <alignment horizontal="right"/>
    </xf>
    <xf numFmtId="0" fontId="6" fillId="0" borderId="7" xfId="0" applyFont="1" applyFill="1" applyBorder="1" applyProtection="1"/>
    <xf numFmtId="164" fontId="0" fillId="0" borderId="13" xfId="0" applyNumberFormat="1" applyFill="1" applyBorder="1" applyAlignment="1" applyProtection="1">
      <alignment horizontal="right"/>
    </xf>
    <xf numFmtId="164" fontId="0" fillId="0" borderId="4" xfId="0" applyNumberFormat="1" applyFill="1" applyBorder="1" applyAlignment="1" applyProtection="1">
      <alignment horizontal="right"/>
    </xf>
    <xf numFmtId="44" fontId="0" fillId="0" borderId="0" xfId="0" applyNumberFormat="1" applyFill="1" applyAlignment="1" applyProtection="1">
      <alignment horizontal="center"/>
    </xf>
    <xf numFmtId="164" fontId="3" fillId="0" borderId="0" xfId="0" applyNumberFormat="1" applyFont="1" applyFill="1" applyBorder="1" applyAlignment="1" applyProtection="1">
      <alignment horizontal="center"/>
    </xf>
    <xf numFmtId="0" fontId="24" fillId="0" borderId="0" xfId="0" applyFont="1" applyFill="1" applyBorder="1" applyAlignment="1" applyProtection="1">
      <alignment horizontal="center"/>
    </xf>
    <xf numFmtId="164" fontId="3" fillId="0" borderId="0" xfId="0" applyNumberFormat="1" applyFont="1" applyFill="1" applyBorder="1" applyAlignment="1" applyProtection="1">
      <alignment horizontal="left"/>
    </xf>
    <xf numFmtId="0" fontId="0" fillId="0" borderId="7" xfId="0" applyFill="1" applyBorder="1" applyProtection="1"/>
    <xf numFmtId="0" fontId="6" fillId="0" borderId="10" xfId="0" applyFont="1" applyFill="1" applyBorder="1" applyProtection="1"/>
    <xf numFmtId="0" fontId="3" fillId="0" borderId="11" xfId="0" applyFont="1" applyFill="1" applyBorder="1" applyAlignment="1" applyProtection="1">
      <alignment horizontal="right"/>
    </xf>
    <xf numFmtId="42" fontId="0" fillId="0" borderId="12" xfId="0" applyNumberFormat="1" applyFill="1" applyBorder="1" applyProtection="1">
      <protection locked="0"/>
    </xf>
    <xf numFmtId="42" fontId="0" fillId="0" borderId="7" xfId="0" applyNumberFormat="1" applyFill="1" applyBorder="1" applyProtection="1">
      <protection locked="0"/>
    </xf>
    <xf numFmtId="0" fontId="0" fillId="0" borderId="38" xfId="0" applyFill="1" applyBorder="1" applyAlignment="1" applyProtection="1">
      <alignment horizontal="left"/>
    </xf>
    <xf numFmtId="0" fontId="0" fillId="0" borderId="44" xfId="0" applyFill="1" applyBorder="1" applyProtection="1"/>
    <xf numFmtId="0" fontId="0" fillId="0" borderId="40" xfId="0" applyFill="1" applyBorder="1" applyProtection="1"/>
    <xf numFmtId="0" fontId="8" fillId="0" borderId="0" xfId="0" applyFont="1" applyFill="1" applyBorder="1" applyAlignment="1" applyProtection="1">
      <alignment horizontal="left"/>
    </xf>
    <xf numFmtId="42" fontId="23" fillId="2" borderId="41" xfId="0" applyNumberFormat="1" applyFont="1" applyFill="1" applyBorder="1" applyAlignment="1" applyProtection="1">
      <alignment horizontal="left"/>
    </xf>
    <xf numFmtId="42" fontId="23" fillId="0" borderId="0" xfId="0" applyNumberFormat="1" applyFont="1" applyFill="1" applyBorder="1" applyAlignment="1" applyProtection="1">
      <alignment horizontal="left"/>
    </xf>
    <xf numFmtId="0" fontId="0" fillId="0" borderId="42" xfId="0" applyFill="1" applyBorder="1" applyProtection="1"/>
    <xf numFmtId="0" fontId="6" fillId="0" borderId="0" xfId="0" applyFont="1" applyBorder="1" applyProtection="1"/>
    <xf numFmtId="0" fontId="6" fillId="0" borderId="0" xfId="0" applyFont="1" applyProtection="1"/>
    <xf numFmtId="0" fontId="3" fillId="0" borderId="0" xfId="0" applyFont="1" applyProtection="1"/>
    <xf numFmtId="164" fontId="6" fillId="0" borderId="0" xfId="0" applyNumberFormat="1" applyFont="1" applyBorder="1" applyAlignment="1" applyProtection="1">
      <alignment horizontal="right"/>
      <protection locked="0"/>
    </xf>
    <xf numFmtId="3" fontId="6" fillId="0" borderId="0" xfId="0" applyNumberFormat="1" applyFont="1" applyBorder="1" applyAlignment="1" applyProtection="1">
      <alignment horizontal="center"/>
      <protection locked="0"/>
    </xf>
    <xf numFmtId="3" fontId="6" fillId="0" borderId="24" xfId="0" applyNumberFormat="1" applyFont="1" applyBorder="1" applyAlignment="1" applyProtection="1">
      <protection locked="0"/>
    </xf>
    <xf numFmtId="0" fontId="39" fillId="0" borderId="0" xfId="0" applyFont="1" applyProtection="1"/>
    <xf numFmtId="0" fontId="3" fillId="0" borderId="12" xfId="0" applyFont="1" applyBorder="1" applyAlignment="1" applyProtection="1">
      <alignment horizontal="left"/>
    </xf>
    <xf numFmtId="0" fontId="3" fillId="0" borderId="13" xfId="0" applyFont="1" applyBorder="1" applyAlignment="1" applyProtection="1">
      <alignment horizontal="left"/>
    </xf>
    <xf numFmtId="0" fontId="6" fillId="0" borderId="13" xfId="0" applyFont="1" applyBorder="1" applyProtection="1"/>
    <xf numFmtId="0" fontId="31" fillId="0" borderId="13" xfId="0" applyFont="1" applyFill="1" applyBorder="1" applyAlignment="1" applyProtection="1">
      <alignment horizontal="center"/>
    </xf>
    <xf numFmtId="0" fontId="3" fillId="0" borderId="13" xfId="0" applyFont="1" applyBorder="1" applyAlignment="1" applyProtection="1">
      <alignment horizontal="right"/>
    </xf>
    <xf numFmtId="0" fontId="3" fillId="0" borderId="12" xfId="0" applyFont="1" applyBorder="1" applyAlignment="1" applyProtection="1">
      <alignment horizontal="center" vertical="top"/>
    </xf>
    <xf numFmtId="0" fontId="40" fillId="0" borderId="13" xfId="0" applyFont="1" applyBorder="1" applyAlignment="1" applyProtection="1">
      <alignment horizontal="center" vertical="top"/>
    </xf>
    <xf numFmtId="0" fontId="40" fillId="0" borderId="13" xfId="0" applyFont="1" applyBorder="1" applyAlignment="1" applyProtection="1">
      <alignment horizontal="right"/>
    </xf>
    <xf numFmtId="0" fontId="31" fillId="0" borderId="13" xfId="0" applyFont="1" applyBorder="1" applyAlignment="1" applyProtection="1">
      <alignment horizontal="center"/>
    </xf>
    <xf numFmtId="0" fontId="0" fillId="0" borderId="14" xfId="0" applyBorder="1"/>
    <xf numFmtId="0" fontId="6" fillId="0" borderId="11" xfId="0" applyFont="1" applyBorder="1" applyAlignment="1" applyProtection="1">
      <alignment horizontal="left"/>
    </xf>
    <xf numFmtId="0" fontId="6" fillId="0" borderId="6" xfId="0" applyFont="1" applyBorder="1" applyAlignment="1" applyProtection="1">
      <alignment horizontal="left"/>
    </xf>
    <xf numFmtId="3" fontId="6" fillId="0" borderId="9" xfId="0" applyNumberFormat="1" applyFont="1" applyBorder="1" applyAlignment="1" applyProtection="1">
      <alignment horizontal="right"/>
      <protection locked="0"/>
    </xf>
    <xf numFmtId="0" fontId="6" fillId="0" borderId="7" xfId="0" applyFont="1" applyBorder="1" applyProtection="1"/>
    <xf numFmtId="0" fontId="6" fillId="0" borderId="0" xfId="0" applyFont="1" applyBorder="1" applyAlignment="1" applyProtection="1">
      <alignment horizontal="left"/>
    </xf>
    <xf numFmtId="3" fontId="6" fillId="0" borderId="0" xfId="0" applyNumberFormat="1" applyFont="1" applyProtection="1"/>
    <xf numFmtId="0" fontId="6" fillId="0" borderId="2" xfId="0" applyFont="1" applyBorder="1" applyAlignment="1" applyProtection="1">
      <alignment horizontal="left"/>
    </xf>
    <xf numFmtId="3" fontId="6" fillId="0" borderId="24" xfId="0" applyNumberFormat="1" applyFont="1" applyBorder="1" applyAlignment="1" applyProtection="1">
      <alignment horizontal="right"/>
      <protection locked="0"/>
    </xf>
    <xf numFmtId="3" fontId="3" fillId="2" borderId="24" xfId="0" applyNumberFormat="1" applyFont="1" applyFill="1" applyBorder="1" applyAlignment="1" applyProtection="1">
      <alignment horizontal="right"/>
    </xf>
    <xf numFmtId="3" fontId="3" fillId="0" borderId="0" xfId="0" applyNumberFormat="1" applyFont="1" applyBorder="1" applyAlignment="1" applyProtection="1">
      <alignment horizontal="center"/>
    </xf>
    <xf numFmtId="0" fontId="6" fillId="0" borderId="13" xfId="0" applyFont="1" applyBorder="1" applyAlignment="1" applyProtection="1">
      <alignment horizontal="right"/>
    </xf>
    <xf numFmtId="16" fontId="6" fillId="0" borderId="0" xfId="0" applyNumberFormat="1" applyFont="1" applyBorder="1" applyAlignment="1" applyProtection="1">
      <alignment horizontal="left"/>
    </xf>
    <xf numFmtId="16" fontId="6" fillId="0" borderId="0" xfId="0" quotePrefix="1" applyNumberFormat="1" applyFont="1" applyBorder="1" applyAlignment="1" applyProtection="1">
      <alignment horizontal="left"/>
    </xf>
    <xf numFmtId="16" fontId="6" fillId="0" borderId="2" xfId="0" quotePrefix="1" applyNumberFormat="1" applyFont="1" applyBorder="1" applyAlignment="1" applyProtection="1">
      <alignment horizontal="left"/>
    </xf>
    <xf numFmtId="0" fontId="6" fillId="0" borderId="12" xfId="0" applyFont="1" applyBorder="1" applyProtection="1"/>
    <xf numFmtId="0" fontId="40" fillId="0" borderId="13" xfId="0" applyFont="1" applyBorder="1" applyAlignment="1" applyProtection="1">
      <alignment horizontal="left"/>
    </xf>
    <xf numFmtId="0" fontId="41" fillId="0" borderId="13" xfId="0" applyFont="1" applyBorder="1" applyProtection="1"/>
    <xf numFmtId="0" fontId="3" fillId="0" borderId="0" xfId="0" applyFont="1" applyBorder="1" applyAlignment="1" applyProtection="1">
      <alignment horizontal="right"/>
    </xf>
    <xf numFmtId="3" fontId="3" fillId="0" borderId="0" xfId="0" applyNumberFormat="1" applyFont="1" applyFill="1" applyBorder="1" applyAlignment="1" applyProtection="1">
      <alignment horizontal="center"/>
    </xf>
    <xf numFmtId="0" fontId="6" fillId="0" borderId="14" xfId="0" applyFont="1" applyBorder="1" applyProtection="1"/>
    <xf numFmtId="0" fontId="6" fillId="0" borderId="0" xfId="0" applyFont="1" applyBorder="1" applyAlignment="1" applyProtection="1"/>
    <xf numFmtId="0" fontId="31" fillId="0" borderId="0" xfId="0" applyFont="1" applyFill="1" applyBorder="1" applyAlignment="1" applyProtection="1">
      <alignment horizontal="center"/>
    </xf>
    <xf numFmtId="0" fontId="3" fillId="0" borderId="0" xfId="0" applyFont="1" applyBorder="1" applyProtection="1"/>
    <xf numFmtId="0" fontId="0" fillId="0" borderId="0" xfId="0" applyAlignment="1" applyProtection="1"/>
    <xf numFmtId="3" fontId="0" fillId="0" borderId="24" xfId="0" applyNumberFormat="1" applyBorder="1" applyAlignment="1" applyProtection="1">
      <alignment horizontal="right"/>
      <protection locked="0"/>
    </xf>
    <xf numFmtId="3" fontId="0" fillId="0" borderId="0" xfId="0" applyNumberFormat="1" applyBorder="1" applyAlignment="1" applyProtection="1">
      <alignment horizontal="center"/>
      <protection locked="0"/>
    </xf>
    <xf numFmtId="0" fontId="0" fillId="0" borderId="2" xfId="0" applyBorder="1" applyProtection="1"/>
    <xf numFmtId="3" fontId="0" fillId="0" borderId="24" xfId="0" applyNumberFormat="1" applyFill="1" applyBorder="1" applyAlignment="1" applyProtection="1">
      <alignment horizontal="right"/>
      <protection locked="0"/>
    </xf>
    <xf numFmtId="0" fontId="6" fillId="0" borderId="7" xfId="0" applyFont="1" applyBorder="1" applyAlignment="1" applyProtection="1">
      <alignment horizontal="right"/>
    </xf>
    <xf numFmtId="3" fontId="0" fillId="0" borderId="4" xfId="0" applyNumberFormat="1" applyFill="1" applyBorder="1" applyAlignment="1" applyProtection="1">
      <alignment horizontal="center"/>
      <protection locked="0"/>
    </xf>
    <xf numFmtId="0" fontId="3" fillId="0" borderId="10" xfId="0" applyFont="1" applyBorder="1" applyProtection="1"/>
    <xf numFmtId="0" fontId="6" fillId="0" borderId="11" xfId="0" applyFont="1" applyBorder="1" applyProtection="1"/>
    <xf numFmtId="0" fontId="6" fillId="0" borderId="6" xfId="0" applyFont="1" applyBorder="1" applyProtection="1"/>
    <xf numFmtId="0" fontId="6" fillId="0" borderId="10" xfId="0" applyFont="1" applyBorder="1" applyProtection="1"/>
    <xf numFmtId="0" fontId="40" fillId="0" borderId="11" xfId="0" applyFont="1" applyBorder="1" applyAlignment="1" applyProtection="1">
      <alignment horizontal="left"/>
    </xf>
    <xf numFmtId="0" fontId="3" fillId="0" borderId="11" xfId="0" applyFont="1" applyBorder="1" applyAlignment="1" applyProtection="1">
      <alignment horizontal="right"/>
    </xf>
    <xf numFmtId="0" fontId="0" fillId="0" borderId="6" xfId="0" applyBorder="1"/>
    <xf numFmtId="0" fontId="6" fillId="0" borderId="8" xfId="0" applyFont="1" applyFill="1" applyBorder="1" applyAlignment="1" applyProtection="1">
      <alignment horizontal="left"/>
    </xf>
    <xf numFmtId="0" fontId="6" fillId="0" borderId="4" xfId="0" applyFont="1" applyBorder="1" applyAlignment="1" applyProtection="1">
      <alignment horizontal="right"/>
    </xf>
    <xf numFmtId="0" fontId="6" fillId="0" borderId="4" xfId="0" applyFont="1" applyBorder="1" applyProtection="1"/>
    <xf numFmtId="0" fontId="31" fillId="0" borderId="4" xfId="0" applyFont="1" applyFill="1" applyBorder="1" applyAlignment="1" applyProtection="1">
      <alignment horizontal="center"/>
    </xf>
    <xf numFmtId="0" fontId="6" fillId="0" borderId="5" xfId="0" applyFont="1" applyBorder="1" applyProtection="1"/>
    <xf numFmtId="0" fontId="6" fillId="0" borderId="8" xfId="0" applyFont="1" applyBorder="1" applyProtection="1"/>
    <xf numFmtId="0" fontId="39" fillId="0" borderId="4" xfId="0" applyFont="1" applyBorder="1" applyProtection="1"/>
    <xf numFmtId="0" fontId="3" fillId="0" borderId="4" xfId="0" applyFont="1" applyBorder="1" applyAlignment="1" applyProtection="1">
      <alignment horizontal="right"/>
    </xf>
    <xf numFmtId="0" fontId="31" fillId="0" borderId="4" xfId="0" applyFont="1" applyBorder="1" applyAlignment="1" applyProtection="1">
      <alignment horizontal="center"/>
    </xf>
    <xf numFmtId="0" fontId="0" fillId="0" borderId="5" xfId="0" applyBorder="1"/>
    <xf numFmtId="0" fontId="6" fillId="0" borderId="9" xfId="0" applyFont="1" applyBorder="1" applyAlignment="1" applyProtection="1">
      <alignment horizontal="right"/>
    </xf>
    <xf numFmtId="0" fontId="6" fillId="0" borderId="2" xfId="0" applyFont="1" applyBorder="1" applyProtection="1"/>
    <xf numFmtId="0" fontId="3" fillId="0" borderId="0" xfId="0" applyFont="1" applyBorder="1" applyAlignment="1" applyProtection="1">
      <alignment horizontal="left"/>
    </xf>
    <xf numFmtId="3" fontId="6" fillId="0" borderId="24" xfId="0" applyNumberFormat="1" applyFont="1" applyFill="1" applyBorder="1" applyAlignment="1" applyProtection="1">
      <alignment horizontal="right"/>
      <protection locked="0"/>
    </xf>
    <xf numFmtId="3" fontId="6" fillId="0" borderId="0" xfId="0" applyNumberFormat="1" applyFont="1" applyFill="1" applyBorder="1" applyAlignment="1" applyProtection="1">
      <alignment horizontal="center"/>
      <protection locked="0"/>
    </xf>
    <xf numFmtId="0" fontId="6" fillId="0" borderId="0" xfId="0" applyFont="1" applyFill="1" applyBorder="1" applyProtection="1"/>
    <xf numFmtId="0" fontId="6" fillId="0" borderId="24" xfId="0" applyFont="1" applyBorder="1" applyProtection="1"/>
    <xf numFmtId="0" fontId="9" fillId="0" borderId="0" xfId="0" applyFont="1" applyBorder="1" applyAlignment="1" applyProtection="1">
      <alignment horizontal="center"/>
    </xf>
    <xf numFmtId="0" fontId="9" fillId="0" borderId="0" xfId="0" applyFont="1" applyFill="1" applyBorder="1" applyAlignment="1" applyProtection="1">
      <alignment horizontal="center"/>
    </xf>
    <xf numFmtId="0" fontId="6" fillId="0" borderId="24" xfId="0" applyFont="1" applyFill="1" applyBorder="1" applyProtection="1"/>
    <xf numFmtId="3" fontId="6" fillId="0" borderId="24" xfId="0" applyNumberFormat="1" applyFont="1" applyFill="1" applyBorder="1" applyProtection="1">
      <protection locked="0"/>
    </xf>
    <xf numFmtId="0" fontId="6" fillId="0" borderId="3" xfId="0" applyFont="1" applyBorder="1" applyProtection="1"/>
    <xf numFmtId="3" fontId="0" fillId="0" borderId="9" xfId="0" applyNumberFormat="1" applyBorder="1" applyAlignment="1" applyProtection="1">
      <alignment horizontal="right"/>
      <protection locked="0"/>
    </xf>
    <xf numFmtId="0" fontId="40" fillId="0" borderId="12" xfId="0" applyFont="1" applyBorder="1" applyProtection="1"/>
    <xf numFmtId="0" fontId="3" fillId="0" borderId="13" xfId="0" applyFont="1" applyBorder="1" applyProtection="1"/>
    <xf numFmtId="0" fontId="3" fillId="0" borderId="14" xfId="0" applyFont="1" applyBorder="1" applyProtection="1"/>
    <xf numFmtId="0" fontId="44" fillId="0" borderId="0" xfId="0" applyFont="1" applyBorder="1" applyProtection="1"/>
    <xf numFmtId="0" fontId="3" fillId="0" borderId="2" xfId="0" applyFont="1" applyBorder="1" applyAlignment="1" applyProtection="1">
      <alignment horizontal="right"/>
    </xf>
    <xf numFmtId="0" fontId="32" fillId="0" borderId="0" xfId="0" applyFont="1"/>
    <xf numFmtId="0" fontId="3" fillId="0" borderId="2" xfId="0" applyFont="1" applyBorder="1" applyProtection="1"/>
    <xf numFmtId="0" fontId="32" fillId="0" borderId="0" xfId="0" applyFont="1" applyBorder="1" applyProtection="1"/>
    <xf numFmtId="0" fontId="32" fillId="0" borderId="0" xfId="0" applyFont="1" applyProtection="1"/>
    <xf numFmtId="0" fontId="32" fillId="0" borderId="7" xfId="0" applyFont="1" applyBorder="1" applyProtection="1"/>
    <xf numFmtId="0" fontId="23" fillId="0" borderId="0" xfId="0" applyFont="1" applyBorder="1" applyAlignment="1" applyProtection="1"/>
    <xf numFmtId="0" fontId="23" fillId="0" borderId="0" xfId="0" applyFont="1" applyBorder="1" applyProtection="1"/>
    <xf numFmtId="0" fontId="15" fillId="0" borderId="0" xfId="0" applyFont="1" applyBorder="1" applyAlignment="1" applyProtection="1">
      <alignment horizontal="left"/>
    </xf>
    <xf numFmtId="0" fontId="0" fillId="7" borderId="14" xfId="0" applyFill="1" applyBorder="1" applyAlignment="1">
      <alignment horizontal="center" vertical="center"/>
    </xf>
    <xf numFmtId="0" fontId="0" fillId="7" borderId="24" xfId="0" applyFill="1" applyBorder="1" applyAlignment="1">
      <alignment horizontal="center" vertical="center"/>
    </xf>
    <xf numFmtId="0" fontId="24" fillId="0" borderId="0" xfId="0" applyFont="1" applyBorder="1" applyAlignment="1">
      <alignment horizontal="left" vertical="center"/>
    </xf>
    <xf numFmtId="0" fontId="0" fillId="0" borderId="4" xfId="0" applyBorder="1" applyAlignment="1">
      <alignment horizontal="left" vertical="center"/>
    </xf>
    <xf numFmtId="0" fontId="50" fillId="0" borderId="4" xfId="0" applyFont="1" applyBorder="1"/>
    <xf numFmtId="0" fontId="51" fillId="0" borderId="0" xfId="0" applyFont="1" applyAlignment="1">
      <alignment horizontal="left" indent="4"/>
    </xf>
    <xf numFmtId="0" fontId="52" fillId="0" borderId="0" xfId="0" applyFont="1"/>
    <xf numFmtId="3" fontId="6" fillId="7" borderId="9" xfId="0" applyNumberFormat="1" applyFont="1" applyFill="1" applyBorder="1" applyAlignment="1" applyProtection="1">
      <alignment horizontal="right"/>
      <protection locked="0"/>
    </xf>
    <xf numFmtId="0" fontId="54" fillId="0" borderId="0" xfId="0" applyFont="1"/>
    <xf numFmtId="0" fontId="0" fillId="0" borderId="11" xfId="0" applyBorder="1" applyAlignment="1"/>
    <xf numFmtId="0" fontId="0" fillId="0" borderId="11" xfId="0" applyBorder="1" applyAlignment="1">
      <alignment vertical="top"/>
    </xf>
    <xf numFmtId="0" fontId="24" fillId="0" borderId="0" xfId="0" applyFont="1" applyAlignment="1">
      <alignment horizontal="right" wrapText="1"/>
    </xf>
    <xf numFmtId="0" fontId="0" fillId="0" borderId="24" xfId="0" applyFill="1" applyBorder="1" applyAlignment="1" applyProtection="1">
      <alignment horizontal="center" vertical="center"/>
      <protection locked="0"/>
    </xf>
    <xf numFmtId="0" fontId="0" fillId="0" borderId="14" xfId="0" applyFill="1" applyBorder="1" applyAlignment="1" applyProtection="1">
      <alignment horizontal="center" vertical="center"/>
      <protection locked="0"/>
    </xf>
    <xf numFmtId="0" fontId="47" fillId="0" borderId="0" xfId="3" applyFont="1" applyAlignment="1" applyProtection="1">
      <alignment horizontal="center"/>
    </xf>
    <xf numFmtId="0" fontId="48" fillId="0" borderId="0" xfId="0" applyFont="1" applyAlignment="1">
      <alignment horizontal="center"/>
    </xf>
    <xf numFmtId="0" fontId="24" fillId="0" borderId="0" xfId="0" applyFont="1" applyAlignment="1">
      <alignment horizontal="center"/>
    </xf>
    <xf numFmtId="0" fontId="0" fillId="7" borderId="12" xfId="0" applyFill="1" applyBorder="1" applyAlignment="1">
      <alignment horizontal="center" vertical="top" wrapText="1"/>
    </xf>
    <xf numFmtId="0" fontId="0" fillId="7" borderId="13" xfId="0" applyFill="1" applyBorder="1" applyAlignment="1">
      <alignment horizontal="center" vertical="top" wrapText="1"/>
    </xf>
    <xf numFmtId="0" fontId="0" fillId="7" borderId="14" xfId="0" applyFill="1" applyBorder="1" applyAlignment="1">
      <alignment horizontal="center" vertical="top" wrapText="1"/>
    </xf>
    <xf numFmtId="0" fontId="6" fillId="7" borderId="12" xfId="0" applyFont="1" applyFill="1" applyBorder="1" applyAlignment="1">
      <alignment horizontal="left" vertical="top" wrapText="1"/>
    </xf>
    <xf numFmtId="0" fontId="6" fillId="7" borderId="13" xfId="0" applyFont="1" applyFill="1" applyBorder="1" applyAlignment="1">
      <alignment horizontal="left" vertical="top" wrapText="1"/>
    </xf>
    <xf numFmtId="0" fontId="6" fillId="7" borderId="14" xfId="0" applyFont="1" applyFill="1" applyBorder="1" applyAlignment="1">
      <alignment horizontal="left" vertical="top" wrapText="1"/>
    </xf>
    <xf numFmtId="0" fontId="0" fillId="7" borderId="12" xfId="0" applyFill="1" applyBorder="1" applyAlignment="1">
      <alignment horizontal="left" vertical="center" wrapText="1"/>
    </xf>
    <xf numFmtId="0" fontId="0" fillId="7" borderId="13" xfId="0" applyFill="1" applyBorder="1" applyAlignment="1">
      <alignment horizontal="left" vertical="center" wrapText="1"/>
    </xf>
    <xf numFmtId="0" fontId="0" fillId="7" borderId="14" xfId="0" applyFill="1" applyBorder="1" applyAlignment="1">
      <alignment horizontal="left" vertical="center" wrapText="1"/>
    </xf>
    <xf numFmtId="0" fontId="1" fillId="8" borderId="26" xfId="0" applyFont="1" applyFill="1" applyBorder="1" applyAlignment="1">
      <alignment horizontal="center" vertical="center" wrapText="1"/>
    </xf>
    <xf numFmtId="0" fontId="1" fillId="8" borderId="28" xfId="0" applyFont="1" applyFill="1" applyBorder="1" applyAlignment="1">
      <alignment horizontal="center" vertical="center" wrapText="1"/>
    </xf>
    <xf numFmtId="0" fontId="1" fillId="8" borderId="27" xfId="0" applyFont="1" applyFill="1" applyBorder="1" applyAlignment="1">
      <alignment horizontal="center" vertical="center" wrapText="1"/>
    </xf>
    <xf numFmtId="0" fontId="0" fillId="7" borderId="34" xfId="0" applyFill="1" applyBorder="1" applyAlignment="1">
      <alignment horizontal="left" vertical="top"/>
    </xf>
    <xf numFmtId="0" fontId="0" fillId="7" borderId="12" xfId="0" applyFill="1" applyBorder="1" applyAlignment="1">
      <alignment horizontal="left" vertical="top" wrapText="1"/>
    </xf>
    <xf numFmtId="0" fontId="0" fillId="7" borderId="13" xfId="0" applyFill="1" applyBorder="1" applyAlignment="1">
      <alignment horizontal="left" vertical="top" wrapText="1"/>
    </xf>
    <xf numFmtId="0" fontId="0" fillId="7" borderId="14" xfId="0" applyFill="1" applyBorder="1" applyAlignment="1">
      <alignment horizontal="left" vertical="top" wrapText="1"/>
    </xf>
    <xf numFmtId="0" fontId="24" fillId="0" borderId="34" xfId="0" applyFont="1" applyBorder="1" applyAlignment="1">
      <alignment horizontal="left"/>
    </xf>
    <xf numFmtId="0" fontId="24" fillId="0" borderId="34" xfId="0" applyFont="1" applyBorder="1" applyAlignment="1">
      <alignment horizontal="left" vertical="center" wrapText="1"/>
    </xf>
    <xf numFmtId="0" fontId="24" fillId="0" borderId="0" xfId="0" applyFont="1" applyAlignment="1">
      <alignment horizontal="left" vertical="top" wrapText="1"/>
    </xf>
    <xf numFmtId="0" fontId="24" fillId="0" borderId="29" xfId="0" applyFont="1" applyBorder="1" applyAlignment="1">
      <alignment horizontal="center"/>
    </xf>
    <xf numFmtId="0" fontId="25" fillId="8" borderId="30" xfId="0" applyFont="1" applyFill="1" applyBorder="1" applyAlignment="1">
      <alignment horizontal="center" vertical="center" wrapText="1"/>
    </xf>
    <xf numFmtId="0" fontId="25" fillId="8" borderId="31" xfId="0" applyFont="1" applyFill="1" applyBorder="1" applyAlignment="1">
      <alignment horizontal="center" vertical="center" wrapText="1"/>
    </xf>
    <xf numFmtId="0" fontId="25" fillId="8" borderId="33" xfId="0" applyFont="1" applyFill="1" applyBorder="1" applyAlignment="1">
      <alignment horizontal="center" vertical="center" wrapText="1"/>
    </xf>
    <xf numFmtId="0" fontId="24" fillId="0" borderId="0" xfId="0" applyFont="1" applyAlignment="1">
      <alignment horizontal="left" vertical="center" wrapText="1"/>
    </xf>
    <xf numFmtId="0" fontId="24" fillId="7" borderId="12" xfId="0" applyFont="1" applyFill="1" applyBorder="1" applyAlignment="1">
      <alignment horizontal="left" vertical="top" wrapText="1"/>
    </xf>
    <xf numFmtId="0" fontId="24" fillId="7" borderId="13" xfId="0" applyFont="1" applyFill="1" applyBorder="1" applyAlignment="1">
      <alignment horizontal="left" vertical="top" wrapText="1"/>
    </xf>
    <xf numFmtId="0" fontId="24" fillId="7" borderId="14" xfId="0" applyFont="1" applyFill="1" applyBorder="1" applyAlignment="1">
      <alignment horizontal="left" vertical="top" wrapText="1"/>
    </xf>
    <xf numFmtId="0" fontId="0" fillId="7" borderId="26" xfId="0" applyFill="1" applyBorder="1" applyAlignment="1">
      <alignment horizontal="left" vertical="center"/>
    </xf>
    <xf numFmtId="0" fontId="0" fillId="7" borderId="27" xfId="0" applyFill="1" applyBorder="1" applyAlignment="1">
      <alignment horizontal="left" vertical="center"/>
    </xf>
    <xf numFmtId="0" fontId="0" fillId="0" borderId="0" xfId="0" applyAlignment="1">
      <alignment horizontal="left" vertical="center"/>
    </xf>
    <xf numFmtId="0" fontId="0" fillId="7" borderId="24" xfId="0" applyFill="1" applyBorder="1" applyAlignment="1">
      <alignment horizontal="left" vertical="top"/>
    </xf>
    <xf numFmtId="0" fontId="25" fillId="8" borderId="35" xfId="0" applyFont="1" applyFill="1" applyBorder="1" applyAlignment="1">
      <alignment horizontal="center" vertical="center" wrapText="1"/>
    </xf>
    <xf numFmtId="0" fontId="0" fillId="7" borderId="24" xfId="0" applyFill="1" applyBorder="1" applyAlignment="1" applyProtection="1">
      <alignment horizontal="left" vertical="top" wrapText="1"/>
      <protection locked="0"/>
    </xf>
    <xf numFmtId="0" fontId="0" fillId="7" borderId="12" xfId="0" applyFill="1" applyBorder="1" applyAlignment="1" applyProtection="1">
      <alignment horizontal="left" vertical="top" wrapText="1"/>
      <protection locked="0"/>
    </xf>
    <xf numFmtId="0" fontId="0" fillId="7" borderId="13" xfId="0" applyFill="1" applyBorder="1" applyAlignment="1" applyProtection="1">
      <alignment horizontal="left" vertical="top" wrapText="1"/>
      <protection locked="0"/>
    </xf>
    <xf numFmtId="0" fontId="0" fillId="7" borderId="14" xfId="0" applyFill="1" applyBorder="1" applyAlignment="1" applyProtection="1">
      <alignment horizontal="left" vertical="top" wrapText="1"/>
      <protection locked="0"/>
    </xf>
    <xf numFmtId="0" fontId="0" fillId="7" borderId="12" xfId="0" applyFill="1" applyBorder="1" applyAlignment="1">
      <alignment horizontal="left"/>
    </xf>
    <xf numFmtId="0" fontId="0" fillId="7" borderId="13" xfId="0" applyFill="1" applyBorder="1" applyAlignment="1">
      <alignment horizontal="left"/>
    </xf>
    <xf numFmtId="0" fontId="0" fillId="7" borderId="14" xfId="0" applyFill="1" applyBorder="1" applyAlignment="1">
      <alignment horizontal="left"/>
    </xf>
    <xf numFmtId="0" fontId="0" fillId="0" borderId="0" xfId="0" applyBorder="1" applyAlignment="1" applyProtection="1">
      <alignment horizontal="left" vertical="top" wrapText="1"/>
      <protection locked="0"/>
    </xf>
    <xf numFmtId="0" fontId="26" fillId="0" borderId="0" xfId="0" applyFont="1" applyAlignment="1">
      <alignment horizont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7" borderId="14" xfId="0" applyFill="1" applyBorder="1" applyAlignment="1">
      <alignment horizontal="left" vertical="center"/>
    </xf>
    <xf numFmtId="0" fontId="0" fillId="0" borderId="0" xfId="0" applyBorder="1" applyAlignment="1" applyProtection="1">
      <alignment horizontal="center" vertical="top" wrapText="1"/>
      <protection locked="0"/>
    </xf>
    <xf numFmtId="0" fontId="3" fillId="0" borderId="0" xfId="0" applyFont="1" applyAlignment="1">
      <alignment horizontal="left" wrapText="1"/>
    </xf>
    <xf numFmtId="0" fontId="6" fillId="0" borderId="0" xfId="0" applyFont="1" applyAlignment="1">
      <alignment horizontal="left" wrapText="1"/>
    </xf>
    <xf numFmtId="0" fontId="6" fillId="7" borderId="12" xfId="0" applyFont="1" applyFill="1" applyBorder="1" applyAlignment="1" applyProtection="1">
      <alignment horizontal="left" vertical="top" wrapText="1"/>
      <protection locked="0"/>
    </xf>
    <xf numFmtId="0" fontId="6" fillId="7" borderId="13" xfId="0" applyFont="1" applyFill="1" applyBorder="1" applyAlignment="1" applyProtection="1">
      <alignment horizontal="left" vertical="top" wrapText="1"/>
      <protection locked="0"/>
    </xf>
    <xf numFmtId="0" fontId="6" fillId="7" borderId="14" xfId="0" applyFont="1" applyFill="1" applyBorder="1" applyAlignment="1" applyProtection="1">
      <alignment horizontal="left" vertical="top" wrapText="1"/>
      <protection locked="0"/>
    </xf>
    <xf numFmtId="0" fontId="6" fillId="0" borderId="0" xfId="0" applyFont="1" applyAlignment="1">
      <alignment horizontal="left" vertical="top" wrapText="1"/>
    </xf>
    <xf numFmtId="0" fontId="30" fillId="0" borderId="12" xfId="0" applyFont="1" applyBorder="1" applyAlignment="1" applyProtection="1">
      <alignment horizontal="left" vertical="top" wrapText="1"/>
      <protection locked="0"/>
    </xf>
    <xf numFmtId="0" fontId="30" fillId="0" borderId="13" xfId="0" applyFont="1" applyBorder="1" applyAlignment="1" applyProtection="1">
      <alignment horizontal="left" vertical="top" wrapText="1"/>
      <protection locked="0"/>
    </xf>
    <xf numFmtId="164" fontId="0" fillId="0" borderId="0" xfId="0" applyNumberFormat="1" applyFill="1" applyBorder="1" applyAlignment="1" applyProtection="1">
      <alignment horizontal="center" vertical="center"/>
    </xf>
    <xf numFmtId="0" fontId="32" fillId="0" borderId="8" xfId="0" applyFont="1" applyBorder="1" applyAlignment="1" applyProtection="1">
      <alignment horizontal="left"/>
    </xf>
    <xf numFmtId="0" fontId="31" fillId="0" borderId="4" xfId="0" applyFont="1" applyBorder="1" applyAlignment="1" applyProtection="1">
      <alignment horizontal="left"/>
    </xf>
    <xf numFmtId="0" fontId="31" fillId="0" borderId="5" xfId="0" applyFont="1" applyBorder="1" applyAlignment="1" applyProtection="1">
      <alignment horizontal="left"/>
    </xf>
    <xf numFmtId="164" fontId="0" fillId="7" borderId="10" xfId="0" applyNumberFormat="1" applyFill="1" applyBorder="1" applyAlignment="1" applyProtection="1">
      <alignment horizontal="center" vertical="center" wrapText="1"/>
      <protection locked="0"/>
    </xf>
    <xf numFmtId="164" fontId="0" fillId="7" borderId="6" xfId="0" applyNumberFormat="1" applyFill="1" applyBorder="1" applyAlignment="1" applyProtection="1">
      <alignment horizontal="center" vertical="center" wrapText="1"/>
      <protection locked="0"/>
    </xf>
    <xf numFmtId="164" fontId="0" fillId="7" borderId="8" xfId="0" applyNumberFormat="1" applyFill="1" applyBorder="1" applyAlignment="1" applyProtection="1">
      <alignment horizontal="center" vertical="center" wrapText="1"/>
      <protection locked="0"/>
    </xf>
    <xf numFmtId="164" fontId="0" fillId="7" borderId="5" xfId="0" applyNumberFormat="1" applyFill="1" applyBorder="1" applyAlignment="1" applyProtection="1">
      <alignment horizontal="center" vertical="center" wrapText="1"/>
      <protection locked="0"/>
    </xf>
    <xf numFmtId="0" fontId="3" fillId="0" borderId="10" xfId="0" applyFont="1" applyBorder="1" applyAlignment="1" applyProtection="1">
      <alignment horizontal="left"/>
    </xf>
    <xf numFmtId="0" fontId="3" fillId="0" borderId="11" xfId="0" applyFont="1" applyBorder="1" applyAlignment="1" applyProtection="1">
      <alignment horizontal="left"/>
    </xf>
    <xf numFmtId="0" fontId="3" fillId="0" borderId="6" xfId="0" applyFont="1" applyBorder="1" applyAlignment="1" applyProtection="1">
      <alignment horizontal="left"/>
    </xf>
    <xf numFmtId="0" fontId="3" fillId="0" borderId="10" xfId="0" applyFont="1" applyBorder="1" applyAlignment="1" applyProtection="1">
      <alignment horizontal="center" vertical="center" wrapText="1"/>
    </xf>
    <xf numFmtId="0" fontId="3" fillId="0" borderId="11" xfId="0" applyFont="1" applyBorder="1" applyAlignment="1" applyProtection="1">
      <alignment horizontal="center" vertical="center" wrapText="1"/>
    </xf>
    <xf numFmtId="0" fontId="3" fillId="0" borderId="6" xfId="0" applyFont="1" applyBorder="1" applyAlignment="1" applyProtection="1">
      <alignment horizontal="center" vertical="center" wrapText="1"/>
    </xf>
    <xf numFmtId="0" fontId="3" fillId="0" borderId="7"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3" fillId="0" borderId="2" xfId="0" applyFont="1" applyBorder="1" applyAlignment="1" applyProtection="1">
      <alignment horizontal="center" vertical="center" wrapText="1"/>
    </xf>
    <xf numFmtId="0" fontId="3" fillId="0" borderId="8" xfId="0" applyFont="1" applyBorder="1" applyAlignment="1" applyProtection="1">
      <alignment horizontal="center" vertical="center" wrapText="1"/>
    </xf>
    <xf numFmtId="0" fontId="3" fillId="0" borderId="4"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Fill="1" applyBorder="1" applyAlignment="1" applyProtection="1">
      <alignment horizontal="center" vertical="center"/>
    </xf>
    <xf numFmtId="164" fontId="0" fillId="7" borderId="12" xfId="0" applyNumberFormat="1" applyFill="1" applyBorder="1" applyAlignment="1" applyProtection="1">
      <alignment horizontal="center"/>
      <protection locked="0"/>
    </xf>
    <xf numFmtId="164" fontId="0" fillId="7" borderId="14" xfId="0" applyNumberFormat="1" applyFill="1" applyBorder="1" applyAlignment="1" applyProtection="1">
      <alignment horizontal="center"/>
      <protection locked="0"/>
    </xf>
    <xf numFmtId="164" fontId="3" fillId="2" borderId="24" xfId="0" applyNumberFormat="1" applyFont="1" applyFill="1" applyBorder="1" applyAlignment="1" applyProtection="1">
      <alignment horizontal="center" vertical="center" wrapText="1"/>
    </xf>
    <xf numFmtId="164" fontId="3" fillId="0" borderId="0" xfId="0" applyNumberFormat="1" applyFont="1" applyFill="1" applyBorder="1" applyAlignment="1" applyProtection="1">
      <alignment horizontal="center" vertical="center" wrapText="1"/>
    </xf>
    <xf numFmtId="0" fontId="3" fillId="0" borderId="24" xfId="0" applyFont="1" applyBorder="1" applyAlignment="1" applyProtection="1">
      <alignment horizontal="center" vertical="center" wrapText="1"/>
    </xf>
    <xf numFmtId="164" fontId="0" fillId="7" borderId="24" xfId="0" applyNumberFormat="1" applyFill="1" applyBorder="1" applyAlignment="1" applyProtection="1">
      <alignment horizontal="center" vertical="center" wrapText="1"/>
      <protection locked="0"/>
    </xf>
    <xf numFmtId="0" fontId="8" fillId="0" borderId="0" xfId="0" applyFont="1" applyBorder="1" applyAlignment="1" applyProtection="1">
      <alignment horizontal="left" vertical="center" wrapText="1"/>
    </xf>
    <xf numFmtId="0" fontId="3" fillId="0" borderId="0" xfId="0" applyFont="1" applyAlignment="1" applyProtection="1">
      <alignment horizontal="left" vertical="center" wrapText="1"/>
    </xf>
    <xf numFmtId="0" fontId="0" fillId="7" borderId="12" xfId="0" applyFill="1" applyBorder="1" applyAlignment="1" applyProtection="1">
      <alignment horizontal="left" vertical="center" wrapText="1"/>
      <protection locked="0"/>
    </xf>
    <xf numFmtId="0" fontId="0" fillId="7" borderId="13" xfId="0" applyFill="1" applyBorder="1" applyAlignment="1" applyProtection="1">
      <alignment horizontal="left" vertical="center" wrapText="1"/>
      <protection locked="0"/>
    </xf>
    <xf numFmtId="0" fontId="0" fillId="7" borderId="14" xfId="0" applyFill="1" applyBorder="1" applyAlignment="1" applyProtection="1">
      <alignment horizontal="left" vertical="center" wrapText="1"/>
      <protection locked="0"/>
    </xf>
    <xf numFmtId="0" fontId="0" fillId="0" borderId="0" xfId="0" applyBorder="1" applyAlignment="1" applyProtection="1">
      <alignment horizontal="left"/>
    </xf>
    <xf numFmtId="0" fontId="47" fillId="0" borderId="0" xfId="3" applyFont="1" applyFill="1" applyAlignment="1" applyProtection="1">
      <alignment horizontal="center"/>
    </xf>
    <xf numFmtId="164" fontId="3" fillId="0" borderId="0" xfId="0" applyNumberFormat="1" applyFont="1" applyFill="1" applyBorder="1" applyAlignment="1" applyProtection="1">
      <alignment horizontal="right"/>
    </xf>
    <xf numFmtId="0" fontId="0" fillId="0" borderId="12" xfId="0" applyFill="1" applyBorder="1" applyAlignment="1" applyProtection="1">
      <alignment horizontal="left"/>
      <protection locked="0"/>
    </xf>
    <xf numFmtId="0" fontId="0" fillId="0" borderId="13" xfId="0" applyFill="1" applyBorder="1" applyAlignment="1" applyProtection="1">
      <alignment horizontal="left"/>
      <protection locked="0"/>
    </xf>
    <xf numFmtId="0" fontId="0" fillId="0" borderId="14" xfId="0" applyFill="1" applyBorder="1" applyAlignment="1" applyProtection="1">
      <alignment horizontal="left"/>
      <protection locked="0"/>
    </xf>
    <xf numFmtId="0" fontId="12" fillId="0" borderId="7" xfId="0" applyFont="1" applyFill="1" applyBorder="1" applyAlignment="1" applyProtection="1">
      <alignment horizontal="left"/>
    </xf>
    <xf numFmtId="0" fontId="12" fillId="0" borderId="0" xfId="0" applyFont="1" applyFill="1" applyBorder="1" applyAlignment="1" applyProtection="1">
      <alignment horizontal="left"/>
    </xf>
    <xf numFmtId="0" fontId="12" fillId="0" borderId="40" xfId="0" applyFont="1" applyFill="1" applyBorder="1" applyAlignment="1" applyProtection="1">
      <alignment horizontal="left"/>
    </xf>
    <xf numFmtId="0" fontId="6" fillId="0" borderId="36" xfId="0" applyFont="1" applyFill="1" applyBorder="1" applyAlignment="1" applyProtection="1">
      <alignment horizontal="left"/>
    </xf>
    <xf numFmtId="0" fontId="0" fillId="0" borderId="36" xfId="0" applyFill="1" applyBorder="1" applyAlignment="1" applyProtection="1">
      <alignment horizontal="left"/>
    </xf>
    <xf numFmtId="0" fontId="8" fillId="0" borderId="0" xfId="0" applyFont="1" applyFill="1" applyBorder="1" applyAlignment="1" applyProtection="1">
      <alignment horizontal="left"/>
    </xf>
    <xf numFmtId="44" fontId="0" fillId="0" borderId="24" xfId="0" applyNumberFormat="1" applyFill="1" applyBorder="1" applyAlignment="1" applyProtection="1">
      <alignment horizontal="left"/>
      <protection locked="0"/>
    </xf>
    <xf numFmtId="0" fontId="24" fillId="0" borderId="7" xfId="0" applyFont="1" applyFill="1" applyBorder="1" applyAlignment="1" applyProtection="1">
      <alignment horizontal="left"/>
    </xf>
    <xf numFmtId="0" fontId="24" fillId="0" borderId="0" xfId="0" applyFont="1" applyFill="1" applyBorder="1" applyAlignment="1" applyProtection="1">
      <alignment horizontal="left"/>
    </xf>
    <xf numFmtId="0" fontId="0" fillId="0" borderId="44" xfId="0" applyFill="1" applyBorder="1" applyAlignment="1" applyProtection="1">
      <alignment horizontal="left"/>
    </xf>
    <xf numFmtId="0" fontId="0" fillId="0" borderId="0" xfId="0" applyFill="1" applyBorder="1" applyAlignment="1" applyProtection="1">
      <alignment horizontal="left"/>
    </xf>
    <xf numFmtId="0" fontId="8" fillId="0" borderId="44" xfId="0" applyFont="1" applyFill="1" applyBorder="1" applyAlignment="1" applyProtection="1">
      <alignment horizontal="left"/>
    </xf>
    <xf numFmtId="0" fontId="8" fillId="0" borderId="0" xfId="0" applyFont="1" applyFill="1" applyBorder="1" applyAlignment="1" applyProtection="1">
      <alignment horizontal="left" wrapText="1"/>
    </xf>
    <xf numFmtId="0" fontId="32" fillId="0" borderId="12" xfId="0" applyFont="1" applyFill="1" applyBorder="1" applyAlignment="1" applyProtection="1">
      <alignment horizontal="left"/>
      <protection locked="0"/>
    </xf>
    <xf numFmtId="0" fontId="32" fillId="0" borderId="13" xfId="0" applyFont="1" applyFill="1" applyBorder="1" applyAlignment="1" applyProtection="1">
      <alignment horizontal="left"/>
      <protection locked="0"/>
    </xf>
    <xf numFmtId="0" fontId="32" fillId="0" borderId="14" xfId="0" applyFont="1" applyFill="1" applyBorder="1" applyAlignment="1" applyProtection="1">
      <alignment horizontal="left"/>
      <protection locked="0"/>
    </xf>
    <xf numFmtId="0" fontId="24" fillId="7" borderId="12" xfId="0" applyFont="1" applyFill="1" applyBorder="1" applyAlignment="1" applyProtection="1">
      <alignment horizontal="left" vertical="center"/>
      <protection locked="0"/>
    </xf>
    <xf numFmtId="0" fontId="24" fillId="7" borderId="13" xfId="0" applyFont="1" applyFill="1" applyBorder="1" applyAlignment="1" applyProtection="1">
      <alignment horizontal="left" vertical="center"/>
      <protection locked="0"/>
    </xf>
    <xf numFmtId="0" fontId="24" fillId="7" borderId="14" xfId="0" applyFont="1" applyFill="1" applyBorder="1" applyAlignment="1" applyProtection="1">
      <alignment horizontal="left" vertical="center"/>
      <protection locked="0"/>
    </xf>
    <xf numFmtId="3" fontId="6" fillId="0" borderId="24" xfId="0" applyNumberFormat="1" applyFont="1" applyBorder="1" applyAlignment="1" applyProtection="1">
      <alignment horizontal="right"/>
      <protection locked="0"/>
    </xf>
    <xf numFmtId="0" fontId="6" fillId="0" borderId="0" xfId="0" applyFont="1" applyFill="1" applyAlignment="1" applyProtection="1">
      <alignment horizontal="left" wrapText="1"/>
    </xf>
    <xf numFmtId="0" fontId="0" fillId="0" borderId="0" xfId="0" applyFill="1"/>
    <xf numFmtId="3" fontId="3" fillId="2" borderId="1" xfId="0" applyNumberFormat="1" applyFont="1" applyFill="1" applyBorder="1" applyAlignment="1" applyProtection="1">
      <alignment horizontal="right"/>
    </xf>
    <xf numFmtId="3" fontId="3" fillId="2" borderId="9" xfId="0" applyNumberFormat="1" applyFont="1" applyFill="1" applyBorder="1" applyAlignment="1" applyProtection="1">
      <alignment horizontal="right"/>
    </xf>
    <xf numFmtId="0" fontId="22" fillId="0" borderId="1" xfId="0" applyFont="1" applyBorder="1" applyAlignment="1">
      <alignment horizontal="center" vertical="center"/>
    </xf>
    <xf numFmtId="0" fontId="22" fillId="0" borderId="9" xfId="0" applyFont="1" applyBorder="1" applyAlignment="1">
      <alignment horizontal="center" vertical="center"/>
    </xf>
    <xf numFmtId="0" fontId="22" fillId="0" borderId="3" xfId="0" applyFont="1" applyBorder="1" applyAlignment="1">
      <alignment horizontal="center" vertical="center"/>
    </xf>
    <xf numFmtId="0" fontId="42" fillId="0" borderId="0" xfId="0" applyFont="1" applyFill="1" applyAlignment="1">
      <alignment horizontal="left"/>
    </xf>
    <xf numFmtId="0" fontId="42" fillId="0" borderId="0" xfId="0" applyFont="1" applyAlignment="1" applyProtection="1">
      <alignment horizontal="left" wrapText="1"/>
    </xf>
    <xf numFmtId="0" fontId="6" fillId="0" borderId="10" xfId="0" applyFont="1" applyBorder="1" applyAlignment="1" applyProtection="1">
      <alignment horizontal="center" wrapText="1"/>
    </xf>
    <xf numFmtId="0" fontId="6" fillId="0" borderId="11" xfId="0" applyFont="1" applyBorder="1" applyAlignment="1" applyProtection="1">
      <alignment horizontal="center" wrapText="1"/>
    </xf>
    <xf numFmtId="0" fontId="6" fillId="0" borderId="6" xfId="0" applyFont="1" applyBorder="1" applyAlignment="1" applyProtection="1">
      <alignment horizontal="center" wrapText="1"/>
    </xf>
    <xf numFmtId="0" fontId="6" fillId="0" borderId="7" xfId="0" applyFont="1" applyBorder="1" applyAlignment="1" applyProtection="1">
      <alignment horizontal="center" wrapText="1"/>
    </xf>
    <xf numFmtId="0" fontId="6" fillId="0" borderId="0" xfId="0" applyFont="1" applyBorder="1" applyAlignment="1" applyProtection="1">
      <alignment horizontal="center" wrapText="1"/>
    </xf>
    <xf numFmtId="0" fontId="6" fillId="0" borderId="2" xfId="0" applyFont="1" applyBorder="1" applyAlignment="1" applyProtection="1">
      <alignment horizontal="center" wrapText="1"/>
    </xf>
    <xf numFmtId="0" fontId="6" fillId="0" borderId="8" xfId="0" applyFont="1" applyBorder="1" applyAlignment="1" applyProtection="1">
      <alignment horizontal="center" wrapText="1"/>
    </xf>
    <xf numFmtId="0" fontId="6" fillId="0" borderId="4" xfId="0" applyFont="1" applyBorder="1" applyAlignment="1" applyProtection="1">
      <alignment horizontal="center" wrapText="1"/>
    </xf>
    <xf numFmtId="0" fontId="6" fillId="0" borderId="5" xfId="0" applyFont="1" applyBorder="1" applyAlignment="1" applyProtection="1">
      <alignment horizontal="center" wrapText="1"/>
    </xf>
    <xf numFmtId="0" fontId="23" fillId="0" borderId="0" xfId="0" applyFont="1" applyBorder="1" applyAlignment="1" applyProtection="1">
      <alignment horizontal="right"/>
    </xf>
    <xf numFmtId="3" fontId="22" fillId="0" borderId="7" xfId="0" applyNumberFormat="1" applyFont="1" applyBorder="1" applyAlignment="1" applyProtection="1">
      <alignment horizontal="center"/>
      <protection locked="0"/>
    </xf>
    <xf numFmtId="3" fontId="22" fillId="0" borderId="2" xfId="0" applyNumberFormat="1" applyFont="1" applyBorder="1" applyAlignment="1" applyProtection="1">
      <alignment horizontal="center"/>
      <protection locked="0"/>
    </xf>
    <xf numFmtId="3" fontId="3" fillId="10" borderId="24" xfId="0" applyNumberFormat="1" applyFont="1" applyFill="1" applyBorder="1" applyAlignment="1" applyProtection="1">
      <alignment horizontal="center"/>
      <protection locked="0"/>
    </xf>
    <xf numFmtId="0" fontId="6" fillId="7" borderId="12" xfId="0" applyNumberFormat="1" applyFont="1" applyFill="1" applyBorder="1" applyAlignment="1" applyProtection="1">
      <alignment horizontal="left" vertical="center"/>
      <protection locked="0"/>
    </xf>
    <xf numFmtId="0" fontId="6" fillId="7" borderId="13" xfId="0" applyNumberFormat="1" applyFont="1" applyFill="1" applyBorder="1" applyAlignment="1" applyProtection="1">
      <alignment horizontal="left" vertical="center"/>
      <protection locked="0"/>
    </xf>
    <xf numFmtId="0" fontId="6" fillId="7" borderId="14" xfId="0" applyNumberFormat="1" applyFont="1" applyFill="1" applyBorder="1" applyAlignment="1" applyProtection="1">
      <alignment horizontal="left" vertical="center"/>
      <protection locked="0"/>
    </xf>
    <xf numFmtId="42" fontId="6" fillId="0" borderId="24" xfId="0" applyNumberFormat="1" applyFont="1" applyBorder="1" applyAlignment="1" applyProtection="1">
      <alignment horizontal="right"/>
      <protection locked="0"/>
    </xf>
    <xf numFmtId="42" fontId="6" fillId="0" borderId="24" xfId="0" applyNumberFormat="1" applyFont="1" applyBorder="1" applyAlignment="1" applyProtection="1">
      <alignment horizontal="right"/>
    </xf>
    <xf numFmtId="42" fontId="3" fillId="2" borderId="45" xfId="0" applyNumberFormat="1" applyFont="1" applyFill="1" applyBorder="1" applyAlignment="1" applyProtection="1">
      <alignment horizontal="right"/>
    </xf>
    <xf numFmtId="42" fontId="3" fillId="2" borderId="46" xfId="0" applyNumberFormat="1" applyFont="1" applyFill="1" applyBorder="1" applyAlignment="1" applyProtection="1">
      <alignment horizontal="right"/>
    </xf>
    <xf numFmtId="3" fontId="6" fillId="0" borderId="3" xfId="0" applyNumberFormat="1" applyFont="1" applyBorder="1" applyAlignment="1" applyProtection="1">
      <alignment horizontal="right"/>
      <protection locked="0"/>
    </xf>
    <xf numFmtId="3" fontId="6" fillId="0" borderId="9" xfId="0" applyNumberFormat="1" applyFont="1" applyBorder="1" applyAlignment="1" applyProtection="1">
      <alignment horizontal="right"/>
      <protection locked="0"/>
    </xf>
    <xf numFmtId="0" fontId="3" fillId="0" borderId="24"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14" xfId="0" applyFont="1" applyFill="1" applyBorder="1" applyAlignment="1">
      <alignment horizontal="left" vertical="top" wrapText="1"/>
    </xf>
    <xf numFmtId="0" fontId="7" fillId="0" borderId="12" xfId="0" applyFont="1" applyFill="1" applyBorder="1" applyAlignment="1">
      <alignment horizontal="center"/>
    </xf>
    <xf numFmtId="0" fontId="7" fillId="0" borderId="13" xfId="0" applyFont="1" applyFill="1" applyBorder="1" applyAlignment="1">
      <alignment horizontal="center"/>
    </xf>
    <xf numFmtId="0" fontId="7" fillId="0" borderId="14" xfId="0" applyFont="1" applyFill="1" applyBorder="1" applyAlignment="1">
      <alignment horizontal="center"/>
    </xf>
    <xf numFmtId="0" fontId="23" fillId="0" borderId="1" xfId="0" applyFont="1" applyFill="1" applyBorder="1" applyAlignment="1">
      <alignment horizontal="center" vertical="center" textRotation="180"/>
    </xf>
    <xf numFmtId="0" fontId="23" fillId="0" borderId="3" xfId="0" applyFont="1" applyFill="1" applyBorder="1" applyAlignment="1">
      <alignment horizontal="center" vertical="center" textRotation="180"/>
    </xf>
    <xf numFmtId="0" fontId="23" fillId="0" borderId="9" xfId="0" applyFont="1" applyFill="1" applyBorder="1" applyAlignment="1">
      <alignment horizontal="center" vertical="center" textRotation="180"/>
    </xf>
    <xf numFmtId="0" fontId="3" fillId="0" borderId="10"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12" xfId="0" applyFont="1" applyFill="1" applyBorder="1" applyAlignment="1">
      <alignment vertical="top" wrapText="1"/>
    </xf>
    <xf numFmtId="0" fontId="3" fillId="0" borderId="14" xfId="0" applyFont="1" applyFill="1" applyBorder="1" applyAlignment="1">
      <alignment vertical="top" wrapText="1"/>
    </xf>
    <xf numFmtId="0" fontId="0" fillId="0" borderId="24" xfId="0" applyFill="1" applyBorder="1" applyAlignment="1">
      <alignment horizontal="left" vertical="top" wrapText="1"/>
    </xf>
    <xf numFmtId="0" fontId="0" fillId="0" borderId="24" xfId="0" applyBorder="1" applyAlignment="1">
      <alignment horizontal="left" vertical="top" wrapText="1"/>
    </xf>
    <xf numFmtId="0" fontId="0" fillId="2" borderId="1" xfId="0" applyFill="1" applyBorder="1" applyAlignment="1">
      <alignment horizontal="center"/>
    </xf>
    <xf numFmtId="0" fontId="0" fillId="2" borderId="3" xfId="0" applyFill="1" applyBorder="1" applyAlignment="1">
      <alignment horizontal="center"/>
    </xf>
    <xf numFmtId="0" fontId="0" fillId="2" borderId="9" xfId="0" applyFill="1" applyBorder="1" applyAlignment="1">
      <alignment horizont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3" fillId="0" borderId="12"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6" fillId="0" borderId="10" xfId="0" applyFont="1" applyFill="1" applyBorder="1" applyAlignment="1">
      <alignment horizontal="left" vertical="top" wrapText="1"/>
    </xf>
    <xf numFmtId="0" fontId="6" fillId="0" borderId="11" xfId="0" applyFont="1" applyFill="1" applyBorder="1" applyAlignment="1">
      <alignment horizontal="left" vertical="top" wrapText="1"/>
    </xf>
    <xf numFmtId="0" fontId="6" fillId="0" borderId="6" xfId="0" applyFont="1" applyFill="1" applyBorder="1" applyAlignment="1">
      <alignment horizontal="left" vertical="top" wrapText="1"/>
    </xf>
    <xf numFmtId="0" fontId="7" fillId="0" borderId="12" xfId="0" applyFont="1" applyFill="1" applyBorder="1" applyAlignment="1">
      <alignment horizontal="left"/>
    </xf>
    <xf numFmtId="0" fontId="7" fillId="0" borderId="13" xfId="0" applyFont="1" applyFill="1" applyBorder="1" applyAlignment="1">
      <alignment horizontal="left"/>
    </xf>
    <xf numFmtId="0" fontId="7" fillId="0" borderId="14" xfId="0" applyFont="1" applyFill="1" applyBorder="1" applyAlignment="1">
      <alignment horizontal="left"/>
    </xf>
    <xf numFmtId="0" fontId="0" fillId="0" borderId="24" xfId="0" applyFill="1" applyBorder="1" applyAlignment="1">
      <alignment horizontal="center" vertical="top" wrapText="1"/>
    </xf>
    <xf numFmtId="0" fontId="0" fillId="0" borderId="12" xfId="0" applyFill="1" applyBorder="1" applyAlignment="1">
      <alignment horizontal="center" vertical="top" wrapText="1"/>
    </xf>
    <xf numFmtId="0" fontId="0" fillId="0" borderId="13" xfId="0" applyFill="1" applyBorder="1" applyAlignment="1">
      <alignment horizontal="center" vertical="top" wrapText="1"/>
    </xf>
    <xf numFmtId="0" fontId="0" fillId="0" borderId="14" xfId="0" applyFill="1" applyBorder="1" applyAlignment="1">
      <alignment horizontal="center" vertical="top" wrapText="1"/>
    </xf>
    <xf numFmtId="0" fontId="0" fillId="2" borderId="0" xfId="0" applyFill="1" applyBorder="1" applyAlignment="1">
      <alignment horizontal="center"/>
    </xf>
    <xf numFmtId="0" fontId="0" fillId="2" borderId="2"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3" fillId="0" borderId="10" xfId="0" applyFont="1" applyFill="1" applyBorder="1" applyAlignment="1">
      <alignment horizontal="left" vertical="center"/>
    </xf>
    <xf numFmtId="0" fontId="3" fillId="0" borderId="11" xfId="0" applyFont="1" applyFill="1" applyBorder="1" applyAlignment="1">
      <alignment horizontal="left" vertical="center"/>
    </xf>
    <xf numFmtId="0" fontId="3" fillId="0" borderId="6" xfId="0" applyFont="1" applyFill="1" applyBorder="1" applyAlignment="1">
      <alignment horizontal="left" vertical="center"/>
    </xf>
    <xf numFmtId="0" fontId="3" fillId="0" borderId="10" xfId="0" applyFont="1" applyFill="1" applyBorder="1" applyAlignment="1">
      <alignment vertical="center"/>
    </xf>
    <xf numFmtId="0" fontId="3" fillId="0" borderId="11" xfId="0" applyFont="1" applyFill="1" applyBorder="1" applyAlignment="1">
      <alignment vertical="center"/>
    </xf>
    <xf numFmtId="0" fontId="3" fillId="0" borderId="6" xfId="0" applyFont="1" applyFill="1" applyBorder="1" applyAlignment="1">
      <alignment vertical="center"/>
    </xf>
    <xf numFmtId="0" fontId="3" fillId="0" borderId="10" xfId="0" applyFont="1" applyFill="1" applyBorder="1" applyAlignment="1">
      <alignment vertical="center" wrapText="1"/>
    </xf>
    <xf numFmtId="0" fontId="3" fillId="0" borderId="11" xfId="0" applyFont="1" applyFill="1" applyBorder="1" applyAlignment="1">
      <alignment vertical="center" wrapText="1"/>
    </xf>
    <xf numFmtId="0" fontId="3" fillId="0" borderId="6" xfId="0" applyFont="1" applyFill="1" applyBorder="1" applyAlignment="1">
      <alignment vertical="center" wrapText="1"/>
    </xf>
    <xf numFmtId="0" fontId="0" fillId="0" borderId="24" xfId="0" applyFill="1" applyBorder="1" applyAlignment="1" applyProtection="1">
      <alignment horizontal="left" vertical="top"/>
      <protection locked="0"/>
    </xf>
    <xf numFmtId="0" fontId="0" fillId="0" borderId="12" xfId="0" applyFill="1" applyBorder="1" applyAlignment="1" applyProtection="1">
      <alignment horizontal="left" vertical="top" wrapText="1"/>
      <protection locked="0"/>
    </xf>
    <xf numFmtId="0" fontId="0" fillId="0" borderId="13" xfId="0" applyBorder="1" applyAlignment="1">
      <alignment wrapText="1"/>
    </xf>
    <xf numFmtId="0" fontId="0" fillId="0" borderId="14" xfId="0" applyBorder="1" applyAlignment="1">
      <alignment wrapText="1"/>
    </xf>
    <xf numFmtId="0" fontId="0" fillId="0" borderId="24" xfId="0" applyBorder="1" applyAlignment="1">
      <alignment horizontal="center"/>
    </xf>
    <xf numFmtId="0" fontId="3" fillId="0" borderId="13" xfId="0" applyFont="1" applyFill="1" applyBorder="1" applyAlignment="1">
      <alignment horizontal="left" vertical="center" wrapText="1"/>
    </xf>
    <xf numFmtId="0" fontId="8" fillId="0" borderId="0" xfId="0" applyFont="1" applyFill="1" applyBorder="1" applyAlignment="1">
      <alignment horizontal="center"/>
    </xf>
    <xf numFmtId="0" fontId="15" fillId="0" borderId="0" xfId="0" applyFont="1" applyFill="1" applyBorder="1" applyAlignment="1">
      <alignment horizontal="center"/>
    </xf>
    <xf numFmtId="0" fontId="16" fillId="0" borderId="12" xfId="0" applyFont="1" applyFill="1" applyBorder="1" applyAlignment="1">
      <alignment horizontal="center"/>
    </xf>
    <xf numFmtId="0" fontId="16" fillId="0" borderId="13" xfId="0" applyFont="1" applyFill="1" applyBorder="1" applyAlignment="1">
      <alignment horizontal="center"/>
    </xf>
    <xf numFmtId="0" fontId="16" fillId="0" borderId="14" xfId="0" applyFont="1" applyFill="1" applyBorder="1" applyAlignment="1">
      <alignment horizontal="center"/>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0" borderId="12" xfId="0" applyFont="1" applyFill="1" applyBorder="1" applyAlignment="1">
      <alignment horizontal="left" vertical="center"/>
    </xf>
    <xf numFmtId="0" fontId="3" fillId="0" borderId="13" xfId="0" applyFont="1" applyFill="1" applyBorder="1" applyAlignment="1">
      <alignment horizontal="left" vertical="center"/>
    </xf>
    <xf numFmtId="0" fontId="3" fillId="0" borderId="14" xfId="0" applyFont="1" applyFill="1" applyBorder="1" applyAlignment="1">
      <alignment horizontal="left" vertical="center"/>
    </xf>
    <xf numFmtId="0" fontId="3" fillId="0" borderId="13" xfId="0" applyFont="1" applyFill="1" applyBorder="1" applyAlignment="1">
      <alignment horizontal="left" vertical="top" wrapText="1"/>
    </xf>
    <xf numFmtId="0" fontId="3" fillId="0" borderId="12" xfId="0" applyFont="1" applyFill="1" applyBorder="1" applyAlignment="1">
      <alignment horizontal="left" wrapText="1"/>
    </xf>
    <xf numFmtId="0" fontId="3" fillId="0" borderId="13" xfId="0" applyFont="1" applyFill="1" applyBorder="1" applyAlignment="1">
      <alignment horizontal="left" wrapText="1"/>
    </xf>
    <xf numFmtId="0" fontId="3" fillId="0" borderId="14" xfId="0" applyFont="1" applyFill="1" applyBorder="1" applyAlignment="1">
      <alignment horizontal="left" wrapText="1"/>
    </xf>
    <xf numFmtId="0" fontId="3"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0" borderId="24" xfId="0" applyFont="1" applyFill="1" applyBorder="1" applyAlignment="1">
      <alignment horizontal="left" vertical="center"/>
    </xf>
    <xf numFmtId="0" fontId="3" fillId="0" borderId="13" xfId="0" applyFont="1" applyFill="1" applyBorder="1" applyAlignment="1">
      <alignment vertical="top" wrapText="1"/>
    </xf>
    <xf numFmtId="0" fontId="8" fillId="0" borderId="0" xfId="0" applyFont="1" applyFill="1" applyAlignment="1">
      <alignment horizontal="center"/>
    </xf>
    <xf numFmtId="0" fontId="3" fillId="0" borderId="12" xfId="0" applyFont="1" applyFill="1" applyBorder="1" applyAlignment="1">
      <alignment horizontal="left" vertical="top"/>
    </xf>
    <xf numFmtId="0" fontId="3" fillId="0" borderId="13" xfId="0" applyFont="1" applyFill="1" applyBorder="1" applyAlignment="1">
      <alignment horizontal="left" vertical="top"/>
    </xf>
    <xf numFmtId="0" fontId="3" fillId="0" borderId="14" xfId="0" applyFont="1" applyFill="1" applyBorder="1" applyAlignment="1">
      <alignment horizontal="left" vertical="top"/>
    </xf>
    <xf numFmtId="0" fontId="3" fillId="3" borderId="12" xfId="0" applyFont="1" applyFill="1" applyBorder="1" applyAlignment="1">
      <alignment horizontal="left" vertical="top" wrapText="1"/>
    </xf>
    <xf numFmtId="0" fontId="3"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14" xfId="0" applyFont="1" applyFill="1" applyBorder="1" applyAlignment="1">
      <alignment horizontal="left" vertical="center"/>
    </xf>
    <xf numFmtId="0" fontId="3" fillId="0" borderId="11" xfId="0" applyFont="1" applyFill="1" applyBorder="1" applyAlignment="1">
      <alignment horizontal="left" vertical="top" wrapText="1"/>
    </xf>
    <xf numFmtId="0" fontId="7" fillId="0" borderId="24" xfId="0" applyFont="1" applyFill="1" applyBorder="1" applyAlignment="1">
      <alignment horizontal="center" vertical="top" wrapText="1"/>
    </xf>
    <xf numFmtId="0" fontId="11" fillId="3" borderId="24" xfId="0" applyFont="1" applyFill="1" applyBorder="1" applyAlignment="1">
      <alignment horizontal="center"/>
    </xf>
    <xf numFmtId="0" fontId="0" fillId="3" borderId="24" xfId="0" applyFill="1" applyBorder="1" applyAlignment="1" applyProtection="1">
      <alignment horizontal="left" vertical="top"/>
      <protection locked="0"/>
    </xf>
    <xf numFmtId="0" fontId="3" fillId="0" borderId="12" xfId="0" applyFont="1" applyFill="1" applyBorder="1" applyAlignment="1">
      <alignment vertical="top"/>
    </xf>
    <xf numFmtId="0" fontId="3" fillId="0" borderId="13" xfId="0" applyFont="1" applyFill="1" applyBorder="1" applyAlignment="1">
      <alignment vertical="top"/>
    </xf>
    <xf numFmtId="0" fontId="3" fillId="0" borderId="14" xfId="0" applyFont="1" applyFill="1" applyBorder="1" applyAlignment="1">
      <alignment vertical="top"/>
    </xf>
    <xf numFmtId="0" fontId="3" fillId="0" borderId="24" xfId="0" applyFont="1" applyFill="1" applyBorder="1" applyAlignment="1">
      <alignment horizontal="left"/>
    </xf>
    <xf numFmtId="0" fontId="3" fillId="0" borderId="1" xfId="0" applyFont="1" applyFill="1" applyBorder="1" applyAlignment="1">
      <alignment horizontal="left"/>
    </xf>
    <xf numFmtId="0" fontId="11" fillId="0" borderId="24" xfId="0" applyFont="1" applyFill="1" applyBorder="1" applyAlignment="1">
      <alignment horizontal="center"/>
    </xf>
    <xf numFmtId="0" fontId="3" fillId="0" borderId="10"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10" xfId="0" applyFont="1" applyFill="1" applyBorder="1" applyAlignment="1">
      <alignment horizontal="left" wrapText="1"/>
    </xf>
    <xf numFmtId="0" fontId="3" fillId="0" borderId="11" xfId="0" applyFont="1" applyFill="1" applyBorder="1" applyAlignment="1">
      <alignment horizontal="left" wrapText="1"/>
    </xf>
    <xf numFmtId="0" fontId="3" fillId="0" borderId="6" xfId="0" applyFont="1" applyFill="1" applyBorder="1" applyAlignment="1">
      <alignment horizontal="left" wrapText="1"/>
    </xf>
    <xf numFmtId="0" fontId="0" fillId="0" borderId="13" xfId="0" applyFill="1" applyBorder="1" applyAlignment="1" applyProtection="1">
      <alignment horizontal="left" vertical="top" wrapText="1"/>
      <protection locked="0"/>
    </xf>
    <xf numFmtId="0" fontId="0" fillId="0" borderId="14" xfId="0" applyFill="1" applyBorder="1" applyAlignment="1" applyProtection="1">
      <alignment horizontal="left" vertical="top" wrapText="1"/>
      <protection locked="0"/>
    </xf>
    <xf numFmtId="0" fontId="8" fillId="0" borderId="0" xfId="0" applyFont="1" applyFill="1" applyAlignment="1">
      <alignment horizontal="center" wrapText="1"/>
    </xf>
    <xf numFmtId="0" fontId="3" fillId="0" borderId="24" xfId="0" applyFont="1" applyFill="1" applyBorder="1" applyAlignment="1">
      <alignment horizontal="left" vertical="center" wrapText="1"/>
    </xf>
    <xf numFmtId="0" fontId="0" fillId="0" borderId="12" xfId="0" applyFill="1" applyBorder="1" applyAlignment="1">
      <alignment horizontal="left"/>
    </xf>
    <xf numFmtId="0" fontId="0" fillId="0" borderId="13" xfId="0" applyFill="1" applyBorder="1" applyAlignment="1">
      <alignment horizontal="left"/>
    </xf>
    <xf numFmtId="0" fontId="0" fillId="0" borderId="14" xfId="0" applyFill="1" applyBorder="1" applyAlignment="1">
      <alignment horizontal="left"/>
    </xf>
    <xf numFmtId="0" fontId="6" fillId="0" borderId="12" xfId="0" applyFont="1" applyFill="1" applyBorder="1" applyAlignment="1" applyProtection="1">
      <alignment horizontal="left"/>
      <protection locked="0"/>
    </xf>
    <xf numFmtId="0" fontId="6" fillId="0" borderId="12" xfId="0" applyFont="1" applyFill="1" applyBorder="1" applyAlignment="1">
      <alignment horizontal="left"/>
    </xf>
    <xf numFmtId="0" fontId="6" fillId="0" borderId="12" xfId="0" applyFont="1" applyFill="1" applyBorder="1" applyAlignment="1" applyProtection="1">
      <alignment horizontal="center" vertical="center" wrapText="1"/>
      <protection locked="0"/>
    </xf>
    <xf numFmtId="0" fontId="6" fillId="0" borderId="13" xfId="0" applyFont="1" applyFill="1" applyBorder="1" applyAlignment="1" applyProtection="1">
      <alignment horizontal="center" vertical="center" wrapText="1"/>
      <protection locked="0"/>
    </xf>
    <xf numFmtId="0" fontId="6" fillId="0" borderId="14" xfId="0" applyFont="1" applyFill="1" applyBorder="1" applyAlignment="1" applyProtection="1">
      <alignment horizontal="center" vertical="center" wrapText="1"/>
      <protection locked="0"/>
    </xf>
    <xf numFmtId="0" fontId="6" fillId="0" borderId="10" xfId="0" applyFont="1" applyFill="1" applyBorder="1" applyAlignment="1">
      <alignment horizontal="left" wrapText="1"/>
    </xf>
    <xf numFmtId="0" fontId="7" fillId="0" borderId="11" xfId="0" applyFont="1" applyFill="1" applyBorder="1" applyAlignment="1">
      <alignment horizontal="left" wrapText="1"/>
    </xf>
    <xf numFmtId="0" fontId="7" fillId="0" borderId="6" xfId="0" applyFont="1" applyFill="1" applyBorder="1" applyAlignment="1">
      <alignment horizontal="left" wrapText="1"/>
    </xf>
    <xf numFmtId="0" fontId="7" fillId="0" borderId="8" xfId="0" applyFont="1" applyFill="1" applyBorder="1" applyAlignment="1">
      <alignment horizontal="left" wrapText="1"/>
    </xf>
    <xf numFmtId="0" fontId="7" fillId="0" borderId="4" xfId="0" applyFont="1" applyFill="1" applyBorder="1" applyAlignment="1">
      <alignment horizontal="left" wrapText="1"/>
    </xf>
    <xf numFmtId="0" fontId="7" fillId="0" borderId="5" xfId="0" applyFont="1" applyFill="1" applyBorder="1" applyAlignment="1">
      <alignment horizontal="left" wrapText="1"/>
    </xf>
    <xf numFmtId="0" fontId="6" fillId="0" borderId="13" xfId="0" applyFont="1" applyFill="1" applyBorder="1" applyAlignment="1">
      <alignment horizontal="left"/>
    </xf>
    <xf numFmtId="0" fontId="6" fillId="0" borderId="14" xfId="0" applyFont="1" applyFill="1" applyBorder="1" applyAlignment="1">
      <alignment horizontal="left"/>
    </xf>
    <xf numFmtId="0" fontId="6" fillId="0" borderId="24" xfId="0" applyFont="1" applyFill="1" applyBorder="1" applyAlignment="1">
      <alignment horizontal="left"/>
    </xf>
    <xf numFmtId="0" fontId="18" fillId="0" borderId="12" xfId="0" applyFont="1" applyFill="1" applyBorder="1" applyAlignment="1">
      <alignment horizontal="center"/>
    </xf>
    <xf numFmtId="0" fontId="18" fillId="0" borderId="13" xfId="0" applyFont="1" applyFill="1" applyBorder="1" applyAlignment="1">
      <alignment horizontal="center"/>
    </xf>
    <xf numFmtId="0" fontId="18" fillId="0" borderId="14" xfId="0" applyFont="1" applyFill="1" applyBorder="1" applyAlignment="1">
      <alignment horizontal="center"/>
    </xf>
    <xf numFmtId="0" fontId="6" fillId="0" borderId="12" xfId="0" applyFont="1" applyFill="1" applyBorder="1" applyAlignment="1">
      <alignment horizontal="center"/>
    </xf>
    <xf numFmtId="0" fontId="6" fillId="0" borderId="13" xfId="0" applyFont="1" applyFill="1" applyBorder="1" applyAlignment="1">
      <alignment horizontal="center"/>
    </xf>
    <xf numFmtId="0" fontId="6" fillId="0" borderId="14" xfId="0" applyFont="1" applyFill="1" applyBorder="1" applyAlignment="1">
      <alignment horizontal="center"/>
    </xf>
    <xf numFmtId="0" fontId="0" fillId="0" borderId="0" xfId="0" applyFill="1" applyBorder="1" applyAlignment="1">
      <alignment horizont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7" fillId="0" borderId="14" xfId="0" applyFont="1" applyFill="1" applyBorder="1" applyAlignment="1">
      <alignment horizontal="center" vertical="center"/>
    </xf>
    <xf numFmtId="0" fontId="8" fillId="0" borderId="0" xfId="0" applyFont="1" applyFill="1" applyAlignment="1">
      <alignment horizontal="center" vertical="center" wrapText="1"/>
    </xf>
    <xf numFmtId="0" fontId="3" fillId="0" borderId="12" xfId="0" applyFont="1" applyFill="1" applyBorder="1" applyAlignment="1">
      <alignment vertical="center" wrapText="1"/>
    </xf>
    <xf numFmtId="0" fontId="3" fillId="0" borderId="13" xfId="0" applyFont="1" applyFill="1" applyBorder="1" applyAlignment="1">
      <alignment vertical="center" wrapText="1"/>
    </xf>
    <xf numFmtId="0" fontId="3" fillId="0" borderId="14" xfId="0" applyFont="1" applyFill="1" applyBorder="1" applyAlignment="1">
      <alignment vertical="center" wrapText="1"/>
    </xf>
    <xf numFmtId="0" fontId="3" fillId="0" borderId="12" xfId="0" applyFont="1" applyFill="1" applyBorder="1" applyAlignment="1">
      <alignment horizontal="left"/>
    </xf>
    <xf numFmtId="0" fontId="3" fillId="0" borderId="13" xfId="0" applyFont="1" applyFill="1" applyBorder="1" applyAlignment="1">
      <alignment horizontal="left"/>
    </xf>
    <xf numFmtId="0" fontId="3" fillId="0" borderId="14" xfId="0" applyFont="1" applyFill="1" applyBorder="1" applyAlignment="1">
      <alignment horizontal="left"/>
    </xf>
    <xf numFmtId="0" fontId="3" fillId="0" borderId="12" xfId="0" applyFont="1" applyFill="1" applyBorder="1" applyAlignment="1">
      <alignment horizontal="center"/>
    </xf>
    <xf numFmtId="0" fontId="3" fillId="0" borderId="13" xfId="0" applyFont="1" applyFill="1" applyBorder="1" applyAlignment="1">
      <alignment horizontal="center"/>
    </xf>
    <xf numFmtId="0" fontId="3" fillId="0" borderId="14" xfId="0" applyFont="1" applyFill="1" applyBorder="1" applyAlignment="1">
      <alignment horizontal="center"/>
    </xf>
    <xf numFmtId="0" fontId="0" fillId="0" borderId="0" xfId="0" applyBorder="1" applyAlignment="1">
      <alignment horizontal="center"/>
    </xf>
    <xf numFmtId="0" fontId="3" fillId="0" borderId="10" xfId="0" applyFont="1" applyFill="1" applyBorder="1" applyAlignment="1"/>
    <xf numFmtId="0" fontId="3" fillId="0" borderId="11" xfId="0" applyFont="1" applyFill="1" applyBorder="1" applyAlignment="1"/>
    <xf numFmtId="0" fontId="3" fillId="0" borderId="6" xfId="0" applyFont="1" applyFill="1" applyBorder="1" applyAlignment="1"/>
    <xf numFmtId="0" fontId="3" fillId="0" borderId="24" xfId="0" applyFont="1" applyFill="1" applyBorder="1" applyAlignment="1"/>
    <xf numFmtId="0" fontId="3" fillId="0" borderId="10" xfId="0" applyFont="1" applyFill="1" applyBorder="1" applyAlignment="1">
      <alignment horizontal="left"/>
    </xf>
    <xf numFmtId="0" fontId="3" fillId="0" borderId="11" xfId="0" applyFont="1" applyFill="1" applyBorder="1" applyAlignment="1">
      <alignment horizontal="left"/>
    </xf>
    <xf numFmtId="0" fontId="3" fillId="0" borderId="6" xfId="0" applyFont="1" applyFill="1" applyBorder="1" applyAlignment="1">
      <alignment horizontal="left"/>
    </xf>
    <xf numFmtId="0" fontId="3" fillId="0" borderId="24" xfId="0" applyFont="1" applyFill="1" applyBorder="1" applyAlignment="1">
      <alignment vertical="center" wrapText="1"/>
    </xf>
    <xf numFmtId="0" fontId="0" fillId="0" borderId="24" xfId="0" applyFill="1" applyBorder="1" applyAlignment="1">
      <alignment horizontal="left" vertical="top"/>
    </xf>
    <xf numFmtId="0" fontId="0" fillId="0" borderId="12" xfId="0" applyFill="1" applyBorder="1" applyAlignment="1" applyProtection="1">
      <alignment horizontal="left" vertical="center"/>
      <protection locked="0"/>
    </xf>
    <xf numFmtId="0" fontId="0" fillId="0" borderId="13" xfId="0" applyFill="1" applyBorder="1" applyAlignment="1" applyProtection="1">
      <alignment horizontal="left" vertical="center"/>
      <protection locked="0"/>
    </xf>
    <xf numFmtId="0" fontId="0" fillId="0" borderId="14" xfId="0" applyFill="1" applyBorder="1" applyAlignment="1" applyProtection="1">
      <alignment horizontal="left" vertical="center"/>
      <protection locked="0"/>
    </xf>
    <xf numFmtId="0" fontId="0" fillId="0" borderId="24" xfId="0" applyFill="1" applyBorder="1" applyAlignment="1" applyProtection="1">
      <alignment horizontal="left" vertical="center"/>
      <protection locked="0"/>
    </xf>
    <xf numFmtId="0" fontId="3" fillId="0" borderId="1" xfId="0" applyFont="1" applyFill="1" applyBorder="1" applyAlignment="1">
      <alignment horizontal="center" vertical="center" textRotation="180" wrapText="1"/>
    </xf>
    <xf numFmtId="0" fontId="3" fillId="0" borderId="3" xfId="0" applyFont="1" applyFill="1" applyBorder="1" applyAlignment="1">
      <alignment horizontal="center" vertical="center" textRotation="180" wrapText="1"/>
    </xf>
    <xf numFmtId="0" fontId="0" fillId="0" borderId="0" xfId="0" applyFill="1" applyBorder="1" applyAlignment="1" applyProtection="1">
      <alignment horizontal="center"/>
      <protection locked="0"/>
    </xf>
    <xf numFmtId="0" fontId="3" fillId="0" borderId="9" xfId="0" applyFont="1" applyFill="1" applyBorder="1" applyAlignment="1">
      <alignment horizontal="center" vertical="center" textRotation="180" wrapText="1"/>
    </xf>
  </cellXfs>
  <cellStyles count="4">
    <cellStyle name="Currency 2" xfId="2"/>
    <cellStyle name="Good" xfId="1" builtinId="26"/>
    <cellStyle name="Hyperlink" xfId="3" builtinId="8"/>
    <cellStyle name="Normal" xfId="0" builtinId="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495300</xdr:colOff>
      <xdr:row>34</xdr:row>
      <xdr:rowOff>47625</xdr:rowOff>
    </xdr:from>
    <xdr:to>
      <xdr:col>5</xdr:col>
      <xdr:colOff>238125</xdr:colOff>
      <xdr:row>35</xdr:row>
      <xdr:rowOff>85725</xdr:rowOff>
    </xdr:to>
    <xdr:sp macro="" textlink="">
      <xdr:nvSpPr>
        <xdr:cNvPr id="2" name="AutoShape 1"/>
        <xdr:cNvSpPr>
          <a:spLocks noChangeArrowheads="1"/>
        </xdr:cNvSpPr>
      </xdr:nvSpPr>
      <xdr:spPr bwMode="auto">
        <a:xfrm>
          <a:off x="2857500" y="5391150"/>
          <a:ext cx="333375" cy="200025"/>
        </a:xfrm>
        <a:prstGeom prst="downArrow">
          <a:avLst>
            <a:gd name="adj1" fmla="val 50000"/>
            <a:gd name="adj2" fmla="val 25000"/>
          </a:avLst>
        </a:prstGeom>
        <a:solidFill>
          <a:srgbClr val="FF0000"/>
        </a:solidFill>
        <a:ln w="9525">
          <a:solidFill>
            <a:srgbClr val="000000"/>
          </a:solidFill>
          <a:miter lim="800000"/>
          <a:headEnd/>
          <a:tailEnd/>
        </a:ln>
      </xdr:spPr>
    </xdr:sp>
    <xdr:clientData/>
  </xdr:twoCellAnchor>
  <xdr:twoCellAnchor>
    <xdr:from>
      <xdr:col>4</xdr:col>
      <xdr:colOff>495300</xdr:colOff>
      <xdr:row>39</xdr:row>
      <xdr:rowOff>47625</xdr:rowOff>
    </xdr:from>
    <xdr:to>
      <xdr:col>5</xdr:col>
      <xdr:colOff>238125</xdr:colOff>
      <xdr:row>40</xdr:row>
      <xdr:rowOff>85725</xdr:rowOff>
    </xdr:to>
    <xdr:sp macro="" textlink="">
      <xdr:nvSpPr>
        <xdr:cNvPr id="3" name="AutoShape 2"/>
        <xdr:cNvSpPr>
          <a:spLocks noChangeArrowheads="1"/>
        </xdr:cNvSpPr>
      </xdr:nvSpPr>
      <xdr:spPr bwMode="auto">
        <a:xfrm rot="10800000">
          <a:off x="2857500" y="6200775"/>
          <a:ext cx="333375" cy="200025"/>
        </a:xfrm>
        <a:prstGeom prst="downArrow">
          <a:avLst>
            <a:gd name="adj1" fmla="val 50000"/>
            <a:gd name="adj2" fmla="val 25000"/>
          </a:avLst>
        </a:prstGeom>
        <a:solidFill>
          <a:srgbClr val="FF0000"/>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109"/>
  <sheetViews>
    <sheetView showGridLines="0" tabSelected="1" zoomScaleNormal="100" workbookViewId="0">
      <selection activeCell="E68" sqref="E68"/>
    </sheetView>
  </sheetViews>
  <sheetFormatPr defaultRowHeight="13.2"/>
  <cols>
    <col min="1" max="1" width="10.44140625" customWidth="1"/>
    <col min="2" max="2" width="5.6640625" customWidth="1"/>
    <col min="3" max="3" width="45.44140625" customWidth="1"/>
    <col min="4" max="4" width="51" customWidth="1"/>
  </cols>
  <sheetData>
    <row r="2" spans="2:6" ht="22.8" hidden="1">
      <c r="C2" s="484" t="s">
        <v>1057</v>
      </c>
      <c r="D2" s="484"/>
    </row>
    <row r="3" spans="2:6" ht="13.8" hidden="1" thickBot="1">
      <c r="C3" s="164"/>
      <c r="D3" s="45"/>
    </row>
    <row r="4" spans="2:6" ht="52.5" hidden="1" customHeight="1" thickTop="1" thickBot="1">
      <c r="C4" s="496" t="s">
        <v>504</v>
      </c>
      <c r="D4" s="497"/>
      <c r="E4" s="497"/>
      <c r="F4" s="498"/>
    </row>
    <row r="5" spans="2:6">
      <c r="D5" s="45"/>
      <c r="E5" s="44"/>
      <c r="F5" s="44"/>
    </row>
    <row r="6" spans="2:6" ht="27.75" customHeight="1">
      <c r="C6" s="166" t="s">
        <v>511</v>
      </c>
      <c r="D6" s="493"/>
      <c r="E6" s="494"/>
      <c r="F6" s="495"/>
    </row>
    <row r="7" spans="2:6" ht="15">
      <c r="C7" s="166"/>
    </row>
    <row r="8" spans="2:6" ht="30.75" customHeight="1">
      <c r="C8" s="167" t="s">
        <v>484</v>
      </c>
      <c r="D8" s="490"/>
      <c r="E8" s="491"/>
      <c r="F8" s="492"/>
    </row>
    <row r="9" spans="2:6" ht="15">
      <c r="C9" s="167"/>
    </row>
    <row r="10" spans="2:6" ht="15">
      <c r="C10" s="166" t="s">
        <v>506</v>
      </c>
      <c r="D10" s="487"/>
      <c r="E10" s="488"/>
      <c r="F10" s="489"/>
    </row>
    <row r="11" spans="2:6" ht="15">
      <c r="C11" s="166" t="s">
        <v>518</v>
      </c>
      <c r="D11" s="487"/>
      <c r="E11" s="488"/>
      <c r="F11" s="489"/>
    </row>
    <row r="12" spans="2:6" ht="17.399999999999999" hidden="1">
      <c r="C12" s="162"/>
    </row>
    <row r="13" spans="2:6" ht="17.399999999999999" hidden="1">
      <c r="C13" s="162" t="s">
        <v>472</v>
      </c>
    </row>
    <row r="14" spans="2:6" ht="15" hidden="1">
      <c r="B14" s="168"/>
      <c r="C14" s="163" t="s">
        <v>488</v>
      </c>
    </row>
    <row r="15" spans="2:6" ht="15" hidden="1">
      <c r="B15" s="168"/>
      <c r="C15" s="163" t="s">
        <v>485</v>
      </c>
    </row>
    <row r="16" spans="2:6" ht="15" hidden="1">
      <c r="B16" s="168"/>
      <c r="C16" s="163" t="s">
        <v>487</v>
      </c>
    </row>
    <row r="17" spans="2:5" ht="15" hidden="1">
      <c r="B17" s="168"/>
      <c r="C17" s="163" t="s">
        <v>486</v>
      </c>
    </row>
    <row r="18" spans="2:5" ht="15" hidden="1">
      <c r="B18" s="168"/>
      <c r="C18" s="185" t="s">
        <v>1056</v>
      </c>
    </row>
    <row r="19" spans="2:5" ht="13.8" thickBot="1"/>
    <row r="20" spans="2:5" ht="17.399999999999999" hidden="1">
      <c r="C20" s="162"/>
    </row>
    <row r="21" spans="2:5" ht="17.399999999999999" hidden="1">
      <c r="C21" s="162" t="s">
        <v>473</v>
      </c>
    </row>
    <row r="22" spans="2:5" ht="15" hidden="1">
      <c r="B22" s="168"/>
      <c r="C22" s="163" t="s">
        <v>489</v>
      </c>
    </row>
    <row r="23" spans="2:5" ht="15" hidden="1">
      <c r="B23" s="168"/>
      <c r="C23" s="163" t="s">
        <v>490</v>
      </c>
    </row>
    <row r="24" spans="2:5" ht="15" hidden="1">
      <c r="B24" s="168"/>
      <c r="C24" s="163" t="s">
        <v>492</v>
      </c>
    </row>
    <row r="25" spans="2:5" ht="15" hidden="1">
      <c r="B25" s="168"/>
      <c r="C25" s="163" t="s">
        <v>491</v>
      </c>
    </row>
    <row r="26" spans="2:5" ht="15" hidden="1">
      <c r="B26" s="168"/>
      <c r="C26" s="163" t="s">
        <v>494</v>
      </c>
    </row>
    <row r="27" spans="2:5" ht="15" hidden="1">
      <c r="B27" s="168"/>
      <c r="C27" s="163" t="s">
        <v>493</v>
      </c>
    </row>
    <row r="28" spans="2:5" ht="15" hidden="1">
      <c r="B28" s="168"/>
      <c r="C28" s="163" t="s">
        <v>495</v>
      </c>
    </row>
    <row r="29" spans="2:5" ht="15" hidden="1">
      <c r="B29" s="168"/>
      <c r="C29" s="163" t="s">
        <v>497</v>
      </c>
    </row>
    <row r="30" spans="2:5" ht="15.6" hidden="1" thickBot="1">
      <c r="B30" s="168"/>
      <c r="C30" s="163" t="s">
        <v>496</v>
      </c>
    </row>
    <row r="31" spans="2:5" ht="18" hidden="1" thickBot="1">
      <c r="C31" s="162"/>
    </row>
    <row r="32" spans="2:5" ht="16.2" hidden="1" thickTop="1" thickBot="1">
      <c r="C32" s="503" t="s">
        <v>498</v>
      </c>
      <c r="D32" s="503"/>
      <c r="E32" s="470"/>
    </row>
    <row r="33" spans="3:34" ht="15.6" hidden="1" thickTop="1">
      <c r="C33" s="163"/>
      <c r="E33" s="136"/>
    </row>
    <row r="34" spans="3:34" ht="15.6" hidden="1" thickBot="1">
      <c r="C34" s="163"/>
      <c r="E34" s="165" t="s">
        <v>499</v>
      </c>
      <c r="F34" s="165" t="s">
        <v>500</v>
      </c>
    </row>
    <row r="35" spans="3:34" ht="16.2" hidden="1" thickTop="1" thickBot="1">
      <c r="C35" s="503" t="s">
        <v>474</v>
      </c>
      <c r="D35" s="503"/>
      <c r="E35" s="470"/>
      <c r="F35" s="471"/>
    </row>
    <row r="36" spans="3:34" ht="18.600000000000001" hidden="1" thickTop="1" thickBot="1">
      <c r="C36" s="162"/>
    </row>
    <row r="37" spans="3:34" ht="36.75" hidden="1" customHeight="1" thickTop="1" thickBot="1">
      <c r="C37" s="504" t="s">
        <v>1053</v>
      </c>
      <c r="D37" s="504"/>
      <c r="E37" s="499"/>
      <c r="F37" s="499"/>
      <c r="G37" s="499"/>
      <c r="H37" s="499"/>
    </row>
    <row r="38" spans="3:34" ht="15.6" hidden="1" thickTop="1">
      <c r="C38" s="163" t="s">
        <v>508</v>
      </c>
    </row>
    <row r="39" spans="3:34" ht="15.6" hidden="1" thickBot="1">
      <c r="C39" s="163"/>
    </row>
    <row r="40" spans="3:34" ht="31.5" hidden="1" customHeight="1" thickTop="1" thickBot="1">
      <c r="C40" s="504" t="s">
        <v>475</v>
      </c>
      <c r="D40" s="504"/>
    </row>
    <row r="41" spans="3:34" ht="15.6" hidden="1" thickTop="1">
      <c r="C41" s="181"/>
      <c r="D41" s="181"/>
    </row>
    <row r="42" spans="3:34" ht="93.75" hidden="1" customHeight="1">
      <c r="C42" s="500"/>
      <c r="D42" s="501"/>
      <c r="E42" s="501"/>
      <c r="F42" s="501"/>
      <c r="G42" s="501"/>
      <c r="H42" s="501"/>
      <c r="I42" s="501"/>
      <c r="J42" s="501"/>
      <c r="K42" s="501"/>
      <c r="L42" s="501"/>
      <c r="M42" s="501"/>
      <c r="N42" s="501"/>
      <c r="O42" s="501"/>
      <c r="P42" s="501"/>
      <c r="Q42" s="501"/>
      <c r="R42" s="501"/>
      <c r="S42" s="501"/>
      <c r="T42" s="501"/>
      <c r="U42" s="501"/>
      <c r="V42" s="501"/>
      <c r="W42" s="501"/>
      <c r="X42" s="501"/>
      <c r="Y42" s="501"/>
      <c r="Z42" s="501"/>
      <c r="AA42" s="501"/>
      <c r="AB42" s="501"/>
      <c r="AC42" s="501"/>
      <c r="AD42" s="501"/>
      <c r="AE42" s="501"/>
      <c r="AF42" s="501"/>
      <c r="AG42" s="501"/>
      <c r="AH42" s="502"/>
    </row>
    <row r="43" spans="3:34" ht="15" hidden="1">
      <c r="C43" s="163"/>
    </row>
    <row r="44" spans="3:34" ht="72.75" hidden="1" customHeight="1">
      <c r="C44" s="510" t="s">
        <v>1054</v>
      </c>
      <c r="D44" s="510"/>
    </row>
    <row r="45" spans="3:34" ht="15" hidden="1">
      <c r="C45" s="170"/>
      <c r="D45" s="170"/>
    </row>
    <row r="46" spans="3:34" ht="105.75" hidden="1" customHeight="1">
      <c r="C46" s="500"/>
      <c r="D46" s="501"/>
      <c r="E46" s="501"/>
      <c r="F46" s="501"/>
      <c r="G46" s="501"/>
      <c r="H46" s="501"/>
      <c r="I46" s="501"/>
      <c r="J46" s="501"/>
      <c r="K46" s="501"/>
      <c r="L46" s="501"/>
      <c r="M46" s="501"/>
      <c r="N46" s="501"/>
      <c r="O46" s="501"/>
      <c r="P46" s="501"/>
      <c r="Q46" s="501"/>
      <c r="R46" s="501"/>
      <c r="S46" s="501"/>
      <c r="T46" s="501"/>
      <c r="U46" s="501"/>
      <c r="V46" s="501"/>
      <c r="W46" s="501"/>
      <c r="X46" s="501"/>
      <c r="Y46" s="501"/>
      <c r="Z46" s="501"/>
      <c r="AA46" s="501"/>
      <c r="AB46" s="501"/>
      <c r="AC46" s="501"/>
      <c r="AD46" s="501"/>
      <c r="AE46" s="501"/>
      <c r="AF46" s="501"/>
      <c r="AG46" s="501"/>
      <c r="AH46" s="502"/>
    </row>
    <row r="47" spans="3:34" hidden="1"/>
    <row r="48" spans="3:34" ht="35.25" hidden="1" customHeight="1">
      <c r="C48" s="505" t="s">
        <v>507</v>
      </c>
      <c r="D48" s="505"/>
      <c r="E48" s="505"/>
      <c r="F48" s="505"/>
      <c r="G48" s="505"/>
      <c r="H48" s="505"/>
      <c r="I48" s="169"/>
    </row>
    <row r="49" spans="3:34" ht="15" hidden="1">
      <c r="C49" s="171"/>
      <c r="D49" s="171"/>
      <c r="E49" s="171"/>
      <c r="F49" s="171"/>
      <c r="G49" s="171"/>
      <c r="H49" s="171"/>
      <c r="I49" s="169"/>
    </row>
    <row r="50" spans="3:34" ht="105.75" hidden="1" customHeight="1">
      <c r="C50" s="490"/>
      <c r="D50" s="491"/>
      <c r="E50" s="491"/>
      <c r="F50" s="491"/>
      <c r="G50" s="491"/>
      <c r="H50" s="491"/>
      <c r="I50" s="491"/>
      <c r="J50" s="491"/>
      <c r="K50" s="491"/>
      <c r="L50" s="491"/>
      <c r="M50" s="491"/>
      <c r="N50" s="491"/>
      <c r="O50" s="491"/>
      <c r="P50" s="491"/>
      <c r="Q50" s="491"/>
      <c r="R50" s="491"/>
      <c r="S50" s="491"/>
      <c r="T50" s="491"/>
      <c r="U50" s="491"/>
      <c r="V50" s="491"/>
      <c r="W50" s="491"/>
      <c r="X50" s="491"/>
      <c r="Y50" s="491"/>
      <c r="Z50" s="491"/>
      <c r="AA50" s="491"/>
      <c r="AB50" s="491"/>
      <c r="AC50" s="491"/>
      <c r="AD50" s="491"/>
      <c r="AE50" s="491"/>
      <c r="AF50" s="491"/>
      <c r="AG50" s="491"/>
      <c r="AH50" s="492"/>
    </row>
    <row r="51" spans="3:34" ht="17.399999999999999" hidden="1">
      <c r="C51" s="162"/>
    </row>
    <row r="52" spans="3:34" ht="15" hidden="1">
      <c r="C52" s="163" t="s">
        <v>476</v>
      </c>
    </row>
    <row r="53" spans="3:34" ht="17.399999999999999" hidden="1">
      <c r="C53" s="162"/>
    </row>
    <row r="54" spans="3:34" s="45" customFormat="1" ht="105.75" hidden="1" customHeight="1">
      <c r="C54" s="490"/>
      <c r="D54" s="491"/>
      <c r="E54" s="491"/>
      <c r="F54" s="491"/>
      <c r="G54" s="491"/>
      <c r="H54" s="491"/>
      <c r="I54" s="491"/>
      <c r="J54" s="491"/>
      <c r="K54" s="491"/>
      <c r="L54" s="491"/>
      <c r="M54" s="491"/>
      <c r="N54" s="491"/>
      <c r="O54" s="491"/>
      <c r="P54" s="491"/>
      <c r="Q54" s="491"/>
      <c r="R54" s="491"/>
      <c r="S54" s="491"/>
      <c r="T54" s="491"/>
      <c r="U54" s="491"/>
      <c r="V54" s="491"/>
      <c r="W54" s="491"/>
      <c r="X54" s="491"/>
      <c r="Y54" s="491"/>
      <c r="Z54" s="491"/>
      <c r="AA54" s="491"/>
      <c r="AB54" s="491"/>
      <c r="AC54" s="491"/>
      <c r="AD54" s="491"/>
      <c r="AE54" s="491"/>
      <c r="AF54" s="491"/>
      <c r="AG54" s="491"/>
      <c r="AH54" s="492"/>
    </row>
    <row r="55" spans="3:34" s="45" customFormat="1" ht="17.399999999999999" hidden="1">
      <c r="C55" s="172"/>
    </row>
    <row r="56" spans="3:34" ht="30.75" hidden="1" customHeight="1">
      <c r="C56" s="505" t="s">
        <v>501</v>
      </c>
      <c r="D56" s="505"/>
      <c r="E56" s="505"/>
      <c r="F56" s="505"/>
      <c r="G56" s="505"/>
      <c r="H56" s="505"/>
    </row>
    <row r="57" spans="3:34" ht="17.399999999999999" hidden="1">
      <c r="C57" s="162"/>
    </row>
    <row r="58" spans="3:34" ht="15.6" hidden="1">
      <c r="C58" s="175" t="s">
        <v>502</v>
      </c>
      <c r="D58" s="474"/>
      <c r="F58" s="174" t="s">
        <v>503</v>
      </c>
      <c r="G58" s="44"/>
    </row>
    <row r="59" spans="3:34" ht="31.5" hidden="1" customHeight="1">
      <c r="C59" s="175" t="s">
        <v>477</v>
      </c>
      <c r="D59" s="173"/>
      <c r="F59" s="174" t="s">
        <v>503</v>
      </c>
      <c r="G59" s="173"/>
    </row>
    <row r="60" spans="3:34" ht="15.6" hidden="1" thickBot="1">
      <c r="C60" s="506"/>
      <c r="D60" s="506"/>
      <c r="E60" s="506"/>
      <c r="F60" s="506"/>
      <c r="G60" s="506"/>
      <c r="H60" s="506"/>
    </row>
    <row r="61" spans="3:34" ht="15.6" hidden="1" thickTop="1">
      <c r="C61" s="175"/>
      <c r="D61" s="45"/>
      <c r="F61" s="174"/>
      <c r="G61" s="45"/>
    </row>
    <row r="62" spans="3:34" ht="24.6" hidden="1">
      <c r="C62" s="485" t="s">
        <v>1055</v>
      </c>
      <c r="D62" s="486"/>
      <c r="E62" s="486"/>
      <c r="F62" s="486"/>
      <c r="G62" s="486"/>
      <c r="H62" s="486"/>
    </row>
    <row r="63" spans="3:34" hidden="1"/>
    <row r="64" spans="3:34" ht="33" customHeight="1" thickTop="1" thickBot="1">
      <c r="C64" s="507" t="s">
        <v>1071</v>
      </c>
      <c r="D64" s="508"/>
      <c r="E64" s="508"/>
      <c r="F64" s="508"/>
      <c r="G64" s="508"/>
      <c r="H64" s="509"/>
      <c r="I64" s="176"/>
    </row>
    <row r="65" spans="3:8" ht="13.8" thickTop="1">
      <c r="C65" s="45"/>
      <c r="D65" s="45"/>
    </row>
    <row r="67" spans="3:8" ht="41.25" hidden="1" customHeight="1">
      <c r="C67" s="166" t="s">
        <v>512</v>
      </c>
      <c r="D67" s="493">
        <f>D6</f>
        <v>0</v>
      </c>
      <c r="E67" s="494"/>
      <c r="F67" s="494"/>
      <c r="G67" s="494"/>
      <c r="H67" s="495"/>
    </row>
    <row r="68" spans="3:8" ht="15">
      <c r="C68" s="166"/>
      <c r="D68" s="166"/>
      <c r="E68" s="166"/>
      <c r="F68" s="166"/>
      <c r="G68" s="166"/>
      <c r="H68" s="166"/>
    </row>
    <row r="69" spans="3:8" ht="15">
      <c r="C69" s="166" t="s">
        <v>509</v>
      </c>
      <c r="D69" s="472"/>
      <c r="E69" s="166"/>
      <c r="F69" s="166"/>
      <c r="G69" s="166"/>
      <c r="H69" s="166"/>
    </row>
    <row r="70" spans="3:8" ht="15">
      <c r="C70" s="166"/>
      <c r="D70" s="177"/>
      <c r="E70" s="166"/>
      <c r="F70" s="166"/>
      <c r="G70" s="166"/>
      <c r="H70" s="166"/>
    </row>
    <row r="71" spans="3:8" ht="15" hidden="1">
      <c r="C71" s="175" t="s">
        <v>510</v>
      </c>
      <c r="D71" s="473"/>
    </row>
    <row r="72" spans="3:8" ht="18" hidden="1" customHeight="1">
      <c r="D72" s="178" t="s">
        <v>505</v>
      </c>
    </row>
    <row r="73" spans="3:8" hidden="1">
      <c r="C73" s="34"/>
    </row>
    <row r="74" spans="3:8" ht="42.75" hidden="1" customHeight="1">
      <c r="C74" s="166" t="s">
        <v>478</v>
      </c>
      <c r="D74" s="500"/>
      <c r="E74" s="501"/>
      <c r="F74" s="501"/>
      <c r="G74" s="501"/>
      <c r="H74" s="502"/>
    </row>
    <row r="75" spans="3:8" ht="15" hidden="1">
      <c r="C75" s="175"/>
      <c r="D75" s="45"/>
    </row>
    <row r="76" spans="3:8" ht="15" hidden="1">
      <c r="C76" s="175" t="s">
        <v>479</v>
      </c>
      <c r="D76" s="179"/>
    </row>
    <row r="77" spans="3:8" hidden="1"/>
    <row r="78" spans="3:8" ht="15">
      <c r="C78" s="175" t="s">
        <v>480</v>
      </c>
      <c r="D78" s="516">
        <f>D8</f>
        <v>0</v>
      </c>
      <c r="E78" s="516"/>
      <c r="F78" s="516"/>
      <c r="G78" s="516"/>
      <c r="H78" s="516"/>
    </row>
    <row r="79" spans="3:8" ht="15">
      <c r="C79" s="175"/>
    </row>
    <row r="80" spans="3:8" ht="38.25" customHeight="1">
      <c r="C80" s="166" t="s">
        <v>481</v>
      </c>
      <c r="D80" s="517"/>
      <c r="E80" s="517"/>
      <c r="F80" s="517"/>
      <c r="G80" s="517"/>
      <c r="H80" s="517"/>
    </row>
    <row r="82" spans="3:34" ht="15" hidden="1">
      <c r="C82" s="175" t="s">
        <v>482</v>
      </c>
      <c r="D82" s="179"/>
    </row>
    <row r="83" spans="3:34" hidden="1"/>
    <row r="84" spans="3:34" ht="50.25" customHeight="1">
      <c r="C84" s="481" t="s">
        <v>1064</v>
      </c>
      <c r="D84" s="474"/>
    </row>
    <row r="85" spans="3:34" ht="31.5" customHeight="1">
      <c r="C85" s="175" t="s">
        <v>483</v>
      </c>
      <c r="D85" s="173"/>
    </row>
    <row r="86" spans="3:34" ht="15.6" thickBot="1">
      <c r="C86" s="163"/>
    </row>
    <row r="87" spans="3:34" ht="16.5" customHeight="1" thickTop="1" thickBot="1">
      <c r="C87" s="507" t="s">
        <v>1070</v>
      </c>
      <c r="D87" s="508"/>
      <c r="E87" s="508"/>
      <c r="F87" s="508"/>
      <c r="G87" s="508"/>
      <c r="H87" s="518"/>
      <c r="I87" s="176"/>
    </row>
    <row r="88" spans="3:34" ht="15.6" thickTop="1">
      <c r="C88" s="163"/>
    </row>
    <row r="89" spans="3:34" ht="15.6">
      <c r="C89" s="163" t="s">
        <v>1065</v>
      </c>
    </row>
    <row r="90" spans="3:34" ht="15">
      <c r="C90" s="163"/>
    </row>
    <row r="91" spans="3:34" ht="105.75" customHeight="1">
      <c r="C91" s="511"/>
      <c r="D91" s="512"/>
      <c r="E91" s="512"/>
      <c r="F91" s="512"/>
      <c r="G91" s="512"/>
      <c r="H91" s="512"/>
      <c r="I91" s="512"/>
      <c r="J91" s="512"/>
      <c r="K91" s="512"/>
      <c r="L91" s="512"/>
      <c r="M91" s="512"/>
      <c r="N91" s="512"/>
      <c r="O91" s="512"/>
      <c r="P91" s="512"/>
      <c r="Q91" s="512"/>
      <c r="R91" s="512"/>
      <c r="S91" s="512"/>
      <c r="T91" s="512"/>
      <c r="U91" s="512"/>
      <c r="V91" s="512"/>
      <c r="W91" s="512"/>
      <c r="X91" s="512"/>
      <c r="Y91" s="512"/>
      <c r="Z91" s="512"/>
      <c r="AA91" s="512"/>
      <c r="AB91" s="512"/>
      <c r="AC91" s="512"/>
      <c r="AD91" s="512"/>
      <c r="AE91" s="512"/>
      <c r="AF91" s="512"/>
      <c r="AG91" s="512"/>
      <c r="AH91" s="513"/>
    </row>
    <row r="92" spans="3:34" ht="15">
      <c r="C92" s="163"/>
    </row>
    <row r="93" spans="3:34" ht="15.6">
      <c r="C93" s="163" t="s">
        <v>1066</v>
      </c>
    </row>
    <row r="94" spans="3:34" ht="15">
      <c r="C94" s="163"/>
    </row>
    <row r="95" spans="3:34" ht="105.75" customHeight="1">
      <c r="C95" s="511"/>
      <c r="D95" s="512"/>
      <c r="E95" s="512"/>
      <c r="F95" s="512"/>
      <c r="G95" s="512"/>
      <c r="H95" s="512"/>
      <c r="I95" s="512"/>
      <c r="J95" s="512"/>
      <c r="K95" s="512"/>
      <c r="L95" s="512"/>
      <c r="M95" s="512"/>
      <c r="N95" s="512"/>
      <c r="O95" s="512"/>
      <c r="P95" s="512"/>
      <c r="Q95" s="512"/>
      <c r="R95" s="512"/>
      <c r="S95" s="512"/>
      <c r="T95" s="512"/>
      <c r="U95" s="512"/>
      <c r="V95" s="512"/>
      <c r="W95" s="512"/>
      <c r="X95" s="512"/>
      <c r="Y95" s="512"/>
      <c r="Z95" s="512"/>
      <c r="AA95" s="512"/>
      <c r="AB95" s="512"/>
      <c r="AC95" s="512"/>
      <c r="AD95" s="512"/>
      <c r="AE95" s="512"/>
      <c r="AF95" s="512"/>
      <c r="AG95" s="512"/>
      <c r="AH95" s="513"/>
    </row>
    <row r="96" spans="3:34" ht="15">
      <c r="C96" s="163"/>
    </row>
    <row r="97" spans="3:34" ht="15.6" thickBot="1">
      <c r="C97" s="163"/>
    </row>
    <row r="98" spans="3:34" ht="16.2" thickTop="1" thickBot="1">
      <c r="C98" s="503" t="s">
        <v>1067</v>
      </c>
      <c r="D98" s="503"/>
      <c r="E98" s="514"/>
      <c r="F98" s="515"/>
    </row>
    <row r="99" spans="3:34" ht="16.2" thickTop="1" thickBot="1">
      <c r="C99" s="163"/>
    </row>
    <row r="100" spans="3:34" ht="16.2" thickTop="1" thickBot="1">
      <c r="C100" s="503" t="s">
        <v>1068</v>
      </c>
      <c r="D100" s="503"/>
      <c r="E100" s="514"/>
      <c r="F100" s="515"/>
    </row>
    <row r="101" spans="3:34" ht="15.6" thickTop="1">
      <c r="C101" s="163"/>
    </row>
    <row r="102" spans="3:34" ht="15">
      <c r="C102" s="163"/>
    </row>
    <row r="103" spans="3:34" ht="38.25" customHeight="1">
      <c r="C103" s="510" t="s">
        <v>1069</v>
      </c>
      <c r="D103" s="510"/>
      <c r="E103" s="510"/>
      <c r="F103" s="510"/>
      <c r="G103" s="510"/>
      <c r="H103" s="510"/>
    </row>
    <row r="104" spans="3:34" ht="15">
      <c r="C104" s="170"/>
      <c r="D104" s="170"/>
      <c r="E104" s="170"/>
      <c r="F104" s="170"/>
      <c r="G104" s="170"/>
      <c r="H104" s="170"/>
    </row>
    <row r="105" spans="3:34" ht="200.25" customHeight="1">
      <c r="C105" s="511"/>
      <c r="D105" s="512"/>
      <c r="E105" s="512"/>
      <c r="F105" s="512"/>
      <c r="G105" s="512"/>
      <c r="H105" s="512"/>
      <c r="I105" s="512"/>
      <c r="J105" s="512"/>
      <c r="K105" s="512"/>
      <c r="L105" s="512"/>
      <c r="M105" s="512"/>
      <c r="N105" s="512"/>
      <c r="O105" s="512"/>
      <c r="P105" s="512"/>
      <c r="Q105" s="512"/>
      <c r="R105" s="512"/>
      <c r="S105" s="512"/>
      <c r="T105" s="512"/>
      <c r="U105" s="512"/>
      <c r="V105" s="512"/>
      <c r="W105" s="512"/>
      <c r="X105" s="512"/>
      <c r="Y105" s="512"/>
      <c r="Z105" s="512"/>
      <c r="AA105" s="512"/>
      <c r="AB105" s="512"/>
      <c r="AC105" s="512"/>
      <c r="AD105" s="512"/>
      <c r="AE105" s="512"/>
      <c r="AF105" s="512"/>
      <c r="AG105" s="512"/>
      <c r="AH105" s="513"/>
    </row>
    <row r="106" spans="3:34" ht="13.5" customHeight="1">
      <c r="C106" s="180"/>
      <c r="D106" s="180"/>
      <c r="E106" s="180"/>
      <c r="F106" s="180"/>
      <c r="G106" s="180"/>
      <c r="H106" s="180"/>
    </row>
    <row r="108" spans="3:34" ht="22.8">
      <c r="C108" s="484" t="s">
        <v>1051</v>
      </c>
      <c r="D108" s="484"/>
    </row>
    <row r="109" spans="3:34" ht="22.8">
      <c r="C109" s="484" t="s">
        <v>1050</v>
      </c>
      <c r="D109" s="484"/>
    </row>
  </sheetData>
  <dataConsolidate/>
  <mergeCells count="36">
    <mergeCell ref="C105:AH105"/>
    <mergeCell ref="E98:F98"/>
    <mergeCell ref="E100:F100"/>
    <mergeCell ref="D78:H78"/>
    <mergeCell ref="D80:H80"/>
    <mergeCell ref="C87:H87"/>
    <mergeCell ref="C91:AH91"/>
    <mergeCell ref="C64:H64"/>
    <mergeCell ref="C44:D44"/>
    <mergeCell ref="C48:H48"/>
    <mergeCell ref="C40:D40"/>
    <mergeCell ref="C103:H103"/>
    <mergeCell ref="C98:D98"/>
    <mergeCell ref="C100:D100"/>
    <mergeCell ref="C95:AH95"/>
    <mergeCell ref="C42:AH42"/>
    <mergeCell ref="C46:AH46"/>
    <mergeCell ref="C50:AH50"/>
    <mergeCell ref="C54:AH54"/>
    <mergeCell ref="D67:H67"/>
    <mergeCell ref="C2:D2"/>
    <mergeCell ref="C109:D109"/>
    <mergeCell ref="C108:D108"/>
    <mergeCell ref="C62:H62"/>
    <mergeCell ref="D10:F10"/>
    <mergeCell ref="D8:F8"/>
    <mergeCell ref="D6:F6"/>
    <mergeCell ref="C4:F4"/>
    <mergeCell ref="E37:H37"/>
    <mergeCell ref="D11:F11"/>
    <mergeCell ref="D74:H74"/>
    <mergeCell ref="C32:D32"/>
    <mergeCell ref="C35:D35"/>
    <mergeCell ref="C37:D37"/>
    <mergeCell ref="C56:H56"/>
    <mergeCell ref="C60:H60"/>
  </mergeCells>
  <hyperlinks>
    <hyperlink ref="C2:D2" location="CoverSheet!A80" display="Click Here to complete Final Report"/>
    <hyperlink ref="C109:D109" location="CoverSheet!A1" display="Back to Top"/>
    <hyperlink ref="C108:D108" location="'Section D'!A1" display="Next"/>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H433"/>
  <sheetViews>
    <sheetView showGridLines="0" topLeftCell="B1" zoomScaleNormal="100" zoomScaleSheetLayoutView="100" zoomScalePageLayoutView="90" workbookViewId="0">
      <selection activeCell="E52" sqref="E52"/>
    </sheetView>
  </sheetViews>
  <sheetFormatPr defaultRowHeight="13.2"/>
  <cols>
    <col min="1" max="1" width="10.5546875" hidden="1" customWidth="1"/>
    <col min="2" max="2" width="8.109375" customWidth="1"/>
    <col min="19" max="19" width="10" customWidth="1"/>
  </cols>
  <sheetData>
    <row r="2" spans="1:17" ht="15">
      <c r="C2" s="166" t="s">
        <v>512</v>
      </c>
      <c r="D2" s="528">
        <f>CoverSheet!D6</f>
        <v>0</v>
      </c>
      <c r="E2" s="529"/>
      <c r="F2" s="529"/>
      <c r="G2" s="529"/>
      <c r="H2" s="529"/>
      <c r="I2" s="529"/>
      <c r="J2" s="529"/>
      <c r="K2" s="529"/>
      <c r="L2" s="530"/>
    </row>
    <row r="3" spans="1:17" ht="21">
      <c r="B3" s="527" t="s">
        <v>520</v>
      </c>
      <c r="C3" s="527"/>
      <c r="D3" s="527"/>
      <c r="E3" s="527"/>
      <c r="F3" s="527"/>
      <c r="G3" s="527"/>
      <c r="H3" s="527"/>
      <c r="I3" s="527"/>
      <c r="J3" s="527"/>
      <c r="K3" s="527"/>
      <c r="L3" s="527"/>
    </row>
    <row r="4" spans="1:17">
      <c r="B4" s="34"/>
    </row>
    <row r="6" spans="1:17">
      <c r="B6" s="186" t="s">
        <v>521</v>
      </c>
    </row>
    <row r="7" spans="1:17">
      <c r="B7" s="186"/>
    </row>
    <row r="8" spans="1:17">
      <c r="B8" s="186"/>
    </row>
    <row r="9" spans="1:17">
      <c r="B9" s="34"/>
    </row>
    <row r="10" spans="1:17">
      <c r="B10" s="34"/>
    </row>
    <row r="11" spans="1:17">
      <c r="B11" s="187" t="s">
        <v>522</v>
      </c>
    </row>
    <row r="12" spans="1:17" ht="26.25" customHeight="1">
      <c r="C12" s="533" t="s">
        <v>523</v>
      </c>
      <c r="D12" s="533"/>
      <c r="E12" s="533"/>
      <c r="F12" s="533"/>
      <c r="G12" s="533"/>
      <c r="H12" s="533"/>
      <c r="I12" s="533"/>
      <c r="J12" s="533"/>
      <c r="K12" s="533"/>
      <c r="L12" s="533"/>
      <c r="M12" s="533"/>
      <c r="N12" s="533"/>
      <c r="O12" s="188"/>
      <c r="P12" s="188"/>
      <c r="Q12" s="188"/>
    </row>
    <row r="13" spans="1:17">
      <c r="B13" s="189"/>
      <c r="C13" s="188"/>
      <c r="D13" s="188"/>
      <c r="E13" s="188"/>
      <c r="F13" s="188"/>
      <c r="G13" s="188"/>
      <c r="H13" s="188"/>
      <c r="I13" s="188"/>
      <c r="J13" s="188"/>
      <c r="K13" s="188"/>
      <c r="L13" s="188"/>
      <c r="M13" s="188"/>
      <c r="N13" s="188"/>
      <c r="O13" s="188"/>
      <c r="P13" s="188"/>
      <c r="Q13" s="188"/>
    </row>
    <row r="14" spans="1:17">
      <c r="B14" s="190" t="s">
        <v>524</v>
      </c>
    </row>
    <row r="15" spans="1:17" ht="37.5" customHeight="1">
      <c r="A15" s="126" t="s">
        <v>858</v>
      </c>
      <c r="B15" s="190"/>
      <c r="F15" s="534"/>
      <c r="G15" s="535"/>
      <c r="H15" s="535"/>
      <c r="I15" s="535"/>
      <c r="J15" s="535"/>
      <c r="K15" s="535"/>
      <c r="L15" s="535"/>
      <c r="M15" s="535"/>
      <c r="N15" s="536"/>
      <c r="O15" s="191"/>
      <c r="P15" s="191"/>
      <c r="Q15" s="191"/>
    </row>
    <row r="16" spans="1:17">
      <c r="B16" s="190" t="s">
        <v>525</v>
      </c>
    </row>
    <row r="17" spans="1:17" ht="38.25" customHeight="1">
      <c r="A17" s="126" t="s">
        <v>859</v>
      </c>
      <c r="B17" s="190"/>
      <c r="F17" s="520"/>
      <c r="G17" s="521"/>
      <c r="H17" s="521"/>
      <c r="I17" s="521"/>
      <c r="J17" s="521"/>
      <c r="K17" s="521"/>
      <c r="L17" s="521"/>
      <c r="M17" s="521"/>
      <c r="N17" s="522"/>
      <c r="O17" s="191"/>
      <c r="P17" s="191"/>
      <c r="Q17" s="191"/>
    </row>
    <row r="18" spans="1:17">
      <c r="B18" s="190" t="s">
        <v>526</v>
      </c>
    </row>
    <row r="19" spans="1:17" ht="37.5" customHeight="1">
      <c r="A19" s="126" t="s">
        <v>860</v>
      </c>
      <c r="B19" s="190"/>
      <c r="F19" s="520"/>
      <c r="G19" s="521"/>
      <c r="H19" s="521"/>
      <c r="I19" s="521"/>
      <c r="J19" s="521"/>
      <c r="K19" s="521"/>
      <c r="L19" s="521"/>
      <c r="M19" s="521"/>
      <c r="N19" s="522"/>
      <c r="O19" s="191"/>
      <c r="P19" s="191"/>
      <c r="Q19" s="191"/>
    </row>
    <row r="20" spans="1:17">
      <c r="B20" s="190" t="s">
        <v>527</v>
      </c>
    </row>
    <row r="21" spans="1:17" ht="37.5" customHeight="1">
      <c r="A21" s="126" t="s">
        <v>861</v>
      </c>
      <c r="B21" s="190"/>
      <c r="F21" s="520"/>
      <c r="G21" s="521"/>
      <c r="H21" s="521"/>
      <c r="I21" s="521"/>
      <c r="J21" s="521"/>
      <c r="K21" s="521"/>
      <c r="L21" s="521"/>
      <c r="M21" s="521"/>
      <c r="N21" s="522"/>
      <c r="O21" s="191"/>
      <c r="P21" s="191"/>
      <c r="Q21" s="191"/>
    </row>
    <row r="22" spans="1:17">
      <c r="B22" s="190" t="s">
        <v>1072</v>
      </c>
    </row>
    <row r="23" spans="1:17" ht="37.5" customHeight="1">
      <c r="A23" s="126" t="s">
        <v>862</v>
      </c>
      <c r="F23" s="520"/>
      <c r="G23" s="521"/>
      <c r="H23" s="521"/>
      <c r="I23" s="521"/>
      <c r="J23" s="521"/>
      <c r="K23" s="521"/>
      <c r="L23" s="521"/>
      <c r="M23" s="521"/>
      <c r="N23" s="522"/>
      <c r="O23" s="191"/>
      <c r="P23" s="191"/>
      <c r="Q23" s="191"/>
    </row>
    <row r="27" spans="1:17">
      <c r="B27" s="187" t="s">
        <v>528</v>
      </c>
    </row>
    <row r="28" spans="1:17" ht="24.75" customHeight="1">
      <c r="C28" s="533" t="s">
        <v>1073</v>
      </c>
      <c r="D28" s="533"/>
      <c r="E28" s="533"/>
      <c r="F28" s="533"/>
      <c r="G28" s="533"/>
      <c r="H28" s="533"/>
      <c r="I28" s="533"/>
      <c r="J28" s="533"/>
      <c r="K28" s="533"/>
      <c r="L28" s="533"/>
      <c r="M28" s="533"/>
      <c r="N28" s="533"/>
      <c r="O28" s="188"/>
      <c r="P28" s="188"/>
      <c r="Q28" s="188"/>
    </row>
    <row r="29" spans="1:17">
      <c r="B29" s="189"/>
      <c r="C29" s="188"/>
      <c r="D29" s="188"/>
      <c r="E29" s="188"/>
      <c r="F29" s="188"/>
      <c r="G29" s="188"/>
      <c r="H29" s="188"/>
      <c r="I29" s="188"/>
      <c r="J29" s="188"/>
      <c r="K29" s="188"/>
      <c r="L29" s="188"/>
      <c r="M29" s="188"/>
      <c r="N29" s="188"/>
      <c r="O29" s="188"/>
      <c r="P29" s="188"/>
      <c r="Q29" s="188"/>
    </row>
    <row r="30" spans="1:17">
      <c r="D30" s="192" t="s">
        <v>529</v>
      </c>
    </row>
    <row r="31" spans="1:17" ht="37.5" customHeight="1">
      <c r="A31" s="126" t="s">
        <v>856</v>
      </c>
      <c r="B31" s="192"/>
      <c r="F31" s="520"/>
      <c r="G31" s="521"/>
      <c r="H31" s="521"/>
      <c r="I31" s="521"/>
      <c r="J31" s="521"/>
      <c r="K31" s="521"/>
      <c r="L31" s="521"/>
      <c r="M31" s="521"/>
      <c r="N31" s="521"/>
      <c r="O31" s="193"/>
      <c r="P31" s="191"/>
      <c r="Q31" s="191"/>
    </row>
    <row r="32" spans="1:17">
      <c r="B32" s="192"/>
    </row>
    <row r="33" spans="1:19" ht="38.25" customHeight="1">
      <c r="C33" s="533" t="s">
        <v>1074</v>
      </c>
      <c r="D33" s="533"/>
      <c r="E33" s="533"/>
      <c r="F33" s="533"/>
      <c r="G33" s="533"/>
      <c r="H33" s="533"/>
      <c r="I33" s="533"/>
      <c r="J33" s="533"/>
      <c r="K33" s="533"/>
      <c r="L33" s="533"/>
      <c r="M33" s="533"/>
      <c r="N33" s="533"/>
      <c r="O33" s="188"/>
      <c r="P33" s="188"/>
      <c r="Q33" s="188"/>
      <c r="R33" s="189"/>
    </row>
    <row r="34" spans="1:19">
      <c r="C34" s="188"/>
      <c r="D34" s="188"/>
      <c r="E34" s="188"/>
      <c r="F34" s="188"/>
      <c r="G34" s="188"/>
      <c r="H34" s="188"/>
      <c r="I34" s="188"/>
      <c r="J34" s="188"/>
      <c r="K34" s="188"/>
      <c r="L34" s="188"/>
      <c r="M34" s="188"/>
      <c r="N34" s="188"/>
      <c r="O34" s="188"/>
      <c r="P34" s="188"/>
      <c r="Q34" s="188"/>
      <c r="R34" s="189"/>
    </row>
    <row r="35" spans="1:19">
      <c r="D35" s="192" t="s">
        <v>530</v>
      </c>
    </row>
    <row r="36" spans="1:19">
      <c r="B36" s="192"/>
    </row>
    <row r="37" spans="1:19" ht="37.5" customHeight="1">
      <c r="A37" s="126" t="s">
        <v>857</v>
      </c>
      <c r="B37" s="194" t="s">
        <v>531</v>
      </c>
      <c r="D37" s="183"/>
      <c r="F37" s="520"/>
      <c r="G37" s="521"/>
      <c r="H37" s="521"/>
      <c r="I37" s="521"/>
      <c r="J37" s="521"/>
      <c r="K37" s="521"/>
      <c r="L37" s="521"/>
      <c r="M37" s="521"/>
      <c r="N37" s="521"/>
      <c r="O37" s="193"/>
      <c r="P37" s="191"/>
      <c r="Q37" s="191"/>
    </row>
    <row r="38" spans="1:19">
      <c r="B38" s="192"/>
    </row>
    <row r="39" spans="1:19" ht="38.25" customHeight="1">
      <c r="A39" s="126" t="s">
        <v>857</v>
      </c>
      <c r="B39" s="194" t="s">
        <v>532</v>
      </c>
      <c r="F39" s="520"/>
      <c r="G39" s="521"/>
      <c r="H39" s="521"/>
      <c r="I39" s="521"/>
      <c r="J39" s="521"/>
      <c r="K39" s="521"/>
      <c r="L39" s="521"/>
      <c r="M39" s="521"/>
      <c r="N39" s="521"/>
      <c r="O39" s="193"/>
      <c r="P39" s="191"/>
      <c r="Q39" s="191"/>
    </row>
    <row r="40" spans="1:19" ht="13.5" customHeight="1">
      <c r="B40" s="192"/>
    </row>
    <row r="41" spans="1:19" ht="37.5" customHeight="1">
      <c r="A41" s="126" t="s">
        <v>857</v>
      </c>
      <c r="B41" s="194" t="s">
        <v>533</v>
      </c>
      <c r="F41" s="520"/>
      <c r="G41" s="521"/>
      <c r="H41" s="521"/>
      <c r="I41" s="521"/>
      <c r="J41" s="521"/>
      <c r="K41" s="521"/>
      <c r="L41" s="521"/>
      <c r="M41" s="521"/>
      <c r="N41" s="521"/>
      <c r="O41" s="193"/>
      <c r="P41" s="191"/>
      <c r="Q41" s="191"/>
    </row>
    <row r="45" spans="1:19">
      <c r="B45" s="195" t="s">
        <v>534</v>
      </c>
    </row>
    <row r="46" spans="1:19" ht="54" customHeight="1">
      <c r="B46" s="196" t="s">
        <v>535</v>
      </c>
      <c r="C46" s="537" t="s">
        <v>536</v>
      </c>
      <c r="D46" s="537"/>
      <c r="E46" s="537"/>
      <c r="F46" s="537"/>
      <c r="G46" s="537"/>
      <c r="H46" s="537"/>
      <c r="I46" s="537"/>
      <c r="J46" s="537"/>
      <c r="K46" s="537"/>
      <c r="L46" s="537"/>
      <c r="M46" s="537"/>
      <c r="N46" s="537"/>
      <c r="O46" s="197"/>
      <c r="P46" s="197"/>
      <c r="Q46" s="197"/>
    </row>
    <row r="47" spans="1:19" ht="12.75" customHeight="1">
      <c r="B47" s="196"/>
      <c r="C47" s="197"/>
      <c r="D47" s="197"/>
      <c r="E47" s="197"/>
      <c r="F47" s="197"/>
      <c r="G47" s="197"/>
      <c r="H47" s="197"/>
      <c r="I47" s="197"/>
      <c r="J47" s="197"/>
      <c r="K47" s="197"/>
      <c r="L47" s="197"/>
      <c r="M47" s="197"/>
      <c r="N47" s="197"/>
      <c r="O47" s="197"/>
      <c r="P47" s="197"/>
      <c r="Q47" s="197"/>
      <c r="R47" s="198"/>
      <c r="S47" s="198"/>
    </row>
    <row r="48" spans="1:19" ht="14.25" customHeight="1">
      <c r="B48" s="190" t="s">
        <v>537</v>
      </c>
      <c r="R48" s="198"/>
      <c r="S48" s="198"/>
    </row>
    <row r="49" spans="1:34">
      <c r="A49" s="126" t="s">
        <v>863</v>
      </c>
      <c r="B49" s="190"/>
      <c r="F49" s="520"/>
      <c r="G49" s="521"/>
      <c r="H49" s="521"/>
      <c r="I49" s="521"/>
      <c r="J49" s="521"/>
      <c r="K49" s="521"/>
      <c r="L49" s="521"/>
      <c r="M49" s="521"/>
      <c r="N49" s="521"/>
      <c r="O49" s="521"/>
      <c r="P49" s="521"/>
      <c r="Q49" s="521"/>
      <c r="R49" s="521"/>
      <c r="S49" s="521"/>
      <c r="T49" s="521"/>
      <c r="U49" s="521"/>
      <c r="V49" s="521"/>
      <c r="W49" s="521"/>
      <c r="X49" s="521"/>
      <c r="Y49" s="521"/>
      <c r="Z49" s="521"/>
      <c r="AA49" s="521"/>
      <c r="AB49" s="521"/>
      <c r="AC49" s="521"/>
      <c r="AD49" s="521"/>
      <c r="AE49" s="521"/>
      <c r="AF49" s="521"/>
      <c r="AG49" s="521"/>
      <c r="AH49" s="522"/>
    </row>
    <row r="50" spans="1:34">
      <c r="B50" s="190" t="s">
        <v>538</v>
      </c>
    </row>
    <row r="51" spans="1:34" ht="12.75" customHeight="1">
      <c r="A51" s="126" t="s">
        <v>864</v>
      </c>
      <c r="B51" s="190"/>
      <c r="F51" s="520"/>
      <c r="G51" s="521"/>
      <c r="H51" s="521"/>
      <c r="I51" s="521"/>
      <c r="J51" s="521"/>
      <c r="K51" s="521"/>
      <c r="L51" s="521"/>
      <c r="M51" s="521"/>
      <c r="N51" s="521"/>
      <c r="O51" s="521"/>
      <c r="P51" s="521"/>
      <c r="Q51" s="521"/>
      <c r="R51" s="521"/>
      <c r="S51" s="521"/>
      <c r="T51" s="521"/>
      <c r="U51" s="521"/>
      <c r="V51" s="521"/>
      <c r="W51" s="521"/>
      <c r="X51" s="521"/>
      <c r="Y51" s="521"/>
      <c r="Z51" s="521"/>
      <c r="AA51" s="521"/>
      <c r="AB51" s="521"/>
      <c r="AC51" s="521"/>
      <c r="AD51" s="521"/>
      <c r="AE51" s="521"/>
      <c r="AF51" s="521"/>
      <c r="AG51" s="521"/>
      <c r="AH51" s="522"/>
    </row>
    <row r="52" spans="1:34">
      <c r="B52" s="190" t="s">
        <v>539</v>
      </c>
    </row>
    <row r="53" spans="1:34" ht="22.5" customHeight="1">
      <c r="A53" s="126" t="s">
        <v>865</v>
      </c>
      <c r="B53" s="190"/>
      <c r="F53" s="538" t="s">
        <v>1060</v>
      </c>
      <c r="G53" s="539"/>
      <c r="H53" s="539"/>
      <c r="I53" s="539"/>
      <c r="J53" s="539"/>
      <c r="K53" s="539"/>
      <c r="L53" s="539"/>
      <c r="M53" s="539"/>
      <c r="N53" s="539"/>
      <c r="O53" s="199"/>
      <c r="P53" s="186" t="s">
        <v>1075</v>
      </c>
      <c r="Q53" s="200"/>
    </row>
    <row r="54" spans="1:34">
      <c r="B54" s="190" t="s">
        <v>540</v>
      </c>
    </row>
    <row r="55" spans="1:34">
      <c r="A55" s="126" t="s">
        <v>866</v>
      </c>
      <c r="B55" s="190"/>
      <c r="F55" s="519"/>
      <c r="G55" s="519"/>
      <c r="H55" s="519"/>
      <c r="I55" s="519"/>
      <c r="J55" s="519"/>
      <c r="K55" s="519"/>
      <c r="L55" s="519"/>
      <c r="M55" s="519"/>
      <c r="N55" s="519"/>
      <c r="O55" s="519"/>
      <c r="P55" s="519"/>
      <c r="Q55" s="519"/>
      <c r="R55" s="519"/>
      <c r="S55" s="519"/>
      <c r="T55" s="519"/>
      <c r="U55" s="519"/>
      <c r="V55" s="519"/>
      <c r="W55" s="519"/>
      <c r="X55" s="519"/>
      <c r="Y55" s="519"/>
      <c r="Z55" s="519"/>
      <c r="AA55" s="519"/>
      <c r="AB55" s="519"/>
      <c r="AC55" s="519"/>
      <c r="AD55" s="519"/>
      <c r="AE55" s="519"/>
      <c r="AF55" s="519"/>
      <c r="AG55" s="519"/>
      <c r="AH55" s="519"/>
    </row>
    <row r="56" spans="1:34" ht="37.5" customHeight="1">
      <c r="B56" s="190" t="s">
        <v>541</v>
      </c>
    </row>
    <row r="57" spans="1:34">
      <c r="A57" s="126" t="s">
        <v>867</v>
      </c>
      <c r="B57" s="190"/>
      <c r="F57" s="519"/>
      <c r="G57" s="519"/>
      <c r="H57" s="519"/>
      <c r="I57" s="519"/>
      <c r="J57" s="519"/>
      <c r="K57" s="519"/>
      <c r="L57" s="519"/>
      <c r="M57" s="519"/>
      <c r="N57" s="519"/>
      <c r="O57" s="519"/>
      <c r="P57" s="519"/>
      <c r="Q57" s="519"/>
      <c r="R57" s="519"/>
      <c r="S57" s="519"/>
      <c r="T57" s="519"/>
      <c r="U57" s="519"/>
      <c r="V57" s="519"/>
      <c r="W57" s="519"/>
      <c r="X57" s="519"/>
      <c r="Y57" s="519"/>
      <c r="Z57" s="519"/>
      <c r="AA57" s="519"/>
      <c r="AB57" s="519"/>
      <c r="AC57" s="519"/>
      <c r="AD57" s="519"/>
      <c r="AE57" s="519"/>
      <c r="AF57" s="519"/>
      <c r="AG57" s="519"/>
      <c r="AH57" s="519"/>
    </row>
    <row r="58" spans="1:34" ht="37.5" customHeight="1">
      <c r="B58" s="190" t="s">
        <v>542</v>
      </c>
    </row>
    <row r="59" spans="1:34">
      <c r="A59" s="126" t="s">
        <v>868</v>
      </c>
      <c r="B59" s="190"/>
      <c r="F59" s="520"/>
      <c r="G59" s="521"/>
      <c r="H59" s="521"/>
      <c r="I59" s="521"/>
      <c r="J59" s="521"/>
      <c r="K59" s="521"/>
      <c r="L59" s="521"/>
      <c r="M59" s="521"/>
      <c r="N59" s="521"/>
      <c r="O59" s="521"/>
      <c r="P59" s="521"/>
      <c r="Q59" s="521"/>
      <c r="R59" s="521"/>
      <c r="S59" s="521"/>
      <c r="T59" s="521"/>
      <c r="U59" s="521"/>
      <c r="V59" s="521"/>
      <c r="W59" s="521"/>
      <c r="X59" s="521"/>
      <c r="Y59" s="521"/>
      <c r="Z59" s="521"/>
      <c r="AA59" s="521"/>
      <c r="AB59" s="521"/>
      <c r="AC59" s="521"/>
      <c r="AD59" s="521"/>
      <c r="AE59" s="521"/>
      <c r="AF59" s="521"/>
      <c r="AG59" s="521"/>
      <c r="AH59" s="522"/>
    </row>
    <row r="60" spans="1:34" ht="37.5" customHeight="1">
      <c r="B60" s="190" t="s">
        <v>543</v>
      </c>
    </row>
    <row r="61" spans="1:34">
      <c r="A61" s="126" t="s">
        <v>869</v>
      </c>
      <c r="B61" s="190"/>
      <c r="F61" s="519"/>
      <c r="G61" s="519"/>
      <c r="H61" s="519"/>
      <c r="I61" s="519"/>
      <c r="J61" s="519"/>
      <c r="K61" s="519"/>
      <c r="L61" s="519"/>
      <c r="M61" s="519"/>
      <c r="N61" s="519"/>
      <c r="O61" s="519"/>
      <c r="P61" s="519"/>
      <c r="Q61" s="519"/>
      <c r="R61" s="519"/>
      <c r="S61" s="519"/>
      <c r="T61" s="519"/>
      <c r="U61" s="519"/>
      <c r="V61" s="519"/>
      <c r="W61" s="519"/>
      <c r="X61" s="519"/>
      <c r="Y61" s="519"/>
      <c r="Z61" s="519"/>
      <c r="AA61" s="519"/>
      <c r="AB61" s="519"/>
      <c r="AC61" s="519"/>
      <c r="AD61" s="519"/>
      <c r="AE61" s="519"/>
      <c r="AF61" s="519"/>
      <c r="AG61" s="519"/>
      <c r="AH61" s="519"/>
    </row>
    <row r="62" spans="1:34" ht="37.5" customHeight="1">
      <c r="B62" s="190" t="s">
        <v>544</v>
      </c>
      <c r="F62" s="479"/>
      <c r="G62" s="479"/>
      <c r="H62" s="479"/>
      <c r="I62" s="479"/>
      <c r="J62" s="479"/>
      <c r="K62" s="479"/>
      <c r="L62" s="479"/>
      <c r="M62" s="479"/>
      <c r="N62" s="479"/>
      <c r="O62" s="479"/>
      <c r="P62" s="479"/>
      <c r="Q62" s="479"/>
      <c r="R62" s="479"/>
      <c r="S62" s="479"/>
      <c r="T62" s="479"/>
      <c r="U62" s="479"/>
      <c r="V62" s="479"/>
      <c r="W62" s="479"/>
      <c r="X62" s="479"/>
      <c r="Y62" s="479"/>
      <c r="Z62" s="479"/>
      <c r="AA62" s="479"/>
      <c r="AB62" s="479"/>
      <c r="AC62" s="479"/>
      <c r="AD62" s="479"/>
      <c r="AE62" s="479"/>
      <c r="AF62" s="479"/>
      <c r="AG62" s="479"/>
      <c r="AH62" s="479"/>
    </row>
    <row r="63" spans="1:34">
      <c r="A63" s="126" t="s">
        <v>870</v>
      </c>
      <c r="F63" s="523"/>
      <c r="G63" s="524"/>
      <c r="H63" s="524"/>
      <c r="I63" s="524"/>
      <c r="J63" s="524"/>
      <c r="K63" s="524"/>
      <c r="L63" s="524"/>
      <c r="M63" s="524"/>
      <c r="N63" s="524"/>
      <c r="O63" s="524"/>
      <c r="P63" s="524"/>
      <c r="Q63" s="524"/>
      <c r="R63" s="524"/>
      <c r="S63" s="524"/>
      <c r="T63" s="524"/>
      <c r="U63" s="524"/>
      <c r="V63" s="524"/>
      <c r="W63" s="524"/>
      <c r="X63" s="524"/>
      <c r="Y63" s="524"/>
      <c r="Z63" s="524"/>
      <c r="AA63" s="524"/>
      <c r="AB63" s="524"/>
      <c r="AC63" s="524"/>
      <c r="AD63" s="524"/>
      <c r="AE63" s="524"/>
      <c r="AF63" s="524"/>
      <c r="AG63" s="524"/>
      <c r="AH63" s="525"/>
    </row>
    <row r="64" spans="1:34">
      <c r="F64" s="191"/>
      <c r="G64" s="191"/>
      <c r="H64" s="191"/>
      <c r="I64" s="191"/>
      <c r="J64" s="191"/>
      <c r="K64" s="191"/>
      <c r="L64" s="191"/>
      <c r="M64" s="191"/>
      <c r="N64" s="191"/>
      <c r="O64" s="191"/>
      <c r="P64" s="191"/>
      <c r="Q64" s="191"/>
    </row>
    <row r="65" spans="1:34" ht="6" customHeight="1"/>
    <row r="66" spans="1:34">
      <c r="B66" s="195" t="s">
        <v>545</v>
      </c>
    </row>
    <row r="67" spans="1:34" ht="30" customHeight="1">
      <c r="C67" s="533" t="s">
        <v>546</v>
      </c>
      <c r="D67" s="533"/>
      <c r="E67" s="533"/>
      <c r="F67" s="533"/>
      <c r="G67" s="533"/>
      <c r="H67" s="533"/>
      <c r="I67" s="533"/>
      <c r="J67" s="533"/>
      <c r="K67" s="533"/>
      <c r="L67" s="533"/>
      <c r="M67" s="533"/>
      <c r="N67" s="533"/>
      <c r="O67" s="188"/>
      <c r="P67" s="188"/>
      <c r="Q67" s="188"/>
    </row>
    <row r="68" spans="1:34">
      <c r="B68" s="34"/>
      <c r="C68" s="201"/>
      <c r="D68" s="201"/>
      <c r="E68" s="201"/>
      <c r="F68" s="201"/>
      <c r="G68" s="201"/>
      <c r="H68" s="201"/>
      <c r="I68" s="201"/>
      <c r="J68" s="201"/>
      <c r="K68" s="201"/>
      <c r="L68" s="201"/>
      <c r="M68" s="201"/>
      <c r="N68" s="201"/>
      <c r="O68" s="201"/>
      <c r="P68" s="201"/>
      <c r="Q68" s="201"/>
    </row>
    <row r="69" spans="1:34">
      <c r="B69" s="190" t="s">
        <v>547</v>
      </c>
    </row>
    <row r="70" spans="1:34">
      <c r="A70" s="126" t="s">
        <v>871</v>
      </c>
      <c r="B70" s="190"/>
      <c r="F70" s="519"/>
      <c r="G70" s="519"/>
      <c r="H70" s="519"/>
      <c r="I70" s="519"/>
      <c r="J70" s="519"/>
      <c r="K70" s="519"/>
      <c r="L70" s="519"/>
      <c r="M70" s="519"/>
      <c r="N70" s="519"/>
      <c r="O70" s="519"/>
      <c r="P70" s="519"/>
      <c r="Q70" s="519"/>
      <c r="R70" s="519"/>
      <c r="S70" s="519"/>
      <c r="T70" s="519"/>
      <c r="U70" s="519"/>
      <c r="V70" s="519"/>
      <c r="W70" s="519"/>
      <c r="X70" s="519"/>
      <c r="Y70" s="519"/>
      <c r="Z70" s="519"/>
      <c r="AA70" s="519"/>
      <c r="AB70" s="519"/>
      <c r="AC70" s="519"/>
      <c r="AD70" s="519"/>
      <c r="AE70" s="519"/>
      <c r="AF70" s="519"/>
      <c r="AG70" s="519"/>
      <c r="AH70" s="519"/>
    </row>
    <row r="71" spans="1:34">
      <c r="B71" s="190" t="s">
        <v>548</v>
      </c>
      <c r="F71" s="480"/>
      <c r="G71" s="480"/>
      <c r="H71" s="480"/>
      <c r="I71" s="480"/>
      <c r="J71" s="480"/>
      <c r="K71" s="480"/>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row>
    <row r="72" spans="1:34">
      <c r="A72" s="126" t="s">
        <v>872</v>
      </c>
      <c r="B72" s="190"/>
      <c r="F72" s="517"/>
      <c r="G72" s="517"/>
      <c r="H72" s="517"/>
      <c r="I72" s="517"/>
      <c r="J72" s="517"/>
      <c r="K72" s="517"/>
      <c r="L72" s="517"/>
      <c r="M72" s="517"/>
      <c r="N72" s="517"/>
      <c r="O72" s="517"/>
      <c r="P72" s="517"/>
      <c r="Q72" s="517"/>
      <c r="R72" s="517"/>
      <c r="S72" s="517"/>
      <c r="T72" s="517"/>
      <c r="U72" s="517"/>
      <c r="V72" s="517"/>
      <c r="W72" s="517"/>
      <c r="X72" s="517"/>
      <c r="Y72" s="517"/>
      <c r="Z72" s="517"/>
      <c r="AA72" s="517"/>
      <c r="AB72" s="517"/>
      <c r="AC72" s="517"/>
      <c r="AD72" s="517"/>
      <c r="AE72" s="517"/>
      <c r="AF72" s="517"/>
      <c r="AG72" s="517"/>
      <c r="AH72" s="517"/>
    </row>
    <row r="73" spans="1:34" ht="18" customHeight="1">
      <c r="B73" s="190" t="s">
        <v>549</v>
      </c>
    </row>
    <row r="74" spans="1:34">
      <c r="A74" s="126" t="s">
        <v>873</v>
      </c>
      <c r="B74" s="190"/>
      <c r="F74" s="519"/>
      <c r="G74" s="519"/>
      <c r="H74" s="519"/>
      <c r="I74" s="519"/>
      <c r="J74" s="519"/>
      <c r="K74" s="519"/>
      <c r="L74" s="519"/>
      <c r="M74" s="519"/>
      <c r="N74" s="519"/>
      <c r="O74" s="519"/>
      <c r="P74" s="519"/>
      <c r="Q74" s="519"/>
      <c r="R74" s="519"/>
      <c r="S74" s="519"/>
      <c r="T74" s="519"/>
      <c r="U74" s="519"/>
      <c r="V74" s="519"/>
      <c r="W74" s="519"/>
      <c r="X74" s="519"/>
      <c r="Y74" s="519"/>
      <c r="Z74" s="519"/>
      <c r="AA74" s="519"/>
      <c r="AB74" s="519"/>
      <c r="AC74" s="519"/>
      <c r="AD74" s="519"/>
      <c r="AE74" s="519"/>
      <c r="AF74" s="519"/>
      <c r="AG74" s="519"/>
      <c r="AH74" s="519"/>
    </row>
    <row r="75" spans="1:34" ht="24" customHeight="1">
      <c r="B75" s="190" t="s">
        <v>550</v>
      </c>
      <c r="F75" s="479"/>
      <c r="G75" s="479"/>
      <c r="H75" s="479"/>
      <c r="I75" s="479"/>
      <c r="J75" s="479"/>
      <c r="K75" s="479"/>
      <c r="L75" s="479"/>
      <c r="M75" s="479"/>
      <c r="N75" s="479"/>
      <c r="O75" s="479"/>
      <c r="P75" s="479"/>
      <c r="Q75" s="479"/>
      <c r="R75" s="479"/>
      <c r="S75" s="479"/>
      <c r="T75" s="479"/>
      <c r="U75" s="479"/>
      <c r="V75" s="479"/>
      <c r="W75" s="479"/>
      <c r="X75" s="479"/>
      <c r="Y75" s="479"/>
      <c r="Z75" s="479"/>
      <c r="AA75" s="479"/>
      <c r="AB75" s="479"/>
      <c r="AC75" s="479"/>
      <c r="AD75" s="479"/>
      <c r="AE75" s="479"/>
      <c r="AF75" s="479"/>
      <c r="AG75" s="479"/>
      <c r="AH75" s="479"/>
    </row>
    <row r="76" spans="1:34">
      <c r="A76" s="126" t="s">
        <v>874</v>
      </c>
      <c r="B76" s="202"/>
      <c r="F76" s="517"/>
      <c r="G76" s="517"/>
      <c r="H76" s="517"/>
      <c r="I76" s="517"/>
      <c r="J76" s="517"/>
      <c r="K76" s="517"/>
      <c r="L76" s="517"/>
      <c r="M76" s="517"/>
      <c r="N76" s="517"/>
      <c r="O76" s="517"/>
      <c r="P76" s="517"/>
      <c r="Q76" s="517"/>
      <c r="R76" s="517"/>
      <c r="S76" s="517"/>
      <c r="T76" s="517"/>
      <c r="U76" s="517"/>
      <c r="V76" s="517"/>
      <c r="W76" s="517"/>
      <c r="X76" s="517"/>
      <c r="Y76" s="517"/>
      <c r="Z76" s="517"/>
      <c r="AA76" s="517"/>
      <c r="AB76" s="517"/>
      <c r="AC76" s="517"/>
      <c r="AD76" s="517"/>
      <c r="AE76" s="517"/>
      <c r="AF76" s="517"/>
      <c r="AG76" s="517"/>
      <c r="AH76" s="517"/>
    </row>
    <row r="77" spans="1:34" ht="21" customHeight="1">
      <c r="B77" s="196"/>
    </row>
    <row r="78" spans="1:34" ht="24.75" customHeight="1">
      <c r="C78" s="532" t="s">
        <v>551</v>
      </c>
      <c r="D78" s="532"/>
      <c r="E78" s="532"/>
      <c r="F78" s="532"/>
      <c r="G78" s="532"/>
      <c r="H78" s="532"/>
      <c r="I78" s="532"/>
      <c r="J78" s="532"/>
      <c r="K78" s="532"/>
      <c r="L78" s="532"/>
      <c r="M78" s="532"/>
      <c r="N78" s="532"/>
      <c r="O78" s="203"/>
      <c r="P78" s="203"/>
      <c r="Q78" s="203"/>
    </row>
    <row r="79" spans="1:34" ht="18" customHeight="1">
      <c r="B79" s="204"/>
      <c r="C79" s="205"/>
      <c r="D79" s="205"/>
      <c r="E79" s="205"/>
      <c r="F79" s="205"/>
      <c r="G79" s="205"/>
      <c r="H79" s="205"/>
      <c r="I79" s="205"/>
      <c r="J79" s="205"/>
      <c r="K79" s="205"/>
      <c r="L79" s="205"/>
      <c r="M79" s="205"/>
      <c r="N79" s="205"/>
      <c r="O79" s="205"/>
      <c r="P79" s="205"/>
      <c r="Q79" s="205"/>
    </row>
    <row r="80" spans="1:34">
      <c r="B80" s="190" t="s">
        <v>547</v>
      </c>
    </row>
    <row r="81" spans="1:34" ht="12.75" customHeight="1">
      <c r="A81" s="126" t="s">
        <v>875</v>
      </c>
      <c r="B81" s="190"/>
      <c r="F81" s="519"/>
      <c r="G81" s="519"/>
      <c r="H81" s="519"/>
      <c r="I81" s="519"/>
      <c r="J81" s="519"/>
      <c r="K81" s="519"/>
      <c r="L81" s="519"/>
      <c r="M81" s="519"/>
      <c r="N81" s="519"/>
      <c r="O81" s="519"/>
      <c r="P81" s="519"/>
      <c r="Q81" s="519"/>
      <c r="R81" s="519"/>
      <c r="S81" s="519"/>
      <c r="T81" s="519"/>
      <c r="U81" s="519"/>
      <c r="V81" s="519"/>
      <c r="W81" s="519"/>
      <c r="X81" s="519"/>
      <c r="Y81" s="519"/>
      <c r="Z81" s="519"/>
      <c r="AA81" s="519"/>
      <c r="AB81" s="519"/>
      <c r="AC81" s="519"/>
      <c r="AD81" s="519"/>
      <c r="AE81" s="519"/>
      <c r="AF81" s="519"/>
      <c r="AG81" s="519"/>
      <c r="AH81" s="519"/>
    </row>
    <row r="82" spans="1:34">
      <c r="B82" s="190" t="s">
        <v>548</v>
      </c>
    </row>
    <row r="83" spans="1:34">
      <c r="A83" s="126" t="s">
        <v>876</v>
      </c>
      <c r="B83" s="190"/>
      <c r="F83" s="519"/>
      <c r="G83" s="519"/>
      <c r="H83" s="519"/>
      <c r="I83" s="519"/>
      <c r="J83" s="519"/>
      <c r="K83" s="519"/>
      <c r="L83" s="519"/>
      <c r="M83" s="519"/>
      <c r="N83" s="519"/>
      <c r="O83" s="519"/>
      <c r="P83" s="519"/>
      <c r="Q83" s="519"/>
      <c r="R83" s="519"/>
      <c r="S83" s="519"/>
      <c r="T83" s="519"/>
      <c r="U83" s="519"/>
      <c r="V83" s="519"/>
      <c r="W83" s="519"/>
      <c r="X83" s="519"/>
      <c r="Y83" s="519"/>
      <c r="Z83" s="519"/>
      <c r="AA83" s="519"/>
      <c r="AB83" s="519"/>
      <c r="AC83" s="519"/>
      <c r="AD83" s="519"/>
      <c r="AE83" s="519"/>
      <c r="AF83" s="519"/>
      <c r="AG83" s="519"/>
      <c r="AH83" s="519"/>
    </row>
    <row r="84" spans="1:34" ht="37.5" customHeight="1">
      <c r="B84" s="190" t="s">
        <v>549</v>
      </c>
    </row>
    <row r="85" spans="1:34">
      <c r="A85" s="126" t="s">
        <v>877</v>
      </c>
      <c r="B85" s="190"/>
      <c r="F85" s="519"/>
      <c r="G85" s="519"/>
      <c r="H85" s="519"/>
      <c r="I85" s="519"/>
      <c r="J85" s="519"/>
      <c r="K85" s="519"/>
      <c r="L85" s="519"/>
      <c r="M85" s="519"/>
      <c r="N85" s="519"/>
      <c r="O85" s="519"/>
      <c r="P85" s="519"/>
      <c r="Q85" s="519"/>
      <c r="R85" s="519"/>
      <c r="S85" s="519"/>
      <c r="T85" s="519"/>
      <c r="U85" s="519"/>
      <c r="V85" s="519"/>
      <c r="W85" s="519"/>
      <c r="X85" s="519"/>
      <c r="Y85" s="519"/>
      <c r="Z85" s="519"/>
      <c r="AA85" s="519"/>
      <c r="AB85" s="519"/>
      <c r="AC85" s="519"/>
      <c r="AD85" s="519"/>
      <c r="AE85" s="519"/>
      <c r="AF85" s="519"/>
      <c r="AG85" s="519"/>
      <c r="AH85" s="519"/>
    </row>
    <row r="86" spans="1:34" ht="29.25" customHeight="1">
      <c r="B86" s="190" t="s">
        <v>550</v>
      </c>
    </row>
    <row r="87" spans="1:34">
      <c r="A87" s="126" t="s">
        <v>878</v>
      </c>
      <c r="F87" s="519"/>
      <c r="G87" s="519"/>
      <c r="H87" s="519"/>
      <c r="I87" s="519"/>
      <c r="J87" s="519"/>
      <c r="K87" s="519"/>
      <c r="L87" s="519"/>
      <c r="M87" s="519"/>
      <c r="N87" s="519"/>
      <c r="O87" s="519"/>
      <c r="P87" s="519"/>
      <c r="Q87" s="519"/>
      <c r="R87" s="519"/>
      <c r="S87" s="519"/>
      <c r="T87" s="519"/>
      <c r="U87" s="519"/>
      <c r="V87" s="519"/>
      <c r="W87" s="519"/>
      <c r="X87" s="519"/>
      <c r="Y87" s="519"/>
      <c r="Z87" s="519"/>
      <c r="AA87" s="519"/>
      <c r="AB87" s="519"/>
      <c r="AC87" s="519"/>
      <c r="AD87" s="519"/>
      <c r="AE87" s="519"/>
      <c r="AF87" s="519"/>
      <c r="AG87" s="519"/>
      <c r="AH87" s="519"/>
    </row>
    <row r="88" spans="1:34" ht="37.5" customHeight="1"/>
    <row r="89" spans="1:34" ht="32.25" customHeight="1">
      <c r="E89" s="484" t="s">
        <v>1051</v>
      </c>
      <c r="F89" s="484"/>
      <c r="G89" s="484"/>
      <c r="H89" s="484"/>
      <c r="I89" s="484"/>
      <c r="J89" s="484"/>
      <c r="K89" s="484"/>
    </row>
    <row r="90" spans="1:34" ht="21.75" customHeight="1">
      <c r="E90" s="484"/>
      <c r="F90" s="484"/>
      <c r="G90" s="484"/>
      <c r="H90" s="484"/>
      <c r="I90" s="484"/>
      <c r="J90" s="484"/>
      <c r="K90" s="484"/>
    </row>
    <row r="99" spans="2:17">
      <c r="B99" s="206"/>
      <c r="C99" s="45"/>
      <c r="D99" s="45"/>
      <c r="E99" s="45"/>
      <c r="F99" s="526"/>
      <c r="G99" s="526"/>
      <c r="H99" s="526"/>
      <c r="I99" s="526"/>
      <c r="J99" s="526"/>
      <c r="K99" s="45"/>
      <c r="L99" s="45"/>
      <c r="M99" s="45"/>
      <c r="N99" s="45"/>
      <c r="O99" s="45"/>
      <c r="P99" s="45"/>
      <c r="Q99" s="45"/>
    </row>
    <row r="100" spans="2:17">
      <c r="B100" s="190"/>
      <c r="C100" s="45"/>
      <c r="D100" s="45"/>
      <c r="E100" s="45"/>
      <c r="F100" s="45"/>
      <c r="G100" s="45"/>
      <c r="H100" s="45"/>
      <c r="I100" s="45"/>
      <c r="J100" s="45"/>
      <c r="K100" s="45"/>
      <c r="L100" s="45"/>
      <c r="M100" s="45"/>
      <c r="N100" s="45"/>
      <c r="O100" s="45"/>
      <c r="P100" s="45"/>
      <c r="Q100" s="45"/>
    </row>
    <row r="101" spans="2:17">
      <c r="C101" s="45"/>
      <c r="D101" s="45"/>
      <c r="E101" s="207"/>
      <c r="F101" s="45"/>
      <c r="G101" s="45"/>
      <c r="H101" s="45"/>
      <c r="I101" s="45"/>
      <c r="J101" s="45"/>
      <c r="K101" s="45"/>
      <c r="L101" s="45"/>
      <c r="M101" s="45"/>
      <c r="N101" s="45"/>
      <c r="O101" s="45"/>
      <c r="P101" s="45"/>
      <c r="Q101" s="45"/>
    </row>
    <row r="102" spans="2:17" ht="38.25" customHeight="1">
      <c r="B102" s="206"/>
      <c r="C102" s="45"/>
      <c r="D102" s="45"/>
      <c r="E102" s="45"/>
      <c r="F102" s="208"/>
      <c r="G102" s="208"/>
      <c r="H102" s="208"/>
      <c r="I102" s="531"/>
      <c r="J102" s="531"/>
      <c r="K102" s="531"/>
      <c r="L102" s="531"/>
      <c r="M102" s="531"/>
      <c r="N102" s="531"/>
      <c r="O102" s="531"/>
      <c r="P102" s="531"/>
      <c r="Q102" s="531"/>
    </row>
    <row r="103" spans="2:17">
      <c r="C103" s="45"/>
      <c r="D103" s="45"/>
      <c r="E103" s="207"/>
      <c r="F103" s="45"/>
      <c r="G103" s="45"/>
      <c r="H103" s="45"/>
      <c r="I103" s="45"/>
      <c r="J103" s="45"/>
      <c r="K103" s="45"/>
      <c r="L103" s="45"/>
      <c r="M103" s="45"/>
      <c r="N103" s="45"/>
      <c r="O103" s="45"/>
      <c r="P103" s="45"/>
      <c r="Q103" s="45"/>
    </row>
    <row r="104" spans="2:17" ht="37.5" customHeight="1">
      <c r="B104" s="206"/>
      <c r="C104" s="45"/>
      <c r="D104" s="45"/>
      <c r="E104" s="45"/>
      <c r="F104" s="208"/>
      <c r="G104" s="208"/>
      <c r="H104" s="208"/>
      <c r="I104" s="526"/>
      <c r="J104" s="526"/>
      <c r="K104" s="526"/>
      <c r="L104" s="526"/>
      <c r="M104" s="526"/>
      <c r="N104" s="526"/>
      <c r="O104" s="526"/>
      <c r="P104" s="526"/>
      <c r="Q104" s="526"/>
    </row>
    <row r="105" spans="2:17">
      <c r="B105" s="190"/>
      <c r="C105" s="45"/>
      <c r="D105" s="45"/>
      <c r="E105" s="45"/>
      <c r="F105" s="45"/>
      <c r="G105" s="45"/>
      <c r="H105" s="45"/>
      <c r="I105" s="45"/>
      <c r="J105" s="45"/>
      <c r="K105" s="45"/>
      <c r="L105" s="45"/>
      <c r="M105" s="45"/>
      <c r="N105" s="45"/>
      <c r="O105" s="45"/>
      <c r="P105" s="45"/>
      <c r="Q105" s="45"/>
    </row>
    <row r="106" spans="2:17" ht="37.5" customHeight="1">
      <c r="B106" s="190"/>
      <c r="C106" s="45"/>
      <c r="D106" s="45"/>
      <c r="E106" s="45"/>
      <c r="F106" s="526"/>
      <c r="G106" s="526"/>
      <c r="H106" s="526"/>
      <c r="I106" s="526"/>
      <c r="J106" s="526"/>
      <c r="K106" s="526"/>
      <c r="L106" s="526"/>
      <c r="M106" s="526"/>
      <c r="N106" s="526"/>
      <c r="O106" s="526"/>
      <c r="P106" s="526"/>
      <c r="Q106" s="526"/>
    </row>
    <row r="107" spans="2:17">
      <c r="B107" s="190"/>
      <c r="C107" s="45"/>
      <c r="D107" s="45"/>
      <c r="E107" s="45"/>
      <c r="F107" s="45"/>
      <c r="G107" s="45"/>
      <c r="H107" s="45"/>
      <c r="I107" s="45"/>
      <c r="J107" s="45"/>
      <c r="K107" s="45"/>
      <c r="L107" s="45"/>
      <c r="M107" s="45"/>
      <c r="N107" s="45"/>
      <c r="O107" s="45"/>
      <c r="P107" s="45"/>
      <c r="Q107" s="45"/>
    </row>
    <row r="108" spans="2:17" ht="38.25" customHeight="1">
      <c r="C108" s="45"/>
      <c r="D108" s="45"/>
      <c r="E108" s="45"/>
      <c r="F108" s="526"/>
      <c r="G108" s="526"/>
      <c r="H108" s="526"/>
      <c r="I108" s="526"/>
      <c r="J108" s="526"/>
      <c r="K108" s="526"/>
      <c r="L108" s="526"/>
      <c r="M108" s="526"/>
      <c r="N108" s="526"/>
      <c r="O108" s="526"/>
      <c r="P108" s="526"/>
      <c r="Q108" s="526"/>
    </row>
    <row r="109" spans="2:17">
      <c r="C109" s="45"/>
      <c r="D109" s="45"/>
      <c r="E109" s="45"/>
      <c r="F109" s="45"/>
      <c r="G109" s="45"/>
      <c r="H109" s="45"/>
      <c r="I109" s="45"/>
      <c r="J109" s="45"/>
      <c r="K109" s="45"/>
      <c r="L109" s="45"/>
      <c r="M109" s="45"/>
      <c r="N109" s="45"/>
      <c r="O109" s="45"/>
      <c r="P109" s="45"/>
      <c r="Q109" s="45"/>
    </row>
    <row r="110" spans="2:17">
      <c r="C110" s="45"/>
      <c r="D110" s="45"/>
      <c r="E110" s="45"/>
      <c r="F110" s="45"/>
      <c r="G110" s="45"/>
      <c r="H110" s="45"/>
      <c r="I110" s="45"/>
      <c r="J110" s="45"/>
      <c r="K110" s="45"/>
      <c r="L110" s="45"/>
      <c r="M110" s="45"/>
      <c r="N110" s="45"/>
      <c r="O110" s="45"/>
      <c r="P110" s="45"/>
      <c r="Q110" s="45"/>
    </row>
    <row r="422" spans="4:11">
      <c r="J422" s="34" t="s">
        <v>1060</v>
      </c>
    </row>
    <row r="423" spans="4:11" ht="15.6">
      <c r="J423" s="475" t="s">
        <v>489</v>
      </c>
      <c r="K423" s="476"/>
    </row>
    <row r="424" spans="4:11" ht="15.6">
      <c r="D424" t="s">
        <v>0</v>
      </c>
      <c r="J424" s="475" t="s">
        <v>490</v>
      </c>
      <c r="K424" s="476"/>
    </row>
    <row r="425" spans="4:11" ht="15.6">
      <c r="D425" t="s">
        <v>490</v>
      </c>
      <c r="J425" s="475" t="s">
        <v>492</v>
      </c>
      <c r="K425" s="476"/>
    </row>
    <row r="426" spans="4:11" ht="15.6">
      <c r="D426" t="s">
        <v>492</v>
      </c>
      <c r="J426" s="475" t="s">
        <v>491</v>
      </c>
      <c r="K426" s="476"/>
    </row>
    <row r="427" spans="4:11" ht="15.6">
      <c r="D427" t="s">
        <v>491</v>
      </c>
      <c r="J427" s="475" t="s">
        <v>1058</v>
      </c>
      <c r="K427" s="476"/>
    </row>
    <row r="428" spans="4:11" ht="15.6">
      <c r="D428" t="s">
        <v>1063</v>
      </c>
      <c r="J428" s="475" t="s">
        <v>493</v>
      </c>
      <c r="K428" s="476"/>
    </row>
    <row r="429" spans="4:11" ht="15.6">
      <c r="D429" t="s">
        <v>493</v>
      </c>
      <c r="J429" s="475" t="s">
        <v>495</v>
      </c>
      <c r="K429" s="476"/>
    </row>
    <row r="430" spans="4:11" ht="15.6">
      <c r="D430" t="s">
        <v>495</v>
      </c>
      <c r="J430" s="475" t="s">
        <v>497</v>
      </c>
      <c r="K430" s="476"/>
    </row>
    <row r="431" spans="4:11" ht="15.6">
      <c r="D431" t="s">
        <v>497</v>
      </c>
      <c r="J431" s="475" t="s">
        <v>496</v>
      </c>
      <c r="K431" s="476"/>
    </row>
    <row r="432" spans="4:11" ht="15.6">
      <c r="D432" t="s">
        <v>496</v>
      </c>
      <c r="J432" s="475" t="s">
        <v>1059</v>
      </c>
      <c r="K432" s="476"/>
    </row>
    <row r="433" spans="4:4">
      <c r="D433" t="s">
        <v>1059</v>
      </c>
    </row>
  </sheetData>
  <sheetProtection selectLockedCells="1"/>
  <dataConsolidate/>
  <mergeCells count="41">
    <mergeCell ref="F57:AH57"/>
    <mergeCell ref="F23:N23"/>
    <mergeCell ref="C12:N12"/>
    <mergeCell ref="F15:N15"/>
    <mergeCell ref="F17:N17"/>
    <mergeCell ref="F19:N19"/>
    <mergeCell ref="F21:N21"/>
    <mergeCell ref="C46:N46"/>
    <mergeCell ref="F53:N53"/>
    <mergeCell ref="F49:AH49"/>
    <mergeCell ref="F51:AH51"/>
    <mergeCell ref="F55:AH55"/>
    <mergeCell ref="F108:Q108"/>
    <mergeCell ref="B3:L3"/>
    <mergeCell ref="D2:L2"/>
    <mergeCell ref="F99:H99"/>
    <mergeCell ref="I99:J99"/>
    <mergeCell ref="I102:Q102"/>
    <mergeCell ref="I104:Q104"/>
    <mergeCell ref="F106:Q106"/>
    <mergeCell ref="C78:N78"/>
    <mergeCell ref="C67:N67"/>
    <mergeCell ref="C28:N28"/>
    <mergeCell ref="F31:N31"/>
    <mergeCell ref="C33:N33"/>
    <mergeCell ref="F37:N37"/>
    <mergeCell ref="F39:N39"/>
    <mergeCell ref="F41:N41"/>
    <mergeCell ref="F59:AH59"/>
    <mergeCell ref="F61:AH61"/>
    <mergeCell ref="F70:AH70"/>
    <mergeCell ref="F63:AH63"/>
    <mergeCell ref="F72:AH72"/>
    <mergeCell ref="F87:AH87"/>
    <mergeCell ref="E89:K89"/>
    <mergeCell ref="E90:K90"/>
    <mergeCell ref="F74:AH74"/>
    <mergeCell ref="F81:AH81"/>
    <mergeCell ref="F83:AH83"/>
    <mergeCell ref="F85:AH85"/>
    <mergeCell ref="F76:AH76"/>
  </mergeCells>
  <dataValidations count="1">
    <dataValidation type="list" allowBlank="1" showInputMessage="1" showErrorMessage="1" sqref="F53:N53">
      <formula1>dropdown</formula1>
    </dataValidation>
  </dataValidations>
  <hyperlinks>
    <hyperlink ref="E89:K89" location="'Section E'!A1" display="Next"/>
  </hyperlinks>
  <pageMargins left="0.45" right="0.38645833333333302" top="0.75" bottom="0.75" header="0.3" footer="0.3"/>
  <pageSetup scale="79" fitToHeight="0" orientation="portrait" r:id="rId1"/>
  <headerFooter>
    <oddFooter>&amp;L&amp;A&amp;CFY 2012 CSBG IS FORMS&amp;RPAGE &amp;P OF &amp;N</oddFooter>
  </headerFooter>
  <rowBreaks count="1" manualBreakCount="1">
    <brk id="43" max="14"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J56"/>
  <sheetViews>
    <sheetView showGridLines="0" topLeftCell="B1" zoomScaleNormal="100" zoomScaleSheetLayoutView="100" workbookViewId="0">
      <selection activeCell="J7" sqref="J7"/>
    </sheetView>
  </sheetViews>
  <sheetFormatPr defaultColWidth="8.88671875" defaultRowHeight="13.2"/>
  <cols>
    <col min="1" max="1" width="16.33203125" style="209" hidden="1" customWidth="1"/>
    <col min="2" max="2" width="18" style="209" customWidth="1"/>
    <col min="3" max="3" width="9.6640625" style="209" customWidth="1"/>
    <col min="4" max="4" width="6.44140625" style="209" customWidth="1"/>
    <col min="5" max="8" width="10.6640625" style="209" customWidth="1"/>
    <col min="9" max="9" width="9.6640625" style="209" customWidth="1"/>
    <col min="10" max="10" width="13.5546875" style="209" customWidth="1"/>
    <col min="11" max="16384" width="8.88671875" style="209"/>
  </cols>
  <sheetData>
    <row r="2" spans="1:10" ht="17.399999999999999">
      <c r="B2" s="573" t="s">
        <v>574</v>
      </c>
      <c r="C2" s="573"/>
      <c r="D2" s="573"/>
      <c r="E2" s="573"/>
      <c r="F2" s="573"/>
      <c r="G2" s="573"/>
      <c r="H2" s="573"/>
      <c r="I2" s="573"/>
    </row>
    <row r="3" spans="1:10" ht="12.75" customHeight="1">
      <c r="A3" s="226"/>
      <c r="B3" s="226"/>
      <c r="C3" s="226"/>
      <c r="D3" s="226"/>
      <c r="E3" s="226"/>
      <c r="F3" s="226"/>
      <c r="G3" s="226"/>
      <c r="H3" s="226"/>
      <c r="I3" s="226"/>
      <c r="J3" s="217"/>
    </row>
    <row r="4" spans="1:10" ht="18" customHeight="1">
      <c r="B4" s="225" t="s">
        <v>573</v>
      </c>
      <c r="C4" s="575">
        <f>CoverSheet!D6</f>
        <v>0</v>
      </c>
      <c r="D4" s="576"/>
      <c r="E4" s="576"/>
      <c r="F4" s="576"/>
      <c r="G4" s="576"/>
      <c r="H4" s="576"/>
      <c r="I4" s="577"/>
      <c r="J4" s="217"/>
    </row>
    <row r="5" spans="1:10">
      <c r="A5" s="217"/>
      <c r="I5" s="217"/>
      <c r="J5" s="217"/>
    </row>
    <row r="6" spans="1:10">
      <c r="A6" s="578" t="s">
        <v>84</v>
      </c>
      <c r="B6" s="578"/>
      <c r="C6" s="578"/>
      <c r="D6" s="578"/>
      <c r="E6" s="578"/>
      <c r="F6" s="578"/>
      <c r="G6" s="578"/>
      <c r="H6" s="578"/>
      <c r="I6" s="217"/>
      <c r="J6" s="217"/>
    </row>
    <row r="7" spans="1:10">
      <c r="B7" s="225" t="s">
        <v>1077</v>
      </c>
      <c r="C7" s="225"/>
      <c r="D7" s="225"/>
      <c r="E7" s="225"/>
      <c r="F7" s="225"/>
      <c r="G7" s="225"/>
      <c r="H7" s="225"/>
      <c r="I7" s="225"/>
      <c r="J7" s="225"/>
    </row>
    <row r="8" spans="1:10">
      <c r="A8" s="217"/>
      <c r="B8" s="217"/>
      <c r="C8" s="217"/>
      <c r="D8" s="217"/>
      <c r="E8" s="217"/>
      <c r="F8" s="217"/>
      <c r="G8" s="217"/>
      <c r="H8" s="217"/>
      <c r="I8" s="217"/>
      <c r="J8" s="217"/>
    </row>
    <row r="9" spans="1:10" ht="12.75" customHeight="1">
      <c r="A9" s="217"/>
      <c r="B9" s="551" t="s">
        <v>572</v>
      </c>
      <c r="C9" s="552"/>
      <c r="D9" s="553"/>
      <c r="E9" s="551" t="s">
        <v>556</v>
      </c>
      <c r="F9" s="553"/>
      <c r="G9" s="566"/>
      <c r="H9" s="566"/>
      <c r="I9" s="217"/>
      <c r="J9" s="217"/>
    </row>
    <row r="10" spans="1:10">
      <c r="A10" s="217"/>
      <c r="B10" s="554"/>
      <c r="C10" s="555"/>
      <c r="D10" s="556"/>
      <c r="E10" s="554"/>
      <c r="F10" s="556"/>
      <c r="G10" s="566"/>
      <c r="H10" s="566"/>
      <c r="I10" s="217"/>
      <c r="J10" s="217"/>
    </row>
    <row r="11" spans="1:10">
      <c r="A11" s="217"/>
      <c r="B11" s="554"/>
      <c r="C11" s="555"/>
      <c r="D11" s="556"/>
      <c r="E11" s="554"/>
      <c r="F11" s="556"/>
      <c r="G11" s="566"/>
      <c r="H11" s="566"/>
      <c r="I11" s="217"/>
      <c r="J11" s="217"/>
    </row>
    <row r="12" spans="1:10" ht="12.75" customHeight="1">
      <c r="A12" s="217"/>
      <c r="B12" s="557"/>
      <c r="C12" s="558"/>
      <c r="D12" s="559"/>
      <c r="E12" s="557"/>
      <c r="F12" s="559"/>
      <c r="G12" s="566"/>
      <c r="H12" s="566"/>
      <c r="I12" s="217"/>
      <c r="J12" s="217"/>
    </row>
    <row r="13" spans="1:10" ht="12.75" customHeight="1">
      <c r="A13" s="126" t="s">
        <v>880</v>
      </c>
      <c r="B13" s="224" t="s">
        <v>571</v>
      </c>
      <c r="C13" s="223"/>
      <c r="D13" s="222"/>
      <c r="E13" s="572"/>
      <c r="F13" s="572"/>
      <c r="G13" s="540"/>
      <c r="H13" s="540"/>
      <c r="I13" s="217"/>
      <c r="J13" s="217"/>
    </row>
    <row r="14" spans="1:10">
      <c r="A14" s="217"/>
      <c r="B14" s="221"/>
      <c r="C14" s="220"/>
      <c r="D14" s="219"/>
      <c r="E14" s="572"/>
      <c r="F14" s="572"/>
      <c r="G14" s="540"/>
      <c r="H14" s="540"/>
      <c r="I14" s="217"/>
      <c r="J14" s="217"/>
    </row>
    <row r="15" spans="1:10" ht="12.75" customHeight="1">
      <c r="A15" s="126" t="s">
        <v>881</v>
      </c>
      <c r="B15" s="224" t="s">
        <v>570</v>
      </c>
      <c r="C15" s="223"/>
      <c r="D15" s="222"/>
      <c r="E15" s="572"/>
      <c r="F15" s="572"/>
      <c r="G15" s="540"/>
      <c r="H15" s="540"/>
      <c r="I15" s="217"/>
      <c r="J15" s="217"/>
    </row>
    <row r="16" spans="1:10">
      <c r="A16" s="217"/>
      <c r="B16" s="221"/>
      <c r="C16" s="220"/>
      <c r="D16" s="219"/>
      <c r="E16" s="572"/>
      <c r="F16" s="572"/>
      <c r="G16" s="540"/>
      <c r="H16" s="540"/>
      <c r="I16" s="217"/>
      <c r="J16" s="217"/>
    </row>
    <row r="17" spans="1:10" ht="12.75" customHeight="1">
      <c r="A17" s="126" t="s">
        <v>882</v>
      </c>
      <c r="B17" s="224" t="s">
        <v>569</v>
      </c>
      <c r="C17" s="223"/>
      <c r="D17" s="222"/>
      <c r="E17" s="572"/>
      <c r="F17" s="572"/>
      <c r="G17" s="540"/>
      <c r="H17" s="540"/>
      <c r="I17" s="217"/>
      <c r="J17" s="217"/>
    </row>
    <row r="18" spans="1:10">
      <c r="A18" s="217"/>
      <c r="B18" s="221"/>
      <c r="C18" s="220"/>
      <c r="D18" s="219"/>
      <c r="E18" s="572"/>
      <c r="F18" s="572"/>
      <c r="G18" s="540"/>
      <c r="H18" s="540"/>
      <c r="I18" s="217"/>
      <c r="J18" s="217"/>
    </row>
    <row r="19" spans="1:10" ht="12.75" customHeight="1">
      <c r="A19" s="126" t="s">
        <v>883</v>
      </c>
      <c r="B19" s="224" t="s">
        <v>568</v>
      </c>
      <c r="C19" s="223"/>
      <c r="D19" s="222"/>
      <c r="E19" s="572"/>
      <c r="F19" s="572"/>
      <c r="G19" s="540"/>
      <c r="H19" s="540"/>
      <c r="I19" s="217"/>
      <c r="J19" s="217"/>
    </row>
    <row r="20" spans="1:10">
      <c r="A20" s="217"/>
      <c r="B20" s="221"/>
      <c r="C20" s="220"/>
      <c r="D20" s="219"/>
      <c r="E20" s="572"/>
      <c r="F20" s="572"/>
      <c r="G20" s="540"/>
      <c r="H20" s="540"/>
      <c r="I20" s="217"/>
      <c r="J20" s="217"/>
    </row>
    <row r="21" spans="1:10" ht="12.75" customHeight="1">
      <c r="A21" s="126" t="s">
        <v>884</v>
      </c>
      <c r="B21" s="224" t="s">
        <v>567</v>
      </c>
      <c r="C21" s="223"/>
      <c r="D21" s="222"/>
      <c r="E21" s="572"/>
      <c r="F21" s="572"/>
      <c r="G21" s="540"/>
      <c r="H21" s="540"/>
      <c r="I21" s="217"/>
      <c r="J21" s="217"/>
    </row>
    <row r="22" spans="1:10">
      <c r="A22" s="217"/>
      <c r="B22" s="221"/>
      <c r="C22" s="220"/>
      <c r="D22" s="219"/>
      <c r="E22" s="572"/>
      <c r="F22" s="572"/>
      <c r="G22" s="540"/>
      <c r="H22" s="540"/>
      <c r="I22" s="217"/>
      <c r="J22" s="217"/>
    </row>
    <row r="23" spans="1:10" ht="12.75" customHeight="1">
      <c r="A23" s="126" t="s">
        <v>885</v>
      </c>
      <c r="B23" s="224" t="s">
        <v>566</v>
      </c>
      <c r="C23" s="223"/>
      <c r="D23" s="222"/>
      <c r="E23" s="572"/>
      <c r="F23" s="572"/>
      <c r="G23" s="540"/>
      <c r="H23" s="540"/>
      <c r="I23" s="217"/>
      <c r="J23" s="217"/>
    </row>
    <row r="24" spans="1:10">
      <c r="A24" s="217"/>
      <c r="B24" s="221"/>
      <c r="C24" s="220"/>
      <c r="D24" s="219"/>
      <c r="E24" s="572"/>
      <c r="F24" s="572"/>
      <c r="G24" s="540"/>
      <c r="H24" s="540"/>
      <c r="I24" s="217"/>
      <c r="J24" s="217"/>
    </row>
    <row r="25" spans="1:10" ht="12.75" customHeight="1">
      <c r="A25" s="126" t="s">
        <v>886</v>
      </c>
      <c r="B25" s="224" t="s">
        <v>565</v>
      </c>
      <c r="C25" s="223"/>
      <c r="D25" s="222"/>
      <c r="E25" s="572"/>
      <c r="F25" s="572"/>
      <c r="G25" s="540"/>
      <c r="H25" s="540"/>
      <c r="I25" s="217"/>
      <c r="J25" s="217"/>
    </row>
    <row r="26" spans="1:10">
      <c r="A26" s="217"/>
      <c r="B26" s="221"/>
      <c r="C26" s="220"/>
      <c r="D26" s="219"/>
      <c r="E26" s="572"/>
      <c r="F26" s="572"/>
      <c r="G26" s="540"/>
      <c r="H26" s="540"/>
      <c r="I26" s="217"/>
      <c r="J26" s="217"/>
    </row>
    <row r="27" spans="1:10" ht="12.75" customHeight="1">
      <c r="A27" s="126" t="s">
        <v>887</v>
      </c>
      <c r="B27" s="224" t="s">
        <v>564</v>
      </c>
      <c r="C27" s="223"/>
      <c r="D27" s="222"/>
      <c r="E27" s="572"/>
      <c r="F27" s="572"/>
      <c r="G27" s="540"/>
      <c r="H27" s="540"/>
      <c r="I27" s="217"/>
      <c r="J27" s="217"/>
    </row>
    <row r="28" spans="1:10">
      <c r="A28" s="217"/>
      <c r="B28" s="221"/>
      <c r="C28" s="220"/>
      <c r="D28" s="219"/>
      <c r="E28" s="572"/>
      <c r="F28" s="572"/>
      <c r="G28" s="540"/>
      <c r="H28" s="540"/>
      <c r="I28" s="217"/>
      <c r="J28" s="217"/>
    </row>
    <row r="29" spans="1:10">
      <c r="A29" s="126" t="s">
        <v>888</v>
      </c>
      <c r="B29" s="224" t="s">
        <v>563</v>
      </c>
      <c r="C29" s="223"/>
      <c r="D29" s="222"/>
      <c r="E29" s="572"/>
      <c r="F29" s="572"/>
      <c r="G29" s="540"/>
      <c r="H29" s="540"/>
      <c r="I29" s="217"/>
      <c r="J29" s="217"/>
    </row>
    <row r="30" spans="1:10">
      <c r="A30" s="217"/>
      <c r="B30" s="221"/>
      <c r="C30" s="220"/>
      <c r="D30" s="219"/>
      <c r="E30" s="572"/>
      <c r="F30" s="572"/>
      <c r="G30" s="540"/>
      <c r="H30" s="540"/>
      <c r="I30" s="217"/>
      <c r="J30" s="217"/>
    </row>
    <row r="31" spans="1:10">
      <c r="A31" s="126" t="s">
        <v>889</v>
      </c>
      <c r="B31" s="224" t="s">
        <v>562</v>
      </c>
      <c r="C31" s="223"/>
      <c r="D31" s="222"/>
      <c r="E31" s="572"/>
      <c r="F31" s="572"/>
      <c r="G31" s="540"/>
      <c r="H31" s="540"/>
      <c r="I31" s="217"/>
      <c r="J31" s="217"/>
    </row>
    <row r="32" spans="1:10">
      <c r="A32" s="217"/>
      <c r="B32" s="221"/>
      <c r="C32" s="220"/>
      <c r="D32" s="219"/>
      <c r="E32" s="572"/>
      <c r="F32" s="572"/>
      <c r="G32" s="540"/>
      <c r="H32" s="540"/>
      <c r="I32" s="217"/>
      <c r="J32" s="217"/>
    </row>
    <row r="33" spans="1:10">
      <c r="A33" s="217"/>
      <c r="B33" s="571" t="s">
        <v>561</v>
      </c>
      <c r="C33" s="571"/>
      <c r="D33" s="571"/>
      <c r="E33" s="569">
        <f>SUM(E13:F32)</f>
        <v>0</v>
      </c>
      <c r="F33" s="569"/>
      <c r="G33" s="570"/>
      <c r="H33" s="570"/>
      <c r="I33" s="217"/>
      <c r="J33" s="217"/>
    </row>
    <row r="34" spans="1:10">
      <c r="A34" s="217"/>
      <c r="B34" s="571"/>
      <c r="C34" s="571"/>
      <c r="D34" s="571"/>
      <c r="E34" s="569"/>
      <c r="F34" s="569"/>
      <c r="G34" s="570"/>
      <c r="H34" s="570"/>
      <c r="I34" s="217"/>
      <c r="J34" s="217"/>
    </row>
    <row r="35" spans="1:10">
      <c r="A35" s="217"/>
      <c r="B35" s="217"/>
      <c r="C35" s="217"/>
      <c r="D35" s="217"/>
      <c r="E35" s="217"/>
      <c r="F35" s="217"/>
      <c r="G35" s="218"/>
      <c r="H35" s="218"/>
      <c r="I35" s="217"/>
      <c r="J35" s="217"/>
    </row>
    <row r="36" spans="1:10">
      <c r="A36" s="217"/>
      <c r="B36" s="217"/>
      <c r="C36" s="217"/>
      <c r="D36" s="217"/>
      <c r="E36" s="217"/>
      <c r="F36" s="217"/>
      <c r="G36" s="218"/>
      <c r="H36" s="218"/>
      <c r="I36" s="217"/>
      <c r="J36" s="217"/>
    </row>
    <row r="37" spans="1:10">
      <c r="B37" s="216"/>
      <c r="D37" s="216" t="s">
        <v>560</v>
      </c>
      <c r="E37" s="567"/>
      <c r="F37" s="568"/>
      <c r="G37" s="214" t="s">
        <v>559</v>
      </c>
      <c r="H37" s="215"/>
      <c r="J37" s="214"/>
    </row>
    <row r="39" spans="1:10">
      <c r="B39" s="212" t="s">
        <v>558</v>
      </c>
      <c r="C39" s="212"/>
      <c r="D39" s="212"/>
      <c r="E39" s="212"/>
      <c r="F39" s="212"/>
      <c r="G39" s="212"/>
      <c r="H39" s="212"/>
      <c r="I39" s="212"/>
    </row>
    <row r="40" spans="1:10">
      <c r="B40" s="213"/>
      <c r="C40" s="213"/>
      <c r="D40" s="213"/>
      <c r="E40" s="213"/>
      <c r="F40" s="213"/>
      <c r="G40" s="213"/>
      <c r="H40" s="213"/>
      <c r="I40" s="212"/>
    </row>
    <row r="43" spans="1:10" ht="12.75" customHeight="1">
      <c r="B43" s="574" t="s">
        <v>1076</v>
      </c>
      <c r="C43" s="574"/>
      <c r="D43" s="574"/>
      <c r="E43" s="574"/>
      <c r="F43" s="574"/>
      <c r="G43" s="574"/>
      <c r="H43" s="574"/>
      <c r="I43" s="574"/>
      <c r="J43" s="574"/>
    </row>
    <row r="44" spans="1:10" ht="13.5" customHeight="1">
      <c r="A44" s="211"/>
      <c r="B44" s="211"/>
      <c r="C44" s="211"/>
      <c r="D44" s="211"/>
      <c r="E44" s="211"/>
      <c r="F44" s="211"/>
      <c r="G44" s="211"/>
      <c r="H44" s="211"/>
      <c r="I44" s="210"/>
    </row>
    <row r="45" spans="1:10" ht="12.75" customHeight="1">
      <c r="B45" s="551" t="s">
        <v>557</v>
      </c>
      <c r="C45" s="552"/>
      <c r="D45" s="553"/>
      <c r="E45" s="560" t="s">
        <v>556</v>
      </c>
      <c r="F45" s="561"/>
      <c r="G45" s="566"/>
      <c r="H45" s="566"/>
    </row>
    <row r="46" spans="1:10">
      <c r="B46" s="554"/>
      <c r="C46" s="555"/>
      <c r="D46" s="556"/>
      <c r="E46" s="562"/>
      <c r="F46" s="563"/>
      <c r="G46" s="566"/>
      <c r="H46" s="566"/>
    </row>
    <row r="47" spans="1:10">
      <c r="B47" s="554"/>
      <c r="C47" s="555"/>
      <c r="D47" s="556"/>
      <c r="E47" s="562"/>
      <c r="F47" s="563"/>
      <c r="G47" s="566"/>
      <c r="H47" s="566"/>
    </row>
    <row r="48" spans="1:10">
      <c r="B48" s="557"/>
      <c r="C48" s="558"/>
      <c r="D48" s="559"/>
      <c r="E48" s="564"/>
      <c r="F48" s="565"/>
      <c r="G48" s="566"/>
      <c r="H48" s="566"/>
    </row>
    <row r="49" spans="1:8" ht="12.75" customHeight="1">
      <c r="A49" s="126" t="s">
        <v>890</v>
      </c>
      <c r="B49" s="548" t="s">
        <v>555</v>
      </c>
      <c r="C49" s="549"/>
      <c r="D49" s="550"/>
      <c r="E49" s="544"/>
      <c r="F49" s="545"/>
      <c r="G49" s="540"/>
      <c r="H49" s="540"/>
    </row>
    <row r="50" spans="1:8">
      <c r="B50" s="541" t="s">
        <v>554</v>
      </c>
      <c r="C50" s="542"/>
      <c r="D50" s="543"/>
      <c r="E50" s="546"/>
      <c r="F50" s="547"/>
      <c r="G50" s="540"/>
      <c r="H50" s="540"/>
    </row>
    <row r="51" spans="1:8" ht="12.75" customHeight="1">
      <c r="A51" s="126" t="s">
        <v>891</v>
      </c>
      <c r="B51" s="548" t="s">
        <v>553</v>
      </c>
      <c r="C51" s="549"/>
      <c r="D51" s="550"/>
      <c r="E51" s="544"/>
      <c r="F51" s="545"/>
      <c r="G51" s="540"/>
      <c r="H51" s="540"/>
    </row>
    <row r="52" spans="1:8">
      <c r="B52" s="541" t="s">
        <v>552</v>
      </c>
      <c r="C52" s="542"/>
      <c r="D52" s="543"/>
      <c r="E52" s="546"/>
      <c r="F52" s="547"/>
      <c r="G52" s="540"/>
      <c r="H52" s="540"/>
    </row>
    <row r="56" spans="1:8" ht="22.8">
      <c r="C56" s="484" t="s">
        <v>1051</v>
      </c>
      <c r="D56" s="484"/>
      <c r="E56" s="484"/>
      <c r="F56" s="484"/>
      <c r="G56" s="484"/>
    </row>
  </sheetData>
  <mergeCells count="43">
    <mergeCell ref="B2:I2"/>
    <mergeCell ref="B43:J43"/>
    <mergeCell ref="C4:I4"/>
    <mergeCell ref="E21:F22"/>
    <mergeCell ref="E9:F12"/>
    <mergeCell ref="E13:F14"/>
    <mergeCell ref="G9:H12"/>
    <mergeCell ref="B9:D12"/>
    <mergeCell ref="A6:H6"/>
    <mergeCell ref="E31:F32"/>
    <mergeCell ref="G13:H14"/>
    <mergeCell ref="G15:H16"/>
    <mergeCell ref="G31:H32"/>
    <mergeCell ref="E19:F20"/>
    <mergeCell ref="E29:F30"/>
    <mergeCell ref="E15:F16"/>
    <mergeCell ref="G29:H30"/>
    <mergeCell ref="E25:F26"/>
    <mergeCell ref="G23:H24"/>
    <mergeCell ref="G25:H26"/>
    <mergeCell ref="G27:H28"/>
    <mergeCell ref="G21:H22"/>
    <mergeCell ref="E17:F18"/>
    <mergeCell ref="E27:F28"/>
    <mergeCell ref="E23:F24"/>
    <mergeCell ref="G17:H18"/>
    <mergeCell ref="G19:H20"/>
    <mergeCell ref="B45:D48"/>
    <mergeCell ref="E45:F48"/>
    <mergeCell ref="G45:H48"/>
    <mergeCell ref="E37:F37"/>
    <mergeCell ref="E33:F34"/>
    <mergeCell ref="G33:H34"/>
    <mergeCell ref="B33:D34"/>
    <mergeCell ref="C56:G56"/>
    <mergeCell ref="G51:H52"/>
    <mergeCell ref="B50:D50"/>
    <mergeCell ref="E49:F50"/>
    <mergeCell ref="E51:F52"/>
    <mergeCell ref="B51:D51"/>
    <mergeCell ref="B52:D52"/>
    <mergeCell ref="B49:D49"/>
    <mergeCell ref="G49:H50"/>
  </mergeCells>
  <hyperlinks>
    <hyperlink ref="C56:G56" location="'Section F'!A1" display="Next"/>
  </hyperlinks>
  <pageMargins left="0.51" right="0.25" top="1" bottom="0.73" header="0.5" footer="0.17"/>
  <pageSetup scale="96" orientation="portrait" r:id="rId1"/>
  <headerFooter alignWithMargins="0">
    <oddFooter>&amp;L&amp;A&amp;CFY 2012 CSBG IS FORMS&amp;RPAGE &amp;P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52"/>
  <sheetViews>
    <sheetView showGridLines="0" topLeftCell="B1" zoomScaleNormal="100" workbookViewId="0">
      <selection activeCell="J1" sqref="J1"/>
    </sheetView>
  </sheetViews>
  <sheetFormatPr defaultColWidth="9.109375" defaultRowHeight="13.2"/>
  <cols>
    <col min="1" max="1" width="13.44140625" style="227" hidden="1" customWidth="1"/>
    <col min="2" max="2" width="4.44140625" style="227" customWidth="1"/>
    <col min="3" max="3" width="13.88671875" style="227" customWidth="1"/>
    <col min="4" max="5" width="9.109375" style="227"/>
    <col min="6" max="6" width="7" style="227" customWidth="1"/>
    <col min="7" max="7" width="9.109375" style="227" customWidth="1"/>
    <col min="8" max="8" width="14.88671875" style="227" customWidth="1"/>
    <col min="9" max="9" width="6.44140625" style="276" customWidth="1"/>
    <col min="10" max="10" width="14.6640625" style="227" customWidth="1"/>
    <col min="11" max="11" width="2.6640625" style="227" customWidth="1"/>
    <col min="12" max="12" width="16.44140625" style="227" hidden="1" customWidth="1"/>
    <col min="13" max="13" width="5" style="227" customWidth="1"/>
    <col min="14" max="16384" width="9.109375" style="227"/>
  </cols>
  <sheetData>
    <row r="2" spans="1:15">
      <c r="I2" s="227"/>
    </row>
    <row r="3" spans="1:15" ht="17.399999999999999">
      <c r="C3" s="596" t="s">
        <v>575</v>
      </c>
      <c r="D3" s="596"/>
      <c r="E3" s="596"/>
      <c r="F3" s="596"/>
      <c r="G3" s="596"/>
      <c r="H3" s="596"/>
      <c r="I3" s="596"/>
      <c r="J3" s="596"/>
      <c r="K3" s="596"/>
      <c r="L3" s="596"/>
      <c r="M3" s="596"/>
    </row>
    <row r="4" spans="1:15" ht="12" customHeight="1">
      <c r="B4" s="228"/>
      <c r="C4" s="229"/>
      <c r="D4" s="230"/>
      <c r="E4" s="230"/>
      <c r="F4" s="228"/>
      <c r="G4" s="228"/>
      <c r="H4" s="228"/>
      <c r="I4" s="228"/>
      <c r="L4" s="231"/>
    </row>
    <row r="5" spans="1:15" ht="20.100000000000001" customHeight="1">
      <c r="A5" s="126" t="s">
        <v>879</v>
      </c>
      <c r="B5" s="232" t="s">
        <v>576</v>
      </c>
      <c r="C5" s="233" t="s">
        <v>577</v>
      </c>
      <c r="D5" s="230"/>
      <c r="E5" s="230"/>
      <c r="F5" s="228"/>
      <c r="G5" s="234"/>
      <c r="H5" s="235">
        <v>1</v>
      </c>
      <c r="I5" s="600">
        <f>CoverSheet!D6</f>
        <v>0</v>
      </c>
      <c r="J5" s="601"/>
      <c r="K5" s="601"/>
      <c r="L5" s="601"/>
      <c r="M5" s="601"/>
      <c r="N5" s="601"/>
      <c r="O5" s="602"/>
    </row>
    <row r="6" spans="1:15" ht="7.5" customHeight="1">
      <c r="B6" s="236"/>
      <c r="C6" s="233"/>
      <c r="D6" s="230"/>
      <c r="E6" s="230"/>
      <c r="F6" s="228"/>
      <c r="G6" s="234"/>
      <c r="H6" s="234"/>
      <c r="I6" s="237"/>
      <c r="J6" s="238"/>
      <c r="K6" s="238"/>
      <c r="L6" s="238"/>
    </row>
    <row r="7" spans="1:15" ht="15" customHeight="1">
      <c r="B7" s="239"/>
      <c r="C7" s="229"/>
      <c r="D7" s="230"/>
      <c r="E7" s="230"/>
      <c r="F7" s="228"/>
      <c r="G7" s="234"/>
      <c r="H7" s="234"/>
      <c r="I7" s="240"/>
      <c r="J7" s="218"/>
      <c r="K7" s="218"/>
      <c r="L7" s="241" t="s">
        <v>578</v>
      </c>
    </row>
    <row r="8" spans="1:15" ht="18" customHeight="1">
      <c r="A8" s="126" t="s">
        <v>892</v>
      </c>
      <c r="B8" s="232" t="s">
        <v>579</v>
      </c>
      <c r="C8" s="233" t="s">
        <v>1078</v>
      </c>
      <c r="D8" s="230"/>
      <c r="E8" s="230"/>
      <c r="F8" s="228"/>
      <c r="G8" s="228"/>
      <c r="H8" s="228"/>
      <c r="I8" s="242">
        <v>2</v>
      </c>
      <c r="J8" s="243"/>
      <c r="K8" s="244"/>
      <c r="L8" s="245"/>
    </row>
    <row r="9" spans="1:15" ht="19.5" customHeight="1">
      <c r="B9" s="234"/>
      <c r="C9" s="229"/>
      <c r="D9" s="230"/>
      <c r="E9" s="230"/>
      <c r="F9" s="228"/>
      <c r="G9" s="228"/>
      <c r="H9" s="228"/>
      <c r="I9" s="246"/>
    </row>
    <row r="10" spans="1:15" ht="15" customHeight="1">
      <c r="B10" s="236"/>
      <c r="C10" s="247" t="s">
        <v>580</v>
      </c>
      <c r="D10" s="248"/>
      <c r="E10" s="248"/>
      <c r="I10" s="246"/>
      <c r="J10" s="231"/>
      <c r="K10" s="231"/>
    </row>
    <row r="11" spans="1:15" ht="12.75" customHeight="1">
      <c r="A11" s="126" t="s">
        <v>893</v>
      </c>
      <c r="B11" s="232" t="s">
        <v>581</v>
      </c>
      <c r="C11" s="249" t="s">
        <v>582</v>
      </c>
      <c r="I11" s="250" t="s">
        <v>581</v>
      </c>
      <c r="J11" s="251"/>
      <c r="K11" s="252"/>
      <c r="L11" s="253"/>
    </row>
    <row r="12" spans="1:15" ht="12.75" customHeight="1">
      <c r="B12" s="232" t="s">
        <v>583</v>
      </c>
      <c r="C12" s="249" t="s">
        <v>584</v>
      </c>
      <c r="I12" s="250"/>
      <c r="J12" s="254"/>
      <c r="K12" s="252"/>
      <c r="L12" s="255"/>
    </row>
    <row r="13" spans="1:15" ht="12.75" customHeight="1">
      <c r="A13" s="126" t="s">
        <v>897</v>
      </c>
      <c r="C13" s="256" t="s">
        <v>585</v>
      </c>
      <c r="I13" s="242" t="s">
        <v>586</v>
      </c>
      <c r="J13" s="251"/>
      <c r="K13" s="252"/>
      <c r="L13" s="253"/>
    </row>
    <row r="14" spans="1:15" ht="12.75" customHeight="1">
      <c r="A14" s="126" t="s">
        <v>898</v>
      </c>
      <c r="C14" s="256" t="s">
        <v>587</v>
      </c>
      <c r="I14" s="250" t="s">
        <v>588</v>
      </c>
      <c r="J14" s="251"/>
      <c r="K14" s="252"/>
      <c r="L14" s="253"/>
    </row>
    <row r="15" spans="1:15" ht="12.75" customHeight="1">
      <c r="A15" s="126" t="s">
        <v>899</v>
      </c>
      <c r="C15" s="256" t="s">
        <v>589</v>
      </c>
      <c r="I15" s="242" t="s">
        <v>590</v>
      </c>
      <c r="J15" s="251"/>
      <c r="K15" s="252"/>
      <c r="L15" s="253"/>
    </row>
    <row r="16" spans="1:15" ht="12.75" customHeight="1">
      <c r="A16" s="126" t="s">
        <v>900</v>
      </c>
      <c r="C16" s="256" t="s">
        <v>591</v>
      </c>
      <c r="I16" s="250" t="s">
        <v>592</v>
      </c>
      <c r="J16" s="251"/>
      <c r="K16" s="252"/>
      <c r="L16" s="253"/>
    </row>
    <row r="17" spans="1:12" ht="12.75" customHeight="1">
      <c r="A17" s="126" t="s">
        <v>901</v>
      </c>
      <c r="C17" s="256" t="s">
        <v>593</v>
      </c>
      <c r="I17" s="242" t="s">
        <v>594</v>
      </c>
      <c r="J17" s="251"/>
      <c r="K17" s="252"/>
      <c r="L17" s="253"/>
    </row>
    <row r="18" spans="1:12" ht="12.75" customHeight="1">
      <c r="A18" s="126" t="s">
        <v>902</v>
      </c>
      <c r="C18" s="256" t="s">
        <v>595</v>
      </c>
      <c r="I18" s="250" t="s">
        <v>596</v>
      </c>
      <c r="J18" s="251"/>
      <c r="K18" s="252"/>
      <c r="L18" s="253"/>
    </row>
    <row r="19" spans="1:12" ht="12.75" customHeight="1">
      <c r="A19" s="126" t="s">
        <v>903</v>
      </c>
      <c r="C19" s="256" t="s">
        <v>597</v>
      </c>
      <c r="I19" s="242" t="s">
        <v>598</v>
      </c>
      <c r="J19" s="251"/>
      <c r="K19" s="252"/>
      <c r="L19" s="253"/>
    </row>
    <row r="20" spans="1:12" ht="12.75" customHeight="1">
      <c r="A20" s="126" t="s">
        <v>904</v>
      </c>
      <c r="C20" s="256" t="s">
        <v>599</v>
      </c>
      <c r="I20" s="242" t="s">
        <v>600</v>
      </c>
      <c r="J20" s="251"/>
      <c r="K20" s="252"/>
      <c r="L20" s="253"/>
    </row>
    <row r="21" spans="1:12" ht="12.75" customHeight="1">
      <c r="A21" s="126" t="s">
        <v>905</v>
      </c>
      <c r="C21" s="256" t="s">
        <v>601</v>
      </c>
      <c r="I21" s="242" t="s">
        <v>602</v>
      </c>
      <c r="J21" s="257"/>
      <c r="K21" s="258"/>
      <c r="L21" s="253"/>
    </row>
    <row r="22" spans="1:12" ht="12.75" customHeight="1">
      <c r="A22" s="126" t="s">
        <v>906</v>
      </c>
      <c r="C22" s="256" t="s">
        <v>603</v>
      </c>
      <c r="I22" s="242" t="s">
        <v>604</v>
      </c>
      <c r="J22" s="251"/>
      <c r="K22" s="252"/>
      <c r="L22" s="253"/>
    </row>
    <row r="23" spans="1:12">
      <c r="C23" s="259"/>
      <c r="I23" s="260"/>
      <c r="J23" s="261"/>
      <c r="K23" s="261"/>
    </row>
    <row r="24" spans="1:12" ht="12.75" customHeight="1">
      <c r="B24" s="262"/>
      <c r="C24" s="256" t="s">
        <v>605</v>
      </c>
      <c r="D24" s="262"/>
      <c r="E24" s="262"/>
      <c r="F24" s="262"/>
      <c r="G24" s="263"/>
      <c r="H24" s="263"/>
      <c r="I24" s="264"/>
      <c r="J24" s="261"/>
      <c r="K24" s="261"/>
    </row>
    <row r="25" spans="1:12" ht="12.75" customHeight="1">
      <c r="B25" s="260"/>
      <c r="C25" s="260"/>
      <c r="D25" s="260"/>
      <c r="E25" s="260"/>
      <c r="F25" s="260"/>
      <c r="G25" s="260"/>
      <c r="H25" s="260"/>
      <c r="I25" s="264"/>
      <c r="J25" s="261"/>
      <c r="K25" s="261"/>
      <c r="L25" s="218"/>
    </row>
    <row r="26" spans="1:12" ht="12.75" customHeight="1">
      <c r="A26" s="126" t="s">
        <v>907</v>
      </c>
      <c r="B26" s="265" t="s">
        <v>606</v>
      </c>
      <c r="C26" s="581"/>
      <c r="D26" s="582"/>
      <c r="E26" s="582"/>
      <c r="F26" s="583"/>
      <c r="G26" s="184" t="s">
        <v>607</v>
      </c>
      <c r="H26" s="266"/>
      <c r="I26" s="260" t="s">
        <v>608</v>
      </c>
      <c r="J26" s="267"/>
      <c r="K26" s="268"/>
      <c r="L26" s="253"/>
    </row>
    <row r="27" spans="1:12" ht="12.75" customHeight="1">
      <c r="A27" s="126" t="s">
        <v>908</v>
      </c>
      <c r="B27" s="265" t="s">
        <v>609</v>
      </c>
      <c r="C27" s="581"/>
      <c r="D27" s="582"/>
      <c r="E27" s="582"/>
      <c r="F27" s="583"/>
      <c r="G27" s="184" t="s">
        <v>607</v>
      </c>
      <c r="H27" s="266"/>
      <c r="I27" s="260" t="s">
        <v>610</v>
      </c>
      <c r="J27" s="267"/>
      <c r="K27" s="268"/>
      <c r="L27" s="253"/>
    </row>
    <row r="28" spans="1:12" ht="12.75" customHeight="1">
      <c r="A28" s="126" t="s">
        <v>909</v>
      </c>
      <c r="B28" s="265" t="s">
        <v>611</v>
      </c>
      <c r="C28" s="581"/>
      <c r="D28" s="582"/>
      <c r="E28" s="582"/>
      <c r="F28" s="583"/>
      <c r="G28" s="184" t="s">
        <v>607</v>
      </c>
      <c r="H28" s="266"/>
      <c r="I28" s="260" t="s">
        <v>612</v>
      </c>
      <c r="J28" s="267"/>
      <c r="K28" s="268"/>
      <c r="L28" s="253"/>
    </row>
    <row r="29" spans="1:12" ht="12.75" customHeight="1">
      <c r="A29" s="126" t="s">
        <v>910</v>
      </c>
      <c r="B29" s="269" t="s">
        <v>613</v>
      </c>
      <c r="C29" s="597"/>
      <c r="D29" s="598"/>
      <c r="E29" s="598"/>
      <c r="F29" s="599"/>
      <c r="G29" s="184" t="s">
        <v>607</v>
      </c>
      <c r="H29" s="270"/>
      <c r="I29" s="260" t="s">
        <v>614</v>
      </c>
      <c r="J29" s="271"/>
      <c r="K29" s="272"/>
      <c r="L29" s="253"/>
    </row>
    <row r="30" spans="1:12">
      <c r="B30" s="273"/>
      <c r="C30" s="274"/>
      <c r="D30" s="274"/>
      <c r="E30" s="274"/>
      <c r="F30" s="275"/>
      <c r="G30" s="275"/>
      <c r="H30" s="275"/>
      <c r="J30" s="277"/>
      <c r="K30" s="277"/>
    </row>
    <row r="31" spans="1:12" ht="12.75" customHeight="1">
      <c r="A31" s="126" t="s">
        <v>911</v>
      </c>
      <c r="B31" s="273"/>
      <c r="C31" s="274"/>
      <c r="D31" s="274"/>
      <c r="E31" s="274"/>
      <c r="F31" s="275"/>
      <c r="G31" s="278" t="s">
        <v>615</v>
      </c>
      <c r="H31" s="278"/>
      <c r="I31" s="279" t="s">
        <v>616</v>
      </c>
      <c r="J31" s="280">
        <f>SUM(J26:J29)</f>
        <v>0</v>
      </c>
      <c r="K31" s="281"/>
      <c r="L31" s="280">
        <f>SUM(L26:L29)</f>
        <v>0</v>
      </c>
    </row>
    <row r="32" spans="1:12">
      <c r="B32" s="273"/>
      <c r="C32" s="274"/>
      <c r="D32" s="274"/>
      <c r="E32" s="274"/>
      <c r="F32" s="275"/>
      <c r="G32" s="275"/>
      <c r="H32" s="275"/>
    </row>
    <row r="33" spans="1:12" ht="15.6">
      <c r="B33" s="232" t="s">
        <v>617</v>
      </c>
      <c r="C33" s="249" t="s">
        <v>618</v>
      </c>
      <c r="D33" s="274"/>
      <c r="E33" s="274"/>
      <c r="F33" s="275"/>
      <c r="G33" s="275"/>
      <c r="H33" s="275"/>
    </row>
    <row r="34" spans="1:12" ht="12.75" customHeight="1">
      <c r="A34" s="126" t="s">
        <v>912</v>
      </c>
      <c r="B34" s="236"/>
      <c r="C34" s="256" t="s">
        <v>619</v>
      </c>
      <c r="I34" s="260" t="s">
        <v>620</v>
      </c>
      <c r="J34" s="251"/>
      <c r="K34" s="252"/>
      <c r="L34" s="253"/>
    </row>
    <row r="35" spans="1:12" ht="12.75" customHeight="1">
      <c r="A35" s="126" t="s">
        <v>913</v>
      </c>
      <c r="B35" s="236"/>
      <c r="C35" s="256" t="s">
        <v>621</v>
      </c>
      <c r="I35" s="260" t="s">
        <v>622</v>
      </c>
      <c r="J35" s="251"/>
      <c r="K35" s="252"/>
      <c r="L35" s="253"/>
    </row>
    <row r="36" spans="1:12" ht="12.75" customHeight="1">
      <c r="A36" s="126" t="s">
        <v>914</v>
      </c>
      <c r="B36" s="236"/>
      <c r="C36" s="256" t="s">
        <v>623</v>
      </c>
      <c r="I36" s="260" t="s">
        <v>624</v>
      </c>
      <c r="J36" s="251"/>
      <c r="K36" s="252"/>
      <c r="L36" s="253"/>
    </row>
    <row r="37" spans="1:12" ht="12.75" customHeight="1">
      <c r="B37" s="232" t="s">
        <v>625</v>
      </c>
      <c r="C37" s="249" t="s">
        <v>626</v>
      </c>
      <c r="I37" s="260"/>
      <c r="J37" s="282"/>
      <c r="K37" s="282"/>
    </row>
    <row r="38" spans="1:12" ht="12.75" customHeight="1">
      <c r="A38" s="126" t="s">
        <v>915</v>
      </c>
      <c r="C38" s="256" t="s">
        <v>627</v>
      </c>
      <c r="D38" s="283"/>
      <c r="I38" s="260" t="s">
        <v>628</v>
      </c>
      <c r="J38" s="251"/>
      <c r="K38" s="252"/>
      <c r="L38" s="253"/>
    </row>
    <row r="39" spans="1:12" ht="12.75" customHeight="1">
      <c r="A39" s="126" t="s">
        <v>916</v>
      </c>
      <c r="C39" s="256" t="s">
        <v>629</v>
      </c>
      <c r="I39" s="260" t="s">
        <v>630</v>
      </c>
      <c r="J39" s="251"/>
      <c r="K39" s="252"/>
      <c r="L39" s="253"/>
    </row>
    <row r="40" spans="1:12" ht="12.75" customHeight="1">
      <c r="A40" s="126" t="s">
        <v>917</v>
      </c>
      <c r="C40" s="256" t="s">
        <v>631</v>
      </c>
      <c r="I40" s="260" t="s">
        <v>632</v>
      </c>
      <c r="J40" s="284"/>
      <c r="K40" s="252"/>
      <c r="L40" s="253"/>
    </row>
    <row r="41" spans="1:12" ht="12.75" customHeight="1">
      <c r="A41" s="126" t="s">
        <v>918</v>
      </c>
      <c r="C41" s="256" t="s">
        <v>633</v>
      </c>
      <c r="I41" s="260" t="s">
        <v>634</v>
      </c>
      <c r="J41" s="251"/>
      <c r="K41" s="252"/>
      <c r="L41" s="253"/>
    </row>
    <row r="42" spans="1:12" ht="12.75" customHeight="1">
      <c r="A42" s="126" t="s">
        <v>919</v>
      </c>
      <c r="C42" s="256" t="s">
        <v>635</v>
      </c>
      <c r="I42" s="260" t="s">
        <v>636</v>
      </c>
      <c r="J42" s="251"/>
      <c r="K42" s="252"/>
      <c r="L42" s="253"/>
    </row>
    <row r="43" spans="1:12" ht="12.75" customHeight="1">
      <c r="A43" s="126" t="s">
        <v>920</v>
      </c>
      <c r="C43" s="256" t="s">
        <v>637</v>
      </c>
      <c r="I43" s="260" t="s">
        <v>638</v>
      </c>
      <c r="J43" s="251"/>
      <c r="K43" s="252"/>
      <c r="L43" s="253"/>
    </row>
    <row r="44" spans="1:12">
      <c r="A44" s="126" t="s">
        <v>921</v>
      </c>
      <c r="C44" s="256" t="s">
        <v>639</v>
      </c>
      <c r="I44" s="260" t="s">
        <v>640</v>
      </c>
      <c r="J44" s="285"/>
      <c r="K44" s="282"/>
      <c r="L44" s="253"/>
    </row>
    <row r="45" spans="1:12" ht="12.75" customHeight="1">
      <c r="A45" s="126" t="s">
        <v>922</v>
      </c>
      <c r="C45" s="256" t="s">
        <v>641</v>
      </c>
      <c r="I45" s="260" t="s">
        <v>642</v>
      </c>
      <c r="J45" s="251"/>
      <c r="K45" s="252"/>
      <c r="L45" s="253"/>
    </row>
    <row r="46" spans="1:12" ht="15.6">
      <c r="B46" s="232" t="s">
        <v>643</v>
      </c>
      <c r="C46" s="249" t="s">
        <v>644</v>
      </c>
      <c r="I46" s="260"/>
      <c r="J46" s="282"/>
      <c r="K46" s="282"/>
    </row>
    <row r="47" spans="1:12">
      <c r="A47" s="126" t="s">
        <v>923</v>
      </c>
      <c r="C47" s="256" t="s">
        <v>645</v>
      </c>
      <c r="I47" s="260" t="s">
        <v>646</v>
      </c>
      <c r="J47" s="251"/>
      <c r="K47" s="252"/>
      <c r="L47" s="253"/>
    </row>
    <row r="48" spans="1:12" ht="12.75" customHeight="1">
      <c r="A48" s="126" t="s">
        <v>924</v>
      </c>
      <c r="C48" s="256" t="s">
        <v>647</v>
      </c>
      <c r="I48" s="260" t="s">
        <v>648</v>
      </c>
      <c r="J48" s="251"/>
      <c r="K48" s="252"/>
      <c r="L48" s="253"/>
    </row>
    <row r="49" spans="1:13" ht="12.75" customHeight="1">
      <c r="A49" s="126" t="s">
        <v>925</v>
      </c>
      <c r="C49" s="256" t="s">
        <v>649</v>
      </c>
      <c r="I49" s="260" t="s">
        <v>650</v>
      </c>
      <c r="J49" s="251"/>
      <c r="K49" s="252"/>
      <c r="L49" s="253"/>
    </row>
    <row r="50" spans="1:13" ht="12.75" customHeight="1">
      <c r="A50" s="126" t="s">
        <v>894</v>
      </c>
      <c r="B50" s="232" t="s">
        <v>651</v>
      </c>
      <c r="C50" s="249" t="s">
        <v>652</v>
      </c>
      <c r="I50" s="242" t="s">
        <v>651</v>
      </c>
      <c r="J50" s="251"/>
      <c r="K50" s="252"/>
      <c r="L50" s="253"/>
    </row>
    <row r="51" spans="1:13" ht="12.75" customHeight="1">
      <c r="A51" s="126" t="s">
        <v>895</v>
      </c>
      <c r="B51" s="232" t="s">
        <v>653</v>
      </c>
      <c r="C51" s="249" t="s">
        <v>654</v>
      </c>
      <c r="D51" s="260"/>
      <c r="E51" s="260"/>
      <c r="F51" s="260"/>
      <c r="I51" s="242" t="s">
        <v>653</v>
      </c>
      <c r="J51" s="257"/>
      <c r="K51" s="258"/>
      <c r="L51" s="253"/>
    </row>
    <row r="52" spans="1:13" ht="12.75" customHeight="1">
      <c r="A52" s="126" t="s">
        <v>896</v>
      </c>
      <c r="B52" s="232" t="s">
        <v>655</v>
      </c>
      <c r="C52" s="249" t="s">
        <v>656</v>
      </c>
      <c r="D52" s="286"/>
      <c r="E52" s="286"/>
      <c r="F52" s="286"/>
      <c r="I52" s="242" t="s">
        <v>655</v>
      </c>
      <c r="J52" s="251"/>
      <c r="K52" s="252"/>
      <c r="L52" s="253"/>
    </row>
    <row r="53" spans="1:13" ht="12.75" customHeight="1">
      <c r="A53" s="126" t="s">
        <v>926</v>
      </c>
      <c r="B53" s="232" t="s">
        <v>657</v>
      </c>
      <c r="C53" s="249" t="s">
        <v>658</v>
      </c>
      <c r="D53" s="286"/>
      <c r="E53" s="286"/>
      <c r="F53" s="286"/>
      <c r="I53" s="242" t="s">
        <v>657</v>
      </c>
      <c r="J53" s="251"/>
      <c r="K53" s="252"/>
      <c r="L53" s="253"/>
    </row>
    <row r="54" spans="1:13" ht="12.75" customHeight="1">
      <c r="A54" s="126" t="s">
        <v>927</v>
      </c>
      <c r="B54" s="232" t="s">
        <v>659</v>
      </c>
      <c r="C54" s="249" t="s">
        <v>660</v>
      </c>
      <c r="D54" s="286"/>
      <c r="E54" s="286"/>
      <c r="F54" s="286"/>
      <c r="I54" s="242" t="s">
        <v>659</v>
      </c>
      <c r="J54" s="257"/>
      <c r="K54" s="258"/>
      <c r="L54" s="253"/>
    </row>
    <row r="55" spans="1:13" ht="15.6">
      <c r="A55" s="126" t="s">
        <v>928</v>
      </c>
      <c r="B55" s="232" t="s">
        <v>661</v>
      </c>
      <c r="C55" s="249" t="s">
        <v>662</v>
      </c>
      <c r="D55" s="286"/>
      <c r="E55" s="286"/>
      <c r="F55" s="286"/>
      <c r="I55" s="242" t="s">
        <v>661</v>
      </c>
      <c r="J55" s="251"/>
      <c r="K55" s="252"/>
      <c r="L55" s="253"/>
      <c r="M55" s="218"/>
    </row>
    <row r="56" spans="1:13" ht="6" customHeight="1">
      <c r="C56" s="249"/>
      <c r="D56" s="286"/>
      <c r="E56" s="286"/>
      <c r="F56" s="286"/>
      <c r="J56" s="261"/>
      <c r="K56" s="261"/>
      <c r="M56" s="218"/>
    </row>
    <row r="57" spans="1:13" ht="12.75" customHeight="1">
      <c r="B57" s="262"/>
      <c r="C57" s="249" t="s">
        <v>663</v>
      </c>
      <c r="D57" s="286"/>
      <c r="E57" s="286"/>
      <c r="F57" s="286"/>
      <c r="G57" s="260"/>
      <c r="H57" s="260"/>
      <c r="J57" s="261"/>
      <c r="K57" s="261"/>
    </row>
    <row r="58" spans="1:13" ht="6" customHeight="1">
      <c r="B58" s="262"/>
      <c r="C58" s="286"/>
      <c r="D58" s="286"/>
      <c r="E58" s="286"/>
      <c r="F58" s="286"/>
      <c r="G58" s="260"/>
      <c r="H58" s="260"/>
      <c r="J58" s="261"/>
      <c r="K58" s="261"/>
    </row>
    <row r="59" spans="1:13" ht="12.75" customHeight="1">
      <c r="A59" s="126" t="s">
        <v>929</v>
      </c>
      <c r="B59" s="265" t="s">
        <v>606</v>
      </c>
      <c r="C59" s="581"/>
      <c r="D59" s="582"/>
      <c r="E59" s="582"/>
      <c r="F59" s="583"/>
      <c r="G59" s="184" t="s">
        <v>607</v>
      </c>
      <c r="H59" s="266"/>
      <c r="I59" s="287" t="s">
        <v>664</v>
      </c>
      <c r="J59" s="267"/>
      <c r="K59" s="268"/>
      <c r="L59" s="253"/>
    </row>
    <row r="60" spans="1:13" ht="12.75" customHeight="1">
      <c r="A60" s="126" t="s">
        <v>930</v>
      </c>
      <c r="B60" s="265" t="s">
        <v>609</v>
      </c>
      <c r="C60" s="581"/>
      <c r="D60" s="582"/>
      <c r="E60" s="582"/>
      <c r="F60" s="583"/>
      <c r="G60" s="184" t="s">
        <v>607</v>
      </c>
      <c r="H60" s="266"/>
      <c r="I60" s="287" t="s">
        <v>665</v>
      </c>
      <c r="J60" s="267"/>
      <c r="K60" s="268"/>
      <c r="L60" s="253"/>
    </row>
    <row r="61" spans="1:13" ht="12.75" customHeight="1">
      <c r="A61" s="126" t="s">
        <v>931</v>
      </c>
      <c r="B61" s="265" t="s">
        <v>611</v>
      </c>
      <c r="C61" s="581"/>
      <c r="D61" s="582"/>
      <c r="E61" s="582"/>
      <c r="F61" s="583"/>
      <c r="G61" s="184" t="s">
        <v>607</v>
      </c>
      <c r="H61" s="266"/>
      <c r="I61" s="287" t="s">
        <v>666</v>
      </c>
      <c r="J61" s="267"/>
      <c r="K61" s="268"/>
      <c r="L61" s="288"/>
    </row>
    <row r="62" spans="1:13" ht="12.75" customHeight="1">
      <c r="A62" s="126" t="s">
        <v>932</v>
      </c>
      <c r="B62" s="269" t="s">
        <v>613</v>
      </c>
      <c r="C62" s="581"/>
      <c r="D62" s="582"/>
      <c r="E62" s="582"/>
      <c r="F62" s="583"/>
      <c r="G62" s="184" t="s">
        <v>607</v>
      </c>
      <c r="H62" s="266"/>
      <c r="I62" s="287" t="s">
        <v>667</v>
      </c>
      <c r="J62" s="267"/>
      <c r="K62" s="268"/>
      <c r="L62" s="253"/>
    </row>
    <row r="63" spans="1:13" ht="6" customHeight="1">
      <c r="B63" s="264"/>
      <c r="C63" s="264"/>
      <c r="D63" s="264"/>
      <c r="E63" s="264"/>
      <c r="F63" s="264"/>
      <c r="G63" s="289"/>
      <c r="H63" s="289"/>
      <c r="I63" s="289"/>
      <c r="J63" s="261"/>
      <c r="K63" s="261"/>
      <c r="L63" s="218"/>
    </row>
    <row r="64" spans="1:13" ht="12.75" customHeight="1">
      <c r="A64" s="126" t="s">
        <v>933</v>
      </c>
      <c r="B64" s="232" t="s">
        <v>668</v>
      </c>
      <c r="C64" s="290" t="s">
        <v>669</v>
      </c>
      <c r="F64" s="291"/>
      <c r="G64" s="260"/>
      <c r="H64" s="235"/>
      <c r="I64" s="242" t="s">
        <v>668</v>
      </c>
      <c r="J64" s="280">
        <f>SUM(J59:J62)</f>
        <v>0</v>
      </c>
      <c r="K64" s="281"/>
      <c r="L64" s="280">
        <f>SUM(L59:L62)</f>
        <v>0</v>
      </c>
    </row>
    <row r="65" spans="1:13" ht="13.8" thickBot="1">
      <c r="I65" s="290"/>
      <c r="J65" s="292"/>
      <c r="K65" s="292"/>
    </row>
    <row r="66" spans="1:13" ht="13.8" thickBot="1">
      <c r="C66" s="293"/>
      <c r="D66" s="294"/>
      <c r="E66" s="294"/>
      <c r="F66" s="294"/>
      <c r="G66" s="294"/>
      <c r="H66" s="294"/>
      <c r="I66" s="295"/>
      <c r="J66" s="296"/>
      <c r="K66" s="296"/>
      <c r="L66" s="297"/>
    </row>
    <row r="67" spans="1:13" ht="15" customHeight="1" thickBot="1">
      <c r="A67" s="126" t="s">
        <v>934</v>
      </c>
      <c r="B67" s="298" t="s">
        <v>670</v>
      </c>
      <c r="C67" s="584" t="s">
        <v>671</v>
      </c>
      <c r="D67" s="585"/>
      <c r="E67" s="585"/>
      <c r="F67" s="585"/>
      <c r="G67" s="585"/>
      <c r="H67" s="585"/>
      <c r="I67" s="586"/>
      <c r="J67" s="299">
        <f>J64+J52+J51+J50+J49+J48+J45+J40+J39+J38+J36+J35+J34+J31+J22+J21+J19+J18+J17+J16+J15+J14+J13+J11+J53+J54+J55+J41+J42+J43+J44+J47</f>
        <v>0</v>
      </c>
      <c r="K67" s="281"/>
      <c r="L67" s="299">
        <f>L64+L52+L51+L50+L49+L48+L45+L40+L39+L38+L36+L35+L34+L31+L22+L21+L19+L18+L17+L16+L15+L14+L13+L11+L53+L54+L55+L41+L42+L43+L44</f>
        <v>0</v>
      </c>
    </row>
    <row r="68" spans="1:13" ht="13.8" thickBot="1">
      <c r="C68" s="300"/>
      <c r="D68" s="301"/>
      <c r="E68" s="301"/>
      <c r="F68" s="301"/>
      <c r="G68" s="302"/>
      <c r="H68" s="302"/>
      <c r="I68" s="303"/>
      <c r="J68" s="304"/>
      <c r="K68" s="304"/>
      <c r="L68" s="305"/>
    </row>
    <row r="69" spans="1:13" ht="5.25" customHeight="1">
      <c r="C69" s="306"/>
      <c r="D69" s="306"/>
      <c r="E69" s="306"/>
      <c r="F69" s="306"/>
      <c r="G69" s="218"/>
      <c r="H69" s="218"/>
      <c r="I69" s="264"/>
      <c r="J69" s="261"/>
      <c r="K69" s="261"/>
      <c r="L69" s="218"/>
    </row>
    <row r="70" spans="1:13" s="283" customFormat="1">
      <c r="B70" s="307"/>
      <c r="C70" s="308"/>
      <c r="D70" s="308"/>
      <c r="E70" s="308"/>
      <c r="F70" s="308"/>
      <c r="G70" s="307"/>
      <c r="H70" s="307"/>
      <c r="I70" s="580"/>
      <c r="J70" s="580"/>
      <c r="K70" s="580"/>
      <c r="L70" s="580"/>
      <c r="M70" s="307"/>
    </row>
    <row r="71" spans="1:13" s="314" customFormat="1" ht="25.5" customHeight="1" thickBot="1">
      <c r="B71" s="309" t="s">
        <v>672</v>
      </c>
      <c r="C71" s="310"/>
      <c r="D71" s="310"/>
      <c r="E71" s="310"/>
      <c r="F71" s="310"/>
      <c r="G71" s="310"/>
      <c r="H71" s="310"/>
      <c r="I71" s="311"/>
      <c r="J71" s="312"/>
      <c r="K71" s="312"/>
      <c r="L71" s="310"/>
      <c r="M71" s="313"/>
    </row>
    <row r="72" spans="1:13" ht="30" customHeight="1">
      <c r="B72" s="228" t="s">
        <v>673</v>
      </c>
      <c r="J72" s="292"/>
      <c r="K72" s="292"/>
    </row>
    <row r="73" spans="1:13" ht="14.25" customHeight="1">
      <c r="B73" s="315"/>
      <c r="J73" s="261"/>
      <c r="K73" s="261"/>
    </row>
    <row r="74" spans="1:13" ht="12.75" customHeight="1">
      <c r="A74" s="126" t="s">
        <v>935</v>
      </c>
      <c r="C74" s="316" t="s">
        <v>674</v>
      </c>
      <c r="I74" s="260" t="s">
        <v>675</v>
      </c>
      <c r="J74" s="317"/>
      <c r="K74" s="318"/>
    </row>
    <row r="75" spans="1:13" ht="12.75" customHeight="1">
      <c r="C75" s="316" t="s">
        <v>676</v>
      </c>
      <c r="I75" s="260"/>
      <c r="J75" s="282"/>
      <c r="K75" s="282"/>
    </row>
    <row r="76" spans="1:13" ht="12.75" customHeight="1">
      <c r="A76" s="126" t="s">
        <v>936</v>
      </c>
      <c r="C76" s="316" t="s">
        <v>677</v>
      </c>
      <c r="I76" s="260" t="s">
        <v>678</v>
      </c>
      <c r="J76" s="317"/>
      <c r="K76" s="318"/>
    </row>
    <row r="77" spans="1:13" ht="12.75" customHeight="1">
      <c r="A77" s="126" t="s">
        <v>937</v>
      </c>
      <c r="C77" s="316" t="s">
        <v>679</v>
      </c>
      <c r="I77" s="260" t="s">
        <v>680</v>
      </c>
      <c r="J77" s="317"/>
      <c r="K77" s="318"/>
    </row>
    <row r="78" spans="1:13" ht="12.75" customHeight="1">
      <c r="A78" s="126" t="s">
        <v>938</v>
      </c>
      <c r="C78" s="316" t="s">
        <v>681</v>
      </c>
      <c r="I78" s="260" t="s">
        <v>682</v>
      </c>
      <c r="J78" s="317"/>
      <c r="K78" s="318"/>
    </row>
    <row r="79" spans="1:13" ht="12.75" customHeight="1">
      <c r="A79" s="126" t="s">
        <v>939</v>
      </c>
      <c r="C79" s="316" t="s">
        <v>683</v>
      </c>
      <c r="I79" s="260" t="s">
        <v>684</v>
      </c>
      <c r="J79" s="317"/>
      <c r="K79" s="318"/>
    </row>
    <row r="80" spans="1:13" ht="12.75" customHeight="1">
      <c r="A80" s="126" t="s">
        <v>940</v>
      </c>
      <c r="C80" s="316" t="s">
        <v>685</v>
      </c>
      <c r="I80" s="260" t="s">
        <v>686</v>
      </c>
      <c r="J80" s="317"/>
      <c r="K80" s="318"/>
    </row>
    <row r="81" spans="1:11" ht="12.75" customHeight="1">
      <c r="A81" s="126" t="s">
        <v>941</v>
      </c>
      <c r="C81" s="316" t="s">
        <v>687</v>
      </c>
      <c r="I81" s="260" t="s">
        <v>688</v>
      </c>
      <c r="J81" s="317"/>
      <c r="K81" s="318"/>
    </row>
    <row r="82" spans="1:11" ht="12.75" customHeight="1">
      <c r="A82" s="126" t="s">
        <v>942</v>
      </c>
      <c r="C82" s="316" t="s">
        <v>689</v>
      </c>
      <c r="I82" s="260" t="s">
        <v>690</v>
      </c>
      <c r="J82" s="317"/>
      <c r="K82" s="318"/>
    </row>
    <row r="83" spans="1:11" ht="12.75" customHeight="1">
      <c r="A83" s="126" t="s">
        <v>943</v>
      </c>
      <c r="C83" s="316" t="s">
        <v>691</v>
      </c>
      <c r="I83" s="260" t="s">
        <v>692</v>
      </c>
      <c r="J83" s="317"/>
      <c r="K83" s="318"/>
    </row>
    <row r="84" spans="1:11" ht="12.75" customHeight="1">
      <c r="A84" s="126" t="s">
        <v>944</v>
      </c>
      <c r="C84" s="316" t="s">
        <v>693</v>
      </c>
      <c r="I84" s="260" t="s">
        <v>694</v>
      </c>
      <c r="J84" s="317"/>
      <c r="K84" s="318"/>
    </row>
    <row r="85" spans="1:11" ht="12.75" customHeight="1">
      <c r="A85" s="126" t="s">
        <v>945</v>
      </c>
      <c r="C85" s="262" t="s">
        <v>695</v>
      </c>
      <c r="I85" s="260" t="s">
        <v>696</v>
      </c>
      <c r="J85" s="317"/>
      <c r="K85" s="318"/>
    </row>
    <row r="86" spans="1:11" ht="12.75" customHeight="1">
      <c r="A86" s="126" t="s">
        <v>946</v>
      </c>
      <c r="C86" s="316" t="s">
        <v>697</v>
      </c>
      <c r="I86" s="260" t="s">
        <v>698</v>
      </c>
      <c r="J86" s="317"/>
      <c r="K86" s="318"/>
    </row>
    <row r="87" spans="1:11" ht="12.75" customHeight="1">
      <c r="A87" s="126" t="s">
        <v>947</v>
      </c>
      <c r="C87" s="316" t="s">
        <v>699</v>
      </c>
      <c r="I87" s="260" t="s">
        <v>700</v>
      </c>
      <c r="J87" s="317"/>
      <c r="K87" s="318"/>
    </row>
    <row r="88" spans="1:11" ht="12.75" customHeight="1">
      <c r="A88" s="126" t="s">
        <v>948</v>
      </c>
      <c r="C88" s="263" t="s">
        <v>701</v>
      </c>
      <c r="D88" s="264"/>
      <c r="E88" s="264"/>
      <c r="F88" s="264"/>
      <c r="I88" s="260" t="s">
        <v>702</v>
      </c>
      <c r="J88" s="319"/>
      <c r="K88" s="320"/>
    </row>
    <row r="89" spans="1:11" ht="6" customHeight="1">
      <c r="C89" s="264"/>
      <c r="D89" s="264"/>
      <c r="E89" s="264"/>
      <c r="F89" s="264"/>
      <c r="I89" s="260"/>
      <c r="J89" s="261"/>
      <c r="K89" s="261"/>
    </row>
    <row r="90" spans="1:11">
      <c r="C90" s="316" t="s">
        <v>703</v>
      </c>
      <c r="D90" s="263"/>
      <c r="E90" s="264"/>
      <c r="F90" s="264"/>
      <c r="J90" s="261"/>
      <c r="K90" s="261"/>
    </row>
    <row r="91" spans="1:11" ht="6" customHeight="1">
      <c r="C91" s="283"/>
      <c r="D91" s="264"/>
      <c r="E91" s="264"/>
      <c r="F91" s="264"/>
      <c r="J91" s="261"/>
      <c r="K91" s="261"/>
    </row>
    <row r="92" spans="1:11" ht="12.75" customHeight="1">
      <c r="A92" s="126" t="s">
        <v>949</v>
      </c>
      <c r="B92" s="265" t="s">
        <v>606</v>
      </c>
      <c r="C92" s="590"/>
      <c r="D92" s="590"/>
      <c r="E92" s="590"/>
      <c r="F92" s="590"/>
      <c r="G92" s="590"/>
      <c r="H92" s="321"/>
      <c r="I92" s="287" t="s">
        <v>704</v>
      </c>
      <c r="J92" s="267"/>
      <c r="K92" s="268"/>
    </row>
    <row r="93" spans="1:11" ht="12.75" customHeight="1">
      <c r="A93" s="126" t="s">
        <v>950</v>
      </c>
      <c r="B93" s="265" t="s">
        <v>609</v>
      </c>
      <c r="C93" s="590"/>
      <c r="D93" s="590"/>
      <c r="E93" s="590"/>
      <c r="F93" s="590"/>
      <c r="G93" s="590"/>
      <c r="H93" s="321"/>
      <c r="I93" s="287" t="s">
        <v>705</v>
      </c>
      <c r="J93" s="243"/>
      <c r="K93" s="244"/>
    </row>
    <row r="94" spans="1:11" ht="12.75" customHeight="1">
      <c r="A94" s="126" t="s">
        <v>951</v>
      </c>
      <c r="B94" s="265" t="s">
        <v>611</v>
      </c>
      <c r="C94" s="590"/>
      <c r="D94" s="590"/>
      <c r="E94" s="590"/>
      <c r="F94" s="590"/>
      <c r="G94" s="590"/>
      <c r="H94" s="321"/>
      <c r="I94" s="287" t="s">
        <v>706</v>
      </c>
      <c r="J94" s="322"/>
      <c r="K94" s="323"/>
    </row>
    <row r="95" spans="1:11" ht="12.75" customHeight="1">
      <c r="A95" s="126" t="s">
        <v>952</v>
      </c>
      <c r="B95" s="269" t="s">
        <v>613</v>
      </c>
      <c r="C95" s="590"/>
      <c r="D95" s="590"/>
      <c r="E95" s="590"/>
      <c r="F95" s="590"/>
      <c r="G95" s="590"/>
      <c r="H95" s="321"/>
      <c r="I95" s="287" t="s">
        <v>707</v>
      </c>
      <c r="J95" s="324"/>
      <c r="K95" s="325"/>
    </row>
    <row r="96" spans="1:11" ht="6" customHeight="1">
      <c r="B96" s="276"/>
      <c r="C96" s="264"/>
      <c r="D96" s="264"/>
      <c r="E96" s="264"/>
      <c r="F96" s="264"/>
      <c r="J96" s="261"/>
      <c r="K96" s="261"/>
    </row>
    <row r="97" spans="1:12" ht="15" customHeight="1">
      <c r="A97" s="126" t="s">
        <v>953</v>
      </c>
      <c r="B97" s="276"/>
      <c r="C97" s="286"/>
      <c r="D97" s="286"/>
      <c r="G97" s="235" t="s">
        <v>708</v>
      </c>
      <c r="H97" s="235"/>
      <c r="I97" s="260" t="s">
        <v>709</v>
      </c>
      <c r="J97" s="326">
        <f>SUM(J92:J95)</f>
        <v>0</v>
      </c>
      <c r="K97" s="327"/>
    </row>
    <row r="98" spans="1:12">
      <c r="B98" s="264"/>
    </row>
    <row r="99" spans="1:12" ht="13.8" thickBot="1">
      <c r="B99" s="328"/>
      <c r="C99" s="329"/>
      <c r="D99" s="329"/>
      <c r="E99" s="329"/>
      <c r="F99" s="329"/>
      <c r="G99" s="329"/>
      <c r="H99" s="329"/>
      <c r="I99" s="330"/>
      <c r="J99" s="331"/>
      <c r="K99" s="331"/>
      <c r="L99" s="332"/>
    </row>
    <row r="100" spans="1:12" ht="15" customHeight="1" thickBot="1">
      <c r="A100" s="126" t="s">
        <v>954</v>
      </c>
      <c r="B100" s="333" t="s">
        <v>710</v>
      </c>
      <c r="C100" s="591" t="s">
        <v>711</v>
      </c>
      <c r="D100" s="592"/>
      <c r="E100" s="592"/>
      <c r="F100" s="592"/>
      <c r="G100" s="286"/>
      <c r="H100" s="286"/>
      <c r="I100" s="290"/>
      <c r="J100" s="334">
        <f>J97+J74+J76+J77+J78+J79+J80+J81+J82+J83+J84+J85+J86+J87+J88</f>
        <v>0</v>
      </c>
      <c r="K100" s="327"/>
      <c r="L100" s="335"/>
    </row>
    <row r="101" spans="1:12" ht="6" customHeight="1">
      <c r="B101" s="328"/>
      <c r="C101" s="336"/>
      <c r="D101" s="336"/>
      <c r="E101" s="336"/>
      <c r="F101" s="336"/>
      <c r="G101" s="336"/>
      <c r="H101" s="336"/>
      <c r="I101" s="337"/>
      <c r="J101" s="338"/>
      <c r="K101" s="338"/>
      <c r="L101" s="339"/>
    </row>
    <row r="102" spans="1:12" ht="13.5" customHeight="1">
      <c r="A102" s="126" t="s">
        <v>955</v>
      </c>
      <c r="B102" s="333" t="s">
        <v>712</v>
      </c>
      <c r="C102" s="340" t="s">
        <v>713</v>
      </c>
      <c r="E102" s="341"/>
      <c r="F102" s="341"/>
      <c r="G102" s="342"/>
      <c r="H102" s="342"/>
      <c r="I102" s="343"/>
      <c r="J102" s="344"/>
      <c r="K102" s="344"/>
      <c r="L102" s="332"/>
    </row>
    <row r="103" spans="1:12" ht="12.75" customHeight="1">
      <c r="B103" s="335"/>
      <c r="C103" s="263" t="s">
        <v>714</v>
      </c>
      <c r="D103" s="218"/>
      <c r="E103" s="218"/>
      <c r="F103" s="218"/>
      <c r="G103" s="345"/>
      <c r="H103" s="345"/>
      <c r="I103" s="290"/>
      <c r="J103" s="346"/>
      <c r="K103" s="347"/>
      <c r="L103" s="335"/>
    </row>
    <row r="104" spans="1:12" ht="4.5" customHeight="1">
      <c r="B104" s="218"/>
      <c r="C104" s="348"/>
      <c r="D104" s="349"/>
      <c r="E104" s="349"/>
      <c r="F104" s="349"/>
      <c r="G104" s="350"/>
      <c r="H104" s="350"/>
      <c r="I104" s="337"/>
      <c r="J104" s="338"/>
      <c r="K104" s="338"/>
      <c r="L104" s="339"/>
    </row>
    <row r="105" spans="1:12" ht="4.5" customHeight="1">
      <c r="B105" s="218"/>
      <c r="C105" s="218"/>
      <c r="D105" s="218"/>
      <c r="E105" s="218"/>
      <c r="F105" s="218"/>
      <c r="G105" s="345"/>
      <c r="H105" s="345"/>
      <c r="I105" s="290"/>
      <c r="J105" s="351"/>
      <c r="K105" s="351"/>
      <c r="L105" s="218"/>
    </row>
    <row r="106" spans="1:12" ht="4.5" customHeight="1">
      <c r="B106" s="218"/>
      <c r="C106" s="218"/>
      <c r="D106" s="218"/>
      <c r="E106" s="218"/>
      <c r="F106" s="218"/>
      <c r="G106" s="345"/>
      <c r="H106" s="345"/>
      <c r="I106" s="290"/>
      <c r="J106" s="351"/>
      <c r="K106" s="351"/>
      <c r="L106" s="218"/>
    </row>
    <row r="107" spans="1:12" s="283" customFormat="1">
      <c r="B107" s="307"/>
      <c r="C107" s="308"/>
      <c r="D107" s="308"/>
      <c r="E107" s="308"/>
      <c r="F107" s="308"/>
      <c r="G107" s="307"/>
      <c r="H107" s="307"/>
      <c r="I107" s="580"/>
      <c r="J107" s="580"/>
      <c r="K107" s="580"/>
      <c r="L107" s="580"/>
    </row>
    <row r="108" spans="1:12" s="314" customFormat="1" ht="28.95" customHeight="1" thickBot="1">
      <c r="B108" s="309" t="s">
        <v>715</v>
      </c>
      <c r="C108" s="310"/>
      <c r="D108" s="310"/>
      <c r="E108" s="310"/>
      <c r="F108" s="310"/>
      <c r="G108" s="352"/>
      <c r="H108" s="352"/>
      <c r="I108" s="353"/>
      <c r="J108" s="352"/>
      <c r="K108" s="352"/>
      <c r="L108" s="310"/>
    </row>
    <row r="109" spans="1:12" ht="30" customHeight="1">
      <c r="B109" s="248" t="s">
        <v>716</v>
      </c>
      <c r="J109" s="261"/>
      <c r="K109" s="261"/>
    </row>
    <row r="110" spans="1:12" ht="12.75" customHeight="1">
      <c r="B110" s="248"/>
      <c r="J110" s="261"/>
      <c r="K110" s="261"/>
    </row>
    <row r="111" spans="1:12" ht="12.75" customHeight="1">
      <c r="A111" s="126" t="s">
        <v>956</v>
      </c>
      <c r="C111" s="227" t="s">
        <v>717</v>
      </c>
      <c r="I111" s="260" t="s">
        <v>718</v>
      </c>
      <c r="J111" s="354"/>
      <c r="K111" s="355"/>
    </row>
    <row r="112" spans="1:12" ht="12.75" customHeight="1">
      <c r="A112" s="126" t="s">
        <v>957</v>
      </c>
      <c r="C112" s="227" t="s">
        <v>719</v>
      </c>
      <c r="I112" s="260" t="s">
        <v>720</v>
      </c>
      <c r="J112" s="354"/>
      <c r="K112" s="355"/>
    </row>
    <row r="113" spans="1:12" ht="12.75" customHeight="1">
      <c r="A113" s="126" t="s">
        <v>958</v>
      </c>
      <c r="C113" s="227" t="s">
        <v>721</v>
      </c>
      <c r="I113" s="260" t="s">
        <v>722</v>
      </c>
      <c r="J113" s="324"/>
      <c r="K113" s="325"/>
    </row>
    <row r="114" spans="1:12" ht="12.75" customHeight="1">
      <c r="A114" s="126" t="s">
        <v>959</v>
      </c>
      <c r="B114" s="218"/>
      <c r="C114" s="227" t="s">
        <v>723</v>
      </c>
      <c r="I114" s="260" t="s">
        <v>724</v>
      </c>
      <c r="J114" s="354"/>
      <c r="K114" s="355"/>
    </row>
    <row r="115" spans="1:12">
      <c r="B115" s="218"/>
      <c r="G115" s="349"/>
      <c r="H115" s="349"/>
      <c r="I115" s="356"/>
      <c r="J115" s="357"/>
      <c r="K115" s="358"/>
      <c r="L115" s="349"/>
    </row>
    <row r="116" spans="1:12" ht="12" customHeight="1" thickBot="1">
      <c r="C116" s="359"/>
      <c r="D116" s="341"/>
      <c r="E116" s="341"/>
      <c r="F116" s="341"/>
      <c r="G116" s="345"/>
      <c r="H116" s="345"/>
      <c r="I116" s="290"/>
      <c r="J116" s="360"/>
      <c r="K116" s="261"/>
      <c r="L116" s="332"/>
    </row>
    <row r="117" spans="1:12" ht="15" customHeight="1" thickBot="1">
      <c r="A117" s="126" t="s">
        <v>960</v>
      </c>
      <c r="B117" s="333" t="s">
        <v>725</v>
      </c>
      <c r="C117" s="591" t="s">
        <v>726</v>
      </c>
      <c r="D117" s="592"/>
      <c r="E117" s="592"/>
      <c r="F117" s="592"/>
      <c r="G117" s="592"/>
      <c r="H117" s="345"/>
      <c r="I117" s="290"/>
      <c r="J117" s="334">
        <f>SUM(J111:J114)</f>
        <v>0</v>
      </c>
      <c r="K117" s="327"/>
      <c r="L117" s="335"/>
    </row>
    <row r="118" spans="1:12" ht="8.25" customHeight="1">
      <c r="C118" s="348"/>
      <c r="D118" s="349"/>
      <c r="E118" s="349"/>
      <c r="F118" s="349"/>
      <c r="G118" s="350"/>
      <c r="H118" s="350"/>
      <c r="I118" s="337"/>
      <c r="J118" s="349"/>
      <c r="K118" s="349"/>
      <c r="L118" s="339"/>
    </row>
    <row r="119" spans="1:12" ht="15.6">
      <c r="B119" s="333" t="s">
        <v>727</v>
      </c>
      <c r="C119" s="361" t="s">
        <v>728</v>
      </c>
      <c r="D119" s="218"/>
      <c r="E119" s="218"/>
      <c r="F119" s="218"/>
      <c r="G119" s="345"/>
      <c r="H119" s="345"/>
      <c r="I119" s="290"/>
      <c r="J119" s="261"/>
      <c r="K119" s="261"/>
      <c r="L119" s="335"/>
    </row>
    <row r="120" spans="1:12">
      <c r="A120" s="126" t="s">
        <v>961</v>
      </c>
      <c r="C120" s="361" t="s">
        <v>729</v>
      </c>
      <c r="D120" s="218"/>
      <c r="E120" s="218"/>
      <c r="F120" s="218"/>
      <c r="G120" s="345"/>
      <c r="H120" s="345"/>
      <c r="I120" s="290"/>
      <c r="J120" s="354"/>
      <c r="K120" s="355"/>
      <c r="L120" s="335"/>
    </row>
    <row r="121" spans="1:12" ht="9.75" customHeight="1">
      <c r="C121" s="348"/>
      <c r="D121" s="349"/>
      <c r="E121" s="349"/>
      <c r="F121" s="349"/>
      <c r="G121" s="350"/>
      <c r="H121" s="350"/>
      <c r="I121" s="337"/>
      <c r="J121" s="362"/>
      <c r="K121" s="363"/>
      <c r="L121" s="339"/>
    </row>
    <row r="122" spans="1:12" ht="7.5" customHeight="1">
      <c r="C122" s="218"/>
      <c r="D122" s="218"/>
      <c r="E122" s="218"/>
      <c r="F122" s="218"/>
      <c r="G122" s="345"/>
      <c r="H122" s="345"/>
      <c r="I122" s="290"/>
      <c r="J122" s="261"/>
      <c r="K122" s="261"/>
      <c r="L122" s="218"/>
    </row>
    <row r="123" spans="1:12">
      <c r="C123" s="218"/>
      <c r="D123" s="218"/>
      <c r="E123" s="218"/>
      <c r="F123" s="218"/>
      <c r="G123" s="345"/>
      <c r="H123" s="345"/>
      <c r="I123" s="290"/>
      <c r="J123" s="261"/>
      <c r="K123" s="261"/>
      <c r="L123" s="218"/>
    </row>
    <row r="124" spans="1:12" ht="15.6">
      <c r="B124" s="248" t="s">
        <v>730</v>
      </c>
      <c r="J124" s="261"/>
      <c r="K124" s="261"/>
    </row>
    <row r="125" spans="1:12" ht="15.6">
      <c r="B125" s="248"/>
      <c r="J125" s="261"/>
      <c r="K125" s="261"/>
    </row>
    <row r="126" spans="1:12" ht="12.75" customHeight="1">
      <c r="A126" s="126" t="s">
        <v>962</v>
      </c>
      <c r="C126" s="316" t="s">
        <v>731</v>
      </c>
      <c r="I126" s="260" t="s">
        <v>732</v>
      </c>
      <c r="J126" s="317"/>
      <c r="K126" s="318"/>
    </row>
    <row r="127" spans="1:12" ht="12.75" customHeight="1">
      <c r="A127" s="126" t="s">
        <v>963</v>
      </c>
      <c r="C127" s="316" t="s">
        <v>733</v>
      </c>
      <c r="I127" s="260" t="s">
        <v>734</v>
      </c>
      <c r="J127" s="317"/>
      <c r="K127" s="318"/>
    </row>
    <row r="128" spans="1:12" ht="12.75" customHeight="1">
      <c r="A128" s="126" t="s">
        <v>964</v>
      </c>
      <c r="C128" s="316" t="s">
        <v>735</v>
      </c>
      <c r="I128" s="260" t="s">
        <v>736</v>
      </c>
      <c r="J128" s="317"/>
      <c r="K128" s="318"/>
    </row>
    <row r="129" spans="1:15" ht="12.75" customHeight="1">
      <c r="A129" s="126" t="s">
        <v>965</v>
      </c>
      <c r="C129" s="316" t="s">
        <v>737</v>
      </c>
      <c r="I129" s="260" t="s">
        <v>738</v>
      </c>
      <c r="J129" s="317"/>
      <c r="K129" s="318"/>
    </row>
    <row r="130" spans="1:15" ht="12.75" customHeight="1">
      <c r="A130" s="126" t="s">
        <v>966</v>
      </c>
      <c r="C130" s="316" t="s">
        <v>739</v>
      </c>
      <c r="I130" s="260" t="s">
        <v>740</v>
      </c>
      <c r="J130" s="317"/>
      <c r="K130" s="318"/>
    </row>
    <row r="131" spans="1:15" ht="12.75" customHeight="1">
      <c r="A131" s="126" t="s">
        <v>967</v>
      </c>
      <c r="C131" s="316" t="s">
        <v>741</v>
      </c>
      <c r="I131" s="260" t="s">
        <v>742</v>
      </c>
      <c r="J131" s="317"/>
      <c r="K131" s="318"/>
    </row>
    <row r="132" spans="1:15">
      <c r="C132" s="316" t="s">
        <v>743</v>
      </c>
      <c r="F132" s="235"/>
      <c r="I132" s="260"/>
      <c r="J132" s="364"/>
      <c r="K132" s="364"/>
    </row>
    <row r="133" spans="1:15">
      <c r="B133" s="260"/>
      <c r="E133" s="235"/>
      <c r="F133" s="235"/>
      <c r="I133" s="260"/>
      <c r="J133" s="365"/>
      <c r="K133" s="365"/>
    </row>
    <row r="134" spans="1:15" ht="8.25" customHeight="1" thickBot="1">
      <c r="C134" s="359"/>
      <c r="D134" s="341"/>
      <c r="E134" s="341"/>
      <c r="F134" s="341"/>
      <c r="G134" s="341"/>
      <c r="H134" s="341"/>
      <c r="I134" s="330"/>
      <c r="J134" s="341"/>
      <c r="K134" s="341"/>
      <c r="L134" s="332"/>
    </row>
    <row r="135" spans="1:15" ht="15" customHeight="1" thickBot="1">
      <c r="A135" s="126" t="s">
        <v>968</v>
      </c>
      <c r="B135" s="333" t="s">
        <v>744</v>
      </c>
      <c r="C135" s="591" t="s">
        <v>745</v>
      </c>
      <c r="D135" s="592"/>
      <c r="E135" s="592"/>
      <c r="F135" s="592"/>
      <c r="G135" s="592"/>
      <c r="H135" s="366"/>
      <c r="I135" s="367"/>
      <c r="J135" s="299">
        <f>SUM(J126:J131)</f>
        <v>0</v>
      </c>
      <c r="K135" s="281"/>
      <c r="L135" s="335"/>
    </row>
    <row r="136" spans="1:15" ht="6.75" customHeight="1">
      <c r="C136" s="368"/>
      <c r="D136" s="349"/>
      <c r="E136" s="218"/>
      <c r="F136" s="218"/>
      <c r="G136" s="218"/>
      <c r="H136" s="218"/>
      <c r="I136" s="264"/>
      <c r="J136" s="218"/>
      <c r="K136" s="218"/>
      <c r="L136" s="335"/>
    </row>
    <row r="137" spans="1:15" ht="15.75" customHeight="1">
      <c r="B137" s="333" t="s">
        <v>746</v>
      </c>
      <c r="C137" s="369" t="s">
        <v>747</v>
      </c>
      <c r="E137" s="341"/>
      <c r="F137" s="341"/>
      <c r="G137" s="370"/>
      <c r="H137" s="370"/>
      <c r="I137" s="330"/>
      <c r="J137" s="341"/>
      <c r="K137" s="341"/>
      <c r="L137" s="332"/>
    </row>
    <row r="138" spans="1:15">
      <c r="A138" s="126" t="s">
        <v>969</v>
      </c>
      <c r="C138" s="361" t="s">
        <v>748</v>
      </c>
      <c r="E138" s="218"/>
      <c r="F138" s="218"/>
      <c r="G138" s="218"/>
      <c r="H138" s="218"/>
      <c r="I138" s="264"/>
      <c r="J138" s="371"/>
      <c r="K138" s="372"/>
      <c r="L138" s="335"/>
    </row>
    <row r="139" spans="1:15" ht="9.75" customHeight="1">
      <c r="C139" s="348"/>
      <c r="D139" s="349"/>
      <c r="E139" s="349"/>
      <c r="F139" s="349"/>
      <c r="G139" s="349"/>
      <c r="H139" s="349"/>
      <c r="I139" s="356"/>
      <c r="J139" s="349"/>
      <c r="K139" s="349"/>
      <c r="L139" s="339"/>
    </row>
    <row r="140" spans="1:15" ht="10.5" customHeight="1" thickBot="1"/>
    <row r="141" spans="1:15" ht="6" customHeight="1">
      <c r="B141" s="293"/>
      <c r="C141" s="294"/>
      <c r="D141" s="294"/>
      <c r="E141" s="294"/>
      <c r="F141" s="294"/>
      <c r="G141" s="294"/>
      <c r="H141" s="294"/>
      <c r="I141" s="373"/>
      <c r="J141" s="294"/>
      <c r="K141" s="294"/>
      <c r="L141" s="297"/>
      <c r="M141" s="218"/>
      <c r="N141" s="218"/>
    </row>
    <row r="142" spans="1:15" ht="3.75" customHeight="1">
      <c r="B142" s="374"/>
      <c r="C142" s="218"/>
      <c r="D142" s="218"/>
      <c r="E142" s="218"/>
      <c r="F142" s="218"/>
      <c r="G142" s="218"/>
      <c r="H142" s="218"/>
      <c r="I142" s="264"/>
      <c r="J142" s="218"/>
      <c r="K142" s="218"/>
      <c r="L142" s="375"/>
      <c r="M142" s="218"/>
      <c r="N142" s="218"/>
    </row>
    <row r="143" spans="1:15" ht="13.8" thickBot="1">
      <c r="B143" s="593" t="s">
        <v>749</v>
      </c>
      <c r="C143" s="594"/>
      <c r="D143" s="594"/>
      <c r="E143" s="594"/>
      <c r="F143" s="594"/>
      <c r="G143" s="218"/>
      <c r="H143" s="218"/>
      <c r="I143" s="264"/>
      <c r="J143" s="218"/>
      <c r="K143" s="218"/>
      <c r="L143" s="375"/>
      <c r="M143" s="218"/>
      <c r="N143" s="218"/>
      <c r="O143" s="218"/>
    </row>
    <row r="144" spans="1:15" ht="20.100000000000001" customHeight="1" thickBot="1">
      <c r="A144" s="126" t="s">
        <v>970</v>
      </c>
      <c r="B144" s="595" t="s">
        <v>750</v>
      </c>
      <c r="C144" s="589"/>
      <c r="D144" s="589"/>
      <c r="E144" s="589"/>
      <c r="F144" s="589"/>
      <c r="G144" s="589"/>
      <c r="H144" s="376"/>
      <c r="I144" s="264"/>
      <c r="J144" s="377">
        <f>SUM(J135,J117,J100,J67,)</f>
        <v>0</v>
      </c>
      <c r="K144" s="378"/>
      <c r="L144" s="377">
        <f>SUM(L135,L117,L100,L67,)</f>
        <v>0</v>
      </c>
      <c r="M144" s="218"/>
      <c r="N144" s="218"/>
      <c r="O144" s="218"/>
    </row>
    <row r="145" spans="1:14" ht="13.8" thickBot="1">
      <c r="B145" s="379"/>
      <c r="C145" s="587" t="s">
        <v>751</v>
      </c>
      <c r="D145" s="588"/>
      <c r="E145" s="588"/>
      <c r="F145" s="588"/>
      <c r="G145" s="588"/>
      <c r="H145" s="588"/>
      <c r="I145" s="588"/>
      <c r="J145" s="302"/>
      <c r="K145" s="302"/>
      <c r="L145" s="305"/>
      <c r="M145" s="218"/>
      <c r="N145" s="218"/>
    </row>
    <row r="146" spans="1:14" ht="13.8" thickBot="1">
      <c r="B146" s="218"/>
      <c r="C146" s="264"/>
      <c r="D146" s="264"/>
      <c r="E146" s="264"/>
      <c r="F146" s="264"/>
      <c r="G146" s="264"/>
      <c r="H146" s="264"/>
      <c r="I146" s="264"/>
      <c r="J146" s="218"/>
      <c r="K146" s="218"/>
      <c r="L146" s="218"/>
      <c r="M146" s="218"/>
      <c r="N146" s="218"/>
    </row>
    <row r="147" spans="1:14" s="283" customFormat="1" ht="18" thickBot="1">
      <c r="A147" s="126" t="s">
        <v>970</v>
      </c>
      <c r="B147" s="589" t="s">
        <v>752</v>
      </c>
      <c r="C147" s="589"/>
      <c r="D147" s="589"/>
      <c r="E147" s="589"/>
      <c r="F147" s="589"/>
      <c r="G147" s="589"/>
      <c r="H147" s="376"/>
      <c r="I147" s="264"/>
      <c r="J147" s="377">
        <f>SUM(J135,J117,J100,J67,J8)</f>
        <v>0</v>
      </c>
      <c r="K147" s="378"/>
      <c r="L147" s="378"/>
    </row>
    <row r="152" spans="1:14" ht="22.8">
      <c r="C152" s="579" t="s">
        <v>1051</v>
      </c>
      <c r="D152" s="579"/>
      <c r="E152" s="579"/>
      <c r="F152" s="579"/>
      <c r="G152" s="579"/>
      <c r="H152" s="579"/>
      <c r="I152" s="579"/>
      <c r="J152" s="579"/>
    </row>
  </sheetData>
  <mergeCells count="25">
    <mergeCell ref="C135:G135"/>
    <mergeCell ref="B143:F143"/>
    <mergeCell ref="B144:G144"/>
    <mergeCell ref="C3:M3"/>
    <mergeCell ref="C26:F26"/>
    <mergeCell ref="C27:F27"/>
    <mergeCell ref="C28:F28"/>
    <mergeCell ref="C29:F29"/>
    <mergeCell ref="I5:O5"/>
    <mergeCell ref="C152:J152"/>
    <mergeCell ref="I70:L70"/>
    <mergeCell ref="C59:F59"/>
    <mergeCell ref="C60:F60"/>
    <mergeCell ref="C61:F61"/>
    <mergeCell ref="C62:F62"/>
    <mergeCell ref="C67:I67"/>
    <mergeCell ref="C145:I145"/>
    <mergeCell ref="B147:G147"/>
    <mergeCell ref="C92:G92"/>
    <mergeCell ref="C93:G93"/>
    <mergeCell ref="C94:G94"/>
    <mergeCell ref="C95:G95"/>
    <mergeCell ref="C100:F100"/>
    <mergeCell ref="I107:L107"/>
    <mergeCell ref="C117:G117"/>
  </mergeCells>
  <hyperlinks>
    <hyperlink ref="C152:J152" location="'Section G'!A1" display="Next"/>
  </hyperlinks>
  <pageMargins left="0.75" right="0.49" top="1" bottom="0.68" header="0.5" footer="0.5"/>
  <pageSetup scale="81" orientation="portrait" r:id="rId1"/>
  <headerFooter alignWithMargins="0">
    <oddFooter>&amp;L&amp;A&amp;CFY 2012 CSBG IS FORMS&amp;RPAGE &amp;P OF &amp;N</oddFooter>
  </headerFooter>
  <rowBreaks count="2" manualBreakCount="2">
    <brk id="70" max="16383" man="1"/>
    <brk id="107"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P83"/>
  <sheetViews>
    <sheetView showGridLines="0" topLeftCell="B1" zoomScaleNormal="100" zoomScaleSheetLayoutView="100" workbookViewId="0">
      <selection activeCell="Q41" sqref="Q41"/>
    </sheetView>
  </sheetViews>
  <sheetFormatPr defaultColWidth="9.109375" defaultRowHeight="13.2"/>
  <cols>
    <col min="1" max="1" width="14.88671875" style="381" hidden="1" customWidth="1"/>
    <col min="2" max="2" width="9.109375" style="381"/>
    <col min="3" max="3" width="19.44140625" style="381" customWidth="1"/>
    <col min="4" max="4" width="11.88671875" style="381" customWidth="1"/>
    <col min="5" max="5" width="12.109375" style="381" customWidth="1"/>
    <col min="6" max="6" width="12" style="381" customWidth="1"/>
    <col min="7" max="7" width="4" style="381" customWidth="1"/>
    <col min="8" max="8" width="2.6640625" style="381" customWidth="1"/>
    <col min="9" max="9" width="6.44140625" style="381" customWidth="1"/>
    <col min="10" max="11" width="9.109375" style="381"/>
    <col min="12" max="12" width="8.109375" style="381" customWidth="1"/>
    <col min="13" max="13" width="12.33203125" style="381" customWidth="1"/>
    <col min="14" max="14" width="8.88671875"/>
    <col min="15" max="15" width="14.33203125" hidden="1" customWidth="1"/>
    <col min="16" max="16384" width="9.109375" style="381"/>
  </cols>
  <sheetData>
    <row r="3" spans="1:15" ht="21">
      <c r="A3" s="380"/>
      <c r="B3" s="469" t="s">
        <v>753</v>
      </c>
      <c r="C3" s="469"/>
      <c r="D3" s="469"/>
      <c r="E3" s="469"/>
      <c r="F3" s="469"/>
      <c r="G3" s="469"/>
      <c r="H3" s="469"/>
      <c r="I3" s="469"/>
      <c r="J3" s="469"/>
      <c r="K3" s="469"/>
      <c r="L3" s="469"/>
      <c r="M3" s="469"/>
      <c r="N3" s="45"/>
      <c r="O3" s="381"/>
    </row>
    <row r="4" spans="1:15">
      <c r="A4" s="380"/>
      <c r="O4" s="381"/>
    </row>
    <row r="5" spans="1:15">
      <c r="A5" s="380"/>
      <c r="B5" s="382" t="s">
        <v>754</v>
      </c>
      <c r="E5" s="626">
        <f>CoverSheet!D6</f>
        <v>0</v>
      </c>
      <c r="F5" s="627"/>
      <c r="G5" s="627"/>
      <c r="H5" s="627"/>
      <c r="I5" s="627"/>
      <c r="J5" s="627"/>
      <c r="K5" s="627"/>
      <c r="L5" s="627"/>
      <c r="M5" s="627"/>
      <c r="N5" s="628"/>
      <c r="O5" s="381"/>
    </row>
    <row r="6" spans="1:15">
      <c r="A6" s="380"/>
      <c r="N6" s="381"/>
      <c r="O6" s="381"/>
    </row>
    <row r="7" spans="1:15">
      <c r="A7" s="380"/>
      <c r="N7" s="381"/>
      <c r="O7" s="381"/>
    </row>
    <row r="8" spans="1:15" ht="12.75" customHeight="1">
      <c r="A8" s="126" t="s">
        <v>971</v>
      </c>
      <c r="B8" s="382" t="s">
        <v>755</v>
      </c>
      <c r="I8" s="629"/>
      <c r="J8" s="629"/>
      <c r="N8" s="381"/>
      <c r="O8" s="381"/>
    </row>
    <row r="9" spans="1:15" ht="3" customHeight="1">
      <c r="A9" s="380"/>
      <c r="B9" s="382"/>
      <c r="I9" s="383">
        <v>3</v>
      </c>
      <c r="J9" s="383"/>
      <c r="N9" s="381"/>
      <c r="O9" s="381"/>
    </row>
    <row r="10" spans="1:15" ht="12.75" customHeight="1">
      <c r="A10" s="126" t="s">
        <v>971</v>
      </c>
      <c r="B10" s="382" t="s">
        <v>756</v>
      </c>
      <c r="I10" s="630"/>
      <c r="J10" s="630"/>
      <c r="N10" s="381"/>
      <c r="O10" s="381"/>
    </row>
    <row r="11" spans="1:15" ht="6" customHeight="1" thickBot="1">
      <c r="A11" s="380"/>
      <c r="B11" s="382"/>
      <c r="I11" s="216"/>
      <c r="J11" s="216"/>
      <c r="N11" s="381"/>
      <c r="O11" s="381"/>
    </row>
    <row r="12" spans="1:15" ht="15" customHeight="1" thickBot="1">
      <c r="A12" s="380"/>
      <c r="B12" s="382" t="s">
        <v>757</v>
      </c>
      <c r="I12" s="631">
        <f>I8+I10</f>
        <v>0</v>
      </c>
      <c r="J12" s="632"/>
      <c r="N12" s="381"/>
      <c r="O12" s="381"/>
    </row>
    <row r="13" spans="1:15">
      <c r="A13" s="380"/>
      <c r="B13" s="382"/>
      <c r="M13" s="384"/>
      <c r="O13" s="381"/>
    </row>
    <row r="14" spans="1:15">
      <c r="A14" s="126" t="s">
        <v>972</v>
      </c>
      <c r="B14" s="382" t="s">
        <v>758</v>
      </c>
      <c r="M14" s="385">
        <v>10</v>
      </c>
      <c r="O14" s="381"/>
    </row>
    <row r="15" spans="1:15">
      <c r="A15" s="126" t="s">
        <v>973</v>
      </c>
      <c r="B15" s="382" t="s">
        <v>759</v>
      </c>
      <c r="M15" s="385"/>
      <c r="O15" s="381"/>
    </row>
    <row r="16" spans="1:15">
      <c r="A16" s="126" t="s">
        <v>974</v>
      </c>
      <c r="B16" s="386" t="s">
        <v>760</v>
      </c>
      <c r="M16" s="385">
        <v>10</v>
      </c>
      <c r="O16" s="381"/>
    </row>
    <row r="17" spans="1:16">
      <c r="A17" s="126" t="s">
        <v>975</v>
      </c>
      <c r="B17" s="386" t="s">
        <v>761</v>
      </c>
      <c r="M17" s="385"/>
      <c r="O17" s="381"/>
    </row>
    <row r="18" spans="1:16" ht="9.75" customHeight="1">
      <c r="A18" s="380"/>
      <c r="O18" s="381"/>
    </row>
    <row r="19" spans="1:16" ht="12.75" customHeight="1">
      <c r="A19" s="380"/>
      <c r="B19" s="387" t="s">
        <v>762</v>
      </c>
      <c r="C19" s="388"/>
      <c r="D19" s="389"/>
      <c r="E19" s="390" t="s">
        <v>763</v>
      </c>
      <c r="F19" s="390"/>
      <c r="G19" s="391"/>
      <c r="H19" s="392"/>
      <c r="I19" s="393"/>
      <c r="J19" s="394" t="s">
        <v>764</v>
      </c>
      <c r="K19" s="389"/>
      <c r="L19" s="391"/>
      <c r="M19" s="395" t="s">
        <v>765</v>
      </c>
      <c r="N19" s="396"/>
    </row>
    <row r="20" spans="1:16" ht="12.75" customHeight="1">
      <c r="A20" s="126" t="s">
        <v>976</v>
      </c>
      <c r="B20" s="397" t="s">
        <v>766</v>
      </c>
      <c r="C20" s="397"/>
      <c r="D20" s="398"/>
      <c r="E20" s="399"/>
      <c r="F20" s="384"/>
      <c r="G20" s="380"/>
      <c r="H20" s="400"/>
      <c r="I20" s="401" t="s">
        <v>767</v>
      </c>
      <c r="M20" s="477">
        <f>E69</f>
        <v>0</v>
      </c>
      <c r="N20" s="478" t="s">
        <v>1062</v>
      </c>
      <c r="O20" s="126" t="s">
        <v>1014</v>
      </c>
      <c r="P20" s="402"/>
    </row>
    <row r="21" spans="1:16" ht="12.75" customHeight="1">
      <c r="A21" s="126" t="s">
        <v>977</v>
      </c>
      <c r="B21" s="401" t="s">
        <v>768</v>
      </c>
      <c r="C21" s="401"/>
      <c r="D21" s="403"/>
      <c r="E21" s="404"/>
      <c r="F21" s="384"/>
      <c r="G21" s="380"/>
      <c r="H21" s="400"/>
      <c r="I21" s="401" t="s">
        <v>769</v>
      </c>
      <c r="M21" s="404"/>
      <c r="O21" s="126" t="s">
        <v>1015</v>
      </c>
    </row>
    <row r="22" spans="1:16" ht="12.75" customHeight="1">
      <c r="A22" s="126" t="s">
        <v>979</v>
      </c>
      <c r="B22" s="401" t="s">
        <v>770</v>
      </c>
      <c r="C22" s="401"/>
      <c r="D22" s="403"/>
      <c r="E22" s="405">
        <f>SUM(E20:E21)</f>
        <v>0</v>
      </c>
      <c r="F22" s="406"/>
      <c r="G22" s="380"/>
      <c r="H22" s="400"/>
      <c r="I22" s="401" t="s">
        <v>771</v>
      </c>
      <c r="M22" s="404"/>
      <c r="O22" s="126" t="s">
        <v>1016</v>
      </c>
    </row>
    <row r="23" spans="1:16" ht="12.75" customHeight="1">
      <c r="A23" s="380"/>
      <c r="B23" s="216"/>
      <c r="C23" s="216"/>
      <c r="D23" s="380"/>
      <c r="E23" s="380"/>
      <c r="F23" s="380"/>
      <c r="G23" s="380"/>
      <c r="H23" s="400"/>
      <c r="I23" s="401" t="s">
        <v>772</v>
      </c>
      <c r="M23" s="404"/>
      <c r="O23" s="126" t="s">
        <v>1017</v>
      </c>
    </row>
    <row r="24" spans="1:16" ht="12.75" customHeight="1">
      <c r="A24" s="380"/>
      <c r="B24" s="387" t="s">
        <v>773</v>
      </c>
      <c r="C24" s="407"/>
      <c r="D24" s="389"/>
      <c r="E24" s="390" t="s">
        <v>763</v>
      </c>
      <c r="F24" s="390"/>
      <c r="G24" s="389"/>
      <c r="H24" s="400"/>
      <c r="I24" s="401" t="s">
        <v>774</v>
      </c>
      <c r="M24" s="404"/>
      <c r="O24" s="126" t="s">
        <v>1018</v>
      </c>
    </row>
    <row r="25" spans="1:16" ht="12.75" customHeight="1">
      <c r="A25" s="126" t="s">
        <v>978</v>
      </c>
      <c r="B25" s="397" t="s">
        <v>775</v>
      </c>
      <c r="C25" s="397"/>
      <c r="D25" s="398"/>
      <c r="E25" s="399"/>
      <c r="F25" s="384"/>
      <c r="G25" s="380"/>
      <c r="H25" s="400"/>
      <c r="I25" s="401" t="s">
        <v>776</v>
      </c>
      <c r="K25" s="380"/>
      <c r="M25" s="404"/>
      <c r="O25" s="126" t="s">
        <v>1019</v>
      </c>
    </row>
    <row r="26" spans="1:16" ht="12.75" customHeight="1">
      <c r="A26" s="126" t="s">
        <v>980</v>
      </c>
      <c r="B26" s="408" t="s">
        <v>777</v>
      </c>
      <c r="C26" s="409"/>
      <c r="D26" s="410"/>
      <c r="E26" s="404"/>
      <c r="F26" s="384"/>
      <c r="G26" s="380"/>
      <c r="H26" s="400"/>
      <c r="I26" s="401" t="s">
        <v>778</v>
      </c>
      <c r="K26" s="380"/>
      <c r="M26" s="404"/>
      <c r="O26" s="126" t="s">
        <v>1020</v>
      </c>
    </row>
    <row r="27" spans="1:16" ht="12.75" customHeight="1">
      <c r="A27" s="126" t="s">
        <v>981</v>
      </c>
      <c r="B27" s="408" t="s">
        <v>779</v>
      </c>
      <c r="C27" s="409"/>
      <c r="D27" s="410"/>
      <c r="E27" s="404"/>
      <c r="F27" s="384"/>
      <c r="G27" s="380"/>
      <c r="H27" s="400"/>
      <c r="I27" s="401" t="s">
        <v>780</v>
      </c>
      <c r="K27" s="380"/>
      <c r="M27" s="404"/>
      <c r="O27" s="126" t="s">
        <v>1021</v>
      </c>
    </row>
    <row r="28" spans="1:16" ht="12.75" customHeight="1">
      <c r="A28" s="126" t="s">
        <v>982</v>
      </c>
      <c r="B28" s="401" t="s">
        <v>781</v>
      </c>
      <c r="C28" s="401"/>
      <c r="D28" s="403"/>
      <c r="E28" s="404"/>
      <c r="F28" s="384"/>
      <c r="G28" s="380"/>
      <c r="H28" s="400"/>
      <c r="I28" s="401" t="s">
        <v>782</v>
      </c>
      <c r="J28" s="401"/>
      <c r="K28" s="401"/>
      <c r="L28" s="403"/>
      <c r="M28" s="405">
        <f>SUM(M20:M27)</f>
        <v>0</v>
      </c>
      <c r="O28" s="126" t="s">
        <v>1022</v>
      </c>
    </row>
    <row r="29" spans="1:16" ht="12.75" customHeight="1">
      <c r="A29" s="126" t="s">
        <v>983</v>
      </c>
      <c r="B29" s="401" t="s">
        <v>783</v>
      </c>
      <c r="C29" s="401"/>
      <c r="D29" s="403"/>
      <c r="E29" s="404"/>
      <c r="F29" s="384"/>
      <c r="G29" s="380"/>
      <c r="H29" s="400"/>
      <c r="I29" s="380"/>
      <c r="J29" s="380"/>
      <c r="K29" s="380"/>
    </row>
    <row r="30" spans="1:16" ht="12.75" customHeight="1">
      <c r="A30" s="126" t="s">
        <v>984</v>
      </c>
      <c r="B30" s="401" t="s">
        <v>784</v>
      </c>
      <c r="C30" s="401"/>
      <c r="D30" s="403"/>
      <c r="E30" s="404"/>
      <c r="F30" s="384"/>
      <c r="G30" s="380"/>
      <c r="H30" s="411"/>
      <c r="I30" s="412" t="s">
        <v>785</v>
      </c>
      <c r="J30" s="413"/>
      <c r="K30" s="389"/>
      <c r="L30" s="389"/>
      <c r="M30" s="395" t="s">
        <v>786</v>
      </c>
      <c r="N30" s="396"/>
    </row>
    <row r="31" spans="1:16" ht="12.75" customHeight="1">
      <c r="A31" s="126" t="s">
        <v>985</v>
      </c>
      <c r="B31" s="401" t="s">
        <v>787</v>
      </c>
      <c r="C31" s="401"/>
      <c r="D31" s="403"/>
      <c r="E31" s="404"/>
      <c r="F31" s="623" t="s">
        <v>1061</v>
      </c>
      <c r="G31" s="624"/>
      <c r="H31" s="400"/>
      <c r="I31" s="401" t="s">
        <v>788</v>
      </c>
      <c r="J31" s="401"/>
      <c r="K31" s="401"/>
      <c r="L31" s="401"/>
      <c r="M31" s="633"/>
      <c r="O31" s="608" t="s">
        <v>1023</v>
      </c>
    </row>
    <row r="32" spans="1:16" ht="12.75" customHeight="1">
      <c r="A32" s="126" t="s">
        <v>986</v>
      </c>
      <c r="B32" s="401" t="s">
        <v>789</v>
      </c>
      <c r="C32" s="401"/>
      <c r="D32" s="403"/>
      <c r="E32" s="404"/>
      <c r="F32" s="625">
        <f>SUM(E29:E32)</f>
        <v>0</v>
      </c>
      <c r="G32" s="625"/>
      <c r="H32" s="400"/>
      <c r="I32" s="380" t="s">
        <v>790</v>
      </c>
      <c r="J32" s="380"/>
      <c r="K32" s="380"/>
      <c r="L32" s="414"/>
      <c r="M32" s="634"/>
      <c r="O32" s="609"/>
    </row>
    <row r="33" spans="1:16" ht="12.75" customHeight="1">
      <c r="A33" s="126" t="s">
        <v>987</v>
      </c>
      <c r="B33" s="401" t="s">
        <v>770</v>
      </c>
      <c r="C33" s="401"/>
      <c r="D33" s="403"/>
      <c r="E33" s="405">
        <f>SUM(E25:E32)</f>
        <v>0</v>
      </c>
      <c r="F33" s="415"/>
      <c r="G33" s="380"/>
      <c r="H33" s="400"/>
      <c r="I33" s="401" t="s">
        <v>791</v>
      </c>
      <c r="J33" s="401"/>
      <c r="K33" s="401"/>
      <c r="L33" s="401"/>
      <c r="M33" s="603"/>
      <c r="O33" s="608" t="s">
        <v>1024</v>
      </c>
    </row>
    <row r="34" spans="1:16" ht="12.75" customHeight="1">
      <c r="A34" s="380"/>
      <c r="B34" s="380"/>
      <c r="C34" s="380"/>
      <c r="G34" s="380"/>
      <c r="H34" s="400"/>
      <c r="I34" s="381" t="s">
        <v>792</v>
      </c>
      <c r="J34" s="380"/>
      <c r="K34" s="380"/>
      <c r="L34" s="216"/>
      <c r="M34" s="603"/>
      <c r="O34" s="609"/>
    </row>
    <row r="35" spans="1:16" ht="12.75" customHeight="1">
      <c r="A35" s="380"/>
      <c r="B35" s="387" t="s">
        <v>793</v>
      </c>
      <c r="C35" s="389"/>
      <c r="D35" s="391"/>
      <c r="E35" s="390" t="s">
        <v>763</v>
      </c>
      <c r="F35" s="390"/>
      <c r="G35" s="416"/>
      <c r="H35" s="400"/>
      <c r="I35" s="604" t="s">
        <v>794</v>
      </c>
      <c r="J35" s="605"/>
      <c r="K35" s="605"/>
      <c r="L35" s="605"/>
      <c r="M35" s="417"/>
    </row>
    <row r="36" spans="1:16" ht="12.75" customHeight="1">
      <c r="B36" s="382" t="s">
        <v>795</v>
      </c>
      <c r="F36" s="418"/>
      <c r="G36" s="380"/>
      <c r="H36" s="400"/>
      <c r="I36" s="605"/>
      <c r="J36" s="605"/>
      <c r="K36" s="605"/>
      <c r="L36" s="605"/>
      <c r="M36" s="606">
        <f>SUM(M31:M34)</f>
        <v>0</v>
      </c>
      <c r="O36" s="608" t="s">
        <v>1025</v>
      </c>
    </row>
    <row r="37" spans="1:16" ht="12.75" customHeight="1">
      <c r="A37" s="126" t="s">
        <v>988</v>
      </c>
      <c r="B37" s="401" t="s">
        <v>796</v>
      </c>
      <c r="C37" s="401"/>
      <c r="D37" s="403"/>
      <c r="E37" s="404"/>
      <c r="F37" s="418"/>
      <c r="G37" s="380"/>
      <c r="H37" s="400"/>
      <c r="I37" s="605"/>
      <c r="J37" s="605"/>
      <c r="K37" s="605"/>
      <c r="L37" s="605"/>
      <c r="M37" s="607"/>
      <c r="O37" s="609"/>
    </row>
    <row r="38" spans="1:16" ht="12.75" customHeight="1">
      <c r="A38" s="126" t="s">
        <v>989</v>
      </c>
      <c r="B38" s="401" t="s">
        <v>797</v>
      </c>
      <c r="C38" s="401"/>
      <c r="D38" s="403"/>
      <c r="E38" s="404"/>
      <c r="H38" s="400"/>
      <c r="I38" s="605"/>
      <c r="J38" s="605"/>
      <c r="K38" s="605"/>
      <c r="L38" s="605"/>
    </row>
    <row r="39" spans="1:16" ht="12.75" customHeight="1">
      <c r="A39" s="126" t="s">
        <v>990</v>
      </c>
      <c r="B39" s="401" t="s">
        <v>770</v>
      </c>
      <c r="C39" s="401"/>
      <c r="D39" s="403"/>
      <c r="E39" s="405">
        <f>SUM(E37:E38)</f>
        <v>0</v>
      </c>
      <c r="H39" s="400"/>
      <c r="I39" s="611" t="s">
        <v>798</v>
      </c>
      <c r="J39" s="611"/>
      <c r="K39" s="611"/>
      <c r="L39" s="611"/>
      <c r="M39" s="611"/>
    </row>
    <row r="40" spans="1:16" ht="12.75" customHeight="1">
      <c r="A40" s="380"/>
      <c r="F40" s="384"/>
      <c r="G40" s="380"/>
      <c r="H40" s="400"/>
      <c r="I40" s="612" t="s">
        <v>799</v>
      </c>
      <c r="J40" s="612"/>
      <c r="K40" s="612"/>
      <c r="L40" s="612"/>
      <c r="M40" s="612"/>
    </row>
    <row r="41" spans="1:16" ht="12.75" customHeight="1">
      <c r="A41" s="380"/>
      <c r="B41" s="419" t="s">
        <v>800</v>
      </c>
      <c r="C41" s="419"/>
      <c r="D41" s="419"/>
      <c r="E41" s="420"/>
      <c r="F41" s="415"/>
      <c r="G41" s="380"/>
      <c r="H41" s="400"/>
      <c r="I41" s="401" t="s">
        <v>801</v>
      </c>
      <c r="J41" s="380"/>
      <c r="K41" s="380"/>
      <c r="L41" s="216"/>
      <c r="M41" s="404"/>
      <c r="O41" s="126" t="s">
        <v>1026</v>
      </c>
    </row>
    <row r="42" spans="1:16" ht="12.75" customHeight="1">
      <c r="A42" s="126" t="s">
        <v>998</v>
      </c>
      <c r="B42" s="401" t="s">
        <v>802</v>
      </c>
      <c r="C42" s="380"/>
      <c r="D42" s="380"/>
      <c r="E42" s="421"/>
      <c r="F42" s="380"/>
      <c r="G42" s="380"/>
      <c r="H42" s="400"/>
      <c r="I42" s="401" t="s">
        <v>803</v>
      </c>
      <c r="J42" s="380"/>
      <c r="K42" s="380"/>
      <c r="L42" s="216"/>
      <c r="M42" s="404"/>
      <c r="O42" s="126" t="s">
        <v>1027</v>
      </c>
    </row>
    <row r="43" spans="1:16" ht="12.75" customHeight="1">
      <c r="A43" s="126" t="s">
        <v>999</v>
      </c>
      <c r="B43" s="401" t="s">
        <v>804</v>
      </c>
      <c r="C43" s="380"/>
      <c r="D43" s="380"/>
      <c r="E43" s="421"/>
      <c r="G43" s="380"/>
      <c r="H43" s="400"/>
      <c r="I43" s="401" t="s">
        <v>805</v>
      </c>
      <c r="J43" s="380"/>
      <c r="K43" s="380"/>
      <c r="L43" s="216"/>
      <c r="M43" s="404"/>
      <c r="O43" s="126" t="s">
        <v>1028</v>
      </c>
    </row>
    <row r="44" spans="1:16" ht="12.75" customHeight="1">
      <c r="A44" s="126" t="s">
        <v>1000</v>
      </c>
      <c r="B44" s="401" t="s">
        <v>806</v>
      </c>
      <c r="C44" s="380"/>
      <c r="E44" s="421"/>
      <c r="F44" s="422"/>
      <c r="G44" s="423"/>
      <c r="H44" s="380"/>
      <c r="I44" s="401" t="s">
        <v>807</v>
      </c>
      <c r="J44" s="380"/>
      <c r="K44" s="380"/>
      <c r="L44" s="216"/>
      <c r="M44" s="404"/>
      <c r="O44" s="126" t="s">
        <v>1029</v>
      </c>
    </row>
    <row r="45" spans="1:16" ht="12.75" customHeight="1">
      <c r="A45" s="126" t="s">
        <v>1001</v>
      </c>
      <c r="B45" s="401" t="s">
        <v>808</v>
      </c>
      <c r="C45" s="380"/>
      <c r="E45" s="421"/>
      <c r="F45" s="422"/>
      <c r="G45" s="380"/>
      <c r="H45" s="400"/>
      <c r="I45" s="401" t="s">
        <v>809</v>
      </c>
      <c r="J45" s="380"/>
      <c r="K45" s="380"/>
      <c r="L45" s="216"/>
      <c r="M45" s="404"/>
      <c r="O45" s="126" t="s">
        <v>1030</v>
      </c>
    </row>
    <row r="46" spans="1:16" ht="12.75" customHeight="1">
      <c r="A46" s="126" t="s">
        <v>1002</v>
      </c>
      <c r="B46" s="401" t="s">
        <v>810</v>
      </c>
      <c r="C46" s="380"/>
      <c r="E46" s="421"/>
      <c r="F46" s="422"/>
      <c r="G46" s="380"/>
      <c r="H46" s="400"/>
      <c r="I46" s="401" t="s">
        <v>811</v>
      </c>
      <c r="J46" s="380"/>
      <c r="K46" s="380"/>
      <c r="L46" s="216"/>
      <c r="M46" s="404"/>
      <c r="O46" s="126" t="s">
        <v>1031</v>
      </c>
    </row>
    <row r="47" spans="1:16" ht="12.75" customHeight="1">
      <c r="A47" s="126" t="s">
        <v>1003</v>
      </c>
      <c r="B47" s="401" t="s">
        <v>812</v>
      </c>
      <c r="C47" s="216"/>
      <c r="E47" s="421"/>
      <c r="F47" s="422"/>
      <c r="G47" s="380"/>
      <c r="H47" s="400"/>
      <c r="I47" s="401" t="s">
        <v>813</v>
      </c>
      <c r="J47" s="380"/>
      <c r="K47" s="380"/>
      <c r="L47" s="216"/>
      <c r="M47" s="404"/>
      <c r="O47" s="126" t="s">
        <v>1032</v>
      </c>
    </row>
    <row r="48" spans="1:16" ht="12.75" customHeight="1">
      <c r="A48" s="126" t="s">
        <v>1004</v>
      </c>
      <c r="B48" s="401" t="s">
        <v>814</v>
      </c>
      <c r="C48" s="216"/>
      <c r="E48" s="424"/>
      <c r="F48" s="422"/>
      <c r="G48" s="380"/>
      <c r="H48" s="425"/>
      <c r="I48" s="401" t="s">
        <v>815</v>
      </c>
      <c r="J48" s="380"/>
      <c r="K48" s="216"/>
      <c r="L48" s="216"/>
      <c r="M48" s="404"/>
      <c r="O48" s="126" t="s">
        <v>1033</v>
      </c>
      <c r="P48" s="380"/>
    </row>
    <row r="49" spans="1:16" ht="12.75" customHeight="1">
      <c r="A49" s="126" t="s">
        <v>991</v>
      </c>
      <c r="B49" s="401" t="s">
        <v>770</v>
      </c>
      <c r="C49" s="401"/>
      <c r="D49" s="403"/>
      <c r="E49" s="405">
        <f>SUM(E42:E48)</f>
        <v>0</v>
      </c>
      <c r="F49" s="422"/>
      <c r="G49" s="380"/>
      <c r="H49" s="425"/>
      <c r="I49" s="401" t="s">
        <v>816</v>
      </c>
      <c r="J49" s="380"/>
      <c r="K49" s="380"/>
      <c r="L49" s="216"/>
      <c r="M49" s="404"/>
      <c r="O49" s="126" t="s">
        <v>1034</v>
      </c>
      <c r="P49" s="380"/>
    </row>
    <row r="50" spans="1:16" ht="12.75" customHeight="1">
      <c r="A50" s="380"/>
      <c r="F50" s="426"/>
      <c r="G50" s="380"/>
      <c r="H50" s="400"/>
      <c r="I50" s="401" t="s">
        <v>817</v>
      </c>
      <c r="J50" s="380"/>
      <c r="K50" s="414"/>
      <c r="L50" s="380"/>
      <c r="M50" s="405">
        <f>SUM(M41:M49)</f>
        <v>0</v>
      </c>
      <c r="O50" s="126" t="s">
        <v>1025</v>
      </c>
      <c r="P50" s="380"/>
    </row>
    <row r="51" spans="1:16" ht="12.75" customHeight="1">
      <c r="A51" s="380"/>
      <c r="B51" s="427" t="s">
        <v>818</v>
      </c>
      <c r="C51" s="428"/>
      <c r="D51" s="428"/>
      <c r="E51" s="428"/>
      <c r="F51" s="380"/>
      <c r="G51" s="429"/>
      <c r="H51" s="430"/>
      <c r="I51" s="431" t="s">
        <v>819</v>
      </c>
      <c r="J51" s="432"/>
      <c r="K51" s="428"/>
      <c r="L51" s="428"/>
      <c r="M51" s="432"/>
      <c r="N51" s="433"/>
      <c r="P51" s="380"/>
    </row>
    <row r="52" spans="1:16" ht="12.75" customHeight="1">
      <c r="A52" s="380"/>
      <c r="B52" s="434" t="s">
        <v>820</v>
      </c>
      <c r="C52" s="435"/>
      <c r="D52" s="436"/>
      <c r="E52" s="437" t="s">
        <v>821</v>
      </c>
      <c r="F52" s="437"/>
      <c r="G52" s="438"/>
      <c r="H52" s="439"/>
      <c r="I52" s="440" t="s">
        <v>822</v>
      </c>
      <c r="J52" s="436"/>
      <c r="K52" s="436"/>
      <c r="L52" s="441"/>
      <c r="M52" s="442" t="s">
        <v>765</v>
      </c>
      <c r="N52" s="443"/>
      <c r="P52" s="380"/>
    </row>
    <row r="53" spans="1:16" ht="12.75" customHeight="1">
      <c r="A53" s="126" t="s">
        <v>992</v>
      </c>
      <c r="B53" s="401" t="s">
        <v>823</v>
      </c>
      <c r="C53" s="216"/>
      <c r="D53" s="414"/>
      <c r="E53" s="444"/>
      <c r="F53" s="380"/>
      <c r="G53" s="445"/>
      <c r="H53" s="430"/>
      <c r="I53" s="401" t="s">
        <v>824</v>
      </c>
      <c r="J53" s="380"/>
      <c r="K53" s="414"/>
      <c r="L53" s="446"/>
      <c r="M53" s="404"/>
      <c r="O53" s="126" t="s">
        <v>1035</v>
      </c>
      <c r="P53" s="380"/>
    </row>
    <row r="54" spans="1:16" ht="12.75" customHeight="1">
      <c r="A54" s="126" t="s">
        <v>993</v>
      </c>
      <c r="B54" s="401" t="s">
        <v>825</v>
      </c>
      <c r="C54" s="216"/>
      <c r="D54" s="380"/>
      <c r="E54" s="447"/>
      <c r="F54" s="448"/>
      <c r="G54" s="445"/>
      <c r="H54" s="380"/>
      <c r="I54" s="401" t="s">
        <v>826</v>
      </c>
      <c r="J54" s="446"/>
      <c r="K54" s="446"/>
      <c r="L54" s="380"/>
      <c r="M54" s="404"/>
      <c r="O54" s="126" t="s">
        <v>1036</v>
      </c>
      <c r="P54" s="380"/>
    </row>
    <row r="55" spans="1:16" ht="12.75" customHeight="1">
      <c r="A55" s="126" t="s">
        <v>994</v>
      </c>
      <c r="B55" s="401" t="s">
        <v>827</v>
      </c>
      <c r="C55" s="216"/>
      <c r="E55" s="447"/>
      <c r="F55" s="448"/>
      <c r="G55" s="380"/>
      <c r="H55" s="400"/>
      <c r="I55" s="401" t="s">
        <v>828</v>
      </c>
      <c r="J55" s="380"/>
      <c r="K55" s="380"/>
      <c r="L55" s="380"/>
      <c r="M55" s="404"/>
      <c r="O55" s="126" t="s">
        <v>1037</v>
      </c>
      <c r="P55" s="380"/>
    </row>
    <row r="56" spans="1:16" ht="12.75" customHeight="1">
      <c r="A56" s="126" t="s">
        <v>995</v>
      </c>
      <c r="B56" s="401" t="s">
        <v>829</v>
      </c>
      <c r="C56" s="380"/>
      <c r="E56" s="447"/>
      <c r="F56" s="448"/>
      <c r="G56" s="380"/>
      <c r="H56" s="400"/>
      <c r="I56" s="401" t="s">
        <v>830</v>
      </c>
      <c r="J56" s="380"/>
      <c r="K56" s="380"/>
      <c r="L56" s="380"/>
      <c r="M56" s="404"/>
      <c r="O56" s="126" t="s">
        <v>1038</v>
      </c>
      <c r="P56" s="380"/>
    </row>
    <row r="57" spans="1:16" ht="12.75" customHeight="1">
      <c r="A57" s="126" t="s">
        <v>996</v>
      </c>
      <c r="B57" s="401" t="s">
        <v>831</v>
      </c>
      <c r="C57" s="380"/>
      <c r="E57" s="447"/>
      <c r="F57" s="448"/>
      <c r="G57" s="216"/>
      <c r="H57" s="400"/>
      <c r="I57" s="401" t="s">
        <v>832</v>
      </c>
      <c r="J57" s="380"/>
      <c r="K57" s="380"/>
      <c r="L57" s="380"/>
      <c r="M57" s="404"/>
      <c r="O57" s="126" t="s">
        <v>1039</v>
      </c>
      <c r="P57" s="380"/>
    </row>
    <row r="58" spans="1:16" ht="12.75" customHeight="1">
      <c r="A58" s="126" t="s">
        <v>997</v>
      </c>
      <c r="B58" s="401" t="s">
        <v>833</v>
      </c>
      <c r="C58" s="401"/>
      <c r="D58" s="403"/>
      <c r="E58" s="405">
        <f>SUM(E53:E57)</f>
        <v>0</v>
      </c>
      <c r="F58" s="415"/>
      <c r="G58" s="380"/>
      <c r="H58" s="400"/>
      <c r="I58" s="263" t="s">
        <v>834</v>
      </c>
      <c r="J58" s="449"/>
      <c r="K58" s="449"/>
      <c r="L58" s="449"/>
      <c r="M58" s="404"/>
      <c r="O58" s="126" t="s">
        <v>1040</v>
      </c>
      <c r="P58" s="380"/>
    </row>
    <row r="59" spans="1:16" ht="12.75" customHeight="1">
      <c r="A59" s="380"/>
      <c r="E59" s="380"/>
      <c r="F59" s="380"/>
      <c r="G59" s="380"/>
      <c r="H59" s="400"/>
      <c r="I59" s="263" t="s">
        <v>835</v>
      </c>
      <c r="J59" s="316"/>
      <c r="K59" s="316"/>
      <c r="L59" s="316"/>
      <c r="M59" s="450"/>
      <c r="O59" s="126" t="s">
        <v>1041</v>
      </c>
      <c r="P59" s="380"/>
    </row>
    <row r="60" spans="1:16" ht="12.75" customHeight="1">
      <c r="A60" s="380"/>
      <c r="B60" s="387" t="s">
        <v>836</v>
      </c>
      <c r="C60" s="391"/>
      <c r="D60" s="391"/>
      <c r="E60" s="390" t="s">
        <v>763</v>
      </c>
      <c r="F60" s="390"/>
      <c r="G60" s="416"/>
      <c r="I60" s="263" t="s">
        <v>837</v>
      </c>
      <c r="J60" s="316"/>
      <c r="K60" s="316"/>
      <c r="L60" s="316"/>
      <c r="M60" s="450"/>
      <c r="O60" s="126" t="s">
        <v>1042</v>
      </c>
      <c r="P60" s="380"/>
    </row>
    <row r="61" spans="1:16" ht="12.75" customHeight="1">
      <c r="A61" s="380"/>
      <c r="C61" s="216"/>
      <c r="D61" s="451" t="s">
        <v>499</v>
      </c>
      <c r="E61" s="451" t="s">
        <v>500</v>
      </c>
      <c r="F61" s="452" t="s">
        <v>770</v>
      </c>
      <c r="G61" s="380"/>
      <c r="H61" s="400"/>
      <c r="I61" s="401" t="s">
        <v>782</v>
      </c>
      <c r="J61" s="401"/>
      <c r="K61" s="401"/>
      <c r="L61" s="401"/>
      <c r="M61" s="405">
        <f>SUM(M53:M60)</f>
        <v>0</v>
      </c>
      <c r="O61" s="126" t="s">
        <v>1043</v>
      </c>
      <c r="P61" s="380"/>
    </row>
    <row r="62" spans="1:16" ht="12.75" customHeight="1">
      <c r="A62" s="126" t="s">
        <v>1005</v>
      </c>
      <c r="B62" s="263" t="s">
        <v>838</v>
      </c>
      <c r="C62" s="316"/>
      <c r="D62" s="453"/>
      <c r="E62" s="454"/>
      <c r="F62" s="405">
        <f>D62+E62</f>
        <v>0</v>
      </c>
      <c r="G62" s="429"/>
      <c r="H62" s="400"/>
      <c r="P62" s="380"/>
    </row>
    <row r="63" spans="1:16" ht="12.75" customHeight="1">
      <c r="A63" s="126" t="s">
        <v>1006</v>
      </c>
      <c r="B63" s="263" t="s">
        <v>839</v>
      </c>
      <c r="C63" s="316"/>
      <c r="D63" s="453"/>
      <c r="E63" s="454"/>
      <c r="F63" s="405">
        <f>D63+E63</f>
        <v>0</v>
      </c>
      <c r="G63" s="455"/>
      <c r="H63" s="411"/>
      <c r="I63" s="412" t="s">
        <v>840</v>
      </c>
      <c r="J63" s="389"/>
      <c r="K63" s="391"/>
      <c r="L63" s="389"/>
      <c r="M63" s="395" t="s">
        <v>765</v>
      </c>
      <c r="N63" s="396"/>
      <c r="P63" s="380"/>
    </row>
    <row r="64" spans="1:16" ht="12.75" customHeight="1">
      <c r="A64" s="380"/>
      <c r="B64" s="380"/>
      <c r="C64" s="419"/>
      <c r="D64" s="380"/>
      <c r="E64" s="380"/>
      <c r="F64" s="380"/>
      <c r="G64" s="445"/>
      <c r="H64" s="380"/>
      <c r="I64" s="401" t="s">
        <v>841</v>
      </c>
      <c r="J64" s="380"/>
      <c r="K64" s="380"/>
      <c r="L64" s="380"/>
      <c r="M64" s="456"/>
      <c r="O64" s="126" t="s">
        <v>1044</v>
      </c>
      <c r="P64" s="380"/>
    </row>
    <row r="65" spans="1:15" ht="12.75" customHeight="1">
      <c r="A65" s="380"/>
      <c r="B65" s="457" t="s">
        <v>842</v>
      </c>
      <c r="C65" s="458"/>
      <c r="D65" s="391"/>
      <c r="E65" s="390" t="s">
        <v>765</v>
      </c>
      <c r="F65" s="390"/>
      <c r="G65" s="459"/>
      <c r="H65" s="380"/>
      <c r="I65" s="401" t="s">
        <v>843</v>
      </c>
      <c r="J65" s="380"/>
      <c r="K65" s="380"/>
      <c r="L65" s="216"/>
      <c r="M65" s="421"/>
      <c r="O65" s="126" t="s">
        <v>1045</v>
      </c>
    </row>
    <row r="66" spans="1:15" ht="12.75" customHeight="1">
      <c r="A66" s="126" t="s">
        <v>1007</v>
      </c>
      <c r="B66" s="401" t="s">
        <v>844</v>
      </c>
      <c r="E66" s="404"/>
      <c r="F66" s="384"/>
      <c r="G66" s="429"/>
      <c r="H66" s="400"/>
      <c r="I66" s="401" t="s">
        <v>845</v>
      </c>
      <c r="J66" s="380"/>
      <c r="K66" s="380"/>
      <c r="L66" s="380"/>
      <c r="M66" s="421"/>
      <c r="O66" s="126" t="s">
        <v>1046</v>
      </c>
    </row>
    <row r="67" spans="1:15" ht="12.75" customHeight="1">
      <c r="A67" s="126" t="s">
        <v>1008</v>
      </c>
      <c r="B67" s="401" t="s">
        <v>846</v>
      </c>
      <c r="E67" s="404"/>
      <c r="F67" s="384"/>
      <c r="G67" s="380"/>
      <c r="H67" s="400"/>
      <c r="I67" s="401" t="s">
        <v>847</v>
      </c>
      <c r="J67" s="380"/>
      <c r="K67" s="460"/>
      <c r="L67" s="380"/>
      <c r="M67" s="421"/>
      <c r="O67" s="126" t="s">
        <v>1047</v>
      </c>
    </row>
    <row r="68" spans="1:15" ht="12.75" customHeight="1">
      <c r="A68" s="126" t="s">
        <v>1009</v>
      </c>
      <c r="B68" s="401" t="s">
        <v>848</v>
      </c>
      <c r="E68" s="404"/>
      <c r="F68" s="384"/>
      <c r="G68" s="445"/>
      <c r="H68" s="400"/>
      <c r="I68" s="401" t="s">
        <v>782</v>
      </c>
      <c r="J68" s="401"/>
      <c r="K68" s="401"/>
      <c r="L68" s="401"/>
      <c r="M68" s="405">
        <f>SUM(M64:M67)</f>
        <v>0</v>
      </c>
      <c r="O68" s="126" t="s">
        <v>1048</v>
      </c>
    </row>
    <row r="69" spans="1:15" ht="12.75" customHeight="1">
      <c r="A69" s="126" t="s">
        <v>1010</v>
      </c>
      <c r="B69" s="401" t="s">
        <v>849</v>
      </c>
      <c r="E69" s="404"/>
      <c r="F69" s="384"/>
      <c r="G69" s="461"/>
      <c r="H69" s="400"/>
      <c r="I69" s="380"/>
      <c r="J69" s="380"/>
      <c r="K69" s="380"/>
      <c r="L69" s="216"/>
      <c r="M69" s="209"/>
      <c r="O69" s="462"/>
    </row>
    <row r="70" spans="1:15" ht="12.75" customHeight="1">
      <c r="A70" s="126" t="s">
        <v>1011</v>
      </c>
      <c r="B70" s="401" t="s">
        <v>850</v>
      </c>
      <c r="E70" s="404"/>
      <c r="F70" s="384"/>
      <c r="G70" s="463"/>
      <c r="I70" s="263" t="s">
        <v>851</v>
      </c>
      <c r="J70" s="464"/>
      <c r="K70" s="464"/>
      <c r="L70" s="464"/>
      <c r="M70" s="464"/>
      <c r="N70" s="462"/>
      <c r="O70" s="462"/>
    </row>
    <row r="71" spans="1:15" ht="12.75" customHeight="1">
      <c r="A71" s="126" t="s">
        <v>1012</v>
      </c>
      <c r="B71" s="401" t="s">
        <v>852</v>
      </c>
      <c r="E71" s="404"/>
      <c r="G71" s="217"/>
      <c r="H71" s="400"/>
      <c r="I71" s="613"/>
      <c r="J71" s="614"/>
      <c r="K71" s="614"/>
      <c r="L71" s="614"/>
      <c r="M71" s="615"/>
      <c r="N71" s="462"/>
      <c r="O71" s="608" t="s">
        <v>1049</v>
      </c>
    </row>
    <row r="72" spans="1:15" ht="12.75" customHeight="1">
      <c r="A72" s="126" t="s">
        <v>1013</v>
      </c>
      <c r="B72" s="401" t="s">
        <v>782</v>
      </c>
      <c r="C72" s="401"/>
      <c r="D72" s="403"/>
      <c r="E72" s="405">
        <f>SUM(E66:E71)</f>
        <v>0</v>
      </c>
      <c r="F72" s="415"/>
      <c r="G72" s="209"/>
      <c r="H72" s="400"/>
      <c r="I72" s="616"/>
      <c r="J72" s="617"/>
      <c r="K72" s="617"/>
      <c r="L72" s="617"/>
      <c r="M72" s="618"/>
      <c r="N72" s="462"/>
      <c r="O72" s="610"/>
    </row>
    <row r="73" spans="1:15" ht="12.75" customHeight="1">
      <c r="A73" s="380"/>
      <c r="G73" s="209"/>
      <c r="H73" s="400"/>
      <c r="I73" s="616"/>
      <c r="J73" s="617"/>
      <c r="K73" s="617"/>
      <c r="L73" s="617"/>
      <c r="M73" s="618"/>
      <c r="N73" s="381"/>
      <c r="O73" s="610"/>
    </row>
    <row r="74" spans="1:15" ht="12.75" customHeight="1">
      <c r="A74" s="380"/>
      <c r="G74" s="209"/>
      <c r="H74" s="400"/>
      <c r="I74" s="619"/>
      <c r="J74" s="620"/>
      <c r="K74" s="620"/>
      <c r="L74" s="620"/>
      <c r="M74" s="621"/>
      <c r="O74" s="609"/>
    </row>
    <row r="75" spans="1:15" ht="12.75" customHeight="1">
      <c r="A75" s="380"/>
      <c r="G75" s="380"/>
      <c r="H75" s="400"/>
    </row>
    <row r="76" spans="1:15" ht="12.75" customHeight="1">
      <c r="A76" s="380"/>
      <c r="G76" s="380"/>
      <c r="H76" s="400" t="s">
        <v>853</v>
      </c>
      <c r="I76" s="465"/>
    </row>
    <row r="77" spans="1:15" ht="12.75" customHeight="1">
      <c r="A77" s="380"/>
      <c r="H77" s="466" t="s">
        <v>854</v>
      </c>
      <c r="I77" s="465"/>
      <c r="J77" s="380"/>
      <c r="K77" s="380"/>
      <c r="L77" s="380"/>
      <c r="M77" s="380"/>
    </row>
    <row r="78" spans="1:15" ht="10.5" customHeight="1">
      <c r="A78" s="380"/>
      <c r="B78" s="380"/>
      <c r="C78" s="380"/>
      <c r="D78" s="380"/>
      <c r="E78" s="380"/>
      <c r="F78" s="380"/>
      <c r="G78" s="380"/>
      <c r="H78" s="466" t="s">
        <v>855</v>
      </c>
      <c r="I78" s="465"/>
      <c r="J78" s="380"/>
      <c r="K78" s="380"/>
      <c r="L78" s="380"/>
      <c r="M78" s="380"/>
    </row>
    <row r="79" spans="1:15" ht="21.75" customHeight="1">
      <c r="A79" s="467"/>
      <c r="B79" s="467"/>
      <c r="C79" s="467"/>
      <c r="D79" s="467"/>
      <c r="E79" s="467"/>
      <c r="F79" s="467"/>
      <c r="G79" s="380"/>
      <c r="H79" s="380"/>
      <c r="I79" s="468"/>
      <c r="J79" s="622"/>
      <c r="K79" s="622"/>
      <c r="L79" s="622"/>
      <c r="M79" s="622"/>
      <c r="N79" s="622"/>
    </row>
    <row r="80" spans="1:15" ht="17.100000000000001" customHeight="1">
      <c r="A80" s="380"/>
      <c r="C80" s="468"/>
      <c r="D80" s="468"/>
      <c r="E80" s="468"/>
      <c r="F80" s="468"/>
      <c r="G80" s="468"/>
      <c r="H80" s="468"/>
      <c r="I80" s="380"/>
      <c r="J80" s="380"/>
      <c r="K80" s="380"/>
      <c r="L80" s="380"/>
      <c r="M80" s="380"/>
    </row>
    <row r="81" spans="4:15" ht="17.100000000000001" customHeight="1">
      <c r="H81" s="380"/>
    </row>
    <row r="82" spans="4:15" ht="22.8">
      <c r="D82" s="484" t="s">
        <v>1051</v>
      </c>
      <c r="E82" s="484"/>
      <c r="F82" s="484"/>
      <c r="G82" s="484"/>
      <c r="H82" s="484"/>
      <c r="I82" s="484"/>
      <c r="J82" s="484"/>
      <c r="K82" s="484"/>
    </row>
    <row r="83" spans="4:15">
      <c r="H83" s="380"/>
      <c r="N83" s="381"/>
      <c r="O83" s="381"/>
    </row>
  </sheetData>
  <mergeCells count="19">
    <mergeCell ref="E5:N5"/>
    <mergeCell ref="I8:J8"/>
    <mergeCell ref="I10:J10"/>
    <mergeCell ref="I12:J12"/>
    <mergeCell ref="M31:M32"/>
    <mergeCell ref="M33:M34"/>
    <mergeCell ref="I35:L38"/>
    <mergeCell ref="M36:M37"/>
    <mergeCell ref="D82:K82"/>
    <mergeCell ref="O31:O32"/>
    <mergeCell ref="O33:O34"/>
    <mergeCell ref="O36:O37"/>
    <mergeCell ref="O71:O74"/>
    <mergeCell ref="I39:M39"/>
    <mergeCell ref="I40:M40"/>
    <mergeCell ref="I71:M74"/>
    <mergeCell ref="J79:N79"/>
    <mergeCell ref="F31:G31"/>
    <mergeCell ref="F32:G32"/>
  </mergeCells>
  <conditionalFormatting sqref="E22">
    <cfRule type="expression" dxfId="12" priority="17">
      <formula>$E$22&gt;$M$14</formula>
    </cfRule>
  </conditionalFormatting>
  <conditionalFormatting sqref="E33">
    <cfRule type="expression" dxfId="11" priority="16">
      <formula>$E$33&gt;$M$14</formula>
    </cfRule>
  </conditionalFormatting>
  <conditionalFormatting sqref="E39">
    <cfRule type="expression" dxfId="10" priority="15">
      <formula>$E$39&gt;$M$14</formula>
    </cfRule>
  </conditionalFormatting>
  <conditionalFormatting sqref="E49">
    <cfRule type="expression" dxfId="9" priority="13">
      <formula>$E$49&gt;$M$14</formula>
    </cfRule>
  </conditionalFormatting>
  <conditionalFormatting sqref="E58">
    <cfRule type="expression" dxfId="8" priority="10">
      <formula>$E$58&gt;$F$32</formula>
    </cfRule>
  </conditionalFormatting>
  <conditionalFormatting sqref="F62">
    <cfRule type="expression" dxfId="7" priority="9">
      <formula>$F$62&gt;$M$14</formula>
    </cfRule>
  </conditionalFormatting>
  <conditionalFormatting sqref="F63">
    <cfRule type="expression" dxfId="6" priority="8">
      <formula>$F$63&gt;$M$14</formula>
    </cfRule>
  </conditionalFormatting>
  <conditionalFormatting sqref="E72">
    <cfRule type="expression" dxfId="5" priority="7">
      <formula>$E$72&gt;$M$16</formula>
    </cfRule>
  </conditionalFormatting>
  <conditionalFormatting sqref="M68">
    <cfRule type="expression" dxfId="4" priority="6">
      <formula>$M$68&gt;$M$16</formula>
    </cfRule>
  </conditionalFormatting>
  <conditionalFormatting sqref="M61">
    <cfRule type="expression" dxfId="3" priority="5">
      <formula>$M$61&gt;$M$16</formula>
    </cfRule>
  </conditionalFormatting>
  <conditionalFormatting sqref="M50">
    <cfRule type="expression" dxfId="2" priority="1">
      <formula>$M$50&lt;$M$31</formula>
    </cfRule>
  </conditionalFormatting>
  <conditionalFormatting sqref="M36:M37">
    <cfRule type="expression" dxfId="1" priority="3">
      <formula>$M$36&gt;$M$16</formula>
    </cfRule>
  </conditionalFormatting>
  <conditionalFormatting sqref="M28">
    <cfRule type="expression" dxfId="0" priority="2">
      <formula>$M$28&gt;$M$16</formula>
    </cfRule>
  </conditionalFormatting>
  <hyperlinks>
    <hyperlink ref="D82:K82" location="'Goal 1'!Print_Titles" display="Next"/>
  </hyperlinks>
  <pageMargins left="0.57999999999999996" right="0.39" top="0.5" bottom="0" header="0.31" footer="1.43"/>
  <pageSetup scale="66" orientation="portrait" r:id="rId1"/>
  <headerFooter>
    <oddFooter>&amp;A</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topLeftCell="B1" zoomScaleNormal="100" workbookViewId="0">
      <selection activeCell="L9" sqref="L9"/>
    </sheetView>
  </sheetViews>
  <sheetFormatPr defaultRowHeight="13.2"/>
  <cols>
    <col min="1" max="1" width="10.88671875" style="136" hidden="1" customWidth="1"/>
    <col min="3" max="3" width="28.44140625" customWidth="1"/>
    <col min="4" max="4" width="3.44140625" customWidth="1"/>
    <col min="5" max="5" width="13.5546875" customWidth="1"/>
    <col min="6" max="6" width="15" customWidth="1"/>
    <col min="7" max="8" width="14.6640625" customWidth="1"/>
    <col min="9" max="9" width="17.5546875" style="124" customWidth="1"/>
  </cols>
  <sheetData>
    <row r="1" spans="2:9" ht="17.399999999999999">
      <c r="B1" s="687" t="s">
        <v>1079</v>
      </c>
      <c r="C1" s="687"/>
      <c r="D1" s="687"/>
      <c r="E1" s="687"/>
      <c r="F1" s="687"/>
      <c r="G1" s="687"/>
      <c r="H1" s="687"/>
      <c r="I1" s="687"/>
    </row>
    <row r="2" spans="2:9" ht="21">
      <c r="B2" s="688" t="s">
        <v>39</v>
      </c>
      <c r="C2" s="688"/>
      <c r="D2" s="688"/>
      <c r="E2" s="688"/>
      <c r="F2" s="688"/>
      <c r="G2" s="688"/>
      <c r="H2" s="688"/>
      <c r="I2" s="688"/>
    </row>
    <row r="3" spans="2:9" ht="16.8">
      <c r="B3" s="689" t="s">
        <v>513</v>
      </c>
      <c r="C3" s="690"/>
      <c r="D3" s="691"/>
      <c r="E3" s="528">
        <f>CoverSheet!D6</f>
        <v>0</v>
      </c>
      <c r="F3" s="529"/>
      <c r="G3" s="529"/>
      <c r="H3" s="529"/>
      <c r="I3" s="530"/>
    </row>
    <row r="4" spans="2:9">
      <c r="B4" s="26"/>
      <c r="C4" s="14"/>
      <c r="D4" s="14"/>
      <c r="E4" s="14"/>
      <c r="F4" s="14"/>
      <c r="G4" s="40"/>
      <c r="H4" s="40"/>
      <c r="I4" s="115"/>
    </row>
    <row r="5" spans="2:9" ht="17.399999999999999">
      <c r="B5" s="687" t="s">
        <v>171</v>
      </c>
      <c r="C5" s="687"/>
      <c r="D5" s="687"/>
      <c r="E5" s="687"/>
      <c r="F5" s="687"/>
      <c r="G5" s="687"/>
      <c r="H5" s="687"/>
      <c r="I5" s="687"/>
    </row>
    <row r="6" spans="2:9">
      <c r="B6" s="27"/>
      <c r="C6" s="14"/>
      <c r="D6" s="14"/>
      <c r="E6" s="14"/>
      <c r="F6" s="14"/>
      <c r="G6" s="39"/>
      <c r="H6" s="40"/>
      <c r="I6" s="115"/>
    </row>
    <row r="7" spans="2:9" ht="12.75" customHeight="1">
      <c r="B7" s="19" t="s">
        <v>76</v>
      </c>
      <c r="C7" s="24"/>
      <c r="D7" s="24"/>
      <c r="E7" s="17"/>
      <c r="F7" s="692" t="s">
        <v>268</v>
      </c>
      <c r="G7" s="692" t="s">
        <v>269</v>
      </c>
      <c r="H7" s="692" t="s">
        <v>519</v>
      </c>
      <c r="I7" s="692" t="s">
        <v>270</v>
      </c>
    </row>
    <row r="8" spans="2:9">
      <c r="B8" s="21" t="s">
        <v>0</v>
      </c>
      <c r="C8" s="43"/>
      <c r="D8" s="43"/>
      <c r="E8" s="3"/>
      <c r="F8" s="693"/>
      <c r="G8" s="693"/>
      <c r="H8" s="693"/>
      <c r="I8" s="693"/>
    </row>
    <row r="9" spans="2:9">
      <c r="B9" s="20" t="s">
        <v>67</v>
      </c>
      <c r="C9" s="9"/>
      <c r="D9" s="9"/>
      <c r="E9" s="3"/>
      <c r="F9" s="693"/>
      <c r="G9" s="693"/>
      <c r="H9" s="693"/>
      <c r="I9" s="693"/>
    </row>
    <row r="10" spans="2:9">
      <c r="B10" s="20" t="s">
        <v>226</v>
      </c>
      <c r="C10" s="9"/>
      <c r="D10" s="9"/>
      <c r="E10" s="3"/>
      <c r="F10" s="693"/>
      <c r="G10" s="693"/>
      <c r="H10" s="693"/>
      <c r="I10" s="693"/>
    </row>
    <row r="11" spans="2:9">
      <c r="B11" s="20" t="s">
        <v>227</v>
      </c>
      <c r="C11" s="9"/>
      <c r="D11" s="9"/>
      <c r="E11" s="3"/>
      <c r="F11" s="693"/>
      <c r="G11" s="693"/>
      <c r="H11" s="693"/>
      <c r="I11" s="693"/>
    </row>
    <row r="12" spans="2:9">
      <c r="B12" s="81" t="s">
        <v>228</v>
      </c>
      <c r="C12" s="9"/>
      <c r="D12" s="9"/>
      <c r="E12" s="3"/>
      <c r="F12" s="693"/>
      <c r="G12" s="693"/>
      <c r="H12" s="693"/>
      <c r="I12" s="693"/>
    </row>
    <row r="13" spans="2:9">
      <c r="B13" s="90" t="s">
        <v>79</v>
      </c>
      <c r="C13" s="9"/>
      <c r="D13" s="9"/>
      <c r="E13" s="3"/>
      <c r="F13" s="693"/>
      <c r="G13" s="693"/>
      <c r="H13" s="693"/>
      <c r="I13" s="693"/>
    </row>
    <row r="14" spans="2:9">
      <c r="B14" s="9"/>
      <c r="C14" s="9"/>
      <c r="D14" s="9"/>
      <c r="E14" s="3"/>
      <c r="F14" s="693"/>
      <c r="G14" s="693"/>
      <c r="H14" s="693"/>
      <c r="I14" s="693"/>
    </row>
    <row r="15" spans="2:9" ht="2.25" customHeight="1">
      <c r="B15" s="9"/>
      <c r="C15" s="9"/>
      <c r="D15" s="9"/>
      <c r="E15" s="3"/>
      <c r="F15" s="693"/>
      <c r="G15" s="693"/>
      <c r="H15" s="693"/>
      <c r="I15" s="693"/>
    </row>
    <row r="16" spans="2:9" hidden="1">
      <c r="B16" s="9"/>
      <c r="C16" s="9"/>
      <c r="D16" s="9"/>
      <c r="E16" s="3"/>
      <c r="F16" s="694"/>
      <c r="G16" s="694"/>
      <c r="H16" s="694"/>
      <c r="I16" s="694"/>
    </row>
    <row r="17" spans="1:10" ht="21" customHeight="1">
      <c r="A17" s="126" t="s">
        <v>276</v>
      </c>
      <c r="B17" s="695" t="s">
        <v>80</v>
      </c>
      <c r="C17" s="696"/>
      <c r="D17" s="696"/>
      <c r="E17" s="697"/>
      <c r="F17" s="101"/>
      <c r="G17" s="101"/>
      <c r="H17" s="101"/>
      <c r="I17" s="104" t="e">
        <f>(H17/G17)</f>
        <v>#DIV/0!</v>
      </c>
    </row>
    <row r="18" spans="1:10" ht="29.25" customHeight="1">
      <c r="A18" s="126" t="s">
        <v>277</v>
      </c>
      <c r="B18" s="695" t="s">
        <v>112</v>
      </c>
      <c r="C18" s="696"/>
      <c r="D18" s="696"/>
      <c r="E18" s="697"/>
      <c r="F18" s="101"/>
      <c r="G18" s="101"/>
      <c r="H18" s="101"/>
      <c r="I18" s="104" t="e">
        <f>H18/G18</f>
        <v>#DIV/0!</v>
      </c>
    </row>
    <row r="19" spans="1:10" ht="30" customHeight="1">
      <c r="A19" s="126" t="s">
        <v>278</v>
      </c>
      <c r="B19" s="656" t="s">
        <v>272</v>
      </c>
      <c r="C19" s="686"/>
      <c r="D19" s="686"/>
      <c r="E19" s="657"/>
      <c r="F19" s="101"/>
      <c r="G19" s="101"/>
      <c r="H19" s="101"/>
      <c r="I19" s="104" t="e">
        <f>(H19/G19)</f>
        <v>#DIV/0!</v>
      </c>
    </row>
    <row r="20" spans="1:10" ht="21.75" customHeight="1">
      <c r="A20" s="126" t="s">
        <v>279</v>
      </c>
      <c r="B20" s="117" t="s">
        <v>271</v>
      </c>
      <c r="C20" s="118"/>
      <c r="D20" s="118"/>
      <c r="E20" s="119"/>
      <c r="F20" s="101"/>
      <c r="G20" s="101"/>
      <c r="H20" s="101"/>
      <c r="I20" s="104" t="e">
        <f>(H20/G20)</f>
        <v>#DIV/0!</v>
      </c>
    </row>
    <row r="21" spans="1:10">
      <c r="B21" s="638" t="s">
        <v>17</v>
      </c>
      <c r="C21" s="639"/>
      <c r="D21" s="639"/>
      <c r="E21" s="639"/>
      <c r="F21" s="639"/>
      <c r="G21" s="639"/>
      <c r="H21" s="639"/>
      <c r="I21" s="640"/>
    </row>
    <row r="22" spans="1:10" ht="19.5" customHeight="1">
      <c r="A22" s="126" t="s">
        <v>280</v>
      </c>
      <c r="B22" s="682"/>
      <c r="C22" s="683"/>
      <c r="D22" s="683"/>
      <c r="E22" s="684"/>
      <c r="F22" s="101"/>
      <c r="G22" s="101"/>
      <c r="H22" s="101"/>
      <c r="I22" s="104" t="e">
        <f>(H22/G22)</f>
        <v>#DIV/0!</v>
      </c>
    </row>
    <row r="23" spans="1:10" ht="20.25" customHeight="1">
      <c r="A23" s="126" t="s">
        <v>281</v>
      </c>
      <c r="B23" s="682"/>
      <c r="C23" s="683"/>
      <c r="D23" s="683"/>
      <c r="E23" s="684"/>
      <c r="F23" s="101"/>
      <c r="G23" s="101"/>
      <c r="H23" s="101"/>
      <c r="I23" s="104" t="e">
        <f>(H23/G23)</f>
        <v>#DIV/0!</v>
      </c>
    </row>
    <row r="24" spans="1:10" ht="19.5" customHeight="1">
      <c r="A24" s="126" t="s">
        <v>282</v>
      </c>
      <c r="B24" s="682"/>
      <c r="C24" s="683"/>
      <c r="D24" s="683"/>
      <c r="E24" s="684"/>
      <c r="F24" s="101"/>
      <c r="G24" s="101"/>
      <c r="H24" s="101"/>
      <c r="I24" s="104" t="e">
        <f>(H24/G24)</f>
        <v>#DIV/0!</v>
      </c>
    </row>
    <row r="25" spans="1:10">
      <c r="B25" s="32"/>
      <c r="C25" s="24"/>
      <c r="D25" s="24"/>
      <c r="E25" s="24"/>
      <c r="F25" s="24"/>
      <c r="G25" s="82"/>
      <c r="H25" s="2"/>
      <c r="I25" s="2"/>
    </row>
    <row r="26" spans="1:10">
      <c r="B26" s="19" t="s">
        <v>12</v>
      </c>
      <c r="C26" s="9"/>
      <c r="D26" s="9"/>
      <c r="E26" s="9"/>
      <c r="F26" s="668"/>
      <c r="G26" s="669"/>
      <c r="H26" s="52"/>
      <c r="I26" s="11"/>
      <c r="J26" s="14"/>
    </row>
    <row r="27" spans="1:10">
      <c r="B27" s="20"/>
      <c r="C27" s="9"/>
      <c r="D27" s="9"/>
      <c r="E27" s="9"/>
      <c r="F27" s="668"/>
      <c r="G27" s="669"/>
      <c r="H27" s="52"/>
      <c r="I27" s="11" t="s">
        <v>223</v>
      </c>
      <c r="J27" s="14"/>
    </row>
    <row r="28" spans="1:10">
      <c r="B28" s="21" t="s">
        <v>13</v>
      </c>
      <c r="C28" s="9"/>
      <c r="D28" s="9"/>
      <c r="E28" s="9"/>
      <c r="F28" s="668"/>
      <c r="G28" s="669"/>
      <c r="H28" s="53"/>
      <c r="I28" s="11" t="s">
        <v>10</v>
      </c>
      <c r="J28" s="14"/>
    </row>
    <row r="29" spans="1:10">
      <c r="B29" s="20"/>
      <c r="C29" s="9"/>
      <c r="D29" s="9"/>
      <c r="E29" s="9"/>
      <c r="F29" s="668"/>
      <c r="G29" s="669"/>
      <c r="H29" s="53" t="s">
        <v>222</v>
      </c>
      <c r="I29" s="11" t="s">
        <v>148</v>
      </c>
      <c r="J29" s="14"/>
    </row>
    <row r="30" spans="1:10">
      <c r="B30" s="20" t="s">
        <v>142</v>
      </c>
      <c r="C30" s="9"/>
      <c r="D30" s="9"/>
      <c r="E30" s="9"/>
      <c r="F30" s="668"/>
      <c r="G30" s="669"/>
      <c r="H30" s="53" t="s">
        <v>10</v>
      </c>
      <c r="I30" s="11" t="s">
        <v>77</v>
      </c>
      <c r="J30" s="14"/>
    </row>
    <row r="31" spans="1:10">
      <c r="B31" s="20" t="s">
        <v>162</v>
      </c>
      <c r="C31" s="9"/>
      <c r="D31" s="9"/>
      <c r="E31" s="9"/>
      <c r="F31" s="668"/>
      <c r="G31" s="669"/>
      <c r="H31" s="53" t="s">
        <v>33</v>
      </c>
      <c r="I31" s="11" t="s">
        <v>30</v>
      </c>
    </row>
    <row r="32" spans="1:10">
      <c r="B32" s="20" t="s">
        <v>14</v>
      </c>
      <c r="C32" s="9"/>
      <c r="D32" s="9"/>
      <c r="E32" s="9"/>
      <c r="F32" s="668"/>
      <c r="G32" s="669"/>
      <c r="H32" s="53" t="s">
        <v>16</v>
      </c>
      <c r="I32" s="11" t="s">
        <v>68</v>
      </c>
    </row>
    <row r="33" spans="1:9">
      <c r="B33" s="81" t="s">
        <v>149</v>
      </c>
      <c r="C33" s="9"/>
      <c r="D33" s="9"/>
      <c r="E33" s="9"/>
      <c r="F33" s="668"/>
      <c r="G33" s="669"/>
      <c r="H33" s="9"/>
      <c r="I33" s="105"/>
    </row>
    <row r="34" spans="1:9">
      <c r="B34" s="22" t="s">
        <v>15</v>
      </c>
      <c r="C34" s="25"/>
      <c r="D34" s="25"/>
      <c r="E34" s="25"/>
      <c r="F34" s="670"/>
      <c r="G34" s="671"/>
      <c r="H34" s="53" t="s">
        <v>3</v>
      </c>
      <c r="I34" s="11" t="s">
        <v>3</v>
      </c>
    </row>
    <row r="35" spans="1:9" ht="14.25" customHeight="1">
      <c r="A35" s="126" t="s">
        <v>283</v>
      </c>
      <c r="B35" s="672" t="s">
        <v>156</v>
      </c>
      <c r="C35" s="673"/>
      <c r="D35" s="673"/>
      <c r="E35" s="673"/>
      <c r="F35" s="673"/>
      <c r="G35" s="674"/>
      <c r="H35" s="102"/>
      <c r="I35" s="102"/>
    </row>
    <row r="36" spans="1:9">
      <c r="A36" s="126" t="s">
        <v>284</v>
      </c>
      <c r="B36" s="672" t="s">
        <v>157</v>
      </c>
      <c r="C36" s="673"/>
      <c r="D36" s="673"/>
      <c r="E36" s="673"/>
      <c r="F36" s="673"/>
      <c r="G36" s="674"/>
      <c r="H36" s="102"/>
      <c r="I36" s="102"/>
    </row>
    <row r="37" spans="1:9" ht="19.5" customHeight="1">
      <c r="A37" s="126" t="s">
        <v>285</v>
      </c>
      <c r="B37" s="672" t="s">
        <v>273</v>
      </c>
      <c r="C37" s="673"/>
      <c r="D37" s="673"/>
      <c r="E37" s="673"/>
      <c r="F37" s="673"/>
      <c r="G37" s="674"/>
      <c r="H37" s="102"/>
      <c r="I37" s="102"/>
    </row>
    <row r="38" spans="1:9" ht="12.75" customHeight="1">
      <c r="A38" s="126" t="s">
        <v>286</v>
      </c>
      <c r="B38" s="672" t="s">
        <v>158</v>
      </c>
      <c r="C38" s="673"/>
      <c r="D38" s="673"/>
      <c r="E38" s="673"/>
      <c r="F38" s="673"/>
      <c r="G38" s="674"/>
      <c r="H38" s="102"/>
      <c r="I38" s="102"/>
    </row>
    <row r="39" spans="1:9" ht="12.75" customHeight="1">
      <c r="A39" s="126" t="s">
        <v>287</v>
      </c>
      <c r="B39" s="672" t="s">
        <v>159</v>
      </c>
      <c r="C39" s="673"/>
      <c r="D39" s="673"/>
      <c r="E39" s="673"/>
      <c r="F39" s="673"/>
      <c r="G39" s="674"/>
      <c r="H39" s="102"/>
      <c r="I39" s="102"/>
    </row>
    <row r="40" spans="1:9" ht="12.75" customHeight="1">
      <c r="A40" s="126" t="s">
        <v>288</v>
      </c>
      <c r="B40" s="672" t="s">
        <v>160</v>
      </c>
      <c r="C40" s="673"/>
      <c r="D40" s="673"/>
      <c r="E40" s="673"/>
      <c r="F40" s="673"/>
      <c r="G40" s="674"/>
      <c r="H40" s="102"/>
      <c r="I40" s="102"/>
    </row>
    <row r="41" spans="1:9" ht="12.75" customHeight="1">
      <c r="A41" s="126" t="s">
        <v>289</v>
      </c>
      <c r="B41" s="675" t="s">
        <v>161</v>
      </c>
      <c r="C41" s="676"/>
      <c r="D41" s="676"/>
      <c r="E41" s="676"/>
      <c r="F41" s="676"/>
      <c r="G41" s="677"/>
      <c r="H41" s="102"/>
      <c r="I41" s="102"/>
    </row>
    <row r="42" spans="1:9" ht="12.75" customHeight="1">
      <c r="A42" s="126" t="s">
        <v>290</v>
      </c>
      <c r="B42" s="675" t="s">
        <v>220</v>
      </c>
      <c r="C42" s="676"/>
      <c r="D42" s="676"/>
      <c r="E42" s="676"/>
      <c r="F42" s="676"/>
      <c r="G42" s="677"/>
      <c r="H42" s="102"/>
      <c r="I42" s="102"/>
    </row>
    <row r="43" spans="1:9" ht="12.75" customHeight="1">
      <c r="A43" s="126" t="s">
        <v>291</v>
      </c>
      <c r="B43" s="675" t="s">
        <v>178</v>
      </c>
      <c r="C43" s="676"/>
      <c r="D43" s="676"/>
      <c r="E43" s="676"/>
      <c r="F43" s="676"/>
      <c r="G43" s="677"/>
      <c r="H43" s="102"/>
      <c r="I43" s="102"/>
    </row>
    <row r="44" spans="1:9" ht="12.75" customHeight="1">
      <c r="A44" s="126" t="s">
        <v>292</v>
      </c>
      <c r="B44" s="675" t="s">
        <v>173</v>
      </c>
      <c r="C44" s="676"/>
      <c r="D44" s="676"/>
      <c r="E44" s="676"/>
      <c r="F44" s="676"/>
      <c r="G44" s="677"/>
      <c r="H44" s="102"/>
      <c r="I44" s="102"/>
    </row>
    <row r="45" spans="1:9" ht="12.75" customHeight="1">
      <c r="A45" s="126" t="s">
        <v>293</v>
      </c>
      <c r="B45" s="675" t="s">
        <v>174</v>
      </c>
      <c r="C45" s="676"/>
      <c r="D45" s="676"/>
      <c r="E45" s="676"/>
      <c r="F45" s="676"/>
      <c r="G45" s="677"/>
      <c r="H45" s="102"/>
      <c r="I45" s="102"/>
    </row>
    <row r="46" spans="1:9" ht="29.25" customHeight="1">
      <c r="A46" s="126" t="s">
        <v>294</v>
      </c>
      <c r="B46" s="678" t="s">
        <v>274</v>
      </c>
      <c r="C46" s="679"/>
      <c r="D46" s="679"/>
      <c r="E46" s="679"/>
      <c r="F46" s="679"/>
      <c r="G46" s="680"/>
      <c r="H46" s="102"/>
      <c r="I46" s="94"/>
    </row>
    <row r="47" spans="1:9">
      <c r="B47" s="638" t="s">
        <v>17</v>
      </c>
      <c r="C47" s="639"/>
      <c r="D47" s="639"/>
      <c r="E47" s="639"/>
      <c r="F47" s="639"/>
      <c r="G47" s="639"/>
      <c r="H47" s="639"/>
      <c r="I47" s="640"/>
    </row>
    <row r="48" spans="1:9">
      <c r="A48" s="126" t="s">
        <v>295</v>
      </c>
      <c r="B48" s="681"/>
      <c r="C48" s="681"/>
      <c r="D48" s="681"/>
      <c r="E48" s="681"/>
      <c r="F48" s="681"/>
      <c r="G48" s="681"/>
      <c r="H48" s="94"/>
      <c r="I48" s="94"/>
    </row>
    <row r="49" spans="1:9">
      <c r="A49" s="126" t="s">
        <v>296</v>
      </c>
      <c r="B49" s="681"/>
      <c r="C49" s="681"/>
      <c r="D49" s="681"/>
      <c r="E49" s="681"/>
      <c r="F49" s="681"/>
      <c r="G49" s="681"/>
      <c r="H49" s="94"/>
      <c r="I49" s="94"/>
    </row>
    <row r="50" spans="1:9">
      <c r="A50" s="126" t="s">
        <v>297</v>
      </c>
      <c r="B50" s="685"/>
      <c r="C50" s="685"/>
      <c r="D50" s="685"/>
      <c r="E50" s="685"/>
      <c r="F50" s="685"/>
      <c r="G50" s="685"/>
      <c r="H50" s="125"/>
      <c r="I50" s="125"/>
    </row>
    <row r="51" spans="1:9">
      <c r="A51" s="653"/>
      <c r="B51" s="650"/>
      <c r="C51" s="32"/>
      <c r="D51" s="17"/>
      <c r="E51" s="17"/>
      <c r="F51" s="4"/>
      <c r="G51" s="2"/>
      <c r="H51" s="2"/>
      <c r="I51" s="2"/>
    </row>
    <row r="52" spans="1:9">
      <c r="A52" s="654"/>
      <c r="B52" s="651"/>
      <c r="C52" s="6" t="s">
        <v>18</v>
      </c>
      <c r="D52" s="84"/>
      <c r="E52" s="7"/>
      <c r="F52" s="7"/>
      <c r="G52" s="5"/>
      <c r="H52" s="7"/>
      <c r="I52" s="105"/>
    </row>
    <row r="53" spans="1:9">
      <c r="A53" s="654"/>
      <c r="B53" s="651"/>
      <c r="C53" s="6" t="s">
        <v>85</v>
      </c>
      <c r="D53" s="3"/>
      <c r="E53" s="7"/>
      <c r="F53" s="7"/>
      <c r="G53" s="5"/>
      <c r="H53" s="7"/>
      <c r="I53" s="105"/>
    </row>
    <row r="54" spans="1:9">
      <c r="A54" s="654"/>
      <c r="B54" s="651"/>
      <c r="C54" s="9"/>
      <c r="D54" s="3"/>
      <c r="E54" s="7"/>
      <c r="F54" s="7"/>
      <c r="G54" s="5"/>
      <c r="H54" s="7"/>
      <c r="I54" s="105"/>
    </row>
    <row r="55" spans="1:9">
      <c r="A55" s="654"/>
      <c r="B55" s="651"/>
      <c r="C55" s="8" t="s">
        <v>19</v>
      </c>
      <c r="D55" s="3"/>
      <c r="E55" s="7"/>
      <c r="F55" s="7"/>
      <c r="G55" s="5"/>
      <c r="H55" s="7"/>
      <c r="I55" s="105"/>
    </row>
    <row r="56" spans="1:9">
      <c r="A56" s="654"/>
      <c r="B56" s="651"/>
      <c r="C56" s="8" t="s">
        <v>20</v>
      </c>
      <c r="D56" s="3"/>
      <c r="E56" s="7"/>
      <c r="F56" s="7"/>
      <c r="G56" s="5"/>
      <c r="H56" s="7"/>
      <c r="I56" s="105"/>
    </row>
    <row r="57" spans="1:9">
      <c r="A57" s="654"/>
      <c r="B57" s="651"/>
      <c r="C57" s="9"/>
      <c r="D57" s="9"/>
      <c r="E57" s="7"/>
      <c r="F57" s="7"/>
      <c r="G57" s="7"/>
      <c r="H57" s="7"/>
      <c r="I57" s="105"/>
    </row>
    <row r="58" spans="1:9">
      <c r="A58" s="654"/>
      <c r="B58" s="651"/>
      <c r="C58" s="10" t="s">
        <v>21</v>
      </c>
      <c r="D58" s="3"/>
      <c r="E58" s="7"/>
      <c r="F58" s="7"/>
      <c r="G58" s="5"/>
      <c r="H58" s="7"/>
      <c r="I58" s="105"/>
    </row>
    <row r="59" spans="1:9">
      <c r="A59" s="654"/>
      <c r="B59" s="651"/>
      <c r="C59" s="10" t="s">
        <v>163</v>
      </c>
      <c r="D59" s="3"/>
      <c r="E59" s="7"/>
      <c r="F59" s="11" t="s">
        <v>223</v>
      </c>
      <c r="G59" s="5"/>
      <c r="H59" s="7"/>
      <c r="I59" s="105"/>
    </row>
    <row r="60" spans="1:9">
      <c r="A60" s="654"/>
      <c r="B60" s="651"/>
      <c r="C60" s="10" t="s">
        <v>22</v>
      </c>
      <c r="D60" s="3"/>
      <c r="E60" s="11"/>
      <c r="F60" s="11" t="s">
        <v>10</v>
      </c>
      <c r="G60" s="11" t="s">
        <v>224</v>
      </c>
      <c r="H60" s="7"/>
      <c r="I60" s="105"/>
    </row>
    <row r="61" spans="1:9">
      <c r="A61" s="654"/>
      <c r="B61" s="651"/>
      <c r="C61" s="10" t="s">
        <v>23</v>
      </c>
      <c r="D61" s="3"/>
      <c r="E61" s="20"/>
      <c r="F61" s="11" t="s">
        <v>34</v>
      </c>
      <c r="G61" s="11" t="s">
        <v>10</v>
      </c>
      <c r="H61" s="11" t="s">
        <v>225</v>
      </c>
      <c r="I61" s="11" t="s">
        <v>229</v>
      </c>
    </row>
    <row r="62" spans="1:9">
      <c r="A62" s="654"/>
      <c r="B62" s="651"/>
      <c r="C62" s="10" t="s">
        <v>164</v>
      </c>
      <c r="D62" s="3"/>
      <c r="E62" s="20"/>
      <c r="F62" s="11" t="s">
        <v>8</v>
      </c>
      <c r="G62" s="11" t="s">
        <v>148</v>
      </c>
      <c r="H62" s="11" t="s">
        <v>148</v>
      </c>
      <c r="I62" s="11" t="s">
        <v>192</v>
      </c>
    </row>
    <row r="63" spans="1:9">
      <c r="A63" s="654"/>
      <c r="B63" s="651"/>
      <c r="C63" s="10" t="s">
        <v>24</v>
      </c>
      <c r="D63" s="3"/>
      <c r="E63" s="11" t="s">
        <v>222</v>
      </c>
      <c r="F63" s="11" t="s">
        <v>7</v>
      </c>
      <c r="G63" s="11" t="s">
        <v>7</v>
      </c>
      <c r="H63" s="11" t="s">
        <v>7</v>
      </c>
      <c r="I63" s="11" t="s">
        <v>193</v>
      </c>
    </row>
    <row r="64" spans="1:9">
      <c r="A64" s="654"/>
      <c r="B64" s="651"/>
      <c r="C64" s="10" t="s">
        <v>25</v>
      </c>
      <c r="D64" s="3"/>
      <c r="E64" s="11" t="s">
        <v>10</v>
      </c>
      <c r="F64" s="11" t="s">
        <v>30</v>
      </c>
      <c r="G64" s="11" t="s">
        <v>30</v>
      </c>
      <c r="H64" s="11" t="s">
        <v>30</v>
      </c>
      <c r="I64" s="11" t="s">
        <v>35</v>
      </c>
    </row>
    <row r="65" spans="1:9">
      <c r="A65" s="654"/>
      <c r="B65" s="651"/>
      <c r="C65" s="10" t="s">
        <v>36</v>
      </c>
      <c r="D65" s="3"/>
      <c r="E65" s="11" t="s">
        <v>33</v>
      </c>
      <c r="F65" s="11" t="s">
        <v>68</v>
      </c>
      <c r="G65" s="11" t="s">
        <v>68</v>
      </c>
      <c r="H65" s="11" t="s">
        <v>68</v>
      </c>
      <c r="I65" s="11" t="s">
        <v>194</v>
      </c>
    </row>
    <row r="66" spans="1:9">
      <c r="A66" s="654"/>
      <c r="B66" s="651"/>
      <c r="C66" s="10" t="s">
        <v>37</v>
      </c>
      <c r="D66" s="3"/>
      <c r="E66" s="11" t="s">
        <v>16</v>
      </c>
      <c r="F66" s="11" t="s">
        <v>4</v>
      </c>
      <c r="G66" s="11" t="s">
        <v>83</v>
      </c>
      <c r="H66" s="11" t="s">
        <v>252</v>
      </c>
      <c r="I66" s="11" t="s">
        <v>31</v>
      </c>
    </row>
    <row r="67" spans="1:9">
      <c r="A67" s="654"/>
      <c r="B67" s="651"/>
      <c r="C67" s="10" t="s">
        <v>105</v>
      </c>
      <c r="D67" s="9"/>
      <c r="E67" s="7"/>
      <c r="F67" s="7"/>
      <c r="G67" s="7"/>
      <c r="H67" s="7"/>
      <c r="I67" s="105"/>
    </row>
    <row r="68" spans="1:9">
      <c r="A68" s="655"/>
      <c r="B68" s="652"/>
      <c r="C68" s="12" t="s">
        <v>26</v>
      </c>
      <c r="D68" s="13"/>
      <c r="E68" s="23" t="s">
        <v>3</v>
      </c>
      <c r="F68" s="23" t="s">
        <v>3</v>
      </c>
      <c r="G68" s="23" t="s">
        <v>3</v>
      </c>
      <c r="H68" s="23" t="s">
        <v>11</v>
      </c>
      <c r="I68" s="23" t="s">
        <v>27</v>
      </c>
    </row>
    <row r="69" spans="1:9" ht="84.75" customHeight="1">
      <c r="A69" s="126" t="s">
        <v>301</v>
      </c>
      <c r="B69" s="641" t="s">
        <v>299</v>
      </c>
      <c r="C69" s="636" t="s">
        <v>298</v>
      </c>
      <c r="D69" s="637"/>
      <c r="E69" s="102"/>
      <c r="F69" s="102"/>
      <c r="G69" s="102"/>
      <c r="H69" s="104" t="e">
        <f>(G69/F69)</f>
        <v>#DIV/0!</v>
      </c>
      <c r="I69" s="103"/>
    </row>
    <row r="70" spans="1:9" ht="81" customHeight="1">
      <c r="A70" s="126" t="s">
        <v>302</v>
      </c>
      <c r="B70" s="642"/>
      <c r="C70" s="635" t="s">
        <v>314</v>
      </c>
      <c r="D70" s="635"/>
      <c r="E70" s="102"/>
      <c r="F70" s="102"/>
      <c r="G70" s="102"/>
      <c r="H70" s="104" t="e">
        <f>(G70/F70)</f>
        <v>#DIV/0!</v>
      </c>
      <c r="I70" s="103"/>
    </row>
    <row r="71" spans="1:9" ht="96.75" customHeight="1">
      <c r="A71" s="126" t="s">
        <v>303</v>
      </c>
      <c r="B71" s="642"/>
      <c r="C71" s="656" t="s">
        <v>300</v>
      </c>
      <c r="D71" s="657"/>
      <c r="E71" s="102"/>
      <c r="F71" s="102"/>
      <c r="G71" s="102"/>
      <c r="H71" s="104" t="e">
        <f>(G71/F71)</f>
        <v>#DIV/0!</v>
      </c>
      <c r="I71" s="103"/>
    </row>
    <row r="72" spans="1:9">
      <c r="A72" s="126"/>
      <c r="B72" s="661" t="s">
        <v>44</v>
      </c>
      <c r="C72" s="662"/>
      <c r="D72" s="662"/>
      <c r="E72" s="662"/>
      <c r="F72" s="662"/>
      <c r="G72" s="662"/>
      <c r="H72" s="662"/>
      <c r="I72" s="663"/>
    </row>
    <row r="73" spans="1:9" ht="26.25" customHeight="1">
      <c r="A73" s="128" t="s">
        <v>304</v>
      </c>
      <c r="B73" s="658"/>
      <c r="C73" s="659"/>
      <c r="D73" s="660"/>
      <c r="E73" s="106"/>
      <c r="F73" s="106"/>
      <c r="G73" s="106"/>
      <c r="H73" s="104" t="e">
        <f>(G73/F73)</f>
        <v>#DIV/0!</v>
      </c>
      <c r="I73" s="112"/>
    </row>
    <row r="74" spans="1:9" ht="24" customHeight="1">
      <c r="A74" s="128" t="s">
        <v>305</v>
      </c>
      <c r="B74" s="665"/>
      <c r="C74" s="666"/>
      <c r="D74" s="667"/>
      <c r="E74" s="129"/>
      <c r="F74" s="129"/>
      <c r="G74" s="129"/>
      <c r="H74" s="116" t="e">
        <f>(G74/F74)</f>
        <v>#DIV/0!</v>
      </c>
      <c r="I74" s="130"/>
    </row>
    <row r="75" spans="1:9" ht="27" customHeight="1">
      <c r="A75" s="127" t="s">
        <v>306</v>
      </c>
      <c r="B75" s="664"/>
      <c r="C75" s="664"/>
      <c r="D75" s="664"/>
      <c r="E75" s="94"/>
      <c r="F75" s="94"/>
      <c r="G75" s="94"/>
      <c r="H75" s="131" t="e">
        <f>(G75/F75)</f>
        <v>#DIV/0!</v>
      </c>
      <c r="I75" s="132"/>
    </row>
    <row r="76" spans="1:9">
      <c r="A76" s="653"/>
      <c r="B76" s="650"/>
      <c r="C76" s="85"/>
      <c r="D76" s="83"/>
      <c r="E76" s="60"/>
      <c r="F76" s="60"/>
      <c r="G76" s="60"/>
      <c r="H76" s="86"/>
      <c r="I76" s="87"/>
    </row>
    <row r="77" spans="1:9">
      <c r="A77" s="654"/>
      <c r="B77" s="651"/>
      <c r="C77" s="19" t="s">
        <v>32</v>
      </c>
      <c r="D77" s="3"/>
      <c r="E77" s="11"/>
      <c r="F77" s="11"/>
      <c r="G77" s="11"/>
      <c r="H77" s="11"/>
      <c r="I77" s="105"/>
    </row>
    <row r="78" spans="1:9">
      <c r="A78" s="654"/>
      <c r="B78" s="651"/>
      <c r="C78" s="19" t="s">
        <v>75</v>
      </c>
      <c r="D78" s="3"/>
      <c r="E78" s="11"/>
      <c r="F78" s="11" t="s">
        <v>223</v>
      </c>
      <c r="G78" s="11"/>
      <c r="H78" s="11"/>
      <c r="I78" s="105"/>
    </row>
    <row r="79" spans="1:9">
      <c r="A79" s="654"/>
      <c r="B79" s="651"/>
      <c r="C79" s="20"/>
      <c r="D79" s="3"/>
      <c r="E79" s="11"/>
      <c r="F79" s="11" t="s">
        <v>10</v>
      </c>
      <c r="G79" s="11" t="s">
        <v>224</v>
      </c>
      <c r="H79" s="11"/>
      <c r="I79" s="105"/>
    </row>
    <row r="80" spans="1:9">
      <c r="A80" s="654"/>
      <c r="B80" s="651"/>
      <c r="C80" s="21" t="s">
        <v>19</v>
      </c>
      <c r="D80" s="3"/>
      <c r="E80" s="11"/>
      <c r="F80" s="11" t="s">
        <v>34</v>
      </c>
      <c r="G80" s="11" t="s">
        <v>10</v>
      </c>
      <c r="H80" s="11" t="s">
        <v>225</v>
      </c>
      <c r="I80" s="11" t="s">
        <v>229</v>
      </c>
    </row>
    <row r="81" spans="1:9">
      <c r="A81" s="654"/>
      <c r="B81" s="651"/>
      <c r="C81" s="21" t="s">
        <v>20</v>
      </c>
      <c r="D81" s="3"/>
      <c r="E81" s="11"/>
      <c r="F81" s="11" t="s">
        <v>8</v>
      </c>
      <c r="G81" s="11" t="s">
        <v>148</v>
      </c>
      <c r="H81" s="11" t="s">
        <v>148</v>
      </c>
      <c r="I81" s="11" t="s">
        <v>192</v>
      </c>
    </row>
    <row r="82" spans="1:9">
      <c r="A82" s="654"/>
      <c r="B82" s="651"/>
      <c r="C82" s="21" t="s">
        <v>84</v>
      </c>
      <c r="D82" s="3"/>
      <c r="E82" s="11" t="s">
        <v>222</v>
      </c>
      <c r="F82" s="11" t="s">
        <v>7</v>
      </c>
      <c r="G82" s="11" t="s">
        <v>7</v>
      </c>
      <c r="H82" s="11" t="s">
        <v>7</v>
      </c>
      <c r="I82" s="11" t="s">
        <v>193</v>
      </c>
    </row>
    <row r="83" spans="1:9">
      <c r="A83" s="654"/>
      <c r="B83" s="651"/>
      <c r="C83" s="20"/>
      <c r="D83" s="3"/>
      <c r="E83" s="11" t="s">
        <v>10</v>
      </c>
      <c r="F83" s="11" t="s">
        <v>30</v>
      </c>
      <c r="G83" s="11" t="s">
        <v>30</v>
      </c>
      <c r="H83" s="11" t="s">
        <v>30</v>
      </c>
      <c r="I83" s="11" t="s">
        <v>35</v>
      </c>
    </row>
    <row r="84" spans="1:9">
      <c r="A84" s="654"/>
      <c r="B84" s="651"/>
      <c r="C84" s="20"/>
      <c r="D84" s="3"/>
      <c r="E84" s="11" t="s">
        <v>33</v>
      </c>
      <c r="F84" s="11" t="s">
        <v>68</v>
      </c>
      <c r="G84" s="11" t="s">
        <v>68</v>
      </c>
      <c r="H84" s="11" t="s">
        <v>68</v>
      </c>
      <c r="I84" s="11" t="s">
        <v>194</v>
      </c>
    </row>
    <row r="85" spans="1:9">
      <c r="A85" s="654"/>
      <c r="B85" s="651"/>
      <c r="C85" s="20"/>
      <c r="D85" s="3"/>
      <c r="E85" s="11" t="s">
        <v>16</v>
      </c>
      <c r="F85" s="11" t="s">
        <v>4</v>
      </c>
      <c r="G85" s="11" t="s">
        <v>83</v>
      </c>
      <c r="H85" s="11" t="s">
        <v>251</v>
      </c>
      <c r="I85" s="11" t="s">
        <v>31</v>
      </c>
    </row>
    <row r="86" spans="1:9">
      <c r="A86" s="654"/>
      <c r="B86" s="651"/>
      <c r="C86" s="20"/>
      <c r="D86" s="3"/>
      <c r="E86" s="11"/>
      <c r="F86" s="11"/>
      <c r="G86" s="11"/>
      <c r="H86" s="11"/>
      <c r="I86" s="11"/>
    </row>
    <row r="87" spans="1:9">
      <c r="A87" s="655"/>
      <c r="B87" s="652"/>
      <c r="C87" s="22"/>
      <c r="D87" s="13"/>
      <c r="E87" s="23" t="s">
        <v>3</v>
      </c>
      <c r="F87" s="23" t="s">
        <v>3</v>
      </c>
      <c r="G87" s="23" t="s">
        <v>3</v>
      </c>
      <c r="H87" s="23" t="s">
        <v>11</v>
      </c>
      <c r="I87" s="23" t="s">
        <v>27</v>
      </c>
    </row>
    <row r="88" spans="1:9" ht="60.75" customHeight="1">
      <c r="A88" s="126" t="s">
        <v>316</v>
      </c>
      <c r="B88" s="641" t="s">
        <v>315</v>
      </c>
      <c r="C88" s="635" t="s">
        <v>307</v>
      </c>
      <c r="D88" s="635"/>
      <c r="E88" s="102"/>
      <c r="F88" s="102"/>
      <c r="G88" s="102"/>
      <c r="H88" s="104" t="e">
        <f>(G88/F88)</f>
        <v>#DIV/0!</v>
      </c>
      <c r="I88" s="110" t="s">
        <v>69</v>
      </c>
    </row>
    <row r="89" spans="1:9" ht="56.25" customHeight="1">
      <c r="A89" s="126" t="s">
        <v>317</v>
      </c>
      <c r="B89" s="642"/>
      <c r="C89" s="635" t="s">
        <v>308</v>
      </c>
      <c r="D89" s="635"/>
      <c r="E89" s="102"/>
      <c r="F89" s="102"/>
      <c r="G89" s="102"/>
      <c r="H89" s="108" t="e">
        <f>(G89/F89)</f>
        <v>#DIV/0!</v>
      </c>
      <c r="I89" s="111" t="s">
        <v>69</v>
      </c>
    </row>
    <row r="90" spans="1:9" ht="73.5" customHeight="1">
      <c r="A90" s="126" t="s">
        <v>318</v>
      </c>
      <c r="B90" s="642"/>
      <c r="C90" s="636" t="s">
        <v>309</v>
      </c>
      <c r="D90" s="637"/>
      <c r="E90" s="102"/>
      <c r="F90" s="102"/>
      <c r="G90" s="102"/>
      <c r="H90" s="107" t="e">
        <f>G90/F90</f>
        <v>#DIV/0!</v>
      </c>
      <c r="I90" s="113"/>
    </row>
    <row r="91" spans="1:9" ht="60.75" customHeight="1">
      <c r="A91" s="126" t="s">
        <v>319</v>
      </c>
      <c r="B91" s="642"/>
      <c r="C91" s="636" t="s">
        <v>310</v>
      </c>
      <c r="D91" s="637"/>
      <c r="E91" s="102"/>
      <c r="F91" s="102"/>
      <c r="G91" s="102"/>
      <c r="H91" s="104" t="e">
        <f>(G91/F91)</f>
        <v>#DIV/0!</v>
      </c>
      <c r="I91" s="103"/>
    </row>
    <row r="92" spans="1:9" ht="62.25" customHeight="1">
      <c r="A92" s="126" t="s">
        <v>320</v>
      </c>
      <c r="B92" s="642"/>
      <c r="C92" s="644" t="s">
        <v>311</v>
      </c>
      <c r="D92" s="645"/>
      <c r="E92" s="102"/>
      <c r="F92" s="102"/>
      <c r="G92" s="102"/>
      <c r="H92" s="104" t="e">
        <f>(G92/F92)</f>
        <v>#DIV/0!</v>
      </c>
      <c r="I92" s="103"/>
    </row>
    <row r="93" spans="1:9" ht="57" customHeight="1">
      <c r="A93" s="126" t="s">
        <v>321</v>
      </c>
      <c r="B93" s="642"/>
      <c r="C93" s="644" t="s">
        <v>312</v>
      </c>
      <c r="D93" s="645"/>
      <c r="E93" s="102"/>
      <c r="F93" s="102"/>
      <c r="G93" s="102"/>
      <c r="H93" s="104" t="e">
        <f>(G93/F93)</f>
        <v>#DIV/0!</v>
      </c>
      <c r="I93" s="103"/>
    </row>
    <row r="94" spans="1:9" ht="60.75" customHeight="1">
      <c r="A94" s="126" t="s">
        <v>322</v>
      </c>
      <c r="B94" s="643"/>
      <c r="C94" s="646" t="s">
        <v>313</v>
      </c>
      <c r="D94" s="647"/>
      <c r="E94" s="102"/>
      <c r="F94" s="102"/>
      <c r="G94" s="102"/>
      <c r="H94" s="107" t="e">
        <f>G94/F94</f>
        <v>#DIV/0!</v>
      </c>
      <c r="I94" s="109"/>
    </row>
    <row r="95" spans="1:9">
      <c r="B95" s="638" t="s">
        <v>38</v>
      </c>
      <c r="C95" s="639"/>
      <c r="D95" s="639"/>
      <c r="E95" s="639"/>
      <c r="F95" s="639"/>
      <c r="G95" s="639"/>
      <c r="H95" s="639"/>
      <c r="I95" s="640"/>
    </row>
    <row r="96" spans="1:9" ht="37.5" customHeight="1">
      <c r="A96" s="126" t="s">
        <v>323</v>
      </c>
      <c r="B96" s="648"/>
      <c r="C96" s="648"/>
      <c r="D96" s="648"/>
      <c r="E96" s="94"/>
      <c r="F96" s="94"/>
      <c r="G96" s="94"/>
      <c r="H96" s="131" t="e">
        <f>(G96/F96)</f>
        <v>#DIV/0!</v>
      </c>
      <c r="I96" s="133"/>
    </row>
    <row r="97" spans="1:9" ht="31.5" customHeight="1">
      <c r="A97" s="126" t="s">
        <v>324</v>
      </c>
      <c r="B97" s="649"/>
      <c r="C97" s="649"/>
      <c r="D97" s="649"/>
      <c r="E97" s="134"/>
      <c r="F97" s="134"/>
      <c r="G97" s="134"/>
      <c r="H97" s="131" t="e">
        <f>(G97/F97)</f>
        <v>#DIV/0!</v>
      </c>
      <c r="I97" s="135"/>
    </row>
    <row r="98" spans="1:9" ht="36" customHeight="1">
      <c r="A98" s="126" t="s">
        <v>325</v>
      </c>
      <c r="B98" s="649"/>
      <c r="C98" s="649"/>
      <c r="D98" s="649"/>
      <c r="E98" s="134"/>
      <c r="F98" s="134"/>
      <c r="G98" s="134"/>
      <c r="H98" s="131" t="e">
        <f>(G98/F98)</f>
        <v>#DIV/0!</v>
      </c>
      <c r="I98" s="135"/>
    </row>
    <row r="102" spans="1:9" ht="22.8">
      <c r="C102" s="484" t="s">
        <v>1051</v>
      </c>
      <c r="D102" s="484"/>
      <c r="E102" s="484"/>
      <c r="F102" s="484"/>
      <c r="G102" s="484"/>
      <c r="H102" s="484"/>
    </row>
  </sheetData>
  <mergeCells count="58">
    <mergeCell ref="B19:E19"/>
    <mergeCell ref="B1:I1"/>
    <mergeCell ref="B2:I2"/>
    <mergeCell ref="B3:D3"/>
    <mergeCell ref="B5:I5"/>
    <mergeCell ref="F7:F16"/>
    <mergeCell ref="G7:G16"/>
    <mergeCell ref="H7:H16"/>
    <mergeCell ref="I7:I16"/>
    <mergeCell ref="E3:I3"/>
    <mergeCell ref="B17:E17"/>
    <mergeCell ref="B18:E18"/>
    <mergeCell ref="B23:E23"/>
    <mergeCell ref="B24:E24"/>
    <mergeCell ref="B21:I21"/>
    <mergeCell ref="B50:G50"/>
    <mergeCell ref="B51:B68"/>
    <mergeCell ref="B47:I47"/>
    <mergeCell ref="B22:E22"/>
    <mergeCell ref="A51:A68"/>
    <mergeCell ref="F26:G34"/>
    <mergeCell ref="B35:G35"/>
    <mergeCell ref="B38:G38"/>
    <mergeCell ref="B42:G42"/>
    <mergeCell ref="B44:G44"/>
    <mergeCell ref="B39:G39"/>
    <mergeCell ref="B43:G43"/>
    <mergeCell ref="B36:G36"/>
    <mergeCell ref="B37:G37"/>
    <mergeCell ref="B41:G41"/>
    <mergeCell ref="B40:G40"/>
    <mergeCell ref="B46:G46"/>
    <mergeCell ref="B45:G45"/>
    <mergeCell ref="B48:G48"/>
    <mergeCell ref="B49:G49"/>
    <mergeCell ref="B76:B87"/>
    <mergeCell ref="A76:A87"/>
    <mergeCell ref="B69:B71"/>
    <mergeCell ref="C69:D69"/>
    <mergeCell ref="C70:D70"/>
    <mergeCell ref="C71:D71"/>
    <mergeCell ref="B73:D73"/>
    <mergeCell ref="B72:I72"/>
    <mergeCell ref="B75:D75"/>
    <mergeCell ref="B74:D74"/>
    <mergeCell ref="C102:H102"/>
    <mergeCell ref="C88:D88"/>
    <mergeCell ref="C89:D89"/>
    <mergeCell ref="C90:D90"/>
    <mergeCell ref="B95:I95"/>
    <mergeCell ref="B88:B94"/>
    <mergeCell ref="C91:D91"/>
    <mergeCell ref="C92:D92"/>
    <mergeCell ref="C93:D93"/>
    <mergeCell ref="C94:D94"/>
    <mergeCell ref="B96:D96"/>
    <mergeCell ref="B97:D97"/>
    <mergeCell ref="B98:D98"/>
  </mergeCells>
  <phoneticPr fontId="9" type="noConversion"/>
  <hyperlinks>
    <hyperlink ref="C102:H102" location="'Goal 2'!Print_Titles" display="Next"/>
  </hyperlinks>
  <pageMargins left="0.75" right="0.75" top="1" bottom="1.7" header="0.5" footer="0.5"/>
  <pageSetup scale="70" orientation="portrait" horizontalDpi="1200" verticalDpi="1200" r:id="rId1"/>
  <headerFooter alignWithMargins="0">
    <oddFooter>&amp;LNPI &amp;A&amp;C FY 2012 CSBG IS FORMS&amp;R PAGE &amp;P OF &amp;N</oddFooter>
  </headerFooter>
  <rowBreaks count="3" manualBreakCount="3">
    <brk id="24" max="8" man="1"/>
    <brk id="50" max="8" man="1"/>
    <brk id="75" max="8" man="1"/>
  </rowBreaks>
  <colBreaks count="1" manualBreakCount="1">
    <brk id="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showGridLines="0" zoomScaleNormal="100" workbookViewId="0"/>
  </sheetViews>
  <sheetFormatPr defaultRowHeight="13.2"/>
  <sheetData>
    <row r="1" spans="1:9" ht="17.399999999999999">
      <c r="A1" s="30" t="s">
        <v>99</v>
      </c>
      <c r="B1" s="38"/>
      <c r="C1" s="38"/>
      <c r="D1" s="38"/>
      <c r="E1" s="38"/>
      <c r="F1" s="38"/>
      <c r="G1" s="38"/>
      <c r="H1" s="38"/>
      <c r="I1" s="16"/>
    </row>
    <row r="2" spans="1:9" ht="17.399999999999999">
      <c r="A2" s="30" t="s">
        <v>82</v>
      </c>
      <c r="B2" s="38"/>
      <c r="C2" s="38"/>
      <c r="D2" s="38"/>
      <c r="E2" s="38"/>
      <c r="F2" s="38"/>
      <c r="G2" s="38"/>
      <c r="H2" s="38"/>
      <c r="I2" s="16"/>
    </row>
    <row r="3" spans="1:9" ht="17.399999999999999">
      <c r="A3" s="14"/>
      <c r="B3" s="14"/>
      <c r="C3" s="14"/>
      <c r="D3" s="14"/>
      <c r="E3" s="38"/>
      <c r="F3" s="38"/>
      <c r="G3" s="38"/>
      <c r="H3" s="38"/>
      <c r="I3" s="16"/>
    </row>
    <row r="4" spans="1:9" ht="13.8" thickBot="1">
      <c r="A4" s="14"/>
      <c r="B4" s="14"/>
      <c r="C4" s="14"/>
      <c r="D4" s="14"/>
      <c r="E4" s="14"/>
      <c r="F4" s="14"/>
      <c r="G4" s="14"/>
      <c r="H4" s="14"/>
      <c r="I4" s="14"/>
    </row>
    <row r="5" spans="1:9" ht="12.75" customHeight="1">
      <c r="A5" s="47"/>
      <c r="B5" s="48"/>
      <c r="C5" s="48"/>
      <c r="D5" s="48"/>
      <c r="E5" s="48"/>
      <c r="F5" s="48"/>
      <c r="G5" s="48"/>
      <c r="H5" s="48"/>
      <c r="I5" s="49"/>
    </row>
    <row r="6" spans="1:9" ht="12.75" customHeight="1">
      <c r="A6" s="50"/>
      <c r="B6" s="46"/>
      <c r="C6" s="46"/>
      <c r="D6" s="46"/>
      <c r="E6" s="46"/>
      <c r="F6" s="46"/>
      <c r="G6" s="46"/>
      <c r="H6" s="46"/>
      <c r="I6" s="51"/>
    </row>
    <row r="7" spans="1:9" ht="12.75" customHeight="1">
      <c r="A7" s="50"/>
      <c r="B7" s="46"/>
      <c r="C7" s="46"/>
      <c r="D7" s="46"/>
      <c r="E7" s="46"/>
      <c r="F7" s="46"/>
      <c r="G7" s="46"/>
      <c r="H7" s="46"/>
      <c r="I7" s="51"/>
    </row>
    <row r="8" spans="1:9" ht="12.75" customHeight="1">
      <c r="A8" s="50"/>
      <c r="B8" s="46"/>
      <c r="C8" s="46"/>
      <c r="D8" s="46"/>
      <c r="E8" s="46"/>
      <c r="F8" s="46"/>
      <c r="G8" s="46"/>
      <c r="H8" s="46"/>
      <c r="I8" s="51"/>
    </row>
    <row r="9" spans="1:9" ht="12.75" customHeight="1">
      <c r="A9" s="50"/>
      <c r="B9" s="46"/>
      <c r="C9" s="46"/>
      <c r="D9" s="46"/>
      <c r="E9" s="46"/>
      <c r="F9" s="46"/>
      <c r="G9" s="46"/>
      <c r="H9" s="46"/>
      <c r="I9" s="51"/>
    </row>
    <row r="10" spans="1:9" ht="12.75" customHeight="1">
      <c r="A10" s="50"/>
      <c r="B10" s="46"/>
      <c r="C10" s="46"/>
      <c r="D10" s="46"/>
      <c r="E10" s="46"/>
      <c r="F10" s="46"/>
      <c r="G10" s="46"/>
      <c r="H10" s="46"/>
      <c r="I10" s="51"/>
    </row>
    <row r="11" spans="1:9" ht="12.75" customHeight="1">
      <c r="A11" s="50"/>
      <c r="B11" s="46"/>
      <c r="C11" s="46"/>
      <c r="D11" s="46"/>
      <c r="E11" s="46"/>
      <c r="F11" s="46"/>
      <c r="G11" s="46"/>
      <c r="H11" s="46"/>
      <c r="I11" s="51"/>
    </row>
    <row r="12" spans="1:9" ht="12.75" customHeight="1">
      <c r="A12" s="50"/>
      <c r="B12" s="46"/>
      <c r="C12" s="46"/>
      <c r="D12" s="46"/>
      <c r="E12" s="46"/>
      <c r="F12" s="46"/>
      <c r="G12" s="46"/>
      <c r="H12" s="46"/>
      <c r="I12" s="51"/>
    </row>
    <row r="13" spans="1:9" ht="12.75" customHeight="1">
      <c r="A13" s="50"/>
      <c r="B13" s="46"/>
      <c r="C13" s="46"/>
      <c r="D13" s="46"/>
      <c r="E13" s="46"/>
      <c r="F13" s="46"/>
      <c r="G13" s="46"/>
      <c r="H13" s="46"/>
      <c r="I13" s="51"/>
    </row>
    <row r="14" spans="1:9" ht="12.75" customHeight="1">
      <c r="A14" s="50"/>
      <c r="B14" s="46"/>
      <c r="C14" s="46"/>
      <c r="D14" s="46"/>
      <c r="E14" s="46"/>
      <c r="F14" s="46"/>
      <c r="G14" s="46"/>
      <c r="H14" s="46"/>
      <c r="I14" s="51"/>
    </row>
    <row r="15" spans="1:9" ht="12.75" customHeight="1">
      <c r="A15" s="50"/>
      <c r="B15" s="46"/>
      <c r="C15" s="46"/>
      <c r="D15" s="46"/>
      <c r="E15" s="46"/>
      <c r="F15" s="46"/>
      <c r="G15" s="46"/>
      <c r="H15" s="46"/>
      <c r="I15" s="51"/>
    </row>
    <row r="16" spans="1:9" ht="12.75" customHeight="1">
      <c r="A16" s="50"/>
      <c r="B16" s="46"/>
      <c r="C16" s="46"/>
      <c r="D16" s="46"/>
      <c r="E16" s="46"/>
      <c r="F16" s="46"/>
      <c r="G16" s="46"/>
      <c r="H16" s="46"/>
      <c r="I16" s="51"/>
    </row>
    <row r="17" spans="1:9" ht="12.75" customHeight="1">
      <c r="A17" s="50"/>
      <c r="B17" s="46"/>
      <c r="C17" s="46"/>
      <c r="D17" s="46"/>
      <c r="E17" s="46"/>
      <c r="F17" s="46"/>
      <c r="G17" s="46"/>
      <c r="H17" s="46"/>
      <c r="I17" s="51"/>
    </row>
    <row r="18" spans="1:9" ht="12.75" customHeight="1">
      <c r="A18" s="50"/>
      <c r="B18" s="46"/>
      <c r="C18" s="46"/>
      <c r="D18" s="46"/>
      <c r="E18" s="46"/>
      <c r="F18" s="46"/>
      <c r="G18" s="46"/>
      <c r="H18" s="46"/>
      <c r="I18" s="51"/>
    </row>
    <row r="19" spans="1:9" ht="12.75" customHeight="1">
      <c r="A19" s="50"/>
      <c r="B19" s="46"/>
      <c r="C19" s="46"/>
      <c r="D19" s="46"/>
      <c r="E19" s="46"/>
      <c r="F19" s="46"/>
      <c r="G19" s="46"/>
      <c r="H19" s="46"/>
      <c r="I19" s="51"/>
    </row>
    <row r="20" spans="1:9" ht="12.75" customHeight="1">
      <c r="A20" s="50"/>
      <c r="B20" s="46"/>
      <c r="C20" s="46"/>
      <c r="D20" s="46"/>
      <c r="E20" s="46"/>
      <c r="F20" s="46"/>
      <c r="G20" s="46"/>
      <c r="H20" s="46"/>
      <c r="I20" s="51"/>
    </row>
    <row r="21" spans="1:9" ht="12.75" customHeight="1">
      <c r="A21" s="50"/>
      <c r="B21" s="46"/>
      <c r="C21" s="46"/>
      <c r="D21" s="46"/>
      <c r="E21" s="46"/>
      <c r="F21" s="46"/>
      <c r="G21" s="46"/>
      <c r="H21" s="46"/>
      <c r="I21" s="51"/>
    </row>
    <row r="22" spans="1:9" ht="12.75" customHeight="1">
      <c r="A22" s="50"/>
      <c r="B22" s="46"/>
      <c r="C22" s="46"/>
      <c r="D22" s="46"/>
      <c r="E22" s="46"/>
      <c r="F22" s="46"/>
      <c r="G22" s="46"/>
      <c r="H22" s="46"/>
      <c r="I22" s="51"/>
    </row>
    <row r="23" spans="1:9" ht="12.75" customHeight="1">
      <c r="A23" s="50"/>
      <c r="B23" s="46"/>
      <c r="C23" s="46"/>
      <c r="D23" s="46"/>
      <c r="E23" s="46"/>
      <c r="F23" s="46"/>
      <c r="G23" s="46"/>
      <c r="H23" s="46"/>
      <c r="I23" s="51"/>
    </row>
    <row r="24" spans="1:9" s="16" customFormat="1" ht="12.75" customHeight="1">
      <c r="A24" s="67"/>
      <c r="B24" s="68"/>
      <c r="C24" s="68"/>
      <c r="D24" s="68"/>
      <c r="E24" s="68"/>
      <c r="F24" s="68"/>
      <c r="G24" s="68"/>
      <c r="H24" s="68"/>
      <c r="I24" s="69"/>
    </row>
    <row r="25" spans="1:9" s="16" customFormat="1" ht="12.75" customHeight="1">
      <c r="A25" s="67"/>
      <c r="B25" s="68"/>
      <c r="C25" s="68"/>
      <c r="D25" s="68"/>
      <c r="E25" s="68"/>
      <c r="F25" s="68"/>
      <c r="G25" s="68"/>
      <c r="H25" s="68"/>
      <c r="I25" s="69"/>
    </row>
    <row r="26" spans="1:9" s="16" customFormat="1" ht="12.75" customHeight="1">
      <c r="A26" s="67"/>
      <c r="B26" s="68"/>
      <c r="C26" s="68"/>
      <c r="D26" s="68"/>
      <c r="E26" s="68"/>
      <c r="F26" s="68"/>
      <c r="G26" s="68"/>
      <c r="H26" s="68"/>
      <c r="I26" s="69"/>
    </row>
    <row r="27" spans="1:9" s="16" customFormat="1" ht="12.75" customHeight="1">
      <c r="A27" s="67"/>
      <c r="B27" s="68"/>
      <c r="C27" s="68"/>
      <c r="D27" s="68"/>
      <c r="E27" s="68"/>
      <c r="F27" s="68"/>
      <c r="G27" s="68"/>
      <c r="H27" s="68"/>
      <c r="I27" s="69"/>
    </row>
    <row r="28" spans="1:9" s="16" customFormat="1" ht="12.75" customHeight="1">
      <c r="A28" s="67"/>
      <c r="B28" s="68"/>
      <c r="C28" s="68"/>
      <c r="D28" s="68"/>
      <c r="E28" s="68"/>
      <c r="F28" s="68"/>
      <c r="G28" s="68"/>
      <c r="H28" s="68"/>
      <c r="I28" s="69"/>
    </row>
    <row r="29" spans="1:9" s="16" customFormat="1" ht="12.75" customHeight="1">
      <c r="A29" s="67"/>
      <c r="B29" s="68"/>
      <c r="C29" s="68"/>
      <c r="D29" s="68"/>
      <c r="E29" s="68"/>
      <c r="F29" s="68"/>
      <c r="G29" s="68"/>
      <c r="H29" s="68"/>
      <c r="I29" s="69"/>
    </row>
    <row r="30" spans="1:9" s="16" customFormat="1" ht="12.75" customHeight="1">
      <c r="A30" s="67"/>
      <c r="B30" s="68"/>
      <c r="C30" s="68"/>
      <c r="D30" s="68"/>
      <c r="E30" s="68"/>
      <c r="F30" s="68"/>
      <c r="G30" s="68"/>
      <c r="H30" s="68"/>
      <c r="I30" s="69"/>
    </row>
    <row r="31" spans="1:9" s="16" customFormat="1" ht="12.75" customHeight="1">
      <c r="A31" s="67"/>
      <c r="B31" s="68"/>
      <c r="C31" s="68"/>
      <c r="D31" s="68"/>
      <c r="E31" s="68"/>
      <c r="F31" s="68"/>
      <c r="G31" s="68"/>
      <c r="H31" s="68"/>
      <c r="I31" s="69"/>
    </row>
    <row r="32" spans="1:9" s="16" customFormat="1" ht="12.75" customHeight="1">
      <c r="A32" s="67"/>
      <c r="B32" s="68"/>
      <c r="C32" s="68"/>
      <c r="D32" s="68"/>
      <c r="E32" s="68"/>
      <c r="F32" s="68"/>
      <c r="G32" s="68"/>
      <c r="H32" s="68"/>
      <c r="I32" s="69"/>
    </row>
    <row r="33" spans="1:9" s="16" customFormat="1" ht="12.75" customHeight="1">
      <c r="A33" s="67"/>
      <c r="B33" s="68"/>
      <c r="C33" s="68"/>
      <c r="D33" s="68"/>
      <c r="E33" s="68"/>
      <c r="F33" s="68"/>
      <c r="G33" s="68"/>
      <c r="H33" s="68"/>
      <c r="I33" s="69"/>
    </row>
    <row r="34" spans="1:9" s="16" customFormat="1" ht="12.75" customHeight="1">
      <c r="A34" s="67"/>
      <c r="B34" s="68"/>
      <c r="C34" s="68"/>
      <c r="D34" s="68"/>
      <c r="E34" s="68"/>
      <c r="F34" s="68"/>
      <c r="G34" s="68"/>
      <c r="H34" s="68"/>
      <c r="I34" s="69"/>
    </row>
    <row r="35" spans="1:9" s="16" customFormat="1" ht="12.75" customHeight="1">
      <c r="A35" s="67"/>
      <c r="B35" s="68"/>
      <c r="C35" s="68"/>
      <c r="D35" s="68"/>
      <c r="E35" s="68"/>
      <c r="F35" s="68"/>
      <c r="G35" s="68"/>
      <c r="H35" s="68"/>
      <c r="I35" s="69"/>
    </row>
    <row r="36" spans="1:9" s="16" customFormat="1" ht="12.75" customHeight="1">
      <c r="A36" s="67"/>
      <c r="B36" s="68"/>
      <c r="C36" s="68"/>
      <c r="D36" s="68"/>
      <c r="E36" s="68"/>
      <c r="F36" s="68"/>
      <c r="G36" s="68"/>
      <c r="H36" s="68"/>
      <c r="I36" s="69"/>
    </row>
    <row r="37" spans="1:9" s="16" customFormat="1" ht="12.75" customHeight="1">
      <c r="A37" s="67"/>
      <c r="B37" s="68"/>
      <c r="C37" s="68"/>
      <c r="D37" s="68"/>
      <c r="E37" s="68"/>
      <c r="F37" s="68"/>
      <c r="G37" s="68"/>
      <c r="H37" s="68"/>
      <c r="I37" s="69"/>
    </row>
    <row r="38" spans="1:9" s="16" customFormat="1" ht="12.75" customHeight="1">
      <c r="A38" s="67"/>
      <c r="B38" s="68"/>
      <c r="C38" s="68"/>
      <c r="D38" s="68"/>
      <c r="E38" s="68"/>
      <c r="F38" s="68"/>
      <c r="G38" s="68"/>
      <c r="H38" s="68"/>
      <c r="I38" s="69"/>
    </row>
    <row r="39" spans="1:9" s="16" customFormat="1" ht="12.75" customHeight="1">
      <c r="A39" s="67"/>
      <c r="B39" s="68"/>
      <c r="C39" s="68"/>
      <c r="D39" s="68"/>
      <c r="E39" s="68"/>
      <c r="F39" s="68"/>
      <c r="G39" s="68"/>
      <c r="H39" s="68"/>
      <c r="I39" s="69"/>
    </row>
    <row r="40" spans="1:9" s="16" customFormat="1" ht="12.75" customHeight="1">
      <c r="A40" s="67"/>
      <c r="B40" s="68"/>
      <c r="C40" s="68"/>
      <c r="D40" s="68"/>
      <c r="E40" s="68"/>
      <c r="F40" s="68"/>
      <c r="G40" s="68"/>
      <c r="H40" s="68"/>
      <c r="I40" s="69"/>
    </row>
    <row r="41" spans="1:9" s="16" customFormat="1" ht="12.75" customHeight="1">
      <c r="A41" s="67"/>
      <c r="B41" s="68"/>
      <c r="C41" s="68"/>
      <c r="D41" s="68"/>
      <c r="E41" s="68"/>
      <c r="F41" s="68"/>
      <c r="G41" s="68"/>
      <c r="H41" s="68"/>
      <c r="I41" s="69"/>
    </row>
    <row r="42" spans="1:9" s="16" customFormat="1" ht="12.75" customHeight="1">
      <c r="A42" s="67"/>
      <c r="B42" s="68"/>
      <c r="C42" s="68"/>
      <c r="D42" s="68"/>
      <c r="E42" s="68"/>
      <c r="F42" s="68"/>
      <c r="G42" s="68"/>
      <c r="H42" s="68"/>
      <c r="I42" s="69"/>
    </row>
    <row r="43" spans="1:9" s="16" customFormat="1" ht="12.75" customHeight="1">
      <c r="A43" s="67"/>
      <c r="B43" s="68"/>
      <c r="C43" s="68"/>
      <c r="D43" s="68"/>
      <c r="E43" s="68"/>
      <c r="F43" s="68"/>
      <c r="G43" s="68"/>
      <c r="H43" s="68"/>
      <c r="I43" s="69"/>
    </row>
    <row r="44" spans="1:9" s="16" customFormat="1" ht="12.75" customHeight="1">
      <c r="A44" s="67"/>
      <c r="B44" s="68"/>
      <c r="C44" s="68"/>
      <c r="D44" s="68"/>
      <c r="E44" s="68"/>
      <c r="F44" s="68"/>
      <c r="G44" s="68"/>
      <c r="H44" s="68"/>
      <c r="I44" s="69"/>
    </row>
    <row r="45" spans="1:9" s="16" customFormat="1" ht="12.75" customHeight="1">
      <c r="A45" s="67"/>
      <c r="B45" s="68"/>
      <c r="C45" s="68"/>
      <c r="D45" s="68"/>
      <c r="E45" s="68"/>
      <c r="F45" s="68"/>
      <c r="G45" s="68"/>
      <c r="H45" s="68"/>
      <c r="I45" s="69"/>
    </row>
    <row r="46" spans="1:9" s="16" customFormat="1" ht="12.75" customHeight="1">
      <c r="A46" s="67"/>
      <c r="B46" s="68"/>
      <c r="C46" s="68"/>
      <c r="D46" s="68"/>
      <c r="E46" s="68"/>
      <c r="F46" s="68"/>
      <c r="G46" s="68"/>
      <c r="H46" s="68"/>
      <c r="I46" s="69"/>
    </row>
    <row r="47" spans="1:9" s="16" customFormat="1" ht="12.75" customHeight="1">
      <c r="A47" s="67"/>
      <c r="B47" s="68"/>
      <c r="C47" s="68"/>
      <c r="D47" s="68"/>
      <c r="E47" s="68"/>
      <c r="F47" s="68"/>
      <c r="G47" s="68"/>
      <c r="H47" s="68"/>
      <c r="I47" s="69"/>
    </row>
    <row r="48" spans="1:9" s="16" customFormat="1" ht="12.75" customHeight="1">
      <c r="A48" s="67"/>
      <c r="B48" s="68"/>
      <c r="C48" s="68"/>
      <c r="D48" s="68"/>
      <c r="E48" s="68"/>
      <c r="F48" s="68"/>
      <c r="G48" s="68"/>
      <c r="H48" s="68"/>
      <c r="I48" s="69"/>
    </row>
    <row r="49" spans="1:9" s="16" customFormat="1" ht="12.75" customHeight="1">
      <c r="A49" s="67"/>
      <c r="B49" s="68"/>
      <c r="C49" s="68"/>
      <c r="D49" s="68"/>
      <c r="E49" s="68"/>
      <c r="F49" s="68"/>
      <c r="G49" s="68"/>
      <c r="H49" s="68"/>
      <c r="I49" s="69"/>
    </row>
    <row r="50" spans="1:9" s="16" customFormat="1" ht="12.75" customHeight="1">
      <c r="A50" s="67"/>
      <c r="B50" s="68"/>
      <c r="C50" s="68"/>
      <c r="D50" s="68"/>
      <c r="E50" s="68"/>
      <c r="F50" s="68"/>
      <c r="G50" s="68"/>
      <c r="H50" s="68"/>
      <c r="I50" s="69"/>
    </row>
    <row r="51" spans="1:9" s="16" customFormat="1" ht="12.75" customHeight="1">
      <c r="A51" s="67"/>
      <c r="B51" s="68"/>
      <c r="C51" s="68"/>
      <c r="D51" s="68"/>
      <c r="E51" s="68"/>
      <c r="F51" s="68"/>
      <c r="G51" s="68"/>
      <c r="H51" s="68"/>
      <c r="I51" s="69"/>
    </row>
    <row r="52" spans="1:9" s="16" customFormat="1" ht="12.75" customHeight="1" thickBot="1">
      <c r="A52" s="70"/>
      <c r="B52" s="71"/>
      <c r="C52" s="71"/>
      <c r="D52" s="71"/>
      <c r="E52" s="71"/>
      <c r="F52" s="71"/>
      <c r="G52" s="71"/>
      <c r="H52" s="71"/>
      <c r="I52" s="72"/>
    </row>
    <row r="53" spans="1:9" s="16" customFormat="1" ht="12.75" customHeight="1">
      <c r="A53" s="14"/>
      <c r="B53" s="14"/>
      <c r="C53" s="14"/>
      <c r="D53" s="14"/>
      <c r="E53" s="14"/>
      <c r="F53" s="14"/>
      <c r="G53" s="14"/>
      <c r="H53" s="14"/>
      <c r="I53" s="14"/>
    </row>
    <row r="54" spans="1:9" s="16" customFormat="1"/>
    <row r="55" spans="1:9" s="16" customFormat="1"/>
    <row r="56" spans="1:9" s="16" customFormat="1"/>
    <row r="57" spans="1:9" s="16" customFormat="1"/>
    <row r="58" spans="1:9" s="16" customFormat="1"/>
    <row r="59" spans="1:9" s="16" customFormat="1"/>
    <row r="60" spans="1:9" s="16" customFormat="1"/>
    <row r="61" spans="1:9" s="16" customFormat="1"/>
    <row r="62" spans="1:9" s="16" customFormat="1"/>
    <row r="63" spans="1:9" s="16" customFormat="1"/>
    <row r="64" spans="1:9" s="16" customFormat="1"/>
    <row r="65" s="16" customFormat="1"/>
    <row r="66" s="16" customFormat="1"/>
    <row r="67" s="16" customFormat="1"/>
    <row r="68" s="16" customFormat="1"/>
    <row r="69" s="16" customFormat="1"/>
    <row r="70" s="16" customFormat="1"/>
    <row r="71" s="16" customFormat="1"/>
    <row r="72" s="16" customFormat="1"/>
    <row r="73" s="16" customFormat="1"/>
    <row r="74" s="16" customFormat="1"/>
    <row r="75" s="16" customFormat="1"/>
  </sheetData>
  <phoneticPr fontId="9" type="noConversion"/>
  <pageMargins left="0.75" right="0.75" top="1" bottom="1" header="0.5" footer="0.5"/>
  <pageSetup scale="90"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72"/>
  <sheetViews>
    <sheetView showGridLines="0" topLeftCell="B1" zoomScaleNormal="100" workbookViewId="0">
      <selection activeCell="D72" sqref="D72:H72"/>
    </sheetView>
  </sheetViews>
  <sheetFormatPr defaultRowHeight="13.2"/>
  <cols>
    <col min="1" max="1" width="9.88671875" hidden="1" customWidth="1"/>
    <col min="6" max="6" width="20.6640625" customWidth="1"/>
    <col min="7" max="7" width="24.109375" customWidth="1"/>
    <col min="8" max="9" width="19.6640625" customWidth="1"/>
  </cols>
  <sheetData>
    <row r="2" spans="1:9" ht="16.8">
      <c r="B2" s="689" t="s">
        <v>513</v>
      </c>
      <c r="C2" s="690"/>
      <c r="D2" s="691"/>
      <c r="E2" s="528">
        <f>CoverSheet!D6</f>
        <v>0</v>
      </c>
      <c r="F2" s="529"/>
      <c r="G2" s="529"/>
      <c r="H2" s="529"/>
      <c r="I2" s="530"/>
    </row>
    <row r="3" spans="1:9">
      <c r="E3" s="183"/>
    </row>
    <row r="5" spans="1:9" ht="17.399999999999999">
      <c r="B5" s="707" t="s">
        <v>40</v>
      </c>
      <c r="C5" s="707"/>
      <c r="D5" s="707"/>
      <c r="E5" s="707"/>
      <c r="F5" s="707"/>
      <c r="G5" s="707"/>
      <c r="H5" s="707"/>
      <c r="I5" s="707"/>
    </row>
    <row r="6" spans="1:9">
      <c r="B6" s="31"/>
      <c r="C6" s="16"/>
      <c r="D6" s="16"/>
      <c r="E6" s="16"/>
      <c r="F6" s="16"/>
      <c r="G6" s="16"/>
      <c r="H6" s="16"/>
      <c r="I6" s="16"/>
    </row>
    <row r="7" spans="1:9">
      <c r="B7" s="32"/>
      <c r="C7" s="24"/>
      <c r="D7" s="24"/>
      <c r="E7" s="24"/>
      <c r="F7" s="24"/>
      <c r="G7" s="17"/>
      <c r="H7" s="4"/>
      <c r="I7" s="18" t="s">
        <v>223</v>
      </c>
    </row>
    <row r="8" spans="1:9">
      <c r="B8" s="19" t="s">
        <v>41</v>
      </c>
      <c r="C8" s="9"/>
      <c r="D8" s="9"/>
      <c r="E8" s="9"/>
      <c r="F8" s="9"/>
      <c r="G8" s="3"/>
      <c r="H8" s="7"/>
      <c r="I8" s="11" t="s">
        <v>186</v>
      </c>
    </row>
    <row r="9" spans="1:9">
      <c r="B9" s="20"/>
      <c r="C9" s="9"/>
      <c r="D9" s="9"/>
      <c r="E9" s="9"/>
      <c r="F9" s="9"/>
      <c r="G9" s="3"/>
      <c r="H9" s="7"/>
      <c r="I9" s="11" t="s">
        <v>93</v>
      </c>
    </row>
    <row r="10" spans="1:9">
      <c r="B10" s="21" t="s">
        <v>42</v>
      </c>
      <c r="C10" s="9"/>
      <c r="D10" s="9"/>
      <c r="E10" s="9"/>
      <c r="F10" s="9"/>
      <c r="G10" s="3"/>
      <c r="H10" s="11" t="s">
        <v>230</v>
      </c>
      <c r="I10" s="11" t="s">
        <v>43</v>
      </c>
    </row>
    <row r="11" spans="1:9">
      <c r="B11" s="20"/>
      <c r="C11" s="9"/>
      <c r="D11" s="9"/>
      <c r="E11" s="9"/>
      <c r="F11" s="9"/>
      <c r="G11" s="3"/>
      <c r="H11" s="11" t="s">
        <v>184</v>
      </c>
      <c r="I11" s="11" t="s">
        <v>187</v>
      </c>
    </row>
    <row r="12" spans="1:9">
      <c r="B12" s="81" t="s">
        <v>165</v>
      </c>
      <c r="C12" s="9"/>
      <c r="D12" s="9"/>
      <c r="E12" s="9"/>
      <c r="F12" s="9"/>
      <c r="G12" s="3"/>
      <c r="H12" s="11" t="s">
        <v>185</v>
      </c>
      <c r="I12" s="11" t="s">
        <v>188</v>
      </c>
    </row>
    <row r="13" spans="1:9">
      <c r="B13" s="20" t="s">
        <v>135</v>
      </c>
      <c r="C13" s="9"/>
      <c r="D13" s="9"/>
      <c r="E13" s="9"/>
      <c r="F13" s="9"/>
      <c r="G13" s="3"/>
      <c r="H13" s="11"/>
      <c r="I13" s="11"/>
    </row>
    <row r="14" spans="1:9">
      <c r="B14" s="81" t="s">
        <v>150</v>
      </c>
      <c r="C14" s="9"/>
      <c r="D14" s="9"/>
      <c r="E14" s="9"/>
      <c r="F14" s="9"/>
      <c r="G14" s="3"/>
      <c r="H14" s="23" t="s">
        <v>3</v>
      </c>
      <c r="I14" s="23" t="s">
        <v>3</v>
      </c>
    </row>
    <row r="15" spans="1:9">
      <c r="A15" s="126" t="s">
        <v>338</v>
      </c>
      <c r="B15" s="708" t="s">
        <v>275</v>
      </c>
      <c r="C15" s="709"/>
      <c r="D15" s="709"/>
      <c r="E15" s="709"/>
      <c r="F15" s="709"/>
      <c r="G15" s="710"/>
      <c r="H15" s="102"/>
      <c r="I15" s="102"/>
    </row>
    <row r="16" spans="1:9" ht="27" customHeight="1">
      <c r="A16" s="126" t="s">
        <v>339</v>
      </c>
      <c r="B16" s="711" t="s">
        <v>326</v>
      </c>
      <c r="C16" s="712"/>
      <c r="D16" s="712"/>
      <c r="E16" s="712"/>
      <c r="F16" s="712"/>
      <c r="G16" s="713"/>
      <c r="H16" s="114"/>
      <c r="I16" s="114"/>
    </row>
    <row r="17" spans="1:9" ht="17.25" customHeight="1">
      <c r="A17" s="126" t="s">
        <v>340</v>
      </c>
      <c r="B17" s="714" t="s">
        <v>143</v>
      </c>
      <c r="C17" s="715"/>
      <c r="D17" s="715"/>
      <c r="E17" s="715"/>
      <c r="F17" s="715"/>
      <c r="G17" s="716"/>
      <c r="H17" s="114"/>
      <c r="I17" s="114"/>
    </row>
    <row r="18" spans="1:9" ht="43.5" customHeight="1">
      <c r="A18" s="126" t="s">
        <v>341</v>
      </c>
      <c r="B18" s="644" t="s">
        <v>327</v>
      </c>
      <c r="C18" s="717"/>
      <c r="D18" s="717"/>
      <c r="E18" s="717"/>
      <c r="F18" s="717"/>
      <c r="G18" s="645"/>
      <c r="H18" s="102"/>
      <c r="I18" s="102"/>
    </row>
    <row r="19" spans="1:9" s="16" customFormat="1" ht="27" customHeight="1">
      <c r="A19" s="126" t="s">
        <v>342</v>
      </c>
      <c r="B19" s="636" t="s">
        <v>328</v>
      </c>
      <c r="C19" s="698"/>
      <c r="D19" s="698"/>
      <c r="E19" s="698"/>
      <c r="F19" s="698"/>
      <c r="G19" s="637"/>
      <c r="H19" s="102"/>
      <c r="I19" s="102"/>
    </row>
    <row r="20" spans="1:9" s="16" customFormat="1" ht="29.25" customHeight="1">
      <c r="A20" s="126" t="s">
        <v>343</v>
      </c>
      <c r="B20" s="635" t="s">
        <v>329</v>
      </c>
      <c r="C20" s="635"/>
      <c r="D20" s="635"/>
      <c r="E20" s="635"/>
      <c r="F20" s="635"/>
      <c r="G20" s="635"/>
      <c r="H20" s="102"/>
      <c r="I20" s="102"/>
    </row>
    <row r="21" spans="1:9" s="16" customFormat="1" ht="28.5" customHeight="1">
      <c r="A21" s="126" t="s">
        <v>344</v>
      </c>
      <c r="B21" s="635" t="s">
        <v>330</v>
      </c>
      <c r="C21" s="635"/>
      <c r="D21" s="635"/>
      <c r="E21" s="635"/>
      <c r="F21" s="635"/>
      <c r="G21" s="635"/>
      <c r="H21" s="102"/>
      <c r="I21" s="102"/>
    </row>
    <row r="22" spans="1:9" s="16" customFormat="1" ht="43.5" customHeight="1">
      <c r="A22" s="126" t="s">
        <v>345</v>
      </c>
      <c r="B22" s="699" t="s">
        <v>331</v>
      </c>
      <c r="C22" s="700"/>
      <c r="D22" s="700"/>
      <c r="E22" s="700"/>
      <c r="F22" s="700"/>
      <c r="G22" s="701"/>
      <c r="H22" s="102"/>
      <c r="I22" s="102"/>
    </row>
    <row r="23" spans="1:9" ht="52.5" customHeight="1">
      <c r="A23" s="126" t="s">
        <v>346</v>
      </c>
      <c r="B23" s="702" t="s">
        <v>332</v>
      </c>
      <c r="C23" s="703"/>
      <c r="D23" s="703"/>
      <c r="E23" s="703"/>
      <c r="F23" s="703"/>
      <c r="G23" s="704"/>
      <c r="H23" s="114"/>
      <c r="I23" s="114"/>
    </row>
    <row r="24" spans="1:9">
      <c r="B24" s="719" t="s">
        <v>44</v>
      </c>
      <c r="C24" s="719"/>
      <c r="D24" s="719"/>
      <c r="E24" s="719"/>
      <c r="F24" s="719"/>
      <c r="G24" s="719"/>
      <c r="H24" s="719"/>
      <c r="I24" s="719"/>
    </row>
    <row r="25" spans="1:9" ht="31.5" customHeight="1">
      <c r="B25" s="720"/>
      <c r="C25" s="720"/>
      <c r="D25" s="720"/>
      <c r="E25" s="720"/>
      <c r="F25" s="720"/>
      <c r="G25" s="720"/>
      <c r="H25" s="137"/>
      <c r="I25" s="137"/>
    </row>
    <row r="26" spans="1:9" ht="32.25" customHeight="1">
      <c r="B26" s="720"/>
      <c r="C26" s="720"/>
      <c r="D26" s="720"/>
      <c r="E26" s="720"/>
      <c r="F26" s="720"/>
      <c r="G26" s="720"/>
      <c r="H26" s="137"/>
      <c r="I26" s="137"/>
    </row>
    <row r="27" spans="1:9" ht="36" customHeight="1">
      <c r="B27" s="720"/>
      <c r="C27" s="720"/>
      <c r="D27" s="720"/>
      <c r="E27" s="720"/>
      <c r="F27" s="720"/>
      <c r="G27" s="720"/>
      <c r="H27" s="137"/>
      <c r="I27" s="137"/>
    </row>
    <row r="28" spans="1:9" s="16" customFormat="1">
      <c r="B28" s="41"/>
      <c r="C28" s="41"/>
      <c r="D28" s="41"/>
      <c r="E28" s="41"/>
      <c r="F28" s="41"/>
      <c r="G28" s="41"/>
      <c r="H28" s="41"/>
      <c r="I28" s="41"/>
    </row>
    <row r="29" spans="1:9" s="16" customFormat="1">
      <c r="B29" s="32"/>
      <c r="C29" s="24"/>
      <c r="D29" s="24"/>
      <c r="E29" s="24"/>
      <c r="F29" s="24"/>
      <c r="G29" s="17"/>
      <c r="H29" s="4"/>
      <c r="I29" s="4"/>
    </row>
    <row r="30" spans="1:9">
      <c r="B30" s="19" t="s">
        <v>45</v>
      </c>
      <c r="C30" s="9"/>
      <c r="D30" s="9"/>
      <c r="E30" s="9"/>
      <c r="F30" s="9"/>
      <c r="G30" s="3"/>
      <c r="H30" s="79"/>
      <c r="I30" s="11" t="s">
        <v>223</v>
      </c>
    </row>
    <row r="31" spans="1:9">
      <c r="B31" s="20"/>
      <c r="C31" s="9"/>
      <c r="D31" s="9"/>
      <c r="E31" s="9"/>
      <c r="F31" s="9"/>
      <c r="G31" s="3"/>
      <c r="H31" s="11" t="s">
        <v>222</v>
      </c>
      <c r="I31" s="11" t="s">
        <v>90</v>
      </c>
    </row>
    <row r="32" spans="1:9">
      <c r="B32" s="21" t="s">
        <v>46</v>
      </c>
      <c r="C32" s="9"/>
      <c r="D32" s="9"/>
      <c r="E32" s="9"/>
      <c r="F32" s="9"/>
      <c r="G32" s="3"/>
      <c r="H32" s="11" t="s">
        <v>189</v>
      </c>
      <c r="I32" s="11" t="s">
        <v>191</v>
      </c>
    </row>
    <row r="33" spans="1:9">
      <c r="B33" s="20"/>
      <c r="C33" s="9"/>
      <c r="D33" s="9"/>
      <c r="E33" s="9"/>
      <c r="F33" s="9"/>
      <c r="G33" s="3"/>
      <c r="H33" s="11" t="s">
        <v>190</v>
      </c>
      <c r="I33" s="11" t="s">
        <v>91</v>
      </c>
    </row>
    <row r="34" spans="1:9">
      <c r="B34" s="20" t="s">
        <v>136</v>
      </c>
      <c r="C34" s="9"/>
      <c r="D34" s="9"/>
      <c r="E34" s="9"/>
      <c r="F34" s="9"/>
      <c r="G34" s="3"/>
      <c r="H34" s="11" t="s">
        <v>146</v>
      </c>
      <c r="I34" s="11" t="s">
        <v>92</v>
      </c>
    </row>
    <row r="35" spans="1:9" s="16" customFormat="1">
      <c r="B35" s="20" t="s">
        <v>70</v>
      </c>
      <c r="C35" s="9"/>
      <c r="D35" s="9"/>
      <c r="E35" s="9"/>
      <c r="F35" s="9"/>
      <c r="G35" s="3"/>
      <c r="H35" s="35"/>
      <c r="I35" s="11"/>
    </row>
    <row r="36" spans="1:9" s="16" customFormat="1">
      <c r="B36" s="80" t="s">
        <v>151</v>
      </c>
      <c r="C36" s="25"/>
      <c r="D36" s="25"/>
      <c r="E36" s="25"/>
      <c r="F36" s="25"/>
      <c r="G36" s="13"/>
      <c r="H36" s="23" t="s">
        <v>3</v>
      </c>
      <c r="I36" s="23" t="s">
        <v>3</v>
      </c>
    </row>
    <row r="37" spans="1:9" s="150" customFormat="1" ht="29.25" customHeight="1">
      <c r="A37" s="126" t="s">
        <v>347</v>
      </c>
      <c r="B37" s="644" t="s">
        <v>333</v>
      </c>
      <c r="C37" s="717"/>
      <c r="D37" s="717"/>
      <c r="E37" s="717"/>
      <c r="F37" s="717"/>
      <c r="G37" s="645"/>
      <c r="H37" s="120"/>
      <c r="I37" s="120"/>
    </row>
    <row r="38" spans="1:9" s="16" customFormat="1" ht="23.25" customHeight="1">
      <c r="A38" s="126" t="s">
        <v>348</v>
      </c>
      <c r="B38" s="721" t="s">
        <v>334</v>
      </c>
      <c r="C38" s="722"/>
      <c r="D38" s="722"/>
      <c r="E38" s="722"/>
      <c r="F38" s="722"/>
      <c r="G38" s="723"/>
      <c r="H38" s="120"/>
      <c r="I38" s="120"/>
    </row>
    <row r="39" spans="1:9" s="16" customFormat="1" ht="28.5" customHeight="1">
      <c r="A39" s="126" t="s">
        <v>349</v>
      </c>
      <c r="B39" s="636" t="s">
        <v>335</v>
      </c>
      <c r="C39" s="698"/>
      <c r="D39" s="698"/>
      <c r="E39" s="698"/>
      <c r="F39" s="698"/>
      <c r="G39" s="637"/>
      <c r="H39" s="120"/>
      <c r="I39" s="120"/>
    </row>
    <row r="40" spans="1:9" s="16" customFormat="1" ht="27.75" customHeight="1">
      <c r="A40" s="126" t="s">
        <v>350</v>
      </c>
      <c r="B40" s="636" t="s">
        <v>336</v>
      </c>
      <c r="C40" s="698"/>
      <c r="D40" s="698"/>
      <c r="E40" s="698"/>
      <c r="F40" s="698"/>
      <c r="G40" s="637"/>
      <c r="H40" s="120"/>
      <c r="I40" s="120"/>
    </row>
    <row r="41" spans="1:9" s="16" customFormat="1">
      <c r="A41" s="126" t="s">
        <v>515</v>
      </c>
      <c r="B41" s="724" t="s">
        <v>337</v>
      </c>
      <c r="C41" s="724"/>
      <c r="D41" s="724"/>
      <c r="E41" s="724"/>
      <c r="F41" s="724"/>
      <c r="G41" s="725"/>
      <c r="H41" s="120"/>
      <c r="I41" s="120"/>
    </row>
    <row r="42" spans="1:9">
      <c r="B42" s="726" t="s">
        <v>17</v>
      </c>
      <c r="C42" s="726"/>
      <c r="D42" s="726"/>
      <c r="E42" s="726"/>
      <c r="F42" s="726"/>
      <c r="G42" s="726"/>
      <c r="H42" s="726"/>
      <c r="I42" s="726"/>
    </row>
    <row r="43" spans="1:9" ht="24" customHeight="1">
      <c r="A43" s="126" t="s">
        <v>354</v>
      </c>
      <c r="B43" s="681"/>
      <c r="C43" s="681"/>
      <c r="D43" s="681"/>
      <c r="E43" s="681"/>
      <c r="F43" s="681"/>
      <c r="G43" s="681"/>
      <c r="H43" s="94"/>
      <c r="I43" s="94"/>
    </row>
    <row r="44" spans="1:9" ht="26.25" customHeight="1">
      <c r="A44" s="126" t="s">
        <v>355</v>
      </c>
      <c r="B44" s="681"/>
      <c r="C44" s="681"/>
      <c r="D44" s="681"/>
      <c r="E44" s="681"/>
      <c r="F44" s="681"/>
      <c r="G44" s="681"/>
      <c r="H44" s="94"/>
      <c r="I44" s="94"/>
    </row>
    <row r="45" spans="1:9" ht="24" customHeight="1">
      <c r="A45" s="126" t="s">
        <v>356</v>
      </c>
      <c r="B45" s="681"/>
      <c r="C45" s="681"/>
      <c r="D45" s="681"/>
      <c r="E45" s="681"/>
      <c r="F45" s="681"/>
      <c r="G45" s="681"/>
      <c r="H45" s="94"/>
      <c r="I45" s="94"/>
    </row>
    <row r="47" spans="1:9">
      <c r="B47" s="32"/>
      <c r="C47" s="24"/>
      <c r="D47" s="24"/>
      <c r="E47" s="24"/>
      <c r="F47" s="24"/>
      <c r="G47" s="24"/>
      <c r="H47" s="4"/>
    </row>
    <row r="48" spans="1:9">
      <c r="B48" s="19" t="s">
        <v>217</v>
      </c>
      <c r="C48" s="9"/>
      <c r="D48" s="9"/>
      <c r="E48" s="9"/>
      <c r="F48" s="9"/>
      <c r="G48" s="3"/>
      <c r="H48" s="7"/>
    </row>
    <row r="49" spans="1:9">
      <c r="B49" s="19"/>
      <c r="C49" s="9"/>
      <c r="D49" s="9"/>
      <c r="E49" s="9"/>
      <c r="F49" s="9"/>
      <c r="G49" s="3"/>
      <c r="H49" s="91" t="s">
        <v>231</v>
      </c>
    </row>
    <row r="50" spans="1:9">
      <c r="B50" s="21" t="s">
        <v>116</v>
      </c>
      <c r="C50" s="92"/>
      <c r="D50" s="92"/>
      <c r="E50" s="92"/>
      <c r="F50" s="9"/>
      <c r="G50" s="3"/>
      <c r="H50" s="91" t="s">
        <v>147</v>
      </c>
    </row>
    <row r="51" spans="1:9">
      <c r="B51" s="21"/>
      <c r="C51" s="9"/>
      <c r="D51" s="9"/>
      <c r="E51" s="9"/>
      <c r="F51" s="9"/>
      <c r="G51" s="3"/>
      <c r="H51" s="91" t="s">
        <v>120</v>
      </c>
    </row>
    <row r="52" spans="1:9">
      <c r="B52" s="20" t="s">
        <v>115</v>
      </c>
      <c r="C52" s="9"/>
      <c r="D52" s="9"/>
      <c r="E52" s="9"/>
      <c r="F52" s="9"/>
      <c r="G52" s="3"/>
      <c r="H52" s="7"/>
    </row>
    <row r="53" spans="1:9">
      <c r="B53" s="20" t="s">
        <v>118</v>
      </c>
      <c r="C53" s="9"/>
      <c r="D53" s="9"/>
      <c r="E53" s="9"/>
      <c r="F53" s="9"/>
      <c r="G53" s="3"/>
      <c r="H53" s="11" t="s">
        <v>3</v>
      </c>
    </row>
    <row r="54" spans="1:9" ht="27.75" customHeight="1">
      <c r="A54" s="126" t="s">
        <v>352</v>
      </c>
      <c r="B54" s="646" t="s">
        <v>351</v>
      </c>
      <c r="C54" s="706"/>
      <c r="D54" s="706"/>
      <c r="E54" s="706"/>
      <c r="F54" s="706"/>
      <c r="G54" s="647"/>
      <c r="H54" s="123"/>
    </row>
    <row r="55" spans="1:9" ht="23.25" customHeight="1">
      <c r="A55" s="126" t="s">
        <v>353</v>
      </c>
      <c r="B55" s="705" t="s">
        <v>117</v>
      </c>
      <c r="C55" s="705"/>
      <c r="D55" s="705"/>
      <c r="E55" s="705"/>
      <c r="F55" s="705"/>
      <c r="G55" s="705"/>
      <c r="H55" s="95"/>
    </row>
    <row r="57" spans="1:9" hidden="1">
      <c r="B57" s="32"/>
      <c r="C57" s="24"/>
      <c r="D57" s="24"/>
      <c r="E57" s="24"/>
      <c r="F57" s="17"/>
      <c r="G57" s="83"/>
      <c r="I57" s="14"/>
    </row>
    <row r="58" spans="1:9" hidden="1">
      <c r="B58" s="19" t="s">
        <v>216</v>
      </c>
      <c r="C58" s="43"/>
      <c r="D58" s="43"/>
      <c r="E58" s="9"/>
      <c r="F58" s="3"/>
      <c r="G58" s="121"/>
      <c r="I58" s="14"/>
    </row>
    <row r="59" spans="1:9" hidden="1">
      <c r="B59" s="20"/>
      <c r="C59" s="9"/>
      <c r="D59" s="9"/>
      <c r="E59" s="9"/>
      <c r="F59" s="3"/>
      <c r="G59" s="121"/>
      <c r="I59" s="63"/>
    </row>
    <row r="60" spans="1:9" hidden="1">
      <c r="B60" s="21" t="s">
        <v>214</v>
      </c>
      <c r="C60" s="9"/>
      <c r="D60" s="9"/>
      <c r="E60" s="9"/>
      <c r="F60" s="3"/>
      <c r="G60" s="53" t="s">
        <v>222</v>
      </c>
      <c r="I60" s="63"/>
    </row>
    <row r="61" spans="1:9" hidden="1">
      <c r="B61" s="20"/>
      <c r="C61" s="9"/>
      <c r="D61" s="9"/>
      <c r="E61" s="9"/>
      <c r="F61" s="3"/>
      <c r="G61" s="53" t="s">
        <v>208</v>
      </c>
    </row>
    <row r="62" spans="1:9" hidden="1">
      <c r="B62" s="81" t="s">
        <v>211</v>
      </c>
      <c r="C62" s="9"/>
      <c r="D62" s="9"/>
      <c r="E62" s="9"/>
      <c r="F62" s="3"/>
      <c r="G62" s="3"/>
      <c r="I62" s="63"/>
    </row>
    <row r="63" spans="1:9" hidden="1">
      <c r="B63" s="81" t="s">
        <v>213</v>
      </c>
      <c r="C63" s="9"/>
      <c r="D63" s="9"/>
      <c r="E63" s="9"/>
      <c r="F63" s="13"/>
      <c r="G63" s="53" t="s">
        <v>3</v>
      </c>
      <c r="I63" s="63"/>
    </row>
    <row r="64" spans="1:9" ht="28.5" hidden="1" customHeight="1">
      <c r="A64" s="126" t="s">
        <v>357</v>
      </c>
      <c r="B64" s="705" t="s">
        <v>209</v>
      </c>
      <c r="C64" s="705"/>
      <c r="D64" s="705"/>
      <c r="E64" s="705"/>
      <c r="F64" s="705"/>
      <c r="G64" s="94"/>
      <c r="I64" s="122"/>
    </row>
    <row r="65" spans="1:10" ht="24.75" hidden="1" customHeight="1">
      <c r="A65" s="126" t="s">
        <v>516</v>
      </c>
      <c r="B65" s="705" t="s">
        <v>210</v>
      </c>
      <c r="C65" s="705"/>
      <c r="D65" s="705"/>
      <c r="E65" s="705"/>
      <c r="F65" s="705"/>
      <c r="G65" s="94"/>
      <c r="I65" s="122"/>
    </row>
    <row r="66" spans="1:10" ht="12.75" hidden="1" customHeight="1">
      <c r="B66" s="718" t="s">
        <v>17</v>
      </c>
      <c r="C66" s="718"/>
      <c r="D66" s="718"/>
      <c r="E66" s="718"/>
      <c r="F66" s="718"/>
      <c r="G66" s="718"/>
      <c r="H66" s="88"/>
      <c r="I66" s="88"/>
      <c r="J66" s="45"/>
    </row>
    <row r="67" spans="1:10" ht="23.25" hidden="1" customHeight="1">
      <c r="A67" s="126" t="s">
        <v>358</v>
      </c>
      <c r="B67" s="681"/>
      <c r="C67" s="681"/>
      <c r="D67" s="681"/>
      <c r="E67" s="681"/>
      <c r="F67" s="681"/>
      <c r="G67" s="94"/>
      <c r="I67" s="122"/>
    </row>
    <row r="68" spans="1:10" ht="24" hidden="1" customHeight="1">
      <c r="A68" s="126" t="s">
        <v>359</v>
      </c>
      <c r="B68" s="681"/>
      <c r="C68" s="681"/>
      <c r="D68" s="681"/>
      <c r="E68" s="681"/>
      <c r="F68" s="681"/>
      <c r="G68" s="94"/>
      <c r="I68" s="122"/>
    </row>
    <row r="69" spans="1:10" ht="24" hidden="1" customHeight="1">
      <c r="A69" s="126" t="s">
        <v>360</v>
      </c>
      <c r="B69" s="681"/>
      <c r="C69" s="681"/>
      <c r="D69" s="681"/>
      <c r="E69" s="681"/>
      <c r="F69" s="681"/>
      <c r="G69" s="94"/>
      <c r="I69" s="122"/>
    </row>
    <row r="72" spans="1:10" ht="22.8">
      <c r="D72" s="484" t="s">
        <v>1051</v>
      </c>
      <c r="E72" s="484"/>
      <c r="F72" s="484"/>
      <c r="G72" s="484"/>
      <c r="H72" s="484"/>
    </row>
  </sheetData>
  <mergeCells count="34">
    <mergeCell ref="B2:D2"/>
    <mergeCell ref="E2:I2"/>
    <mergeCell ref="B67:F67"/>
    <mergeCell ref="B68:F68"/>
    <mergeCell ref="B66:G66"/>
    <mergeCell ref="B24:I24"/>
    <mergeCell ref="B43:G43"/>
    <mergeCell ref="B26:G26"/>
    <mergeCell ref="B25:G25"/>
    <mergeCell ref="B27:G27"/>
    <mergeCell ref="B37:G37"/>
    <mergeCell ref="B38:G38"/>
    <mergeCell ref="B39:G39"/>
    <mergeCell ref="B40:G40"/>
    <mergeCell ref="B41:G41"/>
    <mergeCell ref="B42:I42"/>
    <mergeCell ref="B5:I5"/>
    <mergeCell ref="B15:G15"/>
    <mergeCell ref="B16:G16"/>
    <mergeCell ref="B17:G17"/>
    <mergeCell ref="B18:G18"/>
    <mergeCell ref="D72:H72"/>
    <mergeCell ref="B19:G19"/>
    <mergeCell ref="B20:G20"/>
    <mergeCell ref="B21:G21"/>
    <mergeCell ref="B22:G22"/>
    <mergeCell ref="B23:G23"/>
    <mergeCell ref="B69:F69"/>
    <mergeCell ref="B44:G44"/>
    <mergeCell ref="B55:G55"/>
    <mergeCell ref="B45:G45"/>
    <mergeCell ref="B54:G54"/>
    <mergeCell ref="B64:F64"/>
    <mergeCell ref="B65:F65"/>
  </mergeCells>
  <phoneticPr fontId="9" type="noConversion"/>
  <hyperlinks>
    <hyperlink ref="D72:H72" location="'Goal 3'!Print_Titles" display="Next"/>
  </hyperlinks>
  <pageMargins left="0.75" right="0.75" top="1" bottom="1" header="0.5" footer="0.5"/>
  <pageSetup scale="69" orientation="portrait" r:id="rId1"/>
  <headerFooter alignWithMargins="0">
    <oddFooter>&amp;LNPI &amp;A&amp;CFY 2012 CSBG IS FORMS&amp;RPAGE &amp;P OF &amp;N</oddFooter>
  </headerFooter>
  <rowBreaks count="1" manualBreakCount="1">
    <brk id="28"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showGridLines="0" zoomScaleNormal="100" workbookViewId="0">
      <selection activeCell="A3" sqref="A3"/>
    </sheetView>
  </sheetViews>
  <sheetFormatPr defaultRowHeight="13.2"/>
  <cols>
    <col min="10" max="11" width="9.109375" style="45"/>
  </cols>
  <sheetData>
    <row r="1" spans="1:9" ht="17.399999999999999">
      <c r="A1" s="30" t="s">
        <v>100</v>
      </c>
      <c r="B1" s="30"/>
      <c r="C1" s="30"/>
      <c r="D1" s="30"/>
      <c r="E1" s="30"/>
      <c r="F1" s="30"/>
      <c r="G1" s="31"/>
    </row>
    <row r="2" spans="1:9" ht="17.399999999999999">
      <c r="A2" s="30" t="s">
        <v>81</v>
      </c>
      <c r="B2" s="30"/>
      <c r="C2" s="30"/>
      <c r="D2" s="30"/>
      <c r="E2" s="30"/>
      <c r="F2" s="30"/>
      <c r="G2" s="31"/>
    </row>
    <row r="3" spans="1:9" ht="18" customHeight="1">
      <c r="A3" s="14"/>
      <c r="B3" s="16"/>
      <c r="C3" s="16"/>
      <c r="D3" s="16"/>
      <c r="E3" s="16"/>
      <c r="F3" s="16"/>
      <c r="G3" s="16"/>
    </row>
    <row r="4" spans="1:9" ht="13.8" thickBot="1"/>
    <row r="5" spans="1:9" ht="12.75" customHeight="1">
      <c r="A5" s="47"/>
      <c r="B5" s="48"/>
      <c r="C5" s="48"/>
      <c r="D5" s="48"/>
      <c r="E5" s="48"/>
      <c r="F5" s="48"/>
      <c r="G5" s="48"/>
      <c r="H5" s="48"/>
      <c r="I5" s="49"/>
    </row>
    <row r="6" spans="1:9" ht="12.75" customHeight="1">
      <c r="A6" s="50"/>
      <c r="B6" s="46"/>
      <c r="C6" s="46"/>
      <c r="D6" s="46"/>
      <c r="E6" s="46"/>
      <c r="F6" s="46"/>
      <c r="G6" s="46"/>
      <c r="H6" s="46"/>
      <c r="I6" s="51"/>
    </row>
    <row r="7" spans="1:9" ht="12.75" customHeight="1">
      <c r="A7" s="50"/>
      <c r="B7" s="46"/>
      <c r="C7" s="46"/>
      <c r="D7" s="46"/>
      <c r="E7" s="46"/>
      <c r="F7" s="46"/>
      <c r="G7" s="46"/>
      <c r="H7" s="46"/>
      <c r="I7" s="51"/>
    </row>
    <row r="8" spans="1:9" ht="12.75" customHeight="1">
      <c r="A8" s="50"/>
      <c r="B8" s="46"/>
      <c r="C8" s="46"/>
      <c r="D8" s="46"/>
      <c r="E8" s="46"/>
      <c r="F8" s="46"/>
      <c r="G8" s="46"/>
      <c r="H8" s="46"/>
      <c r="I8" s="51"/>
    </row>
    <row r="9" spans="1:9" ht="12.75" customHeight="1">
      <c r="A9" s="50"/>
      <c r="B9" s="46"/>
      <c r="C9" s="46"/>
      <c r="D9" s="46"/>
      <c r="E9" s="46"/>
      <c r="F9" s="46"/>
      <c r="G9" s="46"/>
      <c r="H9" s="46"/>
      <c r="I9" s="51"/>
    </row>
    <row r="10" spans="1:9" ht="12.75" customHeight="1">
      <c r="A10" s="50"/>
      <c r="B10" s="46"/>
      <c r="C10" s="46"/>
      <c r="D10" s="46"/>
      <c r="E10" s="46"/>
      <c r="F10" s="46"/>
      <c r="G10" s="46"/>
      <c r="H10" s="46"/>
      <c r="I10" s="51"/>
    </row>
    <row r="11" spans="1:9" ht="12.75" customHeight="1">
      <c r="A11" s="50"/>
      <c r="B11" s="46"/>
      <c r="C11" s="46"/>
      <c r="D11" s="46"/>
      <c r="E11" s="46"/>
      <c r="F11" s="46"/>
      <c r="G11" s="46"/>
      <c r="H11" s="46"/>
      <c r="I11" s="51"/>
    </row>
    <row r="12" spans="1:9" ht="12.75" customHeight="1">
      <c r="A12" s="50"/>
      <c r="B12" s="46"/>
      <c r="C12" s="46"/>
      <c r="D12" s="46"/>
      <c r="E12" s="46"/>
      <c r="F12" s="46"/>
      <c r="G12" s="46"/>
      <c r="H12" s="46"/>
      <c r="I12" s="51"/>
    </row>
    <row r="13" spans="1:9" ht="12.75" customHeight="1">
      <c r="A13" s="50"/>
      <c r="B13" s="46"/>
      <c r="C13" s="46"/>
      <c r="D13" s="46"/>
      <c r="E13" s="46"/>
      <c r="F13" s="46"/>
      <c r="G13" s="46"/>
      <c r="H13" s="46"/>
      <c r="I13" s="51"/>
    </row>
    <row r="14" spans="1:9" ht="12.75" customHeight="1">
      <c r="A14" s="50"/>
      <c r="B14" s="46"/>
      <c r="C14" s="46"/>
      <c r="D14" s="46"/>
      <c r="E14" s="46"/>
      <c r="F14" s="46"/>
      <c r="G14" s="46"/>
      <c r="H14" s="46"/>
      <c r="I14" s="51"/>
    </row>
    <row r="15" spans="1:9" ht="12.75" customHeight="1">
      <c r="A15" s="50"/>
      <c r="B15" s="46"/>
      <c r="C15" s="46"/>
      <c r="D15" s="46"/>
      <c r="E15" s="46"/>
      <c r="F15" s="46"/>
      <c r="G15" s="46"/>
      <c r="H15" s="46"/>
      <c r="I15" s="51"/>
    </row>
    <row r="16" spans="1:9" ht="12.75" customHeight="1">
      <c r="A16" s="50"/>
      <c r="B16" s="46"/>
      <c r="C16" s="46"/>
      <c r="D16" s="46"/>
      <c r="E16" s="46"/>
      <c r="F16" s="46"/>
      <c r="G16" s="46"/>
      <c r="H16" s="46"/>
      <c r="I16" s="51"/>
    </row>
    <row r="17" spans="1:11" ht="12.75" customHeight="1">
      <c r="A17" s="50"/>
      <c r="B17" s="46"/>
      <c r="C17" s="46"/>
      <c r="D17" s="46"/>
      <c r="E17" s="46"/>
      <c r="F17" s="46"/>
      <c r="G17" s="46"/>
      <c r="H17" s="46"/>
      <c r="I17" s="51"/>
    </row>
    <row r="18" spans="1:11" ht="12.75" customHeight="1">
      <c r="A18" s="50"/>
      <c r="B18" s="46"/>
      <c r="C18" s="46"/>
      <c r="D18" s="46"/>
      <c r="E18" s="46"/>
      <c r="F18" s="46"/>
      <c r="G18" s="46"/>
      <c r="H18" s="46"/>
      <c r="I18" s="51"/>
    </row>
    <row r="19" spans="1:11" ht="12.75" customHeight="1">
      <c r="A19" s="50"/>
      <c r="B19" s="46"/>
      <c r="C19" s="46"/>
      <c r="D19" s="46"/>
      <c r="E19" s="46"/>
      <c r="F19" s="46"/>
      <c r="G19" s="46"/>
      <c r="H19" s="46"/>
      <c r="I19" s="51"/>
    </row>
    <row r="20" spans="1:11" ht="12.75" customHeight="1">
      <c r="A20" s="50"/>
      <c r="B20" s="46"/>
      <c r="C20" s="46"/>
      <c r="D20" s="46"/>
      <c r="E20" s="46"/>
      <c r="F20" s="46"/>
      <c r="G20" s="46"/>
      <c r="H20" s="46"/>
      <c r="I20" s="51"/>
    </row>
    <row r="21" spans="1:11" ht="12.75" customHeight="1">
      <c r="A21" s="50"/>
      <c r="B21" s="46"/>
      <c r="C21" s="46"/>
      <c r="D21" s="46"/>
      <c r="E21" s="46"/>
      <c r="F21" s="46"/>
      <c r="G21" s="46"/>
      <c r="H21" s="46"/>
      <c r="I21" s="51"/>
    </row>
    <row r="22" spans="1:11" ht="12.75" customHeight="1">
      <c r="A22" s="50"/>
      <c r="B22" s="46"/>
      <c r="C22" s="46"/>
      <c r="D22" s="46"/>
      <c r="E22" s="46"/>
      <c r="F22" s="46"/>
      <c r="G22" s="46"/>
      <c r="H22" s="46"/>
      <c r="I22" s="51"/>
    </row>
    <row r="23" spans="1:11" ht="12.75" customHeight="1">
      <c r="A23" s="50"/>
      <c r="B23" s="46"/>
      <c r="C23" s="46"/>
      <c r="D23" s="46"/>
      <c r="E23" s="46"/>
      <c r="F23" s="46"/>
      <c r="G23" s="46"/>
      <c r="H23" s="46"/>
      <c r="I23" s="51"/>
    </row>
    <row r="24" spans="1:11" s="16" customFormat="1" ht="12.75" customHeight="1">
      <c r="A24" s="67"/>
      <c r="B24" s="68"/>
      <c r="C24" s="68"/>
      <c r="D24" s="68"/>
      <c r="E24" s="68"/>
      <c r="F24" s="68"/>
      <c r="G24" s="68"/>
      <c r="H24" s="68"/>
      <c r="I24" s="69"/>
      <c r="J24" s="14"/>
      <c r="K24" s="14"/>
    </row>
    <row r="25" spans="1:11" s="16" customFormat="1" ht="12.75" customHeight="1">
      <c r="A25" s="67"/>
      <c r="B25" s="68"/>
      <c r="C25" s="68"/>
      <c r="D25" s="68"/>
      <c r="E25" s="68"/>
      <c r="F25" s="68"/>
      <c r="G25" s="68"/>
      <c r="H25" s="68"/>
      <c r="I25" s="69"/>
      <c r="J25" s="14"/>
      <c r="K25" s="14"/>
    </row>
    <row r="26" spans="1:11" s="16" customFormat="1" ht="12.75" customHeight="1">
      <c r="A26" s="67"/>
      <c r="B26" s="68"/>
      <c r="C26" s="68"/>
      <c r="D26" s="68"/>
      <c r="E26" s="68"/>
      <c r="F26" s="68"/>
      <c r="G26" s="68"/>
      <c r="H26" s="68"/>
      <c r="I26" s="69"/>
      <c r="J26" s="14"/>
      <c r="K26" s="14"/>
    </row>
    <row r="27" spans="1:11" s="16" customFormat="1" ht="12.75" customHeight="1">
      <c r="A27" s="67"/>
      <c r="B27" s="68"/>
      <c r="C27" s="68"/>
      <c r="D27" s="68"/>
      <c r="E27" s="68"/>
      <c r="F27" s="68"/>
      <c r="G27" s="68"/>
      <c r="H27" s="68"/>
      <c r="I27" s="69"/>
      <c r="J27" s="14"/>
      <c r="K27" s="14"/>
    </row>
    <row r="28" spans="1:11" s="16" customFormat="1" ht="12.75" customHeight="1">
      <c r="A28" s="67"/>
      <c r="B28" s="68"/>
      <c r="C28" s="68"/>
      <c r="D28" s="68"/>
      <c r="E28" s="68"/>
      <c r="F28" s="68"/>
      <c r="G28" s="68"/>
      <c r="H28" s="68"/>
      <c r="I28" s="69"/>
      <c r="J28" s="14"/>
      <c r="K28" s="14"/>
    </row>
    <row r="29" spans="1:11" s="16" customFormat="1" ht="12.75" customHeight="1">
      <c r="A29" s="67"/>
      <c r="B29" s="68"/>
      <c r="C29" s="68"/>
      <c r="D29" s="68"/>
      <c r="E29" s="68"/>
      <c r="F29" s="68"/>
      <c r="G29" s="68"/>
      <c r="H29" s="68"/>
      <c r="I29" s="69"/>
      <c r="J29" s="14"/>
      <c r="K29" s="14"/>
    </row>
    <row r="30" spans="1:11" s="16" customFormat="1" ht="12.75" customHeight="1">
      <c r="A30" s="67"/>
      <c r="B30" s="68"/>
      <c r="C30" s="68"/>
      <c r="D30" s="68"/>
      <c r="E30" s="68"/>
      <c r="F30" s="68"/>
      <c r="G30" s="68"/>
      <c r="H30" s="68"/>
      <c r="I30" s="69"/>
      <c r="J30" s="14"/>
      <c r="K30" s="14"/>
    </row>
    <row r="31" spans="1:11" s="16" customFormat="1" ht="12.75" customHeight="1">
      <c r="A31" s="67"/>
      <c r="B31" s="68"/>
      <c r="C31" s="68"/>
      <c r="D31" s="68"/>
      <c r="E31" s="68"/>
      <c r="F31" s="68"/>
      <c r="G31" s="68"/>
      <c r="H31" s="68"/>
      <c r="I31" s="69"/>
      <c r="J31" s="14"/>
      <c r="K31" s="14"/>
    </row>
    <row r="32" spans="1:11" s="16" customFormat="1" ht="12.75" customHeight="1">
      <c r="A32" s="67"/>
      <c r="B32" s="68"/>
      <c r="C32" s="68"/>
      <c r="D32" s="68"/>
      <c r="E32" s="68"/>
      <c r="F32" s="68"/>
      <c r="G32" s="68"/>
      <c r="H32" s="68"/>
      <c r="I32" s="69"/>
      <c r="J32" s="14"/>
      <c r="K32" s="14"/>
    </row>
    <row r="33" spans="1:11" s="16" customFormat="1" ht="12.75" customHeight="1">
      <c r="A33" s="67"/>
      <c r="B33" s="68"/>
      <c r="C33" s="68"/>
      <c r="D33" s="68"/>
      <c r="E33" s="68"/>
      <c r="F33" s="68"/>
      <c r="G33" s="68"/>
      <c r="H33" s="68"/>
      <c r="I33" s="69"/>
      <c r="J33" s="14"/>
      <c r="K33" s="14"/>
    </row>
    <row r="34" spans="1:11" s="16" customFormat="1" ht="12.75" customHeight="1">
      <c r="A34" s="67"/>
      <c r="B34" s="68"/>
      <c r="C34" s="68"/>
      <c r="D34" s="68"/>
      <c r="E34" s="68"/>
      <c r="F34" s="68"/>
      <c r="G34" s="68"/>
      <c r="H34" s="68"/>
      <c r="I34" s="69"/>
      <c r="J34" s="14"/>
      <c r="K34" s="14"/>
    </row>
    <row r="35" spans="1:11" s="16" customFormat="1" ht="12.75" customHeight="1">
      <c r="A35" s="67"/>
      <c r="B35" s="68"/>
      <c r="C35" s="68"/>
      <c r="D35" s="68"/>
      <c r="E35" s="68"/>
      <c r="F35" s="68"/>
      <c r="G35" s="68"/>
      <c r="H35" s="68"/>
      <c r="I35" s="69"/>
      <c r="J35" s="14"/>
      <c r="K35" s="14"/>
    </row>
    <row r="36" spans="1:11" s="16" customFormat="1" ht="12.75" customHeight="1">
      <c r="A36" s="67"/>
      <c r="B36" s="68"/>
      <c r="C36" s="68"/>
      <c r="D36" s="68"/>
      <c r="E36" s="68"/>
      <c r="F36" s="68"/>
      <c r="G36" s="68"/>
      <c r="H36" s="68"/>
      <c r="I36" s="69"/>
      <c r="J36" s="14"/>
      <c r="K36" s="14"/>
    </row>
    <row r="37" spans="1:11" s="16" customFormat="1" ht="12.75" customHeight="1">
      <c r="A37" s="67"/>
      <c r="B37" s="68"/>
      <c r="C37" s="68"/>
      <c r="D37" s="68"/>
      <c r="E37" s="68"/>
      <c r="F37" s="68"/>
      <c r="G37" s="68"/>
      <c r="H37" s="68"/>
      <c r="I37" s="69"/>
      <c r="J37" s="14"/>
      <c r="K37" s="14"/>
    </row>
    <row r="38" spans="1:11" s="16" customFormat="1" ht="12.75" customHeight="1">
      <c r="A38" s="67"/>
      <c r="B38" s="68"/>
      <c r="C38" s="68"/>
      <c r="D38" s="68"/>
      <c r="E38" s="68"/>
      <c r="F38" s="68"/>
      <c r="G38" s="68"/>
      <c r="H38" s="68"/>
      <c r="I38" s="69"/>
      <c r="J38" s="14"/>
      <c r="K38" s="14"/>
    </row>
    <row r="39" spans="1:11" s="16" customFormat="1" ht="12.75" customHeight="1">
      <c r="A39" s="67"/>
      <c r="B39" s="68"/>
      <c r="C39" s="68"/>
      <c r="D39" s="68"/>
      <c r="E39" s="68"/>
      <c r="F39" s="68"/>
      <c r="G39" s="68"/>
      <c r="H39" s="68"/>
      <c r="I39" s="69"/>
      <c r="J39" s="14"/>
      <c r="K39" s="14"/>
    </row>
    <row r="40" spans="1:11" s="16" customFormat="1" ht="12.75" customHeight="1">
      <c r="A40" s="67"/>
      <c r="B40" s="68"/>
      <c r="C40" s="68"/>
      <c r="D40" s="68"/>
      <c r="E40" s="68"/>
      <c r="F40" s="68"/>
      <c r="G40" s="68"/>
      <c r="H40" s="68"/>
      <c r="I40" s="69"/>
      <c r="J40" s="14"/>
      <c r="K40" s="14"/>
    </row>
    <row r="41" spans="1:11" s="16" customFormat="1" ht="12.75" customHeight="1">
      <c r="A41" s="67"/>
      <c r="B41" s="68"/>
      <c r="C41" s="68"/>
      <c r="D41" s="68"/>
      <c r="E41" s="68"/>
      <c r="F41" s="68"/>
      <c r="G41" s="68"/>
      <c r="H41" s="68"/>
      <c r="I41" s="69"/>
      <c r="J41" s="14"/>
      <c r="K41" s="14"/>
    </row>
    <row r="42" spans="1:11" s="16" customFormat="1" ht="12.75" customHeight="1">
      <c r="A42" s="67"/>
      <c r="B42" s="68"/>
      <c r="C42" s="68"/>
      <c r="D42" s="68"/>
      <c r="E42" s="68"/>
      <c r="F42" s="68"/>
      <c r="G42" s="68"/>
      <c r="H42" s="68"/>
      <c r="I42" s="69"/>
      <c r="J42" s="14"/>
      <c r="K42" s="14"/>
    </row>
    <row r="43" spans="1:11" s="16" customFormat="1" ht="12.75" customHeight="1">
      <c r="A43" s="67"/>
      <c r="B43" s="68"/>
      <c r="C43" s="68"/>
      <c r="D43" s="68"/>
      <c r="E43" s="68"/>
      <c r="F43" s="68"/>
      <c r="G43" s="68"/>
      <c r="H43" s="68"/>
      <c r="I43" s="69"/>
      <c r="J43" s="14"/>
      <c r="K43" s="14"/>
    </row>
    <row r="44" spans="1:11" s="16" customFormat="1" ht="12.75" customHeight="1">
      <c r="A44" s="67"/>
      <c r="B44" s="68"/>
      <c r="C44" s="68"/>
      <c r="D44" s="68"/>
      <c r="E44" s="68"/>
      <c r="F44" s="68"/>
      <c r="G44" s="68"/>
      <c r="H44" s="68"/>
      <c r="I44" s="69"/>
      <c r="J44" s="14"/>
      <c r="K44" s="14"/>
    </row>
    <row r="45" spans="1:11" s="16" customFormat="1" ht="12.75" customHeight="1">
      <c r="A45" s="67"/>
      <c r="B45" s="68"/>
      <c r="C45" s="68"/>
      <c r="D45" s="68"/>
      <c r="E45" s="68"/>
      <c r="F45" s="68"/>
      <c r="G45" s="68"/>
      <c r="H45" s="68"/>
      <c r="I45" s="69"/>
      <c r="J45" s="14"/>
      <c r="K45" s="14"/>
    </row>
    <row r="46" spans="1:11" s="16" customFormat="1" ht="12.75" customHeight="1">
      <c r="A46" s="67"/>
      <c r="B46" s="68"/>
      <c r="C46" s="68"/>
      <c r="D46" s="68"/>
      <c r="E46" s="68"/>
      <c r="F46" s="68"/>
      <c r="G46" s="68"/>
      <c r="H46" s="68"/>
      <c r="I46" s="69"/>
      <c r="J46" s="14"/>
      <c r="K46" s="14"/>
    </row>
    <row r="47" spans="1:11" s="16" customFormat="1" ht="12.75" customHeight="1">
      <c r="A47" s="67"/>
      <c r="B47" s="68"/>
      <c r="C47" s="68"/>
      <c r="D47" s="68"/>
      <c r="E47" s="68"/>
      <c r="F47" s="68"/>
      <c r="G47" s="68"/>
      <c r="H47" s="68"/>
      <c r="I47" s="69"/>
      <c r="J47" s="14"/>
      <c r="K47" s="14"/>
    </row>
    <row r="48" spans="1:11" s="16" customFormat="1" ht="12.75" customHeight="1">
      <c r="A48" s="67"/>
      <c r="B48" s="68"/>
      <c r="C48" s="68"/>
      <c r="D48" s="68"/>
      <c r="E48" s="68"/>
      <c r="F48" s="68"/>
      <c r="G48" s="68"/>
      <c r="H48" s="68"/>
      <c r="I48" s="69"/>
      <c r="J48" s="14"/>
      <c r="K48" s="14"/>
    </row>
    <row r="49" spans="1:11" s="16" customFormat="1" ht="12.75" customHeight="1">
      <c r="A49" s="67"/>
      <c r="B49" s="68"/>
      <c r="C49" s="68"/>
      <c r="D49" s="68"/>
      <c r="E49" s="68"/>
      <c r="F49" s="68"/>
      <c r="G49" s="68"/>
      <c r="H49" s="68"/>
      <c r="I49" s="69"/>
      <c r="J49" s="14"/>
      <c r="K49" s="14"/>
    </row>
    <row r="50" spans="1:11" s="16" customFormat="1" ht="12.75" customHeight="1">
      <c r="A50" s="67"/>
      <c r="B50" s="68"/>
      <c r="C50" s="68"/>
      <c r="D50" s="68"/>
      <c r="E50" s="68"/>
      <c r="F50" s="68"/>
      <c r="G50" s="68"/>
      <c r="H50" s="68"/>
      <c r="I50" s="69"/>
      <c r="J50" s="14"/>
      <c r="K50" s="14"/>
    </row>
    <row r="51" spans="1:11" s="16" customFormat="1" ht="12.75" customHeight="1">
      <c r="A51" s="67"/>
      <c r="B51" s="68"/>
      <c r="C51" s="68"/>
      <c r="D51" s="68"/>
      <c r="E51" s="68"/>
      <c r="F51" s="68"/>
      <c r="G51" s="68"/>
      <c r="H51" s="68"/>
      <c r="I51" s="69"/>
      <c r="J51" s="14"/>
      <c r="K51" s="14"/>
    </row>
    <row r="52" spans="1:11" s="16" customFormat="1" ht="12.75" customHeight="1" thickBot="1">
      <c r="A52" s="70"/>
      <c r="B52" s="71"/>
      <c r="C52" s="71"/>
      <c r="D52" s="71"/>
      <c r="E52" s="71"/>
      <c r="F52" s="71"/>
      <c r="G52" s="71"/>
      <c r="H52" s="71"/>
      <c r="I52" s="72"/>
      <c r="J52" s="14"/>
      <c r="K52" s="14"/>
    </row>
    <row r="53" spans="1:11" s="16" customFormat="1" ht="12.75" customHeight="1">
      <c r="J53" s="14"/>
      <c r="K53" s="14"/>
    </row>
    <row r="54" spans="1:11" s="16" customFormat="1">
      <c r="J54" s="14"/>
      <c r="K54" s="14"/>
    </row>
    <row r="55" spans="1:11" s="16" customFormat="1">
      <c r="J55" s="14"/>
      <c r="K55" s="14"/>
    </row>
    <row r="56" spans="1:11" s="16" customFormat="1">
      <c r="J56" s="14"/>
      <c r="K56" s="14"/>
    </row>
    <row r="57" spans="1:11" s="16" customFormat="1">
      <c r="J57" s="14"/>
      <c r="K57" s="14"/>
    </row>
    <row r="58" spans="1:11" s="16" customFormat="1">
      <c r="J58" s="14"/>
      <c r="K58" s="14"/>
    </row>
    <row r="59" spans="1:11" s="16" customFormat="1">
      <c r="J59" s="14"/>
      <c r="K59" s="14"/>
    </row>
    <row r="60" spans="1:11" s="16" customFormat="1">
      <c r="J60" s="14"/>
      <c r="K60" s="14"/>
    </row>
    <row r="61" spans="1:11" s="16" customFormat="1">
      <c r="J61" s="14"/>
      <c r="K61" s="14"/>
    </row>
    <row r="62" spans="1:11" s="16" customFormat="1">
      <c r="J62" s="14"/>
      <c r="K62" s="14"/>
    </row>
    <row r="63" spans="1:11" s="16" customFormat="1">
      <c r="J63" s="14"/>
      <c r="K63" s="14"/>
    </row>
    <row r="64" spans="1:11" s="16" customFormat="1">
      <c r="J64" s="14"/>
      <c r="K64" s="14"/>
    </row>
    <row r="65" spans="10:11" s="16" customFormat="1">
      <c r="J65" s="14"/>
      <c r="K65" s="14"/>
    </row>
    <row r="66" spans="10:11" s="16" customFormat="1">
      <c r="J66" s="14"/>
      <c r="K66" s="14"/>
    </row>
    <row r="67" spans="10:11" s="16" customFormat="1">
      <c r="J67" s="14"/>
      <c r="K67" s="14"/>
    </row>
    <row r="68" spans="10:11" s="16" customFormat="1">
      <c r="J68" s="14"/>
      <c r="K68" s="14"/>
    </row>
    <row r="69" spans="10:11" s="16" customFormat="1">
      <c r="J69" s="14"/>
      <c r="K69" s="14"/>
    </row>
    <row r="70" spans="10:11" s="16" customFormat="1">
      <c r="J70" s="14"/>
      <c r="K70" s="14"/>
    </row>
    <row r="71" spans="10:11" s="16" customFormat="1">
      <c r="J71" s="14"/>
      <c r="K71" s="14"/>
    </row>
    <row r="72" spans="10:11" s="16" customFormat="1">
      <c r="J72" s="14"/>
      <c r="K72" s="14"/>
    </row>
    <row r="73" spans="10:11" s="16" customFormat="1">
      <c r="J73" s="14"/>
      <c r="K73" s="14"/>
    </row>
    <row r="74" spans="10:11" s="16" customFormat="1">
      <c r="J74" s="14"/>
      <c r="K74" s="14"/>
    </row>
    <row r="75" spans="10:11" s="16" customFormat="1">
      <c r="J75" s="14"/>
      <c r="K75" s="14"/>
    </row>
    <row r="76" spans="10:11" s="16" customFormat="1">
      <c r="J76" s="14"/>
      <c r="K76" s="14"/>
    </row>
  </sheetData>
  <phoneticPr fontId="9" type="noConversion"/>
  <pageMargins left="0.75" right="0.75" top="1" bottom="1" header="0.5" footer="0.5"/>
  <pageSetup scale="90"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1"/>
  <sheetViews>
    <sheetView showGridLines="0" topLeftCell="B1" zoomScaleNormal="100" workbookViewId="0">
      <selection activeCell="B38" sqref="B38:G38"/>
    </sheetView>
  </sheetViews>
  <sheetFormatPr defaultRowHeight="13.2"/>
  <cols>
    <col min="1" max="1" width="10.88671875" hidden="1" customWidth="1"/>
    <col min="2" max="2" width="26.6640625" customWidth="1"/>
    <col min="7" max="7" width="17.5546875" customWidth="1"/>
  </cols>
  <sheetData>
    <row r="2" spans="1:8" ht="16.8">
      <c r="B2" s="182" t="s">
        <v>513</v>
      </c>
      <c r="C2" s="528">
        <f>CoverSheet!D6</f>
        <v>0</v>
      </c>
      <c r="D2" s="529"/>
      <c r="E2" s="529"/>
      <c r="F2" s="529"/>
      <c r="G2" s="530"/>
    </row>
    <row r="5" spans="1:8" ht="17.399999999999999">
      <c r="B5" s="687" t="s">
        <v>141</v>
      </c>
      <c r="C5" s="687"/>
      <c r="D5" s="687"/>
      <c r="E5" s="687"/>
      <c r="F5" s="687"/>
      <c r="G5" s="687"/>
    </row>
    <row r="6" spans="1:8">
      <c r="B6" s="14"/>
      <c r="C6" s="14"/>
      <c r="D6" s="14"/>
      <c r="E6" s="14"/>
      <c r="F6" s="14"/>
      <c r="G6" s="14"/>
    </row>
    <row r="7" spans="1:8" ht="12.75" customHeight="1">
      <c r="B7" s="32"/>
      <c r="C7" s="24"/>
      <c r="D7" s="24"/>
      <c r="E7" s="24"/>
      <c r="F7" s="17"/>
      <c r="G7" s="17"/>
    </row>
    <row r="8" spans="1:8" ht="12.75" customHeight="1">
      <c r="B8" s="19" t="s">
        <v>215</v>
      </c>
      <c r="C8" s="43"/>
      <c r="D8" s="43"/>
      <c r="E8" s="43"/>
      <c r="F8" s="3"/>
      <c r="G8" s="7"/>
    </row>
    <row r="9" spans="1:8" ht="12.75" customHeight="1">
      <c r="B9" s="20"/>
      <c r="C9" s="9"/>
      <c r="D9" s="9"/>
      <c r="E9" s="9"/>
      <c r="F9" s="3"/>
      <c r="G9" s="11" t="s">
        <v>232</v>
      </c>
    </row>
    <row r="10" spans="1:8" ht="12.75" customHeight="1">
      <c r="B10" s="21" t="s">
        <v>119</v>
      </c>
      <c r="C10" s="9"/>
      <c r="D10" s="9"/>
      <c r="E10" s="9"/>
      <c r="F10" s="3"/>
      <c r="G10" s="11" t="s">
        <v>183</v>
      </c>
    </row>
    <row r="11" spans="1:8" ht="12.75" customHeight="1">
      <c r="B11" s="20"/>
      <c r="C11" s="9"/>
      <c r="D11" s="9"/>
      <c r="E11" s="9"/>
      <c r="F11" s="3"/>
      <c r="G11" s="7"/>
      <c r="H11" s="16"/>
    </row>
    <row r="12" spans="1:8" ht="12.75" customHeight="1">
      <c r="B12" s="20" t="s">
        <v>96</v>
      </c>
      <c r="C12" s="9"/>
      <c r="D12" s="9"/>
      <c r="E12" s="9"/>
      <c r="F12" s="3"/>
      <c r="G12" s="23" t="s">
        <v>3</v>
      </c>
      <c r="H12" s="16"/>
    </row>
    <row r="13" spans="1:8" ht="47.25" customHeight="1">
      <c r="A13" s="126" t="s">
        <v>362</v>
      </c>
      <c r="B13" s="727" t="s">
        <v>361</v>
      </c>
      <c r="C13" s="728"/>
      <c r="D13" s="728"/>
      <c r="E13" s="728"/>
      <c r="F13" s="729"/>
      <c r="G13" s="140"/>
      <c r="H13" s="16"/>
    </row>
    <row r="14" spans="1:8" ht="12.75" customHeight="1">
      <c r="B14" s="726" t="s">
        <v>38</v>
      </c>
      <c r="C14" s="726"/>
      <c r="D14" s="726"/>
      <c r="E14" s="726"/>
      <c r="F14" s="726"/>
      <c r="G14" s="726"/>
      <c r="H14" s="36"/>
    </row>
    <row r="15" spans="1:8" ht="24.75" customHeight="1">
      <c r="A15" s="126" t="s">
        <v>373</v>
      </c>
      <c r="B15" s="681"/>
      <c r="C15" s="681"/>
      <c r="D15" s="681"/>
      <c r="E15" s="681"/>
      <c r="F15" s="681"/>
      <c r="G15" s="151"/>
      <c r="H15" s="16"/>
    </row>
    <row r="16" spans="1:8" ht="27.75" customHeight="1">
      <c r="A16" s="126" t="s">
        <v>374</v>
      </c>
      <c r="B16" s="681"/>
      <c r="C16" s="681"/>
      <c r="D16" s="681"/>
      <c r="E16" s="681"/>
      <c r="F16" s="681"/>
      <c r="G16" s="151"/>
      <c r="H16" s="16"/>
    </row>
    <row r="17" spans="1:9" ht="12.75" customHeight="1">
      <c r="B17" s="14"/>
      <c r="C17" s="14"/>
      <c r="D17" s="14"/>
      <c r="E17" s="14"/>
      <c r="F17" s="14"/>
      <c r="G17" s="14"/>
      <c r="H17" s="16"/>
    </row>
    <row r="18" spans="1:9" ht="12.75" customHeight="1">
      <c r="B18" s="32"/>
      <c r="C18" s="24"/>
      <c r="D18" s="24"/>
      <c r="E18" s="24"/>
      <c r="F18" s="17"/>
      <c r="G18" s="17"/>
      <c r="H18" s="16"/>
    </row>
    <row r="19" spans="1:9" ht="12.75" customHeight="1">
      <c r="B19" s="19" t="s">
        <v>166</v>
      </c>
      <c r="C19" s="9"/>
      <c r="D19" s="9"/>
      <c r="E19" s="9"/>
      <c r="F19" s="9"/>
      <c r="G19" s="5"/>
    </row>
    <row r="20" spans="1:9" ht="12.75" customHeight="1">
      <c r="B20" s="20"/>
      <c r="C20" s="9"/>
      <c r="D20" s="9"/>
      <c r="E20" s="9"/>
      <c r="F20" s="9"/>
      <c r="G20" s="5"/>
    </row>
    <row r="21" spans="1:9" ht="12.75" customHeight="1">
      <c r="B21" s="21" t="s">
        <v>131</v>
      </c>
      <c r="C21" s="9"/>
      <c r="D21" s="9"/>
      <c r="E21" s="9"/>
      <c r="F21" s="9"/>
      <c r="G21" s="5"/>
    </row>
    <row r="22" spans="1:9" ht="12.75" customHeight="1">
      <c r="B22" s="21" t="s">
        <v>47</v>
      </c>
      <c r="C22" s="9"/>
      <c r="D22" s="9"/>
      <c r="E22" s="9"/>
      <c r="F22" s="9"/>
      <c r="G22" s="5"/>
    </row>
    <row r="23" spans="1:9" ht="12.75" customHeight="1">
      <c r="B23" s="20"/>
      <c r="C23" s="9"/>
      <c r="D23" s="9"/>
      <c r="E23" s="9"/>
      <c r="F23" s="9"/>
      <c r="G23" s="11" t="s">
        <v>222</v>
      </c>
    </row>
    <row r="24" spans="1:9" ht="12.75" customHeight="1">
      <c r="B24" s="20" t="s">
        <v>48</v>
      </c>
      <c r="C24" s="9"/>
      <c r="D24" s="9"/>
      <c r="E24" s="9"/>
      <c r="F24" s="9"/>
      <c r="G24" s="11" t="s">
        <v>94</v>
      </c>
    </row>
    <row r="25" spans="1:9" s="16" customFormat="1" ht="12.75" customHeight="1">
      <c r="B25" s="20" t="s">
        <v>71</v>
      </c>
      <c r="C25" s="9"/>
      <c r="D25" s="9"/>
      <c r="E25" s="9"/>
      <c r="F25" s="9"/>
      <c r="G25" s="11" t="s">
        <v>95</v>
      </c>
    </row>
    <row r="26" spans="1:9" s="16" customFormat="1" ht="12.75" customHeight="1">
      <c r="B26" s="20" t="s">
        <v>49</v>
      </c>
      <c r="C26" s="9"/>
      <c r="D26" s="9"/>
      <c r="E26" s="9"/>
      <c r="F26" s="9"/>
      <c r="G26" s="7"/>
    </row>
    <row r="27" spans="1:9" s="16" customFormat="1" ht="12.75" customHeight="1">
      <c r="B27" s="80" t="s">
        <v>152</v>
      </c>
      <c r="C27" s="25"/>
      <c r="D27" s="25"/>
      <c r="E27" s="25"/>
      <c r="F27" s="25"/>
      <c r="G27" s="23" t="s">
        <v>3</v>
      </c>
    </row>
    <row r="28" spans="1:9" s="16" customFormat="1" ht="51" customHeight="1">
      <c r="A28" s="126" t="s">
        <v>367</v>
      </c>
      <c r="B28" s="656" t="s">
        <v>363</v>
      </c>
      <c r="C28" s="686"/>
      <c r="D28" s="686"/>
      <c r="E28" s="686"/>
      <c r="F28" s="657"/>
      <c r="G28" s="138"/>
    </row>
    <row r="29" spans="1:9" s="16" customFormat="1" ht="33" customHeight="1">
      <c r="A29" s="126" t="s">
        <v>368</v>
      </c>
      <c r="B29" s="727" t="s">
        <v>364</v>
      </c>
      <c r="C29" s="728"/>
      <c r="D29" s="728"/>
      <c r="E29" s="728"/>
      <c r="F29" s="729"/>
      <c r="G29" s="138"/>
    </row>
    <row r="30" spans="1:9" ht="33" customHeight="1">
      <c r="A30" s="126" t="s">
        <v>369</v>
      </c>
      <c r="B30" s="730" t="s">
        <v>365</v>
      </c>
      <c r="C30" s="731"/>
      <c r="D30" s="731"/>
      <c r="E30" s="731"/>
      <c r="F30" s="732"/>
      <c r="G30" s="138"/>
      <c r="H30" s="16"/>
      <c r="I30" s="16"/>
    </row>
    <row r="31" spans="1:9" ht="40.5" customHeight="1">
      <c r="A31" s="126" t="s">
        <v>370</v>
      </c>
      <c r="B31" s="727" t="s">
        <v>366</v>
      </c>
      <c r="C31" s="728"/>
      <c r="D31" s="728"/>
      <c r="E31" s="728"/>
      <c r="F31" s="729"/>
      <c r="G31" s="138"/>
      <c r="H31" s="16"/>
      <c r="I31" s="16"/>
    </row>
    <row r="32" spans="1:9" ht="12.75" customHeight="1">
      <c r="B32" s="726" t="s">
        <v>38</v>
      </c>
      <c r="C32" s="726"/>
      <c r="D32" s="726"/>
      <c r="E32" s="726"/>
      <c r="F32" s="726"/>
      <c r="G32" s="726"/>
      <c r="H32" s="36"/>
      <c r="I32" s="36"/>
    </row>
    <row r="33" spans="1:9" ht="24.75" customHeight="1">
      <c r="A33" s="152" t="s">
        <v>371</v>
      </c>
      <c r="B33" s="681"/>
      <c r="C33" s="681"/>
      <c r="D33" s="681"/>
      <c r="E33" s="681"/>
      <c r="F33" s="681"/>
      <c r="G33" s="94"/>
      <c r="H33" s="16"/>
      <c r="I33" s="16"/>
    </row>
    <row r="34" spans="1:9" ht="29.25" customHeight="1">
      <c r="A34" s="152" t="s">
        <v>372</v>
      </c>
      <c r="B34" s="681"/>
      <c r="C34" s="681"/>
      <c r="D34" s="681"/>
      <c r="E34" s="681"/>
      <c r="F34" s="681"/>
      <c r="G34" s="94"/>
      <c r="H34" s="14"/>
      <c r="I34" s="14"/>
    </row>
    <row r="35" spans="1:9">
      <c r="B35" s="16"/>
      <c r="C35" s="16"/>
      <c r="D35" s="16"/>
      <c r="E35" s="16"/>
      <c r="F35" s="16"/>
      <c r="G35" s="16"/>
      <c r="H35" s="14"/>
      <c r="I35" s="14"/>
    </row>
    <row r="36" spans="1:9">
      <c r="B36" s="16"/>
      <c r="C36" s="16"/>
      <c r="D36" s="16"/>
      <c r="E36" s="16"/>
      <c r="F36" s="16"/>
      <c r="G36" s="16"/>
      <c r="H36" s="14"/>
      <c r="I36" s="14"/>
    </row>
    <row r="37" spans="1:9">
      <c r="B37" s="16"/>
      <c r="C37" s="16"/>
      <c r="D37" s="16"/>
      <c r="E37" s="16"/>
      <c r="F37" s="16"/>
      <c r="G37" s="16"/>
      <c r="H37" s="14"/>
      <c r="I37" s="14"/>
    </row>
    <row r="38" spans="1:9" ht="22.8">
      <c r="B38" s="579" t="s">
        <v>1051</v>
      </c>
      <c r="C38" s="579"/>
      <c r="D38" s="579"/>
      <c r="E38" s="579"/>
      <c r="F38" s="579"/>
      <c r="G38" s="579"/>
      <c r="H38" s="14"/>
      <c r="I38" s="14"/>
    </row>
    <row r="39" spans="1:9" s="16" customFormat="1">
      <c r="H39" s="14"/>
      <c r="I39" s="14"/>
    </row>
    <row r="40" spans="1:9" s="16" customFormat="1"/>
    <row r="41" spans="1:9" s="16" customFormat="1"/>
    <row r="42" spans="1:9" s="16" customFormat="1"/>
    <row r="43" spans="1:9" s="16" customFormat="1"/>
    <row r="44" spans="1:9" s="16" customFormat="1"/>
    <row r="45" spans="1:9" s="16" customFormat="1"/>
    <row r="46" spans="1:9" s="16" customFormat="1"/>
    <row r="47" spans="1:9" s="16" customFormat="1"/>
    <row r="48" spans="1:9" s="16" customFormat="1"/>
    <row r="49" s="16" customFormat="1"/>
    <row r="50" s="16" customFormat="1"/>
    <row r="51" s="16" customFormat="1"/>
    <row r="52" s="16" customFormat="1"/>
    <row r="53" s="16" customFormat="1"/>
    <row r="54" s="16" customFormat="1"/>
    <row r="55" s="16" customFormat="1"/>
    <row r="56" s="16" customFormat="1"/>
    <row r="57" s="16" customFormat="1"/>
    <row r="58" s="16" customFormat="1"/>
    <row r="59" s="16" customFormat="1"/>
    <row r="60" s="16" customFormat="1"/>
    <row r="61" s="16" customFormat="1"/>
  </sheetData>
  <mergeCells count="14">
    <mergeCell ref="B38:G38"/>
    <mergeCell ref="C2:G2"/>
    <mergeCell ref="B33:F33"/>
    <mergeCell ref="B34:F34"/>
    <mergeCell ref="B15:F15"/>
    <mergeCell ref="B16:F16"/>
    <mergeCell ref="B31:F31"/>
    <mergeCell ref="B32:G32"/>
    <mergeCell ref="B5:G5"/>
    <mergeCell ref="B14:G14"/>
    <mergeCell ref="B28:F28"/>
    <mergeCell ref="B29:F29"/>
    <mergeCell ref="B30:F30"/>
    <mergeCell ref="B13:F13"/>
  </mergeCells>
  <phoneticPr fontId="9" type="noConversion"/>
  <hyperlinks>
    <hyperlink ref="B38:G38" location="'Goal 4'!Print_Titles" display="Next"/>
  </hyperlinks>
  <pageMargins left="0.75" right="0.75" top="1" bottom="1" header="0.5" footer="0.5"/>
  <pageSetup scale="70" orientation="portrait" horizontalDpi="1200" verticalDpi="1200" r:id="rId1"/>
  <headerFooter alignWithMargins="0">
    <oddFooter>&amp;LNPI &amp;A&amp;CFY 2012 CSBG IS FORMS&amp;RPAGE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showGridLines="0" zoomScaleNormal="100" workbookViewId="0">
      <selection activeCell="M24" sqref="M24"/>
    </sheetView>
  </sheetViews>
  <sheetFormatPr defaultColWidth="9.109375" defaultRowHeight="13.2"/>
  <cols>
    <col min="1" max="16384" width="9.109375" style="16"/>
  </cols>
  <sheetData>
    <row r="1" spans="1:9" ht="17.399999999999999">
      <c r="A1" s="30" t="s">
        <v>101</v>
      </c>
      <c r="B1" s="30"/>
      <c r="C1" s="30"/>
      <c r="D1" s="30"/>
      <c r="E1" s="30"/>
      <c r="F1" s="30"/>
    </row>
    <row r="2" spans="1:9" ht="17.399999999999999">
      <c r="A2" s="30" t="s">
        <v>87</v>
      </c>
      <c r="B2" s="30"/>
      <c r="C2" s="30"/>
      <c r="D2" s="30"/>
      <c r="E2" s="30"/>
      <c r="F2" s="30"/>
    </row>
    <row r="3" spans="1:9" ht="18" customHeight="1">
      <c r="A3" s="14"/>
      <c r="B3" s="37"/>
      <c r="C3" s="37"/>
    </row>
    <row r="4" spans="1:9" ht="13.8" thickBot="1"/>
    <row r="5" spans="1:9" ht="12.75" customHeight="1">
      <c r="A5" s="64"/>
      <c r="B5" s="65"/>
      <c r="C5" s="65"/>
      <c r="D5" s="65"/>
      <c r="E5" s="65"/>
      <c r="F5" s="65"/>
      <c r="G5" s="65"/>
      <c r="H5" s="65"/>
      <c r="I5" s="66"/>
    </row>
    <row r="6" spans="1:9" ht="12.75" customHeight="1">
      <c r="A6" s="67"/>
      <c r="B6" s="68"/>
      <c r="C6" s="68"/>
      <c r="D6" s="68"/>
      <c r="E6" s="68"/>
      <c r="F6" s="68"/>
      <c r="G6" s="68"/>
      <c r="H6" s="68"/>
      <c r="I6" s="69"/>
    </row>
    <row r="7" spans="1:9" ht="12.75" customHeight="1">
      <c r="A7" s="67"/>
      <c r="B7" s="68"/>
      <c r="C7" s="68"/>
      <c r="D7" s="68"/>
      <c r="E7" s="68"/>
      <c r="F7" s="68"/>
      <c r="G7" s="68"/>
      <c r="H7" s="68"/>
      <c r="I7" s="69"/>
    </row>
    <row r="8" spans="1:9" ht="12.75" customHeight="1">
      <c r="A8" s="67"/>
      <c r="B8" s="68"/>
      <c r="C8" s="68"/>
      <c r="D8" s="68"/>
      <c r="E8" s="68"/>
      <c r="F8" s="68"/>
      <c r="G8" s="68"/>
      <c r="H8" s="68"/>
      <c r="I8" s="69"/>
    </row>
    <row r="9" spans="1:9" ht="12.75" customHeight="1">
      <c r="A9" s="67"/>
      <c r="B9" s="68"/>
      <c r="C9" s="68"/>
      <c r="D9" s="68"/>
      <c r="E9" s="68"/>
      <c r="F9" s="68"/>
      <c r="G9" s="68"/>
      <c r="H9" s="68"/>
      <c r="I9" s="69"/>
    </row>
    <row r="10" spans="1:9" ht="12.75" customHeight="1">
      <c r="A10" s="67"/>
      <c r="B10" s="68"/>
      <c r="C10" s="68"/>
      <c r="D10" s="68"/>
      <c r="E10" s="68"/>
      <c r="F10" s="68"/>
      <c r="G10" s="68"/>
      <c r="H10" s="68"/>
      <c r="I10" s="69"/>
    </row>
    <row r="11" spans="1:9" ht="12.75" customHeight="1">
      <c r="A11" s="67"/>
      <c r="B11" s="68"/>
      <c r="C11" s="68"/>
      <c r="D11" s="68"/>
      <c r="E11" s="68"/>
      <c r="F11" s="68"/>
      <c r="G11" s="68"/>
      <c r="H11" s="68"/>
      <c r="I11" s="69"/>
    </row>
    <row r="12" spans="1:9" ht="12.75" customHeight="1">
      <c r="A12" s="67"/>
      <c r="B12" s="68"/>
      <c r="C12" s="68"/>
      <c r="D12" s="68"/>
      <c r="E12" s="68"/>
      <c r="F12" s="68"/>
      <c r="G12" s="68"/>
      <c r="H12" s="68"/>
      <c r="I12" s="69"/>
    </row>
    <row r="13" spans="1:9" ht="12.75" customHeight="1">
      <c r="A13" s="67"/>
      <c r="B13" s="68"/>
      <c r="C13" s="68"/>
      <c r="D13" s="68"/>
      <c r="E13" s="68"/>
      <c r="F13" s="68"/>
      <c r="G13" s="68"/>
      <c r="H13" s="68"/>
      <c r="I13" s="69"/>
    </row>
    <row r="14" spans="1:9" ht="12.75" customHeight="1">
      <c r="A14" s="67"/>
      <c r="B14" s="68"/>
      <c r="C14" s="68"/>
      <c r="D14" s="68"/>
      <c r="E14" s="68"/>
      <c r="F14" s="68"/>
      <c r="G14" s="68"/>
      <c r="H14" s="68"/>
      <c r="I14" s="69"/>
    </row>
    <row r="15" spans="1:9" ht="12.75" customHeight="1">
      <c r="A15" s="67"/>
      <c r="B15" s="68"/>
      <c r="C15" s="68"/>
      <c r="D15" s="68"/>
      <c r="E15" s="68"/>
      <c r="F15" s="68"/>
      <c r="G15" s="68"/>
      <c r="H15" s="68"/>
      <c r="I15" s="69"/>
    </row>
    <row r="16" spans="1:9" ht="12.75" customHeight="1">
      <c r="A16" s="67"/>
      <c r="B16" s="68"/>
      <c r="C16" s="68"/>
      <c r="D16" s="68"/>
      <c r="E16" s="68"/>
      <c r="F16" s="68"/>
      <c r="G16" s="68"/>
      <c r="H16" s="68"/>
      <c r="I16" s="69"/>
    </row>
    <row r="17" spans="1:9" ht="12.75" customHeight="1">
      <c r="A17" s="67"/>
      <c r="B17" s="68"/>
      <c r="C17" s="68"/>
      <c r="D17" s="68"/>
      <c r="E17" s="68"/>
      <c r="F17" s="68"/>
      <c r="G17" s="68"/>
      <c r="H17" s="68"/>
      <c r="I17" s="69"/>
    </row>
    <row r="18" spans="1:9" ht="12.75" customHeight="1">
      <c r="A18" s="67"/>
      <c r="B18" s="68"/>
      <c r="C18" s="68"/>
      <c r="D18" s="68"/>
      <c r="E18" s="68"/>
      <c r="F18" s="68"/>
      <c r="G18" s="68"/>
      <c r="H18" s="68"/>
      <c r="I18" s="69"/>
    </row>
    <row r="19" spans="1:9" ht="12.75" customHeight="1">
      <c r="A19" s="67"/>
      <c r="B19" s="68"/>
      <c r="C19" s="68"/>
      <c r="D19" s="68"/>
      <c r="E19" s="68"/>
      <c r="F19" s="68"/>
      <c r="G19" s="68"/>
      <c r="H19" s="68"/>
      <c r="I19" s="69"/>
    </row>
    <row r="20" spans="1:9" ht="12.75" customHeight="1">
      <c r="A20" s="67"/>
      <c r="B20" s="68"/>
      <c r="C20" s="68"/>
      <c r="D20" s="68"/>
      <c r="E20" s="68"/>
      <c r="F20" s="68"/>
      <c r="G20" s="68"/>
      <c r="H20" s="68"/>
      <c r="I20" s="69"/>
    </row>
    <row r="21" spans="1:9" ht="12.75" customHeight="1">
      <c r="A21" s="67"/>
      <c r="B21" s="68"/>
      <c r="C21" s="68"/>
      <c r="D21" s="68"/>
      <c r="E21" s="68"/>
      <c r="F21" s="68"/>
      <c r="G21" s="68"/>
      <c r="H21" s="68"/>
      <c r="I21" s="69"/>
    </row>
    <row r="22" spans="1:9" ht="12.75" customHeight="1">
      <c r="A22" s="67"/>
      <c r="B22" s="68"/>
      <c r="C22" s="68"/>
      <c r="D22" s="68"/>
      <c r="E22" s="68"/>
      <c r="F22" s="68"/>
      <c r="G22" s="68"/>
      <c r="H22" s="68"/>
      <c r="I22" s="69"/>
    </row>
    <row r="23" spans="1:9" ht="12.75" customHeight="1">
      <c r="A23" s="67"/>
      <c r="B23" s="68"/>
      <c r="C23" s="68"/>
      <c r="D23" s="68"/>
      <c r="E23" s="68"/>
      <c r="F23" s="68"/>
      <c r="G23" s="68"/>
      <c r="H23" s="68"/>
      <c r="I23" s="69"/>
    </row>
    <row r="24" spans="1:9" ht="12.75" customHeight="1">
      <c r="A24" s="67"/>
      <c r="B24" s="68"/>
      <c r="C24" s="68"/>
      <c r="D24" s="68"/>
      <c r="E24" s="68"/>
      <c r="F24" s="68"/>
      <c r="G24" s="68"/>
      <c r="H24" s="68"/>
      <c r="I24" s="69"/>
    </row>
    <row r="25" spans="1:9" ht="12.75" customHeight="1">
      <c r="A25" s="67"/>
      <c r="B25" s="68"/>
      <c r="C25" s="68"/>
      <c r="D25" s="68"/>
      <c r="E25" s="68"/>
      <c r="F25" s="68"/>
      <c r="G25" s="68"/>
      <c r="H25" s="68"/>
      <c r="I25" s="69"/>
    </row>
    <row r="26" spans="1:9" ht="12.75" customHeight="1">
      <c r="A26" s="67"/>
      <c r="B26" s="68"/>
      <c r="C26" s="68"/>
      <c r="D26" s="68"/>
      <c r="E26" s="68"/>
      <c r="F26" s="68"/>
      <c r="G26" s="68"/>
      <c r="H26" s="68"/>
      <c r="I26" s="69"/>
    </row>
    <row r="27" spans="1:9" ht="12.75" customHeight="1">
      <c r="A27" s="67"/>
      <c r="B27" s="68"/>
      <c r="C27" s="68"/>
      <c r="D27" s="68"/>
      <c r="E27" s="68"/>
      <c r="F27" s="68"/>
      <c r="G27" s="68"/>
      <c r="H27" s="68"/>
      <c r="I27" s="69"/>
    </row>
    <row r="28" spans="1:9" ht="12.75" customHeight="1">
      <c r="A28" s="67"/>
      <c r="B28" s="68"/>
      <c r="C28" s="68"/>
      <c r="D28" s="68"/>
      <c r="E28" s="68"/>
      <c r="F28" s="68"/>
      <c r="G28" s="68"/>
      <c r="H28" s="68"/>
      <c r="I28" s="69"/>
    </row>
    <row r="29" spans="1:9" ht="12.75" customHeight="1">
      <c r="A29" s="67"/>
      <c r="B29" s="68"/>
      <c r="C29" s="68"/>
      <c r="D29" s="68"/>
      <c r="E29" s="68"/>
      <c r="F29" s="68"/>
      <c r="G29" s="68"/>
      <c r="H29" s="68"/>
      <c r="I29" s="69"/>
    </row>
    <row r="30" spans="1:9" ht="12.75" customHeight="1">
      <c r="A30" s="67"/>
      <c r="B30" s="68"/>
      <c r="C30" s="68"/>
      <c r="D30" s="68"/>
      <c r="E30" s="68"/>
      <c r="F30" s="68"/>
      <c r="G30" s="68"/>
      <c r="H30" s="68"/>
      <c r="I30" s="69"/>
    </row>
    <row r="31" spans="1:9" ht="12.75" customHeight="1">
      <c r="A31" s="67"/>
      <c r="B31" s="68"/>
      <c r="C31" s="68"/>
      <c r="D31" s="68"/>
      <c r="E31" s="68"/>
      <c r="F31" s="68"/>
      <c r="G31" s="68"/>
      <c r="H31" s="68"/>
      <c r="I31" s="69"/>
    </row>
    <row r="32" spans="1:9" ht="12.75" customHeight="1">
      <c r="A32" s="67"/>
      <c r="B32" s="68"/>
      <c r="C32" s="68"/>
      <c r="D32" s="68"/>
      <c r="E32" s="68"/>
      <c r="F32" s="68"/>
      <c r="G32" s="68"/>
      <c r="H32" s="68"/>
      <c r="I32" s="69"/>
    </row>
    <row r="33" spans="1:9" ht="12.75" customHeight="1">
      <c r="A33" s="67"/>
      <c r="B33" s="68"/>
      <c r="C33" s="68"/>
      <c r="D33" s="68"/>
      <c r="E33" s="68"/>
      <c r="F33" s="68"/>
      <c r="G33" s="68"/>
      <c r="H33" s="68"/>
      <c r="I33" s="69"/>
    </row>
    <row r="34" spans="1:9" ht="12.75" customHeight="1">
      <c r="A34" s="67"/>
      <c r="B34" s="68"/>
      <c r="C34" s="68"/>
      <c r="D34" s="68"/>
      <c r="E34" s="68"/>
      <c r="F34" s="68"/>
      <c r="G34" s="68"/>
      <c r="H34" s="68"/>
      <c r="I34" s="69"/>
    </row>
    <row r="35" spans="1:9" ht="12.75" customHeight="1">
      <c r="A35" s="67"/>
      <c r="B35" s="68"/>
      <c r="C35" s="68"/>
      <c r="D35" s="68"/>
      <c r="E35" s="68"/>
      <c r="F35" s="68"/>
      <c r="G35" s="68"/>
      <c r="H35" s="68"/>
      <c r="I35" s="69"/>
    </row>
    <row r="36" spans="1:9" ht="12.75" customHeight="1">
      <c r="A36" s="67"/>
      <c r="B36" s="68"/>
      <c r="C36" s="68"/>
      <c r="D36" s="68"/>
      <c r="E36" s="68"/>
      <c r="F36" s="68"/>
      <c r="G36" s="68"/>
      <c r="H36" s="68"/>
      <c r="I36" s="69"/>
    </row>
    <row r="37" spans="1:9" ht="12.75" customHeight="1">
      <c r="A37" s="67"/>
      <c r="B37" s="68"/>
      <c r="C37" s="68"/>
      <c r="D37" s="68"/>
      <c r="E37" s="68"/>
      <c r="F37" s="68"/>
      <c r="G37" s="68"/>
      <c r="H37" s="68"/>
      <c r="I37" s="69"/>
    </row>
    <row r="38" spans="1:9" ht="12.75" customHeight="1">
      <c r="A38" s="67"/>
      <c r="B38" s="68"/>
      <c r="C38" s="68"/>
      <c r="D38" s="68"/>
      <c r="E38" s="68"/>
      <c r="F38" s="68"/>
      <c r="G38" s="68"/>
      <c r="H38" s="68"/>
      <c r="I38" s="69"/>
    </row>
    <row r="39" spans="1:9" ht="12.75" customHeight="1">
      <c r="A39" s="67"/>
      <c r="B39" s="68"/>
      <c r="C39" s="68"/>
      <c r="D39" s="68"/>
      <c r="E39" s="68"/>
      <c r="F39" s="68"/>
      <c r="G39" s="68"/>
      <c r="H39" s="68"/>
      <c r="I39" s="69"/>
    </row>
    <row r="40" spans="1:9" ht="12.75" customHeight="1">
      <c r="A40" s="67"/>
      <c r="B40" s="68"/>
      <c r="C40" s="68"/>
      <c r="D40" s="68"/>
      <c r="E40" s="68"/>
      <c r="F40" s="68"/>
      <c r="G40" s="68"/>
      <c r="H40" s="68"/>
      <c r="I40" s="69"/>
    </row>
    <row r="41" spans="1:9" ht="12.75" customHeight="1">
      <c r="A41" s="67"/>
      <c r="B41" s="68"/>
      <c r="C41" s="68"/>
      <c r="D41" s="68"/>
      <c r="E41" s="68"/>
      <c r="F41" s="68"/>
      <c r="G41" s="68"/>
      <c r="H41" s="68"/>
      <c r="I41" s="69"/>
    </row>
    <row r="42" spans="1:9" ht="12.75" customHeight="1">
      <c r="A42" s="67"/>
      <c r="B42" s="68"/>
      <c r="C42" s="68"/>
      <c r="D42" s="68"/>
      <c r="E42" s="68"/>
      <c r="F42" s="68"/>
      <c r="G42" s="68"/>
      <c r="H42" s="68"/>
      <c r="I42" s="69"/>
    </row>
    <row r="43" spans="1:9" ht="12.75" customHeight="1">
      <c r="A43" s="67"/>
      <c r="B43" s="68"/>
      <c r="C43" s="68"/>
      <c r="D43" s="68"/>
      <c r="E43" s="68"/>
      <c r="F43" s="68"/>
      <c r="G43" s="68"/>
      <c r="H43" s="68"/>
      <c r="I43" s="69"/>
    </row>
    <row r="44" spans="1:9" ht="12.75" customHeight="1">
      <c r="A44" s="67"/>
      <c r="B44" s="68"/>
      <c r="C44" s="68"/>
      <c r="D44" s="68"/>
      <c r="E44" s="68"/>
      <c r="F44" s="68"/>
      <c r="G44" s="68"/>
      <c r="H44" s="68"/>
      <c r="I44" s="69"/>
    </row>
    <row r="45" spans="1:9" ht="12.75" customHeight="1">
      <c r="A45" s="67"/>
      <c r="B45" s="68"/>
      <c r="C45" s="68"/>
      <c r="D45" s="68"/>
      <c r="E45" s="68"/>
      <c r="F45" s="68"/>
      <c r="G45" s="68"/>
      <c r="H45" s="68"/>
      <c r="I45" s="69"/>
    </row>
    <row r="46" spans="1:9" ht="12.75" customHeight="1">
      <c r="A46" s="67"/>
      <c r="B46" s="68"/>
      <c r="C46" s="68"/>
      <c r="D46" s="68"/>
      <c r="E46" s="68"/>
      <c r="F46" s="68"/>
      <c r="G46" s="68"/>
      <c r="H46" s="68"/>
      <c r="I46" s="69"/>
    </row>
    <row r="47" spans="1:9" ht="12.75" customHeight="1">
      <c r="A47" s="67"/>
      <c r="B47" s="68"/>
      <c r="C47" s="68"/>
      <c r="D47" s="68"/>
      <c r="E47" s="68"/>
      <c r="F47" s="68"/>
      <c r="G47" s="68"/>
      <c r="H47" s="68"/>
      <c r="I47" s="69"/>
    </row>
    <row r="48" spans="1:9" ht="12.75" customHeight="1">
      <c r="A48" s="67"/>
      <c r="B48" s="68"/>
      <c r="C48" s="68"/>
      <c r="D48" s="68"/>
      <c r="E48" s="68"/>
      <c r="F48" s="68"/>
      <c r="G48" s="68"/>
      <c r="H48" s="68"/>
      <c r="I48" s="69"/>
    </row>
    <row r="49" spans="1:9" ht="12.75" customHeight="1">
      <c r="A49" s="67"/>
      <c r="B49" s="68"/>
      <c r="C49" s="68"/>
      <c r="D49" s="68"/>
      <c r="E49" s="68"/>
      <c r="F49" s="68"/>
      <c r="G49" s="68"/>
      <c r="H49" s="68"/>
      <c r="I49" s="69"/>
    </row>
    <row r="50" spans="1:9" ht="12.75" customHeight="1">
      <c r="A50" s="67"/>
      <c r="B50" s="68"/>
      <c r="C50" s="68"/>
      <c r="D50" s="68"/>
      <c r="E50" s="68"/>
      <c r="F50" s="68"/>
      <c r="G50" s="68"/>
      <c r="H50" s="68"/>
      <c r="I50" s="69"/>
    </row>
    <row r="51" spans="1:9" ht="12.75" customHeight="1">
      <c r="A51" s="67"/>
      <c r="B51" s="68"/>
      <c r="C51" s="68"/>
      <c r="D51" s="68"/>
      <c r="E51" s="68"/>
      <c r="F51" s="68"/>
      <c r="G51" s="68"/>
      <c r="H51" s="68"/>
      <c r="I51" s="69"/>
    </row>
    <row r="52" spans="1:9" ht="12.75" customHeight="1" thickBot="1">
      <c r="A52" s="70"/>
      <c r="B52" s="71"/>
      <c r="C52" s="71"/>
      <c r="D52" s="71"/>
      <c r="E52" s="71"/>
      <c r="F52" s="71"/>
      <c r="G52" s="71"/>
      <c r="H52" s="71"/>
      <c r="I52" s="72"/>
    </row>
    <row r="53" spans="1:9" ht="12.75" customHeight="1"/>
  </sheetData>
  <phoneticPr fontId="9" type="noConversion"/>
  <pageMargins left="0.75" right="0.75" top="1" bottom="1" header="0.5" footer="0.5"/>
  <pageSetup scale="90"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4"/>
  <sheetViews>
    <sheetView showGridLines="0" topLeftCell="B1" zoomScaleNormal="100" workbookViewId="0">
      <selection activeCell="B38" sqref="B38:H38"/>
    </sheetView>
  </sheetViews>
  <sheetFormatPr defaultRowHeight="13.2"/>
  <cols>
    <col min="1" max="1" width="11.33203125" hidden="1" customWidth="1"/>
    <col min="2" max="2" width="20.88671875" customWidth="1"/>
    <col min="6" max="6" width="13.44140625" customWidth="1"/>
    <col min="7" max="7" width="14.88671875" customWidth="1"/>
    <col min="8" max="8" width="17.33203125" customWidth="1"/>
  </cols>
  <sheetData>
    <row r="2" spans="2:8" ht="16.8">
      <c r="B2" s="182" t="s">
        <v>513</v>
      </c>
      <c r="C2" s="528">
        <f>CoverSheet!D6</f>
        <v>0</v>
      </c>
      <c r="D2" s="529"/>
      <c r="E2" s="529"/>
      <c r="F2" s="529"/>
      <c r="G2" s="529"/>
      <c r="H2" s="530"/>
    </row>
    <row r="5" spans="2:8" ht="37.5" customHeight="1">
      <c r="B5" s="735" t="s">
        <v>404</v>
      </c>
      <c r="C5" s="735"/>
      <c r="D5" s="735"/>
      <c r="E5" s="735"/>
      <c r="F5" s="735"/>
      <c r="G5" s="735"/>
      <c r="H5" s="735"/>
    </row>
    <row r="6" spans="2:8" ht="18" customHeight="1">
      <c r="B6" s="30" t="s">
        <v>403</v>
      </c>
      <c r="C6" s="16"/>
      <c r="D6" s="16"/>
      <c r="E6" s="16"/>
      <c r="F6" s="16"/>
      <c r="G6" s="16"/>
    </row>
    <row r="7" spans="2:8">
      <c r="B7" s="32"/>
      <c r="C7" s="24"/>
      <c r="D7" s="24"/>
      <c r="E7" s="24"/>
      <c r="F7" s="17"/>
      <c r="G7" s="4"/>
      <c r="H7" s="4"/>
    </row>
    <row r="8" spans="2:8">
      <c r="B8" s="19" t="s">
        <v>50</v>
      </c>
      <c r="C8" s="9"/>
      <c r="D8" s="9"/>
      <c r="E8" s="9"/>
      <c r="F8" s="3"/>
      <c r="G8" s="11"/>
      <c r="H8" s="11"/>
    </row>
    <row r="9" spans="2:8">
      <c r="B9" s="20"/>
      <c r="C9" s="9"/>
      <c r="D9" s="9"/>
      <c r="E9" s="9"/>
      <c r="F9" s="3"/>
      <c r="G9" s="11"/>
      <c r="H9" s="11"/>
    </row>
    <row r="10" spans="2:8">
      <c r="B10" s="21" t="s">
        <v>167</v>
      </c>
      <c r="C10" s="93"/>
      <c r="D10" s="93"/>
      <c r="E10" s="9"/>
      <c r="F10" s="3"/>
      <c r="G10" s="7"/>
      <c r="H10" s="7"/>
    </row>
    <row r="11" spans="2:8">
      <c r="B11" s="21" t="s">
        <v>51</v>
      </c>
      <c r="C11" s="93"/>
      <c r="D11" s="93"/>
      <c r="E11" s="9"/>
      <c r="F11" s="3"/>
      <c r="G11" s="7"/>
      <c r="H11" s="7"/>
    </row>
    <row r="12" spans="2:8">
      <c r="B12" s="20"/>
      <c r="C12" s="9"/>
      <c r="D12" s="9"/>
      <c r="E12" s="9"/>
      <c r="F12" s="3"/>
      <c r="G12" s="7"/>
      <c r="H12" s="7"/>
    </row>
    <row r="13" spans="2:8">
      <c r="B13" s="20" t="s">
        <v>53</v>
      </c>
      <c r="C13" s="9"/>
      <c r="D13" s="9"/>
      <c r="E13" s="9"/>
      <c r="F13" s="3"/>
      <c r="G13" s="11" t="s">
        <v>222</v>
      </c>
      <c r="H13" s="11" t="s">
        <v>223</v>
      </c>
    </row>
    <row r="14" spans="2:8">
      <c r="B14" s="20" t="s">
        <v>72</v>
      </c>
      <c r="C14" s="9"/>
      <c r="D14" s="9"/>
      <c r="E14" s="9"/>
      <c r="F14" s="3"/>
      <c r="G14" s="11" t="s">
        <v>233</v>
      </c>
      <c r="H14" s="11" t="s">
        <v>52</v>
      </c>
    </row>
    <row r="15" spans="2:8">
      <c r="B15" s="20" t="s">
        <v>54</v>
      </c>
      <c r="C15" s="9"/>
      <c r="D15" s="9"/>
      <c r="E15" s="9"/>
      <c r="F15" s="3"/>
      <c r="G15" s="11"/>
      <c r="H15" s="11"/>
    </row>
    <row r="16" spans="2:8">
      <c r="B16" s="20" t="s">
        <v>195</v>
      </c>
      <c r="C16" s="9"/>
      <c r="D16" s="9"/>
      <c r="E16" s="9"/>
      <c r="F16" s="3"/>
      <c r="G16" s="11"/>
      <c r="H16" s="11"/>
    </row>
    <row r="17" spans="1:9">
      <c r="B17" s="22"/>
      <c r="C17" s="25"/>
      <c r="D17" s="25"/>
      <c r="E17" s="25"/>
      <c r="F17" s="13"/>
      <c r="G17" s="23" t="s">
        <v>3</v>
      </c>
      <c r="H17" s="23" t="s">
        <v>3</v>
      </c>
    </row>
    <row r="18" spans="1:9">
      <c r="A18" s="126" t="s">
        <v>375</v>
      </c>
      <c r="B18" s="581" t="s">
        <v>263</v>
      </c>
      <c r="C18" s="582"/>
      <c r="D18" s="582"/>
      <c r="E18" s="582"/>
      <c r="F18" s="583"/>
      <c r="G18" s="94"/>
      <c r="H18" s="94"/>
      <c r="I18" s="16"/>
    </row>
    <row r="19" spans="1:9">
      <c r="A19" s="126" t="s">
        <v>376</v>
      </c>
      <c r="B19" s="581" t="s">
        <v>234</v>
      </c>
      <c r="C19" s="582"/>
      <c r="D19" s="582"/>
      <c r="E19" s="582"/>
      <c r="F19" s="583"/>
      <c r="G19" s="94"/>
      <c r="H19" s="94"/>
      <c r="I19" s="16"/>
    </row>
    <row r="20" spans="1:9" s="16" customFormat="1">
      <c r="A20" s="126" t="s">
        <v>377</v>
      </c>
      <c r="B20" s="737" t="s">
        <v>235</v>
      </c>
      <c r="C20" s="738"/>
      <c r="D20" s="738"/>
      <c r="E20" s="738"/>
      <c r="F20" s="739"/>
      <c r="G20" s="94"/>
      <c r="H20" s="94"/>
    </row>
    <row r="21" spans="1:9" s="16" customFormat="1">
      <c r="A21" s="126" t="s">
        <v>378</v>
      </c>
      <c r="B21" s="581" t="s">
        <v>236</v>
      </c>
      <c r="C21" s="582"/>
      <c r="D21" s="582"/>
      <c r="E21" s="582"/>
      <c r="F21" s="583"/>
      <c r="G21" s="94"/>
      <c r="H21" s="94"/>
    </row>
    <row r="22" spans="1:9" s="16" customFormat="1">
      <c r="A22" s="126" t="s">
        <v>379</v>
      </c>
      <c r="B22" s="737" t="s">
        <v>237</v>
      </c>
      <c r="C22" s="738"/>
      <c r="D22" s="738"/>
      <c r="E22" s="738"/>
      <c r="F22" s="739"/>
      <c r="G22" s="94"/>
      <c r="H22" s="94"/>
    </row>
    <row r="23" spans="1:9" s="16" customFormat="1">
      <c r="A23" s="126" t="s">
        <v>380</v>
      </c>
      <c r="B23" s="581" t="s">
        <v>238</v>
      </c>
      <c r="C23" s="582"/>
      <c r="D23" s="582"/>
      <c r="E23" s="582"/>
      <c r="F23" s="583"/>
      <c r="G23" s="94"/>
      <c r="H23" s="94"/>
    </row>
    <row r="24" spans="1:9">
      <c r="A24" s="126" t="s">
        <v>381</v>
      </c>
      <c r="B24" s="581" t="s">
        <v>239</v>
      </c>
      <c r="C24" s="582"/>
      <c r="D24" s="582"/>
      <c r="E24" s="582"/>
      <c r="F24" s="583"/>
      <c r="G24" s="94"/>
      <c r="H24" s="94"/>
      <c r="I24" s="16"/>
    </row>
    <row r="25" spans="1:9" s="16" customFormat="1">
      <c r="A25" s="126" t="s">
        <v>382</v>
      </c>
      <c r="B25" s="737" t="s">
        <v>240</v>
      </c>
      <c r="C25" s="738"/>
      <c r="D25" s="738"/>
      <c r="E25" s="738"/>
      <c r="F25" s="739"/>
      <c r="G25" s="94"/>
      <c r="H25" s="94"/>
    </row>
    <row r="26" spans="1:9" s="16" customFormat="1">
      <c r="A26" s="126" t="s">
        <v>383</v>
      </c>
      <c r="B26" s="740" t="s">
        <v>254</v>
      </c>
      <c r="C26" s="582"/>
      <c r="D26" s="582"/>
      <c r="E26" s="582"/>
      <c r="F26" s="583"/>
      <c r="G26" s="95"/>
      <c r="H26" s="95"/>
    </row>
    <row r="27" spans="1:9" s="16" customFormat="1">
      <c r="A27" s="126" t="s">
        <v>384</v>
      </c>
      <c r="B27" s="741" t="s">
        <v>255</v>
      </c>
      <c r="C27" s="738"/>
      <c r="D27" s="738"/>
      <c r="E27" s="738"/>
      <c r="F27" s="739"/>
      <c r="G27" s="95"/>
      <c r="H27" s="95"/>
    </row>
    <row r="28" spans="1:9" s="16" customFormat="1">
      <c r="A28" s="126" t="s">
        <v>385</v>
      </c>
      <c r="B28" s="581" t="s">
        <v>265</v>
      </c>
      <c r="C28" s="582"/>
      <c r="D28" s="582"/>
      <c r="E28" s="582"/>
      <c r="F28" s="583"/>
      <c r="G28" s="95"/>
      <c r="H28" s="95"/>
    </row>
    <row r="29" spans="1:9" s="16" customFormat="1">
      <c r="A29" s="126" t="s">
        <v>386</v>
      </c>
      <c r="B29" s="581" t="s">
        <v>266</v>
      </c>
      <c r="C29" s="582"/>
      <c r="D29" s="582"/>
      <c r="E29" s="582"/>
      <c r="F29" s="583"/>
      <c r="G29" s="95"/>
      <c r="H29" s="95"/>
    </row>
    <row r="30" spans="1:9" s="16" customFormat="1">
      <c r="A30" s="126" t="s">
        <v>387</v>
      </c>
      <c r="B30" s="581" t="s">
        <v>267</v>
      </c>
      <c r="C30" s="582"/>
      <c r="D30" s="582"/>
      <c r="E30" s="582"/>
      <c r="F30" s="583"/>
      <c r="G30" s="95"/>
      <c r="H30" s="95"/>
    </row>
    <row r="31" spans="1:9" s="16" customFormat="1" ht="42.75" customHeight="1">
      <c r="B31" s="742" t="s">
        <v>144</v>
      </c>
      <c r="C31" s="743"/>
      <c r="D31" s="743"/>
      <c r="E31" s="743"/>
      <c r="F31" s="743"/>
      <c r="G31" s="743"/>
      <c r="H31" s="744"/>
    </row>
    <row r="32" spans="1:9" s="16" customFormat="1" ht="24" customHeight="1">
      <c r="A32" s="152" t="s">
        <v>400</v>
      </c>
      <c r="B32" s="682"/>
      <c r="C32" s="733"/>
      <c r="D32" s="733"/>
      <c r="E32" s="733"/>
      <c r="F32" s="734"/>
      <c r="G32" s="95"/>
      <c r="H32" s="95"/>
    </row>
    <row r="33" spans="1:8" s="16" customFormat="1" ht="24" customHeight="1">
      <c r="A33" s="152" t="s">
        <v>401</v>
      </c>
      <c r="B33" s="682"/>
      <c r="C33" s="733"/>
      <c r="D33" s="733"/>
      <c r="E33" s="733"/>
      <c r="F33" s="734"/>
      <c r="G33" s="95"/>
      <c r="H33" s="95"/>
    </row>
    <row r="34" spans="1:8" s="16" customFormat="1" ht="24" customHeight="1">
      <c r="A34" s="152" t="s">
        <v>402</v>
      </c>
      <c r="B34" s="153"/>
      <c r="C34" s="154"/>
      <c r="D34" s="154"/>
      <c r="E34" s="154"/>
      <c r="F34" s="155"/>
      <c r="G34" s="95"/>
      <c r="H34" s="95"/>
    </row>
    <row r="35" spans="1:8" s="16" customFormat="1" ht="45" customHeight="1">
      <c r="A35" s="126" t="s">
        <v>517</v>
      </c>
      <c r="B35" s="736" t="s">
        <v>388</v>
      </c>
      <c r="C35" s="736"/>
      <c r="D35" s="736"/>
      <c r="E35" s="736"/>
      <c r="F35" s="736"/>
      <c r="G35" s="94">
        <f>SUM(G32:G34,G18:G30)</f>
        <v>0</v>
      </c>
      <c r="H35" s="94">
        <f>SUM(H32:H34,H18:H30)</f>
        <v>0</v>
      </c>
    </row>
    <row r="38" spans="1:8" ht="22.8">
      <c r="B38" s="484" t="s">
        <v>1051</v>
      </c>
      <c r="C38" s="484"/>
      <c r="D38" s="484"/>
      <c r="E38" s="484"/>
      <c r="F38" s="484"/>
      <c r="G38" s="484"/>
      <c r="H38" s="484"/>
    </row>
    <row r="52" spans="8:8" s="16" customFormat="1">
      <c r="H52"/>
    </row>
    <row r="53" spans="8:8" s="16" customFormat="1">
      <c r="H53"/>
    </row>
    <row r="54" spans="8:8" s="16" customFormat="1">
      <c r="H54"/>
    </row>
    <row r="55" spans="8:8" s="16" customFormat="1">
      <c r="H55"/>
    </row>
    <row r="56" spans="8:8" s="16" customFormat="1">
      <c r="H56"/>
    </row>
    <row r="57" spans="8:8" s="16" customFormat="1">
      <c r="H57"/>
    </row>
    <row r="58" spans="8:8" s="16" customFormat="1">
      <c r="H58"/>
    </row>
    <row r="59" spans="8:8" s="16" customFormat="1">
      <c r="H59"/>
    </row>
    <row r="60" spans="8:8" s="16" customFormat="1">
      <c r="H60"/>
    </row>
    <row r="61" spans="8:8" s="16" customFormat="1">
      <c r="H61"/>
    </row>
    <row r="62" spans="8:8" s="16" customFormat="1">
      <c r="H62"/>
    </row>
    <row r="63" spans="8:8" s="16" customFormat="1">
      <c r="H63"/>
    </row>
    <row r="64" spans="8:8" s="16" customFormat="1">
      <c r="H64"/>
    </row>
    <row r="65" spans="8:8" s="16" customFormat="1">
      <c r="H65"/>
    </row>
    <row r="66" spans="8:8" s="16" customFormat="1">
      <c r="H66"/>
    </row>
    <row r="67" spans="8:8" s="16" customFormat="1">
      <c r="H67"/>
    </row>
    <row r="68" spans="8:8" s="16" customFormat="1">
      <c r="H68"/>
    </row>
    <row r="69" spans="8:8" s="16" customFormat="1">
      <c r="H69"/>
    </row>
    <row r="70" spans="8:8" s="16" customFormat="1">
      <c r="H70"/>
    </row>
    <row r="71" spans="8:8" s="16" customFormat="1">
      <c r="H71"/>
    </row>
    <row r="72" spans="8:8" s="16" customFormat="1">
      <c r="H72"/>
    </row>
    <row r="73" spans="8:8" s="16" customFormat="1">
      <c r="H73"/>
    </row>
    <row r="74" spans="8:8" s="16" customFormat="1">
      <c r="H74"/>
    </row>
  </sheetData>
  <mergeCells count="20">
    <mergeCell ref="B21:F21"/>
    <mergeCell ref="B27:F27"/>
    <mergeCell ref="B31:H31"/>
    <mergeCell ref="B32:F32"/>
    <mergeCell ref="C2:H2"/>
    <mergeCell ref="B33:F33"/>
    <mergeCell ref="B5:H5"/>
    <mergeCell ref="B38:H38"/>
    <mergeCell ref="B35:F35"/>
    <mergeCell ref="B18:F18"/>
    <mergeCell ref="B19:F19"/>
    <mergeCell ref="B24:F24"/>
    <mergeCell ref="B20:F20"/>
    <mergeCell ref="B30:F30"/>
    <mergeCell ref="B22:F22"/>
    <mergeCell ref="B23:F23"/>
    <mergeCell ref="B25:F25"/>
    <mergeCell ref="B26:F26"/>
    <mergeCell ref="B28:F28"/>
    <mergeCell ref="B29:F29"/>
  </mergeCells>
  <phoneticPr fontId="9" type="noConversion"/>
  <hyperlinks>
    <hyperlink ref="B38:H38" location="'Goal 5'!Print_Titles" display="Next"/>
  </hyperlinks>
  <pageMargins left="0.75" right="0.75" top="1" bottom="1" header="0.5" footer="0.5"/>
  <pageSetup scale="70" orientation="portrait" horizontalDpi="1200" verticalDpi="1200" r:id="rId1"/>
  <headerFooter alignWithMargins="0">
    <oddFooter>&amp;LNPI &amp;A&amp;CFY 2012 CSBG IS FORMS&amp;RPAGE &amp;P OF &amp;N</oddFooter>
  </headerFooter>
  <ignoredErrors>
    <ignoredError sqref="G35" unlocked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showGridLines="0" zoomScaleNormal="100" workbookViewId="0">
      <selection activeCell="A4" sqref="A4"/>
    </sheetView>
  </sheetViews>
  <sheetFormatPr defaultRowHeight="13.2"/>
  <sheetData>
    <row r="1" spans="1:9" ht="17.399999999999999">
      <c r="A1" s="30" t="s">
        <v>102</v>
      </c>
      <c r="B1" s="38"/>
      <c r="C1" s="38"/>
      <c r="D1" s="38"/>
      <c r="E1" s="38"/>
      <c r="F1" s="38"/>
      <c r="G1" s="38"/>
      <c r="H1" s="38"/>
    </row>
    <row r="2" spans="1:9" ht="17.399999999999999">
      <c r="A2" s="30" t="s">
        <v>88</v>
      </c>
    </row>
    <row r="3" spans="1:9" ht="17.399999999999999">
      <c r="A3" s="30" t="s">
        <v>89</v>
      </c>
    </row>
    <row r="4" spans="1:9" ht="18" customHeight="1">
      <c r="A4" s="14"/>
    </row>
    <row r="5" spans="1:9" ht="13.8" thickBot="1"/>
    <row r="6" spans="1:9" ht="12.75" customHeight="1">
      <c r="A6" s="47"/>
      <c r="B6" s="48"/>
      <c r="C6" s="48"/>
      <c r="D6" s="48"/>
      <c r="E6" s="48"/>
      <c r="F6" s="48"/>
      <c r="G6" s="48"/>
      <c r="H6" s="48"/>
      <c r="I6" s="49"/>
    </row>
    <row r="7" spans="1:9" ht="12.75" customHeight="1">
      <c r="A7" s="50"/>
      <c r="B7" s="46"/>
      <c r="C7" s="46"/>
      <c r="D7" s="46"/>
      <c r="E7" s="46"/>
      <c r="F7" s="46"/>
      <c r="G7" s="46"/>
      <c r="H7" s="46"/>
      <c r="I7" s="51"/>
    </row>
    <row r="8" spans="1:9" ht="12.75" customHeight="1">
      <c r="A8" s="50"/>
      <c r="B8" s="46"/>
      <c r="C8" s="46"/>
      <c r="D8" s="46"/>
      <c r="E8" s="46"/>
      <c r="F8" s="46"/>
      <c r="G8" s="46"/>
      <c r="H8" s="46"/>
      <c r="I8" s="51"/>
    </row>
    <row r="9" spans="1:9" ht="12.75" customHeight="1">
      <c r="A9" s="50"/>
      <c r="B9" s="46"/>
      <c r="C9" s="46"/>
      <c r="D9" s="46"/>
      <c r="E9" s="46"/>
      <c r="F9" s="46"/>
      <c r="G9" s="46"/>
      <c r="H9" s="46"/>
      <c r="I9" s="51"/>
    </row>
    <row r="10" spans="1:9" ht="12.75" customHeight="1">
      <c r="A10" s="50"/>
      <c r="B10" s="46"/>
      <c r="C10" s="46"/>
      <c r="D10" s="46"/>
      <c r="E10" s="46"/>
      <c r="F10" s="46"/>
      <c r="G10" s="46"/>
      <c r="H10" s="46"/>
      <c r="I10" s="51"/>
    </row>
    <row r="11" spans="1:9" ht="12.75" customHeight="1">
      <c r="A11" s="50"/>
      <c r="B11" s="46"/>
      <c r="C11" s="46"/>
      <c r="D11" s="46"/>
      <c r="E11" s="46"/>
      <c r="F11" s="46"/>
      <c r="G11" s="46"/>
      <c r="H11" s="46"/>
      <c r="I11" s="51"/>
    </row>
    <row r="12" spans="1:9" ht="12.75" customHeight="1">
      <c r="A12" s="50"/>
      <c r="B12" s="46"/>
      <c r="C12" s="46"/>
      <c r="D12" s="46"/>
      <c r="E12" s="46"/>
      <c r="F12" s="46"/>
      <c r="G12" s="46"/>
      <c r="H12" s="46"/>
      <c r="I12" s="51"/>
    </row>
    <row r="13" spans="1:9" ht="12.75" customHeight="1">
      <c r="A13" s="50"/>
      <c r="B13" s="46"/>
      <c r="C13" s="46"/>
      <c r="D13" s="46"/>
      <c r="E13" s="46"/>
      <c r="F13" s="46"/>
      <c r="G13" s="46"/>
      <c r="H13" s="46"/>
      <c r="I13" s="51"/>
    </row>
    <row r="14" spans="1:9" ht="12.75" customHeight="1">
      <c r="A14" s="50"/>
      <c r="B14" s="46"/>
      <c r="C14" s="46"/>
      <c r="D14" s="46"/>
      <c r="E14" s="46"/>
      <c r="F14" s="46"/>
      <c r="G14" s="46"/>
      <c r="H14" s="46"/>
      <c r="I14" s="51"/>
    </row>
    <row r="15" spans="1:9" ht="12.75" customHeight="1">
      <c r="A15" s="50"/>
      <c r="B15" s="46"/>
      <c r="C15" s="46"/>
      <c r="D15" s="46"/>
      <c r="E15" s="46"/>
      <c r="F15" s="46"/>
      <c r="G15" s="46"/>
      <c r="H15" s="46"/>
      <c r="I15" s="51"/>
    </row>
    <row r="16" spans="1:9" ht="12.75" customHeight="1">
      <c r="A16" s="50"/>
      <c r="B16" s="46"/>
      <c r="C16" s="46"/>
      <c r="D16" s="46"/>
      <c r="E16" s="46"/>
      <c r="F16" s="46"/>
      <c r="G16" s="46"/>
      <c r="H16" s="46"/>
      <c r="I16" s="51"/>
    </row>
    <row r="17" spans="1:9" ht="12.75" customHeight="1">
      <c r="A17" s="50"/>
      <c r="B17" s="46"/>
      <c r="C17" s="46"/>
      <c r="D17" s="46"/>
      <c r="E17" s="46"/>
      <c r="F17" s="46"/>
      <c r="G17" s="46"/>
      <c r="H17" s="46"/>
      <c r="I17" s="51"/>
    </row>
    <row r="18" spans="1:9" ht="12.75" customHeight="1">
      <c r="A18" s="50"/>
      <c r="B18" s="46"/>
      <c r="C18" s="46"/>
      <c r="D18" s="46"/>
      <c r="E18" s="46"/>
      <c r="F18" s="46"/>
      <c r="G18" s="46"/>
      <c r="H18" s="46"/>
      <c r="I18" s="51"/>
    </row>
    <row r="19" spans="1:9" ht="12.75" customHeight="1">
      <c r="A19" s="50"/>
      <c r="B19" s="46"/>
      <c r="C19" s="46"/>
      <c r="D19" s="46"/>
      <c r="E19" s="46"/>
      <c r="F19" s="46"/>
      <c r="G19" s="46"/>
      <c r="H19" s="46"/>
      <c r="I19" s="51"/>
    </row>
    <row r="20" spans="1:9" ht="12.75" customHeight="1">
      <c r="A20" s="50"/>
      <c r="B20" s="46"/>
      <c r="C20" s="46"/>
      <c r="D20" s="46"/>
      <c r="E20" s="46"/>
      <c r="F20" s="46"/>
      <c r="G20" s="46"/>
      <c r="H20" s="46"/>
      <c r="I20" s="51"/>
    </row>
    <row r="21" spans="1:9" ht="12.75" customHeight="1">
      <c r="A21" s="50"/>
      <c r="B21" s="46"/>
      <c r="C21" s="46"/>
      <c r="D21" s="46"/>
      <c r="E21" s="46"/>
      <c r="F21" s="46"/>
      <c r="G21" s="46"/>
      <c r="H21" s="46"/>
      <c r="I21" s="51"/>
    </row>
    <row r="22" spans="1:9" ht="12.75" customHeight="1">
      <c r="A22" s="50"/>
      <c r="B22" s="46"/>
      <c r="C22" s="46"/>
      <c r="D22" s="46"/>
      <c r="E22" s="46"/>
      <c r="F22" s="46"/>
      <c r="G22" s="46"/>
      <c r="H22" s="46"/>
      <c r="I22" s="51"/>
    </row>
    <row r="23" spans="1:9" ht="12.75" customHeight="1">
      <c r="A23" s="50"/>
      <c r="B23" s="46"/>
      <c r="C23" s="46"/>
      <c r="D23" s="46"/>
      <c r="E23" s="46"/>
      <c r="F23" s="46"/>
      <c r="G23" s="46"/>
      <c r="H23" s="46"/>
      <c r="I23" s="51"/>
    </row>
    <row r="24" spans="1:9" s="16" customFormat="1" ht="12.75" customHeight="1">
      <c r="A24" s="67"/>
      <c r="B24" s="68"/>
      <c r="C24" s="68"/>
      <c r="D24" s="68"/>
      <c r="E24" s="68"/>
      <c r="F24" s="68"/>
      <c r="G24" s="68"/>
      <c r="H24" s="68"/>
      <c r="I24" s="69"/>
    </row>
    <row r="25" spans="1:9" s="16" customFormat="1" ht="12.75" customHeight="1">
      <c r="A25" s="67"/>
      <c r="B25" s="68"/>
      <c r="C25" s="68"/>
      <c r="D25" s="68"/>
      <c r="E25" s="68"/>
      <c r="F25" s="68"/>
      <c r="G25" s="68"/>
      <c r="H25" s="68"/>
      <c r="I25" s="69"/>
    </row>
    <row r="26" spans="1:9" s="16" customFormat="1" ht="12.75" customHeight="1">
      <c r="A26" s="67"/>
      <c r="B26" s="68"/>
      <c r="C26" s="68"/>
      <c r="D26" s="68"/>
      <c r="E26" s="68"/>
      <c r="F26" s="68"/>
      <c r="G26" s="68"/>
      <c r="H26" s="68"/>
      <c r="I26" s="69"/>
    </row>
    <row r="27" spans="1:9" s="16" customFormat="1" ht="12.75" customHeight="1">
      <c r="A27" s="67"/>
      <c r="B27" s="68"/>
      <c r="C27" s="68"/>
      <c r="D27" s="68"/>
      <c r="E27" s="68"/>
      <c r="F27" s="68"/>
      <c r="G27" s="68"/>
      <c r="H27" s="68"/>
      <c r="I27" s="69"/>
    </row>
    <row r="28" spans="1:9" s="16" customFormat="1" ht="12.75" customHeight="1">
      <c r="A28" s="67"/>
      <c r="B28" s="68"/>
      <c r="C28" s="68"/>
      <c r="D28" s="68"/>
      <c r="E28" s="68"/>
      <c r="F28" s="68"/>
      <c r="G28" s="68"/>
      <c r="H28" s="68"/>
      <c r="I28" s="69"/>
    </row>
    <row r="29" spans="1:9" s="16" customFormat="1" ht="12.75" customHeight="1">
      <c r="A29" s="67"/>
      <c r="B29" s="68"/>
      <c r="C29" s="68"/>
      <c r="D29" s="68"/>
      <c r="E29" s="68"/>
      <c r="F29" s="68"/>
      <c r="G29" s="68"/>
      <c r="H29" s="68"/>
      <c r="I29" s="69"/>
    </row>
    <row r="30" spans="1:9" s="16" customFormat="1" ht="12.75" customHeight="1">
      <c r="A30" s="67"/>
      <c r="B30" s="68"/>
      <c r="C30" s="68"/>
      <c r="D30" s="68"/>
      <c r="E30" s="68"/>
      <c r="F30" s="68"/>
      <c r="G30" s="68"/>
      <c r="H30" s="68"/>
      <c r="I30" s="69"/>
    </row>
    <row r="31" spans="1:9" s="16" customFormat="1" ht="12.75" customHeight="1">
      <c r="A31" s="67"/>
      <c r="B31" s="68"/>
      <c r="C31" s="68"/>
      <c r="D31" s="68"/>
      <c r="E31" s="68"/>
      <c r="F31" s="68"/>
      <c r="G31" s="68"/>
      <c r="H31" s="68"/>
      <c r="I31" s="69"/>
    </row>
    <row r="32" spans="1:9" s="16" customFormat="1" ht="12.75" customHeight="1">
      <c r="A32" s="67"/>
      <c r="B32" s="68"/>
      <c r="C32" s="68"/>
      <c r="D32" s="68"/>
      <c r="E32" s="68"/>
      <c r="F32" s="68"/>
      <c r="G32" s="68"/>
      <c r="H32" s="68"/>
      <c r="I32" s="69"/>
    </row>
    <row r="33" spans="1:9" s="16" customFormat="1" ht="12.75" customHeight="1">
      <c r="A33" s="67"/>
      <c r="B33" s="68"/>
      <c r="C33" s="68"/>
      <c r="D33" s="68"/>
      <c r="E33" s="68"/>
      <c r="F33" s="68"/>
      <c r="G33" s="68"/>
      <c r="H33" s="68"/>
      <c r="I33" s="69"/>
    </row>
    <row r="34" spans="1:9" s="16" customFormat="1" ht="12.75" customHeight="1">
      <c r="A34" s="67"/>
      <c r="B34" s="68"/>
      <c r="C34" s="68"/>
      <c r="D34" s="68"/>
      <c r="E34" s="68"/>
      <c r="F34" s="68"/>
      <c r="G34" s="68"/>
      <c r="H34" s="68"/>
      <c r="I34" s="69"/>
    </row>
    <row r="35" spans="1:9" s="16" customFormat="1" ht="12.75" customHeight="1">
      <c r="A35" s="67"/>
      <c r="B35" s="68"/>
      <c r="C35" s="68"/>
      <c r="D35" s="68"/>
      <c r="E35" s="68"/>
      <c r="F35" s="68"/>
      <c r="G35" s="68"/>
      <c r="H35" s="68"/>
      <c r="I35" s="69"/>
    </row>
    <row r="36" spans="1:9" s="16" customFormat="1" ht="12.75" customHeight="1">
      <c r="A36" s="67"/>
      <c r="B36" s="68"/>
      <c r="C36" s="68"/>
      <c r="D36" s="68"/>
      <c r="E36" s="68"/>
      <c r="F36" s="68"/>
      <c r="G36" s="68"/>
      <c r="H36" s="68"/>
      <c r="I36" s="69"/>
    </row>
    <row r="37" spans="1:9" s="16" customFormat="1" ht="12.75" customHeight="1">
      <c r="A37" s="67"/>
      <c r="B37" s="68"/>
      <c r="C37" s="68"/>
      <c r="D37" s="68"/>
      <c r="E37" s="68"/>
      <c r="F37" s="68"/>
      <c r="G37" s="68"/>
      <c r="H37" s="68"/>
      <c r="I37" s="69"/>
    </row>
    <row r="38" spans="1:9" s="16" customFormat="1" ht="12.75" customHeight="1">
      <c r="A38" s="67"/>
      <c r="B38" s="68"/>
      <c r="C38" s="68"/>
      <c r="D38" s="68"/>
      <c r="E38" s="68"/>
      <c r="F38" s="68"/>
      <c r="G38" s="68"/>
      <c r="H38" s="68"/>
      <c r="I38" s="69"/>
    </row>
    <row r="39" spans="1:9" s="16" customFormat="1" ht="12.75" customHeight="1">
      <c r="A39" s="67"/>
      <c r="B39" s="68"/>
      <c r="C39" s="68"/>
      <c r="D39" s="68"/>
      <c r="E39" s="68"/>
      <c r="F39" s="68"/>
      <c r="G39" s="68"/>
      <c r="H39" s="68"/>
      <c r="I39" s="69"/>
    </row>
    <row r="40" spans="1:9" s="16" customFormat="1" ht="12.75" customHeight="1">
      <c r="A40" s="67"/>
      <c r="B40" s="68"/>
      <c r="C40" s="68"/>
      <c r="D40" s="68"/>
      <c r="E40" s="68"/>
      <c r="F40" s="68"/>
      <c r="G40" s="68"/>
      <c r="H40" s="68"/>
      <c r="I40" s="69"/>
    </row>
    <row r="41" spans="1:9" s="16" customFormat="1" ht="12.75" customHeight="1">
      <c r="A41" s="67"/>
      <c r="B41" s="68"/>
      <c r="C41" s="68"/>
      <c r="D41" s="68"/>
      <c r="E41" s="68"/>
      <c r="F41" s="68"/>
      <c r="G41" s="68"/>
      <c r="H41" s="68"/>
      <c r="I41" s="69"/>
    </row>
    <row r="42" spans="1:9" s="16" customFormat="1" ht="12.75" customHeight="1">
      <c r="A42" s="67"/>
      <c r="B42" s="68"/>
      <c r="C42" s="68"/>
      <c r="D42" s="68"/>
      <c r="E42" s="68"/>
      <c r="F42" s="68"/>
      <c r="G42" s="68"/>
      <c r="H42" s="68"/>
      <c r="I42" s="69"/>
    </row>
    <row r="43" spans="1:9" s="16" customFormat="1" ht="12.75" customHeight="1">
      <c r="A43" s="67"/>
      <c r="B43" s="68"/>
      <c r="C43" s="68"/>
      <c r="D43" s="68"/>
      <c r="E43" s="68"/>
      <c r="F43" s="68"/>
      <c r="G43" s="68"/>
      <c r="H43" s="68"/>
      <c r="I43" s="69"/>
    </row>
    <row r="44" spans="1:9" s="16" customFormat="1" ht="12.75" customHeight="1">
      <c r="A44" s="67"/>
      <c r="B44" s="68"/>
      <c r="C44" s="68"/>
      <c r="D44" s="68"/>
      <c r="E44" s="68"/>
      <c r="F44" s="68"/>
      <c r="G44" s="68"/>
      <c r="H44" s="68"/>
      <c r="I44" s="69"/>
    </row>
    <row r="45" spans="1:9" s="16" customFormat="1" ht="12.75" customHeight="1">
      <c r="A45" s="67"/>
      <c r="B45" s="68"/>
      <c r="C45" s="68"/>
      <c r="D45" s="68"/>
      <c r="E45" s="68"/>
      <c r="F45" s="68"/>
      <c r="G45" s="68"/>
      <c r="H45" s="68"/>
      <c r="I45" s="69"/>
    </row>
    <row r="46" spans="1:9" s="16" customFormat="1" ht="12.75" customHeight="1">
      <c r="A46" s="67"/>
      <c r="B46" s="68"/>
      <c r="C46" s="68"/>
      <c r="D46" s="68"/>
      <c r="E46" s="68"/>
      <c r="F46" s="68"/>
      <c r="G46" s="68"/>
      <c r="H46" s="68"/>
      <c r="I46" s="69"/>
    </row>
    <row r="47" spans="1:9" s="16" customFormat="1" ht="12.75" customHeight="1">
      <c r="A47" s="67"/>
      <c r="B47" s="68"/>
      <c r="C47" s="68"/>
      <c r="D47" s="68"/>
      <c r="E47" s="68"/>
      <c r="F47" s="68"/>
      <c r="G47" s="68"/>
      <c r="H47" s="68"/>
      <c r="I47" s="69"/>
    </row>
    <row r="48" spans="1:9" s="16" customFormat="1" ht="12.75" customHeight="1">
      <c r="A48" s="67"/>
      <c r="B48" s="68"/>
      <c r="C48" s="68"/>
      <c r="D48" s="68"/>
      <c r="E48" s="68"/>
      <c r="F48" s="68"/>
      <c r="G48" s="68"/>
      <c r="H48" s="68"/>
      <c r="I48" s="69"/>
    </row>
    <row r="49" spans="1:9" s="16" customFormat="1" ht="12.75" customHeight="1">
      <c r="A49" s="67"/>
      <c r="B49" s="68"/>
      <c r="C49" s="68"/>
      <c r="D49" s="68"/>
      <c r="E49" s="68"/>
      <c r="F49" s="68"/>
      <c r="G49" s="68"/>
      <c r="H49" s="68"/>
      <c r="I49" s="69"/>
    </row>
    <row r="50" spans="1:9" s="16" customFormat="1" ht="12.75" customHeight="1">
      <c r="A50" s="67"/>
      <c r="B50" s="68"/>
      <c r="C50" s="68"/>
      <c r="D50" s="68"/>
      <c r="E50" s="68"/>
      <c r="F50" s="68"/>
      <c r="G50" s="68"/>
      <c r="H50" s="68"/>
      <c r="I50" s="69"/>
    </row>
    <row r="51" spans="1:9" s="16" customFormat="1" ht="12.75" customHeight="1">
      <c r="A51" s="67"/>
      <c r="B51" s="68"/>
      <c r="C51" s="68"/>
      <c r="D51" s="68"/>
      <c r="E51" s="68"/>
      <c r="F51" s="68"/>
      <c r="G51" s="68"/>
      <c r="H51" s="68"/>
      <c r="I51" s="69"/>
    </row>
    <row r="52" spans="1:9" s="16" customFormat="1" ht="12.75" customHeight="1" thickBot="1">
      <c r="A52" s="70"/>
      <c r="B52" s="71"/>
      <c r="C52" s="71"/>
      <c r="D52" s="71"/>
      <c r="E52" s="71"/>
      <c r="F52" s="71"/>
      <c r="G52" s="71"/>
      <c r="H52" s="71"/>
      <c r="I52" s="72"/>
    </row>
    <row r="53" spans="1:9" s="16" customFormat="1" ht="12.75" customHeight="1"/>
    <row r="54" spans="1:9" s="16" customFormat="1"/>
    <row r="55" spans="1:9" s="16" customFormat="1"/>
    <row r="56" spans="1:9" s="16" customFormat="1"/>
    <row r="57" spans="1:9" s="16" customFormat="1"/>
    <row r="58" spans="1:9" s="16" customFormat="1"/>
    <row r="59" spans="1:9" s="16" customFormat="1"/>
    <row r="60" spans="1:9" s="16" customFormat="1"/>
    <row r="61" spans="1:9" s="16" customFormat="1"/>
    <row r="62" spans="1:9" s="16" customFormat="1"/>
    <row r="63" spans="1:9" s="16" customFormat="1"/>
    <row r="64" spans="1:9" s="16" customFormat="1"/>
    <row r="65" s="16" customFormat="1"/>
    <row r="66" s="16" customFormat="1"/>
    <row r="67" s="16" customFormat="1"/>
    <row r="68" s="16" customFormat="1"/>
    <row r="69" s="16" customFormat="1"/>
    <row r="70" s="16" customFormat="1"/>
    <row r="71" s="16" customFormat="1"/>
    <row r="72" s="16" customFormat="1"/>
    <row r="73" s="16" customFormat="1"/>
    <row r="74" s="16" customFormat="1"/>
    <row r="75" s="16" customFormat="1"/>
  </sheetData>
  <phoneticPr fontId="9" type="noConversion"/>
  <pageMargins left="0.75" right="0.75" top="1" bottom="1" header="0.5" footer="0.5"/>
  <pageSetup scale="90"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85"/>
  <sheetViews>
    <sheetView showGridLines="0" topLeftCell="B1" zoomScaleNormal="100" workbookViewId="0">
      <selection activeCell="B35" sqref="B35:G35"/>
    </sheetView>
  </sheetViews>
  <sheetFormatPr defaultRowHeight="13.2"/>
  <cols>
    <col min="1" max="1" width="11.6640625" hidden="1" customWidth="1"/>
    <col min="2" max="2" width="18.109375" customWidth="1"/>
    <col min="6" max="6" width="18.6640625" customWidth="1"/>
    <col min="7" max="7" width="18" customWidth="1"/>
    <col min="8" max="8" width="19.44140625" customWidth="1"/>
  </cols>
  <sheetData>
    <row r="2" spans="2:10" ht="16.8">
      <c r="B2" s="182" t="s">
        <v>513</v>
      </c>
      <c r="C2" s="528">
        <f>CoverSheet!D6</f>
        <v>0</v>
      </c>
      <c r="D2" s="529"/>
      <c r="E2" s="529"/>
      <c r="F2" s="529"/>
      <c r="G2" s="530"/>
    </row>
    <row r="5" spans="2:10" ht="42.75" customHeight="1">
      <c r="B5" s="735" t="s">
        <v>514</v>
      </c>
      <c r="C5" s="735"/>
      <c r="D5" s="735"/>
      <c r="E5" s="735"/>
      <c r="F5" s="735"/>
      <c r="G5" s="735"/>
      <c r="H5" s="156"/>
      <c r="I5" s="16"/>
      <c r="J5" s="16"/>
    </row>
    <row r="6" spans="2:10" s="16" customFormat="1">
      <c r="B6" s="760"/>
      <c r="C6" s="760"/>
      <c r="D6" s="760"/>
      <c r="E6" s="760"/>
      <c r="F6" s="760"/>
      <c r="G6" s="760"/>
      <c r="H6" s="760"/>
    </row>
    <row r="7" spans="2:10" s="16" customFormat="1">
      <c r="B7" s="32"/>
      <c r="C7" s="24"/>
      <c r="D7" s="24"/>
      <c r="E7" s="24"/>
      <c r="F7" s="17"/>
      <c r="G7" s="4"/>
      <c r="H7"/>
    </row>
    <row r="8" spans="2:10">
      <c r="B8" s="19" t="s">
        <v>55</v>
      </c>
      <c r="C8" s="96"/>
      <c r="D8" s="96"/>
      <c r="E8" s="96"/>
      <c r="F8" s="3"/>
      <c r="G8" s="7"/>
    </row>
    <row r="9" spans="2:10">
      <c r="B9" s="20"/>
      <c r="C9" s="9"/>
      <c r="D9" s="9"/>
      <c r="E9" s="9"/>
      <c r="F9" s="3"/>
      <c r="G9" s="7"/>
    </row>
    <row r="10" spans="2:10">
      <c r="B10" s="21" t="s">
        <v>121</v>
      </c>
      <c r="C10" s="9"/>
      <c r="D10" s="9"/>
      <c r="E10" s="9"/>
      <c r="F10" s="3"/>
      <c r="G10" s="7"/>
    </row>
    <row r="11" spans="2:10">
      <c r="B11" s="21"/>
      <c r="C11" s="9"/>
      <c r="D11" s="9"/>
      <c r="E11" s="9"/>
      <c r="F11" s="3"/>
      <c r="G11" s="7"/>
    </row>
    <row r="12" spans="2:10">
      <c r="B12" s="20" t="s">
        <v>137</v>
      </c>
      <c r="C12" s="9"/>
      <c r="D12" s="9"/>
      <c r="E12" s="9"/>
      <c r="F12" s="3"/>
      <c r="G12" s="11" t="s">
        <v>241</v>
      </c>
    </row>
    <row r="13" spans="2:10">
      <c r="B13" s="20" t="s">
        <v>138</v>
      </c>
      <c r="C13" s="9"/>
      <c r="D13" s="9"/>
      <c r="E13" s="9"/>
      <c r="F13" s="3"/>
      <c r="G13" s="11" t="s">
        <v>172</v>
      </c>
    </row>
    <row r="14" spans="2:10">
      <c r="B14" s="20" t="s">
        <v>139</v>
      </c>
      <c r="C14" s="9"/>
      <c r="D14" s="9"/>
      <c r="E14" s="9"/>
      <c r="F14" s="3"/>
      <c r="G14" s="11" t="s">
        <v>122</v>
      </c>
      <c r="I14" s="16"/>
      <c r="J14" s="16"/>
    </row>
    <row r="15" spans="2:10">
      <c r="B15" s="20" t="s">
        <v>212</v>
      </c>
      <c r="C15" s="9"/>
      <c r="D15" s="9"/>
      <c r="E15" s="9"/>
      <c r="F15" s="3"/>
      <c r="G15" s="7"/>
      <c r="I15" s="16"/>
      <c r="J15" s="16"/>
    </row>
    <row r="16" spans="2:10">
      <c r="B16" s="81"/>
      <c r="C16" s="9"/>
      <c r="D16" s="9"/>
      <c r="E16" s="9"/>
      <c r="F16" s="3"/>
      <c r="G16" s="23" t="s">
        <v>3</v>
      </c>
      <c r="I16" s="16"/>
      <c r="J16" s="16"/>
    </row>
    <row r="17" spans="1:10">
      <c r="A17" s="126" t="s">
        <v>389</v>
      </c>
      <c r="B17" s="753" t="s">
        <v>264</v>
      </c>
      <c r="C17" s="753"/>
      <c r="D17" s="753"/>
      <c r="E17" s="753"/>
      <c r="F17" s="753"/>
      <c r="G17" s="95"/>
      <c r="I17" s="16"/>
      <c r="J17" s="16"/>
    </row>
    <row r="18" spans="1:10">
      <c r="A18" s="126" t="s">
        <v>390</v>
      </c>
      <c r="B18" s="753" t="s">
        <v>242</v>
      </c>
      <c r="C18" s="753"/>
      <c r="D18" s="753"/>
      <c r="E18" s="753"/>
      <c r="F18" s="753"/>
      <c r="G18" s="95"/>
      <c r="I18" s="16"/>
      <c r="J18" s="16"/>
    </row>
    <row r="19" spans="1:10">
      <c r="A19" s="126" t="s">
        <v>391</v>
      </c>
      <c r="B19" s="753" t="s">
        <v>243</v>
      </c>
      <c r="C19" s="753"/>
      <c r="D19" s="753"/>
      <c r="E19" s="753"/>
      <c r="F19" s="753"/>
      <c r="G19" s="95"/>
      <c r="I19" s="16"/>
      <c r="J19" s="16"/>
    </row>
    <row r="20" spans="1:10">
      <c r="A20" s="126" t="s">
        <v>392</v>
      </c>
      <c r="B20" s="741" t="s">
        <v>256</v>
      </c>
      <c r="C20" s="751"/>
      <c r="D20" s="751"/>
      <c r="E20" s="751"/>
      <c r="F20" s="752"/>
      <c r="G20" s="95"/>
      <c r="I20" s="16"/>
      <c r="J20" s="16"/>
    </row>
    <row r="21" spans="1:10" s="33" customFormat="1">
      <c r="B21" s="757"/>
      <c r="C21" s="758"/>
      <c r="D21" s="758"/>
      <c r="E21" s="758"/>
      <c r="F21" s="758"/>
      <c r="G21" s="759"/>
    </row>
    <row r="22" spans="1:10">
      <c r="A22" s="126" t="s">
        <v>393</v>
      </c>
      <c r="B22" s="753" t="s">
        <v>257</v>
      </c>
      <c r="C22" s="753"/>
      <c r="D22" s="753"/>
      <c r="E22" s="753"/>
      <c r="F22" s="753"/>
      <c r="G22" s="95"/>
      <c r="I22" s="16"/>
      <c r="J22" s="16"/>
    </row>
    <row r="23" spans="1:10">
      <c r="A23" s="126" t="s">
        <v>394</v>
      </c>
      <c r="B23" s="741" t="s">
        <v>258</v>
      </c>
      <c r="C23" s="751"/>
      <c r="D23" s="751"/>
      <c r="E23" s="751"/>
      <c r="F23" s="752"/>
      <c r="G23" s="95"/>
    </row>
    <row r="24" spans="1:10" s="33" customFormat="1">
      <c r="A24" s="126"/>
      <c r="B24" s="757"/>
      <c r="C24" s="758"/>
      <c r="D24" s="758"/>
      <c r="E24" s="758"/>
      <c r="F24" s="758"/>
      <c r="G24" s="759"/>
    </row>
    <row r="25" spans="1:10">
      <c r="A25" s="126" t="s">
        <v>395</v>
      </c>
      <c r="B25" s="753" t="s">
        <v>259</v>
      </c>
      <c r="C25" s="753"/>
      <c r="D25" s="753"/>
      <c r="E25" s="753"/>
      <c r="F25" s="753"/>
      <c r="G25" s="95"/>
      <c r="I25" s="16"/>
      <c r="J25" s="16"/>
    </row>
    <row r="26" spans="1:10">
      <c r="A26" s="126" t="s">
        <v>396</v>
      </c>
      <c r="B26" s="157" t="s">
        <v>260</v>
      </c>
      <c r="C26" s="158"/>
      <c r="D26" s="158"/>
      <c r="E26" s="158"/>
      <c r="F26" s="159"/>
      <c r="G26" s="95"/>
      <c r="I26" s="16"/>
      <c r="J26" s="16"/>
    </row>
    <row r="27" spans="1:10" s="33" customFormat="1" ht="15.75" customHeight="1">
      <c r="B27" s="754"/>
      <c r="C27" s="755"/>
      <c r="D27" s="755"/>
      <c r="E27" s="755"/>
      <c r="F27" s="755"/>
      <c r="G27" s="756"/>
    </row>
    <row r="28" spans="1:10" s="16" customFormat="1" ht="12.75" customHeight="1">
      <c r="B28" s="745" t="s">
        <v>168</v>
      </c>
      <c r="C28" s="746"/>
      <c r="D28" s="746"/>
      <c r="E28" s="746"/>
      <c r="F28" s="746"/>
      <c r="G28" s="747"/>
      <c r="H28" s="62"/>
      <c r="I28" s="62"/>
      <c r="J28" s="62"/>
    </row>
    <row r="29" spans="1:10" s="16" customFormat="1">
      <c r="B29" s="748"/>
      <c r="C29" s="749"/>
      <c r="D29" s="749"/>
      <c r="E29" s="749"/>
      <c r="F29" s="749"/>
      <c r="G29" s="750"/>
      <c r="H29" s="62"/>
      <c r="I29" s="62"/>
      <c r="J29" s="62"/>
    </row>
    <row r="30" spans="1:10" s="16" customFormat="1" ht="24" customHeight="1">
      <c r="A30" s="126" t="s">
        <v>397</v>
      </c>
      <c r="B30" s="682"/>
      <c r="C30" s="733"/>
      <c r="D30" s="733"/>
      <c r="E30" s="733"/>
      <c r="F30" s="734"/>
      <c r="G30" s="95"/>
      <c r="H30" s="78"/>
    </row>
    <row r="31" spans="1:10" s="16" customFormat="1" ht="24" customHeight="1">
      <c r="A31" s="126" t="s">
        <v>398</v>
      </c>
      <c r="B31" s="682"/>
      <c r="C31" s="733"/>
      <c r="D31" s="733"/>
      <c r="E31" s="733"/>
      <c r="F31" s="734"/>
      <c r="G31" s="95"/>
      <c r="H31" s="78"/>
    </row>
    <row r="32" spans="1:10" s="16" customFormat="1" ht="24" customHeight="1">
      <c r="A32" s="126" t="s">
        <v>399</v>
      </c>
      <c r="B32" s="682"/>
      <c r="C32" s="733"/>
      <c r="D32" s="733"/>
      <c r="E32" s="733"/>
      <c r="F32" s="734"/>
      <c r="G32" s="95"/>
      <c r="H32" s="78"/>
    </row>
    <row r="33" spans="2:10">
      <c r="I33" s="16"/>
      <c r="J33" s="16"/>
    </row>
    <row r="34" spans="2:10">
      <c r="I34" s="16"/>
      <c r="J34" s="16"/>
    </row>
    <row r="35" spans="2:10" ht="22.8">
      <c r="B35" s="484" t="s">
        <v>1051</v>
      </c>
      <c r="C35" s="484"/>
      <c r="D35" s="484"/>
      <c r="E35" s="484"/>
      <c r="F35" s="484"/>
      <c r="G35" s="484"/>
      <c r="I35" s="16"/>
      <c r="J35" s="16"/>
    </row>
    <row r="36" spans="2:10" s="16" customFormat="1"/>
    <row r="37" spans="2:10" s="16" customFormat="1"/>
    <row r="38" spans="2:10" s="16" customFormat="1"/>
    <row r="39" spans="2:10" s="16" customFormat="1"/>
    <row r="40" spans="2:10" s="16" customFormat="1"/>
    <row r="41" spans="2:10" s="16" customFormat="1"/>
    <row r="42" spans="2:10" s="16" customFormat="1"/>
    <row r="43" spans="2:10" s="16" customFormat="1"/>
    <row r="44" spans="2:10" s="16" customFormat="1"/>
    <row r="45" spans="2:10" s="16" customFormat="1"/>
    <row r="46" spans="2:10" s="16" customFormat="1"/>
    <row r="47" spans="2:10" s="16" customFormat="1"/>
    <row r="48" spans="2:10" s="16" customFormat="1"/>
    <row r="49" spans="9:10" s="16" customFormat="1"/>
    <row r="50" spans="9:10" s="16" customFormat="1"/>
    <row r="51" spans="9:10" s="16" customFormat="1"/>
    <row r="52" spans="9:10" s="16" customFormat="1"/>
    <row r="53" spans="9:10" s="16" customFormat="1"/>
    <row r="54" spans="9:10" s="16" customFormat="1"/>
    <row r="55" spans="9:10" s="16" customFormat="1"/>
    <row r="56" spans="9:10" s="16" customFormat="1"/>
    <row r="57" spans="9:10" s="16" customFormat="1"/>
    <row r="58" spans="9:10" s="16" customFormat="1"/>
    <row r="59" spans="9:10">
      <c r="I59" s="16"/>
      <c r="J59" s="16"/>
    </row>
    <row r="60" spans="9:10">
      <c r="I60" s="16"/>
      <c r="J60" s="16"/>
    </row>
    <row r="61" spans="9:10">
      <c r="I61" s="16"/>
      <c r="J61" s="16"/>
    </row>
    <row r="62" spans="9:10">
      <c r="I62" s="16"/>
      <c r="J62" s="16"/>
    </row>
    <row r="63" spans="9:10">
      <c r="I63" s="16"/>
      <c r="J63" s="16"/>
    </row>
    <row r="64" spans="9:10">
      <c r="I64" s="16"/>
      <c r="J64" s="16"/>
    </row>
    <row r="65" spans="9:10">
      <c r="I65" s="16"/>
      <c r="J65" s="16"/>
    </row>
    <row r="66" spans="9:10">
      <c r="I66" s="16"/>
      <c r="J66" s="16"/>
    </row>
    <row r="67" spans="9:10">
      <c r="I67" s="16"/>
      <c r="J67" s="16"/>
    </row>
    <row r="68" spans="9:10">
      <c r="I68" s="16"/>
      <c r="J68" s="16"/>
    </row>
    <row r="69" spans="9:10">
      <c r="I69" s="16"/>
      <c r="J69" s="16"/>
    </row>
    <row r="70" spans="9:10">
      <c r="I70" s="16"/>
      <c r="J70" s="16"/>
    </row>
    <row r="71" spans="9:10">
      <c r="I71" s="16"/>
      <c r="J71" s="16"/>
    </row>
    <row r="72" spans="9:10">
      <c r="I72" s="16"/>
      <c r="J72" s="16"/>
    </row>
    <row r="73" spans="9:10">
      <c r="I73" s="16"/>
      <c r="J73" s="16"/>
    </row>
    <row r="74" spans="9:10">
      <c r="I74" s="16"/>
      <c r="J74" s="16"/>
    </row>
    <row r="75" spans="9:10">
      <c r="I75" s="16"/>
      <c r="J75" s="16"/>
    </row>
    <row r="76" spans="9:10">
      <c r="I76" s="16"/>
      <c r="J76" s="16"/>
    </row>
    <row r="77" spans="9:10">
      <c r="I77" s="16"/>
      <c r="J77" s="16"/>
    </row>
    <row r="78" spans="9:10">
      <c r="I78" s="16"/>
      <c r="J78" s="16"/>
    </row>
    <row r="79" spans="9:10">
      <c r="I79" s="16"/>
      <c r="J79" s="16"/>
    </row>
    <row r="80" spans="9:10">
      <c r="I80" s="16"/>
      <c r="J80" s="16"/>
    </row>
    <row r="81" spans="9:10">
      <c r="I81" s="16"/>
      <c r="J81" s="16"/>
    </row>
    <row r="82" spans="9:10">
      <c r="I82" s="16"/>
      <c r="J82" s="16"/>
    </row>
    <row r="83" spans="9:10">
      <c r="I83" s="16"/>
      <c r="J83" s="16"/>
    </row>
    <row r="84" spans="9:10">
      <c r="I84" s="16"/>
      <c r="J84" s="16"/>
    </row>
    <row r="85" spans="9:10">
      <c r="I85" s="16"/>
      <c r="J85" s="16"/>
    </row>
    <row r="86" spans="9:10">
      <c r="I86" s="16"/>
      <c r="J86" s="16"/>
    </row>
    <row r="87" spans="9:10">
      <c r="I87" s="16"/>
      <c r="J87" s="16"/>
    </row>
    <row r="88" spans="9:10">
      <c r="I88" s="16"/>
      <c r="J88" s="16"/>
    </row>
    <row r="89" spans="9:10">
      <c r="I89" s="16"/>
      <c r="J89" s="16"/>
    </row>
    <row r="90" spans="9:10">
      <c r="I90" s="16"/>
      <c r="J90" s="16"/>
    </row>
    <row r="91" spans="9:10">
      <c r="I91" s="16"/>
      <c r="J91" s="16"/>
    </row>
    <row r="92" spans="9:10">
      <c r="I92" s="16"/>
      <c r="J92" s="16"/>
    </row>
    <row r="93" spans="9:10">
      <c r="I93" s="16"/>
      <c r="J93" s="16"/>
    </row>
    <row r="94" spans="9:10">
      <c r="I94" s="16"/>
      <c r="J94" s="16"/>
    </row>
    <row r="95" spans="9:10">
      <c r="I95" s="16"/>
      <c r="J95" s="16"/>
    </row>
    <row r="96" spans="9:10">
      <c r="I96" s="16"/>
      <c r="J96" s="16"/>
    </row>
    <row r="97" spans="9:10">
      <c r="I97" s="16"/>
      <c r="J97" s="16"/>
    </row>
    <row r="98" spans="9:10">
      <c r="I98" s="16"/>
      <c r="J98" s="16"/>
    </row>
    <row r="99" spans="9:10">
      <c r="I99" s="16"/>
      <c r="J99" s="16"/>
    </row>
    <row r="100" spans="9:10">
      <c r="I100" s="16"/>
      <c r="J100" s="16"/>
    </row>
    <row r="101" spans="9:10">
      <c r="I101" s="16"/>
      <c r="J101" s="16"/>
    </row>
    <row r="102" spans="9:10">
      <c r="I102" s="16"/>
      <c r="J102" s="16"/>
    </row>
    <row r="103" spans="9:10">
      <c r="I103" s="16"/>
      <c r="J103" s="16"/>
    </row>
    <row r="104" spans="9:10">
      <c r="I104" s="16"/>
      <c r="J104" s="16"/>
    </row>
    <row r="105" spans="9:10">
      <c r="I105" s="16"/>
      <c r="J105" s="16"/>
    </row>
    <row r="106" spans="9:10">
      <c r="I106" s="16"/>
      <c r="J106" s="16"/>
    </row>
    <row r="107" spans="9:10">
      <c r="I107" s="16"/>
      <c r="J107" s="16"/>
    </row>
    <row r="108" spans="9:10">
      <c r="I108" s="16"/>
      <c r="J108" s="16"/>
    </row>
    <row r="109" spans="9:10">
      <c r="I109" s="16"/>
      <c r="J109" s="16"/>
    </row>
    <row r="110" spans="9:10">
      <c r="I110" s="16"/>
      <c r="J110" s="16"/>
    </row>
    <row r="111" spans="9:10">
      <c r="I111" s="16"/>
      <c r="J111" s="16"/>
    </row>
    <row r="112" spans="9:10">
      <c r="I112" s="16"/>
      <c r="J112" s="16"/>
    </row>
    <row r="113" spans="9:10">
      <c r="I113" s="16"/>
      <c r="J113" s="16"/>
    </row>
    <row r="114" spans="9:10">
      <c r="I114" s="16"/>
      <c r="J114" s="16"/>
    </row>
    <row r="115" spans="9:10">
      <c r="I115" s="16"/>
      <c r="J115" s="16"/>
    </row>
    <row r="116" spans="9:10">
      <c r="I116" s="16"/>
      <c r="J116" s="16"/>
    </row>
    <row r="117" spans="9:10">
      <c r="I117" s="16"/>
      <c r="J117" s="16"/>
    </row>
    <row r="118" spans="9:10">
      <c r="I118" s="16"/>
      <c r="J118" s="16"/>
    </row>
    <row r="119" spans="9:10">
      <c r="I119" s="16"/>
      <c r="J119" s="16"/>
    </row>
    <row r="120" spans="9:10">
      <c r="I120" s="16"/>
      <c r="J120" s="16"/>
    </row>
    <row r="121" spans="9:10">
      <c r="I121" s="16"/>
      <c r="J121" s="16"/>
    </row>
    <row r="122" spans="9:10">
      <c r="I122" s="16"/>
      <c r="J122" s="16"/>
    </row>
    <row r="123" spans="9:10">
      <c r="I123" s="16"/>
      <c r="J123" s="16"/>
    </row>
    <row r="124" spans="9:10">
      <c r="I124" s="16"/>
      <c r="J124" s="16"/>
    </row>
    <row r="125" spans="9:10">
      <c r="I125" s="16"/>
      <c r="J125" s="16"/>
    </row>
    <row r="126" spans="9:10">
      <c r="I126" s="16"/>
      <c r="J126" s="16"/>
    </row>
    <row r="127" spans="9:10">
      <c r="I127" s="16"/>
      <c r="J127" s="16"/>
    </row>
    <row r="128" spans="9:10">
      <c r="I128" s="16"/>
      <c r="J128" s="16"/>
    </row>
    <row r="129" spans="9:10">
      <c r="I129" s="16"/>
      <c r="J129" s="16"/>
    </row>
    <row r="130" spans="9:10">
      <c r="I130" s="16"/>
      <c r="J130" s="16"/>
    </row>
    <row r="131" spans="9:10">
      <c r="I131" s="16"/>
      <c r="J131" s="16"/>
    </row>
    <row r="132" spans="9:10">
      <c r="I132" s="16"/>
      <c r="J132" s="16"/>
    </row>
    <row r="133" spans="9:10">
      <c r="I133" s="16"/>
      <c r="J133" s="16"/>
    </row>
    <row r="134" spans="9:10">
      <c r="I134" s="16"/>
      <c r="J134" s="16"/>
    </row>
    <row r="135" spans="9:10">
      <c r="I135" s="16"/>
      <c r="J135" s="16"/>
    </row>
    <row r="136" spans="9:10">
      <c r="I136" s="16"/>
      <c r="J136" s="16"/>
    </row>
    <row r="137" spans="9:10">
      <c r="I137" s="16"/>
      <c r="J137" s="16"/>
    </row>
    <row r="138" spans="9:10">
      <c r="I138" s="16"/>
      <c r="J138" s="16"/>
    </row>
    <row r="139" spans="9:10">
      <c r="I139" s="16"/>
      <c r="J139" s="16"/>
    </row>
    <row r="140" spans="9:10">
      <c r="I140" s="16"/>
      <c r="J140" s="16"/>
    </row>
    <row r="141" spans="9:10">
      <c r="I141" s="16"/>
      <c r="J141" s="16"/>
    </row>
    <row r="142" spans="9:10">
      <c r="I142" s="16"/>
      <c r="J142" s="16"/>
    </row>
    <row r="143" spans="9:10">
      <c r="I143" s="16"/>
      <c r="J143" s="16"/>
    </row>
    <row r="144" spans="9:10">
      <c r="I144" s="16"/>
      <c r="J144" s="16"/>
    </row>
    <row r="145" spans="9:10">
      <c r="I145" s="16"/>
      <c r="J145" s="16"/>
    </row>
    <row r="146" spans="9:10">
      <c r="I146" s="16"/>
      <c r="J146" s="16"/>
    </row>
    <row r="147" spans="9:10">
      <c r="I147" s="16"/>
      <c r="J147" s="16"/>
    </row>
    <row r="148" spans="9:10">
      <c r="I148" s="16"/>
      <c r="J148" s="16"/>
    </row>
    <row r="149" spans="9:10">
      <c r="I149" s="16"/>
      <c r="J149" s="16"/>
    </row>
    <row r="150" spans="9:10">
      <c r="I150" s="16"/>
      <c r="J150" s="16"/>
    </row>
    <row r="151" spans="9:10">
      <c r="I151" s="16"/>
      <c r="J151" s="16"/>
    </row>
    <row r="152" spans="9:10">
      <c r="I152" s="16"/>
      <c r="J152" s="16"/>
    </row>
    <row r="153" spans="9:10">
      <c r="I153" s="16"/>
      <c r="J153" s="16"/>
    </row>
    <row r="154" spans="9:10">
      <c r="I154" s="16"/>
      <c r="J154" s="16"/>
    </row>
    <row r="155" spans="9:10">
      <c r="I155" s="16"/>
      <c r="J155" s="16"/>
    </row>
    <row r="156" spans="9:10">
      <c r="I156" s="16"/>
      <c r="J156" s="16"/>
    </row>
    <row r="157" spans="9:10">
      <c r="I157" s="16"/>
      <c r="J157" s="16"/>
    </row>
    <row r="158" spans="9:10">
      <c r="I158" s="16"/>
      <c r="J158" s="16"/>
    </row>
    <row r="159" spans="9:10">
      <c r="I159" s="16"/>
      <c r="J159" s="16"/>
    </row>
    <row r="160" spans="9:10">
      <c r="I160" s="16"/>
      <c r="J160" s="16"/>
    </row>
    <row r="161" spans="9:10">
      <c r="I161" s="16"/>
      <c r="J161" s="16"/>
    </row>
    <row r="162" spans="9:10">
      <c r="I162" s="16"/>
      <c r="J162" s="16"/>
    </row>
    <row r="163" spans="9:10">
      <c r="I163" s="16"/>
      <c r="J163" s="16"/>
    </row>
    <row r="164" spans="9:10">
      <c r="I164" s="16"/>
      <c r="J164" s="16"/>
    </row>
    <row r="165" spans="9:10">
      <c r="I165" s="16"/>
      <c r="J165" s="16"/>
    </row>
    <row r="166" spans="9:10">
      <c r="I166" s="16"/>
      <c r="J166" s="16"/>
    </row>
    <row r="167" spans="9:10">
      <c r="I167" s="16"/>
      <c r="J167" s="16"/>
    </row>
    <row r="168" spans="9:10">
      <c r="I168" s="16"/>
      <c r="J168" s="16"/>
    </row>
    <row r="169" spans="9:10">
      <c r="I169" s="16"/>
      <c r="J169" s="16"/>
    </row>
    <row r="170" spans="9:10">
      <c r="I170" s="16"/>
      <c r="J170" s="16"/>
    </row>
    <row r="171" spans="9:10">
      <c r="I171" s="16"/>
      <c r="J171" s="16"/>
    </row>
    <row r="172" spans="9:10">
      <c r="I172" s="16"/>
      <c r="J172" s="16"/>
    </row>
    <row r="173" spans="9:10">
      <c r="I173" s="16"/>
      <c r="J173" s="16"/>
    </row>
    <row r="174" spans="9:10">
      <c r="I174" s="16"/>
      <c r="J174" s="16"/>
    </row>
    <row r="175" spans="9:10">
      <c r="I175" s="16"/>
      <c r="J175" s="16"/>
    </row>
    <row r="176" spans="9:10">
      <c r="I176" s="16"/>
      <c r="J176" s="16"/>
    </row>
    <row r="177" spans="9:10">
      <c r="I177" s="16"/>
      <c r="J177" s="16"/>
    </row>
    <row r="178" spans="9:10">
      <c r="I178" s="16"/>
      <c r="J178" s="16"/>
    </row>
    <row r="179" spans="9:10">
      <c r="I179" s="16"/>
      <c r="J179" s="16"/>
    </row>
    <row r="180" spans="9:10">
      <c r="I180" s="16"/>
      <c r="J180" s="16"/>
    </row>
    <row r="181" spans="9:10">
      <c r="I181" s="16"/>
      <c r="J181" s="16"/>
    </row>
    <row r="182" spans="9:10">
      <c r="I182" s="16"/>
      <c r="J182" s="16"/>
    </row>
    <row r="183" spans="9:10">
      <c r="I183" s="16"/>
      <c r="J183" s="16"/>
    </row>
    <row r="184" spans="9:10">
      <c r="I184" s="16"/>
      <c r="J184" s="16"/>
    </row>
    <row r="185" spans="9:10">
      <c r="I185" s="16"/>
      <c r="J185" s="16"/>
    </row>
    <row r="186" spans="9:10">
      <c r="I186" s="16"/>
      <c r="J186" s="16"/>
    </row>
    <row r="187" spans="9:10">
      <c r="I187" s="16"/>
      <c r="J187" s="16"/>
    </row>
    <row r="188" spans="9:10">
      <c r="I188" s="16"/>
      <c r="J188" s="16"/>
    </row>
    <row r="189" spans="9:10">
      <c r="I189" s="16"/>
      <c r="J189" s="16"/>
    </row>
    <row r="190" spans="9:10">
      <c r="I190" s="16"/>
      <c r="J190" s="16"/>
    </row>
    <row r="191" spans="9:10">
      <c r="I191" s="16"/>
      <c r="J191" s="16"/>
    </row>
    <row r="192" spans="9:10">
      <c r="I192" s="16"/>
      <c r="J192" s="16"/>
    </row>
    <row r="193" spans="9:10">
      <c r="I193" s="16"/>
      <c r="J193" s="16"/>
    </row>
    <row r="194" spans="9:10">
      <c r="I194" s="16"/>
      <c r="J194" s="16"/>
    </row>
    <row r="195" spans="9:10">
      <c r="I195" s="16"/>
      <c r="J195" s="16"/>
    </row>
    <row r="196" spans="9:10">
      <c r="I196" s="16"/>
      <c r="J196" s="16"/>
    </row>
    <row r="197" spans="9:10">
      <c r="I197" s="16"/>
      <c r="J197" s="16"/>
    </row>
    <row r="198" spans="9:10">
      <c r="I198" s="16"/>
      <c r="J198" s="16"/>
    </row>
    <row r="199" spans="9:10">
      <c r="I199" s="16"/>
      <c r="J199" s="16"/>
    </row>
    <row r="200" spans="9:10">
      <c r="I200" s="16"/>
      <c r="J200" s="16"/>
    </row>
    <row r="201" spans="9:10">
      <c r="I201" s="16"/>
      <c r="J201" s="16"/>
    </row>
    <row r="202" spans="9:10">
      <c r="I202" s="16"/>
      <c r="J202" s="16"/>
    </row>
    <row r="203" spans="9:10">
      <c r="I203" s="16"/>
      <c r="J203" s="16"/>
    </row>
    <row r="204" spans="9:10">
      <c r="I204" s="16"/>
      <c r="J204" s="16"/>
    </row>
    <row r="205" spans="9:10">
      <c r="I205" s="16"/>
      <c r="J205" s="16"/>
    </row>
    <row r="206" spans="9:10">
      <c r="I206" s="16"/>
      <c r="J206" s="16"/>
    </row>
    <row r="207" spans="9:10">
      <c r="I207" s="16"/>
      <c r="J207" s="16"/>
    </row>
    <row r="208" spans="9:10">
      <c r="I208" s="16"/>
      <c r="J208" s="16"/>
    </row>
    <row r="209" spans="9:10">
      <c r="I209" s="16"/>
      <c r="J209" s="16"/>
    </row>
    <row r="210" spans="9:10">
      <c r="I210" s="16"/>
      <c r="J210" s="16"/>
    </row>
    <row r="211" spans="9:10">
      <c r="I211" s="16"/>
      <c r="J211" s="16"/>
    </row>
    <row r="212" spans="9:10">
      <c r="I212" s="16"/>
      <c r="J212" s="16"/>
    </row>
    <row r="213" spans="9:10">
      <c r="I213" s="16"/>
      <c r="J213" s="16"/>
    </row>
    <row r="214" spans="9:10">
      <c r="I214" s="16"/>
      <c r="J214" s="16"/>
    </row>
    <row r="215" spans="9:10">
      <c r="I215" s="16"/>
      <c r="J215" s="16"/>
    </row>
    <row r="216" spans="9:10">
      <c r="I216" s="16"/>
      <c r="J216" s="16"/>
    </row>
    <row r="217" spans="9:10">
      <c r="I217" s="16"/>
      <c r="J217" s="16"/>
    </row>
    <row r="218" spans="9:10">
      <c r="I218" s="16"/>
      <c r="J218" s="16"/>
    </row>
    <row r="219" spans="9:10">
      <c r="I219" s="16"/>
      <c r="J219" s="16"/>
    </row>
    <row r="220" spans="9:10">
      <c r="I220" s="16"/>
      <c r="J220" s="16"/>
    </row>
    <row r="221" spans="9:10">
      <c r="I221" s="16"/>
      <c r="J221" s="16"/>
    </row>
    <row r="222" spans="9:10">
      <c r="I222" s="16"/>
      <c r="J222" s="16"/>
    </row>
    <row r="223" spans="9:10">
      <c r="I223" s="16"/>
      <c r="J223" s="16"/>
    </row>
    <row r="224" spans="9:10">
      <c r="I224" s="16"/>
      <c r="J224" s="16"/>
    </row>
    <row r="225" spans="9:10">
      <c r="I225" s="16"/>
      <c r="J225" s="16"/>
    </row>
    <row r="226" spans="9:10">
      <c r="I226" s="16"/>
      <c r="J226" s="16"/>
    </row>
    <row r="227" spans="9:10">
      <c r="I227" s="16"/>
      <c r="J227" s="16"/>
    </row>
    <row r="228" spans="9:10">
      <c r="I228" s="16"/>
      <c r="J228" s="16"/>
    </row>
    <row r="229" spans="9:10">
      <c r="I229" s="16"/>
      <c r="J229" s="16"/>
    </row>
    <row r="230" spans="9:10">
      <c r="I230" s="16"/>
      <c r="J230" s="16"/>
    </row>
    <row r="231" spans="9:10">
      <c r="I231" s="16"/>
      <c r="J231" s="16"/>
    </row>
    <row r="232" spans="9:10">
      <c r="I232" s="16"/>
      <c r="J232" s="16"/>
    </row>
    <row r="233" spans="9:10">
      <c r="I233" s="16"/>
      <c r="J233" s="16"/>
    </row>
    <row r="234" spans="9:10">
      <c r="I234" s="16"/>
      <c r="J234" s="16"/>
    </row>
    <row r="235" spans="9:10">
      <c r="I235" s="16"/>
      <c r="J235" s="16"/>
    </row>
    <row r="236" spans="9:10">
      <c r="I236" s="16"/>
      <c r="J236" s="16"/>
    </row>
    <row r="237" spans="9:10">
      <c r="I237" s="16"/>
      <c r="J237" s="16"/>
    </row>
    <row r="238" spans="9:10">
      <c r="I238" s="16"/>
      <c r="J238" s="16"/>
    </row>
    <row r="239" spans="9:10">
      <c r="I239" s="16"/>
      <c r="J239" s="16"/>
    </row>
    <row r="240" spans="9:10">
      <c r="I240" s="16"/>
      <c r="J240" s="16"/>
    </row>
    <row r="241" spans="9:10">
      <c r="I241" s="16"/>
      <c r="J241" s="16"/>
    </row>
    <row r="242" spans="9:10">
      <c r="I242" s="16"/>
      <c r="J242" s="16"/>
    </row>
    <row r="243" spans="9:10">
      <c r="I243" s="16"/>
      <c r="J243" s="16"/>
    </row>
    <row r="244" spans="9:10">
      <c r="I244" s="16"/>
      <c r="J244" s="16"/>
    </row>
    <row r="245" spans="9:10">
      <c r="I245" s="16"/>
      <c r="J245" s="16"/>
    </row>
    <row r="246" spans="9:10">
      <c r="I246" s="16"/>
      <c r="J246" s="16"/>
    </row>
    <row r="247" spans="9:10">
      <c r="I247" s="16"/>
      <c r="J247" s="16"/>
    </row>
    <row r="248" spans="9:10">
      <c r="I248" s="16"/>
      <c r="J248" s="16"/>
    </row>
    <row r="249" spans="9:10">
      <c r="I249" s="16"/>
      <c r="J249" s="16"/>
    </row>
    <row r="250" spans="9:10">
      <c r="I250" s="16"/>
      <c r="J250" s="16"/>
    </row>
    <row r="251" spans="9:10">
      <c r="I251" s="16"/>
      <c r="J251" s="16"/>
    </row>
    <row r="252" spans="9:10">
      <c r="I252" s="16"/>
      <c r="J252" s="16"/>
    </row>
    <row r="253" spans="9:10">
      <c r="I253" s="16"/>
      <c r="J253" s="16"/>
    </row>
    <row r="254" spans="9:10">
      <c r="I254" s="16"/>
      <c r="J254" s="16"/>
    </row>
    <row r="255" spans="9:10">
      <c r="I255" s="16"/>
      <c r="J255" s="16"/>
    </row>
    <row r="256" spans="9:10">
      <c r="I256" s="16"/>
      <c r="J256" s="16"/>
    </row>
    <row r="257" spans="9:10">
      <c r="I257" s="16"/>
      <c r="J257" s="16"/>
    </row>
    <row r="258" spans="9:10">
      <c r="I258" s="16"/>
      <c r="J258" s="16"/>
    </row>
    <row r="259" spans="9:10">
      <c r="I259" s="16"/>
      <c r="J259" s="16"/>
    </row>
    <row r="260" spans="9:10">
      <c r="I260" s="16"/>
      <c r="J260" s="16"/>
    </row>
    <row r="261" spans="9:10">
      <c r="I261" s="16"/>
      <c r="J261" s="16"/>
    </row>
    <row r="262" spans="9:10">
      <c r="I262" s="16"/>
      <c r="J262" s="16"/>
    </row>
    <row r="263" spans="9:10">
      <c r="I263" s="16"/>
      <c r="J263" s="16"/>
    </row>
    <row r="264" spans="9:10">
      <c r="I264" s="16"/>
      <c r="J264" s="16"/>
    </row>
    <row r="265" spans="9:10">
      <c r="I265" s="16"/>
      <c r="J265" s="16"/>
    </row>
    <row r="266" spans="9:10">
      <c r="I266" s="16"/>
      <c r="J266" s="16"/>
    </row>
    <row r="267" spans="9:10">
      <c r="I267" s="16"/>
      <c r="J267" s="16"/>
    </row>
    <row r="268" spans="9:10">
      <c r="I268" s="16"/>
      <c r="J268" s="16"/>
    </row>
    <row r="269" spans="9:10">
      <c r="I269" s="16"/>
      <c r="J269" s="16"/>
    </row>
    <row r="270" spans="9:10">
      <c r="I270" s="16"/>
      <c r="J270" s="16"/>
    </row>
    <row r="271" spans="9:10">
      <c r="I271" s="16"/>
      <c r="J271" s="16"/>
    </row>
    <row r="272" spans="9:10">
      <c r="I272" s="16"/>
      <c r="J272" s="16"/>
    </row>
    <row r="273" spans="9:10">
      <c r="I273" s="16"/>
      <c r="J273" s="16"/>
    </row>
    <row r="274" spans="9:10">
      <c r="I274" s="16"/>
      <c r="J274" s="16"/>
    </row>
    <row r="275" spans="9:10">
      <c r="I275" s="16"/>
      <c r="J275" s="16"/>
    </row>
    <row r="276" spans="9:10">
      <c r="I276" s="16"/>
      <c r="J276" s="16"/>
    </row>
    <row r="277" spans="9:10">
      <c r="I277" s="16"/>
      <c r="J277" s="16"/>
    </row>
    <row r="278" spans="9:10">
      <c r="I278" s="16"/>
      <c r="J278" s="16"/>
    </row>
    <row r="279" spans="9:10">
      <c r="I279" s="16"/>
      <c r="J279" s="16"/>
    </row>
    <row r="280" spans="9:10">
      <c r="I280" s="16"/>
      <c r="J280" s="16"/>
    </row>
    <row r="281" spans="9:10">
      <c r="I281" s="16"/>
      <c r="J281" s="16"/>
    </row>
    <row r="282" spans="9:10">
      <c r="I282" s="16"/>
      <c r="J282" s="16"/>
    </row>
    <row r="283" spans="9:10">
      <c r="I283" s="16"/>
      <c r="J283" s="16"/>
    </row>
    <row r="284" spans="9:10">
      <c r="I284" s="16"/>
      <c r="J284" s="16"/>
    </row>
    <row r="285" spans="9:10">
      <c r="I285" s="16"/>
      <c r="J285" s="16"/>
    </row>
    <row r="286" spans="9:10">
      <c r="I286" s="16"/>
      <c r="J286" s="16"/>
    </row>
    <row r="287" spans="9:10">
      <c r="I287" s="16"/>
      <c r="J287" s="16"/>
    </row>
    <row r="288" spans="9:10">
      <c r="I288" s="16"/>
      <c r="J288" s="16"/>
    </row>
    <row r="289" spans="9:10">
      <c r="I289" s="16"/>
      <c r="J289" s="16"/>
    </row>
    <row r="290" spans="9:10">
      <c r="I290" s="16"/>
      <c r="J290" s="16"/>
    </row>
    <row r="291" spans="9:10">
      <c r="I291" s="16"/>
      <c r="J291" s="16"/>
    </row>
    <row r="292" spans="9:10">
      <c r="I292" s="16"/>
      <c r="J292" s="16"/>
    </row>
    <row r="293" spans="9:10">
      <c r="I293" s="16"/>
      <c r="J293" s="16"/>
    </row>
    <row r="294" spans="9:10">
      <c r="I294" s="16"/>
      <c r="J294" s="16"/>
    </row>
    <row r="295" spans="9:10">
      <c r="I295" s="16"/>
      <c r="J295" s="16"/>
    </row>
    <row r="296" spans="9:10">
      <c r="I296" s="16"/>
      <c r="J296" s="16"/>
    </row>
    <row r="297" spans="9:10">
      <c r="I297" s="16"/>
      <c r="J297" s="16"/>
    </row>
    <row r="298" spans="9:10">
      <c r="I298" s="16"/>
      <c r="J298" s="16"/>
    </row>
    <row r="299" spans="9:10">
      <c r="I299" s="16"/>
      <c r="J299" s="16"/>
    </row>
    <row r="300" spans="9:10">
      <c r="I300" s="16"/>
      <c r="J300" s="16"/>
    </row>
    <row r="301" spans="9:10">
      <c r="I301" s="16"/>
      <c r="J301" s="16"/>
    </row>
    <row r="302" spans="9:10">
      <c r="I302" s="16"/>
      <c r="J302" s="16"/>
    </row>
    <row r="303" spans="9:10">
      <c r="I303" s="16"/>
      <c r="J303" s="16"/>
    </row>
    <row r="304" spans="9:10">
      <c r="I304" s="16"/>
      <c r="J304" s="16"/>
    </row>
    <row r="305" spans="9:10">
      <c r="I305" s="16"/>
      <c r="J305" s="16"/>
    </row>
    <row r="306" spans="9:10">
      <c r="I306" s="16"/>
      <c r="J306" s="16"/>
    </row>
    <row r="307" spans="9:10">
      <c r="I307" s="16"/>
      <c r="J307" s="16"/>
    </row>
    <row r="308" spans="9:10">
      <c r="I308" s="16"/>
      <c r="J308" s="16"/>
    </row>
    <row r="309" spans="9:10">
      <c r="I309" s="16"/>
      <c r="J309" s="16"/>
    </row>
    <row r="310" spans="9:10">
      <c r="I310" s="16"/>
      <c r="J310" s="16"/>
    </row>
    <row r="311" spans="9:10">
      <c r="I311" s="16"/>
      <c r="J311" s="16"/>
    </row>
    <row r="312" spans="9:10">
      <c r="I312" s="16"/>
      <c r="J312" s="16"/>
    </row>
    <row r="313" spans="9:10">
      <c r="I313" s="16"/>
      <c r="J313" s="16"/>
    </row>
    <row r="314" spans="9:10">
      <c r="I314" s="16"/>
      <c r="J314" s="16"/>
    </row>
    <row r="315" spans="9:10">
      <c r="I315" s="16"/>
      <c r="J315" s="16"/>
    </row>
    <row r="316" spans="9:10">
      <c r="I316" s="16"/>
      <c r="J316" s="16"/>
    </row>
    <row r="317" spans="9:10">
      <c r="I317" s="16"/>
      <c r="J317" s="16"/>
    </row>
    <row r="318" spans="9:10">
      <c r="I318" s="16"/>
      <c r="J318" s="16"/>
    </row>
    <row r="319" spans="9:10">
      <c r="I319" s="16"/>
      <c r="J319" s="16"/>
    </row>
    <row r="320" spans="9:10">
      <c r="I320" s="16"/>
      <c r="J320" s="16"/>
    </row>
    <row r="321" spans="9:10">
      <c r="I321" s="16"/>
      <c r="J321" s="16"/>
    </row>
    <row r="322" spans="9:10">
      <c r="I322" s="16"/>
      <c r="J322" s="16"/>
    </row>
    <row r="323" spans="9:10">
      <c r="I323" s="16"/>
      <c r="J323" s="16"/>
    </row>
    <row r="324" spans="9:10">
      <c r="I324" s="16"/>
      <c r="J324" s="16"/>
    </row>
    <row r="325" spans="9:10">
      <c r="I325" s="16"/>
      <c r="J325" s="16"/>
    </row>
    <row r="326" spans="9:10">
      <c r="I326" s="16"/>
      <c r="J326" s="16"/>
    </row>
    <row r="327" spans="9:10">
      <c r="I327" s="16"/>
      <c r="J327" s="16"/>
    </row>
    <row r="328" spans="9:10">
      <c r="I328" s="16"/>
      <c r="J328" s="16"/>
    </row>
    <row r="329" spans="9:10">
      <c r="I329" s="16"/>
      <c r="J329" s="16"/>
    </row>
    <row r="330" spans="9:10">
      <c r="I330" s="16"/>
      <c r="J330" s="16"/>
    </row>
    <row r="331" spans="9:10">
      <c r="I331" s="16"/>
      <c r="J331" s="16"/>
    </row>
    <row r="332" spans="9:10">
      <c r="I332" s="16"/>
      <c r="J332" s="16"/>
    </row>
    <row r="333" spans="9:10">
      <c r="I333" s="16"/>
      <c r="J333" s="16"/>
    </row>
    <row r="334" spans="9:10">
      <c r="I334" s="16"/>
      <c r="J334" s="16"/>
    </row>
    <row r="335" spans="9:10">
      <c r="I335" s="16"/>
      <c r="J335" s="16"/>
    </row>
    <row r="336" spans="9:10">
      <c r="I336" s="16"/>
      <c r="J336" s="16"/>
    </row>
    <row r="337" spans="9:10">
      <c r="I337" s="16"/>
      <c r="J337" s="16"/>
    </row>
    <row r="338" spans="9:10">
      <c r="I338" s="16"/>
      <c r="J338" s="16"/>
    </row>
    <row r="339" spans="9:10">
      <c r="I339" s="16"/>
      <c r="J339" s="16"/>
    </row>
    <row r="340" spans="9:10">
      <c r="I340" s="16"/>
      <c r="J340" s="16"/>
    </row>
    <row r="341" spans="9:10">
      <c r="I341" s="16"/>
      <c r="J341" s="16"/>
    </row>
    <row r="342" spans="9:10">
      <c r="I342" s="16"/>
      <c r="J342" s="16"/>
    </row>
    <row r="343" spans="9:10">
      <c r="I343" s="16"/>
      <c r="J343" s="16"/>
    </row>
    <row r="344" spans="9:10">
      <c r="I344" s="16"/>
      <c r="J344" s="16"/>
    </row>
    <row r="345" spans="9:10">
      <c r="I345" s="16"/>
      <c r="J345" s="16"/>
    </row>
    <row r="346" spans="9:10">
      <c r="I346" s="16"/>
      <c r="J346" s="16"/>
    </row>
    <row r="347" spans="9:10">
      <c r="I347" s="16"/>
      <c r="J347" s="16"/>
    </row>
    <row r="348" spans="9:10">
      <c r="I348" s="16"/>
      <c r="J348" s="16"/>
    </row>
    <row r="349" spans="9:10">
      <c r="I349" s="16"/>
      <c r="J349" s="16"/>
    </row>
    <row r="350" spans="9:10">
      <c r="I350" s="16"/>
      <c r="J350" s="16"/>
    </row>
    <row r="351" spans="9:10">
      <c r="I351" s="16"/>
      <c r="J351" s="16"/>
    </row>
    <row r="352" spans="9:10">
      <c r="I352" s="16"/>
      <c r="J352" s="16"/>
    </row>
    <row r="353" spans="9:10">
      <c r="I353" s="16"/>
      <c r="J353" s="16"/>
    </row>
    <row r="354" spans="9:10">
      <c r="I354" s="16"/>
      <c r="J354" s="16"/>
    </row>
    <row r="355" spans="9:10">
      <c r="I355" s="16"/>
      <c r="J355" s="16"/>
    </row>
    <row r="356" spans="9:10">
      <c r="I356" s="16"/>
      <c r="J356" s="16"/>
    </row>
    <row r="357" spans="9:10">
      <c r="I357" s="16"/>
      <c r="J357" s="16"/>
    </row>
    <row r="358" spans="9:10">
      <c r="I358" s="16"/>
      <c r="J358" s="16"/>
    </row>
    <row r="359" spans="9:10">
      <c r="I359" s="16"/>
      <c r="J359" s="16"/>
    </row>
    <row r="360" spans="9:10">
      <c r="I360" s="16"/>
      <c r="J360" s="16"/>
    </row>
    <row r="361" spans="9:10">
      <c r="I361" s="16"/>
      <c r="J361" s="16"/>
    </row>
    <row r="362" spans="9:10">
      <c r="I362" s="16"/>
      <c r="J362" s="16"/>
    </row>
    <row r="363" spans="9:10">
      <c r="I363" s="16"/>
      <c r="J363" s="16"/>
    </row>
    <row r="364" spans="9:10">
      <c r="I364" s="16"/>
      <c r="J364" s="16"/>
    </row>
    <row r="365" spans="9:10">
      <c r="I365" s="16"/>
      <c r="J365" s="16"/>
    </row>
    <row r="366" spans="9:10">
      <c r="I366" s="16"/>
      <c r="J366" s="16"/>
    </row>
    <row r="367" spans="9:10">
      <c r="I367" s="16"/>
      <c r="J367" s="16"/>
    </row>
    <row r="368" spans="9:10">
      <c r="I368" s="16"/>
      <c r="J368" s="16"/>
    </row>
    <row r="369" spans="9:10">
      <c r="I369" s="16"/>
      <c r="J369" s="16"/>
    </row>
    <row r="370" spans="9:10">
      <c r="I370" s="16"/>
      <c r="J370" s="16"/>
    </row>
    <row r="371" spans="9:10">
      <c r="I371" s="16"/>
      <c r="J371" s="16"/>
    </row>
    <row r="372" spans="9:10">
      <c r="I372" s="16"/>
      <c r="J372" s="16"/>
    </row>
    <row r="373" spans="9:10">
      <c r="I373" s="16"/>
      <c r="J373" s="16"/>
    </row>
    <row r="374" spans="9:10">
      <c r="I374" s="16"/>
      <c r="J374" s="16"/>
    </row>
    <row r="375" spans="9:10">
      <c r="I375" s="16"/>
      <c r="J375" s="16"/>
    </row>
    <row r="376" spans="9:10">
      <c r="I376" s="16"/>
      <c r="J376" s="16"/>
    </row>
    <row r="377" spans="9:10">
      <c r="I377" s="16"/>
      <c r="J377" s="16"/>
    </row>
    <row r="378" spans="9:10">
      <c r="I378" s="16"/>
      <c r="J378" s="16"/>
    </row>
    <row r="379" spans="9:10">
      <c r="I379" s="16"/>
      <c r="J379" s="16"/>
    </row>
    <row r="380" spans="9:10">
      <c r="I380" s="16"/>
      <c r="J380" s="16"/>
    </row>
    <row r="381" spans="9:10">
      <c r="I381" s="16"/>
      <c r="J381" s="16"/>
    </row>
    <row r="382" spans="9:10">
      <c r="I382" s="16"/>
      <c r="J382" s="16"/>
    </row>
    <row r="383" spans="9:10">
      <c r="I383" s="16"/>
      <c r="J383" s="16"/>
    </row>
    <row r="384" spans="9:10">
      <c r="I384" s="16"/>
      <c r="J384" s="16"/>
    </row>
    <row r="385" spans="9:10">
      <c r="I385" s="16"/>
      <c r="J385" s="16"/>
    </row>
  </sheetData>
  <mergeCells count="18">
    <mergeCell ref="B17:F17"/>
    <mergeCell ref="B18:F18"/>
    <mergeCell ref="B19:F19"/>
    <mergeCell ref="B6:H6"/>
    <mergeCell ref="C2:G2"/>
    <mergeCell ref="B5:G5"/>
    <mergeCell ref="B35:G35"/>
    <mergeCell ref="B32:F32"/>
    <mergeCell ref="B28:G29"/>
    <mergeCell ref="B20:F20"/>
    <mergeCell ref="B22:F22"/>
    <mergeCell ref="B23:F23"/>
    <mergeCell ref="B25:F25"/>
    <mergeCell ref="B30:F30"/>
    <mergeCell ref="B31:F31"/>
    <mergeCell ref="B27:G27"/>
    <mergeCell ref="B24:G24"/>
    <mergeCell ref="B21:G21"/>
  </mergeCells>
  <phoneticPr fontId="9" type="noConversion"/>
  <hyperlinks>
    <hyperlink ref="B35:G35" location="'Goal 6'!Print_Titles" display="Next"/>
  </hyperlinks>
  <pageMargins left="0.75" right="0.75" top="1" bottom="1" header="0.5" footer="0.5"/>
  <pageSetup scale="70" orientation="portrait" horizontalDpi="1200" verticalDpi="1200" r:id="rId1"/>
  <headerFooter alignWithMargins="0">
    <oddFooter>&amp;L&amp;A&amp;CFY 2012 CSBG IS FORMS&amp;RPAGE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showGridLines="0" zoomScaleNormal="100" workbookViewId="0">
      <selection activeCell="A3" sqref="A3"/>
    </sheetView>
  </sheetViews>
  <sheetFormatPr defaultRowHeight="13.2"/>
  <sheetData>
    <row r="1" spans="1:10" ht="17.399999999999999">
      <c r="A1" s="30" t="s">
        <v>103</v>
      </c>
      <c r="H1" s="16"/>
      <c r="I1" s="16"/>
      <c r="J1" s="16"/>
    </row>
    <row r="2" spans="1:10" ht="17.399999999999999">
      <c r="A2" s="30" t="s">
        <v>86</v>
      </c>
      <c r="H2" s="16"/>
      <c r="I2" s="16"/>
      <c r="J2" s="16"/>
    </row>
    <row r="3" spans="1:10" ht="18" customHeight="1">
      <c r="A3" s="14"/>
    </row>
    <row r="4" spans="1:10" ht="13.8" thickBot="1"/>
    <row r="5" spans="1:10" ht="12.75" customHeight="1">
      <c r="A5" s="47"/>
      <c r="B5" s="48"/>
      <c r="C5" s="48"/>
      <c r="D5" s="48"/>
      <c r="E5" s="48"/>
      <c r="F5" s="48"/>
      <c r="G5" s="48"/>
      <c r="H5" s="48"/>
      <c r="I5" s="49"/>
    </row>
    <row r="6" spans="1:10" ht="12.75" customHeight="1">
      <c r="A6" s="50"/>
      <c r="B6" s="46"/>
      <c r="C6" s="46"/>
      <c r="D6" s="46"/>
      <c r="E6" s="46"/>
      <c r="F6" s="46"/>
      <c r="G6" s="46"/>
      <c r="H6" s="46"/>
      <c r="I6" s="51"/>
    </row>
    <row r="7" spans="1:10" ht="12.75" customHeight="1">
      <c r="A7" s="50"/>
      <c r="B7" s="46"/>
      <c r="C7" s="46"/>
      <c r="D7" s="46"/>
      <c r="E7" s="46"/>
      <c r="F7" s="46"/>
      <c r="G7" s="46"/>
      <c r="H7" s="46"/>
      <c r="I7" s="51"/>
    </row>
    <row r="8" spans="1:10" ht="12.75" customHeight="1">
      <c r="A8" s="50"/>
      <c r="B8" s="46"/>
      <c r="C8" s="46"/>
      <c r="D8" s="46"/>
      <c r="E8" s="46"/>
      <c r="F8" s="46"/>
      <c r="G8" s="46"/>
      <c r="H8" s="46"/>
      <c r="I8" s="51"/>
    </row>
    <row r="9" spans="1:10" ht="12.75" customHeight="1">
      <c r="A9" s="50"/>
      <c r="B9" s="46"/>
      <c r="C9" s="46"/>
      <c r="D9" s="46"/>
      <c r="E9" s="46"/>
      <c r="F9" s="46"/>
      <c r="G9" s="46"/>
      <c r="H9" s="46"/>
      <c r="I9" s="51"/>
    </row>
    <row r="10" spans="1:10" ht="12.75" customHeight="1">
      <c r="A10" s="50"/>
      <c r="B10" s="46"/>
      <c r="C10" s="46"/>
      <c r="D10" s="46"/>
      <c r="E10" s="46"/>
      <c r="F10" s="46"/>
      <c r="G10" s="46"/>
      <c r="H10" s="46"/>
      <c r="I10" s="51"/>
    </row>
    <row r="11" spans="1:10" ht="12.75" customHeight="1">
      <c r="A11" s="50"/>
      <c r="B11" s="46"/>
      <c r="C11" s="46"/>
      <c r="D11" s="46"/>
      <c r="E11" s="46"/>
      <c r="F11" s="46"/>
      <c r="G11" s="46"/>
      <c r="H11" s="46"/>
      <c r="I11" s="51"/>
    </row>
    <row r="12" spans="1:10" ht="12.75" customHeight="1">
      <c r="A12" s="50"/>
      <c r="B12" s="46"/>
      <c r="C12" s="46"/>
      <c r="D12" s="46"/>
      <c r="E12" s="46"/>
      <c r="F12" s="46"/>
      <c r="G12" s="46"/>
      <c r="H12" s="46"/>
      <c r="I12" s="51"/>
    </row>
    <row r="13" spans="1:10" ht="12.75" customHeight="1">
      <c r="A13" s="50"/>
      <c r="B13" s="46"/>
      <c r="C13" s="46"/>
      <c r="D13" s="46"/>
      <c r="E13" s="46"/>
      <c r="F13" s="46"/>
      <c r="G13" s="46"/>
      <c r="H13" s="46"/>
      <c r="I13" s="51"/>
    </row>
    <row r="14" spans="1:10" ht="12.75" customHeight="1">
      <c r="A14" s="50"/>
      <c r="B14" s="46"/>
      <c r="C14" s="46"/>
      <c r="D14" s="46"/>
      <c r="E14" s="46"/>
      <c r="F14" s="46"/>
      <c r="G14" s="46"/>
      <c r="H14" s="46"/>
      <c r="I14" s="51"/>
    </row>
    <row r="15" spans="1:10" ht="12.75" customHeight="1">
      <c r="A15" s="50"/>
      <c r="B15" s="46"/>
      <c r="C15" s="46"/>
      <c r="D15" s="46"/>
      <c r="E15" s="46"/>
      <c r="F15" s="46"/>
      <c r="G15" s="46"/>
      <c r="H15" s="46"/>
      <c r="I15" s="51"/>
    </row>
    <row r="16" spans="1:10" ht="12.75" customHeight="1">
      <c r="A16" s="50"/>
      <c r="B16" s="46"/>
      <c r="C16" s="46"/>
      <c r="D16" s="46"/>
      <c r="E16" s="46"/>
      <c r="F16" s="46"/>
      <c r="G16" s="46"/>
      <c r="H16" s="46"/>
      <c r="I16" s="51"/>
    </row>
    <row r="17" spans="1:9" ht="12.75" customHeight="1">
      <c r="A17" s="50"/>
      <c r="B17" s="46"/>
      <c r="C17" s="46"/>
      <c r="D17" s="46"/>
      <c r="E17" s="46"/>
      <c r="F17" s="46"/>
      <c r="G17" s="46"/>
      <c r="H17" s="46"/>
      <c r="I17" s="51"/>
    </row>
    <row r="18" spans="1:9" ht="12.75" customHeight="1">
      <c r="A18" s="50"/>
      <c r="B18" s="46"/>
      <c r="C18" s="46"/>
      <c r="D18" s="46"/>
      <c r="E18" s="46"/>
      <c r="F18" s="46"/>
      <c r="G18" s="46"/>
      <c r="H18" s="46"/>
      <c r="I18" s="51"/>
    </row>
    <row r="19" spans="1:9" ht="12.75" customHeight="1">
      <c r="A19" s="50"/>
      <c r="B19" s="46"/>
      <c r="C19" s="46"/>
      <c r="D19" s="46"/>
      <c r="E19" s="46"/>
      <c r="F19" s="46"/>
      <c r="G19" s="46"/>
      <c r="H19" s="46"/>
      <c r="I19" s="51"/>
    </row>
    <row r="20" spans="1:9" ht="12.75" customHeight="1">
      <c r="A20" s="50"/>
      <c r="B20" s="46"/>
      <c r="C20" s="46"/>
      <c r="D20" s="46"/>
      <c r="E20" s="46"/>
      <c r="F20" s="46"/>
      <c r="G20" s="46"/>
      <c r="H20" s="46"/>
      <c r="I20" s="51"/>
    </row>
    <row r="21" spans="1:9" ht="12.75" customHeight="1">
      <c r="A21" s="50"/>
      <c r="B21" s="46"/>
      <c r="C21" s="46"/>
      <c r="D21" s="46"/>
      <c r="E21" s="46"/>
      <c r="F21" s="46"/>
      <c r="G21" s="46"/>
      <c r="H21" s="46"/>
      <c r="I21" s="51"/>
    </row>
    <row r="22" spans="1:9" ht="12.75" customHeight="1">
      <c r="A22" s="50"/>
      <c r="B22" s="46"/>
      <c r="C22" s="46"/>
      <c r="D22" s="46"/>
      <c r="E22" s="46"/>
      <c r="F22" s="46"/>
      <c r="G22" s="46"/>
      <c r="H22" s="46"/>
      <c r="I22" s="51"/>
    </row>
    <row r="23" spans="1:9" ht="12.75" customHeight="1">
      <c r="A23" s="50"/>
      <c r="B23" s="46"/>
      <c r="C23" s="46"/>
      <c r="D23" s="46"/>
      <c r="E23" s="46"/>
      <c r="F23" s="46"/>
      <c r="G23" s="46"/>
      <c r="H23" s="46"/>
      <c r="I23" s="51"/>
    </row>
    <row r="24" spans="1:9" s="16" customFormat="1" ht="12.75" customHeight="1">
      <c r="A24" s="67"/>
      <c r="B24" s="68"/>
      <c r="C24" s="68"/>
      <c r="D24" s="68"/>
      <c r="E24" s="68"/>
      <c r="F24" s="68"/>
      <c r="G24" s="68"/>
      <c r="H24" s="68"/>
      <c r="I24" s="69"/>
    </row>
    <row r="25" spans="1:9" s="16" customFormat="1" ht="12.75" customHeight="1">
      <c r="A25" s="67"/>
      <c r="B25" s="68"/>
      <c r="C25" s="68"/>
      <c r="D25" s="68"/>
      <c r="E25" s="68"/>
      <c r="F25" s="68"/>
      <c r="G25" s="68"/>
      <c r="H25" s="68"/>
      <c r="I25" s="69"/>
    </row>
    <row r="26" spans="1:9" s="16" customFormat="1" ht="12.75" customHeight="1">
      <c r="A26" s="67"/>
      <c r="B26" s="68"/>
      <c r="C26" s="68"/>
      <c r="D26" s="68"/>
      <c r="E26" s="68"/>
      <c r="F26" s="68"/>
      <c r="G26" s="68"/>
      <c r="H26" s="68"/>
      <c r="I26" s="69"/>
    </row>
    <row r="27" spans="1:9" s="16" customFormat="1" ht="12.75" customHeight="1">
      <c r="A27" s="67"/>
      <c r="B27" s="68"/>
      <c r="C27" s="68"/>
      <c r="D27" s="68"/>
      <c r="E27" s="68"/>
      <c r="F27" s="68"/>
      <c r="G27" s="68"/>
      <c r="H27" s="68"/>
      <c r="I27" s="69"/>
    </row>
    <row r="28" spans="1:9" s="16" customFormat="1" ht="12.75" customHeight="1">
      <c r="A28" s="67"/>
      <c r="B28" s="68"/>
      <c r="C28" s="68"/>
      <c r="D28" s="68"/>
      <c r="E28" s="68"/>
      <c r="F28" s="68"/>
      <c r="G28" s="68"/>
      <c r="H28" s="68"/>
      <c r="I28" s="69"/>
    </row>
    <row r="29" spans="1:9" s="16" customFormat="1" ht="12.75" customHeight="1">
      <c r="A29" s="67"/>
      <c r="B29" s="68"/>
      <c r="C29" s="68"/>
      <c r="D29" s="68"/>
      <c r="E29" s="68"/>
      <c r="F29" s="68"/>
      <c r="G29" s="68"/>
      <c r="H29" s="68"/>
      <c r="I29" s="69"/>
    </row>
    <row r="30" spans="1:9" s="16" customFormat="1" ht="12.75" customHeight="1">
      <c r="A30" s="67"/>
      <c r="B30" s="68"/>
      <c r="C30" s="68"/>
      <c r="D30" s="68"/>
      <c r="E30" s="68"/>
      <c r="F30" s="68"/>
      <c r="G30" s="68"/>
      <c r="H30" s="68"/>
      <c r="I30" s="69"/>
    </row>
    <row r="31" spans="1:9" s="16" customFormat="1" ht="12.75" customHeight="1">
      <c r="A31" s="67"/>
      <c r="B31" s="68"/>
      <c r="C31" s="68"/>
      <c r="D31" s="68"/>
      <c r="E31" s="68"/>
      <c r="F31" s="68"/>
      <c r="G31" s="68"/>
      <c r="H31" s="68"/>
      <c r="I31" s="69"/>
    </row>
    <row r="32" spans="1:9" s="16" customFormat="1" ht="12.75" customHeight="1">
      <c r="A32" s="67"/>
      <c r="B32" s="68"/>
      <c r="C32" s="68"/>
      <c r="D32" s="68"/>
      <c r="E32" s="68"/>
      <c r="F32" s="68"/>
      <c r="G32" s="68"/>
      <c r="H32" s="68"/>
      <c r="I32" s="69"/>
    </row>
    <row r="33" spans="1:9" s="16" customFormat="1" ht="12.75" customHeight="1">
      <c r="A33" s="67"/>
      <c r="B33" s="68"/>
      <c r="C33" s="68"/>
      <c r="D33" s="68"/>
      <c r="E33" s="68"/>
      <c r="F33" s="68"/>
      <c r="G33" s="68"/>
      <c r="H33" s="68"/>
      <c r="I33" s="69"/>
    </row>
    <row r="34" spans="1:9" s="16" customFormat="1" ht="12.75" customHeight="1">
      <c r="A34" s="67"/>
      <c r="B34" s="68"/>
      <c r="C34" s="68"/>
      <c r="D34" s="68"/>
      <c r="E34" s="68"/>
      <c r="F34" s="68"/>
      <c r="G34" s="68"/>
      <c r="H34" s="68"/>
      <c r="I34" s="69"/>
    </row>
    <row r="35" spans="1:9" s="16" customFormat="1" ht="12.75" customHeight="1">
      <c r="A35" s="67"/>
      <c r="B35" s="68"/>
      <c r="C35" s="68"/>
      <c r="D35" s="68"/>
      <c r="E35" s="68"/>
      <c r="F35" s="68"/>
      <c r="G35" s="68"/>
      <c r="H35" s="68"/>
      <c r="I35" s="69"/>
    </row>
    <row r="36" spans="1:9" s="16" customFormat="1" ht="12.75" customHeight="1">
      <c r="A36" s="67"/>
      <c r="B36" s="68"/>
      <c r="C36" s="68"/>
      <c r="D36" s="68"/>
      <c r="E36" s="68"/>
      <c r="F36" s="68"/>
      <c r="G36" s="68"/>
      <c r="H36" s="68"/>
      <c r="I36" s="69"/>
    </row>
    <row r="37" spans="1:9" s="16" customFormat="1" ht="12.75" customHeight="1">
      <c r="A37" s="67"/>
      <c r="B37" s="68"/>
      <c r="C37" s="68"/>
      <c r="D37" s="68"/>
      <c r="E37" s="68"/>
      <c r="F37" s="68"/>
      <c r="G37" s="68"/>
      <c r="H37" s="68"/>
      <c r="I37" s="69"/>
    </row>
    <row r="38" spans="1:9" s="16" customFormat="1" ht="12.75" customHeight="1">
      <c r="A38" s="67"/>
      <c r="B38" s="68"/>
      <c r="C38" s="68"/>
      <c r="D38" s="68"/>
      <c r="E38" s="68"/>
      <c r="F38" s="68"/>
      <c r="G38" s="68"/>
      <c r="H38" s="68"/>
      <c r="I38" s="69"/>
    </row>
    <row r="39" spans="1:9" s="16" customFormat="1" ht="12.75" customHeight="1">
      <c r="A39" s="67"/>
      <c r="B39" s="68"/>
      <c r="C39" s="68"/>
      <c r="D39" s="68"/>
      <c r="E39" s="68"/>
      <c r="F39" s="68"/>
      <c r="G39" s="68"/>
      <c r="H39" s="68"/>
      <c r="I39" s="69"/>
    </row>
    <row r="40" spans="1:9" s="16" customFormat="1" ht="12.75" customHeight="1">
      <c r="A40" s="67"/>
      <c r="B40" s="68"/>
      <c r="C40" s="68"/>
      <c r="D40" s="68"/>
      <c r="E40" s="68"/>
      <c r="F40" s="68"/>
      <c r="G40" s="68"/>
      <c r="H40" s="68"/>
      <c r="I40" s="69"/>
    </row>
    <row r="41" spans="1:9" s="16" customFormat="1" ht="12.75" customHeight="1">
      <c r="A41" s="67"/>
      <c r="B41" s="68"/>
      <c r="C41" s="68"/>
      <c r="D41" s="68"/>
      <c r="E41" s="68"/>
      <c r="F41" s="68"/>
      <c r="G41" s="68"/>
      <c r="H41" s="68"/>
      <c r="I41" s="69"/>
    </row>
    <row r="42" spans="1:9" s="16" customFormat="1" ht="12.75" customHeight="1">
      <c r="A42" s="67"/>
      <c r="B42" s="68"/>
      <c r="C42" s="68"/>
      <c r="D42" s="68"/>
      <c r="E42" s="68"/>
      <c r="F42" s="68"/>
      <c r="G42" s="68"/>
      <c r="H42" s="68"/>
      <c r="I42" s="69"/>
    </row>
    <row r="43" spans="1:9" s="16" customFormat="1" ht="12.75" customHeight="1">
      <c r="A43" s="67"/>
      <c r="B43" s="68"/>
      <c r="C43" s="68"/>
      <c r="D43" s="68"/>
      <c r="E43" s="68"/>
      <c r="F43" s="68"/>
      <c r="G43" s="68"/>
      <c r="H43" s="68"/>
      <c r="I43" s="69"/>
    </row>
    <row r="44" spans="1:9" s="16" customFormat="1" ht="12.75" customHeight="1">
      <c r="A44" s="67"/>
      <c r="B44" s="68"/>
      <c r="C44" s="68"/>
      <c r="D44" s="68"/>
      <c r="E44" s="68"/>
      <c r="F44" s="68"/>
      <c r="G44" s="68"/>
      <c r="H44" s="68"/>
      <c r="I44" s="69"/>
    </row>
    <row r="45" spans="1:9" s="16" customFormat="1" ht="12.75" customHeight="1">
      <c r="A45" s="67"/>
      <c r="B45" s="68"/>
      <c r="C45" s="68"/>
      <c r="D45" s="68"/>
      <c r="E45" s="68"/>
      <c r="F45" s="68"/>
      <c r="G45" s="68"/>
      <c r="H45" s="68"/>
      <c r="I45" s="69"/>
    </row>
    <row r="46" spans="1:9" s="16" customFormat="1" ht="12.75" customHeight="1">
      <c r="A46" s="67"/>
      <c r="B46" s="68"/>
      <c r="C46" s="68"/>
      <c r="D46" s="68"/>
      <c r="E46" s="68"/>
      <c r="F46" s="68"/>
      <c r="G46" s="68"/>
      <c r="H46" s="68"/>
      <c r="I46" s="69"/>
    </row>
    <row r="47" spans="1:9" s="16" customFormat="1" ht="12.75" customHeight="1">
      <c r="A47" s="67"/>
      <c r="B47" s="68"/>
      <c r="C47" s="68"/>
      <c r="D47" s="68"/>
      <c r="E47" s="68"/>
      <c r="F47" s="68"/>
      <c r="G47" s="68"/>
      <c r="H47" s="68"/>
      <c r="I47" s="69"/>
    </row>
    <row r="48" spans="1:9" s="16" customFormat="1" ht="12.75" customHeight="1">
      <c r="A48" s="67"/>
      <c r="B48" s="68"/>
      <c r="C48" s="68"/>
      <c r="D48" s="68"/>
      <c r="E48" s="68"/>
      <c r="F48" s="68"/>
      <c r="G48" s="68"/>
      <c r="H48" s="68"/>
      <c r="I48" s="69"/>
    </row>
    <row r="49" spans="1:9" s="16" customFormat="1" ht="12.75" customHeight="1">
      <c r="A49" s="67"/>
      <c r="B49" s="68"/>
      <c r="C49" s="68"/>
      <c r="D49" s="68"/>
      <c r="E49" s="68"/>
      <c r="F49" s="68"/>
      <c r="G49" s="68"/>
      <c r="H49" s="68"/>
      <c r="I49" s="69"/>
    </row>
    <row r="50" spans="1:9" s="16" customFormat="1" ht="12.75" customHeight="1">
      <c r="A50" s="67"/>
      <c r="B50" s="68"/>
      <c r="C50" s="68"/>
      <c r="D50" s="68"/>
      <c r="E50" s="68"/>
      <c r="F50" s="68"/>
      <c r="G50" s="68"/>
      <c r="H50" s="68"/>
      <c r="I50" s="69"/>
    </row>
    <row r="51" spans="1:9" s="16" customFormat="1" ht="12.75" customHeight="1">
      <c r="A51" s="67"/>
      <c r="B51" s="68"/>
      <c r="C51" s="68"/>
      <c r="D51" s="68"/>
      <c r="E51" s="68"/>
      <c r="F51" s="68"/>
      <c r="G51" s="68"/>
      <c r="H51" s="68"/>
      <c r="I51" s="69"/>
    </row>
    <row r="52" spans="1:9" s="16" customFormat="1" ht="12.75" customHeight="1" thickBot="1">
      <c r="A52" s="70"/>
      <c r="B52" s="71"/>
      <c r="C52" s="71"/>
      <c r="D52" s="71"/>
      <c r="E52" s="71"/>
      <c r="F52" s="71"/>
      <c r="G52" s="71"/>
      <c r="H52" s="71"/>
      <c r="I52" s="72"/>
    </row>
    <row r="53" spans="1:9" s="16" customFormat="1" ht="12.75" customHeight="1"/>
    <row r="54" spans="1:9" s="16" customFormat="1"/>
    <row r="55" spans="1:9" s="16" customFormat="1"/>
    <row r="56" spans="1:9" s="16" customFormat="1"/>
    <row r="57" spans="1:9" s="16" customFormat="1"/>
    <row r="58" spans="1:9" s="16" customFormat="1"/>
    <row r="59" spans="1:9" s="16" customFormat="1"/>
    <row r="60" spans="1:9" s="16" customFormat="1"/>
    <row r="61" spans="1:9" s="16" customFormat="1"/>
    <row r="62" spans="1:9" s="16" customFormat="1"/>
    <row r="63" spans="1:9" s="16" customFormat="1"/>
    <row r="64" spans="1:9" s="16" customFormat="1"/>
    <row r="65" s="16" customFormat="1"/>
    <row r="66" s="16" customFormat="1"/>
    <row r="67" s="16" customFormat="1"/>
    <row r="68" s="16" customFormat="1"/>
    <row r="69" s="16" customFormat="1"/>
    <row r="70" s="16" customFormat="1"/>
    <row r="71" s="16" customFormat="1"/>
    <row r="72" s="16" customFormat="1"/>
    <row r="73" s="16" customFormat="1"/>
    <row r="74" s="16" customFormat="1"/>
    <row r="75" s="16" customFormat="1"/>
  </sheetData>
  <phoneticPr fontId="9" type="noConversion"/>
  <pageMargins left="0.75" right="0.75" top="1" bottom="1" header="0.5" footer="0.5"/>
  <pageSetup scale="90" orientation="portrait"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W112"/>
  <sheetViews>
    <sheetView showGridLines="0" topLeftCell="B1" zoomScaleNormal="100" workbookViewId="0">
      <selection activeCell="B112" sqref="B112:H112"/>
    </sheetView>
  </sheetViews>
  <sheetFormatPr defaultRowHeight="13.2"/>
  <cols>
    <col min="1" max="1" width="11.44140625" hidden="1" customWidth="1"/>
    <col min="2" max="2" width="18.5546875" customWidth="1"/>
    <col min="4" max="4" width="9.33203125" customWidth="1"/>
    <col min="5" max="5" width="22.33203125" customWidth="1"/>
    <col min="6" max="6" width="12.109375" customWidth="1"/>
    <col min="7" max="7" width="13.6640625" customWidth="1"/>
    <col min="8" max="8" width="13.5546875" customWidth="1"/>
    <col min="9" max="9" width="15.5546875" customWidth="1"/>
    <col min="10" max="10" width="15.6640625" customWidth="1"/>
  </cols>
  <sheetData>
    <row r="2" spans="1:9" ht="16.8">
      <c r="B2" s="182" t="s">
        <v>513</v>
      </c>
      <c r="C2" s="528">
        <f>CoverSheet!D6</f>
        <v>0</v>
      </c>
      <c r="D2" s="529"/>
      <c r="E2" s="529"/>
      <c r="F2" s="529"/>
      <c r="G2" s="529"/>
      <c r="H2" s="529"/>
      <c r="I2" s="530"/>
    </row>
    <row r="5" spans="1:9" s="34" customFormat="1" ht="51" customHeight="1">
      <c r="B5" s="764" t="s">
        <v>471</v>
      </c>
      <c r="C5" s="764"/>
      <c r="D5" s="764"/>
      <c r="E5" s="764"/>
      <c r="F5" s="764"/>
      <c r="G5" s="764"/>
      <c r="H5" s="764"/>
      <c r="I5" s="764"/>
    </row>
    <row r="6" spans="1:9">
      <c r="B6" s="16"/>
      <c r="C6" s="16"/>
      <c r="D6" s="16"/>
      <c r="E6" s="16"/>
      <c r="F6" s="16"/>
      <c r="G6" s="16"/>
      <c r="H6" s="16"/>
      <c r="I6" s="16"/>
    </row>
    <row r="7" spans="1:9">
      <c r="B7" s="32"/>
      <c r="C7" s="24"/>
      <c r="D7" s="24"/>
      <c r="E7" s="24"/>
      <c r="F7" s="24"/>
      <c r="G7" s="24"/>
      <c r="H7" s="24"/>
      <c r="I7" s="18" t="s">
        <v>222</v>
      </c>
    </row>
    <row r="8" spans="1:9">
      <c r="B8" s="19" t="s">
        <v>56</v>
      </c>
      <c r="C8" s="9"/>
      <c r="D8" s="9"/>
      <c r="E8" s="9"/>
      <c r="F8" s="9"/>
      <c r="G8" s="9"/>
      <c r="H8" s="9"/>
      <c r="I8" s="11" t="s">
        <v>181</v>
      </c>
    </row>
    <row r="9" spans="1:9">
      <c r="B9" s="20"/>
      <c r="C9" s="9"/>
      <c r="D9" s="9"/>
      <c r="E9" s="9"/>
      <c r="F9" s="9"/>
      <c r="G9" s="9"/>
      <c r="H9" s="9"/>
      <c r="I9" s="11" t="s">
        <v>182</v>
      </c>
    </row>
    <row r="10" spans="1:9">
      <c r="B10" s="21" t="s">
        <v>57</v>
      </c>
      <c r="C10" s="9"/>
      <c r="D10" s="9"/>
      <c r="E10" s="9"/>
      <c r="F10" s="9"/>
      <c r="G10" s="9"/>
      <c r="H10" s="9"/>
      <c r="I10" s="11" t="s">
        <v>58</v>
      </c>
    </row>
    <row r="11" spans="1:9">
      <c r="B11" s="20"/>
      <c r="C11" s="9"/>
      <c r="D11" s="9"/>
      <c r="E11" s="9"/>
      <c r="F11" s="9"/>
      <c r="G11" s="9"/>
      <c r="H11" s="9"/>
      <c r="I11" s="11" t="s">
        <v>59</v>
      </c>
    </row>
    <row r="12" spans="1:9">
      <c r="B12" s="20" t="s">
        <v>73</v>
      </c>
      <c r="C12" s="9"/>
      <c r="D12" s="9"/>
      <c r="E12" s="9"/>
      <c r="F12" s="9"/>
      <c r="G12" s="9"/>
      <c r="H12" s="9"/>
      <c r="I12" s="7"/>
    </row>
    <row r="13" spans="1:9">
      <c r="B13" s="22" t="s">
        <v>97</v>
      </c>
      <c r="C13" s="25"/>
      <c r="D13" s="25"/>
      <c r="E13" s="25"/>
      <c r="F13" s="25"/>
      <c r="G13" s="25"/>
      <c r="H13" s="25"/>
      <c r="I13" s="23" t="s">
        <v>3</v>
      </c>
    </row>
    <row r="14" spans="1:9" ht="30" customHeight="1">
      <c r="A14" s="126" t="s">
        <v>405</v>
      </c>
      <c r="B14" s="644" t="s">
        <v>406</v>
      </c>
      <c r="C14" s="717"/>
      <c r="D14" s="717"/>
      <c r="E14" s="717"/>
      <c r="F14" s="717"/>
      <c r="G14" s="717"/>
      <c r="H14" s="645"/>
      <c r="I14" s="138"/>
    </row>
    <row r="15" spans="1:9">
      <c r="A15" s="126" t="s">
        <v>408</v>
      </c>
      <c r="B15" s="768" t="s">
        <v>407</v>
      </c>
      <c r="C15" s="769"/>
      <c r="D15" s="769"/>
      <c r="E15" s="769"/>
      <c r="F15" s="769"/>
      <c r="G15" s="769"/>
      <c r="H15" s="770"/>
      <c r="I15" s="160"/>
    </row>
    <row r="16" spans="1:9">
      <c r="B16" s="757" t="s">
        <v>106</v>
      </c>
      <c r="C16" s="758"/>
      <c r="D16" s="758"/>
      <c r="E16" s="758"/>
      <c r="F16" s="758"/>
      <c r="G16" s="758"/>
      <c r="H16" s="759"/>
      <c r="I16" s="89"/>
    </row>
    <row r="17" spans="1:9">
      <c r="B17" s="757" t="s">
        <v>107</v>
      </c>
      <c r="C17" s="758"/>
      <c r="D17" s="758"/>
      <c r="E17" s="758"/>
      <c r="F17" s="758"/>
      <c r="G17" s="758"/>
      <c r="H17" s="759"/>
      <c r="I17" s="94"/>
    </row>
    <row r="18" spans="1:9">
      <c r="B18" s="757" t="s">
        <v>108</v>
      </c>
      <c r="C18" s="758"/>
      <c r="D18" s="758"/>
      <c r="E18" s="758"/>
      <c r="F18" s="758"/>
      <c r="G18" s="758"/>
      <c r="H18" s="759"/>
      <c r="I18" s="94"/>
    </row>
    <row r="19" spans="1:9">
      <c r="B19" s="757" t="s">
        <v>244</v>
      </c>
      <c r="C19" s="758"/>
      <c r="D19" s="758"/>
      <c r="E19" s="758"/>
      <c r="F19" s="758"/>
      <c r="G19" s="758"/>
      <c r="H19" s="759"/>
      <c r="I19" s="94"/>
    </row>
    <row r="20" spans="1:9">
      <c r="B20" s="771" t="s">
        <v>261</v>
      </c>
      <c r="C20" s="772"/>
      <c r="D20" s="772"/>
      <c r="E20" s="772"/>
      <c r="F20" s="772"/>
      <c r="G20" s="772"/>
      <c r="H20" s="773"/>
      <c r="I20" s="94">
        <f>SUM(I16:I19)</f>
        <v>0</v>
      </c>
    </row>
    <row r="21" spans="1:9">
      <c r="B21" s="761" t="s">
        <v>17</v>
      </c>
      <c r="C21" s="762"/>
      <c r="D21" s="762"/>
      <c r="E21" s="762"/>
      <c r="F21" s="762"/>
      <c r="G21" s="762"/>
      <c r="H21" s="762"/>
      <c r="I21" s="763"/>
    </row>
    <row r="22" spans="1:9" ht="24.75" customHeight="1">
      <c r="A22" s="126" t="s">
        <v>409</v>
      </c>
      <c r="B22" s="681"/>
      <c r="C22" s="681"/>
      <c r="D22" s="681"/>
      <c r="E22" s="681"/>
      <c r="F22" s="681"/>
      <c r="G22" s="681"/>
      <c r="H22" s="681"/>
      <c r="I22" s="94"/>
    </row>
    <row r="23" spans="1:9" ht="24.75" customHeight="1">
      <c r="A23" s="126" t="s">
        <v>410</v>
      </c>
      <c r="B23" s="681"/>
      <c r="C23" s="681"/>
      <c r="D23" s="681"/>
      <c r="E23" s="681"/>
      <c r="F23" s="681"/>
      <c r="G23" s="681"/>
      <c r="H23" s="681"/>
      <c r="I23" s="94"/>
    </row>
    <row r="24" spans="1:9" ht="24.75" customHeight="1">
      <c r="A24" s="126" t="s">
        <v>411</v>
      </c>
      <c r="B24" s="783"/>
      <c r="C24" s="783"/>
      <c r="D24" s="783"/>
      <c r="E24" s="783"/>
      <c r="F24" s="783"/>
      <c r="G24" s="783"/>
      <c r="H24" s="783"/>
      <c r="I24" s="95"/>
    </row>
    <row r="25" spans="1:9" s="16" customFormat="1">
      <c r="B25" s="14"/>
      <c r="C25" s="14"/>
      <c r="D25" s="14"/>
      <c r="E25" s="14"/>
      <c r="F25" s="14"/>
      <c r="G25" s="14"/>
      <c r="H25" s="14"/>
      <c r="I25" s="14"/>
    </row>
    <row r="26" spans="1:9" s="16" customFormat="1">
      <c r="B26" s="32"/>
      <c r="C26" s="73"/>
      <c r="D26" s="73"/>
      <c r="E26" s="73"/>
      <c r="F26" s="73"/>
      <c r="G26" s="4"/>
      <c r="H26" s="4"/>
      <c r="I26" s="62"/>
    </row>
    <row r="27" spans="1:9" s="16" customFormat="1">
      <c r="B27" s="74" t="s">
        <v>60</v>
      </c>
      <c r="C27" s="75"/>
      <c r="D27" s="75"/>
      <c r="E27" s="75"/>
      <c r="F27" s="75"/>
      <c r="G27" s="7"/>
      <c r="H27" s="7"/>
      <c r="I27" s="63"/>
    </row>
    <row r="28" spans="1:9" s="16" customFormat="1">
      <c r="B28" s="20"/>
      <c r="C28" s="75"/>
      <c r="D28" s="75"/>
      <c r="E28" s="75"/>
      <c r="F28" s="75"/>
      <c r="G28" s="7"/>
      <c r="H28" s="7"/>
      <c r="I28" s="63"/>
    </row>
    <row r="29" spans="1:9" s="16" customFormat="1">
      <c r="B29" s="76" t="s">
        <v>98</v>
      </c>
      <c r="C29" s="75"/>
      <c r="D29" s="75"/>
      <c r="E29" s="75"/>
      <c r="F29" s="75"/>
      <c r="G29" s="11" t="s">
        <v>245</v>
      </c>
      <c r="H29" s="11" t="s">
        <v>246</v>
      </c>
      <c r="I29" s="63"/>
    </row>
    <row r="30" spans="1:9" s="16" customFormat="1">
      <c r="B30" s="20"/>
      <c r="C30" s="9"/>
      <c r="D30" s="9"/>
      <c r="E30" s="9"/>
      <c r="F30" s="77"/>
      <c r="G30" s="11" t="s">
        <v>127</v>
      </c>
      <c r="H30" s="11" t="s">
        <v>127</v>
      </c>
      <c r="I30" s="63"/>
    </row>
    <row r="31" spans="1:9" s="16" customFormat="1">
      <c r="B31" s="81" t="s">
        <v>124</v>
      </c>
      <c r="C31" s="9"/>
      <c r="D31" s="9"/>
      <c r="E31" s="9"/>
      <c r="F31" s="77"/>
      <c r="G31" s="11" t="s">
        <v>179</v>
      </c>
      <c r="H31" s="53" t="s">
        <v>180</v>
      </c>
      <c r="I31" s="63"/>
    </row>
    <row r="32" spans="1:9">
      <c r="B32" s="20" t="s">
        <v>123</v>
      </c>
      <c r="C32" s="9"/>
      <c r="D32" s="9"/>
      <c r="E32" s="9"/>
      <c r="F32" s="77"/>
      <c r="G32" s="11" t="s">
        <v>61</v>
      </c>
      <c r="H32" s="53" t="s">
        <v>61</v>
      </c>
      <c r="I32" s="63"/>
    </row>
    <row r="33" spans="1:10">
      <c r="B33" s="20" t="s">
        <v>125</v>
      </c>
      <c r="C33" s="9"/>
      <c r="D33" s="9"/>
      <c r="E33" s="9"/>
      <c r="F33" s="77"/>
      <c r="G33" s="7"/>
      <c r="H33" s="7"/>
      <c r="I33" s="63"/>
    </row>
    <row r="34" spans="1:10">
      <c r="B34" s="20" t="s">
        <v>126</v>
      </c>
      <c r="C34" s="9"/>
      <c r="D34" s="9"/>
      <c r="E34" s="9"/>
      <c r="F34" s="75"/>
      <c r="G34" s="23" t="s">
        <v>3</v>
      </c>
      <c r="H34" s="54" t="s">
        <v>3</v>
      </c>
      <c r="I34" s="14"/>
    </row>
    <row r="35" spans="1:10" ht="12.75" customHeight="1">
      <c r="A35" s="126" t="s">
        <v>414</v>
      </c>
      <c r="B35" s="672" t="s">
        <v>201</v>
      </c>
      <c r="C35" s="673"/>
      <c r="D35" s="673"/>
      <c r="E35" s="673"/>
      <c r="F35" s="674"/>
      <c r="G35" s="139"/>
      <c r="H35" s="139"/>
      <c r="I35" s="143"/>
    </row>
    <row r="36" spans="1:10" ht="27.75" customHeight="1">
      <c r="A36" s="126" t="s">
        <v>415</v>
      </c>
      <c r="B36" s="736" t="s">
        <v>412</v>
      </c>
      <c r="C36" s="736"/>
      <c r="D36" s="736"/>
      <c r="E36" s="736"/>
      <c r="F36" s="736"/>
      <c r="G36" s="138"/>
      <c r="H36" s="138"/>
      <c r="I36" s="774"/>
    </row>
    <row r="37" spans="1:10" ht="12.75" customHeight="1">
      <c r="A37" s="126" t="s">
        <v>416</v>
      </c>
      <c r="B37" s="705" t="s">
        <v>109</v>
      </c>
      <c r="C37" s="705"/>
      <c r="D37" s="705"/>
      <c r="E37" s="705"/>
      <c r="F37" s="705"/>
      <c r="G37" s="94"/>
      <c r="H37" s="94"/>
      <c r="I37" s="774"/>
    </row>
    <row r="38" spans="1:10" ht="28.5" customHeight="1">
      <c r="A38" s="126" t="s">
        <v>417</v>
      </c>
      <c r="B38" s="727" t="s">
        <v>413</v>
      </c>
      <c r="C38" s="728"/>
      <c r="D38" s="728"/>
      <c r="E38" s="728"/>
      <c r="F38" s="729"/>
      <c r="G38" s="139"/>
      <c r="H38" s="139"/>
      <c r="I38" s="774"/>
    </row>
    <row r="39" spans="1:10">
      <c r="A39" s="126" t="s">
        <v>418</v>
      </c>
      <c r="B39" s="672" t="s">
        <v>202</v>
      </c>
      <c r="C39" s="673"/>
      <c r="D39" s="673"/>
      <c r="E39" s="673"/>
      <c r="F39" s="674"/>
      <c r="G39" s="138"/>
      <c r="H39" s="138"/>
      <c r="I39" s="143"/>
    </row>
    <row r="40" spans="1:10">
      <c r="A40" s="126" t="s">
        <v>419</v>
      </c>
      <c r="B40" s="672" t="s">
        <v>110</v>
      </c>
      <c r="C40" s="673"/>
      <c r="D40" s="673"/>
      <c r="E40" s="673"/>
      <c r="F40" s="674"/>
      <c r="G40" s="138"/>
      <c r="H40" s="138"/>
      <c r="I40" s="143"/>
    </row>
    <row r="41" spans="1:10" ht="15.75" customHeight="1">
      <c r="A41" s="126" t="s">
        <v>420</v>
      </c>
      <c r="B41" s="695" t="s">
        <v>203</v>
      </c>
      <c r="C41" s="696"/>
      <c r="D41" s="696"/>
      <c r="E41" s="696"/>
      <c r="F41" s="697"/>
      <c r="G41" s="94"/>
      <c r="H41" s="94"/>
      <c r="I41" s="143"/>
    </row>
    <row r="42" spans="1:10" ht="12.75" customHeight="1">
      <c r="A42" s="126" t="s">
        <v>421</v>
      </c>
      <c r="B42" s="695" t="s">
        <v>204</v>
      </c>
      <c r="C42" s="696"/>
      <c r="D42" s="696"/>
      <c r="E42" s="696"/>
      <c r="F42" s="697"/>
      <c r="G42" s="138"/>
      <c r="H42" s="138"/>
      <c r="I42" s="143"/>
    </row>
    <row r="43" spans="1:10" ht="12.75" customHeight="1">
      <c r="A43" s="126" t="s">
        <v>422</v>
      </c>
      <c r="B43" s="672" t="s">
        <v>207</v>
      </c>
      <c r="C43" s="673"/>
      <c r="D43" s="673"/>
      <c r="E43" s="673"/>
      <c r="F43" s="674"/>
      <c r="G43" s="138"/>
      <c r="H43" s="138"/>
      <c r="I43" s="143"/>
    </row>
    <row r="44" spans="1:10" s="16" customFormat="1" ht="12.75" customHeight="1">
      <c r="A44" s="126" t="s">
        <v>423</v>
      </c>
      <c r="B44" s="672" t="s">
        <v>205</v>
      </c>
      <c r="C44" s="673"/>
      <c r="D44" s="673"/>
      <c r="E44" s="673"/>
      <c r="F44" s="674"/>
      <c r="G44" s="138"/>
      <c r="H44" s="138"/>
      <c r="I44" s="141"/>
    </row>
    <row r="45" spans="1:10" s="16" customFormat="1" ht="12.75" customHeight="1">
      <c r="A45" s="126" t="s">
        <v>424</v>
      </c>
      <c r="B45" s="672" t="s">
        <v>206</v>
      </c>
      <c r="C45" s="673"/>
      <c r="D45" s="673"/>
      <c r="E45" s="673"/>
      <c r="F45" s="674"/>
      <c r="G45" s="138"/>
      <c r="H45" s="138"/>
      <c r="I45" s="141"/>
    </row>
    <row r="46" spans="1:10" s="16" customFormat="1">
      <c r="B46" s="638" t="s">
        <v>17</v>
      </c>
      <c r="C46" s="639"/>
      <c r="D46" s="639"/>
      <c r="E46" s="639"/>
      <c r="F46" s="639"/>
      <c r="G46" s="639"/>
      <c r="H46" s="640"/>
      <c r="I46" s="62"/>
      <c r="J46" s="62"/>
    </row>
    <row r="47" spans="1:10" s="16" customFormat="1" ht="27" customHeight="1">
      <c r="A47" s="161" t="s">
        <v>425</v>
      </c>
      <c r="B47" s="681"/>
      <c r="C47" s="681"/>
      <c r="D47" s="681"/>
      <c r="E47" s="681"/>
      <c r="F47" s="681"/>
      <c r="G47" s="94"/>
      <c r="H47" s="94"/>
      <c r="I47" s="141"/>
    </row>
    <row r="48" spans="1:10" s="16" customFormat="1" ht="27.75" customHeight="1">
      <c r="A48" s="161" t="s">
        <v>426</v>
      </c>
      <c r="B48" s="681"/>
      <c r="C48" s="681"/>
      <c r="D48" s="681"/>
      <c r="E48" s="681"/>
      <c r="F48" s="681"/>
      <c r="G48" s="94"/>
      <c r="H48" s="94"/>
      <c r="I48" s="141"/>
    </row>
    <row r="49" spans="1:257" s="14" customFormat="1" ht="27.75" customHeight="1">
      <c r="A49" s="161" t="s">
        <v>427</v>
      </c>
      <c r="B49" s="681"/>
      <c r="C49" s="681"/>
      <c r="D49" s="681"/>
      <c r="E49" s="681"/>
      <c r="F49" s="681"/>
      <c r="G49" s="94"/>
      <c r="H49" s="94"/>
      <c r="I49" s="147"/>
      <c r="J49" s="29"/>
      <c r="K49" s="29"/>
      <c r="L49" s="29"/>
      <c r="M49" s="29"/>
      <c r="N49" s="147"/>
      <c r="O49" s="149"/>
      <c r="P49" s="55"/>
      <c r="Q49" s="790"/>
      <c r="R49" s="790"/>
      <c r="S49" s="790"/>
      <c r="T49" s="790"/>
      <c r="U49" s="790"/>
      <c r="V49" s="147"/>
      <c r="W49" s="149"/>
      <c r="X49" s="55"/>
      <c r="Y49" s="790"/>
      <c r="Z49" s="790"/>
      <c r="AA49" s="790"/>
      <c r="AB49" s="790"/>
      <c r="AC49" s="790"/>
      <c r="AD49" s="147"/>
      <c r="AE49" s="149"/>
      <c r="AF49" s="55"/>
      <c r="AG49" s="790"/>
      <c r="AH49" s="790"/>
      <c r="AI49" s="790"/>
      <c r="AJ49" s="790"/>
      <c r="AK49" s="790"/>
      <c r="AL49" s="147"/>
      <c r="AM49" s="149"/>
      <c r="AN49" s="55"/>
      <c r="AO49" s="790"/>
      <c r="AP49" s="790"/>
      <c r="AQ49" s="790"/>
      <c r="AR49" s="790"/>
      <c r="AS49" s="790"/>
      <c r="AT49" s="147"/>
      <c r="AU49" s="149"/>
      <c r="AV49" s="55"/>
      <c r="AW49" s="790"/>
      <c r="AX49" s="790"/>
      <c r="AY49" s="790"/>
      <c r="AZ49" s="790"/>
      <c r="BA49" s="790"/>
      <c r="BB49" s="147"/>
      <c r="BC49" s="149"/>
      <c r="BD49" s="55"/>
      <c r="BE49" s="790"/>
      <c r="BF49" s="790"/>
      <c r="BG49" s="790"/>
      <c r="BH49" s="790"/>
      <c r="BI49" s="790"/>
      <c r="BJ49" s="147"/>
      <c r="BK49" s="149"/>
      <c r="BL49" s="55"/>
      <c r="BM49" s="790"/>
      <c r="BN49" s="790"/>
      <c r="BO49" s="790"/>
      <c r="BP49" s="790"/>
      <c r="BQ49" s="790"/>
      <c r="BR49" s="147"/>
      <c r="BS49" s="149"/>
      <c r="BT49" s="55"/>
      <c r="BU49" s="790"/>
      <c r="BV49" s="790"/>
      <c r="BW49" s="790"/>
      <c r="BX49" s="790"/>
      <c r="BY49" s="790"/>
      <c r="BZ49" s="147"/>
      <c r="CA49" s="149"/>
      <c r="CB49" s="55"/>
      <c r="CC49" s="790"/>
      <c r="CD49" s="790"/>
      <c r="CE49" s="790"/>
      <c r="CF49" s="790"/>
      <c r="CG49" s="790"/>
      <c r="CH49" s="147"/>
      <c r="CI49" s="149"/>
      <c r="CJ49" s="55"/>
      <c r="CK49" s="790"/>
      <c r="CL49" s="790"/>
      <c r="CM49" s="790"/>
      <c r="CN49" s="790"/>
      <c r="CO49" s="790"/>
      <c r="CP49" s="147"/>
      <c r="CQ49" s="149"/>
      <c r="CR49" s="55"/>
      <c r="CS49" s="790"/>
      <c r="CT49" s="790"/>
      <c r="CU49" s="790"/>
      <c r="CV49" s="790"/>
      <c r="CW49" s="790"/>
      <c r="CX49" s="147"/>
      <c r="CY49" s="149"/>
      <c r="CZ49" s="55"/>
      <c r="DA49" s="790"/>
      <c r="DB49" s="790"/>
      <c r="DC49" s="790"/>
      <c r="DD49" s="790"/>
      <c r="DE49" s="790"/>
      <c r="DF49" s="147"/>
      <c r="DG49" s="149"/>
      <c r="DH49" s="55"/>
      <c r="DI49" s="790"/>
      <c r="DJ49" s="790"/>
      <c r="DK49" s="790"/>
      <c r="DL49" s="790"/>
      <c r="DM49" s="790"/>
      <c r="DN49" s="147"/>
      <c r="DO49" s="149"/>
      <c r="DP49" s="55"/>
      <c r="DQ49" s="790"/>
      <c r="DR49" s="790"/>
      <c r="DS49" s="790"/>
      <c r="DT49" s="790"/>
      <c r="DU49" s="790"/>
      <c r="DV49" s="147"/>
      <c r="DW49" s="149"/>
      <c r="DX49" s="55"/>
      <c r="DY49" s="790"/>
      <c r="DZ49" s="790"/>
      <c r="EA49" s="790"/>
      <c r="EB49" s="790"/>
      <c r="EC49" s="790"/>
      <c r="ED49" s="147"/>
      <c r="EE49" s="149"/>
      <c r="EF49" s="55"/>
      <c r="EG49" s="790"/>
      <c r="EH49" s="790"/>
      <c r="EI49" s="790"/>
      <c r="EJ49" s="790"/>
      <c r="EK49" s="790"/>
      <c r="EL49" s="147"/>
      <c r="EM49" s="149"/>
      <c r="EN49" s="55"/>
      <c r="EO49" s="790"/>
      <c r="EP49" s="790"/>
      <c r="EQ49" s="790"/>
      <c r="ER49" s="790"/>
      <c r="ES49" s="790"/>
      <c r="ET49" s="147"/>
      <c r="EU49" s="149"/>
      <c r="EV49" s="55"/>
      <c r="EW49" s="790"/>
      <c r="EX49" s="790"/>
      <c r="EY49" s="790"/>
      <c r="EZ49" s="790"/>
      <c r="FA49" s="790"/>
      <c r="FB49" s="147"/>
      <c r="FC49" s="149"/>
      <c r="FD49" s="55"/>
      <c r="FE49" s="790"/>
      <c r="FF49" s="790"/>
      <c r="FG49" s="790"/>
      <c r="FH49" s="790"/>
      <c r="FI49" s="790"/>
      <c r="FJ49" s="147"/>
      <c r="FK49" s="149"/>
      <c r="FL49" s="55"/>
      <c r="FM49" s="790"/>
      <c r="FN49" s="790"/>
      <c r="FO49" s="790"/>
      <c r="FP49" s="790"/>
      <c r="FQ49" s="790"/>
      <c r="FR49" s="147"/>
      <c r="FS49" s="149"/>
      <c r="FT49" s="55"/>
      <c r="FU49" s="790"/>
      <c r="FV49" s="790"/>
      <c r="FW49" s="790"/>
      <c r="FX49" s="790"/>
      <c r="FY49" s="790"/>
      <c r="FZ49" s="147"/>
      <c r="GA49" s="149"/>
      <c r="GB49" s="55"/>
      <c r="GC49" s="790"/>
      <c r="GD49" s="790"/>
      <c r="GE49" s="790"/>
      <c r="GF49" s="790"/>
      <c r="GG49" s="790"/>
      <c r="GH49" s="147"/>
      <c r="GI49" s="149"/>
      <c r="GJ49" s="55"/>
      <c r="GK49" s="790"/>
      <c r="GL49" s="790"/>
      <c r="GM49" s="790"/>
      <c r="GN49" s="790"/>
      <c r="GO49" s="790"/>
      <c r="GP49" s="147"/>
      <c r="GQ49" s="149"/>
      <c r="GR49" s="55"/>
      <c r="GS49" s="790"/>
      <c r="GT49" s="790"/>
      <c r="GU49" s="790"/>
      <c r="GV49" s="790"/>
      <c r="GW49" s="790"/>
      <c r="GX49" s="147"/>
      <c r="GY49" s="149"/>
      <c r="GZ49" s="55"/>
      <c r="HA49" s="790"/>
      <c r="HB49" s="790"/>
      <c r="HC49" s="790"/>
      <c r="HD49" s="790"/>
      <c r="HE49" s="790"/>
      <c r="HF49" s="147"/>
      <c r="HG49" s="149"/>
      <c r="HH49" s="55"/>
      <c r="HI49" s="790"/>
      <c r="HJ49" s="790"/>
      <c r="HK49" s="790"/>
      <c r="HL49" s="790"/>
      <c r="HM49" s="790"/>
      <c r="HN49" s="147"/>
      <c r="HO49" s="149"/>
      <c r="HP49" s="55"/>
      <c r="HQ49" s="790"/>
      <c r="HR49" s="790"/>
      <c r="HS49" s="790"/>
      <c r="HT49" s="790"/>
      <c r="HU49" s="790"/>
      <c r="HV49" s="147"/>
      <c r="HW49" s="149"/>
      <c r="HX49" s="55"/>
      <c r="HY49" s="790"/>
      <c r="HZ49" s="790"/>
      <c r="IA49" s="790"/>
      <c r="IB49" s="790"/>
      <c r="IC49" s="790"/>
      <c r="ID49" s="147"/>
      <c r="IE49" s="149"/>
      <c r="IF49" s="55"/>
      <c r="IG49" s="790"/>
      <c r="IH49" s="790"/>
      <c r="II49" s="790"/>
      <c r="IJ49" s="790"/>
      <c r="IK49" s="790"/>
      <c r="IL49" s="147"/>
      <c r="IM49" s="149"/>
      <c r="IN49" s="55"/>
      <c r="IO49" s="790"/>
      <c r="IP49" s="790"/>
      <c r="IQ49" s="790"/>
      <c r="IR49" s="790"/>
      <c r="IS49" s="790"/>
      <c r="IT49" s="147"/>
      <c r="IU49" s="149"/>
      <c r="IV49" s="55"/>
    </row>
    <row r="50" spans="1:257" s="14" customFormat="1">
      <c r="B50" s="41"/>
      <c r="C50" s="41"/>
      <c r="D50" s="41"/>
      <c r="E50" s="41"/>
      <c r="F50" s="41"/>
      <c r="G50" s="41"/>
      <c r="H50" s="55"/>
      <c r="I50" s="55"/>
      <c r="J50" s="41"/>
      <c r="K50" s="41"/>
      <c r="L50" s="41"/>
      <c r="M50" s="41"/>
      <c r="N50" s="41"/>
      <c r="O50" s="41"/>
      <c r="P50" s="55"/>
      <c r="Q50" s="55"/>
      <c r="R50" s="41"/>
      <c r="S50" s="41"/>
      <c r="T50" s="41"/>
      <c r="U50" s="41"/>
      <c r="V50" s="41"/>
      <c r="W50" s="41"/>
      <c r="X50" s="55"/>
      <c r="Y50" s="55"/>
      <c r="Z50" s="41"/>
      <c r="AA50" s="41"/>
      <c r="AB50" s="41"/>
      <c r="AC50" s="41"/>
      <c r="AD50" s="41"/>
      <c r="AE50" s="41"/>
      <c r="AF50" s="55"/>
      <c r="AG50" s="55"/>
      <c r="AH50" s="41"/>
      <c r="AI50" s="41"/>
      <c r="AJ50" s="41"/>
      <c r="AK50" s="41"/>
      <c r="AL50" s="41"/>
      <c r="AM50" s="41"/>
      <c r="AN50" s="55"/>
      <c r="AO50" s="55"/>
      <c r="AP50" s="41"/>
      <c r="AQ50" s="41"/>
      <c r="AR50" s="41"/>
      <c r="AS50" s="41"/>
      <c r="AT50" s="41"/>
      <c r="AU50" s="41"/>
      <c r="AV50" s="55"/>
      <c r="AW50" s="55"/>
      <c r="AX50" s="41"/>
      <c r="AY50" s="41"/>
      <c r="AZ50" s="41"/>
      <c r="BA50" s="41"/>
      <c r="BB50" s="41"/>
      <c r="BC50" s="41"/>
      <c r="BD50" s="55"/>
      <c r="BE50" s="55"/>
      <c r="BF50" s="41"/>
      <c r="BG50" s="41"/>
      <c r="BH50" s="41"/>
      <c r="BI50" s="41"/>
      <c r="BJ50" s="41"/>
      <c r="BK50" s="41"/>
      <c r="BL50" s="55"/>
      <c r="BM50" s="55"/>
      <c r="BN50" s="41"/>
      <c r="BO50" s="41"/>
      <c r="BP50" s="41"/>
      <c r="BQ50" s="41"/>
      <c r="BR50" s="41"/>
      <c r="BS50" s="41"/>
      <c r="BT50" s="55"/>
      <c r="BU50" s="55"/>
      <c r="BV50" s="41"/>
      <c r="BW50" s="41"/>
      <c r="BX50" s="41"/>
      <c r="BY50" s="41"/>
      <c r="BZ50" s="41"/>
      <c r="CA50" s="41"/>
      <c r="CB50" s="55"/>
      <c r="CC50" s="55"/>
      <c r="CD50" s="41"/>
      <c r="CE50" s="41"/>
      <c r="CF50" s="41"/>
      <c r="CG50" s="41"/>
      <c r="CH50" s="41"/>
      <c r="CI50" s="41"/>
      <c r="CJ50" s="55"/>
      <c r="CK50" s="55"/>
      <c r="CL50" s="41"/>
      <c r="CM50" s="41"/>
      <c r="CN50" s="41"/>
      <c r="CO50" s="41"/>
      <c r="CP50" s="41"/>
      <c r="CQ50" s="41"/>
      <c r="CR50" s="55"/>
      <c r="CS50" s="55"/>
      <c r="CT50" s="41"/>
      <c r="CU50" s="41"/>
      <c r="CV50" s="41"/>
      <c r="CW50" s="41"/>
      <c r="CX50" s="41"/>
      <c r="CY50" s="41"/>
      <c r="CZ50" s="55"/>
      <c r="DA50" s="55"/>
      <c r="DB50" s="41"/>
      <c r="DC50" s="41"/>
      <c r="DD50" s="41"/>
      <c r="DE50" s="41"/>
      <c r="DF50" s="41"/>
      <c r="DG50" s="41"/>
      <c r="DH50" s="55"/>
      <c r="DI50" s="55"/>
      <c r="DJ50" s="41"/>
      <c r="DK50" s="41"/>
      <c r="DL50" s="41"/>
      <c r="DM50" s="41"/>
      <c r="DN50" s="41"/>
      <c r="DO50" s="41"/>
      <c r="DP50" s="55"/>
      <c r="DQ50" s="55"/>
      <c r="DR50" s="41"/>
      <c r="DS50" s="41"/>
      <c r="DT50" s="41"/>
      <c r="DU50" s="41"/>
      <c r="DV50" s="41"/>
      <c r="DW50" s="41"/>
      <c r="DX50" s="55"/>
      <c r="DY50" s="55"/>
      <c r="DZ50" s="41"/>
      <c r="EA50" s="41"/>
      <c r="EB50" s="41"/>
      <c r="EC50" s="41"/>
      <c r="ED50" s="41"/>
      <c r="EE50" s="41"/>
      <c r="EF50" s="55"/>
      <c r="EG50" s="55"/>
      <c r="EH50" s="41"/>
      <c r="EI50" s="41"/>
      <c r="EJ50" s="41"/>
      <c r="EK50" s="41"/>
      <c r="EL50" s="41"/>
      <c r="EM50" s="41"/>
      <c r="EN50" s="55"/>
      <c r="EO50" s="55"/>
      <c r="EP50" s="41"/>
      <c r="EQ50" s="41"/>
      <c r="ER50" s="41"/>
      <c r="ES50" s="41"/>
      <c r="ET50" s="41"/>
      <c r="EU50" s="41"/>
      <c r="EV50" s="55"/>
      <c r="EW50" s="55"/>
      <c r="EX50" s="41"/>
      <c r="EY50" s="41"/>
      <c r="EZ50" s="41"/>
      <c r="FA50" s="41"/>
      <c r="FB50" s="41"/>
      <c r="FC50" s="41"/>
      <c r="FD50" s="55"/>
      <c r="FE50" s="55"/>
      <c r="FF50" s="41"/>
      <c r="FG50" s="41"/>
      <c r="FH50" s="41"/>
      <c r="FI50" s="41"/>
      <c r="FJ50" s="41"/>
      <c r="FK50" s="41"/>
      <c r="FL50" s="55"/>
      <c r="FM50" s="55"/>
      <c r="FN50" s="41"/>
      <c r="FO50" s="41"/>
      <c r="FP50" s="41"/>
      <c r="FQ50" s="41"/>
      <c r="FR50" s="41"/>
      <c r="FS50" s="41"/>
      <c r="FT50" s="55"/>
      <c r="FU50" s="55"/>
      <c r="FV50" s="41"/>
      <c r="FW50" s="41"/>
      <c r="FX50" s="41"/>
      <c r="FY50" s="41"/>
      <c r="FZ50" s="41"/>
      <c r="GA50" s="41"/>
      <c r="GB50" s="55"/>
      <c r="GC50" s="55"/>
      <c r="GD50" s="41"/>
      <c r="GE50" s="41"/>
      <c r="GF50" s="41"/>
      <c r="GG50" s="41"/>
      <c r="GH50" s="41"/>
      <c r="GI50" s="41"/>
      <c r="GJ50" s="55"/>
      <c r="GK50" s="55"/>
      <c r="GL50" s="41"/>
      <c r="GM50" s="41"/>
      <c r="GN50" s="41"/>
      <c r="GO50" s="41"/>
      <c r="GP50" s="41"/>
      <c r="GQ50" s="41"/>
      <c r="GR50" s="55"/>
      <c r="GS50" s="55"/>
      <c r="GT50" s="41"/>
      <c r="GU50" s="41"/>
      <c r="GV50" s="41"/>
      <c r="GW50" s="41"/>
      <c r="GX50" s="41"/>
      <c r="GY50" s="41"/>
      <c r="GZ50" s="55"/>
      <c r="HA50" s="55"/>
      <c r="HB50" s="41"/>
      <c r="HC50" s="41"/>
      <c r="HD50" s="41"/>
      <c r="HE50" s="41"/>
      <c r="HF50" s="41"/>
      <c r="HG50" s="41"/>
      <c r="HH50" s="55"/>
      <c r="HI50" s="55"/>
      <c r="HJ50" s="41"/>
      <c r="HK50" s="41"/>
      <c r="HL50" s="41"/>
      <c r="HM50" s="41"/>
      <c r="HN50" s="41"/>
      <c r="HO50" s="41"/>
      <c r="HP50" s="55"/>
      <c r="HQ50" s="55"/>
      <c r="HR50" s="41"/>
      <c r="HS50" s="41"/>
      <c r="HT50" s="41"/>
      <c r="HU50" s="41"/>
      <c r="HV50" s="41"/>
      <c r="HW50" s="41"/>
      <c r="HX50" s="55"/>
      <c r="HY50" s="55"/>
      <c r="HZ50" s="41"/>
      <c r="IA50" s="41"/>
      <c r="IB50" s="41"/>
      <c r="IC50" s="41"/>
      <c r="ID50" s="41"/>
      <c r="IE50" s="41"/>
      <c r="IF50" s="55"/>
      <c r="IG50" s="55"/>
      <c r="IH50" s="41"/>
      <c r="II50" s="41"/>
      <c r="IJ50" s="41"/>
      <c r="IK50" s="41"/>
      <c r="IL50" s="41"/>
      <c r="IM50" s="41"/>
      <c r="IN50" s="55"/>
      <c r="IO50" s="55"/>
      <c r="IP50" s="41"/>
      <c r="IQ50" s="41"/>
      <c r="IR50" s="41"/>
      <c r="IS50" s="41"/>
      <c r="IT50" s="41"/>
      <c r="IU50" s="41"/>
      <c r="IV50" s="55"/>
      <c r="IW50" s="55"/>
    </row>
    <row r="51" spans="1:257" s="14" customFormat="1">
      <c r="B51" s="58"/>
      <c r="C51" s="59"/>
      <c r="D51" s="59"/>
      <c r="E51" s="59"/>
      <c r="F51" s="42"/>
      <c r="G51" s="60"/>
      <c r="H51" s="60"/>
      <c r="I51" s="42"/>
      <c r="J51" s="41"/>
      <c r="K51" s="41"/>
      <c r="L51" s="41"/>
      <c r="M51" s="41"/>
      <c r="N51" s="41"/>
      <c r="O51" s="55"/>
      <c r="P51" s="55"/>
      <c r="Q51" s="41"/>
      <c r="R51" s="41"/>
      <c r="S51" s="41"/>
      <c r="T51" s="41"/>
      <c r="U51" s="41"/>
      <c r="V51" s="41"/>
      <c r="W51" s="55"/>
      <c r="X51" s="55"/>
      <c r="Y51" s="41"/>
      <c r="Z51" s="41"/>
      <c r="AA51" s="41"/>
      <c r="AB51" s="41"/>
      <c r="AC51" s="41"/>
      <c r="AD51" s="41"/>
      <c r="AE51" s="55"/>
      <c r="AF51" s="55"/>
      <c r="AG51" s="41"/>
      <c r="AH51" s="41"/>
      <c r="AI51" s="41"/>
      <c r="AJ51" s="41"/>
      <c r="AK51" s="41"/>
      <c r="AL51" s="41"/>
      <c r="AM51" s="55"/>
      <c r="AN51" s="55"/>
      <c r="AO51" s="41"/>
      <c r="AP51" s="41"/>
      <c r="AQ51" s="41"/>
      <c r="AR51" s="41"/>
      <c r="AS51" s="41"/>
      <c r="AT51" s="41"/>
      <c r="AU51" s="55"/>
      <c r="AV51" s="55"/>
      <c r="AW51" s="41"/>
      <c r="AX51" s="41"/>
      <c r="AY51" s="41"/>
      <c r="AZ51" s="41"/>
      <c r="BA51" s="41"/>
      <c r="BB51" s="41"/>
      <c r="BC51" s="55"/>
      <c r="BD51" s="55"/>
      <c r="BE51" s="41"/>
      <c r="BF51" s="41"/>
      <c r="BG51" s="41"/>
      <c r="BH51" s="41"/>
      <c r="BI51" s="41"/>
      <c r="BJ51" s="41"/>
      <c r="BK51" s="55"/>
      <c r="BL51" s="55"/>
      <c r="BM51" s="41"/>
      <c r="BN51" s="41"/>
      <c r="BO51" s="41"/>
      <c r="BP51" s="41"/>
      <c r="BQ51" s="41"/>
      <c r="BR51" s="41"/>
      <c r="BS51" s="55"/>
      <c r="BT51" s="55"/>
      <c r="BU51" s="41"/>
      <c r="BV51" s="41"/>
      <c r="BW51" s="41"/>
      <c r="BX51" s="41"/>
      <c r="BY51" s="41"/>
      <c r="BZ51" s="41"/>
      <c r="CA51" s="55"/>
      <c r="CB51" s="55"/>
      <c r="CC51" s="41"/>
      <c r="CD51" s="41"/>
      <c r="CE51" s="41"/>
      <c r="CF51" s="41"/>
      <c r="CG51" s="41"/>
      <c r="CH51" s="41"/>
      <c r="CI51" s="55"/>
      <c r="CJ51" s="55"/>
      <c r="CK51" s="41"/>
      <c r="CL51" s="41"/>
      <c r="CM51" s="41"/>
      <c r="CN51" s="41"/>
      <c r="CO51" s="41"/>
      <c r="CP51" s="41"/>
      <c r="CQ51" s="55"/>
      <c r="CR51" s="55"/>
      <c r="CS51" s="41"/>
      <c r="CT51" s="41"/>
      <c r="CU51" s="41"/>
      <c r="CV51" s="41"/>
      <c r="CW51" s="41"/>
      <c r="CX51" s="41"/>
      <c r="CY51" s="55"/>
      <c r="CZ51" s="55"/>
      <c r="DA51" s="41"/>
      <c r="DB51" s="41"/>
      <c r="DC51" s="41"/>
      <c r="DD51" s="41"/>
      <c r="DE51" s="41"/>
      <c r="DF51" s="41"/>
      <c r="DG51" s="55"/>
      <c r="DH51" s="55"/>
      <c r="DI51" s="41"/>
      <c r="DJ51" s="41"/>
      <c r="DK51" s="41"/>
      <c r="DL51" s="41"/>
      <c r="DM51" s="41"/>
      <c r="DN51" s="41"/>
      <c r="DO51" s="55"/>
      <c r="DP51" s="55"/>
      <c r="DQ51" s="41"/>
      <c r="DR51" s="41"/>
      <c r="DS51" s="41"/>
      <c r="DT51" s="41"/>
      <c r="DU51" s="41"/>
      <c r="DV51" s="41"/>
      <c r="DW51" s="55"/>
      <c r="DX51" s="55"/>
      <c r="DY51" s="41"/>
      <c r="DZ51" s="41"/>
      <c r="EA51" s="41"/>
      <c r="EB51" s="41"/>
      <c r="EC51" s="41"/>
      <c r="ED51" s="41"/>
      <c r="EE51" s="55"/>
      <c r="EF51" s="55"/>
      <c r="EG51" s="41"/>
      <c r="EH51" s="41"/>
      <c r="EI51" s="41"/>
      <c r="EJ51" s="41"/>
      <c r="EK51" s="41"/>
      <c r="EL51" s="41"/>
      <c r="EM51" s="55"/>
      <c r="EN51" s="55"/>
      <c r="EO51" s="41"/>
      <c r="EP51" s="41"/>
      <c r="EQ51" s="41"/>
      <c r="ER51" s="41"/>
      <c r="ES51" s="41"/>
      <c r="ET51" s="41"/>
      <c r="EU51" s="55"/>
      <c r="EV51" s="55"/>
      <c r="EW51" s="41"/>
      <c r="EX51" s="41"/>
      <c r="EY51" s="41"/>
      <c r="EZ51" s="41"/>
      <c r="FA51" s="41"/>
      <c r="FB51" s="41"/>
      <c r="FC51" s="55"/>
      <c r="FD51" s="55"/>
      <c r="FE51" s="41"/>
      <c r="FF51" s="41"/>
      <c r="FG51" s="41"/>
      <c r="FH51" s="41"/>
      <c r="FI51" s="41"/>
      <c r="FJ51" s="41"/>
      <c r="FK51" s="55"/>
      <c r="FL51" s="55"/>
      <c r="FM51" s="41"/>
      <c r="FN51" s="41"/>
      <c r="FO51" s="41"/>
      <c r="FP51" s="41"/>
      <c r="FQ51" s="41"/>
      <c r="FR51" s="41"/>
      <c r="FS51" s="55"/>
      <c r="FT51" s="55"/>
      <c r="FU51" s="41"/>
      <c r="FV51" s="41"/>
      <c r="FW51" s="41"/>
      <c r="FX51" s="41"/>
      <c r="FY51" s="41"/>
      <c r="FZ51" s="41"/>
      <c r="GA51" s="55"/>
      <c r="GB51" s="55"/>
      <c r="GC51" s="41"/>
      <c r="GD51" s="41"/>
      <c r="GE51" s="41"/>
      <c r="GF51" s="41"/>
      <c r="GG51" s="41"/>
      <c r="GH51" s="41"/>
      <c r="GI51" s="55"/>
      <c r="GJ51" s="55"/>
      <c r="GK51" s="41"/>
      <c r="GL51" s="41"/>
      <c r="GM51" s="41"/>
      <c r="GN51" s="41"/>
      <c r="GO51" s="41"/>
      <c r="GP51" s="41"/>
      <c r="GQ51" s="55"/>
      <c r="GR51" s="55"/>
      <c r="GS51" s="41"/>
      <c r="GT51" s="41"/>
      <c r="GU51" s="41"/>
      <c r="GV51" s="41"/>
      <c r="GW51" s="41"/>
      <c r="GX51" s="41"/>
      <c r="GY51" s="55"/>
      <c r="GZ51" s="55"/>
      <c r="HA51" s="41"/>
      <c r="HB51" s="41"/>
      <c r="HC51" s="41"/>
      <c r="HD51" s="41"/>
      <c r="HE51" s="41"/>
      <c r="HF51" s="41"/>
      <c r="HG51" s="55"/>
      <c r="HH51" s="55"/>
      <c r="HI51" s="41"/>
      <c r="HJ51" s="41"/>
      <c r="HK51" s="41"/>
      <c r="HL51" s="41"/>
      <c r="HM51" s="41"/>
      <c r="HN51" s="41"/>
      <c r="HO51" s="55"/>
      <c r="HP51" s="55"/>
      <c r="HQ51" s="41"/>
      <c r="HR51" s="41"/>
      <c r="HS51" s="41"/>
      <c r="HT51" s="41"/>
      <c r="HU51" s="41"/>
      <c r="HV51" s="41"/>
      <c r="HW51" s="55"/>
      <c r="HX51" s="55"/>
      <c r="HY51" s="41"/>
      <c r="HZ51" s="41"/>
      <c r="IA51" s="41"/>
      <c r="IB51" s="41"/>
      <c r="IC51" s="41"/>
      <c r="ID51" s="41"/>
      <c r="IE51" s="55"/>
      <c r="IF51" s="55"/>
      <c r="IG51" s="41"/>
      <c r="IH51" s="41"/>
      <c r="II51" s="41"/>
      <c r="IJ51" s="41"/>
      <c r="IK51" s="41"/>
      <c r="IL51" s="41"/>
      <c r="IM51" s="55"/>
      <c r="IN51" s="55"/>
      <c r="IO51" s="41"/>
      <c r="IP51" s="41"/>
      <c r="IQ51" s="41"/>
      <c r="IR51" s="41"/>
      <c r="IS51" s="41"/>
      <c r="IT51" s="41"/>
      <c r="IU51" s="55"/>
      <c r="IV51" s="55"/>
    </row>
    <row r="52" spans="1:257" s="16" customFormat="1">
      <c r="B52" s="19" t="s">
        <v>62</v>
      </c>
      <c r="C52" s="9"/>
      <c r="D52" s="9"/>
      <c r="E52" s="9"/>
      <c r="F52" s="11"/>
      <c r="G52" s="11" t="s">
        <v>248</v>
      </c>
      <c r="H52" s="5"/>
      <c r="I52" s="7"/>
    </row>
    <row r="53" spans="1:257" s="16" customFormat="1">
      <c r="B53" s="20"/>
      <c r="C53" s="9"/>
      <c r="D53" s="9"/>
      <c r="E53" s="9"/>
      <c r="F53" s="11"/>
      <c r="G53" s="11" t="s">
        <v>1</v>
      </c>
      <c r="H53" s="11" t="s">
        <v>249</v>
      </c>
      <c r="I53" s="7"/>
    </row>
    <row r="54" spans="1:257" s="16" customFormat="1">
      <c r="B54" s="21" t="s">
        <v>63</v>
      </c>
      <c r="C54" s="9"/>
      <c r="D54" s="9"/>
      <c r="E54" s="9"/>
      <c r="F54" s="11"/>
      <c r="G54" s="11" t="s">
        <v>34</v>
      </c>
      <c r="H54" s="11" t="s">
        <v>1</v>
      </c>
      <c r="I54" s="11" t="s">
        <v>250</v>
      </c>
    </row>
    <row r="55" spans="1:257" s="16" customFormat="1">
      <c r="B55" s="20"/>
      <c r="C55" s="9"/>
      <c r="D55" s="9"/>
      <c r="E55" s="9"/>
      <c r="F55" s="11"/>
      <c r="G55" s="11" t="s">
        <v>29</v>
      </c>
      <c r="H55" s="11" t="s">
        <v>9</v>
      </c>
      <c r="I55" s="11" t="s">
        <v>9</v>
      </c>
    </row>
    <row r="56" spans="1:257" s="16" customFormat="1">
      <c r="B56" s="20" t="s">
        <v>64</v>
      </c>
      <c r="C56" s="9"/>
      <c r="D56" s="9"/>
      <c r="E56" s="9"/>
      <c r="F56" s="11" t="s">
        <v>247</v>
      </c>
      <c r="G56" s="11" t="s">
        <v>28</v>
      </c>
      <c r="H56" s="11" t="s">
        <v>28</v>
      </c>
      <c r="I56" s="11" t="s">
        <v>7</v>
      </c>
    </row>
    <row r="57" spans="1:257" s="16" customFormat="1">
      <c r="B57" s="20" t="s">
        <v>65</v>
      </c>
      <c r="C57" s="9"/>
      <c r="D57" s="9"/>
      <c r="E57" s="9"/>
      <c r="F57" s="11" t="s">
        <v>1</v>
      </c>
      <c r="G57" s="11" t="s">
        <v>6</v>
      </c>
      <c r="H57" s="11" t="s">
        <v>6</v>
      </c>
      <c r="I57" s="11" t="s">
        <v>6</v>
      </c>
    </row>
    <row r="58" spans="1:257" s="16" customFormat="1">
      <c r="B58" s="20" t="s">
        <v>66</v>
      </c>
      <c r="C58" s="9"/>
      <c r="D58" s="9"/>
      <c r="E58" s="9"/>
      <c r="F58" s="11" t="s">
        <v>2</v>
      </c>
      <c r="G58" s="11" t="s">
        <v>5</v>
      </c>
      <c r="H58" s="11" t="s">
        <v>5</v>
      </c>
      <c r="I58" s="11" t="s">
        <v>5</v>
      </c>
    </row>
    <row r="59" spans="1:257" s="16" customFormat="1">
      <c r="B59" s="20" t="s">
        <v>74</v>
      </c>
      <c r="C59" s="9"/>
      <c r="D59" s="9"/>
      <c r="E59" s="9"/>
      <c r="F59" s="11" t="s">
        <v>16</v>
      </c>
      <c r="G59" s="11" t="s">
        <v>4</v>
      </c>
      <c r="H59" s="11" t="s">
        <v>83</v>
      </c>
      <c r="I59" s="11" t="s">
        <v>253</v>
      </c>
    </row>
    <row r="60" spans="1:257" s="16" customFormat="1">
      <c r="B60" s="81" t="s">
        <v>153</v>
      </c>
      <c r="C60" s="9"/>
      <c r="D60" s="9"/>
      <c r="E60" s="9"/>
      <c r="F60" s="11"/>
      <c r="G60" s="11"/>
      <c r="H60" s="11"/>
      <c r="I60" s="11"/>
      <c r="K60" s="56"/>
    </row>
    <row r="61" spans="1:257" s="16" customFormat="1">
      <c r="B61" s="81" t="s">
        <v>262</v>
      </c>
      <c r="C61" s="9"/>
      <c r="D61" s="9"/>
      <c r="E61" s="9"/>
      <c r="F61" s="11"/>
      <c r="G61" s="11"/>
      <c r="H61" s="11"/>
      <c r="I61" s="11"/>
    </row>
    <row r="62" spans="1:257" s="16" customFormat="1">
      <c r="B62" s="80"/>
      <c r="C62" s="25"/>
      <c r="D62" s="25"/>
      <c r="E62" s="25"/>
      <c r="F62" s="23" t="s">
        <v>3</v>
      </c>
      <c r="G62" s="23" t="s">
        <v>3</v>
      </c>
      <c r="H62" s="23" t="s">
        <v>3</v>
      </c>
      <c r="I62" s="23" t="s">
        <v>11</v>
      </c>
    </row>
    <row r="63" spans="1:257" ht="47.25" customHeight="1">
      <c r="A63" s="161" t="s">
        <v>442</v>
      </c>
      <c r="B63" s="788" t="s">
        <v>428</v>
      </c>
      <c r="C63" s="636" t="s">
        <v>431</v>
      </c>
      <c r="D63" s="698"/>
      <c r="E63" s="637"/>
      <c r="F63" s="138"/>
      <c r="G63" s="139"/>
      <c r="H63" s="144"/>
      <c r="I63" s="146" t="e">
        <f t="shared" ref="I63:I73" si="0">(H63/G63)</f>
        <v>#DIV/0!</v>
      </c>
    </row>
    <row r="64" spans="1:257" s="45" customFormat="1" ht="42.75" customHeight="1">
      <c r="A64" s="161" t="s">
        <v>443</v>
      </c>
      <c r="B64" s="789"/>
      <c r="C64" s="765" t="s">
        <v>432</v>
      </c>
      <c r="D64" s="766"/>
      <c r="E64" s="767"/>
      <c r="F64" s="138"/>
      <c r="G64" s="138"/>
      <c r="H64" s="138"/>
      <c r="I64" s="148" t="e">
        <f t="shared" si="0"/>
        <v>#DIV/0!</v>
      </c>
    </row>
    <row r="65" spans="1:11" s="45" customFormat="1" ht="36" customHeight="1">
      <c r="A65" s="161" t="s">
        <v>444</v>
      </c>
      <c r="B65" s="789"/>
      <c r="C65" s="736" t="s">
        <v>433</v>
      </c>
      <c r="D65" s="736"/>
      <c r="E65" s="736"/>
      <c r="F65" s="94"/>
      <c r="G65" s="94"/>
      <c r="H65" s="94"/>
      <c r="I65" s="131" t="e">
        <f t="shared" si="0"/>
        <v>#DIV/0!</v>
      </c>
    </row>
    <row r="66" spans="1:11" ht="42.75" customHeight="1">
      <c r="A66" s="161" t="s">
        <v>445</v>
      </c>
      <c r="B66" s="791"/>
      <c r="C66" s="727" t="s">
        <v>434</v>
      </c>
      <c r="D66" s="728"/>
      <c r="E66" s="729"/>
      <c r="F66" s="139"/>
      <c r="G66" s="139"/>
      <c r="H66" s="139"/>
      <c r="I66" s="146" t="e">
        <f t="shared" si="0"/>
        <v>#DIV/0!</v>
      </c>
    </row>
    <row r="67" spans="1:11" ht="30" customHeight="1">
      <c r="A67" s="161" t="s">
        <v>446</v>
      </c>
      <c r="B67" s="788" t="s">
        <v>429</v>
      </c>
      <c r="C67" s="636" t="s">
        <v>435</v>
      </c>
      <c r="D67" s="698"/>
      <c r="E67" s="637"/>
      <c r="F67" s="138"/>
      <c r="G67" s="138"/>
      <c r="H67" s="138"/>
      <c r="I67" s="145" t="e">
        <f t="shared" si="0"/>
        <v>#DIV/0!</v>
      </c>
    </row>
    <row r="68" spans="1:11" ht="29.25" customHeight="1">
      <c r="A68" s="161" t="s">
        <v>447</v>
      </c>
      <c r="B68" s="789"/>
      <c r="C68" s="636" t="s">
        <v>436</v>
      </c>
      <c r="D68" s="698"/>
      <c r="E68" s="637"/>
      <c r="F68" s="138"/>
      <c r="G68" s="138"/>
      <c r="H68" s="138"/>
      <c r="I68" s="145" t="e">
        <f t="shared" si="0"/>
        <v>#DIV/0!</v>
      </c>
    </row>
    <row r="69" spans="1:11" ht="29.25" customHeight="1">
      <c r="A69" s="161" t="s">
        <v>448</v>
      </c>
      <c r="B69" s="789"/>
      <c r="C69" s="636" t="s">
        <v>437</v>
      </c>
      <c r="D69" s="698"/>
      <c r="E69" s="637"/>
      <c r="F69" s="138"/>
      <c r="G69" s="138"/>
      <c r="H69" s="138"/>
      <c r="I69" s="145" t="e">
        <f t="shared" si="0"/>
        <v>#DIV/0!</v>
      </c>
    </row>
    <row r="70" spans="1:11" ht="30.75" customHeight="1">
      <c r="A70" s="161" t="s">
        <v>449</v>
      </c>
      <c r="B70" s="789"/>
      <c r="C70" s="636" t="s">
        <v>438</v>
      </c>
      <c r="D70" s="698"/>
      <c r="E70" s="637"/>
      <c r="F70" s="138"/>
      <c r="G70" s="138"/>
      <c r="H70" s="138"/>
      <c r="I70" s="145" t="e">
        <f t="shared" si="0"/>
        <v>#DIV/0!</v>
      </c>
    </row>
    <row r="71" spans="1:11" ht="35.25" customHeight="1">
      <c r="A71" s="161" t="s">
        <v>450</v>
      </c>
      <c r="B71" s="791"/>
      <c r="C71" s="656" t="s">
        <v>439</v>
      </c>
      <c r="D71" s="686"/>
      <c r="E71" s="657"/>
      <c r="F71" s="138"/>
      <c r="G71" s="138"/>
      <c r="H71" s="138"/>
      <c r="I71" s="145" t="e">
        <f t="shared" si="0"/>
        <v>#DIV/0!</v>
      </c>
    </row>
    <row r="72" spans="1:11" ht="25.5" customHeight="1">
      <c r="A72" s="161" t="s">
        <v>451</v>
      </c>
      <c r="B72" s="788" t="s">
        <v>430</v>
      </c>
      <c r="C72" s="656" t="s">
        <v>440</v>
      </c>
      <c r="D72" s="686"/>
      <c r="E72" s="657"/>
      <c r="F72" s="138"/>
      <c r="G72" s="138"/>
      <c r="H72" s="138"/>
      <c r="I72" s="145" t="e">
        <f t="shared" si="0"/>
        <v>#DIV/0!</v>
      </c>
    </row>
    <row r="73" spans="1:11" ht="30" customHeight="1">
      <c r="A73" s="161" t="s">
        <v>452</v>
      </c>
      <c r="B73" s="789"/>
      <c r="C73" s="736" t="s">
        <v>441</v>
      </c>
      <c r="D73" s="736"/>
      <c r="E73" s="736"/>
      <c r="F73" s="94"/>
      <c r="G73" s="94"/>
      <c r="H73" s="94"/>
      <c r="I73" s="131" t="e">
        <f t="shared" si="0"/>
        <v>#DIV/0!</v>
      </c>
    </row>
    <row r="74" spans="1:11">
      <c r="B74" s="638" t="s">
        <v>17</v>
      </c>
      <c r="C74" s="639"/>
      <c r="D74" s="639"/>
      <c r="E74" s="639"/>
      <c r="F74" s="639"/>
      <c r="G74" s="639"/>
      <c r="H74" s="639"/>
      <c r="I74" s="640"/>
      <c r="J74" s="14"/>
      <c r="K74" s="28"/>
    </row>
    <row r="75" spans="1:11" ht="31.5" customHeight="1">
      <c r="A75" s="161" t="s">
        <v>453</v>
      </c>
      <c r="B75" s="784"/>
      <c r="C75" s="785"/>
      <c r="D75" s="785"/>
      <c r="E75" s="786"/>
      <c r="F75" s="482"/>
      <c r="G75" s="94"/>
      <c r="H75" s="94"/>
      <c r="I75" s="131" t="e">
        <f>(H75/G75)</f>
        <v>#DIV/0!</v>
      </c>
    </row>
    <row r="76" spans="1:11" ht="30.75" customHeight="1">
      <c r="A76" s="161" t="s">
        <v>454</v>
      </c>
      <c r="B76" s="784"/>
      <c r="C76" s="785"/>
      <c r="D76" s="785"/>
      <c r="E76" s="786"/>
      <c r="F76" s="482"/>
      <c r="G76" s="94"/>
      <c r="H76" s="94"/>
      <c r="I76" s="131" t="e">
        <f>(H76/G76)</f>
        <v>#DIV/0!</v>
      </c>
      <c r="J76" s="57"/>
    </row>
    <row r="77" spans="1:11" ht="31.5" customHeight="1">
      <c r="A77" s="161" t="s">
        <v>455</v>
      </c>
      <c r="B77" s="787"/>
      <c r="C77" s="787"/>
      <c r="D77" s="787"/>
      <c r="E77" s="787"/>
      <c r="F77" s="483"/>
      <c r="G77" s="94"/>
      <c r="H77" s="94"/>
      <c r="I77" s="131" t="e">
        <f>(H77/G77)</f>
        <v>#DIV/0!</v>
      </c>
    </row>
    <row r="79" spans="1:11">
      <c r="B79" s="58"/>
      <c r="C79" s="59"/>
      <c r="D79" s="59"/>
      <c r="E79" s="59"/>
      <c r="F79" s="59"/>
      <c r="G79" s="59"/>
      <c r="H79" s="60"/>
      <c r="I79" s="97"/>
    </row>
    <row r="80" spans="1:11">
      <c r="B80" s="19" t="s">
        <v>218</v>
      </c>
      <c r="C80" s="9"/>
      <c r="D80" s="9"/>
      <c r="E80" s="9"/>
      <c r="F80" s="9"/>
      <c r="G80" s="9"/>
      <c r="H80" s="5"/>
      <c r="I80" s="53" t="s">
        <v>248</v>
      </c>
    </row>
    <row r="81" spans="1:9">
      <c r="B81" s="20"/>
      <c r="C81" s="9"/>
      <c r="D81" s="9"/>
      <c r="E81" s="9"/>
      <c r="F81" s="9"/>
      <c r="G81" s="9"/>
      <c r="H81" s="7"/>
      <c r="I81" s="53" t="s">
        <v>1</v>
      </c>
    </row>
    <row r="82" spans="1:9">
      <c r="B82" s="21" t="s">
        <v>111</v>
      </c>
      <c r="C82" s="9"/>
      <c r="D82" s="9"/>
      <c r="E82" s="9"/>
      <c r="F82" s="9"/>
      <c r="G82" s="9"/>
      <c r="H82" s="11" t="s">
        <v>247</v>
      </c>
      <c r="I82" s="53" t="s">
        <v>9</v>
      </c>
    </row>
    <row r="83" spans="1:9">
      <c r="B83" s="20"/>
      <c r="C83" s="9"/>
      <c r="D83" s="9"/>
      <c r="E83" s="9"/>
      <c r="F83" s="9"/>
      <c r="G83" s="9"/>
      <c r="H83" s="11" t="s">
        <v>1</v>
      </c>
      <c r="I83" s="53" t="s">
        <v>77</v>
      </c>
    </row>
    <row r="84" spans="1:9">
      <c r="B84" s="98" t="s">
        <v>133</v>
      </c>
      <c r="C84" s="99"/>
      <c r="D84" s="99"/>
      <c r="E84" s="99"/>
      <c r="F84" s="99"/>
      <c r="G84" s="9"/>
      <c r="H84" s="11" t="s">
        <v>2</v>
      </c>
      <c r="I84" s="53" t="s">
        <v>78</v>
      </c>
    </row>
    <row r="85" spans="1:9">
      <c r="B85" s="98" t="s">
        <v>134</v>
      </c>
      <c r="C85" s="99"/>
      <c r="D85" s="99"/>
      <c r="E85" s="99"/>
      <c r="F85" s="99"/>
      <c r="G85" s="9"/>
      <c r="H85" s="11" t="s">
        <v>16</v>
      </c>
      <c r="I85" s="53" t="s">
        <v>68</v>
      </c>
    </row>
    <row r="86" spans="1:9">
      <c r="B86" s="98" t="s">
        <v>132</v>
      </c>
      <c r="C86" s="99"/>
      <c r="D86" s="99"/>
      <c r="E86" s="99"/>
      <c r="F86" s="99"/>
      <c r="G86" s="9"/>
      <c r="H86" s="11"/>
      <c r="I86" s="7"/>
    </row>
    <row r="87" spans="1:9">
      <c r="B87" s="98" t="s">
        <v>154</v>
      </c>
      <c r="C87" s="99"/>
      <c r="D87" s="99"/>
      <c r="E87" s="99"/>
      <c r="F87" s="99"/>
      <c r="G87" s="9"/>
      <c r="H87" s="23" t="s">
        <v>3</v>
      </c>
      <c r="I87" s="54" t="s">
        <v>3</v>
      </c>
    </row>
    <row r="88" spans="1:9">
      <c r="A88" s="161" t="s">
        <v>457</v>
      </c>
      <c r="B88" s="779" t="s">
        <v>128</v>
      </c>
      <c r="C88" s="780"/>
      <c r="D88" s="780"/>
      <c r="E88" s="780"/>
      <c r="F88" s="780"/>
      <c r="G88" s="781"/>
      <c r="H88" s="138"/>
      <c r="I88" s="138"/>
    </row>
    <row r="89" spans="1:9">
      <c r="A89" s="161" t="s">
        <v>458</v>
      </c>
      <c r="B89" s="779" t="s">
        <v>140</v>
      </c>
      <c r="C89" s="780"/>
      <c r="D89" s="780"/>
      <c r="E89" s="780"/>
      <c r="F89" s="780"/>
      <c r="G89" s="781"/>
      <c r="H89" s="138"/>
      <c r="I89" s="138"/>
    </row>
    <row r="90" spans="1:9">
      <c r="A90" s="161" t="s">
        <v>459</v>
      </c>
      <c r="B90" s="779" t="s">
        <v>129</v>
      </c>
      <c r="C90" s="780"/>
      <c r="D90" s="780"/>
      <c r="E90" s="780"/>
      <c r="F90" s="780"/>
      <c r="G90" s="781"/>
      <c r="H90" s="138"/>
      <c r="I90" s="138"/>
    </row>
    <row r="91" spans="1:9">
      <c r="A91" s="161" t="s">
        <v>460</v>
      </c>
      <c r="B91" s="775" t="s">
        <v>130</v>
      </c>
      <c r="C91" s="776"/>
      <c r="D91" s="776"/>
      <c r="E91" s="776"/>
      <c r="F91" s="776"/>
      <c r="G91" s="777"/>
      <c r="H91" s="138"/>
      <c r="I91" s="138"/>
    </row>
    <row r="92" spans="1:9">
      <c r="A92" s="161" t="s">
        <v>461</v>
      </c>
      <c r="B92" s="775" t="s">
        <v>221</v>
      </c>
      <c r="C92" s="776"/>
      <c r="D92" s="776"/>
      <c r="E92" s="776"/>
      <c r="F92" s="776"/>
      <c r="G92" s="777"/>
      <c r="H92" s="138"/>
      <c r="I92" s="138"/>
    </row>
    <row r="93" spans="1:9">
      <c r="A93" s="161" t="s">
        <v>462</v>
      </c>
      <c r="B93" s="775" t="s">
        <v>177</v>
      </c>
      <c r="C93" s="776"/>
      <c r="D93" s="776"/>
      <c r="E93" s="776"/>
      <c r="F93" s="776"/>
      <c r="G93" s="777"/>
      <c r="H93" s="138"/>
      <c r="I93" s="138"/>
    </row>
    <row r="94" spans="1:9" ht="12.75" customHeight="1">
      <c r="A94" s="161" t="s">
        <v>463</v>
      </c>
      <c r="B94" s="775" t="s">
        <v>175</v>
      </c>
      <c r="C94" s="776"/>
      <c r="D94" s="776"/>
      <c r="E94" s="776"/>
      <c r="F94" s="776"/>
      <c r="G94" s="777"/>
      <c r="H94" s="138"/>
      <c r="I94" s="138"/>
    </row>
    <row r="95" spans="1:9" ht="12.75" customHeight="1">
      <c r="A95" s="161" t="s">
        <v>464</v>
      </c>
      <c r="B95" s="775" t="s">
        <v>176</v>
      </c>
      <c r="C95" s="776"/>
      <c r="D95" s="776"/>
      <c r="E95" s="776"/>
      <c r="F95" s="776"/>
      <c r="G95" s="777"/>
      <c r="H95" s="138"/>
      <c r="I95" s="138"/>
    </row>
    <row r="96" spans="1:9" ht="37.5" customHeight="1">
      <c r="A96" s="161" t="s">
        <v>465</v>
      </c>
      <c r="B96" s="782" t="s">
        <v>456</v>
      </c>
      <c r="C96" s="782"/>
      <c r="D96" s="782"/>
      <c r="E96" s="782"/>
      <c r="F96" s="782"/>
      <c r="G96" s="782"/>
      <c r="H96" s="94"/>
      <c r="I96" s="94"/>
    </row>
    <row r="98" spans="1:8">
      <c r="B98" s="32"/>
      <c r="C98" s="73"/>
      <c r="D98" s="73"/>
      <c r="E98" s="73"/>
      <c r="F98" s="100"/>
      <c r="G98" s="4"/>
    </row>
    <row r="99" spans="1:8">
      <c r="B99" s="74" t="s">
        <v>219</v>
      </c>
      <c r="C99" s="75"/>
      <c r="D99" s="75"/>
      <c r="E99" s="75"/>
      <c r="F99" s="77"/>
      <c r="G99" s="7"/>
    </row>
    <row r="100" spans="1:8">
      <c r="B100" s="20"/>
      <c r="C100" s="75"/>
      <c r="D100" s="75"/>
      <c r="E100" s="75"/>
      <c r="F100" s="77"/>
      <c r="G100" s="7"/>
    </row>
    <row r="101" spans="1:8">
      <c r="B101" s="76" t="s">
        <v>113</v>
      </c>
      <c r="C101" s="75"/>
      <c r="D101" s="75"/>
      <c r="E101" s="75"/>
      <c r="F101" s="77"/>
      <c r="G101" s="11" t="s">
        <v>222</v>
      </c>
    </row>
    <row r="102" spans="1:8">
      <c r="B102" s="20"/>
      <c r="C102" s="9"/>
      <c r="D102" s="9"/>
      <c r="E102" s="9"/>
      <c r="F102" s="77"/>
      <c r="G102" s="11" t="s">
        <v>114</v>
      </c>
    </row>
    <row r="103" spans="1:8">
      <c r="B103" s="81" t="s">
        <v>145</v>
      </c>
      <c r="C103" s="9"/>
      <c r="D103" s="9"/>
      <c r="E103" s="9"/>
      <c r="F103" s="77"/>
      <c r="G103" s="7"/>
    </row>
    <row r="104" spans="1:8">
      <c r="B104" s="81" t="s">
        <v>155</v>
      </c>
      <c r="C104" s="9"/>
      <c r="D104" s="9"/>
      <c r="E104" s="9"/>
      <c r="F104" s="77"/>
      <c r="G104" s="11" t="s">
        <v>3</v>
      </c>
    </row>
    <row r="105" spans="1:8">
      <c r="A105" s="161" t="s">
        <v>466</v>
      </c>
      <c r="B105" s="775" t="s">
        <v>196</v>
      </c>
      <c r="C105" s="776"/>
      <c r="D105" s="776"/>
      <c r="E105" s="776"/>
      <c r="F105" s="777"/>
      <c r="G105" s="142"/>
    </row>
    <row r="106" spans="1:8">
      <c r="A106" s="161" t="s">
        <v>467</v>
      </c>
      <c r="B106" s="775" t="s">
        <v>197</v>
      </c>
      <c r="C106" s="776"/>
      <c r="D106" s="776"/>
      <c r="E106" s="776"/>
      <c r="F106" s="777"/>
      <c r="G106" s="142"/>
    </row>
    <row r="107" spans="1:8">
      <c r="A107" s="161" t="s">
        <v>468</v>
      </c>
      <c r="B107" s="779" t="s">
        <v>198</v>
      </c>
      <c r="C107" s="780"/>
      <c r="D107" s="780"/>
      <c r="E107" s="780"/>
      <c r="F107" s="781"/>
      <c r="G107" s="142"/>
    </row>
    <row r="108" spans="1:8">
      <c r="A108" s="161" t="s">
        <v>469</v>
      </c>
      <c r="B108" s="775" t="s">
        <v>199</v>
      </c>
      <c r="C108" s="776"/>
      <c r="D108" s="776"/>
      <c r="E108" s="776"/>
      <c r="F108" s="777"/>
      <c r="G108" s="142"/>
    </row>
    <row r="109" spans="1:8">
      <c r="A109" s="161" t="s">
        <v>470</v>
      </c>
      <c r="B109" s="778" t="s">
        <v>200</v>
      </c>
      <c r="C109" s="778"/>
      <c r="D109" s="778"/>
      <c r="E109" s="778"/>
      <c r="F109" s="778"/>
      <c r="G109" s="95"/>
    </row>
    <row r="112" spans="1:8" ht="22.8">
      <c r="B112" s="484" t="s">
        <v>1052</v>
      </c>
      <c r="C112" s="484"/>
      <c r="D112" s="484"/>
      <c r="E112" s="484"/>
      <c r="F112" s="484"/>
      <c r="G112" s="484"/>
      <c r="H112" s="484"/>
    </row>
  </sheetData>
  <mergeCells count="92">
    <mergeCell ref="C2:I2"/>
    <mergeCell ref="IO49:IS49"/>
    <mergeCell ref="HQ49:HU49"/>
    <mergeCell ref="GS49:GW49"/>
    <mergeCell ref="GK49:GO49"/>
    <mergeCell ref="GC49:GG49"/>
    <mergeCell ref="IG49:IK49"/>
    <mergeCell ref="HY49:IC49"/>
    <mergeCell ref="HI49:HM49"/>
    <mergeCell ref="HA49:HE49"/>
    <mergeCell ref="EW49:FA49"/>
    <mergeCell ref="FE49:FI49"/>
    <mergeCell ref="FU49:FY49"/>
    <mergeCell ref="EO49:ES49"/>
    <mergeCell ref="FM49:FQ49"/>
    <mergeCell ref="CK49:CO49"/>
    <mergeCell ref="EG49:EK49"/>
    <mergeCell ref="DA49:DE49"/>
    <mergeCell ref="DQ49:DU49"/>
    <mergeCell ref="CS49:CW49"/>
    <mergeCell ref="DI49:DM49"/>
    <mergeCell ref="DY49:EC49"/>
    <mergeCell ref="B77:E77"/>
    <mergeCell ref="B72:B73"/>
    <mergeCell ref="AW49:BA49"/>
    <mergeCell ref="CC49:CG49"/>
    <mergeCell ref="BU49:BY49"/>
    <mergeCell ref="BM49:BQ49"/>
    <mergeCell ref="BE49:BI49"/>
    <mergeCell ref="Q49:U49"/>
    <mergeCell ref="AO49:AS49"/>
    <mergeCell ref="AG49:AK49"/>
    <mergeCell ref="Y49:AC49"/>
    <mergeCell ref="C70:E70"/>
    <mergeCell ref="B63:B66"/>
    <mergeCell ref="B67:B71"/>
    <mergeCell ref="C66:E66"/>
    <mergeCell ref="C67:E67"/>
    <mergeCell ref="B90:G90"/>
    <mergeCell ref="B92:G92"/>
    <mergeCell ref="B88:G88"/>
    <mergeCell ref="B89:G89"/>
    <mergeCell ref="B22:H22"/>
    <mergeCell ref="B23:H23"/>
    <mergeCell ref="B24:H24"/>
    <mergeCell ref="B47:F47"/>
    <mergeCell ref="B48:F48"/>
    <mergeCell ref="B49:F49"/>
    <mergeCell ref="C71:E71"/>
    <mergeCell ref="C72:E72"/>
    <mergeCell ref="C73:E73"/>
    <mergeCell ref="B74:I74"/>
    <mergeCell ref="B75:E75"/>
    <mergeCell ref="B76:E76"/>
    <mergeCell ref="B93:G93"/>
    <mergeCell ref="B91:G91"/>
    <mergeCell ref="B108:F108"/>
    <mergeCell ref="B109:F109"/>
    <mergeCell ref="B105:F105"/>
    <mergeCell ref="B106:F106"/>
    <mergeCell ref="B107:F107"/>
    <mergeCell ref="B96:G96"/>
    <mergeCell ref="B94:G94"/>
    <mergeCell ref="B95:G95"/>
    <mergeCell ref="B44:F44"/>
    <mergeCell ref="C65:E65"/>
    <mergeCell ref="B36:F36"/>
    <mergeCell ref="B37:F37"/>
    <mergeCell ref="B38:F38"/>
    <mergeCell ref="B39:F39"/>
    <mergeCell ref="B40:F40"/>
    <mergeCell ref="B35:F35"/>
    <mergeCell ref="I36:I38"/>
    <mergeCell ref="B41:F41"/>
    <mergeCell ref="B42:F42"/>
    <mergeCell ref="B43:F43"/>
    <mergeCell ref="B112:H112"/>
    <mergeCell ref="B21:I21"/>
    <mergeCell ref="C68:E68"/>
    <mergeCell ref="C69:E69"/>
    <mergeCell ref="B5:I5"/>
    <mergeCell ref="B46:H46"/>
    <mergeCell ref="B45:F45"/>
    <mergeCell ref="C63:E63"/>
    <mergeCell ref="C64:E64"/>
    <mergeCell ref="B14:H14"/>
    <mergeCell ref="B15:H15"/>
    <mergeCell ref="B16:H16"/>
    <mergeCell ref="B17:H17"/>
    <mergeCell ref="B18:H18"/>
    <mergeCell ref="B19:H19"/>
    <mergeCell ref="B20:H20"/>
  </mergeCells>
  <phoneticPr fontId="9" type="noConversion"/>
  <hyperlinks>
    <hyperlink ref="B112:H112" location="CoverSheet!A1" display="Back to Coversheet"/>
  </hyperlinks>
  <pageMargins left="0.75" right="0.75" top="1" bottom="1" header="0.5" footer="0.5"/>
  <pageSetup scale="64" orientation="portrait" horizontalDpi="1200" verticalDpi="1200" r:id="rId1"/>
  <headerFooter alignWithMargins="0">
    <oddFooter>&amp;L&amp;A&amp;CFY 2012 CSBG IS FORMS&amp;RPAGE &amp;P OF &amp;N</oddFooter>
  </headerFooter>
  <rowBreaks count="2" manualBreakCount="2">
    <brk id="50" max="9" man="1"/>
    <brk id="78" max="9"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showGridLines="0" zoomScaleNormal="100" workbookViewId="0">
      <selection activeCell="A6" sqref="A6"/>
    </sheetView>
  </sheetViews>
  <sheetFormatPr defaultRowHeight="13.2"/>
  <cols>
    <col min="1" max="1" width="6.109375" customWidth="1"/>
    <col min="5" max="5" width="11.33203125" customWidth="1"/>
    <col min="6" max="6" width="7" customWidth="1"/>
    <col min="7" max="7" width="14.6640625" customWidth="1"/>
    <col min="8" max="8" width="10" customWidth="1"/>
    <col min="9" max="9" width="5.6640625" customWidth="1"/>
    <col min="10" max="10" width="10.109375" customWidth="1"/>
  </cols>
  <sheetData>
    <row r="1" spans="1:10" ht="17.399999999999999">
      <c r="A1" s="30" t="s">
        <v>104</v>
      </c>
      <c r="B1" s="1"/>
      <c r="C1" s="1"/>
      <c r="D1" s="1"/>
      <c r="E1" s="1"/>
      <c r="F1" s="15"/>
      <c r="G1" s="16"/>
      <c r="H1" s="16"/>
      <c r="I1" s="16"/>
      <c r="J1" s="16"/>
    </row>
    <row r="2" spans="1:10" s="34" customFormat="1" ht="17.399999999999999">
      <c r="A2" s="30" t="s">
        <v>170</v>
      </c>
      <c r="B2" s="30"/>
      <c r="C2" s="30"/>
      <c r="D2" s="30"/>
      <c r="E2" s="30"/>
      <c r="F2" s="61"/>
      <c r="G2" s="56"/>
      <c r="H2" s="56"/>
      <c r="I2" s="56"/>
      <c r="J2" s="56"/>
    </row>
    <row r="3" spans="1:10" s="34" customFormat="1" ht="17.399999999999999">
      <c r="A3" s="30" t="s">
        <v>169</v>
      </c>
      <c r="B3" s="30"/>
      <c r="C3" s="30"/>
      <c r="D3" s="30"/>
      <c r="E3" s="30"/>
      <c r="F3" s="61"/>
      <c r="G3" s="56"/>
      <c r="H3" s="56"/>
      <c r="I3" s="56"/>
      <c r="J3" s="56"/>
    </row>
    <row r="4" spans="1:10" s="45" customFormat="1" ht="18" customHeight="1">
      <c r="A4" s="14"/>
      <c r="B4" s="14"/>
      <c r="C4" s="14"/>
      <c r="D4" s="14"/>
      <c r="E4" s="14"/>
      <c r="F4" s="40"/>
    </row>
    <row r="5" spans="1:10" s="45" customFormat="1" ht="13.8" thickBot="1">
      <c r="F5" s="40"/>
    </row>
    <row r="6" spans="1:10" ht="12.75" customHeight="1">
      <c r="A6" s="47"/>
      <c r="B6" s="48"/>
      <c r="C6" s="48"/>
      <c r="D6" s="48"/>
      <c r="E6" s="48"/>
      <c r="F6" s="48"/>
      <c r="G6" s="48"/>
      <c r="H6" s="48"/>
      <c r="I6" s="49"/>
    </row>
    <row r="7" spans="1:10" ht="12.75" customHeight="1">
      <c r="A7" s="50"/>
      <c r="B7" s="46"/>
      <c r="C7" s="46"/>
      <c r="D7" s="46"/>
      <c r="E7" s="46"/>
      <c r="F7" s="46"/>
      <c r="G7" s="46"/>
      <c r="H7" s="46"/>
      <c r="I7" s="51"/>
    </row>
    <row r="8" spans="1:10" ht="12.75" customHeight="1">
      <c r="A8" s="50"/>
      <c r="B8" s="46"/>
      <c r="C8" s="46"/>
      <c r="D8" s="46"/>
      <c r="E8" s="46"/>
      <c r="F8" s="46"/>
      <c r="G8" s="46"/>
      <c r="H8" s="46"/>
      <c r="I8" s="51"/>
    </row>
    <row r="9" spans="1:10" ht="12.75" customHeight="1">
      <c r="A9" s="50"/>
      <c r="B9" s="46"/>
      <c r="C9" s="46"/>
      <c r="D9" s="46"/>
      <c r="E9" s="46"/>
      <c r="F9" s="46"/>
      <c r="G9" s="46"/>
      <c r="H9" s="46"/>
      <c r="I9" s="51"/>
    </row>
    <row r="10" spans="1:10" ht="12.75" customHeight="1">
      <c r="A10" s="50"/>
      <c r="B10" s="46"/>
      <c r="C10" s="46"/>
      <c r="D10" s="46"/>
      <c r="E10" s="46"/>
      <c r="F10" s="46"/>
      <c r="G10" s="46"/>
      <c r="H10" s="46"/>
      <c r="I10" s="51"/>
    </row>
    <row r="11" spans="1:10" ht="12.75" customHeight="1">
      <c r="A11" s="50"/>
      <c r="B11" s="46"/>
      <c r="C11" s="46"/>
      <c r="D11" s="46"/>
      <c r="E11" s="46"/>
      <c r="F11" s="46"/>
      <c r="G11" s="46"/>
      <c r="H11" s="46"/>
      <c r="I11" s="51"/>
    </row>
    <row r="12" spans="1:10" ht="12.75" customHeight="1">
      <c r="A12" s="50"/>
      <c r="B12" s="46"/>
      <c r="C12" s="46"/>
      <c r="D12" s="46"/>
      <c r="E12" s="46"/>
      <c r="F12" s="46"/>
      <c r="G12" s="46"/>
      <c r="H12" s="46"/>
      <c r="I12" s="51"/>
    </row>
    <row r="13" spans="1:10" ht="12.75" customHeight="1">
      <c r="A13" s="50"/>
      <c r="B13" s="46"/>
      <c r="C13" s="46"/>
      <c r="D13" s="46"/>
      <c r="E13" s="46"/>
      <c r="F13" s="46"/>
      <c r="G13" s="46"/>
      <c r="H13" s="46"/>
      <c r="I13" s="51"/>
    </row>
    <row r="14" spans="1:10" ht="12.75" customHeight="1">
      <c r="A14" s="50"/>
      <c r="B14" s="46"/>
      <c r="C14" s="46"/>
      <c r="D14" s="46"/>
      <c r="E14" s="46"/>
      <c r="F14" s="46"/>
      <c r="G14" s="46"/>
      <c r="H14" s="46"/>
      <c r="I14" s="51"/>
    </row>
    <row r="15" spans="1:10" ht="12.75" customHeight="1">
      <c r="A15" s="50"/>
      <c r="B15" s="46"/>
      <c r="C15" s="46"/>
      <c r="D15" s="46"/>
      <c r="E15" s="46"/>
      <c r="F15" s="46"/>
      <c r="G15" s="46"/>
      <c r="H15" s="46"/>
      <c r="I15" s="51"/>
    </row>
    <row r="16" spans="1:10" ht="12.75" customHeight="1">
      <c r="A16" s="50"/>
      <c r="B16" s="46"/>
      <c r="C16" s="46"/>
      <c r="D16" s="46"/>
      <c r="E16" s="46"/>
      <c r="F16" s="46"/>
      <c r="G16" s="46"/>
      <c r="H16" s="46"/>
      <c r="I16" s="51"/>
    </row>
    <row r="17" spans="1:9" ht="12.75" customHeight="1">
      <c r="A17" s="50"/>
      <c r="B17" s="46"/>
      <c r="C17" s="46"/>
      <c r="D17" s="46"/>
      <c r="E17" s="46"/>
      <c r="F17" s="46"/>
      <c r="G17" s="46"/>
      <c r="H17" s="46"/>
      <c r="I17" s="51"/>
    </row>
    <row r="18" spans="1:9" ht="12.75" customHeight="1">
      <c r="A18" s="50"/>
      <c r="B18" s="46"/>
      <c r="C18" s="46"/>
      <c r="D18" s="46"/>
      <c r="E18" s="46"/>
      <c r="F18" s="46"/>
      <c r="G18" s="46"/>
      <c r="H18" s="46"/>
      <c r="I18" s="51"/>
    </row>
    <row r="19" spans="1:9" ht="12.75" customHeight="1">
      <c r="A19" s="50"/>
      <c r="B19" s="46"/>
      <c r="C19" s="46"/>
      <c r="D19" s="46"/>
      <c r="E19" s="46"/>
      <c r="F19" s="46"/>
      <c r="G19" s="46"/>
      <c r="H19" s="46"/>
      <c r="I19" s="51"/>
    </row>
    <row r="20" spans="1:9" ht="12.75" customHeight="1">
      <c r="A20" s="50"/>
      <c r="B20" s="46"/>
      <c r="C20" s="46"/>
      <c r="D20" s="46"/>
      <c r="E20" s="46"/>
      <c r="F20" s="46"/>
      <c r="G20" s="46"/>
      <c r="H20" s="46"/>
      <c r="I20" s="51"/>
    </row>
    <row r="21" spans="1:9" ht="12.75" customHeight="1">
      <c r="A21" s="50"/>
      <c r="B21" s="46"/>
      <c r="C21" s="46"/>
      <c r="D21" s="46"/>
      <c r="E21" s="46"/>
      <c r="F21" s="46"/>
      <c r="G21" s="46"/>
      <c r="H21" s="46"/>
      <c r="I21" s="51"/>
    </row>
    <row r="22" spans="1:9" ht="12.75" customHeight="1">
      <c r="A22" s="50"/>
      <c r="B22" s="46"/>
      <c r="C22" s="46"/>
      <c r="D22" s="46"/>
      <c r="E22" s="46"/>
      <c r="F22" s="46"/>
      <c r="G22" s="46"/>
      <c r="H22" s="46"/>
      <c r="I22" s="51"/>
    </row>
    <row r="23" spans="1:9" s="16" customFormat="1" ht="12.75" customHeight="1">
      <c r="A23" s="67"/>
      <c r="B23" s="68"/>
      <c r="C23" s="68"/>
      <c r="D23" s="68"/>
      <c r="E23" s="68"/>
      <c r="F23" s="68"/>
      <c r="G23" s="68"/>
      <c r="H23" s="68"/>
      <c r="I23" s="69"/>
    </row>
    <row r="24" spans="1:9" s="16" customFormat="1" ht="12.75" customHeight="1">
      <c r="A24" s="67"/>
      <c r="B24" s="68"/>
      <c r="C24" s="68"/>
      <c r="D24" s="68"/>
      <c r="E24" s="68"/>
      <c r="F24" s="68"/>
      <c r="G24" s="68"/>
      <c r="H24" s="68"/>
      <c r="I24" s="69"/>
    </row>
    <row r="25" spans="1:9" s="16" customFormat="1" ht="12.75" customHeight="1">
      <c r="A25" s="67"/>
      <c r="B25" s="68"/>
      <c r="C25" s="68"/>
      <c r="D25" s="68"/>
      <c r="E25" s="68"/>
      <c r="F25" s="68"/>
      <c r="G25" s="68"/>
      <c r="H25" s="68"/>
      <c r="I25" s="69"/>
    </row>
    <row r="26" spans="1:9" s="16" customFormat="1" ht="12.75" customHeight="1">
      <c r="A26" s="67"/>
      <c r="B26" s="68"/>
      <c r="C26" s="68"/>
      <c r="D26" s="68"/>
      <c r="E26" s="68"/>
      <c r="F26" s="68"/>
      <c r="G26" s="68"/>
      <c r="H26" s="68"/>
      <c r="I26" s="69"/>
    </row>
    <row r="27" spans="1:9" s="16" customFormat="1" ht="12.75" customHeight="1">
      <c r="A27" s="67"/>
      <c r="B27" s="68"/>
      <c r="C27" s="68"/>
      <c r="D27" s="68"/>
      <c r="E27" s="68"/>
      <c r="F27" s="68"/>
      <c r="G27" s="68"/>
      <c r="H27" s="68"/>
      <c r="I27" s="69"/>
    </row>
    <row r="28" spans="1:9" s="16" customFormat="1" ht="12.75" customHeight="1">
      <c r="A28" s="67"/>
      <c r="B28" s="68"/>
      <c r="C28" s="68"/>
      <c r="D28" s="68"/>
      <c r="E28" s="68"/>
      <c r="F28" s="68"/>
      <c r="G28" s="68"/>
      <c r="H28" s="68"/>
      <c r="I28" s="69"/>
    </row>
    <row r="29" spans="1:9" s="16" customFormat="1" ht="12.75" customHeight="1">
      <c r="A29" s="67"/>
      <c r="B29" s="68"/>
      <c r="C29" s="68"/>
      <c r="D29" s="68"/>
      <c r="E29" s="68"/>
      <c r="F29" s="68"/>
      <c r="G29" s="68"/>
      <c r="H29" s="68"/>
      <c r="I29" s="69"/>
    </row>
    <row r="30" spans="1:9" s="16" customFormat="1" ht="12.75" customHeight="1">
      <c r="A30" s="67"/>
      <c r="B30" s="68"/>
      <c r="C30" s="68"/>
      <c r="D30" s="68"/>
      <c r="E30" s="68"/>
      <c r="F30" s="68"/>
      <c r="G30" s="68"/>
      <c r="H30" s="68"/>
      <c r="I30" s="69"/>
    </row>
    <row r="31" spans="1:9" s="16" customFormat="1" ht="12.75" customHeight="1">
      <c r="A31" s="67"/>
      <c r="B31" s="68"/>
      <c r="C31" s="68"/>
      <c r="D31" s="68"/>
      <c r="E31" s="68"/>
      <c r="F31" s="68"/>
      <c r="G31" s="68"/>
      <c r="H31" s="68"/>
      <c r="I31" s="69"/>
    </row>
    <row r="32" spans="1:9" s="16" customFormat="1" ht="12.75" customHeight="1">
      <c r="A32" s="67"/>
      <c r="B32" s="68"/>
      <c r="C32" s="68"/>
      <c r="D32" s="68"/>
      <c r="E32" s="68"/>
      <c r="F32" s="68"/>
      <c r="G32" s="68"/>
      <c r="H32" s="68"/>
      <c r="I32" s="69"/>
    </row>
    <row r="33" spans="1:9" s="16" customFormat="1" ht="12.75" customHeight="1">
      <c r="A33" s="67"/>
      <c r="B33" s="68"/>
      <c r="C33" s="68"/>
      <c r="D33" s="68"/>
      <c r="E33" s="68"/>
      <c r="F33" s="68"/>
      <c r="G33" s="68"/>
      <c r="H33" s="68"/>
      <c r="I33" s="69"/>
    </row>
    <row r="34" spans="1:9" s="16" customFormat="1" ht="12.75" customHeight="1">
      <c r="A34" s="67"/>
      <c r="B34" s="68"/>
      <c r="C34" s="68"/>
      <c r="D34" s="68"/>
      <c r="E34" s="68"/>
      <c r="F34" s="68"/>
      <c r="G34" s="68"/>
      <c r="H34" s="68"/>
      <c r="I34" s="69"/>
    </row>
    <row r="35" spans="1:9" s="16" customFormat="1" ht="12.75" customHeight="1">
      <c r="A35" s="67"/>
      <c r="B35" s="68"/>
      <c r="C35" s="68"/>
      <c r="D35" s="68"/>
      <c r="E35" s="68"/>
      <c r="F35" s="68"/>
      <c r="G35" s="68"/>
      <c r="H35" s="68"/>
      <c r="I35" s="69"/>
    </row>
    <row r="36" spans="1:9" s="16" customFormat="1" ht="12.75" customHeight="1">
      <c r="A36" s="67"/>
      <c r="B36" s="68"/>
      <c r="C36" s="68"/>
      <c r="D36" s="68"/>
      <c r="E36" s="68"/>
      <c r="F36" s="68"/>
      <c r="G36" s="68"/>
      <c r="H36" s="68"/>
      <c r="I36" s="69"/>
    </row>
    <row r="37" spans="1:9" s="16" customFormat="1" ht="12.75" customHeight="1">
      <c r="A37" s="67"/>
      <c r="B37" s="68"/>
      <c r="C37" s="68"/>
      <c r="D37" s="68"/>
      <c r="E37" s="68"/>
      <c r="F37" s="68"/>
      <c r="G37" s="68"/>
      <c r="H37" s="68"/>
      <c r="I37" s="69"/>
    </row>
    <row r="38" spans="1:9" s="16" customFormat="1" ht="12.75" customHeight="1">
      <c r="A38" s="67"/>
      <c r="B38" s="68"/>
      <c r="C38" s="68"/>
      <c r="D38" s="68"/>
      <c r="E38" s="68"/>
      <c r="F38" s="68"/>
      <c r="G38" s="68"/>
      <c r="H38" s="68"/>
      <c r="I38" s="69"/>
    </row>
    <row r="39" spans="1:9" s="16" customFormat="1" ht="12.75" customHeight="1">
      <c r="A39" s="67"/>
      <c r="B39" s="68"/>
      <c r="C39" s="68"/>
      <c r="D39" s="68"/>
      <c r="E39" s="68"/>
      <c r="F39" s="68"/>
      <c r="G39" s="68"/>
      <c r="H39" s="68"/>
      <c r="I39" s="69"/>
    </row>
    <row r="40" spans="1:9" s="16" customFormat="1" ht="12.75" customHeight="1">
      <c r="A40" s="67"/>
      <c r="B40" s="68"/>
      <c r="C40" s="68"/>
      <c r="D40" s="68"/>
      <c r="E40" s="68"/>
      <c r="F40" s="68"/>
      <c r="G40" s="68"/>
      <c r="H40" s="68"/>
      <c r="I40" s="69"/>
    </row>
    <row r="41" spans="1:9" s="16" customFormat="1" ht="12.75" customHeight="1">
      <c r="A41" s="67"/>
      <c r="B41" s="68"/>
      <c r="C41" s="68"/>
      <c r="D41" s="68"/>
      <c r="E41" s="68"/>
      <c r="F41" s="68"/>
      <c r="G41" s="68"/>
      <c r="H41" s="68"/>
      <c r="I41" s="69"/>
    </row>
    <row r="42" spans="1:9" s="16" customFormat="1" ht="12.75" customHeight="1">
      <c r="A42" s="67"/>
      <c r="B42" s="68"/>
      <c r="C42" s="68"/>
      <c r="D42" s="68"/>
      <c r="E42" s="68"/>
      <c r="F42" s="68"/>
      <c r="G42" s="68"/>
      <c r="H42" s="68"/>
      <c r="I42" s="69"/>
    </row>
    <row r="43" spans="1:9" s="16" customFormat="1" ht="12.75" customHeight="1">
      <c r="A43" s="67"/>
      <c r="B43" s="68"/>
      <c r="C43" s="68"/>
      <c r="D43" s="68"/>
      <c r="E43" s="68"/>
      <c r="F43" s="68"/>
      <c r="G43" s="68"/>
      <c r="H43" s="68"/>
      <c r="I43" s="69"/>
    </row>
    <row r="44" spans="1:9" s="16" customFormat="1" ht="12.75" customHeight="1">
      <c r="A44" s="67"/>
      <c r="B44" s="68"/>
      <c r="C44" s="68"/>
      <c r="D44" s="68"/>
      <c r="E44" s="68"/>
      <c r="F44" s="68"/>
      <c r="G44" s="68"/>
      <c r="H44" s="68"/>
      <c r="I44" s="69"/>
    </row>
    <row r="45" spans="1:9" s="16" customFormat="1" ht="12.75" customHeight="1">
      <c r="A45" s="67"/>
      <c r="B45" s="68"/>
      <c r="C45" s="68"/>
      <c r="D45" s="68"/>
      <c r="E45" s="68"/>
      <c r="F45" s="68"/>
      <c r="G45" s="68"/>
      <c r="H45" s="68"/>
      <c r="I45" s="69"/>
    </row>
    <row r="46" spans="1:9" s="16" customFormat="1" ht="12.75" customHeight="1">
      <c r="A46" s="67"/>
      <c r="B46" s="68"/>
      <c r="C46" s="68"/>
      <c r="D46" s="68"/>
      <c r="E46" s="68"/>
      <c r="F46" s="68"/>
      <c r="G46" s="68"/>
      <c r="H46" s="68"/>
      <c r="I46" s="69"/>
    </row>
    <row r="47" spans="1:9" s="16" customFormat="1" ht="12.75" customHeight="1">
      <c r="A47" s="67"/>
      <c r="B47" s="68"/>
      <c r="C47" s="68"/>
      <c r="D47" s="68"/>
      <c r="E47" s="68"/>
      <c r="F47" s="68"/>
      <c r="G47" s="68"/>
      <c r="H47" s="68"/>
      <c r="I47" s="69"/>
    </row>
    <row r="48" spans="1:9" s="16" customFormat="1" ht="12.75" customHeight="1">
      <c r="A48" s="67"/>
      <c r="B48" s="68"/>
      <c r="C48" s="68"/>
      <c r="D48" s="68"/>
      <c r="E48" s="68"/>
      <c r="F48" s="68"/>
      <c r="G48" s="68"/>
      <c r="H48" s="68"/>
      <c r="I48" s="69"/>
    </row>
    <row r="49" spans="1:9" s="16" customFormat="1" ht="12.75" customHeight="1">
      <c r="A49" s="67"/>
      <c r="B49" s="68"/>
      <c r="C49" s="68"/>
      <c r="D49" s="68"/>
      <c r="E49" s="68"/>
      <c r="F49" s="68"/>
      <c r="G49" s="68"/>
      <c r="H49" s="68"/>
      <c r="I49" s="69"/>
    </row>
    <row r="50" spans="1:9" s="16" customFormat="1" ht="12.75" customHeight="1">
      <c r="A50" s="67"/>
      <c r="B50" s="68"/>
      <c r="C50" s="68"/>
      <c r="D50" s="68"/>
      <c r="E50" s="68"/>
      <c r="F50" s="68"/>
      <c r="G50" s="68"/>
      <c r="H50" s="68"/>
      <c r="I50" s="69"/>
    </row>
    <row r="51" spans="1:9" s="16" customFormat="1" ht="12.75" customHeight="1" thickBot="1">
      <c r="A51" s="70"/>
      <c r="B51" s="71"/>
      <c r="C51" s="71"/>
      <c r="D51" s="71"/>
      <c r="E51" s="71"/>
      <c r="F51" s="71"/>
      <c r="G51" s="71"/>
      <c r="H51" s="71"/>
      <c r="I51" s="72"/>
    </row>
    <row r="52" spans="1:9" s="16" customFormat="1" ht="12.75" customHeight="1">
      <c r="F52" s="15"/>
    </row>
    <row r="53" spans="1:9" s="16" customFormat="1">
      <c r="F53" s="15"/>
    </row>
    <row r="54" spans="1:9" s="16" customFormat="1">
      <c r="F54" s="15"/>
    </row>
    <row r="55" spans="1:9" s="16" customFormat="1">
      <c r="F55" s="15"/>
    </row>
    <row r="56" spans="1:9" s="16" customFormat="1">
      <c r="F56" s="15"/>
    </row>
    <row r="57" spans="1:9" s="16" customFormat="1">
      <c r="F57" s="15"/>
    </row>
    <row r="58" spans="1:9" s="16" customFormat="1">
      <c r="F58" s="15"/>
    </row>
    <row r="59" spans="1:9" s="16" customFormat="1">
      <c r="F59" s="15"/>
    </row>
    <row r="60" spans="1:9" s="16" customFormat="1">
      <c r="F60" s="15"/>
    </row>
    <row r="61" spans="1:9" s="16" customFormat="1">
      <c r="F61" s="15"/>
    </row>
    <row r="62" spans="1:9" s="16" customFormat="1">
      <c r="F62" s="15"/>
    </row>
    <row r="63" spans="1:9" s="16" customFormat="1">
      <c r="F63" s="15"/>
    </row>
    <row r="64" spans="1:9" s="16" customFormat="1">
      <c r="F64" s="15"/>
    </row>
    <row r="65" spans="6:6" s="16" customFormat="1">
      <c r="F65" s="15"/>
    </row>
    <row r="66" spans="6:6" s="16" customFormat="1">
      <c r="F66" s="15"/>
    </row>
    <row r="67" spans="6:6" s="16" customFormat="1">
      <c r="F67" s="15"/>
    </row>
    <row r="68" spans="6:6" s="16" customFormat="1">
      <c r="F68" s="15"/>
    </row>
    <row r="69" spans="6:6" s="16" customFormat="1">
      <c r="F69" s="15"/>
    </row>
    <row r="70" spans="6:6" s="16" customFormat="1">
      <c r="F70" s="15"/>
    </row>
    <row r="71" spans="6:6" s="16" customFormat="1">
      <c r="F71" s="15"/>
    </row>
    <row r="72" spans="6:6" s="16" customFormat="1">
      <c r="F72" s="15"/>
    </row>
    <row r="73" spans="6:6" s="16" customFormat="1">
      <c r="F73" s="15"/>
    </row>
    <row r="74" spans="6:6" s="16" customFormat="1">
      <c r="F74" s="15"/>
    </row>
  </sheetData>
  <phoneticPr fontId="9" type="noConversion"/>
  <pageMargins left="0.75" right="0.75" top="1" bottom="1" header="0.5" footer="0.5"/>
  <pageSetup scale="90"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23</vt:i4>
      </vt:variant>
    </vt:vector>
  </HeadingPairs>
  <TitlesOfParts>
    <vt:vector size="40" baseType="lpstr">
      <vt:lpstr>CoverSheet</vt:lpstr>
      <vt:lpstr>Section D</vt:lpstr>
      <vt:lpstr>Section E</vt:lpstr>
      <vt:lpstr>Section F</vt:lpstr>
      <vt:lpstr>Section G</vt:lpstr>
      <vt:lpstr>Goal 1</vt:lpstr>
      <vt:lpstr>Goal 1 Notes</vt:lpstr>
      <vt:lpstr>Goal 2</vt:lpstr>
      <vt:lpstr>Goal 2 Notes</vt:lpstr>
      <vt:lpstr>Goal 3</vt:lpstr>
      <vt:lpstr>Goal 3 Notes</vt:lpstr>
      <vt:lpstr>Goal 4</vt:lpstr>
      <vt:lpstr>Goal 4 Notes</vt:lpstr>
      <vt:lpstr>Goal 5</vt:lpstr>
      <vt:lpstr>Goal 5 Notes</vt:lpstr>
      <vt:lpstr>Goal 6</vt:lpstr>
      <vt:lpstr>Goal 6 Notes</vt:lpstr>
      <vt:lpstr>dropdown</vt:lpstr>
      <vt:lpstr>'Goal 1'!Print_Area</vt:lpstr>
      <vt:lpstr>'Goal 1 Notes'!Print_Area</vt:lpstr>
      <vt:lpstr>'Goal 2'!Print_Area</vt:lpstr>
      <vt:lpstr>'Goal 2 Notes'!Print_Area</vt:lpstr>
      <vt:lpstr>'Goal 3'!Print_Area</vt:lpstr>
      <vt:lpstr>'Goal 3 Notes'!Print_Area</vt:lpstr>
      <vt:lpstr>'Goal 4'!Print_Area</vt:lpstr>
      <vt:lpstr>'Goal 4 Notes'!Print_Area</vt:lpstr>
      <vt:lpstr>'Goal 5'!Print_Area</vt:lpstr>
      <vt:lpstr>'Goal 5 Notes'!Print_Area</vt:lpstr>
      <vt:lpstr>'Goal 6'!Print_Area</vt:lpstr>
      <vt:lpstr>'Goal 6 Notes'!Print_Area</vt:lpstr>
      <vt:lpstr>'Section D'!Print_Area</vt:lpstr>
      <vt:lpstr>'Section E'!Print_Area</vt:lpstr>
      <vt:lpstr>'Section F'!Print_Area</vt:lpstr>
      <vt:lpstr>'Section G'!Print_Area</vt:lpstr>
      <vt:lpstr>'Goal 1'!Print_Titles</vt:lpstr>
      <vt:lpstr>'Goal 2'!Print_Titles</vt:lpstr>
      <vt:lpstr>'Goal 3'!Print_Titles</vt:lpstr>
      <vt:lpstr>'Goal 4'!Print_Titles</vt:lpstr>
      <vt:lpstr>'Goal 5'!Print_Titles</vt:lpstr>
      <vt:lpstr>'Goal 6'!Print_Titles</vt:lpstr>
    </vt:vector>
  </TitlesOfParts>
  <Company>NASCSP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Jenae B</dc:creator>
  <cp:lastModifiedBy>THooper</cp:lastModifiedBy>
  <cp:lastPrinted>2012-10-12T17:09:30Z</cp:lastPrinted>
  <dcterms:created xsi:type="dcterms:W3CDTF">2007-10-24T13:44:57Z</dcterms:created>
  <dcterms:modified xsi:type="dcterms:W3CDTF">2013-04-02T15:35:08Z</dcterms:modified>
</cp:coreProperties>
</file>