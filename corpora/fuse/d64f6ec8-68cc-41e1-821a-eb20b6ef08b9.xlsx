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480" windowHeight="11640"/>
  </bookViews>
  <sheets>
    <sheet name="Hardware" sheetId="2" r:id="rId1"/>
    <sheet name="Configuration and Training" sheetId="3" r:id="rId2"/>
    <sheet name="Technical Support" sheetId="4" r:id="rId3"/>
    <sheet name="Scanning Services Detail" sheetId="5" r:id="rId4"/>
    <sheet name="Software" sheetId="6" r:id="rId5"/>
    <sheet name="Sheet2" sheetId="7" r:id="rId6"/>
  </sheets>
  <definedNames>
    <definedName name="_xlnm._FilterDatabase" localSheetId="0" hidden="1">Hardware!$A$3:$E$336</definedName>
    <definedName name="_xlnm._FilterDatabase" localSheetId="2" hidden="1">'Technical Support'!$A$4:$E$3683</definedName>
    <definedName name="_xlnm.Print_Area" localSheetId="0">Hardware!$A$1:$E$336</definedName>
    <definedName name="_xlnm.Print_Titles" localSheetId="1">'Configuration and Training'!$3:$3</definedName>
    <definedName name="_xlnm.Print_Titles" localSheetId="0">Hardware!$3:$3</definedName>
    <definedName name="_xlnm.Print_Titles" localSheetId="3">'Scanning Services Detail'!$4:$4</definedName>
    <definedName name="_xlnm.Print_Titles" localSheetId="2">'Technical Support'!$3:$3</definedName>
  </definedNames>
  <calcPr calcId="145621"/>
</workbook>
</file>

<file path=xl/calcChain.xml><?xml version="1.0" encoding="utf-8"?>
<calcChain xmlns="http://schemas.openxmlformats.org/spreadsheetml/2006/main">
  <c r="D3586" i="4" l="1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43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D25" i="2" l="1"/>
  <c r="D24" i="2"/>
  <c r="D23" i="2"/>
  <c r="D22" i="2"/>
  <c r="D21" i="2"/>
  <c r="D20" i="2"/>
  <c r="D7" i="2"/>
  <c r="D6" i="2"/>
  <c r="E6" i="2"/>
  <c r="E4" i="2"/>
  <c r="D8" i="2"/>
  <c r="E8" i="2" s="1"/>
  <c r="D9" i="2"/>
  <c r="E9" i="2" s="1"/>
  <c r="D12" i="2"/>
  <c r="E12" i="2" s="1"/>
  <c r="D13" i="2"/>
  <c r="E13" i="2" s="1"/>
  <c r="E30" i="2"/>
  <c r="E19" i="2"/>
  <c r="E18" i="2"/>
  <c r="E17" i="2"/>
  <c r="E16" i="2"/>
  <c r="E15" i="2"/>
  <c r="E14" i="2"/>
  <c r="E11" i="2"/>
  <c r="E10" i="2"/>
  <c r="E7" i="2"/>
  <c r="E5" i="2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</calcChain>
</file>

<file path=xl/sharedStrings.xml><?xml version="1.0" encoding="utf-8"?>
<sst xmlns="http://schemas.openxmlformats.org/spreadsheetml/2006/main" count="7998" uniqueCount="7856">
  <si>
    <t>Item</t>
  </si>
  <si>
    <t>Description</t>
  </si>
  <si>
    <t>Unit Price (List)</t>
  </si>
  <si>
    <t>Extended Price</t>
  </si>
  <si>
    <t>% discount</t>
  </si>
  <si>
    <t>TC-07311</t>
  </si>
  <si>
    <t>Hardware Line Server Model 305, 4 channel ISDN (2*BRI)</t>
  </si>
  <si>
    <t>TC-07321</t>
  </si>
  <si>
    <t>Hardware Line Interface Upgrade 4 to 8 channel ISDN BRI</t>
  </si>
  <si>
    <t>TC-07313</t>
  </si>
  <si>
    <t>Hardware Line Server Model 305, 4 analog channels</t>
  </si>
  <si>
    <t>TC-07323</t>
  </si>
  <si>
    <t>Hardware Line interface (Mod. 305) upgrade 4 to 8 channel analog</t>
  </si>
  <si>
    <t>TC-07324</t>
  </si>
  <si>
    <t>Hardware Line interface (Mod. 305) upgrade 2 to 4 channel Bell DID</t>
  </si>
  <si>
    <t>TC-07402</t>
  </si>
  <si>
    <t>Hardware Wireless messaging GSM Box Model 350 for SMS</t>
  </si>
  <si>
    <t>TS15</t>
  </si>
  <si>
    <t>Hardware  TS15</t>
  </si>
  <si>
    <t>TC-07101</t>
  </si>
  <si>
    <t>Hardware Telex interfaces Dual Telex Interface S.19 (XD-Interface)</t>
  </si>
  <si>
    <t>TC-07103</t>
  </si>
  <si>
    <t>Hardware Telex interfaces as S07101 for V.21 standard</t>
  </si>
  <si>
    <t>TC-07104</t>
  </si>
  <si>
    <t>Hardware Telex interfaces as S07101 for V.21 France</t>
  </si>
  <si>
    <t>5060B002</t>
  </si>
  <si>
    <t>4605B002</t>
  </si>
  <si>
    <t>3923B002</t>
  </si>
  <si>
    <t>3093B002</t>
  </si>
  <si>
    <t>3801B002</t>
  </si>
  <si>
    <t>4624B002</t>
  </si>
  <si>
    <t>2417B002</t>
  </si>
  <si>
    <t>0088T050</t>
  </si>
  <si>
    <t xml:space="preserve">P-150 Canon Color Scanner </t>
  </si>
  <si>
    <t>3323B001</t>
  </si>
  <si>
    <t>ScanFront 220e 24ppm/26ipm Scanner</t>
  </si>
  <si>
    <t>3324B001</t>
  </si>
  <si>
    <t>ScanFront 220eP 24ppm/26ipm Scanner</t>
  </si>
  <si>
    <t>4574B002</t>
  </si>
  <si>
    <t>ScanFront 300 30ppm/60ipm Scanner</t>
  </si>
  <si>
    <t>4575B002</t>
  </si>
  <si>
    <t>ScanFront 300P 30ppm/60ipm Scanner</t>
  </si>
  <si>
    <t>4009B001</t>
  </si>
  <si>
    <t>8927A004</t>
  </si>
  <si>
    <t xml:space="preserve">6080/7580/9080 Exch Roller Kit </t>
  </si>
  <si>
    <t>4623B001</t>
  </si>
  <si>
    <t>1541B001</t>
  </si>
  <si>
    <t>4048B001</t>
  </si>
  <si>
    <t>7982A001</t>
  </si>
  <si>
    <t>0106B002</t>
  </si>
  <si>
    <t>3335B001</t>
  </si>
  <si>
    <t>4082B004</t>
  </si>
  <si>
    <t>3651A003</t>
  </si>
  <si>
    <t>0434B002</t>
  </si>
  <si>
    <t>0042T396</t>
  </si>
  <si>
    <t>9664A002</t>
  </si>
  <si>
    <t>3504B001</t>
  </si>
  <si>
    <t>2418B001</t>
  </si>
  <si>
    <t>6331A001</t>
  </si>
  <si>
    <t xml:space="preserve">ED500/ED600 Ink Roller, Black </t>
  </si>
  <si>
    <t>6334A001</t>
  </si>
  <si>
    <t>ED500/ED600 Ink Roller, Red</t>
  </si>
  <si>
    <t>4179B002</t>
  </si>
  <si>
    <t xml:space="preserve">P-150 Feed Roller Unit </t>
  </si>
  <si>
    <t>P-150 Feed Roller Unit, P-150</t>
  </si>
  <si>
    <t>4593B001</t>
  </si>
  <si>
    <t>ScanFront 300 30ppm/60ipm Exchange Roller Kit SF300/300P</t>
  </si>
  <si>
    <t>ScanFront 300P 30ppm/60ipm Exchange Roller Kit SF300/300P</t>
  </si>
  <si>
    <t xml:space="preserve">SF300/300P Exchange Roller Kit </t>
  </si>
  <si>
    <t>PA03450-B505</t>
  </si>
  <si>
    <t>fi-5950, 135ppm/270ipm Fujitsu Color Scanner</t>
  </si>
  <si>
    <t>PA03575-B005</t>
  </si>
  <si>
    <t>fi-6800, 130ppm/260ipm Fujitsu Color Scanner</t>
  </si>
  <si>
    <t>PA03576-B035</t>
  </si>
  <si>
    <t>fi-6770A (VRS), 70ppm/140ipm Fujitsu Color Scanner</t>
  </si>
  <si>
    <t>PA03576-B005</t>
  </si>
  <si>
    <t>fi-6770, 70ppm/140ipm Fujitsu Color Scanner</t>
  </si>
  <si>
    <t>PA03576-B535</t>
  </si>
  <si>
    <t>fi-6670A (VRS), 70ppm/140ipm Fujitsu Color Scanner</t>
  </si>
  <si>
    <t>PA03576-B505</t>
  </si>
  <si>
    <t>fi-6670, 70ppm/140ipm Fujitsu Color Scanner</t>
  </si>
  <si>
    <t>PA03277-B015</t>
  </si>
  <si>
    <t>fi-4340C, 40ppm/80ipm, Flatbed Fujitsu Color Scanner</t>
  </si>
  <si>
    <t>PA03540-B505</t>
  </si>
  <si>
    <t>fi-6240, 60ppm/120ipm, Flatbed Fujitsu Color Scanner</t>
  </si>
  <si>
    <t>PA03540-B005</t>
  </si>
  <si>
    <t>fi-6140, 60ppm/120ipm Fujitsu Color Scanner</t>
  </si>
  <si>
    <t>PA03540-B555</t>
  </si>
  <si>
    <t>fi-6230, 40ppm/80ipm, Flatbed Fujitsu Color Scanner</t>
  </si>
  <si>
    <t>PA03540-B055</t>
  </si>
  <si>
    <t>fi-6130, 40ppm/80ipm Fujitsu Color Scanner</t>
  </si>
  <si>
    <t>PA03607-B005</t>
  </si>
  <si>
    <t>fi-6110, 20ppm/40ipm ADF Fujitsu Color Scanner</t>
  </si>
  <si>
    <t>PA03209-B515</t>
  </si>
  <si>
    <t>fi-5015C, 15ppm, Flatbed Fujitsu Color Scanner</t>
  </si>
  <si>
    <t>PA03586-B015</t>
  </si>
  <si>
    <t>ScanSnap S1500 (Bundle) Fujitsu Color Scanner</t>
  </si>
  <si>
    <t>PA03586-B005</t>
  </si>
  <si>
    <t>ScanSnap S1500 (PC) Fujitsu Color Scanner</t>
  </si>
  <si>
    <t>PA03586-B105</t>
  </si>
  <si>
    <t>ScanSnap S1500M (Mac) 20ppm Fujitsu Color Scanner</t>
  </si>
  <si>
    <t>PA03586-B205</t>
  </si>
  <si>
    <t>ScanSnap S1500 Trade Compliant Fujitsu Color Scanner</t>
  </si>
  <si>
    <t>PA03420-B005</t>
  </si>
  <si>
    <t>fi-60F, 5.83 x 4.13, Flatbed Fujitsu Color Scanner</t>
  </si>
  <si>
    <t>PA03603-B015</t>
  </si>
  <si>
    <t>ScanSnap S1300, Bundle Fujitsu Color Scanner</t>
  </si>
  <si>
    <t>PA03603-B005</t>
  </si>
  <si>
    <t>ScanSnap S1300 Fujitsu Color Scanner</t>
  </si>
  <si>
    <t>PA03610-B005</t>
  </si>
  <si>
    <t>ScanSnap S1100 Fujitsu Color Scanner</t>
  </si>
  <si>
    <t>891-4228</t>
  </si>
  <si>
    <t>9090DB, 90ppm/180ipm Kodak Scanner</t>
  </si>
  <si>
    <t>159-8143</t>
  </si>
  <si>
    <t>9090DC, 90ppm/180ipm Kodak Color Scanner</t>
  </si>
  <si>
    <t>851-6254</t>
  </si>
  <si>
    <t>9125DC, 125ppm/250ipm Kodak Color Scanner</t>
  </si>
  <si>
    <t>851-7476</t>
  </si>
  <si>
    <t>9150DC, 150ppm/300ipm Kodak Color Scanner</t>
  </si>
  <si>
    <t>114-7925</t>
  </si>
  <si>
    <t>i1120 ScanMate, 20ppm/40ipm Kodak Color Scanner</t>
  </si>
  <si>
    <t>101-2434</t>
  </si>
  <si>
    <t>i1210, Plus 45ppm Kodak Color Scanner</t>
  </si>
  <si>
    <t>825-9426</t>
  </si>
  <si>
    <t>i1220, Plus 45ppm/90ipm Kodak Color Scanner</t>
  </si>
  <si>
    <t>122-0169</t>
  </si>
  <si>
    <t xml:space="preserve">i1310, Plus 60ppm Kodak Color Scanner </t>
  </si>
  <si>
    <t>141-9787</t>
  </si>
  <si>
    <t>i1320, Plus 60ppm/120ipm Kodak Color Scanner</t>
  </si>
  <si>
    <t>825-2843</t>
  </si>
  <si>
    <t xml:space="preserve">i1405, 45ppm/90ipm Kodak Color Scanner </t>
  </si>
  <si>
    <t>827-2676</t>
  </si>
  <si>
    <t>i1420, 60ppm/120ipm Kodak Color Scanner</t>
  </si>
  <si>
    <t>876-6198</t>
  </si>
  <si>
    <t>i1440, 75ppm/150ipm Kodak Color Scanner</t>
  </si>
  <si>
    <t>823-6697</t>
  </si>
  <si>
    <t>i1840, 160ppm/320ipm Kodak Color Scanner</t>
  </si>
  <si>
    <t>876-1850</t>
  </si>
  <si>
    <t>i1860, 200ppm/400ipm Kodak Color Scanner</t>
  </si>
  <si>
    <t>861-2459</t>
  </si>
  <si>
    <t>i30, 25ppm Kodak Color Scanner</t>
  </si>
  <si>
    <t>888-2649</t>
  </si>
  <si>
    <t>i40, 25ppm/50ipm Kodak Color Scanner</t>
  </si>
  <si>
    <t>845-3508</t>
  </si>
  <si>
    <t>i4200, 100ppm/200ipm Kodak Color Scanner</t>
  </si>
  <si>
    <t>144-3589</t>
  </si>
  <si>
    <t>i4600, 120ppm/240ipm Kodak Color Scanner</t>
  </si>
  <si>
    <t>153-4270</t>
  </si>
  <si>
    <t>i620, 80ppm/160ipm Kodak Color Scanner</t>
  </si>
  <si>
    <t>186-7852</t>
  </si>
  <si>
    <t>i730, 90ppm/180ipm Kodak Color Scanner</t>
  </si>
  <si>
    <t>180-2230</t>
  </si>
  <si>
    <t>i750, 115ppm/230ipm Kodak Color Scanner</t>
  </si>
  <si>
    <t>120-0013</t>
  </si>
  <si>
    <t>i780, 130ppm/260ipm Kodak Color Scanner</t>
  </si>
  <si>
    <t>199-2882</t>
  </si>
  <si>
    <t>PS410, 30ppm Kodak Color Scanner</t>
  </si>
  <si>
    <t>873-8056</t>
  </si>
  <si>
    <t>ScanStation 500, 30ppm/60ipm Kodak Color Network Scanner</t>
  </si>
  <si>
    <t>168-6161</t>
  </si>
  <si>
    <t>ScanStation 550, 30ppm/60ipm Kodak Color Network Scanner</t>
  </si>
  <si>
    <t>814-8041</t>
  </si>
  <si>
    <t>Sidekick 1400u, 43ppm/76ipm Kodak Color Scanner</t>
  </si>
  <si>
    <t>831-8214</t>
  </si>
  <si>
    <t>Sidekick 1400u, 43ppm/76ipm Lock Scanner Security Sidekick</t>
  </si>
  <si>
    <t>867-7288</t>
  </si>
  <si>
    <t>Tethered A4 Flatbed 8.5 x 11 Kodak Scanner Accessory</t>
  </si>
  <si>
    <t>891-1448</t>
  </si>
  <si>
    <t>Truper 3210, 90ppm/180ipm, FB Kodak Color Scanner</t>
  </si>
  <si>
    <t>105-5755</t>
  </si>
  <si>
    <t>Truper 3610, 90ppm/180ipm Kodak Color Scanner</t>
  </si>
  <si>
    <t>862-1716</t>
  </si>
  <si>
    <t>Custom Scanner Table</t>
  </si>
  <si>
    <t xml:space="preserve">Sidekick Lock Scanner Security </t>
  </si>
  <si>
    <t>KACE-001</t>
  </si>
  <si>
    <t>KACE - K1100 - 100 Nodes - Base Unit + 1-Yr Standard Support and Maintenance + Jump Start-Family price</t>
  </si>
  <si>
    <t>KACE - K1100 - 100 Nodes - Base Unit - 1-Yr Platinum Support and Maintenance</t>
  </si>
  <si>
    <t>KACE-002</t>
  </si>
  <si>
    <t>KACE - VK1100- 100 Nodes - Base Unit + 1-Yr Standard Support and Maintenance + Jump Start-Family price</t>
  </si>
  <si>
    <t>KACE-003</t>
  </si>
  <si>
    <t>KACE - K1200- 100 Nodes - Base Unit + 1-Yr Standard Support and Maintenance + Jump Start-Family price</t>
  </si>
  <si>
    <t>KACE - K1200- 100 Nodes - Base Unit - 1-Yr Standard Support and Maintenance</t>
  </si>
  <si>
    <t>KACE-004</t>
  </si>
  <si>
    <t>KACE - VK1200- 100 Nodes - Base Unit + 1-Yr Standard Support and Maintenance + Jump Start-Family price</t>
  </si>
  <si>
    <t>KACE-005</t>
  </si>
  <si>
    <t>KACE - K2100- 100 Nodes - Base Unit + 1-Yr Standard Support and Maintenance + Jump Start-Family price</t>
  </si>
  <si>
    <t>KACE-006</t>
  </si>
  <si>
    <t>KACE - VK2100- 100 Node - Base Unit + 1-Yr Standard Support and Maintenance + Jump Start-Family price</t>
  </si>
  <si>
    <t>KACE-007</t>
  </si>
  <si>
    <t>KACE - K2200- 100 Nodes - Base Unit + 1-Yr Standard Support and Maintenance + Jump Start-Family price</t>
  </si>
  <si>
    <t>KACE-008</t>
  </si>
  <si>
    <t>KACE - VK2200- 100 Nodes  - Base Unit + 1-Yr Standard Support and Maintenance + Jump Start-Family price</t>
  </si>
  <si>
    <t>KACE-016</t>
  </si>
  <si>
    <t>KACE - Additional Nodes for K1100 and VK100</t>
  </si>
  <si>
    <t>KACE-017</t>
  </si>
  <si>
    <t>100-000-104</t>
  </si>
  <si>
    <t>BIS Cloud Kiosk Scanning Appliance</t>
  </si>
  <si>
    <t>100-000-107</t>
  </si>
  <si>
    <t>BIS Cloud Kiosk Scanning Appliance - Standard Lease + Support</t>
  </si>
  <si>
    <t>100-000-110</t>
  </si>
  <si>
    <t>BIS Cloud Kiosk Scanning Appliance - Platinum Lease + Support</t>
  </si>
  <si>
    <t>ProStor InfiniVault Model 3 -- System Controller, 700GB Online Area, 3 RDX slots</t>
  </si>
  <si>
    <t>ProStor InfiniVault Model 5 -- System Controller, 1.8TB Online Area, 5 RDX slots</t>
  </si>
  <si>
    <t>ProStor InfiniVault Model 30 - - System Controller with 3.7TB Online Area- Removable Disk Unit (RDU), 10 RDX slots</t>
  </si>
  <si>
    <t>ProStor InfiniVault Model 35 - - System Controller with 5.6TB Online Area- Removable Disk Unit (RDU), 10 RDX slots</t>
  </si>
  <si>
    <t>ProStor InfiniVault Model 100 - - System Controller- 13TB Online Area- Two Removable Disk Units (RDU), 20 RDX slots</t>
  </si>
  <si>
    <t>ProStor InfiniVault Expansion Removable Disk Unit, 3U component with10 RDX slots</t>
  </si>
  <si>
    <t>5 pack of 500 GB cartridges</t>
  </si>
  <si>
    <t>5 pack of 640 GB cartridges</t>
  </si>
  <si>
    <t>5 pack of 1 TB cartridges</t>
  </si>
  <si>
    <t>FileStore Data Migrator for InfiniVault.</t>
  </si>
  <si>
    <t>ProStor InfiniVault DICOM Model 3 - System Controller, 700GB Online Area, 3 RDX slots- Integrated DICOM software</t>
  </si>
  <si>
    <t>ProStor InfiniVault DICOM Model 5 - - System Controller, 1.8TB Online Area, 5 RDX slots- Integrated DICOM software</t>
  </si>
  <si>
    <t>ProStor InfiniVault DICOM Model 30 - System Controller 3.7TB Online Area- Removable Disk Unit (RDU), 10 RDX slots</t>
  </si>
  <si>
    <t>ProStor InfiniVault DICOM Model 35 - System Controller 5.6TB Online Area- Removable Disk Unit (RDU), 10 RDX slots</t>
  </si>
  <si>
    <t>ProStor InfiniVault DICOM Model 100-System Controller-13TB Online Area-Two Removable Disk Units, 20 RDX slots</t>
  </si>
  <si>
    <t>Everest™ 600/400 Printer Ribbons Retransfer Roll (up to 500 prints)</t>
  </si>
  <si>
    <t>Everest™ 600/400 Printer Ribbons Three Panel Color - CMY Ribbon (up to 500 prints)</t>
  </si>
  <si>
    <t>Everest™ 600/400 Printer Ribbons Black Ribbon (up to 1,000 prints)</t>
  </si>
  <si>
    <t>Everest™ 600/400 Printer Ribbons Extra Ribbon Carriage for Everest 400 Printer ITS</t>
  </si>
  <si>
    <t>Everest™ 600/400 Printer Ribbons Extra Ribbon Carriage for Everest 400 Printer CMY/BLK</t>
  </si>
  <si>
    <t>Everest™ CD, DVD and Blu-ray Disc™ Blank Media CD-R White Everest (Qty = 100)</t>
  </si>
  <si>
    <t>Everest™ CD, DVD and Blu-ray Disc™ Blank Media CD-R Silver Everest (Qty = 100)</t>
  </si>
  <si>
    <t>Everest™ CD, DVD and Blu-ray Disc™ Blank Media DVD-R White Everest (Qty = 100)</t>
  </si>
  <si>
    <t>Everest™ CD, DVD and Blu-ray Disc™ Blank Media DVD-R CSS White Everest (Qty = 50)</t>
  </si>
  <si>
    <t>Everest™ CD, DVD and Blu-ray Disc™ Blank Media BD-R Single Layer (25 GB) 6x White Everest (Qty = 25)</t>
  </si>
  <si>
    <t>Everest™ CD, DVD and Blu-ray Disc™ Blank Media BD-R Dual Layer (50 GB) 6x White Everest (Qty = 25)</t>
  </si>
  <si>
    <t>InkJet CD &amp; DVD Blank Media Media InkJet CD &amp; DVD Blank Media CD-R White InkJet (Qty = 100)</t>
  </si>
  <si>
    <t>InkJet CD &amp; DVD Blank Media Media InkJet CD &amp; DVD Blank Media DVD-R White InkJet (Qty = 100)</t>
  </si>
  <si>
    <t>PrismPlus Blank Media CD-R White PrismPlus (Qty = 100)</t>
  </si>
  <si>
    <t>PrismPlus Blank Media CD-R Silver PrismPlus (Qty = 100)</t>
  </si>
  <si>
    <t>PrismPlus Blank Media DVD-R  White PrismPlus (Qty = 100)</t>
  </si>
  <si>
    <t>Producer III - 8100N (with Embedded, High-Performance Control Center) 19" LCD Monitor, Keyboard, Mouse</t>
  </si>
  <si>
    <t>Producer III - 7100N (with Embedded, High Performance Control Center) 19" LCD Monitor, Keyboard, Mouse</t>
  </si>
  <si>
    <t>Producer III - 6100N (with Embedded Control Center) 19" LCD Monitor, Keyboard, Mouse</t>
  </si>
  <si>
    <t>Professional - 5400N (with Embedded Control Center) 19" LCD Monitor, Keyboard, Mouse</t>
  </si>
  <si>
    <t>Professional - 3400 19" LCD Monitor, Keyboard, Mouse</t>
  </si>
  <si>
    <t>Rimage Video Protect™ Anti-Rip Technology Rimage Video Protect Dongle with 100 credits</t>
  </si>
  <si>
    <t>Rimage Video Protect™ Anti-Rip Technology Rimage Video Protect Dongle with 1,000 credits</t>
  </si>
  <si>
    <t>Rimage Video Protect™ Anti-Rip Technology Rimage Video Protect Dongle with 5,000 credits</t>
  </si>
  <si>
    <t>Rimage Archiver  Rimage Archiver for P2HD Software</t>
  </si>
  <si>
    <t>Everest™ 600/400 Media Kits CD-R 500 count (white) media kit, (1) CMY ribbon, (1) retransfer roll</t>
  </si>
  <si>
    <t>Everest™ 600/400 Media Kits CD-R 1,000 count (white) media kit, (2) CMY ribbon, (2) retransfer roll</t>
  </si>
  <si>
    <t>Everest™ 600/400 Media Kits CD-R 1,000 count (white) media kit, (1) black ribbon, (2) retransfer roll</t>
  </si>
  <si>
    <t>Everest™ 600/400 Media Kits CD-R 1,000 count (silver) media kit, (1) black ribbon, (2) retransfer roll</t>
  </si>
  <si>
    <t>Everest™ 600/400 Bulk Media Kits CD-R 10,000 count (white) media kit, (20) CMY ribbons, (20) retransfer roll</t>
  </si>
  <si>
    <t>Everest™ 600/400 Bulk Media Kits CD-R 10,000 count (white) media kit, (10) black ribbons, (20) retransfer roll</t>
  </si>
  <si>
    <t>Everest™ 600/400 Bulk Media Kits CD-R 10,000 count (silver) media kit, (10) black ribbons, (20) retransfer roll</t>
  </si>
  <si>
    <t>Everest™ 600/400 Media Kits DVD-R 500 count (white) media kit, (1) CMY ribbon, (1) retransfer roll</t>
  </si>
  <si>
    <t>Everest™ 600/400 Media Kits DVD-R 1,000 count (white) media kit, (2) CMY ribbon, (2) retransfer roll</t>
  </si>
  <si>
    <t>Everest™ 600/400 Media Kits DVD-R 1,000 count (white) media kit, (1) black ribbon, (2) retransfer roll</t>
  </si>
  <si>
    <t>Everest™ 600/400 Bulk Media Kits DVD-R 10,000 count (white) media kit, (20) CMY ribbons, (20) retransfer roll</t>
  </si>
  <si>
    <t>Everest™ 600/400 Bulk Media Kits DVD-R 10,000 count (white) media kit, (10) black ribbons, (20) retransfer roll</t>
  </si>
  <si>
    <t>Everest™ 600/400 Bulk Media Kits DVD-R CSS 10,000 count (white) media kit, (20) CMY ribbons, (20) retransfer roll</t>
  </si>
  <si>
    <t>Printer Cleaning Supplies Everest Print Head Cleaning Kit</t>
  </si>
  <si>
    <t>Rimage Archiver  Rimage Archiver for Canon CS-FV Software</t>
  </si>
  <si>
    <t>Professional - 5400N (with Embedded Control Center) Network Software Suite for 3400</t>
  </si>
  <si>
    <t>Professional - 3400 Network Software Suite for 3400</t>
  </si>
  <si>
    <t>Everest™ 600/400 Bulk Media Kits 10-Pack CD-R 1K (white) media kits - CMY</t>
  </si>
  <si>
    <t>Everest™ 600/400 Bulk Media Kits 10-Pack CD-R 1K (white) media kits - Black</t>
  </si>
  <si>
    <t>Everest™ 600/400 Bulk Media Kits 10-Pack CD-R 1K (silver) media kits - Black</t>
  </si>
  <si>
    <t>Everest™ 600/400 Bulk Media Kits 10-Pack 16X DVD-R 1K (white) media kits - CMY</t>
  </si>
  <si>
    <t>Everest™ 600/400 Bulk Media Kits 10-Pack 16X DVD-R 1K (white) media kits - Black</t>
  </si>
  <si>
    <t>Everest™ I/II/III Bulk Media Kits 10-Pack CD-R 1K (white) media kits - CMY</t>
  </si>
  <si>
    <t>Everest™ I/II/III Bulk Media Kits 10-Pack CD-R 1K (white) media kits - Black</t>
  </si>
  <si>
    <t>Everest™ I/II/III Bulk Media Kits 10-Pack 16X DVD-R 1K (white) media kits - CMY</t>
  </si>
  <si>
    <t>Everest™ I/II/III Media Kits CD-R 1,000 count (silver) media kit, (2) CMY ribbons, (1) retransfer roll</t>
  </si>
  <si>
    <t>Rimage Inkjet Bulk Media Kits CD-R 6,000 count (white) media kit, (20) RC1, (10) RB1 cartridges</t>
  </si>
  <si>
    <t>Everest™ 600/400 Media Kits BD-R / DVD-R (white) media kit, (100) BD-R, (400) DVD-R, (1) CMY ribbon, (1) retransfer roll</t>
  </si>
  <si>
    <t>Everest™ I/II/III Media Kits CD-R 400 count (silver) media kit, (1) CMYW ribbon, (1) retransfer roll</t>
  </si>
  <si>
    <t>PrismPlus Blank Media CD-R White PrismPlus (Qty = 1,000)</t>
  </si>
  <si>
    <t>PrismPlus Blank Media CD-R Silver PrismPlus (Qty = 1,000)</t>
  </si>
  <si>
    <t>PrismPlus Blank Media CD-R White PrismPlus (Qty = 10,000)</t>
  </si>
  <si>
    <t>PrismPlus Blank Media CD-R Silver PrismPlus (Qty = 10,000)</t>
  </si>
  <si>
    <t>PrismPlus Blank Media DVD-R White PrismPlus (Qty = 1,000)</t>
  </si>
  <si>
    <t>PrismPlus Blank Media DVD-R White PrismPlus (Qty = 10,000)</t>
  </si>
  <si>
    <t>Everest™ 600/400 Media Kits BD-R 25GB - 500 count (white) media kit, (1) CMY ribbon, (1) retransfer roll</t>
  </si>
  <si>
    <t>Producer III - 8100N (with Embedded, High-Performance Control Center) Producer III 8100N with PrismPlus! Printer-4 BD</t>
  </si>
  <si>
    <t>Producer III - 8100N (with Embedded, High-Performance Control Center) Producer III 8100N with PrismPlus! Printer-2 BD - 2 CD/DVD</t>
  </si>
  <si>
    <t>Producer III - 7100N (with Embedded, High Performance Control Center) Producer III 7100N with PrismPlus! Printer-1 BD - 1 CD/DVD</t>
  </si>
  <si>
    <t>Producer III - 7100N (with Embedded, High Performance Control Center) Producer III 7100N with PrismPlus! Printer-2 BD</t>
  </si>
  <si>
    <t>Producer III - 8100N (with Embedded, High-Performance Control Center) Producer III 8100N with Everest 600 Printer-4 CD/DVD</t>
  </si>
  <si>
    <t>Producer III - 8100N (with Embedded, High-Performance Control Center) Producer III 8100N with Everest 600 Printer-2 BD - 2 CD/DVD</t>
  </si>
  <si>
    <t>Producer III - 8100N (with Embedded, High-Performance Control Center) Producer III 8100N with Everest 600 Printer-4 BD</t>
  </si>
  <si>
    <t>Producer III - 7100N (with Embedded, High Performance Control Center) Producer III 7100N with Everest 600 Printer-2 CD/DVD</t>
  </si>
  <si>
    <t>Producer III - 7100N (with Embedded, High Performance Control Center) Producer III 7100N with Everest 600 Printer-1 BD - 1 CD/DVD</t>
  </si>
  <si>
    <t>Producer III - 7100N (with Embedded, High Performance Control Center) Producer III 7100N with Everest 600 Printer-2 BD</t>
  </si>
  <si>
    <t>Autoprinters and Stand Alone Printers Stand-Alone Everest 600</t>
  </si>
  <si>
    <t>Producer III - 6100N (with Embedded Control Center) Producer III 6100N with PrismPlus! Printer-1 CD/DVD</t>
  </si>
  <si>
    <t>Producer III - 6100N (with Embedded Control Center) Producer III 6100N with Everest 600 Printer-1 CD/DVD</t>
  </si>
  <si>
    <t>Autoprinters and Stand Alone Printers AutoEverest 600</t>
  </si>
  <si>
    <t>Producer III - 6100N (with Embedded Control Center) Producer III 6100N with Everest 600 Printer-1 BD</t>
  </si>
  <si>
    <t>Producer III - 6100N (with Embedded Control Center) Producer III 6100N with PrismPlus! Printer-1 BD</t>
  </si>
  <si>
    <t xml:space="preserve">Professional - 3400 (with Network Software Suite) Professional 3400 with Everest 400 Printer-2 CD/DVD </t>
  </si>
  <si>
    <t>Professional - 5400N (with Embedded Control Center) Professional 5400N with Everest 400 Printer-2 CD/DVD</t>
  </si>
  <si>
    <t>Professional - 5400N (with Embedded Control Center) Professional 5400N with Everest 400 Printer-2 BD</t>
  </si>
  <si>
    <t>Professional - 3400 (with Network Software Suite) Professional 3400 NSS with Everest 400 Printer-2 CD/DVD</t>
  </si>
  <si>
    <t>Professional - 3400 (with Network Software Suite) Professional 3400 with Everest 400 Printer-2 BD</t>
  </si>
  <si>
    <t xml:space="preserve">Professional - 3400 (with Network Software Suite) Professional 3400 NSS with Everest 400 Printer-1 BD - 1 CD/DVD </t>
  </si>
  <si>
    <t>Professional - 3400 (with Network Software Suite) Professional 3400 with Everest 400 Printer-1 BD - 1 CD/DVD</t>
  </si>
  <si>
    <t>Professional - 3400 (with Network Software Suite) Professional 3400 NSS with Everest 400 Printer-2 BD</t>
  </si>
  <si>
    <t>Professional - 5400N (with Embedded Control Center) Professional 5400N with Everest 400 Printer-1 BD - 1 CD/DVD</t>
  </si>
  <si>
    <t>RIMAGE 8100N, 5400N EDS Rimage EDS Enterprise - 8100N w/Disc camera and Forensic software-4 BD</t>
  </si>
  <si>
    <t>RIMAGE 8100N, 5400N EDS Rimage EDS Pro - 5400N w/Disc Camera and Forensic software-2 BD</t>
  </si>
  <si>
    <t>Rimage Copy Station Rimage 5400N Copy Station-2 BD</t>
  </si>
  <si>
    <t>130027-001</t>
  </si>
  <si>
    <t>Stand-Alone Everest III, PrismPlus! AutoPrinters (AutoEverest, AutoPrismPlus!) Stand-Alone and AutoPrinter Replacement Software</t>
  </si>
  <si>
    <t>130028-001</t>
  </si>
  <si>
    <t>Stand-Alone Everest III, PrismPlus! AutoPrinters (AutoEverest, AutoPrismPlus!) 360i Replacement Software</t>
  </si>
  <si>
    <t>201737-006</t>
  </si>
  <si>
    <t>PrismPlus!™ Printer RibbonsBlack Ribbon</t>
  </si>
  <si>
    <t>202082-002</t>
  </si>
  <si>
    <t>PrismPlus!™ Printer RibbonsRed Ribbon</t>
  </si>
  <si>
    <t>202506-001</t>
  </si>
  <si>
    <t>PrismPlus!™ Printer RibbonsThree Panel Color Ribbon - CMY (OQI = 10)</t>
  </si>
  <si>
    <t>203015-001</t>
  </si>
  <si>
    <t>Everest™ I, Everest II, Everest III Printer Ribbons Extra Ribbon Carriage for Everest I, II, III Printers</t>
  </si>
  <si>
    <t>203217-001</t>
  </si>
  <si>
    <t>PrismPlus!™ Printer RibbonsRoyal Blue Ribbon</t>
  </si>
  <si>
    <t>203339-001</t>
  </si>
  <si>
    <t>Rimage Ink Jet Cartridges (Rimage 2000i, Rimage 360i, and Rimage 480i) Color Ink Cartridge</t>
  </si>
  <si>
    <t>203340-001</t>
  </si>
  <si>
    <t>Rimage Ink Jet Cartridges (Rimage 2000i, Rimage 360i, and Rimage 480i) Black Ink Cartridge</t>
  </si>
  <si>
    <t>203474-001</t>
  </si>
  <si>
    <t>Everest™ I, Everest II, Everest III Printer Ribbons Retransfer Roll (up to 500 prints)</t>
  </si>
  <si>
    <t>203638-001</t>
  </si>
  <si>
    <t>Everest™ I, Everest II, Everest III Printer Ribbons Three Panel Color - CMY Ribbon (up to 500 prints)</t>
  </si>
  <si>
    <t>203639-001</t>
  </si>
  <si>
    <t>Everest™ I, Everest II, Everest III Printer Ribbons Three Panel Color + White - CMYW Ribbon (up to 375 prints)</t>
  </si>
  <si>
    <t>203640-001</t>
  </si>
  <si>
    <t>Everest™ I, Everest II, Everest III Printer Ribbons Black Ribbon  (up to 1,000 prints)</t>
  </si>
  <si>
    <t>210555-001</t>
  </si>
  <si>
    <t>Printer Cleaning Supplies PrismPlus! Print Head Cleaning Kit</t>
  </si>
  <si>
    <t>210753-001</t>
  </si>
  <si>
    <t>Liberty Ink Cartridges Liberty Ink Cartridges  Color Ink Cartridge</t>
  </si>
  <si>
    <t>210755-001</t>
  </si>
  <si>
    <t xml:space="preserve">Liberty Ink Cartridges Liberty Ink Cartridges  Black Ink Cartridge </t>
  </si>
  <si>
    <t>210762-003</t>
  </si>
  <si>
    <t>Everest™ I/II/III Media Kits CD-R 1,000 count (white) media kit, (2) CMY ribbons, (1) retransfer roll</t>
  </si>
  <si>
    <t>210775-003</t>
  </si>
  <si>
    <t>Everest™ I/II/III Media Kits CD-R 1,000 count (white) media kit, (1) black ribbon, (1) retransfer roll</t>
  </si>
  <si>
    <t>210776-003</t>
  </si>
  <si>
    <t>Everest™ I/II/III Media Kits CD-R 500 count (white) media kit, (1) CMY ribbon, (1) retransfer roll</t>
  </si>
  <si>
    <t>210790-001</t>
  </si>
  <si>
    <t>Rimage InkJet Media Kits CD-R 600 count (white) 480i/2000i media kit, (2) RC1, (1) RB1 cartridges</t>
  </si>
  <si>
    <t>210793-003</t>
  </si>
  <si>
    <t>Everest™ I/II/III Bulk Media Kits CD-R 10,000 count (white) media kit, (20) CMY ribbons, (10) retransfer rolls</t>
  </si>
  <si>
    <t>210840-003</t>
  </si>
  <si>
    <t>Everest™ I/II/III Media Kits CD-R 1,000 count (silver) media kit, (1) black ribbon, (1) retransfer roll</t>
  </si>
  <si>
    <t>210842-003</t>
  </si>
  <si>
    <t>Everest™ I/II/III Media Kits 16X DVD-R 500 count (white) media kit, (1) CMY ribbon, (1) retransfer roll</t>
  </si>
  <si>
    <t>210843-003</t>
  </si>
  <si>
    <t>Everest™ I/II/III Media Kits 16X DVD-R 1,000 count (white) media kit, (2) CMY ribbons, (1) retransfer roll</t>
  </si>
  <si>
    <t>210844-003</t>
  </si>
  <si>
    <t>Everest™ I/II/III Bulk Media Kits 16X DVD-R 10,000 count (white) media kit, (20) CMY ribbons, (10) retransfer rolls</t>
  </si>
  <si>
    <t>210845-001</t>
  </si>
  <si>
    <t>Rimage InkJet Media Kits 16X DVD-R 600 count (white) 480i/2000i media kit, (2) RC1, (1) RB1 cartridges</t>
  </si>
  <si>
    <t>210918-001</t>
  </si>
  <si>
    <t>Producer III - 8100N (with Embedded, High-Performance Control Center) Producer III Discwatch</t>
  </si>
  <si>
    <t>Producer III - 7100N (with Embedded, High Performance Control Center) Producer III Discwatch</t>
  </si>
  <si>
    <t>Producer III - 6100N (with Embedded Control Center) Producer III Discwatch</t>
  </si>
  <si>
    <t>210921-001</t>
  </si>
  <si>
    <t>Rimage 2000i Officenet Software Suite for Rimage 2000i</t>
  </si>
  <si>
    <t>210927-003</t>
  </si>
  <si>
    <t>Everest™ I/II/III Media Kits 16X DVD-R 1,000 count (white) media kit, (1) black ribbon, (1) retransfer roll</t>
  </si>
  <si>
    <t>530101-320</t>
  </si>
  <si>
    <t>Rimage 2000i Rimage 2000i DVD/CD-2 CD/DVD</t>
  </si>
  <si>
    <t>530200-302</t>
  </si>
  <si>
    <t>Autoprinters and Stand Alone Printers Rimage 480i</t>
  </si>
  <si>
    <t>530641-240</t>
  </si>
  <si>
    <t>Producer III - 8100N (with Embedded, High-Performance Control Center) Producer III 8100N with PrismPlus! Printer-4 CD/DVD</t>
  </si>
  <si>
    <t>530741-220</t>
  </si>
  <si>
    <t>Producer III - 7100N (with Embedded, High Performance Control Center)Producer III 7100N with PrismPlus! Printer-2 CD/DVD</t>
  </si>
  <si>
    <t>555201-200</t>
  </si>
  <si>
    <t>Autoprinters and Stand Alone Printers AutoPrismPlus!</t>
  </si>
  <si>
    <t>CDPRS11</t>
  </si>
  <si>
    <t>Autoprinters and Stand Alone Printers Stand-Alone PrismPlus!</t>
  </si>
  <si>
    <t xml:space="preserve">S-CPRF265001000 </t>
  </si>
  <si>
    <t>TR1034+P4-4L-R Four Channel Analog Fax Board</t>
  </si>
  <si>
    <t xml:space="preserve">S-CPRF265001100 </t>
  </si>
  <si>
    <t>TR1034+P8-8L-R Eight Channel Analog Fax Board</t>
  </si>
  <si>
    <t>S-CPRF265002800 T</t>
  </si>
  <si>
    <t>TruFax 100-R-uPCI - uPCI Analog Fax Board - Half Length</t>
  </si>
  <si>
    <t xml:space="preserve">S-CPRF265003000 </t>
  </si>
  <si>
    <t>TruFax 200-R-uPCI - uPCI Analog Fax Board - Half Length</t>
  </si>
  <si>
    <t xml:space="preserve">S-CPRF265003700 </t>
  </si>
  <si>
    <t>TR1034+E4-4L Four Channel Analog Fax Board - PCI Express</t>
  </si>
  <si>
    <t xml:space="preserve">S-CPRF265003800 </t>
  </si>
  <si>
    <t>TR1034+E8-8L Eight Channel Analog Fax Board - PCI Express</t>
  </si>
  <si>
    <t xml:space="preserve">S-CPRF265007600 </t>
  </si>
  <si>
    <t>TR1034+P2-2L-R Two Channel Analog Fax Board - Half Length</t>
  </si>
  <si>
    <t xml:space="preserve">S-CPRF265007800 </t>
  </si>
  <si>
    <t>TR1034+E2-2L-R Two Channel Analog Fax Board - PCI Express - Half Length</t>
  </si>
  <si>
    <t xml:space="preserve">S-CPRF265008300 </t>
  </si>
  <si>
    <t>TruFax 100E - Analog Fax Board - PCI Express - Half Length</t>
  </si>
  <si>
    <t xml:space="preserve">S-CPRF265008500 </t>
  </si>
  <si>
    <t>TruFax 200E - Analog Fax Board - PCI Express- Half Length</t>
  </si>
  <si>
    <t xml:space="preserve">S-CPRF265000100 </t>
  </si>
  <si>
    <t>TR1034+uP2C-R Two Channel Combo Fax Board (1 Loop/ 1 DID) - Half Length</t>
  </si>
  <si>
    <t xml:space="preserve">S-CPRF265000200 </t>
  </si>
  <si>
    <t>TR1034+uP4C-R Four Channel Combo Fax Board (2 Loop/ 2 DID) - Half Length</t>
  </si>
  <si>
    <t xml:space="preserve">S-CPRF265000300 </t>
  </si>
  <si>
    <t>TR1034+uP2D-R Two Channel DID Fax Board - Half Length</t>
  </si>
  <si>
    <t xml:space="preserve">S-CPRF265000400 </t>
  </si>
  <si>
    <t>TR1034+uP4D-R Four Channel DID Fax Board - Half Length</t>
  </si>
  <si>
    <t xml:space="preserve">S-CPRF265007900 </t>
  </si>
  <si>
    <t>TR1034+E2C-R Two Channel Combo Fax Board (1 Loop/ 1 DID) - PCI Express - Half Length</t>
  </si>
  <si>
    <t xml:space="preserve">S-CPRF265008000 </t>
  </si>
  <si>
    <t>TR1034+E2D-R Two Channel DID Fax Board - PCI Express - Half Length</t>
  </si>
  <si>
    <t xml:space="preserve">S-CPRF265008100 </t>
  </si>
  <si>
    <t>TR1034+E4C-R Four Channel Combo Fax Board (2 Loop/ 2 DID) - PCI Express - Half Length</t>
  </si>
  <si>
    <t xml:space="preserve">S-CPRF265008200 </t>
  </si>
  <si>
    <t>TR1034+E4D-R Four Channel DID Fax Board - PCI Express - Half Length</t>
  </si>
  <si>
    <t xml:space="preserve">S-CPRF265001800 </t>
  </si>
  <si>
    <t>TR1034+P4H-T1-1N-R 4-pt T1/PRI Interface uPCI Fax Board</t>
  </si>
  <si>
    <t xml:space="preserve">S-CPRF265001900 </t>
  </si>
  <si>
    <t>TR1034+P8H-T1-1N-R 8-pt T1/PRI Interface uPCI Fax Board</t>
  </si>
  <si>
    <t xml:space="preserve">S-CPRF265002000 </t>
  </si>
  <si>
    <t>TR1034+P16H-T1-1N-R 16-pt T1/PRI Interface uPCI Fax Board</t>
  </si>
  <si>
    <t xml:space="preserve">S-CPRF265002100 </t>
  </si>
  <si>
    <t>TR1034+P24H-T1-1N-R 24-pt T1/PRI Interface uPCI Fax board</t>
  </si>
  <si>
    <t xml:space="preserve">S-CPRF265005100 </t>
  </si>
  <si>
    <t>TR1034+E4H-T1-1N-PCIe-R 4-pt T1/PRI Interface Fax Board - PCI Express</t>
  </si>
  <si>
    <t xml:space="preserve">S-CPRF265005200 </t>
  </si>
  <si>
    <t>TR1034+E8H-T1-1N-PCIe-R 8-pt T1/PRI Interface Fax Board - PCI Express</t>
  </si>
  <si>
    <t xml:space="preserve">S-CPRF265005300 </t>
  </si>
  <si>
    <t>TR1034+E16H-T1-1N-R 16-pt T1/PRI Interface Fax Board - PCI Express</t>
  </si>
  <si>
    <t xml:space="preserve">S-CPRF265005400 </t>
  </si>
  <si>
    <t>TR1034+E24H-T1-1N-R 24-pt T1/PRI Interface Fax board - PCI Express</t>
  </si>
  <si>
    <t xml:space="preserve">S-CPRF2660001 </t>
  </si>
  <si>
    <t>TR1034 4-Channel to 8-Channel License Key (T1) Upgrade</t>
  </si>
  <si>
    <t xml:space="preserve">S-CPRF2660002 </t>
  </si>
  <si>
    <t>TR1034 4-Channel to 16-Channel License Key (T1) Upgrade</t>
  </si>
  <si>
    <t xml:space="preserve">S-CPRF2660003 </t>
  </si>
  <si>
    <t>TR1034 4-Channel to 24-Channel License Key (T1) Upgrade</t>
  </si>
  <si>
    <t xml:space="preserve">S-CPRF2660004 </t>
  </si>
  <si>
    <t>TR1034 8-Channel to 16-Channel License Key (T1) Upgrade</t>
  </si>
  <si>
    <t xml:space="preserve">S-CPRF2660006 </t>
  </si>
  <si>
    <t>TR1034 8-Channel to 24-Channel License Key (T1) Upgrade</t>
  </si>
  <si>
    <t xml:space="preserve">S-CPRF2660008 </t>
  </si>
  <si>
    <t>TR1034 16-Channel to 24-Channel License Key (T1) Upgrade</t>
  </si>
  <si>
    <t xml:space="preserve">S-CPRF2660022 </t>
  </si>
  <si>
    <t>TR1034 4-Channel to 8-Channel License Key (T1)</t>
  </si>
  <si>
    <t xml:space="preserve">S-CPRF2660023 </t>
  </si>
  <si>
    <t>TR1034 4-Channel to 16-Channel License Key (T1)</t>
  </si>
  <si>
    <t xml:space="preserve">S-CPRF2660024 </t>
  </si>
  <si>
    <t>TR1034 4-Channel to 24-Channel License Key (T1)</t>
  </si>
  <si>
    <t xml:space="preserve">S-CPRF2660028 </t>
  </si>
  <si>
    <t>TR1034 8-Channel to 16-Channel License Key (T1)</t>
  </si>
  <si>
    <t xml:space="preserve">S-CPRF2660030 </t>
  </si>
  <si>
    <t>TR1034 8-Channel to 24-Channel License Key (T1)</t>
  </si>
  <si>
    <t xml:space="preserve">S-CPRF2660032 </t>
  </si>
  <si>
    <t>TR1034 16-Channel to 24-Channel License Key (T1)</t>
  </si>
  <si>
    <t xml:space="preserve">S-CPRF2660013 </t>
  </si>
  <si>
    <t>TR1034 4-Channel (T1)</t>
  </si>
  <si>
    <t xml:space="preserve">S-CPRF2660014 </t>
  </si>
  <si>
    <t>TR1034 8-Channel (T1)</t>
  </si>
  <si>
    <t xml:space="preserve">S-CPRF2660015 </t>
  </si>
  <si>
    <t>TR1034 16-Channel (T1)</t>
  </si>
  <si>
    <t xml:space="preserve">S-CPRF2660016 </t>
  </si>
  <si>
    <t>TR1034 24-Channel (T1)</t>
  </si>
  <si>
    <t xml:space="preserve">S-CPRF2670003 </t>
  </si>
  <si>
    <t>Brooktrout SR-140-2F - 2 Channel FoIP Boardless Fax Solution 2 Channel T.38 (V.34); SIP; H.323; Host Based Fax License</t>
  </si>
  <si>
    <t xml:space="preserve">S-CPRF2670004 </t>
  </si>
  <si>
    <t>Brooktrout SR-140-4F - 4 Channel FoIP Boardless Fax Solution 4 Channel T.38 (V.34); SIP; H.323; Host Based Fax License</t>
  </si>
  <si>
    <t xml:space="preserve">S-CPRF2670005 </t>
  </si>
  <si>
    <t>Brooktrout SR-140-8F - 8 Channel FoIP Boardless Fax Solution 8 Channel T.38 (V.34); SIP; H.323; Host Based Fax License</t>
  </si>
  <si>
    <t xml:space="preserve">S-CPRF2670006 </t>
  </si>
  <si>
    <t>Brooktrout SR-140-12F - 12 Channel FoIP Boardless Fax Solution 12 Channel T.38 (V.34); SIP; H.323; Host Based Fax License</t>
  </si>
  <si>
    <t xml:space="preserve">S-CPRF2670007 </t>
  </si>
  <si>
    <t>Brooktrout SR-140-24F - 24 Channel FoIP Boardless Fax Solution 24 Channel T.38 (V.34); SIP; H.323; Host Based Fax License</t>
  </si>
  <si>
    <t xml:space="preserve">S-CPRF2670008 </t>
  </si>
  <si>
    <t>Brooktrout SR-140-30F - 30 Channel FoIP Boardless Fax Solution 30 Channel T.38 (V.34); SIP; H.323; Host Based Fax License</t>
  </si>
  <si>
    <t xml:space="preserve">S-CPRF2670009 </t>
  </si>
  <si>
    <t>Brooktrout SR-140-48F - 48 Channel FoIP Boardless Fax Solution 48 Channel T.38 (V.34); SIP; H.323; Host Based Fax License</t>
  </si>
  <si>
    <t xml:space="preserve">S-CPRF2670010 </t>
  </si>
  <si>
    <t>Brooktrout SR-140-60F - 60 Channel FoIP Boardless Fax Solution 60 Channel T.38 (V.34); SIP; H.323; Host Based Fax License</t>
  </si>
  <si>
    <t xml:space="preserve">S-CPRF2670014 </t>
  </si>
  <si>
    <t>Brooktrout SR-140-2F - 2 Channel FoIP Boardless Fax Solution - Redundant</t>
  </si>
  <si>
    <t xml:space="preserve">S-CPRF2670015 </t>
  </si>
  <si>
    <t>Brooktrout SR-140-4F - 4 Channel FoIP Boardless Fax Solution - Redundant</t>
  </si>
  <si>
    <t xml:space="preserve">S-CPRF2670016 </t>
  </si>
  <si>
    <t>Brooktrout SR-140-8F - 8 Channel FoIP Boardless Fax Solution - Redundant</t>
  </si>
  <si>
    <t xml:space="preserve">S-CPRF2670017 </t>
  </si>
  <si>
    <t>Brooktrout SR-140-12F - 12 Channel FoIP Boardless Fax Solution - Redundant</t>
  </si>
  <si>
    <t xml:space="preserve">S-CPRF2670018 </t>
  </si>
  <si>
    <t>Brooktrout SR-140-24F - 24 Channel FoIP Boardless Fax Solution - Redundant</t>
  </si>
  <si>
    <t xml:space="preserve">S-CPRF2670019 </t>
  </si>
  <si>
    <t>Brooktrout SR-140-30F - 30 Channel FoIP Boardless Fax Solution - Redundant</t>
  </si>
  <si>
    <t xml:space="preserve">S-CPRF2670020 </t>
  </si>
  <si>
    <t>Brooktrout SR-140-48F - 48 Channel FoIP Boardless Fax Solution - Redundant</t>
  </si>
  <si>
    <t xml:space="preserve">S-CPRF2670021 </t>
  </si>
  <si>
    <t>Brooktrout SR-140-60F - 60 Channel FoIP Boardless Fax Solution - Redundant</t>
  </si>
  <si>
    <t>Consultant Implementation/Configuration/Training  Cost Proposal, Tab 3</t>
  </si>
  <si>
    <t>Item / Category</t>
  </si>
  <si>
    <t>BIS-PS-01</t>
  </si>
  <si>
    <t>Content Management System Integrator</t>
  </si>
  <si>
    <t>BIS-PS-02</t>
  </si>
  <si>
    <t>Content Management Consultant</t>
  </si>
  <si>
    <t>BIS-PS-03</t>
  </si>
  <si>
    <t>Content Management Project Manager</t>
  </si>
  <si>
    <t>BIS-PS-04</t>
  </si>
  <si>
    <t>Content Management Developer</t>
  </si>
  <si>
    <t>Support Technician</t>
  </si>
  <si>
    <t>BIS-PS-05</t>
  </si>
  <si>
    <t>Technical Support - Phone Support, Online Support, On-site Support, Tab 4</t>
  </si>
  <si>
    <t>457-100-087 - Standard Support</t>
  </si>
  <si>
    <t>V6.5_APPLICATIONXTENDER APPLICATIONXTENDER PRODUCTS APPLICATIONXTENDER 10 USER, PROINDEX, AND QSP-Standard Support</t>
  </si>
  <si>
    <t>457-100-087 - Platinum Support</t>
  </si>
  <si>
    <t>V6.5_APPLICATIONXTENDER APPLICATIONXTENDER PRODUCTS APPLICATIONXTENDER 10 USER, PROINDEX, AND QSP-Platinum Support</t>
  </si>
  <si>
    <t>457-100-088 - Standard Support</t>
  </si>
  <si>
    <t>V6.5_APPLICATIONXTENDER APPLICATIONXTENDER PRODUCTS APPLICATIONXTENDER 10 USER, VERITY AND QSP-Standard Support</t>
  </si>
  <si>
    <t>457-100-088 - Platinum Support</t>
  </si>
  <si>
    <t>V6.5_APPLICATIONXTENDER APPLICATIONXTENDER PRODUCTS APPLICATIONXTENDER 10 USER, VERITY AND QSP-Platinum Support</t>
  </si>
  <si>
    <t>456-102-320 - Standard Support</t>
  </si>
  <si>
    <t>V6.5_APPLICATIONXTENDER APPLICATIONXTENDER PRODUCTS APPXTENDER IMAGE ENHANCER-Standard Support</t>
  </si>
  <si>
    <t>456-102-320 - Platinum Support</t>
  </si>
  <si>
    <t>V6.5_APPLICATIONXTENDER APPLICATIONXTENDER PRODUCTS APPXTENDER IMAGE ENHANCER-Platinum Support</t>
  </si>
  <si>
    <t>457-100-039 - Standard Support</t>
  </si>
  <si>
    <t>V6.5_APPLICATIONXTENDER APPLICATIONXTENDER PRODUCTS EMC APPLICATIONXTENDER 3 USER BUNDLE W/QSP-Standard Support</t>
  </si>
  <si>
    <t>457-100-039 - Platinum Support</t>
  </si>
  <si>
    <t>V6.5_APPLICATIONXTENDER APPLICATIONXTENDER PRODUCTS EMC APPLICATIONXTENDER 3 USER BUNDLE W/QSP-Platinum Support</t>
  </si>
  <si>
    <t>456-100-376 - Standard Support</t>
  </si>
  <si>
    <t>V6.5_APPLICATIONXTENDER APPLICATIONXTENDER PRODUCTS EMC CAPTIVA QSP FOR APPLICATIONXTENDER-Standard Support</t>
  </si>
  <si>
    <t>456-100-376 - Platinum Support</t>
  </si>
  <si>
    <t>V6.5_APPLICATIONXTENDER APPLICATIONXTENDER PRODUCTS EMC CAPTIVA QSP FOR APPLICATIONXTENDER-Platinum Support</t>
  </si>
  <si>
    <t>457-100-248 - Standard Support</t>
  </si>
  <si>
    <t>V6.5_APPLICATIONXTENDER AX CAPTURE PACKAGE APPXTENDER CAPTURE PACKAGE-Standard Support</t>
  </si>
  <si>
    <t>457-100-248 - Platinum Support</t>
  </si>
  <si>
    <t>V6.5_APPLICATIONXTENDER AX CAPTURE PACKAGE APPXTENDER CAPTURE PACKAGE-Platinum Support</t>
  </si>
  <si>
    <t>457-100-246 - Standard Support</t>
  </si>
  <si>
    <t>V6.5_APPLICATIONXTENDER AX CORE PACKAGE APPXTENDER SERVER - 25 CC USER PACK-Standard Support</t>
  </si>
  <si>
    <t>457-100-246 - Platinum Support</t>
  </si>
  <si>
    <t>V6.5_APPLICATIONXTENDER AX CORE PACKAGE APPXTENDER SERVER - 25 CC USER PACK-Platinum Support</t>
  </si>
  <si>
    <t>457-100-245 - Standard Support</t>
  </si>
  <si>
    <t>V6.5_APPLICATIONXTENDER AX CORE PACKAGE APPXTENDER SERVER - 5 CC USER PACK-Standard Support</t>
  </si>
  <si>
    <t>457-100-245 - Platinum Support</t>
  </si>
  <si>
    <t>V6.5_APPLICATIONXTENDER AX CORE PACKAGE APPXTENDER SERVER - 5 CC USER PACK-Platinum Support</t>
  </si>
  <si>
    <t>457-100-247 - Standard Support</t>
  </si>
  <si>
    <t>V6.5_APPLICATIONXTENDER AX CORE PACKAGE APPXTENDER SERVER - 75 CC USER PACK-Standard Support</t>
  </si>
  <si>
    <t>457-100-247 - Platinum Support</t>
  </si>
  <si>
    <t>V6.5_APPLICATIONXTENDER AX CORE PACKAGE APPXTENDER SERVER - 75 CC USER PACK-Platinum Support</t>
  </si>
  <si>
    <t>457-100-251 - Standard Support</t>
  </si>
  <si>
    <t>V6.5_APPLICATIONXTENDER AX REPORTS MANAGEMENT PACKAGE REPORTS MANAGEMENT PACKAGE-Standard Support</t>
  </si>
  <si>
    <t>457-100-251 - Platinum Support</t>
  </si>
  <si>
    <t>V6.5_APPLICATIONXTENDER AX REPORTS MANAGEMENT PACKAGE REPORTS MANAGEMENT PACKAGE-Platinum Support</t>
  </si>
  <si>
    <t>457-100-249 - Standard Support</t>
  </si>
  <si>
    <t>V6.5_APPLICATIONXTENDER AX RETENTION MANAGEMENT AX SPI PACKAGE-Standard Support</t>
  </si>
  <si>
    <t>457-100-249 - Platinum Support</t>
  </si>
  <si>
    <t>V6.5_APPLICATIONXTENDER AX RETENTION MANAGEMENT AX SPI PACKAGE-Platinum Support</t>
  </si>
  <si>
    <t>456-102-308 - Standard Support</t>
  </si>
  <si>
    <t>V6.5_APPLICATIONXTENDER AX WEB ACCESS READ ONLY APPXTENDER WEB PUBLIC ACCESS  - 25 CC USER PACK-Standard Support</t>
  </si>
  <si>
    <t>456-102-308 - Platinum Support</t>
  </si>
  <si>
    <t>V6.5_APPLICATIONXTENDER AX WEB ACCESS READ ONLY APPXTENDER WEB PUBLIC ACCESS  - 25 CC USER PACK-Platinum Support</t>
  </si>
  <si>
    <t>456-102-307 - Standard Support</t>
  </si>
  <si>
    <t>V6.5_APPLICATIONXTENDER AX WEB ACCESS READ ONLY APPXTENDER WEB PUBLIC ACCESS  - 5 CC USER PACK-Standard Support</t>
  </si>
  <si>
    <t>456-102-307 - Platinum Support</t>
  </si>
  <si>
    <t>V6.5_APPLICATIONXTENDER AX WEB ACCESS READ ONLY APPXTENDER WEB PUBLIC ACCESS  - 5 CC USER PACK-Platinum Support</t>
  </si>
  <si>
    <t>456-102-309 - Standard Support</t>
  </si>
  <si>
    <t>V6.5_APPLICATIONXTENDER AX WEB ACCESS READ ONLY APPXTENDER WEB PUBLIC ACCESS  - 75 CC USER PACK-Standard Support</t>
  </si>
  <si>
    <t>456-102-309 - Platinum Support</t>
  </si>
  <si>
    <t>V6.5_APPLICATIONXTENDER AX WEB ACCESS READ ONLY APPXTENDER WEB PUBLIC ACCESS  - 75 CC USER PACK-Platinum Support</t>
  </si>
  <si>
    <t>456-102-311 - Standard Support</t>
  </si>
  <si>
    <t>V6.5_APPLICATIONXTENDER AX WORKFLOW MANAGER APPXTENDER WORKFLOW MANAGER  - 25 CC USER PACK-Standard Support</t>
  </si>
  <si>
    <t>456-102-311 - Platinum Support</t>
  </si>
  <si>
    <t>V6.5_APPLICATIONXTENDER AX WORKFLOW MANAGER APPXTENDER WORKFLOW MANAGER  - 25 CC USER PACK-Platinum Support</t>
  </si>
  <si>
    <t>456-102-310 - Standard Support</t>
  </si>
  <si>
    <t>V6.5_APPLICATIONXTENDER AX WORKFLOW MANAGER APPXTENDER WORKFLOW MANAGER  - 5 CC USER PACK-Standard Support</t>
  </si>
  <si>
    <t>456-102-310 - Platinum Support</t>
  </si>
  <si>
    <t>V6.5_APPLICATIONXTENDER AX WORKFLOW MANAGER APPXTENDER WORKFLOW MANAGER  - 5 CC USER PACK-Platinum Support</t>
  </si>
  <si>
    <t>456-102-312 - Standard Support</t>
  </si>
  <si>
    <t>V6.5_APPLICATIONXTENDER AX WORKFLOW MANAGER APPXTENDER WORKFLOW MANAGER  - 75 CC USER PACK-Standard Support</t>
  </si>
  <si>
    <t>456-102-312 - Platinum Support</t>
  </si>
  <si>
    <t>V6.5_APPLICATIONXTENDER AX WORKFLOW MANAGER APPXTENDER WORKFLOW MANAGER  - 75 CC USER PACK-Platinum Support</t>
  </si>
  <si>
    <t>456-102-313 - Standard Support</t>
  </si>
  <si>
    <t>V6.5_APPLICATIONXTENDER AX WORKFLOW MANAGER APPXTENDER WORKFLOW MANAGER - FORMS-Standard Support</t>
  </si>
  <si>
    <t>456-102-313 - Platinum Support</t>
  </si>
  <si>
    <t>V6.5_APPLICATIONXTENDER AX WORKFLOW MANAGER APPXTENDER WORKFLOW MANAGER - FORMS-Platinum Support</t>
  </si>
  <si>
    <t>456-102-314 - Standard Support</t>
  </si>
  <si>
    <t>V6.5_APPLICATIONXTENDER AX WORKFLOW MANAGER APPXTENDER WORKFLOW MANAGER SERVER-Standard Support</t>
  </si>
  <si>
    <t>456-102-314 - Platinum Support</t>
  </si>
  <si>
    <t>V6.5_APPLICATIONXTENDER AX WORKFLOW MANAGER APPXTENDER WORKFLOW MANAGER SERVER-Platinum Support</t>
  </si>
  <si>
    <t>456-102-317 - Standard Support</t>
  </si>
  <si>
    <t>V6.5_APPLICATIONXTENDER IRM SRV FOR APPLICATIONXTENDER IRM FOR APPXTENDER CC USER - 25 CC USER PACK-Standard Support</t>
  </si>
  <si>
    <t>456-102-317 - Platinum Support</t>
  </si>
  <si>
    <t>V6.5_APPLICATIONXTENDER IRM SRV FOR APPLICATIONXTENDER IRM FOR APPXTENDER CC USER - 25 CC USER PACK-Platinum Support</t>
  </si>
  <si>
    <t>456-102-316 - Standard Support</t>
  </si>
  <si>
    <t>V6.5_APPLICATIONXTENDER IRM SRV FOR APPLICATIONXTENDER IRM FOR APPXTENDER CC USER - 5 CC USER PACK-Standard Support</t>
  </si>
  <si>
    <t>456-102-316 - Platinum Support</t>
  </si>
  <si>
    <t>V6.5_APPLICATIONXTENDER IRM SRV FOR APPLICATIONXTENDER IRM FOR APPXTENDER CC USER - 5 CC USER PACK-Platinum Support</t>
  </si>
  <si>
    <t>456-102-318 - Standard Support</t>
  </si>
  <si>
    <t>V6.5_APPLICATIONXTENDER IRM SRV FOR APPLICATIONXTENDER IRM FOR APPXTENDER CC USER - 75 CC USER PACK-Standard Support</t>
  </si>
  <si>
    <t>456-102-318 - Platinum Support</t>
  </si>
  <si>
    <t>V6.5_APPLICATIONXTENDER IRM SRV FOR APPLICATIONXTENDER IRM FOR APPXTENDER CC USER - 75 CC USER PACK-Platinum Support</t>
  </si>
  <si>
    <t>456-102-315 - Standard Support</t>
  </si>
  <si>
    <t>V6.5_APPLICATIONXTENDER IRM SRV FOR APPLICATIONXTENDER IRM FOR APPXTENDER SERVER-Standard Support</t>
  </si>
  <si>
    <t>456-102-315 - Platinum Support</t>
  </si>
  <si>
    <t>V6.5_APPLICATIONXTENDER IRM SRV FOR APPLICATIONXTENDER IRM FOR APPXTENDER SERVER-Platinum Support</t>
  </si>
  <si>
    <t>WEBTOP-SEAT - Standard Support</t>
  </si>
  <si>
    <t>WEBTOP CLIENT ST-Standard Support</t>
  </si>
  <si>
    <t>WEBTOP-SEAT - Platinum Support</t>
  </si>
  <si>
    <t>WEBTOP CLIENT ST-Platinum Support</t>
  </si>
  <si>
    <t>457-100-290 - Standard Support</t>
  </si>
  <si>
    <t>XCP DESIGNER BUNDLE-Standard Support</t>
  </si>
  <si>
    <t>457-100-290 - Platinum Support</t>
  </si>
  <si>
    <t>XCP DESIGNER BUNDLE-Platinum Support</t>
  </si>
  <si>
    <t>XML-TRF-SV-MC - Standard Support</t>
  </si>
  <si>
    <t>XML TRANSFORMATION SERVICES CORE-Standard Support</t>
  </si>
  <si>
    <t>XML-TRF-SV-MC - Platinum Support</t>
  </si>
  <si>
    <t>XML TRANSFORMATION SERVICES CORE-Platinum Support</t>
  </si>
  <si>
    <t>V6.0_APPLICATIONXTENDER 3 USER WITH QSP-Standard Support</t>
  </si>
  <si>
    <t>V6.0_APPLICATIONXTENDER 3 USER WITH QSP-Platinum Support</t>
  </si>
  <si>
    <t>V6.0_APPLICATIONXTENDER 10 USER, PROINDEX, AND QSP-Standard Support</t>
  </si>
  <si>
    <t>V6.0_APPLICATIONXTENDER 10 USER, PROINDEX, AND QSP-Platinum Support</t>
  </si>
  <si>
    <t>V6.0_APPLICATIONXTENDER 10 USER, VERITY, AND QSP-Standard Support</t>
  </si>
  <si>
    <t>V6.0_APPLICATIONXTENDER 10 USER, VERITY, AND QSP-Platinum Support</t>
  </si>
  <si>
    <t>456-101-674 - Standard Support</t>
  </si>
  <si>
    <t>V6.0_APPLICATIONXTENDER WORKFLOW MANAGER - 10 NAMED USERS AND WORKFLOW MANAGER FORMS CLIENT-Standard Support</t>
  </si>
  <si>
    <t>456-101-674 - Platinum Support</t>
  </si>
  <si>
    <t>V6.0_APPLICATIONXTENDER WORKFLOW MANAGER - 10 NAMED USERS AND WORKFLOW MANAGER FORMS CLIENT-Platinum Support</t>
  </si>
  <si>
    <t>456-100-427 - Standard Support</t>
  </si>
  <si>
    <t>V6.0_APPLICATIONXTENDER OCR SERVER-Standard Support</t>
  </si>
  <si>
    <t>456-100-427 - Platinum Support</t>
  </si>
  <si>
    <t>V6.0_APPLICATIONXTENDER OCR SERVER-Platinum Support</t>
  </si>
  <si>
    <t>456-100-463 - Standard Support</t>
  </si>
  <si>
    <t>V6.0_APPLICATIONXTENDER - 1 CC USER-Standard Support</t>
  </si>
  <si>
    <t>456-100-463 - Platinum Support</t>
  </si>
  <si>
    <t>V6.0_APPLICATIONXTENDER - 1 CC USER-Platinum Support</t>
  </si>
  <si>
    <t>456-100-464 - Standard Support</t>
  </si>
  <si>
    <t>V6.0_APPLICATIONXTENDER - 3 CC USER-Standard Support</t>
  </si>
  <si>
    <t>456-100-464 - Platinum Support</t>
  </si>
  <si>
    <t>V6.0_APPLICATIONXTENDER - 3 CC USER-Platinum Support</t>
  </si>
  <si>
    <t>456-100-465 - Standard Support</t>
  </si>
  <si>
    <t>V6.0_APPLICATIONXTENDER - 5 CC USER-Standard Support</t>
  </si>
  <si>
    <t>456-100-465 - Platinum Support</t>
  </si>
  <si>
    <t>V6.0_APPLICATIONXTENDER - 5 CC USER-Platinum Support</t>
  </si>
  <si>
    <t>456-100-466 - Standard Support</t>
  </si>
  <si>
    <t>V6.0_APPLICATIONXTENDER - 10 CC USER-Standard Support</t>
  </si>
  <si>
    <t>456-100-466 - Platinum Support</t>
  </si>
  <si>
    <t>V6.0_APPLICATIONXTENDER - 10 CC USER-Platinum Support</t>
  </si>
  <si>
    <t>456-100-467 - Standard Support</t>
  </si>
  <si>
    <t>V6.0_APPLICATIONXTENDER - 25 CC USER-Standard Support</t>
  </si>
  <si>
    <t>456-100-467 - Platinum Support</t>
  </si>
  <si>
    <t>V6.0_APPLICATIONXTENDER - 25 CC USER-Platinum Support</t>
  </si>
  <si>
    <t>456-100-468 - Standard Support</t>
  </si>
  <si>
    <t>V6.0_APPLICATIONXTENDER - 50 CC USER-Standard Support</t>
  </si>
  <si>
    <t>456-100-468 - Platinum Support</t>
  </si>
  <si>
    <t>V6.0_APPLICATIONXTENDER - 50 CC USER-Platinum Support</t>
  </si>
  <si>
    <t>456-100-469 - Standard Support</t>
  </si>
  <si>
    <t>V6.0_APPLICATIONXTENDER - 75 CC USER-Standard Support</t>
  </si>
  <si>
    <t>456-100-469 - Platinum Support</t>
  </si>
  <si>
    <t>V6.0_APPLICATIONXTENDER - 75 CC USER-Platinum Support</t>
  </si>
  <si>
    <t>456-100-470 - Standard Support</t>
  </si>
  <si>
    <t>V6.0_APPLICATIONXTENDER - 100 CC USER-Standard Support</t>
  </si>
  <si>
    <t>456-100-470 - Platinum Support</t>
  </si>
  <si>
    <t>V6.0_APPLICATIONXTENDER - 100 CC USER-Platinum Support</t>
  </si>
  <si>
    <t>456-100-471 - Standard Support</t>
  </si>
  <si>
    <t>V6.0_APPLICATIONXTENDER - 250 CC USER-Standard Support</t>
  </si>
  <si>
    <t>456-100-471 - Platinum Support</t>
  </si>
  <si>
    <t>V6.0_APPLICATIONXTENDER - 250 CC USER-Platinum Support</t>
  </si>
  <si>
    <t>456-100-472 - Standard Support</t>
  </si>
  <si>
    <t>V6.0_APPLICATIONXTENDER - 500 CC USER-Standard Support</t>
  </si>
  <si>
    <t>456-100-472 - Platinum Support</t>
  </si>
  <si>
    <t>V6.0_APPLICATIONXTENDER - 500 CC USER-Platinum Support</t>
  </si>
  <si>
    <t>456-100-473 - Standard Support</t>
  </si>
  <si>
    <t>V6.0_APPLICATIONXTENDER - 1000 CC USER-Standard Support</t>
  </si>
  <si>
    <t>456-100-473 - Platinum Support</t>
  </si>
  <si>
    <t>V6.0_APPLICATIONXTENDER - 1000 CC USER-Platinum Support</t>
  </si>
  <si>
    <t>456-100-457 - Standard Support</t>
  </si>
  <si>
    <t>V6.0_APPLICATIONXTENDER SERVER 25-49 ADD-ON - QTY 5-Standard Support</t>
  </si>
  <si>
    <t>456-100-457 - Platinum Support</t>
  </si>
  <si>
    <t>V6.0_APPLICATIONXTENDER SERVER 25-49 ADD-ON - QTY 5-Platinum Support</t>
  </si>
  <si>
    <t>456-100-458 - Standard Support</t>
  </si>
  <si>
    <t>V6.0_APPLICATIONXTENDER SERVER 50-74 ADD-ON - QTY 5-Standard Support</t>
  </si>
  <si>
    <t>456-100-458 - Platinum Support</t>
  </si>
  <si>
    <t>V6.0_APPLICATIONXTENDER SERVER 50-74 ADD-ON - QTY 5-Platinum Support</t>
  </si>
  <si>
    <t>456-100-459 - Standard Support</t>
  </si>
  <si>
    <t>V6.0_APPLICATIONXTENDER SERVER 75-99 ADD-ON - QTY 5-Standard Support</t>
  </si>
  <si>
    <t>456-100-459 - Platinum Support</t>
  </si>
  <si>
    <t>V6.0_APPLICATIONXTENDER SERVER 75-99 ADD-ON - QTY 5-Platinum Support</t>
  </si>
  <si>
    <t>456-100-460 - Standard Support</t>
  </si>
  <si>
    <t>V6.0_APPLICATIONXTENDER SERVER 100-249 ADD-ON - QTY 5-Standard Support</t>
  </si>
  <si>
    <t>456-100-460 - Platinum Support</t>
  </si>
  <si>
    <t>V6.0_APPLICATIONXTENDER SERVER 100-249 ADD-ON - QTY 5-Platinum Support</t>
  </si>
  <si>
    <t>456-100-461 - Standard Support</t>
  </si>
  <si>
    <t>V6.0_APPLICATIONXTENDER SERVER 250-499 ADD-ON - QTY 5-Standard Support</t>
  </si>
  <si>
    <t>456-100-461 - Platinum Support</t>
  </si>
  <si>
    <t>V6.0_APPLICATIONXTENDER SERVER 250-499 ADD-ON - QTY 5-Platinum Support</t>
  </si>
  <si>
    <t>456-100-462 - Standard Support</t>
  </si>
  <si>
    <t>V6.0_APPLICATIONXTENDER SERVER 500-999 ADD-ON - QTY 10-Standard Support</t>
  </si>
  <si>
    <t>456-100-462 - Platinum Support</t>
  </si>
  <si>
    <t>V6.0_APPLICATIONXTENDER SERVER 500-999 ADD-ON - QTY 10-Platinum Support</t>
  </si>
  <si>
    <t>456-101-181 - Standard Support</t>
  </si>
  <si>
    <t>V6.0_APPLICATIONXTENDER FOR MS OFFICE 2007-Standard Support</t>
  </si>
  <si>
    <t>456-101-181 - Platinum Support</t>
  </si>
  <si>
    <t>V6.0_APPLICATIONXTENDER FOR MS OFFICE 2007-Platinum Support</t>
  </si>
  <si>
    <t>456-101-671 - Standard Support</t>
  </si>
  <si>
    <t>V6.0_APPLICATIONXTENDER WEB PARTS-Standard Support</t>
  </si>
  <si>
    <t>456-101-671 - Platinum Support</t>
  </si>
  <si>
    <t>V6.0_APPLICATIONXTENDER WEB PARTS-Platinum Support</t>
  </si>
  <si>
    <t>456-101-672 - Standard Support</t>
  </si>
  <si>
    <t>V6.0_APPLICATIONXTENDER SPI (SHAREPOINT INTEGRATION)-Standard Support</t>
  </si>
  <si>
    <t>456-101-672 - Platinum Support</t>
  </si>
  <si>
    <t>V6.0_APPLICATIONXTENDER SPI (SHAREPOINT INTEGRATION)-Platinum Support</t>
  </si>
  <si>
    <t>456-100-422 - Standard Support</t>
  </si>
  <si>
    <t>V6.0_PEGASUS SCANFIX FOR APPLICATIONXTENDER-Standard Support</t>
  </si>
  <si>
    <t>456-100-422 - Platinum Support</t>
  </si>
  <si>
    <t>V6.0_PEGASUS SCANFIX FOR APPLICATIONXTENDER-Platinum Support</t>
  </si>
  <si>
    <t>456-100-423 - Standard Support</t>
  </si>
  <si>
    <t>V6.0_APPLICATIONXTENDER FOR ECOPY SHARESCAN OP 4.0 CONNECTOR-Standard Support</t>
  </si>
  <si>
    <t>456-100-423 - Platinum Support</t>
  </si>
  <si>
    <t>V6.0_APPLICATIONXTENDER FOR ECOPY SHARESCAN OP 4.0 CONNECTOR-Platinum Support</t>
  </si>
  <si>
    <t>456-100-424 - Standard Support</t>
  </si>
  <si>
    <t>V6.0_SAP FOR APPLICATIONXTENDER-Standard Support</t>
  </si>
  <si>
    <t>456-100-424 - Platinum Support</t>
  </si>
  <si>
    <t>V6.0_SAP FOR APPLICATIONXTENDER-Platinum Support</t>
  </si>
  <si>
    <t>456-100-425 - Standard Support</t>
  </si>
  <si>
    <t>V6.0_APPLICATIONXTENDER IMAGE CAPTURE SERVER-Standard Support</t>
  </si>
  <si>
    <t>456-100-425 - Platinum Support</t>
  </si>
  <si>
    <t>V6.0_APPLICATIONXTENDER IMAGE CAPTURE SERVER-Platinum Support</t>
  </si>
  <si>
    <t>V6.0_QUICKSCAN PRO FOR APPLICATIONXTENDER-Standard Support</t>
  </si>
  <si>
    <t>V6.0_QUICKSCAN PRO FOR APPLICATIONXTENDER-Platinum Support</t>
  </si>
  <si>
    <t>456-100-378 - Standard Support</t>
  </si>
  <si>
    <t>V6.0_APPLICATIONXTENDER INTG MOD - 10 USERS-Standard Support</t>
  </si>
  <si>
    <t>456-100-378 - Platinum Support</t>
  </si>
  <si>
    <t>V6.0_APPLICATIONXTENDER INTG MOD - 10 USERS-Platinum Support</t>
  </si>
  <si>
    <t>456-100-379 - Standard Support</t>
  </si>
  <si>
    <t>V6.0_APPLICATIONXTENDER INTG MOD - 25 USERS-Standard Support</t>
  </si>
  <si>
    <t>456-100-379 - Platinum Support</t>
  </si>
  <si>
    <t>V6.0_APPLICATIONXTENDER INTG MOD - 25 USERS-Platinum Support</t>
  </si>
  <si>
    <t>456-100-380 - Standard Support</t>
  </si>
  <si>
    <t>V6.0_APPLICATIONXTENDER INTG MOD - 50 USERS-Standard Support</t>
  </si>
  <si>
    <t>456-100-380 - Platinum Support</t>
  </si>
  <si>
    <t>V6.0_APPLICATIONXTENDER INTG MOD - 50 USERS-Platinum Support</t>
  </si>
  <si>
    <t>456-100-381 - Standard Support</t>
  </si>
  <si>
    <t>V6.0_APPLICATIONXTENDER INTG MOD -100 USERS-Standard Support</t>
  </si>
  <si>
    <t>456-100-381 - Platinum Support</t>
  </si>
  <si>
    <t>V6.0_APPLICATIONXTENDER INTG MOD -100 USERS-Platinum Support</t>
  </si>
  <si>
    <t>456-100-382 - Standard Support</t>
  </si>
  <si>
    <t>V6.0_APPLICATIONXTENDER INTG MOD - 250 USERS-Standard Support</t>
  </si>
  <si>
    <t>456-100-382 - Platinum Support</t>
  </si>
  <si>
    <t>V6.0_APPLICATIONXTENDER INTG MOD - 250 USERS-Platinum Support</t>
  </si>
  <si>
    <t>456-100-426 - Standard Support</t>
  </si>
  <si>
    <t>V6.0_APPLICATIONXTENDER MEDIA DIST REINTEGRATION WIZARD-Standard Support</t>
  </si>
  <si>
    <t>456-100-426 - Platinum Support</t>
  </si>
  <si>
    <t>V6.0_APPLICATIONXTENDER MEDIA DIST REINTEGRATION WIZARD-Platinum Support</t>
  </si>
  <si>
    <t>456-100-386 - Standard Support</t>
  </si>
  <si>
    <t>V6.0_APPLICATIONXTENDER MEDIA DISTRIBUTION LICENSE-Standard Support</t>
  </si>
  <si>
    <t>456-100-386 - Platinum Support</t>
  </si>
  <si>
    <t>V6.0_APPLICATIONXTENDER MEDIA DISTRIBUTION LICENSE-Platinum Support</t>
  </si>
  <si>
    <t>456-100-428 - Standard Support</t>
  </si>
  <si>
    <t>V6.0_APPLICATIONXTENER PROINDEX FULL TEXT CLIENT - 1 CC USER-Standard Support</t>
  </si>
  <si>
    <t>456-100-428 - Platinum Support</t>
  </si>
  <si>
    <t>V6.0_APPLICATIONXTENER PROINDEX FULL TEXT CLIENT - 1 CC USER-Platinum Support</t>
  </si>
  <si>
    <t>456-100-429 - Standard Support</t>
  </si>
  <si>
    <t>V6.0_APPLICATIONXTENER PROINDEX FULL TEXT CLIENT - 5 CC USER-Standard Support</t>
  </si>
  <si>
    <t>456-100-429 - Platinum Support</t>
  </si>
  <si>
    <t>V6.0_APPLICATIONXTENER PROINDEX FULL TEXT CLIENT - 5 CC USER-Platinum Support</t>
  </si>
  <si>
    <t>456-100-431 - Standard Support</t>
  </si>
  <si>
    <t>V6.0_APPLICATIONXTENER PROINDEX FULL TEXT CLIENT - 25 CC USER-Standard Support</t>
  </si>
  <si>
    <t>456-100-431 - Platinum Support</t>
  </si>
  <si>
    <t>V6.0_APPLICATIONXTENER PROINDEX FULL TEXT CLIENT - 25 CC USER-Platinum Support</t>
  </si>
  <si>
    <t>456-100-434 - Standard Support</t>
  </si>
  <si>
    <t>V6.0_APPLICATIONXTENER PROINDEX FULL TEXT CLIENT - 100 CC USER-Standard Support</t>
  </si>
  <si>
    <t>456-100-434 - Platinum Support</t>
  </si>
  <si>
    <t>V6.0_APPLICATIONXTENER PROINDEX FULL TEXT CLIENT - 100 CC USER-Platinum Support</t>
  </si>
  <si>
    <t>456-100-435 - Standard Support</t>
  </si>
  <si>
    <t>V6.0_APPLICATIONXTENER PROINDEX FULL TEXT CLIENT - 250 CC USER-Standard Support</t>
  </si>
  <si>
    <t>456-100-435 - Platinum Support</t>
  </si>
  <si>
    <t>V6.0_APPLICATIONXTENER PROINDEX FULL TEXT CLIENT - 250 CC USER-Platinum Support</t>
  </si>
  <si>
    <t>456-100-497 - Standard Support</t>
  </si>
  <si>
    <t>V6.0_APPLICATIONXTENER PROINDEX FULL TEXT SERVER -Standard Support</t>
  </si>
  <si>
    <t>456-100-497 - Platinum Support</t>
  </si>
  <si>
    <t>V6.0_APPLICATIONXTENER PROINDEX FULL TEXT SERVER -Platinum Support</t>
  </si>
  <si>
    <t>456-100-393 - Standard Support</t>
  </si>
  <si>
    <t>V6.0_VERITY K2 CLIENT - 1 CC USER-Standard Support</t>
  </si>
  <si>
    <t>456-100-393 - Platinum Support</t>
  </si>
  <si>
    <t>V6.0_VERITY K2 CLIENT - 1 CC USER-Platinum Support</t>
  </si>
  <si>
    <t>456-100-394 - Standard Support</t>
  </si>
  <si>
    <t>V6.0_VERITY K2 CLIENT - 5 CC USERS-Standard Support</t>
  </si>
  <si>
    <t>456-100-394 - Platinum Support</t>
  </si>
  <si>
    <t>V6.0_VERITY K2 CLIENT - 5 CC USERS-Platinum Support</t>
  </si>
  <si>
    <t>456-100-395 - Standard Support</t>
  </si>
  <si>
    <t>V6.0_VERITY K2 CLIENT - 25 CC USERS-Standard Support</t>
  </si>
  <si>
    <t>456-100-395 - Platinum Support</t>
  </si>
  <si>
    <t>V6.0_VERITY K2 CLIENT - 25 CC USERS-Platinum Support</t>
  </si>
  <si>
    <t>456-100-396 - Standard Support</t>
  </si>
  <si>
    <t>V6.0_VERITY K2 CLIENT - 100 CC USERS-Standard Support</t>
  </si>
  <si>
    <t>456-100-396 - Platinum Support</t>
  </si>
  <si>
    <t>V6.0_VERITY K2 CLIENT - 100 CC USERS-Platinum Support</t>
  </si>
  <si>
    <t>456-100-397 - Standard Support</t>
  </si>
  <si>
    <t>V6.0_VERITY K2 CLIENT - 250 CC USERS-Standard Support</t>
  </si>
  <si>
    <t>456-100-397 - Platinum Support</t>
  </si>
  <si>
    <t>V6.0_VERITY K2 CLIENT - 250 CC USERS-Platinum Support</t>
  </si>
  <si>
    <t>456-100-496 - Standard Support</t>
  </si>
  <si>
    <t>V6.0_VERITY K2 SERVER   -Standard Support</t>
  </si>
  <si>
    <t>456-100-496 - Platinum Support</t>
  </si>
  <si>
    <t>V6.0_VERITY K2 SERVER   -Platinum Support</t>
  </si>
  <si>
    <t>456-101-214 - Standard Support</t>
  </si>
  <si>
    <t>V6.0_APPLICATIONXTENDER 6.0 SOFTWARE RETENTION MANAGEMENT       -Standard Support</t>
  </si>
  <si>
    <t>456-101-214 - Platinum Support</t>
  </si>
  <si>
    <t>V6.0_APPLICATIONXTENDER 6.0 SOFTWARE RETENTION MANAGEMENT       -Platinum Support</t>
  </si>
  <si>
    <t>456-100-377 - Standard Support</t>
  </si>
  <si>
    <t>V6.0_APPLICATIONXTENER RETENTION MGMT W/CENTERA-Standard Support</t>
  </si>
  <si>
    <t>456-100-377 - Platinum Support</t>
  </si>
  <si>
    <t>V6.0_APPLICATIONXTENER RETENTION MGMT W/CENTERA-Platinum Support</t>
  </si>
  <si>
    <t>456-100-439 - Standard Support</t>
  </si>
  <si>
    <t>V6.0_APPLICATIONXTENER REPORTS MANAGEMENT SERVER-Standard Support</t>
  </si>
  <si>
    <t>456-100-439 - Platinum Support</t>
  </si>
  <si>
    <t>V6.0_APPLICATIONXTENER REPORTS MANAGEMENT SERVER-Platinum Support</t>
  </si>
  <si>
    <t>456-100-388 - Standard Support</t>
  </si>
  <si>
    <t>V6.0_APPLICATIONXTENDER REPORTS MGMT BI GATEWAY-Standard Support</t>
  </si>
  <si>
    <t>456-100-388 - Platinum Support</t>
  </si>
  <si>
    <t>V6.0_APPLICATIONXTENDER REPORTS MGMT BI GATEWAY-Platinum Support</t>
  </si>
  <si>
    <t>456-100-389 - Standard Support</t>
  </si>
  <si>
    <t>V6.0_APPLICATIONXTENDER REPORTS MGMT AFP-Standard Support</t>
  </si>
  <si>
    <t>456-100-389 - Platinum Support</t>
  </si>
  <si>
    <t>V6.0_APPLICATIONXTENDER REPORTS MGMT AFP-Platinum Support</t>
  </si>
  <si>
    <t>456-100-390 - Standard Support</t>
  </si>
  <si>
    <t>V6.0_APPLICATIONXTENDER REPORTS MGMT METACODE-Standard Support</t>
  </si>
  <si>
    <t>456-100-390 - Platinum Support</t>
  </si>
  <si>
    <t>V6.0_APPLICATIONXTENDER REPORTS MGMT METACODE-Platinum Support</t>
  </si>
  <si>
    <t>456-100-391 - Standard Support</t>
  </si>
  <si>
    <t>V6.0_APPLICATIONXTENDER REPORTS MGMT PCL-Standard Support</t>
  </si>
  <si>
    <t>456-100-391 - Platinum Support</t>
  </si>
  <si>
    <t>V6.0_APPLICATIONXTENDER REPORTS MGMT PCL-Platinum Support</t>
  </si>
  <si>
    <t>456-100-392 - Standard Support</t>
  </si>
  <si>
    <t>V6.0_APPLICATIONXTENDER REPORTS MGMT PDF-Standard Support</t>
  </si>
  <si>
    <t>456-100-392 - Platinum Support</t>
  </si>
  <si>
    <t>V6.0_APPLICATIONXTENDER REPORTS MGMT PDF-Platinum Support</t>
  </si>
  <si>
    <t>456-100-440 - Standard Support</t>
  </si>
  <si>
    <t>V6.0_APPLICATIONXTENER WEB ACCESS .NET PAL - 25 USERS-Standard Support</t>
  </si>
  <si>
    <t>456-100-440 - Platinum Support</t>
  </si>
  <si>
    <t>V6.0_APPLICATIONXTENER WEB ACCESS .NET PAL - 25 USERS-Platinum Support</t>
  </si>
  <si>
    <t>456-100-441 - Standard Support</t>
  </si>
  <si>
    <t>V6.0_APPLICATIONXTENER WEB ACCESS .NET PAL - 50 USERS-Standard Support</t>
  </si>
  <si>
    <t>456-100-441 - Platinum Support</t>
  </si>
  <si>
    <t>V6.0_APPLICATIONXTENER WEB ACCESS .NET PAL - 50 USERS-Platinum Support</t>
  </si>
  <si>
    <t>456-100-442 - Standard Support</t>
  </si>
  <si>
    <t>V6.0_APPLICATIONXTENER WEB ACCESS .NET PAL - 75 USERS-Standard Support</t>
  </si>
  <si>
    <t>456-100-442 - Platinum Support</t>
  </si>
  <si>
    <t>V6.0_APPLICATIONXTENER WEB ACCESS .NET PAL - 75 USERS-Platinum Support</t>
  </si>
  <si>
    <t>456-100-443 - Standard Support</t>
  </si>
  <si>
    <t>V6.0_APPLICATIONXTENER WEB ACCESS .NET PAL - 100 USERS-Standard Support</t>
  </si>
  <si>
    <t>456-100-443 - Platinum Support</t>
  </si>
  <si>
    <t>V6.0_APPLICATIONXTENER WEB ACCESS .NET PAL - 100 USERS-Platinum Support</t>
  </si>
  <si>
    <t>456-100-444 - Standard Support</t>
  </si>
  <si>
    <t>V6.0_APPLICATIONXTENER WEB ACCESS .NET PAL - 250 USERS-Standard Support</t>
  </si>
  <si>
    <t>456-100-444 - Platinum Support</t>
  </si>
  <si>
    <t>V6.0_APPLICATIONXTENER WEB ACCESS .NET PAL - 250 USERS-Platinum Support</t>
  </si>
  <si>
    <t>456-100-445 - Standard Support</t>
  </si>
  <si>
    <t>V6.0_APPLICATIONXTENER WEB ACCESS .NET PAL - 500 USERS-Standard Support</t>
  </si>
  <si>
    <t>456-100-445 - Platinum Support</t>
  </si>
  <si>
    <t>V6.0_APPLICATIONXTENER WEB ACCESS .NET PAL - 500 USERS-Platinum Support</t>
  </si>
  <si>
    <t>456-100-446 - Standard Support</t>
  </si>
  <si>
    <t>V6.0_APPLICATIONXTENER WEB ACCESS .NET PAL - 1000 USERS-Standard Support</t>
  </si>
  <si>
    <t>456-100-446 - Platinum Support</t>
  </si>
  <si>
    <t>V6.0_APPLICATIONXTENER WEB ACCESS .NET PAL - 1000 USERS-Platinum Support</t>
  </si>
  <si>
    <t>456-100-447 - Standard Support</t>
  </si>
  <si>
    <t>V6.0_APPLICATIONXTENER WEB ACCESS .NET PAL - 2500 USERS-Standard Support</t>
  </si>
  <si>
    <t>456-100-447 - Platinum Support</t>
  </si>
  <si>
    <t>V6.0_APPLICATIONXTENER WEB ACCESS .NET PAL - 2500 USERS-Platinum Support</t>
  </si>
  <si>
    <t>456-100-448 - Standard Support</t>
  </si>
  <si>
    <t>V6.0_APPLICATIONXTENER WEB ACCESS .NET PAL - 5000 USERS-Standard Support</t>
  </si>
  <si>
    <t>456-100-448 - Platinum Support</t>
  </si>
  <si>
    <t>V6.0_APPLICATIONXTENER WEB ACCESS .NET PAL - 5000 USERS-Platinum Support</t>
  </si>
  <si>
    <t>456-100-402 - Standard Support</t>
  </si>
  <si>
    <t>V6.0_APPLICATIONXTENDER WEB SERVICES-Standard Support</t>
  </si>
  <si>
    <t>456-100-402 - Platinum Support</t>
  </si>
  <si>
    <t>V6.0_APPLICATIONXTENDER WEB SERVICES-Platinum Support</t>
  </si>
  <si>
    <t>456-101-670 - Standard Support</t>
  </si>
  <si>
    <t>V6.0_APPLICATIONXTENDER 6.0 SDK, CDK AND WEB SERVICES DOC KIT-Standard Support</t>
  </si>
  <si>
    <t>456-101-670 - Platinum Support</t>
  </si>
  <si>
    <t>V6.0_APPLICATIONXTENDER 6.0 SDK, CDK AND WEB SERVICES DOC KIT-Platinum Support</t>
  </si>
  <si>
    <t>456-101-286    - Standard Support</t>
  </si>
  <si>
    <t>V6.0_APPLICATIONXTENDER WORKFLOW MANAGER - 5 NAMED USERS-Standard Support</t>
  </si>
  <si>
    <t>456-101-286    - Platinum Support</t>
  </si>
  <si>
    <t>V6.0_APPLICATIONXTENDER WORKFLOW MANAGER - 5 NAMED USERS-Platinum Support</t>
  </si>
  <si>
    <t>456-101-282 - Standard Support</t>
  </si>
  <si>
    <t>V6.0_APPLICATIONXTENDER WORKFLOW MANAGER - 20 NAMED USERS-Standard Support</t>
  </si>
  <si>
    <t>456-101-282 - Platinum Support</t>
  </si>
  <si>
    <t>V6.0_APPLICATIONXTENDER WORKFLOW MANAGER - 20 NAMED USERS-Platinum Support</t>
  </si>
  <si>
    <t>456-101-287  - Standard Support</t>
  </si>
  <si>
    <t>V6.0_APPLICATIONXTENDER WORKFLOW MANAGER - 50 NAMED USERS -Standard Support</t>
  </si>
  <si>
    <t>456-101-287  - Platinum Support</t>
  </si>
  <si>
    <t>V6.0_APPLICATIONXTENDER WORKFLOW MANAGER - 50 NAMED USERS -Platinum Support</t>
  </si>
  <si>
    <t>456-101-278 - Standard Support</t>
  </si>
  <si>
    <t>V6.0_APPLICATIONXTENDER WORKFLOW MANAGER - 100 NAMED USERS-Standard Support</t>
  </si>
  <si>
    <t>456-101-278 - Platinum Support</t>
  </si>
  <si>
    <t>V6.0_APPLICATIONXTENDER WORKFLOW MANAGER - 100 NAMED USERS-Platinum Support</t>
  </si>
  <si>
    <t>456-101-284 - Standard Support</t>
  </si>
  <si>
    <t>V6.0_APPLICATIONXTENDER WORKFLOW MANAGER - 300 NAMED USERS-Standard Support</t>
  </si>
  <si>
    <t>456-101-284 - Platinum Support</t>
  </si>
  <si>
    <t>V6.0_APPLICATIONXTENDER WORKFLOW MANAGER - 300 NAMED USERS-Platinum Support</t>
  </si>
  <si>
    <t>456-101-279 - Standard Support</t>
  </si>
  <si>
    <t>V6.0_APPLICATIONXTENDER WORKFLOW MANAGER - 1000 NAMED USERS-Standard Support</t>
  </si>
  <si>
    <t>456-101-279 - Platinum Support</t>
  </si>
  <si>
    <t>V6.0_APPLICATIONXTENDER WORKFLOW MANAGER - 1000 NAMED USERS-Platinum Support</t>
  </si>
  <si>
    <t>456-101-673 - Standard Support</t>
  </si>
  <si>
    <t>V6.0_APPLICATIONXTENDER WORKFLOW MANAGER - 5-19 NAMED USERS ADD ON-QTY 5-Standard Support</t>
  </si>
  <si>
    <t>456-101-673 - Platinum Support</t>
  </si>
  <si>
    <t>V6.0_APPLICATIONXTENDER WORKFLOW MANAGER - 5-19 NAMED USERS ADD ON-QTY 5-Platinum Support</t>
  </si>
  <si>
    <t>456-101-283    - Standard Support</t>
  </si>
  <si>
    <t>V6.0_APPLICATIONXTENDER WORKFLOW MANAGER - 20-49 NAMED USERS ADD ON-QTY 5-Standard Support</t>
  </si>
  <si>
    <t>456-101-283    - Platinum Support</t>
  </si>
  <si>
    <t>V6.0_APPLICATIONXTENDER WORKFLOW MANAGER - 20-49 NAMED USERS ADD ON-QTY 5-Platinum Support</t>
  </si>
  <si>
    <t>456-101-288  - Standard Support</t>
  </si>
  <si>
    <t>V6.0_APPLICATIONXTENDER WORKFLOW MANAGER - 50-99 NAMED USERS ADD ON-QTY 5-Standard Support</t>
  </si>
  <si>
    <t>456-101-288  - Platinum Support</t>
  </si>
  <si>
    <t>V6.0_APPLICATIONXTENDER WORKFLOW MANAGER - 50-99 NAMED USERS ADD ON-QTY 5-Platinum Support</t>
  </si>
  <si>
    <t>456-101-281 - Standard Support</t>
  </si>
  <si>
    <t>V6.0_APPLICATIONXTENDER WORKFLOW MANAGER - 100-299 NAMED USERS ADD ON-QTY 5-Standard Support</t>
  </si>
  <si>
    <t>456-101-281 - Platinum Support</t>
  </si>
  <si>
    <t>V6.0_APPLICATIONXTENDER WORKFLOW MANAGER - 100-299 NAMED USERS ADD ON-QTY 5-Platinum Support</t>
  </si>
  <si>
    <t>456-101-285 - Standard Support</t>
  </si>
  <si>
    <t>V6.0_APPLICATIONXTENDER WORKFLOW MANAGER - 300-999 NAMED USERS ADD ON-QTY 5-Standard Support</t>
  </si>
  <si>
    <t>456-101-285 - Platinum Support</t>
  </si>
  <si>
    <t>V6.0_APPLICATIONXTENDER WORKFLOW MANAGER - 300-999 NAMED USERS ADD ON-QTY 5-Platinum Support</t>
  </si>
  <si>
    <t>456-101-280 - Standard Support</t>
  </si>
  <si>
    <t>V6.0_APPLICATIONXTENDER WORKFLOW MANAGER - 1000+ NAMED USERS ADD ON-QTY 5-Standard Support</t>
  </si>
  <si>
    <t>456-101-280 - Platinum Support</t>
  </si>
  <si>
    <t>V6.0_APPLICATIONXTENDER WORKFLOW MANAGER - 1000+ NAMED USERS ADD ON-QTY 5-Platinum Support</t>
  </si>
  <si>
    <t>456-101-289 - Standard Support</t>
  </si>
  <si>
    <t>V6.0_APPLICATIONXTENDER WORKFLOW MANAGER FORMS SERVER-Standard Support</t>
  </si>
  <si>
    <t>456-101-289 - Platinum Support</t>
  </si>
  <si>
    <t>V6.0_APPLICATIONXTENDER WORKFLOW MANAGER FORMS SERVER-Platinum Support</t>
  </si>
  <si>
    <t>456-100-407 - Standard Support</t>
  </si>
  <si>
    <t>V6.0_APPLICATIONXTENDER WORKFLOW SERVER - 5 CC USERS-Standard Support</t>
  </si>
  <si>
    <t>456-100-407 - Platinum Support</t>
  </si>
  <si>
    <t>V6.0_APPLICATIONXTENDER WORKFLOW SERVER - 5 CC USERS-Platinum Support</t>
  </si>
  <si>
    <t>456-100-408 - Standard Support</t>
  </si>
  <si>
    <t>V6.0_APPLICATIONXTENDER WORKFLOW SERVER - 10 CC USERS-Standard Support</t>
  </si>
  <si>
    <t>456-100-408 - Platinum Support</t>
  </si>
  <si>
    <t>V6.0_APPLICATIONXTENDER WORKFLOW SERVER - 10 CC USERS-Platinum Support</t>
  </si>
  <si>
    <t>456-100-409 - Standard Support</t>
  </si>
  <si>
    <t>V6.0_APPLICATIONXTENDER WORKFLOW SERVER - 25 CC USERS-Standard Support</t>
  </si>
  <si>
    <t>456-100-409 - Platinum Support</t>
  </si>
  <si>
    <t>V6.0_APPLICATIONXTENDER WORKFLOW SERVER - 25 CC USERS-Platinum Support</t>
  </si>
  <si>
    <t>456-100-410 - Standard Support</t>
  </si>
  <si>
    <t>V6.0_APPLICATIONXTENDER WORKFLOW SERVER - 100 CC USERS-Standard Support</t>
  </si>
  <si>
    <t>456-100-410 - Platinum Support</t>
  </si>
  <si>
    <t>V6.0_APPLICATIONXTENDER WORKFLOW SERVER - 100 CC USERS-Platinum Support</t>
  </si>
  <si>
    <t>456-100-411 - Standard Support</t>
  </si>
  <si>
    <t>V6.0_APPLICATIONXTENDER WORKFLOW SERVER - 500 CC USERS-Standard Support</t>
  </si>
  <si>
    <t>456-100-411 - Platinum Support</t>
  </si>
  <si>
    <t>V6.0_APPLICATIONXTENDER WORKFLOW SERVER - 500 CC USERS-Platinum Support</t>
  </si>
  <si>
    <t>456-100-417 - Standard Support</t>
  </si>
  <si>
    <t>V6.0_APPLICATIONXTENDER DOCUMENT ROUTING - 50 USERS-Standard Support</t>
  </si>
  <si>
    <t>456-100-417 - Platinum Support</t>
  </si>
  <si>
    <t>V6.0_APPLICATIONXTENDER DOCUMENT ROUTING - 50 USERS-Platinum Support</t>
  </si>
  <si>
    <t>456-100-418 - Standard Support</t>
  </si>
  <si>
    <t>V6.0_APPLICATIONXTENDER DOCUMENT ROUTING - 100 USERS-Standard Support</t>
  </si>
  <si>
    <t>456-100-418 - Platinum Support</t>
  </si>
  <si>
    <t>V6.0_APPLICATIONXTENDER DOCUMENT ROUTING - 100 USERS-Platinum Support</t>
  </si>
  <si>
    <t>456-100-419 - Standard Support</t>
  </si>
  <si>
    <t>V6.0_APPLICATIONXTENDER DOCUMENT ROUTING - 250 USERS-Standard Support</t>
  </si>
  <si>
    <t>456-100-419 - Platinum Support</t>
  </si>
  <si>
    <t>V6.0_APPLICATIONXTENDER DOCUMENT ROUTING - 250 USERS-Platinum Support</t>
  </si>
  <si>
    <t>456-100-420 - Standard Support</t>
  </si>
  <si>
    <t>V6.0_APPLICATIONXTENDER DOCUMENT ROUTING - 500 USERS-Standard Support</t>
  </si>
  <si>
    <t>456-100-420 - Platinum Support</t>
  </si>
  <si>
    <t>V6.0_APPLICATIONXTENDER DOCUMENT ROUTING - 500 USERS-Platinum Support</t>
  </si>
  <si>
    <t>456-100-454 - Standard Support</t>
  </si>
  <si>
    <t>V6.0_ASCENT CAPTURE ENHANCED RELEASE SCRIPT-Standard Support</t>
  </si>
  <si>
    <t>456-100-454 - Platinum Support</t>
  </si>
  <si>
    <t>V6.0_ASCENT CAPTURE ENHANCED RELEASE SCRIPT-Platinum Support</t>
  </si>
  <si>
    <t>456-004-567 - Standard Support</t>
  </si>
  <si>
    <t>DISKXTENDER FOR NAS DX FOR NAS WINDOWS CAPACITY DISKXTENDER FOR WINDOWS 100GB CP-Standard Support</t>
  </si>
  <si>
    <t>456-004-567 - Platinum Support</t>
  </si>
  <si>
    <t>DISKXTENDER FOR NAS DX FOR NAS WINDOWS CAPACITY DISKXTENDER FOR WINDOWS 100GB CP-Platinum Support</t>
  </si>
  <si>
    <t>456-004-577 - Standard Support</t>
  </si>
  <si>
    <t>DISKXTENDER FOR NAS DX FOR NAS WINDOWS CAPACITY DISKXTENDER FOR WINDOWS 100TB CP-Standard Support</t>
  </si>
  <si>
    <t>456-004-577 - Platinum Support</t>
  </si>
  <si>
    <t>DISKXTENDER FOR NAS DX FOR NAS WINDOWS CAPACITY DISKXTENDER FOR WINDOWS 100TB CP-Platinum Support</t>
  </si>
  <si>
    <t>456-004-572 - Standard Support</t>
  </si>
  <si>
    <t>DISKXTENDER FOR NAS DX FOR NAS WINDOWS CAPACITY DISKXTENDER FOR WINDOWS 10TB CP-Standard Support</t>
  </si>
  <si>
    <t>456-004-572 - Platinum Support</t>
  </si>
  <si>
    <t>DISKXTENDER FOR NAS DX FOR NAS WINDOWS CAPACITY DISKXTENDER FOR WINDOWS 10TB CP-Platinum Support</t>
  </si>
  <si>
    <t>456-004-573 - Standard Support</t>
  </si>
  <si>
    <t>DISKXTENDER FOR NAS DX FOR NAS WINDOWS CAPACITY DISKXTENDER FOR WINDOWS 15TB CP-Standard Support</t>
  </si>
  <si>
    <t>456-004-573 - Platinum Support</t>
  </si>
  <si>
    <t>DISKXTENDER FOR NAS DX FOR NAS WINDOWS CAPACITY DISKXTENDER FOR WINDOWS 15TB CP-Platinum Support</t>
  </si>
  <si>
    <t>456-004-586 - Standard Support</t>
  </si>
  <si>
    <t>DISKXTENDER FOR NAS DX FOR NAS WINDOWS CAPACITY DISKXTENDER FOR WINDOWS 1PB CP-Standard Support</t>
  </si>
  <si>
    <t>456-004-586 - Platinum Support</t>
  </si>
  <si>
    <t>DISKXTENDER FOR NAS DX FOR NAS WINDOWS CAPACITY DISKXTENDER FOR WINDOWS 1PB CP-Platinum Support</t>
  </si>
  <si>
    <t>456-004-569 - Standard Support</t>
  </si>
  <si>
    <t>DISKXTENDER FOR NAS DX FOR NAS WINDOWS CAPACITY DISKXTENDER FOR WINDOWS 1TB CP-Standard Support</t>
  </si>
  <si>
    <t>456-004-569 - Platinum Support</t>
  </si>
  <si>
    <t>DISKXTENDER FOR NAS DX FOR NAS WINDOWS CAPACITY DISKXTENDER FOR WINDOWS 1TB CP-Platinum Support</t>
  </si>
  <si>
    <t>456-004-578 - Standard Support</t>
  </si>
  <si>
    <t>DISKXTENDER FOR NAS DX FOR NAS WINDOWS CAPACITY DISKXTENDER FOR WINDOWS 200TB CP-Standard Support</t>
  </si>
  <si>
    <t>456-004-578 - Platinum Support</t>
  </si>
  <si>
    <t>DISKXTENDER FOR NAS DX FOR NAS WINDOWS CAPACITY DISKXTENDER FOR WINDOWS 200TB CP-Platinum Support</t>
  </si>
  <si>
    <t>456-004-574 - Standard Support</t>
  </si>
  <si>
    <t>DISKXTENDER FOR NAS DX FOR NAS WINDOWS CAPACITY DISKXTENDER FOR WINDOWS 20TB CP-Standard Support</t>
  </si>
  <si>
    <t>456-004-574 - Platinum Support</t>
  </si>
  <si>
    <t>DISKXTENDER FOR NAS DX FOR NAS WINDOWS CAPACITY DISKXTENDER FOR WINDOWS 20TB CP-Platinum Support</t>
  </si>
  <si>
    <t>456-004-570 - Standard Support</t>
  </si>
  <si>
    <t>DISKXTENDER FOR NAS DX FOR NAS WINDOWS CAPACITY DISKXTENDER FOR WINDOWS 2TB CP-Standard Support</t>
  </si>
  <si>
    <t>456-004-570 - Platinum Support</t>
  </si>
  <si>
    <t>DISKXTENDER FOR NAS DX FOR NAS WINDOWS CAPACITY DISKXTENDER FOR WINDOWS 2TB CP-Platinum Support</t>
  </si>
  <si>
    <t>456-004-579 - Standard Support</t>
  </si>
  <si>
    <t>DISKXTENDER FOR NAS DX FOR NAS WINDOWS CAPACITY DISKXTENDER FOR WINDOWS 300TB CP-Standard Support</t>
  </si>
  <si>
    <t>456-004-579 - Platinum Support</t>
  </si>
  <si>
    <t>DISKXTENDER FOR NAS DX FOR NAS WINDOWS CAPACITY DISKXTENDER FOR WINDOWS 300TB CP-Platinum Support</t>
  </si>
  <si>
    <t>456-004-575 - Standard Support</t>
  </si>
  <si>
    <t>DISKXTENDER FOR NAS DX FOR NAS WINDOWS CAPACITY DISKXTENDER FOR WINDOWS 32TB CP-Standard Support</t>
  </si>
  <si>
    <t>456-004-575 - Platinum Support</t>
  </si>
  <si>
    <t>DISKXTENDER FOR NAS DX FOR NAS WINDOWS CAPACITY DISKXTENDER FOR WINDOWS 32TB CP-Platinum Support</t>
  </si>
  <si>
    <t>456-004-580 - Standard Support</t>
  </si>
  <si>
    <t>DISKXTENDER FOR NAS DX FOR NAS WINDOWS CAPACITY DISKXTENDER FOR WINDOWS 400TB CP-Standard Support</t>
  </si>
  <si>
    <t>456-004-580 - Platinum Support</t>
  </si>
  <si>
    <t>DISKXTENDER FOR NAS DX FOR NAS WINDOWS CAPACITY DISKXTENDER FOR WINDOWS 400TB CP-Platinum Support</t>
  </si>
  <si>
    <t>456-004-568 - Standard Support</t>
  </si>
  <si>
    <t>DISKXTENDER FOR NAS DX FOR NAS WINDOWS CAPACITY DISKXTENDER FOR WINDOWS 500GB CP-Standard Support</t>
  </si>
  <si>
    <t>456-004-568 - Platinum Support</t>
  </si>
  <si>
    <t>DISKXTENDER FOR NAS DX FOR NAS WINDOWS CAPACITY DISKXTENDER FOR WINDOWS 500GB CP-Platinum Support</t>
  </si>
  <si>
    <t>456-004-581 - Standard Support</t>
  </si>
  <si>
    <t>DISKXTENDER FOR NAS DX FOR NAS WINDOWS CAPACITY DISKXTENDER FOR WINDOWS 500TB CP-Standard Support</t>
  </si>
  <si>
    <t>456-004-581 - Platinum Support</t>
  </si>
  <si>
    <t>DISKXTENDER FOR NAS DX FOR NAS WINDOWS CAPACITY DISKXTENDER FOR WINDOWS 500TB CP-Platinum Support</t>
  </si>
  <si>
    <t>456-004-571 - Standard Support</t>
  </si>
  <si>
    <t>DISKXTENDER FOR NAS DX FOR NAS WINDOWS CAPACITY DISKXTENDER FOR WINDOWS 5TB CP-Standard Support</t>
  </si>
  <si>
    <t>456-004-571 - Platinum Support</t>
  </si>
  <si>
    <t>DISKXTENDER FOR NAS DX FOR NAS WINDOWS CAPACITY DISKXTENDER FOR WINDOWS 5TB CP-Platinum Support</t>
  </si>
  <si>
    <t>456-004-582 - Standard Support</t>
  </si>
  <si>
    <t>DISKXTENDER FOR NAS DX FOR NAS WINDOWS CAPACITY DISKXTENDER FOR WINDOWS 600TB CP-Standard Support</t>
  </si>
  <si>
    <t>456-004-582 - Platinum Support</t>
  </si>
  <si>
    <t>DISKXTENDER FOR NAS DX FOR NAS WINDOWS CAPACITY DISKXTENDER FOR WINDOWS 600TB CP-Platinum Support</t>
  </si>
  <si>
    <t>456-004-576 - Standard Support</t>
  </si>
  <si>
    <t>DISKXTENDER FOR NAS DX FOR NAS WINDOWS CAPACITY DISKXTENDER FOR WINDOWS 64TB CP-Standard Support</t>
  </si>
  <si>
    <t>456-004-576 - Platinum Support</t>
  </si>
  <si>
    <t>DISKXTENDER FOR NAS DX FOR NAS WINDOWS CAPACITY DISKXTENDER FOR WINDOWS 64TB CP-Platinum Support</t>
  </si>
  <si>
    <t>456-004-583 - Standard Support</t>
  </si>
  <si>
    <t>DISKXTENDER FOR NAS DX FOR NAS WINDOWS CAPACITY DISKXTENDER FOR WINDOWS 700TB CP-Standard Support</t>
  </si>
  <si>
    <t>456-004-583 - Platinum Support</t>
  </si>
  <si>
    <t>DISKXTENDER FOR NAS DX FOR NAS WINDOWS CAPACITY DISKXTENDER FOR WINDOWS 700TB CP-Platinum Support</t>
  </si>
  <si>
    <t>456-004-584 - Standard Support</t>
  </si>
  <si>
    <t>DISKXTENDER FOR NAS DX FOR NAS WINDOWS CAPACITY DISKXTENDER FOR WINDOWS 800TB CP-Standard Support</t>
  </si>
  <si>
    <t>456-004-584 - Platinum Support</t>
  </si>
  <si>
    <t>DISKXTENDER FOR NAS DX FOR NAS WINDOWS CAPACITY DISKXTENDER FOR WINDOWS 800TB CP-Platinum Support</t>
  </si>
  <si>
    <t>456-004-585 - Standard Support</t>
  </si>
  <si>
    <t>DISKXTENDER FOR NAS DX FOR NAS WINDOWS CAPACITY DISKXTENDER FOR WINDOWS 900TB CP-Standard Support</t>
  </si>
  <si>
    <t>456-004-585 - Platinum Support</t>
  </si>
  <si>
    <t>DISKXTENDER FOR NAS DX FOR NAS WINDOWS CAPACITY DISKXTENDER FOR WINDOWS 900TB CP-Platinum Support</t>
  </si>
  <si>
    <t>456-100-581 - Standard Support</t>
  </si>
  <si>
    <t>DISKXTENDER FOR NAS DX FOR NAS WINDOWS CAPACITY DX FOR WIN CAPACITY UPGR FROM 0.1 TB TO 0.5 TB-Standard Support</t>
  </si>
  <si>
    <t>456-100-581 - Platinum Support</t>
  </si>
  <si>
    <t>DISKXTENDER FOR NAS DX FOR NAS WINDOWS CAPACITY DX FOR WIN CAPACITY UPGR FROM 0.1 TB TO 0.5 TB-Platinum Support</t>
  </si>
  <si>
    <t>456-100-582 - Standard Support</t>
  </si>
  <si>
    <t>DISKXTENDER FOR NAS DX FOR NAS WINDOWS CAPACITY DX FOR WIN CAPACITY UPGR FROM 0.5 TB TO 1 TB-Standard Support</t>
  </si>
  <si>
    <t>456-100-582 - Platinum Support</t>
  </si>
  <si>
    <t>DISKXTENDER FOR NAS DX FOR NAS WINDOWS CAPACITY DX FOR WIN CAPACITY UPGR FROM 0.5 TB TO 1 TB-Platinum Support</t>
  </si>
  <si>
    <t>456-100-583 - Standard Support</t>
  </si>
  <si>
    <t>DISKXTENDER FOR NAS DX FOR NAS WINDOWS CAPACITY DX FOR WIN CAPACITY UPGR FROM 1 TB TO 2 TB-Standard Support</t>
  </si>
  <si>
    <t>456-100-583 - Platinum Support</t>
  </si>
  <si>
    <t>DISKXTENDER FOR NAS DX FOR NAS WINDOWS CAPACITY DX FOR WIN CAPACITY UPGR FROM 1 TB TO 2 TB-Platinum Support</t>
  </si>
  <si>
    <t>456-100-586 - Standard Support</t>
  </si>
  <si>
    <t>DISKXTENDER FOR NAS DX FOR NAS WINDOWS CAPACITY DX FOR WIN CAPACITY UPGR FROM 10 TB TO 15 TB-Standard Support</t>
  </si>
  <si>
    <t>456-100-586 - Platinum Support</t>
  </si>
  <si>
    <t>DISKXTENDER FOR NAS DX FOR NAS WINDOWS CAPACITY DX FOR WIN CAPACITY UPGR FROM 10 TB TO 15 TB-Platinum Support</t>
  </si>
  <si>
    <t>456-100-587 - Standard Support</t>
  </si>
  <si>
    <t>DISKXTENDER FOR NAS DX FOR NAS WINDOWS CAPACITY DX FOR WIN CAPACITY UPGR FROM 15 TB TO 20 TB-Standard Support</t>
  </si>
  <si>
    <t>456-100-587 - Platinum Support</t>
  </si>
  <si>
    <t>DISKXTENDER FOR NAS DX FOR NAS WINDOWS CAPACITY DX FOR WIN CAPACITY UPGR FROM 15 TB TO 20 TB-Platinum Support</t>
  </si>
  <si>
    <t>456-100-584 - Standard Support</t>
  </si>
  <si>
    <t>DISKXTENDER FOR NAS DX FOR NAS WINDOWS CAPACITY DX FOR WIN CAPACITY UPGR FROM 2 TB TO 5 TB-Standard Support</t>
  </si>
  <si>
    <t>456-100-584 - Platinum Support</t>
  </si>
  <si>
    <t>DISKXTENDER FOR NAS DX FOR NAS WINDOWS CAPACITY DX FOR WIN CAPACITY UPGR FROM 2 TB TO 5 TB-Platinum Support</t>
  </si>
  <si>
    <t>456-100-588 - Standard Support</t>
  </si>
  <si>
    <t>DISKXTENDER FOR NAS DX FOR NAS WINDOWS CAPACITY DX FOR WIN CAPACITY UPGR FROM 20 TB TO 32 TB-Standard Support</t>
  </si>
  <si>
    <t>456-100-588 - Platinum Support</t>
  </si>
  <si>
    <t>DISKXTENDER FOR NAS DX FOR NAS WINDOWS CAPACITY DX FOR WIN CAPACITY UPGR FROM 20 TB TO 32 TB-Platinum Support</t>
  </si>
  <si>
    <t>456-100-589 - Standard Support</t>
  </si>
  <si>
    <t>DISKXTENDER FOR NAS DX FOR NAS WINDOWS CAPACITY DX FOR WIN CAPACITY UPGR FROM 32 TB TO 64 TB-Standard Support</t>
  </si>
  <si>
    <t>456-100-589 - Platinum Support</t>
  </si>
  <si>
    <t>DISKXTENDER FOR NAS DX FOR NAS WINDOWS CAPACITY DX FOR WIN CAPACITY UPGR FROM 32 TB TO 64 TB-Platinum Support</t>
  </si>
  <si>
    <t>456-100-585 - Standard Support</t>
  </si>
  <si>
    <t>DISKXTENDER FOR NAS DX FOR NAS WINDOWS CAPACITY DX FOR WIN CAPACITY UPGR FROM 5 TB TO 10 TB-Standard Support</t>
  </si>
  <si>
    <t>456-100-585 - Platinum Support</t>
  </si>
  <si>
    <t>DISKXTENDER FOR NAS DX FOR NAS WINDOWS CAPACITY DX FOR WIN CAPACITY UPGR FROM 5 TB TO 10 TB-Platinum Support</t>
  </si>
  <si>
    <t>456-100-590 - Standard Support</t>
  </si>
  <si>
    <t>DISKXTENDER FOR NAS DX FOR NAS WINDOWS CAPACITY DX FOR WIN CAPACITY UPGR FROM 64 TB TO 100 TB-Standard Support</t>
  </si>
  <si>
    <t>456-100-590 - Platinum Support</t>
  </si>
  <si>
    <t>DISKXTENDER FOR NAS DX FOR NAS WINDOWS CAPACITY DX FOR WIN CAPACITY UPGR FROM 64 TB TO 100 TB-Platinum Support</t>
  </si>
  <si>
    <t>456-100-116 - Standard Support</t>
  </si>
  <si>
    <t>DISKXTENDER FOR NAS DX FOR NAS WINDOWS CAPACITY DX SEARCH MODULE FOR DX WIN DX SEARCH MODULE FOR ONE DXW SERVER-Standard Support</t>
  </si>
  <si>
    <t>456-100-116 - Platinum Support</t>
  </si>
  <si>
    <t>DISKXTENDER FOR NAS DX FOR NAS WINDOWS CAPACITY DX SEARCH MODULE FOR DX WIN DX SEARCH MODULE FOR ONE DXW SERVER-Platinum Support</t>
  </si>
  <si>
    <t>456-004-589 - Standard Support</t>
  </si>
  <si>
    <t>DISKXTENDER FOR NAS DX FOR NAS WINDOWS CAPACITY DX SEARCH MODULE FOR DX WIN DX WIN FILE SYS MGR DISKXTENDER FOR WINDOWS FILE SYSTEM MGR CLUSTER-Standard Support</t>
  </si>
  <si>
    <t>456-004-589 - Platinum Support</t>
  </si>
  <si>
    <t>DISKXTENDER FOR NAS DX FOR NAS WINDOWS CAPACITY DX SEARCH MODULE FOR DX WIN DX WIN FILE SYS MGR DISKXTENDER FOR WINDOWS FILE SYSTEM MGR CLUSTER-Platinum Support</t>
  </si>
  <si>
    <t>456-004-587 - Standard Support</t>
  </si>
  <si>
    <t>DISKXTENDER FOR NAS DX FOR NAS WINDOWS CAPACITY DX SEARCH MODULE FOR DX WIN DX WIN FILE SYS MGR DISKXTENDER FOR WINDOWS FILE SYSTEM MGR SERVER-Standard Support</t>
  </si>
  <si>
    <t>456-004-587 - Platinum Support</t>
  </si>
  <si>
    <t>DISKXTENDER FOR NAS DX FOR NAS WINDOWS CAPACITY DX SEARCH MODULE FOR DX WIN DX WIN FILE SYS MGR DISKXTENDER FOR WINDOWS FILE SYSTEM MGR SERVER-Platinum Support</t>
  </si>
  <si>
    <t>456-100-117 - Standard Support</t>
  </si>
  <si>
    <t>DISKXTENDER FOR NAS DX FOR NAS WINDOWS CAPACITY SEARCH MODULE FOR DX WIN DX SEARCH MODULE 2-5 DXW SERV (PRICED PER SERVER)-Standard Support</t>
  </si>
  <si>
    <t>456-100-117 - Platinum Support</t>
  </si>
  <si>
    <t>DISKXTENDER FOR NAS DX FOR NAS WINDOWS CAPACITY SEARCH MODULE FOR DX WIN DX SEARCH MODULE 2-5 DXW SERV (PRICED PER SERVER)-Platinum Support</t>
  </si>
  <si>
    <t>456-100-118 - Standard Support</t>
  </si>
  <si>
    <t>DISKXTENDER FOR NAS DX FOR NAS WINDOWS CAPACITY SEARCH MODULE FOR DX WIN DX SEARCH MODULE 6-10 DXW SERV (PRICED PER SERVER)-Standard Support</t>
  </si>
  <si>
    <t>456-100-118 - Platinum Support</t>
  </si>
  <si>
    <t>DISKXTENDER FOR NAS DX FOR NAS WINDOWS CAPACITY SEARCH MODULE FOR DX WIN DX SEARCH MODULE 6-10 DXW SERV (PRICED PER SERVER)-Platinum Support</t>
  </si>
  <si>
    <t>456-000-433 - Standard Support</t>
  </si>
  <si>
    <t>DISKXTENDER FOR U/L CAPACITY 10000TB(10PETABYTE)-Standard Support</t>
  </si>
  <si>
    <t>456-000-433 - Platinum Support</t>
  </si>
  <si>
    <t>DISKXTENDER FOR U/L CAPACITY 10000TB(10PETABYTE)-Platinum Support</t>
  </si>
  <si>
    <t>456-000-429 - Standard Support</t>
  </si>
  <si>
    <t>DISKXTENDER FOR U/L CAPACITY 6000TB (6 PETABYTE)-Standard Support</t>
  </si>
  <si>
    <t>456-000-429 - Platinum Support</t>
  </si>
  <si>
    <t>DISKXTENDER FOR U/L CAPACITY 6000TB (6 PETABYTE)-Platinum Support</t>
  </si>
  <si>
    <t>456-000-430 - Standard Support</t>
  </si>
  <si>
    <t>DISKXTENDER FOR U/L CAPACITY 7000TB (7 PETABYTE)-Standard Support</t>
  </si>
  <si>
    <t>456-000-430 - Platinum Support</t>
  </si>
  <si>
    <t>DISKXTENDER FOR U/L CAPACITY 7000TB (7 PETABYTE)-Platinum Support</t>
  </si>
  <si>
    <t>456-000-431 - Standard Support</t>
  </si>
  <si>
    <t>DISKXTENDER FOR U/L CAPACITY 8000TB (8 PETABYTE)-Standard Support</t>
  </si>
  <si>
    <t>456-000-431 - Platinum Support</t>
  </si>
  <si>
    <t>DISKXTENDER FOR U/L CAPACITY 8000TB (8 PETABYTE)-Platinum Support</t>
  </si>
  <si>
    <t>456-000-432 - Standard Support</t>
  </si>
  <si>
    <t>DISKXTENDER FOR U/L CAPACITY 9000TB (9 PETABYTE)-Standard Support</t>
  </si>
  <si>
    <t>456-000-432 - Platinum Support</t>
  </si>
  <si>
    <t>DISKXTENDER FOR U/L CAPACITY 9000TB (9 PETABYTE)-Platinum Support</t>
  </si>
  <si>
    <t>456-000-403 - Standard Support</t>
  </si>
  <si>
    <t>DISKXTENDER FOR UNIX/LINUX CAPACITY 100TB-Standard Support</t>
  </si>
  <si>
    <t>456-000-403 - Platinum Support</t>
  </si>
  <si>
    <t>DISKXTENDER FOR UNIX/LINUX CAPACITY 100TB-Platinum Support</t>
  </si>
  <si>
    <t>456-000-422 - Standard Support</t>
  </si>
  <si>
    <t>DISKXTENDER FOR UNIX/LINUX CAPACITY 10TB-Standard Support</t>
  </si>
  <si>
    <t>456-000-422 - Platinum Support</t>
  </si>
  <si>
    <t>DISKXTENDER FOR UNIX/LINUX CAPACITY 10TB-Platinum Support</t>
  </si>
  <si>
    <t>456-000-423 - Standard Support</t>
  </si>
  <si>
    <t>DISKXTENDER FOR UNIX/LINUX CAPACITY 15TB-Standard Support</t>
  </si>
  <si>
    <t>456-000-423 - Platinum Support</t>
  </si>
  <si>
    <t>DISKXTENDER FOR UNIX/LINUX CAPACITY 15TB-Platinum Support</t>
  </si>
  <si>
    <t>456-000-391 - Standard Support</t>
  </si>
  <si>
    <t>DISKXTENDER FOR UNIX/LINUX CAPACITY 1TB-Standard Support</t>
  </si>
  <si>
    <t>456-000-391 - Platinum Support</t>
  </si>
  <si>
    <t>DISKXTENDER FOR UNIX/LINUX CAPACITY 1TB-Platinum Support</t>
  </si>
  <si>
    <t>456-000-404 - Standard Support</t>
  </si>
  <si>
    <t>DISKXTENDER FOR UNIX/LINUX CAPACITY 200TB-Standard Support</t>
  </si>
  <si>
    <t>456-000-404 - Platinum Support</t>
  </si>
  <si>
    <t>DISKXTENDER FOR UNIX/LINUX CAPACITY 200TB-Platinum Support</t>
  </si>
  <si>
    <t>456-000-397 - Standard Support</t>
  </si>
  <si>
    <t>DISKXTENDER FOR UNIX/LINUX CAPACITY 20TB-Standard Support</t>
  </si>
  <si>
    <t>456-000-397 - Platinum Support</t>
  </si>
  <si>
    <t>DISKXTENDER FOR UNIX/LINUX CAPACITY 20TB-Platinum Support</t>
  </si>
  <si>
    <t>456-000-420 - Standard Support</t>
  </si>
  <si>
    <t>DISKXTENDER FOR UNIX/LINUX CAPACITY 2TB-Standard Support</t>
  </si>
  <si>
    <t>456-000-420 - Platinum Support</t>
  </si>
  <si>
    <t>DISKXTENDER FOR UNIX/LINUX CAPACITY 2TB-Platinum Support</t>
  </si>
  <si>
    <t>456-000-405 - Standard Support</t>
  </si>
  <si>
    <t>DISKXTENDER FOR UNIX/LINUX CAPACITY 300TB-Standard Support</t>
  </si>
  <si>
    <t>456-000-405 - Platinum Support</t>
  </si>
  <si>
    <t>DISKXTENDER FOR UNIX/LINUX CAPACITY 300TB-Platinum Support</t>
  </si>
  <si>
    <t>456-000-400 - Standard Support</t>
  </si>
  <si>
    <t>DISKXTENDER FOR UNIX/LINUX CAPACITY 32TB-Standard Support</t>
  </si>
  <si>
    <t>456-000-400 - Platinum Support</t>
  </si>
  <si>
    <t>DISKXTENDER FOR UNIX/LINUX CAPACITY 32TB-Platinum Support</t>
  </si>
  <si>
    <t>456-000-406 - Standard Support</t>
  </si>
  <si>
    <t>DISKXTENDER FOR UNIX/LINUX CAPACITY 400TB-Standard Support</t>
  </si>
  <si>
    <t>456-000-406 - Platinum Support</t>
  </si>
  <si>
    <t>DISKXTENDER FOR UNIX/LINUX CAPACITY 400TB-Platinum Support</t>
  </si>
  <si>
    <t>456-000-407 - Standard Support</t>
  </si>
  <si>
    <t>DISKXTENDER FOR UNIX/LINUX CAPACITY 500TB-Standard Support</t>
  </si>
  <si>
    <t>456-000-407 - Platinum Support</t>
  </si>
  <si>
    <t>DISKXTENDER FOR UNIX/LINUX CAPACITY 500TB-Platinum Support</t>
  </si>
  <si>
    <t>456-000-421 - Standard Support</t>
  </si>
  <si>
    <t>DISKXTENDER FOR UNIX/LINUX CAPACITY 5TB-Standard Support</t>
  </si>
  <si>
    <t>456-000-421 - Platinum Support</t>
  </si>
  <si>
    <t>DISKXTENDER FOR UNIX/LINUX CAPACITY 5TB-Platinum Support</t>
  </si>
  <si>
    <t>456-000-425 - Standard Support</t>
  </si>
  <si>
    <t>DISKXTENDER FOR UNIX/LINUX CAPACITY 600TB-Standard Support</t>
  </si>
  <si>
    <t>456-000-425 - Platinum Support</t>
  </si>
  <si>
    <t>DISKXTENDER FOR UNIX/LINUX CAPACITY 600TB-Platinum Support</t>
  </si>
  <si>
    <t>456-000-424 - Standard Support</t>
  </si>
  <si>
    <t>DISKXTENDER FOR UNIX/LINUX CAPACITY 64TB-Standard Support</t>
  </si>
  <si>
    <t>456-000-424 - Platinum Support</t>
  </si>
  <si>
    <t>DISKXTENDER FOR UNIX/LINUX CAPACITY 64TB-Platinum Support</t>
  </si>
  <si>
    <t>456-000-426 - Standard Support</t>
  </si>
  <si>
    <t>DISKXTENDER FOR UNIX/LINUX CAPACITY 700TB-Standard Support</t>
  </si>
  <si>
    <t>456-000-426 - Platinum Support</t>
  </si>
  <si>
    <t>DISKXTENDER FOR UNIX/LINUX CAPACITY 700TB-Platinum Support</t>
  </si>
  <si>
    <t>456-000-427 - Standard Support</t>
  </si>
  <si>
    <t>DISKXTENDER FOR UNIX/LINUX CAPACITY 800TB-Standard Support</t>
  </si>
  <si>
    <t>456-000-427 - Platinum Support</t>
  </si>
  <si>
    <t>DISKXTENDER FOR UNIX/LINUX CAPACITY 800TB-Platinum Support</t>
  </si>
  <si>
    <t>456-000-428 - Standard Support</t>
  </si>
  <si>
    <t>DISKXTENDER FOR UNIX/LINUX CAPACITY 900TB-Standard Support</t>
  </si>
  <si>
    <t>456-000-428 - Platinum Support</t>
  </si>
  <si>
    <t>DISKXTENDER FOR UNIX/LINUX CAPACITY 900TB-Platinum Support</t>
  </si>
  <si>
    <t>456-000-418 - Standard Support</t>
  </si>
  <si>
    <t>DISKXTENDER UNIX LINUX DX FILE SYS MGR UNIX LINUX DISKXTENDER FILE SYSTEM MANAGER LINUX-Standard Support</t>
  </si>
  <si>
    <t>456-000-418 - Platinum Support</t>
  </si>
  <si>
    <t>DISKXTENDER UNIX LINUX DX FILE SYS MGR UNIX LINUX DISKXTENDER FILE SYSTEM MANAGER LINUX-Platinum Support</t>
  </si>
  <si>
    <t>456-000-390 - Standard Support</t>
  </si>
  <si>
    <t>DISKXTENDER UNIX LINUX DX FILE SYS MGR UNIX LINUX DISKXTENDER FILE SYSTEM MGR UNIX-Standard Support</t>
  </si>
  <si>
    <t>456-000-390 - Platinum Support</t>
  </si>
  <si>
    <t>DISKXTENDER UNIX LINUX DX FILE SYS MGR UNIX LINUX DISKXTENDER FILE SYSTEM MGR UNIX-Platinum Support</t>
  </si>
  <si>
    <t>456-000-409 - Standard Support</t>
  </si>
  <si>
    <t>DISXTENDER FOR U/L CAPACITY 1000TB (1 PETABYTE)-Standard Support</t>
  </si>
  <si>
    <t>456-000-409 - Platinum Support</t>
  </si>
  <si>
    <t>DISXTENDER FOR U/L CAPACITY 1000TB (1 PETABYTE)-Platinum Support</t>
  </si>
  <si>
    <t>456-000-411 - Standard Support</t>
  </si>
  <si>
    <t>DISXTENDER FOR U/L CAPACITY 2000TB (2 PETABYTE)-Standard Support</t>
  </si>
  <si>
    <t>456-000-411 - Platinum Support</t>
  </si>
  <si>
    <t>DISXTENDER FOR U/L CAPACITY 2000TB (2 PETABYTE)-Platinum Support</t>
  </si>
  <si>
    <t>456-000-413 - Standard Support</t>
  </si>
  <si>
    <t>DISXTENDER FOR U/L CAPACITY 3000TB (3 PETABYTE)-Standard Support</t>
  </si>
  <si>
    <t>456-000-413 - Platinum Support</t>
  </si>
  <si>
    <t>DISXTENDER FOR U/L CAPACITY 3000TB (3 PETABYTE)-Platinum Support</t>
  </si>
  <si>
    <t>456-000-415 - Standard Support</t>
  </si>
  <si>
    <t>DISXTENDER FOR U/L CAPACITY 4000TB (4 PETABYTE)-Standard Support</t>
  </si>
  <si>
    <t>456-000-415 - Platinum Support</t>
  </si>
  <si>
    <t>DISXTENDER FOR U/L CAPACITY 4000TB (4 PETABYTE)-Platinum Support</t>
  </si>
  <si>
    <t>456-000-417 - Standard Support</t>
  </si>
  <si>
    <t>DISXTENDER FOR U/L CAPACITY 5000TB (5 PETABYTE)-Standard Support</t>
  </si>
  <si>
    <t>456-000-417 - Platinum Support</t>
  </si>
  <si>
    <t>DISXTENDER FOR U/L CAPACITY 5000TB (5 PETABYTE)-Platinum Support</t>
  </si>
  <si>
    <t>CLM-ADMIN - Standard Support</t>
  </si>
  <si>
    <t>ELECTICA SOFTWARE SELECT: SELECTICA CONTRACTS MGMT ADMINISTRATOR-Standard Support</t>
  </si>
  <si>
    <t>CLM-ADMIN - Platinum Support</t>
  </si>
  <si>
    <t>ELECTICA SOFTWARE SELECT: SELECTICA CONTRACTS MGMT ADMINISTRATOR-Platinum Support</t>
  </si>
  <si>
    <t>CLM-KSK-USER - Standard Support</t>
  </si>
  <si>
    <t>ELECTICA SOFTWARE SELECT: SELECTICA CONTRACTS MGMT KIOSK USER-Standard Support</t>
  </si>
  <si>
    <t>CLM-KSK-USER - Platinum Support</t>
  </si>
  <si>
    <t>ELECTICA SOFTWARE SELECT: SELECTICA CONTRACTS MGMT KIOSK USER-Platinum Support</t>
  </si>
  <si>
    <t>CLM-OCC-USER - Standard Support</t>
  </si>
  <si>
    <t>ELECTICA SOFTWARE SELECT: SELECTICA CONTRACTS MGMT OCCASIONAL USER-Standard Support</t>
  </si>
  <si>
    <t>CLM-OCC-USER - Platinum Support</t>
  </si>
  <si>
    <t>ELECTICA SOFTWARE SELECT: SELECTICA CONTRACTS MGMT OCCASIONAL USER-Platinum Support</t>
  </si>
  <si>
    <t>CLM-STD-USER - Standard Support</t>
  </si>
  <si>
    <t>ELECTICA SOFTWARE SELECT: SELECTICA CONTRACTS MGMT STANDARD USER-Standard Support</t>
  </si>
  <si>
    <t>CLM-STD-USER - Platinum Support</t>
  </si>
  <si>
    <t>ELECTICA SOFTWARE SELECT: SELECTICA CONTRACTS MGMT STANDARD USER-Platinum Support</t>
  </si>
  <si>
    <t>CLM-SERVER - Standard Support</t>
  </si>
  <si>
    <t>ELECTICA SOFTWARE SELECT: SELECTICA CONTRACTS PRODUCTION SERVER-Standard Support</t>
  </si>
  <si>
    <t>CLM-SERVER - Platinum Support</t>
  </si>
  <si>
    <t>ELECTICA SOFTWARE SELECT: SELECTICA CONTRACTS PRODUCTION SERVER-Platinum Support</t>
  </si>
  <si>
    <t>BP-DCTMCT-A - Standard Support</t>
  </si>
  <si>
    <t>IGC BRAVA SOFTWARE SELECT Brava for CAD TaskSpace 25-499; per site-Standard Support</t>
  </si>
  <si>
    <t>BP-DCTMCT-A - Platinum Support</t>
  </si>
  <si>
    <t>IGC BRAVA SOFTWARE SELECT Brava for CAD TaskSpace 25-499; per site-Platinum Support</t>
  </si>
  <si>
    <t>BP-DCTMC-B - Standard Support</t>
  </si>
  <si>
    <t>IGC BRAVA SOFTWARE SELECT Brava for CAD Webtop  500-999; per site-Standard Support</t>
  </si>
  <si>
    <t>BP-DCTMC-B - Platinum Support</t>
  </si>
  <si>
    <t>IGC BRAVA SOFTWARE SELECT Brava for CAD Webtop  500-999; per site-Platinum Support</t>
  </si>
  <si>
    <t>BP-DCTMC-C - Standard Support</t>
  </si>
  <si>
    <t>IGC BRAVA SOFTWARE SELECT Brava for CAD Webtop 1000-1499; per site-Standard Support</t>
  </si>
  <si>
    <t>BP-DCTMC-C - Platinum Support</t>
  </si>
  <si>
    <t>IGC BRAVA SOFTWARE SELECT Brava for CAD Webtop 1000-1499; per site-Platinum Support</t>
  </si>
  <si>
    <t>BP-DCTMC-D - Standard Support</t>
  </si>
  <si>
    <t>IGC BRAVA SOFTWARE SELECT Brava for CAD Webtop 1500-1999; per site-Standard Support</t>
  </si>
  <si>
    <t>BP-DCTMC-D - Platinum Support</t>
  </si>
  <si>
    <t>IGC BRAVA SOFTWARE SELECT Brava for CAD Webtop 1500-1999; per site-Platinum Support</t>
  </si>
  <si>
    <t>BP-DCTMC-E - Standard Support</t>
  </si>
  <si>
    <t>IGC BRAVA SOFTWARE SELECT Brava for CAD Webtop 2000-4999; per site-Standard Support</t>
  </si>
  <si>
    <t>BP-DCTMC-E - Platinum Support</t>
  </si>
  <si>
    <t>IGC BRAVA SOFTWARE SELECT Brava for CAD Webtop 2000-4999; per site-Platinum Support</t>
  </si>
  <si>
    <t>BP-DCTMC-A - Standard Support</t>
  </si>
  <si>
    <t>IGC BRAVA SOFTWARE SELECT Brava for CAD Webtop 25-499; per site-Standard Support</t>
  </si>
  <si>
    <t>BP-DCTMC-A - Platinum Support</t>
  </si>
  <si>
    <t>IGC BRAVA SOFTWARE SELECT Brava for CAD Webtop 25-499; per site-Platinum Support</t>
  </si>
  <si>
    <t>BP-DCTMC-F - Standard Support</t>
  </si>
  <si>
    <t>IGC BRAVA SOFTWARE SELECT Brava for CAD Webtop 5000+; per site-Standard Support</t>
  </si>
  <si>
    <t>BP-DCTMC-F - Platinum Support</t>
  </si>
  <si>
    <t>IGC BRAVA SOFTWARE SELECT Brava for CAD Webtop 5000+; per site-Platinum Support</t>
  </si>
  <si>
    <t>RIEDTM - Standard Support</t>
  </si>
  <si>
    <t>IGC BRAVA SOFTWARE SELECT REDACT-IT ENTERPRISE-Standard Support</t>
  </si>
  <si>
    <t>RIEDTM - Platinum Support</t>
  </si>
  <si>
    <t>IGC BRAVA SOFTWARE SELECT REDACT-IT ENTERPRISE-Platinum Support</t>
  </si>
  <si>
    <t>SUITETBSUPPC1 - Standard Support</t>
  </si>
  <si>
    <t>SELECTICA TRNG MNT INSTALL SELECT NTPS SuiteTB PUC &amp; Sppt 1Yr-per TB per prod-Standard Support</t>
  </si>
  <si>
    <t>SUITETBSUPPC1 - Platinum Support</t>
  </si>
  <si>
    <t>SELECTICA TRNG MNT INSTALL SELECT NTPS SuiteTB PUC &amp; Sppt 1Yr-per TB per prod-Platinum Support</t>
  </si>
  <si>
    <t>CLM-ADMIN-MNT - Standard Support</t>
  </si>
  <si>
    <t>SELECTICA TRNG MNT INSTALL SELECT: SELECTICA CONTRACTS MGMT ADMIN MAINT-Standard Support</t>
  </si>
  <si>
    <t>CLM-ADMIN-MNT - Platinum Support</t>
  </si>
  <si>
    <t>SELECTICA TRNG MNT INSTALL SELECT: SELECTICA CONTRACTS MGMT ADMIN MAINT-Platinum Support</t>
  </si>
  <si>
    <t>CLM-SVR-MNT - Standard Support</t>
  </si>
  <si>
    <t>SELECTICA TRNG MNT INSTALL SELECT: SELECTICA CONTRACTS MGMT SERVER MAINT-Standard Support</t>
  </si>
  <si>
    <t>CLM-SVR-MNT - Platinum Support</t>
  </si>
  <si>
    <t>SELECTICA TRNG MNT INSTALL SELECT: SELECTICA CONTRACTS MGMT SERVER MAINT-Platinum Support</t>
  </si>
  <si>
    <t>457-100-608 - Standard Support</t>
  </si>
  <si>
    <t>XCP USER APP SPECIFIC - 1-50-Standard Support</t>
  </si>
  <si>
    <t>457-100-608 - Platinum Support</t>
  </si>
  <si>
    <t>XCP USER APP SPECIFIC - 1-50-Platinum Support</t>
  </si>
  <si>
    <t>457-100-610 - Standard Support</t>
  </si>
  <si>
    <t>XCP USER APP SPECIFIC - 201-500-Standard Support</t>
  </si>
  <si>
    <t>457-100-610 - Platinum Support</t>
  </si>
  <si>
    <t>XCP USER APP SPECIFIC - 201-500-Platinum Support</t>
  </si>
  <si>
    <t>457-100-611 - Standard Support</t>
  </si>
  <si>
    <t>XCP USER APP SPECIFIC - 501-1250-Standard Support</t>
  </si>
  <si>
    <t>457-100-611 - Platinum Support</t>
  </si>
  <si>
    <t>XCP USER APP SPECIFIC - 501-1250-Platinum Support</t>
  </si>
  <si>
    <t>457-100-609 - Standard Support</t>
  </si>
  <si>
    <t>XCP USER APP SPECIFIC - 51-200-Standard Support</t>
  </si>
  <si>
    <t>457-100-609 - Platinum Support</t>
  </si>
  <si>
    <t>XCP USER APP SPECIFIC - 51-200-Platinum Support</t>
  </si>
  <si>
    <t>457-100-612 - Standard Support</t>
  </si>
  <si>
    <t>XCP USER APP SPECIFIC-1251-3000-Standard Support</t>
  </si>
  <si>
    <t>457-100-612 - Platinum Support</t>
  </si>
  <si>
    <t>XCP USER APP SPECIFIC-1251-3000-Platinum Support</t>
  </si>
  <si>
    <t>457-100-615 - Standard Support</t>
  </si>
  <si>
    <t>XCP USER APP SPECIFIC-25001-50000-Standard Support</t>
  </si>
  <si>
    <t>457-100-615 - Platinum Support</t>
  </si>
  <si>
    <t>XCP USER APP SPECIFIC-25001-50000-Platinum Support</t>
  </si>
  <si>
    <t>457-100-613 - Standard Support</t>
  </si>
  <si>
    <t>XCP USER APP SPECIFIC-3001-8500-Standard Support</t>
  </si>
  <si>
    <t>457-100-613 - Platinum Support</t>
  </si>
  <si>
    <t>XCP USER APP SPECIFIC-3001-8500-Platinum Support</t>
  </si>
  <si>
    <t>457-100-616 - Standard Support</t>
  </si>
  <si>
    <t>XCP USER APP SPECIFIC-50001-1000000-Standard Support</t>
  </si>
  <si>
    <t>457-100-616 - Platinum Support</t>
  </si>
  <si>
    <t>XCP USER APP SPECIFIC-50001-1000000-Platinum Support</t>
  </si>
  <si>
    <t>457-100-614 - Standard Support</t>
  </si>
  <si>
    <t>XCP USER APP SPECIFIC-8501-25000-Standard Support</t>
  </si>
  <si>
    <t>457-100-614 - Platinum Support</t>
  </si>
  <si>
    <t>XCP USER APP SPECIFIC-8501-25000-Platinum Support</t>
  </si>
  <si>
    <t>457-100-285 - Standard Support</t>
  </si>
  <si>
    <t>XCP USER BUNDLE - 1251-3000-Standard Support</t>
  </si>
  <si>
    <t>457-100-285 - Platinum Support</t>
  </si>
  <si>
    <t>XCP USER BUNDLE - 1251-3000-Platinum Support</t>
  </si>
  <si>
    <t>457-100-281 - Standard Support</t>
  </si>
  <si>
    <t>XCP USER BUNDLE - 1-50-Standard Support</t>
  </si>
  <si>
    <t>457-100-281 - Platinum Support</t>
  </si>
  <si>
    <t>XCP USER BUNDLE - 1-50-Platinum Support</t>
  </si>
  <si>
    <t>457-100-283 - Standard Support</t>
  </si>
  <si>
    <t>XCP USER BUNDLE - 201-500-Standard Support</t>
  </si>
  <si>
    <t>457-100-283 - Platinum Support</t>
  </si>
  <si>
    <t>XCP USER BUNDLE - 201-500-Platinum Support</t>
  </si>
  <si>
    <t>457-100-288 - Standard Support</t>
  </si>
  <si>
    <t>XCP USER BUNDLE - 25001-50000-Standard Support</t>
  </si>
  <si>
    <t>457-100-288 - Platinum Support</t>
  </si>
  <si>
    <t>XCP USER BUNDLE - 25001-50000-Platinum Support</t>
  </si>
  <si>
    <t>457-100-286 - Standard Support</t>
  </si>
  <si>
    <t>XCP USER BUNDLE - 3001-8500-Standard Support</t>
  </si>
  <si>
    <t>457-100-286 - Platinum Support</t>
  </si>
  <si>
    <t>XCP USER BUNDLE - 3001-8500-Platinum Support</t>
  </si>
  <si>
    <t>457-100-289 - Standard Support</t>
  </si>
  <si>
    <t>XCP USER BUNDLE - 50001-1000000-Standard Support</t>
  </si>
  <si>
    <t>457-100-289 - Platinum Support</t>
  </si>
  <si>
    <t>XCP USER BUNDLE - 50001-1000000-Platinum Support</t>
  </si>
  <si>
    <t>457-100-284 - Standard Support</t>
  </si>
  <si>
    <t>XCP USER BUNDLE - 501-1250-Standard Support</t>
  </si>
  <si>
    <t>457-100-284 - Platinum Support</t>
  </si>
  <si>
    <t>XCP USER BUNDLE - 501-1250-Platinum Support</t>
  </si>
  <si>
    <t>457-100-282 - Standard Support</t>
  </si>
  <si>
    <t>XCP USER BUNDLE - 51-200-Standard Support</t>
  </si>
  <si>
    <t>457-100-282 - Platinum Support</t>
  </si>
  <si>
    <t>XCP USER BUNDLE - 51-200-Platinum Support</t>
  </si>
  <si>
    <t>457-100-287 - Standard Support</t>
  </si>
  <si>
    <t>XCP USER BUNDLE - 8501-25000-Standard Support</t>
  </si>
  <si>
    <t>457-100-287 - Platinum Support</t>
  </si>
  <si>
    <t>XCP USER BUNDLE - 8501-25000-Platinum Support</t>
  </si>
  <si>
    <t>457-100-647 - Standard Support</t>
  </si>
  <si>
    <t>XCP USER UPGRADE BUNDLE  - 501-1250-Standard Support</t>
  </si>
  <si>
    <t>457-100-647 - Platinum Support</t>
  </si>
  <si>
    <t>XCP USER UPGRADE BUNDLE  - 501-1250-Platinum Support</t>
  </si>
  <si>
    <t>457-100-645 - Standard Support</t>
  </si>
  <si>
    <t>XCP USER UPGRADE BUNDLE  - 51-200-Standard Support</t>
  </si>
  <si>
    <t>457-100-645 - Platinum Support</t>
  </si>
  <si>
    <t>XCP USER UPGRADE BUNDLE  - 51-200-Platinum Support</t>
  </si>
  <si>
    <t>457-100-644 - Standard Support</t>
  </si>
  <si>
    <t>XCP USER UPGRADE BUNDLE - 1-50-Standard Support</t>
  </si>
  <si>
    <t>457-100-644 - Platinum Support</t>
  </si>
  <si>
    <t>XCP USER UPGRADE BUNDLE - 1-50-Platinum Support</t>
  </si>
  <si>
    <t>457-100-646 - Standard Support</t>
  </si>
  <si>
    <t>XCP USER UPGRADE BUNDLE - 201-500-Standard Support</t>
  </si>
  <si>
    <t>457-100-646 - Platinum Support</t>
  </si>
  <si>
    <t>XCP USER UPGRADE BUNDLE - 201-500-Platinum Support</t>
  </si>
  <si>
    <t>457-100-652 - Standard Support</t>
  </si>
  <si>
    <t>XCP USER UPGRADE BUNDLE - 50001-1000000-Standard Support</t>
  </si>
  <si>
    <t>457-100-652 - Platinum Support</t>
  </si>
  <si>
    <t>XCP USER UPGRADE BUNDLE - 50001-1000000-Platinum Support</t>
  </si>
  <si>
    <t>457-100-648 - Standard Support</t>
  </si>
  <si>
    <t>XCP USER UPGRADE BUNDLE -1251-3000-Standard Support</t>
  </si>
  <si>
    <t>457-100-648 - Platinum Support</t>
  </si>
  <si>
    <t>XCP USER UPGRADE BUNDLE -1251-3000-Platinum Support</t>
  </si>
  <si>
    <t>457-100-651 - Standard Support</t>
  </si>
  <si>
    <t>XCP USER UPGRADE BUNDLE -25001-50000-Standard Support</t>
  </si>
  <si>
    <t>457-100-651 - Platinum Support</t>
  </si>
  <si>
    <t>XCP USER UPGRADE BUNDLE -25001-50000-Platinum Support</t>
  </si>
  <si>
    <t>457-100-649 - Standard Support</t>
  </si>
  <si>
    <t>XCP USER UPGRADE BUNDLE -3001-8500-Standard Support</t>
  </si>
  <si>
    <t>457-100-649 - Platinum Support</t>
  </si>
  <si>
    <t>XCP USER UPGRADE BUNDLE -3001-8500-Platinum Support</t>
  </si>
  <si>
    <t>457-100-650 - Standard Support</t>
  </si>
  <si>
    <t>XCP USER UPGRADE BUNDLE -8501-25000-Standard Support</t>
  </si>
  <si>
    <t>457-100-650 - Platinum Support</t>
  </si>
  <si>
    <t>XCP USER UPGRADE BUNDLE -8501-25000-Platinum Support</t>
  </si>
  <si>
    <t>BP-DCTMS-M - Standard Support</t>
  </si>
  <si>
    <t>ADDITIONAL BRAVA SERVER MAINT-Standard Support</t>
  </si>
  <si>
    <t>BP-DCTMS-M - Platinum Support</t>
  </si>
  <si>
    <t>ADDITIONAL BRAVA SERVER MAINT-Platinum Support</t>
  </si>
  <si>
    <t>AS-RPT-WEBL2 - Standard Support</t>
  </si>
  <si>
    <t>ARCHIVE SERVICESREPORTS FOR REPORTS WEB ACCESS LVL2 CPU-Standard Support</t>
  </si>
  <si>
    <t>AS-RPT-WEBL2 - Platinum Support</t>
  </si>
  <si>
    <t>ARCHIVE SERVICESREPORTS FOR REPORTS WEB ACCESS LVL2 CPU-Platinum Support</t>
  </si>
  <si>
    <t>BP-DCTMCT-M-A - Standard Support</t>
  </si>
  <si>
    <t>Brava CAD TaskSpace Maint 25-499 per site-Standard Support</t>
  </si>
  <si>
    <t>BP-DCTMCT-M-A - Platinum Support</t>
  </si>
  <si>
    <t>Brava CAD TaskSpace Maint 25-499 per site-Platinum Support</t>
  </si>
  <si>
    <t>BP-DCTMCT-M-B - Standard Support</t>
  </si>
  <si>
    <t>Brava CAD TaskSpace Maint 500-999 per site-Standard Support</t>
  </si>
  <si>
    <t>BP-DCTMCT-M-B - Platinum Support</t>
  </si>
  <si>
    <t>Brava CAD TaskSpace Maint 500-999 per site-Platinum Support</t>
  </si>
  <si>
    <t>BP-DCTMCT-M-C - Standard Support</t>
  </si>
  <si>
    <t>Brava CAD TaskSpace Mnt 1000-1499 per site-Standard Support</t>
  </si>
  <si>
    <t>BP-DCTMCT-M-C - Platinum Support</t>
  </si>
  <si>
    <t>Brava CAD TaskSpace Mnt 1000-1499 per site-Platinum Support</t>
  </si>
  <si>
    <t>BP-DCTMCT-M-D - Standard Support</t>
  </si>
  <si>
    <t>Brava CAD TaskSpace Mnt 1500-1999 per site-Standard Support</t>
  </si>
  <si>
    <t>BP-DCTMCT-M-D - Platinum Support</t>
  </si>
  <si>
    <t>Brava CAD TaskSpace Mnt 1500-1999 per site-Platinum Support</t>
  </si>
  <si>
    <t>BP-DCTMCT-M-E - Standard Support</t>
  </si>
  <si>
    <t>Brava CAD TaskSpace Mnt 2000-4999 per site-Standard Support</t>
  </si>
  <si>
    <t>BP-DCTMCT-M-E - Platinum Support</t>
  </si>
  <si>
    <t>Brava CAD TaskSpace Mnt 2000-4999 per site-Platinum Support</t>
  </si>
  <si>
    <t>BP-DCTMC-M-C - Standard Support</t>
  </si>
  <si>
    <t>Brava CAD Webtop Maint 1000-1499 per site-Standard Support</t>
  </si>
  <si>
    <t>BP-DCTMC-M-C - Platinum Support</t>
  </si>
  <si>
    <t>Brava CAD Webtop Maint 1000-1499 per site-Platinum Support</t>
  </si>
  <si>
    <t>BP-DCTMC-M-D - Standard Support</t>
  </si>
  <si>
    <t>Brava CAD Webtop Maint 1500-1999 per site-Standard Support</t>
  </si>
  <si>
    <t>BP-DCTMC-M-D - Platinum Support</t>
  </si>
  <si>
    <t>Brava CAD Webtop Maint 1500-1999 per site-Platinum Support</t>
  </si>
  <si>
    <t>BP-DCTMC-M-E - Standard Support</t>
  </si>
  <si>
    <t>Brava CAD Webtop Maint 2000-4999 per site-Standard Support</t>
  </si>
  <si>
    <t>BP-DCTMC-M-E - Platinum Support</t>
  </si>
  <si>
    <t>Brava CAD Webtop Maint 2000-4999 per site-Platinum Support</t>
  </si>
  <si>
    <t>BP-DCTMIT-M-C - Standard Support</t>
  </si>
  <si>
    <t>Brava Docs TaskSpace Mnt 1000-1499;per site-Standard Support</t>
  </si>
  <si>
    <t>BP-DCTMIT-M-C - Platinum Support</t>
  </si>
  <si>
    <t>Brava Docs TaskSpace Mnt 1000-1499;per site-Platinum Support</t>
  </si>
  <si>
    <t>BP-DCTMIT-M-D - Standard Support</t>
  </si>
  <si>
    <t>Brava Docs TaskSpace Mnt 1500-1999;per site-Standard Support</t>
  </si>
  <si>
    <t>BP-DCTMIT-M-D - Platinum Support</t>
  </si>
  <si>
    <t>Brava Docs TaskSpace Mnt 1500-1999;per site-Platinum Support</t>
  </si>
  <si>
    <t>BP-DCTMIT-M-E - Standard Support</t>
  </si>
  <si>
    <t>Brava Docs TaskSpace Mnt 2000-4999;per site-Standard Support</t>
  </si>
  <si>
    <t>BP-DCTMIT-M-E - Platinum Support</t>
  </si>
  <si>
    <t>Brava Docs TaskSpace Mnt 2000-4999;per site-Platinum Support</t>
  </si>
  <si>
    <t>BP-DCTMIT-M-A - Standard Support</t>
  </si>
  <si>
    <t>Brava Docs TaskSpace Mnt 25-499; per site-Standard Support</t>
  </si>
  <si>
    <t>BP-DCTMIT-M-A - Platinum Support</t>
  </si>
  <si>
    <t>Brava Docs TaskSpace Mnt 25-499; per site-Platinum Support</t>
  </si>
  <si>
    <t>BP-DCTMIT-M-F - Standard Support</t>
  </si>
  <si>
    <t>Brava Docs TaskSpace Mnt 5000+; per site-Standard Support</t>
  </si>
  <si>
    <t>BP-DCTMIT-M-F - Platinum Support</t>
  </si>
  <si>
    <t>Brava Docs TaskSpace Mnt 5000+; per site-Platinum Support</t>
  </si>
  <si>
    <t>BP-DCTMIT-M-B - Standard Support</t>
  </si>
  <si>
    <t>Brava Docs TaskSpace Mnt 500-999; per site-Standard Support</t>
  </si>
  <si>
    <t>BP-DCTMIT-M-B - Platinum Support</t>
  </si>
  <si>
    <t>Brava Docs TaskSpace Mnt 500-999; per site-Platinum Support</t>
  </si>
  <si>
    <t>BP-DCTMI-M-A - Standard Support</t>
  </si>
  <si>
    <t>Brava Docs Webtop Maint 25-499; per site-Standard Support</t>
  </si>
  <si>
    <t>BP-DCTMI-M-A - Platinum Support</t>
  </si>
  <si>
    <t>Brava Docs Webtop Maint 25-499; per site-Platinum Support</t>
  </si>
  <si>
    <t>BP-DCTMI-M-F - Standard Support</t>
  </si>
  <si>
    <t>Brava Docs Webtop Maint 5000+; per site-Standard Support</t>
  </si>
  <si>
    <t>BP-DCTMI-M-F - Platinum Support</t>
  </si>
  <si>
    <t>Brava Docs Webtop Maint 5000+; per site-Platinum Support</t>
  </si>
  <si>
    <t>BP-DCTMI-M-B - Standard Support</t>
  </si>
  <si>
    <t>Brava Docs Webtop Maint 500-999; per site-Standard Support</t>
  </si>
  <si>
    <t>BP-DCTMI-M-B - Platinum Support</t>
  </si>
  <si>
    <t>Brava Docs Webtop Maint 500-999; per site-Platinum Support</t>
  </si>
  <si>
    <t>BP-DCTMI-M-C - Standard Support</t>
  </si>
  <si>
    <t>Brava Docs Webtop Mnt 1000-1499; per site-Standard Support</t>
  </si>
  <si>
    <t>BP-DCTMI-M-C - Platinum Support</t>
  </si>
  <si>
    <t>Brava Docs Webtop Mnt 1000-1499; per site-Platinum Support</t>
  </si>
  <si>
    <t>BP-DCTMI-M-D - Standard Support</t>
  </si>
  <si>
    <t>Brava Docs Webtop Mnt 1500-1999; per site-Standard Support</t>
  </si>
  <si>
    <t>BP-DCTMI-M-D - Platinum Support</t>
  </si>
  <si>
    <t>Brava Docs Webtop Mnt 1500-1999; per site-Platinum Support</t>
  </si>
  <si>
    <t>BP-DCTMI-M-E - Standard Support</t>
  </si>
  <si>
    <t>Brava Docs Webtop Mnt 2000-4999; per site-Standard Support</t>
  </si>
  <si>
    <t>BP-DCTMI-M-E - Platinum Support</t>
  </si>
  <si>
    <t>Brava Docs Webtop Mnt 2000-4999; per site-Platinum Support</t>
  </si>
  <si>
    <t>BP-DCTMCT-M-F - Standard Support</t>
  </si>
  <si>
    <t>Brava for CAD TaskSpace Maint 5000+ persite-Standard Support</t>
  </si>
  <si>
    <t>BP-DCTMCT-M-F - Platinum Support</t>
  </si>
  <si>
    <t>Brava for CAD TaskSpace Maint 5000+ persite-Platinum Support</t>
  </si>
  <si>
    <t>BP-DCTMC-M-B - Standard Support</t>
  </si>
  <si>
    <t>Brava for CAD Webtop Maint  500-999 persite-Standard Support</t>
  </si>
  <si>
    <t>BP-DCTMC-M-B - Platinum Support</t>
  </si>
  <si>
    <t>Brava for CAD Webtop Maint  500-999 persite-Platinum Support</t>
  </si>
  <si>
    <t>BP-DCTMC-M-A - Standard Support</t>
  </si>
  <si>
    <t>Brava for CAD Webtop Maint 25-499; per site-Standard Support</t>
  </si>
  <si>
    <t>BP-DCTMC-M-A - Platinum Support</t>
  </si>
  <si>
    <t>Brava for CAD Webtop Maint 25-499; per site-Platinum Support</t>
  </si>
  <si>
    <t>BP-DCTMC-M-F - Standard Support</t>
  </si>
  <si>
    <t>Brava for CAD Webtop Maint 5000+; per site-Standard Support</t>
  </si>
  <si>
    <t>BP-DCTMC-M-F - Platinum Support</t>
  </si>
  <si>
    <t>Brava for CAD Webtop Maint 5000+; per site-Platinum Support</t>
  </si>
  <si>
    <t>457-100-581 - Standard Support</t>
  </si>
  <si>
    <t>BUSINESS PROCESS MANAGEMENT CENTERSTAGE BUNDLE 1-50-Standard Support</t>
  </si>
  <si>
    <t>457-100-581 - Platinum Support</t>
  </si>
  <si>
    <t>BUSINESS PROCESS MANAGEMENT CENTERSTAGE BUNDLE 1-50-Platinum Support</t>
  </si>
  <si>
    <t>PRC-SRVS-SAP - Standard Support</t>
  </si>
  <si>
    <t>BUSINESS PROCESS MANAGEMENT PROCESS SERVICES FOR SAP EXTENDS CMA PROCESS SUITE-Standard Support</t>
  </si>
  <si>
    <t>PRC-SRVS-SAP - Platinum Support</t>
  </si>
  <si>
    <t>BUSINESS PROCESS MANAGEMENT PROCESS SERVICES FOR SAP EXTENDS CMA PROCESS SUITE-Platinum Support</t>
  </si>
  <si>
    <t>RECOSTAR-PRO - Standard Support</t>
  </si>
  <si>
    <t>BUSINESS PROCESS MANAGEMENT RECOSTAR PROFESSIONAL OCR 25 CPS-TP-Standard Support</t>
  </si>
  <si>
    <t>RECOSTAR-PRO - Platinum Support</t>
  </si>
  <si>
    <t>BUSINESS PROCESS MANAGEMENT RECOSTAR PROFESSIONAL OCR 25 CPS-TP-Platinum Support</t>
  </si>
  <si>
    <t>D2-SN01-1500 - Standard Support</t>
  </si>
  <si>
    <t>C6 SOFTWARE SELECT 1500-2999; D2 LICENCE PER USER-Standard Support</t>
  </si>
  <si>
    <t>D2-SN01-1500 - Platinum Support</t>
  </si>
  <si>
    <t>C6 SOFTWARE SELECT 1500-2999; D2 LICENCE PER USER-Platinum Support</t>
  </si>
  <si>
    <t>O2-SN03-1500 - Standard Support</t>
  </si>
  <si>
    <t>C6 SOFTWARE SELECT 1500-2999; O2 LICENCE PER USER-Standard Support</t>
  </si>
  <si>
    <t>O2-SN03-1500 - Platinum Support</t>
  </si>
  <si>
    <t>C6 SOFTWARE SELECT 1500-2999; O2 LICENCE PER USER-Platinum Support</t>
  </si>
  <si>
    <t>C2-SN02-0025 - Standard Support</t>
  </si>
  <si>
    <t>C6 SOFTWARE SELECT 25-499; C2 LICENCE PER USER-Standard Support</t>
  </si>
  <si>
    <t>C2-SN02-0025 - Platinum Support</t>
  </si>
  <si>
    <t>C6 SOFTWARE SELECT 25-499; C2 LICENCE PER USER-Platinum Support</t>
  </si>
  <si>
    <t>D2-SN01-0025 - Standard Support</t>
  </si>
  <si>
    <t>C6 SOFTWARE SELECT 25-499; D2 LICENCE PER USER-Standard Support</t>
  </si>
  <si>
    <t>D2-SN01-0025 - Platinum Support</t>
  </si>
  <si>
    <t>C6 SOFTWARE SELECT 25-499; D2 LICENCE PER USER-Platinum Support</t>
  </si>
  <si>
    <t>O2-SN03-0025 - Standard Support</t>
  </si>
  <si>
    <t>C6 SOFTWARE SELECT 25-499; O2 LICENCE PER USER-Standard Support</t>
  </si>
  <si>
    <t>O2-SN03-0025 - Platinum Support</t>
  </si>
  <si>
    <t>C6 SOFTWARE SELECT 25-499; O2 LICENCE PER USER-Platinum Support</t>
  </si>
  <si>
    <t>C2-SN02-3000 - Standard Support</t>
  </si>
  <si>
    <t>C6 SOFTWARE SELECT 3000-4999; C2 LICENCE PER USER-Standard Support</t>
  </si>
  <si>
    <t>C2-SN02-3000 - Platinum Support</t>
  </si>
  <si>
    <t>C6 SOFTWARE SELECT 3000-4999; C2 LICENCE PER USER-Platinum Support</t>
  </si>
  <si>
    <t>D2-SN01-3000 - Standard Support</t>
  </si>
  <si>
    <t>C6 SOFTWARE SELECT 3000-4999; D2 LICENCE PER USER-Standard Support</t>
  </si>
  <si>
    <t>D2-SN01-3000 - Platinum Support</t>
  </si>
  <si>
    <t>C6 SOFTWARE SELECT 3000-4999; D2 LICENCE PER USER-Platinum Support</t>
  </si>
  <si>
    <t>O2-SN03-3000 - Standard Support</t>
  </si>
  <si>
    <t>C6 SOFTWARE SELECT 3000-4999; O2 LICENCE PER USER-Standard Support</t>
  </si>
  <si>
    <t>O2-SN03-3000 - Platinum Support</t>
  </si>
  <si>
    <t>C6 SOFTWARE SELECT 3000-4999; O2 LICENCE PER USER-Platinum Support</t>
  </si>
  <si>
    <t>C2-SN02-5000 - Standard Support</t>
  </si>
  <si>
    <t>C6 SOFTWARE SELECT 5000+; C2 LICENCE PER USER-Standard Support</t>
  </si>
  <si>
    <t>C2-SN02-5000 - Platinum Support</t>
  </si>
  <si>
    <t>C6 SOFTWARE SELECT 5000+; C2 LICENCE PER USER-Platinum Support</t>
  </si>
  <si>
    <t>D2-SN01-5000 - Standard Support</t>
  </si>
  <si>
    <t>C6 SOFTWARE SELECT 5000+; D2 LICENCE PER USER-Standard Support</t>
  </si>
  <si>
    <t>D2-SN01-5000 - Platinum Support</t>
  </si>
  <si>
    <t>C6 SOFTWARE SELECT 5000+; D2 LICENCE PER USER-Platinum Support</t>
  </si>
  <si>
    <t>O2-SN03-5000 - Standard Support</t>
  </si>
  <si>
    <t>C6 SOFTWARE SELECT 5000+; O2 LICENCE PER USER-Standard Support</t>
  </si>
  <si>
    <t>O2-SN03-5000 - Platinum Support</t>
  </si>
  <si>
    <t>C6 SOFTWARE SELECT 5000+; O2 LICENCE PER USER-Platinum Support</t>
  </si>
  <si>
    <t>C2-SN02-0500 - Standard Support</t>
  </si>
  <si>
    <t>C6 SOFTWARE SELECT 500-1499; C2 LICENCE PER USER-Standard Support</t>
  </si>
  <si>
    <t>C2-SN02-0500 - Platinum Support</t>
  </si>
  <si>
    <t>C6 SOFTWARE SELECT 500-1499; C2 LICENCE PER USER-Platinum Support</t>
  </si>
  <si>
    <t>D2-SN01-0500 - Standard Support</t>
  </si>
  <si>
    <t>C6 SOFTWARE SELECT 500-1499; D2 LICENCE PER USER-Standard Support</t>
  </si>
  <si>
    <t>D2-SN01-0500 - Platinum Support</t>
  </si>
  <si>
    <t>C6 SOFTWARE SELECT 500-1499; D2 LICENCE PER USER-Platinum Support</t>
  </si>
  <si>
    <t>O2-SN03-0500 - Standard Support</t>
  </si>
  <si>
    <t>C6 SOFTWARE SELECT 500-1499; O2 LICENCE PER USER-Standard Support</t>
  </si>
  <si>
    <t>O2-SN03-0500 - Platinum Support</t>
  </si>
  <si>
    <t>C6 SOFTWARE SELECT 500-1499; O2 LICENCE PER USER-Platinum Support</t>
  </si>
  <si>
    <t>SPC-SN04-0000 - Standard Support</t>
  </si>
  <si>
    <t>C6 SOFTWARE SELECT; D2 SPECS LICENCE PER CPU-Standard Support</t>
  </si>
  <si>
    <t>SPC-SN04-0000 - Platinum Support</t>
  </si>
  <si>
    <t>C6 SOFTWARE SELECT; D2 SPECS LICENCE PER CPU-Platinum Support</t>
  </si>
  <si>
    <t>P2-SN05-0000 - Standard Support</t>
  </si>
  <si>
    <t>C6 SOFTWARE SELECT; P2 LICENCE PER CPU-Standard Support</t>
  </si>
  <si>
    <t>P2-SN05-0000 - Platinum Support</t>
  </si>
  <si>
    <t>C6 SOFTWARE SELECT; P2 LICENCE PER CPU-Platinum Support</t>
  </si>
  <si>
    <t>P2X-SN06-0000 - Standard Support</t>
  </si>
  <si>
    <t>C6 SOFTWARE SELECT; P2 XPRESS LICENCE PER CPU-Standard Support</t>
  </si>
  <si>
    <t>P2X-SN06-0000 - Platinum Support</t>
  </si>
  <si>
    <t>C6 SOFTWARE SELECT; P2 XPRESS LICENCE PER CPU-Platinum Support</t>
  </si>
  <si>
    <t>456-102-275 - Standard Support</t>
  </si>
  <si>
    <t>CAPTURE CAPTIVA ATTENDED CLIENTS CAPTIVA ATTENDED CLIENT-Standard Support</t>
  </si>
  <si>
    <t>456-102-275 - Platinum Support</t>
  </si>
  <si>
    <t>CAPTURE CAPTIVA ATTENDED CLIENTS CAPTIVA ATTENDED CLIENT-Platinum Support</t>
  </si>
  <si>
    <t>456-102-276 - Standard Support</t>
  </si>
  <si>
    <t>CAPTURE CAPTIVA ATTENDED CLIENTS CAPTIVA EINPUT ATTENDED CLIENT-Standard Support</t>
  </si>
  <si>
    <t>456-102-276 - Platinum Support</t>
  </si>
  <si>
    <t>CAPTURE CAPTIVA ATTENDED CLIENTS CAPTIVA EINPUT ATTENDED CLIENT-Platinum Support</t>
  </si>
  <si>
    <t>456-102-274 - Standard Support</t>
  </si>
  <si>
    <t>CAPTURE CAPTIVA ATTENDED CLIENTS CAPTIVA SCANPLUS MODULE (PREMIUM)-Standard Support</t>
  </si>
  <si>
    <t>456-102-274 - Platinum Support</t>
  </si>
  <si>
    <t>CAPTURE CAPTIVA ATTENDED CLIENTS CAPTIVA SCANPLUS MODULE (PREMIUM)-Platinum Support</t>
  </si>
  <si>
    <t>456-102-273 - Standard Support</t>
  </si>
  <si>
    <t>CAPTURE CAPTIVA ATTENDED CLIENTS CAPTIVA SCANPLUS MODULE (STANDARD)-Standard Support</t>
  </si>
  <si>
    <t>456-102-273 - Platinum Support</t>
  </si>
  <si>
    <t>CAPTURE CAPTIVA ATTENDED CLIENTS CAPTIVA SCANPLUS MODULE (STANDARD)-Platinum Support</t>
  </si>
  <si>
    <t>456-102-293 - Standard Support</t>
  </si>
  <si>
    <t>CAPTURE CAPTIVA DISPATCHER OCR ENGINES CAPTIVA ADVANCED FULL PAGE OCR (360 PPH), PER CL-Standard Support</t>
  </si>
  <si>
    <t>456-102-293 - Platinum Support</t>
  </si>
  <si>
    <t>CAPTURE CAPTIVA DISPATCHER OCR ENGINES CAPTIVA ADVANCED FULL PAGE OCR (360 PPH), PER CL-Platinum Support</t>
  </si>
  <si>
    <t>456-102-294 - Standard Support</t>
  </si>
  <si>
    <t>CAPTURE CAPTIVA DISPATCHER OCR ENGINES CAPTIVA ADVANCED FULL PAGE OCR (3600 PPH), PER CL-Standard Support</t>
  </si>
  <si>
    <t>456-102-294 - Platinum Support</t>
  </si>
  <si>
    <t>CAPTURE CAPTIVA DISPATCHER OCR ENGINES CAPTIVA ADVANCED FULL PAGE OCR (3600 PPH), PER CL-Platinum Support</t>
  </si>
  <si>
    <t>456-102-291 - Standard Support</t>
  </si>
  <si>
    <t>CAPTURE CAPTIVA DISPATCHER OCR ENGINES CAPTIVA ADVANCED ZONAL OCR (25 CPS), PER CL-Standard Support</t>
  </si>
  <si>
    <t>456-102-291 - Platinum Support</t>
  </si>
  <si>
    <t>CAPTURE CAPTIVA DISPATCHER OCR ENGINES CAPTIVA ADVANCED ZONAL OCR (25 CPS), PER CL-Platinum Support</t>
  </si>
  <si>
    <t>456-102-292 - Standard Support</t>
  </si>
  <si>
    <t>CAPTURE CAPTIVA DISPATCHER OCR ENGINES CAPTIVA ADVANCED ZONAL OCR (250 CPS), PER CL-Standard Support</t>
  </si>
  <si>
    <t>456-102-292 - Platinum Support</t>
  </si>
  <si>
    <t>CAPTURE CAPTIVA DISPATCHER OCR ENGINES CAPTIVA ADVANCED ZONAL OCR (250 CPS), PER CL-Platinum Support</t>
  </si>
  <si>
    <t>456-102-297 - Standard Support</t>
  </si>
  <si>
    <t>CAPTURE CAPTIVA DISPATCHER OCR ENGINES CAPTIVA CHECK READING FR 100K PPY, PER CL-Standard Support</t>
  </si>
  <si>
    <t>456-102-297 - Platinum Support</t>
  </si>
  <si>
    <t>CAPTURE CAPTIVA DISPATCHER OCR ENGINES CAPTIVA CHECK READING FR 100K PPY, PER CL-Platinum Support</t>
  </si>
  <si>
    <t>456-102-296 - Standard Support</t>
  </si>
  <si>
    <t>CAPTURE CAPTIVA DISPATCHER OCR ENGINES CAPTIVA CHECK READING US 100K PPY, PER CL-Standard Support</t>
  </si>
  <si>
    <t>456-102-296 - Platinum Support</t>
  </si>
  <si>
    <t>CAPTURE CAPTIVA DISPATCHER OCR ENGINES CAPTIVA CHECK READING US 100K PPY, PER CL-Platinum Support</t>
  </si>
  <si>
    <t>456-102-290 - Standard Support</t>
  </si>
  <si>
    <t>CAPTURE CAPTIVA DISPATCHER OCR ENGINES CAPTIVA EAST EURO / APAC OCR, PER CL-Standard Support</t>
  </si>
  <si>
    <t>456-102-290 - Platinum Support</t>
  </si>
  <si>
    <t>CAPTURE CAPTIVA DISPATCHER OCR ENGINES CAPTIVA EAST EURO / APAC OCR, PER CL-Platinum Support</t>
  </si>
  <si>
    <t>456-102-295 - Standard Support</t>
  </si>
  <si>
    <t>CAPTURE CAPTIVA DISPATCHER OCR ENGINES CAPTIVA STANDARD HANDPRINT (ICR), PER CL-Standard Support</t>
  </si>
  <si>
    <t>456-102-295 - Platinum Support</t>
  </si>
  <si>
    <t>CAPTURE CAPTIVA DISPATCHER OCR ENGINES CAPTIVA STANDARD HANDPRINT (ICR), PER CL-Platinum Support</t>
  </si>
  <si>
    <t>456-102-272 - Standard Support</t>
  </si>
  <si>
    <t>CAPTURE CAPTIVA INPUTACCEL DEV TOOLS CAPTIVA SOFTWARE DEVELOPERS KIT-Standard Support</t>
  </si>
  <si>
    <t>456-102-272 - Platinum Support</t>
  </si>
  <si>
    <t>CAPTURE CAPTIVA INPUTACCEL DEV TOOLS CAPTIVA SOFTWARE DEVELOPERS KIT-Platinum Support</t>
  </si>
  <si>
    <t>456-102-278 - Standard Support</t>
  </si>
  <si>
    <t>CAPTURE CAPTIVA INPUTACCEL EXPORTERS CAPTIVA EXPORT FOR EMC-Standard Support</t>
  </si>
  <si>
    <t>456-102-278 - Platinum Support</t>
  </si>
  <si>
    <t>CAPTURE CAPTIVA INPUTACCEL EXPORTERS CAPTIVA EXPORT FOR EMC-Platinum Support</t>
  </si>
  <si>
    <t>456-102-284 - Standard Support</t>
  </si>
  <si>
    <t>CAPTURE CAPTIVA INPUTACCEL EXPORTERS CAPTIVA EXPORT FOR GLOBAL360-Standard Support</t>
  </si>
  <si>
    <t>456-102-284 - Platinum Support</t>
  </si>
  <si>
    <t>CAPTURE CAPTIVA INPUTACCEL EXPORTERS CAPTIVA EXPORT FOR GLOBAL360-Platinum Support</t>
  </si>
  <si>
    <t>456-102-280 - Standard Support</t>
  </si>
  <si>
    <t>CAPTURE CAPTIVA INPUTACCEL EXPORTERS CAPTIVA EXPORT FOR IBM + FILENET-Standard Support</t>
  </si>
  <si>
    <t>456-102-280 - Platinum Support</t>
  </si>
  <si>
    <t>CAPTURE CAPTIVA INPUTACCEL EXPORTERS CAPTIVA EXPORT FOR IBM + FILENET-Platinum Support</t>
  </si>
  <si>
    <t>456-102-286 - Standard Support</t>
  </si>
  <si>
    <t>CAPTURE CAPTIVA INPUTACCEL EXPORTERS CAPTIVA EXPORT FOR OPENTEXT LIVELINK-Standard Support</t>
  </si>
  <si>
    <t>456-102-286 - Platinum Support</t>
  </si>
  <si>
    <t>CAPTURE CAPTIVA INPUTACCEL EXPORTERS CAPTIVA EXPORT FOR OPENTEXT LIVELINK-Platinum Support</t>
  </si>
  <si>
    <t>456-102-288 - Standard Support</t>
  </si>
  <si>
    <t>CAPTURE CAPTIVA INPUTACCEL EXPORTERS CAPTIVA EXPORT FOR SAP ARCHIVE AND AP CONNECT - NC-Standard Support</t>
  </si>
  <si>
    <t>456-102-288 - Platinum Support</t>
  </si>
  <si>
    <t>CAPTURE CAPTIVA INPUTACCEL EXPORTERS CAPTIVA EXPORT FOR SAP ARCHIVE AND AP CONNECT - NC-Platinum Support</t>
  </si>
  <si>
    <t>456-102-282 - Standard Support</t>
  </si>
  <si>
    <t>CAPTURE CAPTIVA INPUTACCEL EXPORTERS CAPTIVA EXPORT FOR SHAREPOINT-Standard Support</t>
  </si>
  <si>
    <t>456-102-282 - Platinum Support</t>
  </si>
  <si>
    <t>CAPTURE CAPTIVA INPUTACCEL EXPORTERS CAPTIVA EXPORT FOR SHAREPOINT-Platinum Support</t>
  </si>
  <si>
    <t>457-100-443 - Standard Support</t>
  </si>
  <si>
    <t>CAPTURE CAPTIVA INPUTACCEL SERVER CAPTIVA ENTERPRISE SERVER 1M PPY BUNDLE-Standard Support</t>
  </si>
  <si>
    <t>457-100-443 - Platinum Support</t>
  </si>
  <si>
    <t>CAPTURE CAPTIVA INPUTACCEL SERVER CAPTIVA ENTERPRISE SERVER 1M PPY BUNDLE-Platinum Support</t>
  </si>
  <si>
    <t>457-100-445 - Standard Support</t>
  </si>
  <si>
    <t>CAPTURE CAPTIVA INPUTACCEL SERVER CAPTIVA ENTERPRISE SVR + ADV RECOG 1M PPY BUNDLE-Standard Support</t>
  </si>
  <si>
    <t>457-100-445 - Platinum Support</t>
  </si>
  <si>
    <t>CAPTURE CAPTIVA INPUTACCEL SERVER CAPTIVA ENTERPRISE SVR + ADV RECOG 1M PPY BUNDLE-Platinum Support</t>
  </si>
  <si>
    <t>457-100-442 - Standard Support</t>
  </si>
  <si>
    <t>CAPTURE CAPTIVA INPUTACCEL SERVER CAPTIVA STANDARD SERVER 100K PPY BUNDLE-Standard Support</t>
  </si>
  <si>
    <t>457-100-442 - Platinum Support</t>
  </si>
  <si>
    <t>CAPTURE CAPTIVA INPUTACCEL SERVER CAPTIVA STANDARD SERVER 100K PPY BUNDLE-Platinum Support</t>
  </si>
  <si>
    <t>457-100-444 - Standard Support</t>
  </si>
  <si>
    <t>CAPTURE CAPTIVA INPUTACCEL SERVER CAPTIVA STD SVR + ADV RECOGNITION 100K PPY BUNDLE-Standard Support</t>
  </si>
  <si>
    <t>457-100-444 - Platinum Support</t>
  </si>
  <si>
    <t>CAPTURE CAPTIVA INPUTACCEL SERVER CAPTIVA STD SVR + ADV RECOGNITION 100K PPY BUNDLE-Platinum Support</t>
  </si>
  <si>
    <t>457-100-446 - Standard Support</t>
  </si>
  <si>
    <t>CAPTURE CAPTIVA INPUTACCEL SERVER CAPTIVA STD TO ENTERPRISE UPG (NO VOLUME) BUNDLE-Standard Support</t>
  </si>
  <si>
    <t>457-100-446 - Platinum Support</t>
  </si>
  <si>
    <t>CAPTURE CAPTIVA INPUTACCEL SERVER CAPTIVA STD TO ENTERPRISE UPG (NO VOLUME) BUNDLE-Platinum Support</t>
  </si>
  <si>
    <t>456-102-263 - Standard Support</t>
  </si>
  <si>
    <t>CAPTURE CAPTIVA INPUTACCEL SVR TEST CAPTIVA ENTERPR SERVER+ADV RECOG TEST/DRS 100K PPY-Standard Support</t>
  </si>
  <si>
    <t>456-102-263 - Platinum Support</t>
  </si>
  <si>
    <t>CAPTURE CAPTIVA INPUTACCEL SVR TEST CAPTIVA ENTERPR SERVER+ADV RECOG TEST/DRS 100K PPY-Platinum Support</t>
  </si>
  <si>
    <t>456-102-261 - Standard Support</t>
  </si>
  <si>
    <t>CAPTURE CAPTIVA INPUTACCEL SVR TEST CAPTIVA ENTERPRISE SERVER TEST/DRS 100K PPY-Standard Support</t>
  </si>
  <si>
    <t>456-102-261 - Platinum Support</t>
  </si>
  <si>
    <t>CAPTURE CAPTIVA INPUTACCEL SVR TEST CAPTIVA ENTERPRISE SERVER TEST/DRS 100K PPY-Platinum Support</t>
  </si>
  <si>
    <t>456-102-260 - Standard Support</t>
  </si>
  <si>
    <t>CAPTURE CAPTIVA INPUTACCEL SVR TEST CAPTIVA STANDARD SERVER TEST/DRS 10K PPY-Standard Support</t>
  </si>
  <si>
    <t>456-102-260 - Platinum Support</t>
  </si>
  <si>
    <t>CAPTURE CAPTIVA INPUTACCEL SVR TEST CAPTIVA STANDARD SERVER TEST/DRS 10K PPY-Platinum Support</t>
  </si>
  <si>
    <t>456-102-262 - Standard Support</t>
  </si>
  <si>
    <t>CAPTURE CAPTIVA INPUTACCEL SVR TEST CAPTIVA STD SERVER + ADV RECOG TEST/DRS 10K PPY-Standard Support</t>
  </si>
  <si>
    <t>456-102-262 - Platinum Support</t>
  </si>
  <si>
    <t>CAPTURE CAPTIVA INPUTACCEL SVR TEST CAPTIVA STD SERVER + ADV RECOG TEST/DRS 10K PPY-Platinum Support</t>
  </si>
  <si>
    <t>456-100-316 - Standard Support</t>
  </si>
  <si>
    <t>CAPTURE CAPTIVA PIXEL PIX TOOLS PIXTOOLS FOR .NET-Standard Support</t>
  </si>
  <si>
    <t>456-100-316 - Platinum Support</t>
  </si>
  <si>
    <t>CAPTURE CAPTIVA PIXEL PIX TOOLS PIXTOOLS FOR .NET-Platinum Support</t>
  </si>
  <si>
    <t>456-100-089 - Standard Support</t>
  </si>
  <si>
    <t>CAPTURE CAPTIVA QUICKSCAN PRO QUICKSCAN PRO LEVEL 1 ST-Standard Support</t>
  </si>
  <si>
    <t>456-100-089 - Platinum Support</t>
  </si>
  <si>
    <t>CAPTURE CAPTIVA QUICKSCAN PRO QUICKSCAN PRO LEVEL 1 ST-Platinum Support</t>
  </si>
  <si>
    <t>456-100-090 - Standard Support</t>
  </si>
  <si>
    <t>CAPTURE CAPTIVA QUICKSCAN PRO QUICKSCAN PRO LEVEL 2 ST-Standard Support</t>
  </si>
  <si>
    <t>456-100-090 - Platinum Support</t>
  </si>
  <si>
    <t>CAPTURE CAPTIVA QUICKSCAN PRO QUICKSCAN PRO LEVEL 2 ST-Platinum Support</t>
  </si>
  <si>
    <t>456-100-091 - Standard Support</t>
  </si>
  <si>
    <t>CAPTURE CAPTIVA QUICKSCAN PRO QUICKSCAN PRO LEVEL 3 ST-Standard Support</t>
  </si>
  <si>
    <t>456-100-091 - Platinum Support</t>
  </si>
  <si>
    <t>CAPTURE CAPTIVA QUICKSCAN PRO QUICKSCAN PRO LEVEL 3 ST-Platinum Support</t>
  </si>
  <si>
    <t>456-100-092 - Standard Support</t>
  </si>
  <si>
    <t>CAPTURE CAPTIVA QUICKSCAN PRO QUICKSCAN PRO PRODUCTION LEVEL ST-Standard Support</t>
  </si>
  <si>
    <t>456-100-092 - Platinum Support</t>
  </si>
  <si>
    <t>CAPTURE CAPTIVA QUICKSCAN PRO QUICKSCAN PRO PRODUCTION LEVEL ST-Platinum Support</t>
  </si>
  <si>
    <t>456-102-271 - Standard Support</t>
  </si>
  <si>
    <t>CAPTURE CAPTIVA REPORT AND MONITORING CAPTIVA REPORTS-Standard Support</t>
  </si>
  <si>
    <t>456-102-271 - Platinum Support</t>
  </si>
  <si>
    <t>CAPTURE CAPTIVA REPORT AND MONITORING CAPTIVA REPORTS-Platinum Support</t>
  </si>
  <si>
    <t>456-102-269 - Standard Support</t>
  </si>
  <si>
    <t>CAPTURE CAPTIVA SERVER PAGE VOLUME CAPTIVA ADV RECOGNITION VOLUME +100K PGS 1 YR TERM-Standard Support</t>
  </si>
  <si>
    <t>456-102-269 - Platinum Support</t>
  </si>
  <si>
    <t>CAPTURE CAPTIVA SERVER PAGE VOLUME CAPTIVA ADV RECOGNITION VOLUME +100K PGS 1 YR TERM-Platinum Support</t>
  </si>
  <si>
    <t>456-102-266 - Standard Support</t>
  </si>
  <si>
    <t>CAPTURE CAPTIVA SERVER PAGE VOLUME CAPTIVA ADV RECOGNITION VOLUME +100K PPY PERPETUAL-Standard Support</t>
  </si>
  <si>
    <t>456-102-266 - Platinum Support</t>
  </si>
  <si>
    <t>CAPTURE CAPTIVA SERVER PAGE VOLUME CAPTIVA ADV RECOGNITION VOLUME +100K PPY PERPETUAL-Platinum Support</t>
  </si>
  <si>
    <t>456-102-268 - Standard Support</t>
  </si>
  <si>
    <t>CAPTURE CAPTIVA SERVER PAGE VOLUME CAPTIVA SERVER VOL + ADV RECOG +100K PGS 1 YR TERM-Standard Support</t>
  </si>
  <si>
    <t>456-102-268 - Platinum Support</t>
  </si>
  <si>
    <t>CAPTURE CAPTIVA SERVER PAGE VOLUME CAPTIVA SERVER VOL + ADV RECOG +100K PGS 1 YR TERM-Platinum Support</t>
  </si>
  <si>
    <t>456-102-265 - Standard Support</t>
  </si>
  <si>
    <t>CAPTURE CAPTIVA SERVER PAGE VOLUME CAPTIVA SERVER VOL + ADV RECOG +100K PPY PERPETUAL-Standard Support</t>
  </si>
  <si>
    <t>456-102-265 - Platinum Support</t>
  </si>
  <si>
    <t>CAPTURE CAPTIVA SERVER PAGE VOLUME CAPTIVA SERVER VOL + ADV RECOG +100K PPY PERPETUAL-Platinum Support</t>
  </si>
  <si>
    <t>456-102-267 - Standard Support</t>
  </si>
  <si>
    <t>CAPTURE CAPTIVA SERVER PAGE VOLUME CAPTIVA SERVER VOLUME +100K PAGES 1 YR TERM-Standard Support</t>
  </si>
  <si>
    <t>456-102-267 - Platinum Support</t>
  </si>
  <si>
    <t>CAPTURE CAPTIVA SERVER PAGE VOLUME CAPTIVA SERVER VOLUME +100K PAGES 1 YR TERM-Platinum Support</t>
  </si>
  <si>
    <t>456-102-264 - Standard Support</t>
  </si>
  <si>
    <t>CAPTURE CAPTIVA SERVER PAGE VOLUME CAPTIVA SERVER VOLUME +100K PPY PERPETUAL-Standard Support</t>
  </si>
  <si>
    <t>456-102-264 - Platinum Support</t>
  </si>
  <si>
    <t>CAPTURE CAPTIVA SERVER PAGE VOLUME CAPTIVA SERVER VOLUME +100K PPY PERPETUAL-Platinum Support</t>
  </si>
  <si>
    <t>456-100-718- Standard Maintenance</t>
  </si>
  <si>
    <t>INPUTACCEL ENTERPRISE VOLUME PACK - +10M PPY- Standard Maintenance</t>
  </si>
  <si>
    <t>456-100-719- Standard Maintenance</t>
  </si>
  <si>
    <t>INPUTACCEL SCALESERVER, STARTER / STD SRVR- Standard Maintenance</t>
  </si>
  <si>
    <t>456-100-720- Standard Maintenance</t>
  </si>
  <si>
    <t>IA - CLUSTERING, PER STARTER / STD SRVR, +1M PPY- Standard Maintenance</t>
  </si>
  <si>
    <t>456-100-721- Standard Maintenance</t>
  </si>
  <si>
    <t>IA - CLUSTERING, PER STARTER / STD SRVR, +10M PPY- Standard Maintenance</t>
  </si>
  <si>
    <t>456-101-881- Standard Maintenance</t>
  </si>
  <si>
    <t>INPUTACCEL STARTER SERVER - 100K PPY- Standard Maintenance</t>
  </si>
  <si>
    <t>456-100-723- Standard Maintenance</t>
  </si>
  <si>
    <t>INPUTACCEL SCANPLUS MODULE (STANDARD)- Standard Maintenance</t>
  </si>
  <si>
    <t>456-100-724- Standard Maintenance</t>
  </si>
  <si>
    <t>INPUTACCEL SCANPLUS MODULE (PREMIUM)- Standard Maintenance</t>
  </si>
  <si>
    <t>456-100-725- Standard Maintenance</t>
  </si>
  <si>
    <t>INPUTACCEL ATTENDED CLIENT- Standard Maintenance</t>
  </si>
  <si>
    <t>456-100-726- Standard Maintenance</t>
  </si>
  <si>
    <t>INPUTACCEL HANDPRINT / OMR RECOGNITION, PER CLIENT- Standard Maintenance</t>
  </si>
  <si>
    <t>456-100-727- Standard Maintenance</t>
  </si>
  <si>
    <t>PRIME RECOGNITION (1 CPU 2 OCR ENGINES)- Standard Maintenance</t>
  </si>
  <si>
    <t>456-100-728- Standard Maintenance</t>
  </si>
  <si>
    <t>PRIME RECOGNITION (1 CPU, 3 OCR ENGINES)- Standard Maintenance</t>
  </si>
  <si>
    <t>456-100-729- Standard Maintenance</t>
  </si>
  <si>
    <t>PRIME RECOGNITION (2 CPUS, 6 OCR ENGINES)- Standard Maintenance</t>
  </si>
  <si>
    <t>456-100-730- Standard Maintenance</t>
  </si>
  <si>
    <t>PRIME RECOGNITION (4 CPUS, 6 OCR ENGINES)- Standard Maintenance</t>
  </si>
  <si>
    <t>456-100-731- Standard Maintenance</t>
  </si>
  <si>
    <t>PRIME - ASIAN OCR (1 CPU, 3 OCR ENGINES)- Standard Maintenance</t>
  </si>
  <si>
    <t>456-100-732- Standard Maintenance</t>
  </si>
  <si>
    <t>PRIME - OUTPUT IMAGE AS FILE (P FEATURE)- Standard Maintenance</t>
  </si>
  <si>
    <t>456-100-733- Standard Maintenance</t>
  </si>
  <si>
    <t>PRIME VERIFY MODULE- Standard Maintenance</t>
  </si>
  <si>
    <t>456-100-734- Standard Maintenance</t>
  </si>
  <si>
    <t>INPUTACCEL REPORTS- Standard Maintenance</t>
  </si>
  <si>
    <t>456-100-740- Standard Maintenance</t>
  </si>
  <si>
    <t>INPUTACCEL SOFTWARE DEVELOPERS KIT (MDK)- Standard Maintenance</t>
  </si>
  <si>
    <t>456-100-741- Standard Maintenance</t>
  </si>
  <si>
    <t>INPUTACCEL WEB SERVICES SDK- Standard Maintenance</t>
  </si>
  <si>
    <t>456-100-742- Standard Maintenance</t>
  </si>
  <si>
    <t>INPUTACCEL CUSTOM MODULE CONNECTION- Standard Maintenance</t>
  </si>
  <si>
    <t>456-100-743- Standard Maintenance</t>
  </si>
  <si>
    <t>EINPUT CLIENT CONNECTION (CONCURRENT)- Standard Maintenance</t>
  </si>
  <si>
    <t>456-100-655- Standard Maintenance</t>
  </si>
  <si>
    <t>INPUTACCEL CONNECTOR FOR ECOPY SHARESCAN- Standard Maintenance</t>
  </si>
  <si>
    <t>456-100-744- Standard Maintenance</t>
  </si>
  <si>
    <t>INPUTACCEL FOR INVOICES - + 50,000 PPY- Standard Maintenance</t>
  </si>
  <si>
    <t>456-100-745- Standard Maintenance</t>
  </si>
  <si>
    <t>INPUTACCEL FOR INVOICES - + 100,000 PPY- Standard Maintenance</t>
  </si>
  <si>
    <t>456-100-746- Standard Maintenance</t>
  </si>
  <si>
    <t>INPUTACCEL FOR INVOICES - + 1M PPY- Standard Maintenance</t>
  </si>
  <si>
    <t>456-100-747- Standard Maintenance</t>
  </si>
  <si>
    <t>INPUTACCEL FOR INVOICES - + 10M PPY- Standard Maintenance</t>
  </si>
  <si>
    <t>456-100-748- Standard Maintenance</t>
  </si>
  <si>
    <t>MICROSOFT SHAREPOINT 2007 EXPORT- Standard Maintenance</t>
  </si>
  <si>
    <t>456-100-750- Standard Maintenance</t>
  </si>
  <si>
    <t>EMC APPLICATIONXTENDER EXPORT- Standard Maintenance</t>
  </si>
  <si>
    <t>456-100-754- Standard Maintenance</t>
  </si>
  <si>
    <t>FILENET P8 CONTENT MANAGER EXPORT- Standard Maintenance</t>
  </si>
  <si>
    <t>456-100-756- Standard Maintenance</t>
  </si>
  <si>
    <t>IBM CM ADVANCED FOR MULTIPLATFORM- Standard Maintenance</t>
  </si>
  <si>
    <t>456-100-764- Standard Maintenance</t>
  </si>
  <si>
    <t>GLOBAL360 (EISTREAM SW NT)- Standard Maintenance</t>
  </si>
  <si>
    <t>456-100-766- Standard Maintenance</t>
  </si>
  <si>
    <t>EMC DOCUMENTUM EXPORT- Standard Maintenance</t>
  </si>
  <si>
    <t>456-100-768- Standard Maintenance</t>
  </si>
  <si>
    <t>OPENTEXT LIVELINK EXPORT (V9 OR EARLIER)- Standard Maintenance</t>
  </si>
  <si>
    <t>456-100-772- Standard Maintenance</t>
  </si>
  <si>
    <t>SAP ARCHIVE EXPORT AND CONNECT- Standard Maintenance</t>
  </si>
  <si>
    <t>456-100-774- Standard Maintenance</t>
  </si>
  <si>
    <t>RICOH GLOBALSCAN PLUG-IN- Standard Maintenance</t>
  </si>
  <si>
    <t>457-100-194- Standard Maintenance</t>
  </si>
  <si>
    <t>CAPTIVA DIGITAL OFFICE BUNDLE- Standard Maintenance</t>
  </si>
  <si>
    <t>457-100-195- Standard Maintenance</t>
  </si>
  <si>
    <t>CAPTIVA INTELLIGENT CAPTURE BUNDLE- Standard Maintenance</t>
  </si>
  <si>
    <t>457-100-196- Standard Maintenance</t>
  </si>
  <si>
    <t>CAPTIVA DISPATCHER ADD-ON BUNDLE- Standard Maintenance</t>
  </si>
  <si>
    <t>457-100-226- Standard Maintenance</t>
  </si>
  <si>
    <t>CAPTIVA DIGITAL OFFICE FOR SHAREPOINT BUNDLE- Standard Maintenance</t>
  </si>
  <si>
    <t>456-101-715- Standard Maintenance</t>
  </si>
  <si>
    <t>DISPATCHER CHECK READING US 100K PPY PER CLIENT- Standard Maintenance</t>
  </si>
  <si>
    <t>456-101-716- Standard Maintenance</t>
  </si>
  <si>
    <t>DISPATCHER CHECK READING FR 100K PPY PER CLIENT- Standard Maintenance</t>
  </si>
  <si>
    <t>456-100-806- Standard Maintenance</t>
  </si>
  <si>
    <t>DISPATCHER API CLASSIFICATION +100K PPY- Standard Maintenance</t>
  </si>
  <si>
    <t>456-100-807- Standard Maintenance</t>
  </si>
  <si>
    <t>DISPATCHER API CLASSIFICATION +1M PPY- Standard Maintenance</t>
  </si>
  <si>
    <t>456-100-808- Standard Maintenance</t>
  </si>
  <si>
    <t>DISPATCHER API CLASSIFICATION +10M PPY- Standard Maintenance</t>
  </si>
  <si>
    <t>456-100-809- Standard Maintenance</t>
  </si>
  <si>
    <t>DISPATCHER API EXTRACTION +100K PPY- Standard Maintenance</t>
  </si>
  <si>
    <t>456-100-810- Standard Maintenance</t>
  </si>
  <si>
    <t>DISPATCHER API EXTRACTION +1M PPY- Standard Maintenance</t>
  </si>
  <si>
    <t>456-100-811- Standard Maintenance</t>
  </si>
  <si>
    <t>DISPATCHER API EXTRACTION +10M PPY- Standard Maintenance</t>
  </si>
  <si>
    <t>456-100-812- Standard Maintenance</t>
  </si>
  <si>
    <t>DISPATCHER API BUNDLE +100K PPY- Standard Maintenance</t>
  </si>
  <si>
    <t>456-100-813- Standard Maintenance</t>
  </si>
  <si>
    <t>DISPATCHER API BUNDLE +1M PPY- Standard Maintenance</t>
  </si>
  <si>
    <t>456-100-814- Standard Maintenance</t>
  </si>
  <si>
    <t>DISPATCHER API BUNDLE +10M PPY- Standard Maintenance</t>
  </si>
  <si>
    <t>456-100-815- Standard Maintenance</t>
  </si>
  <si>
    <t>DISPATCHER API ATTENDED CLIENT- Standard Maintenance</t>
  </si>
  <si>
    <t>456-100-786- Standard Maintenance</t>
  </si>
  <si>
    <t>DISPATCHER FOR IA CLASSIFICATION +100K PPY- Standard Maintenance</t>
  </si>
  <si>
    <t>456-100-787- Standard Maintenance</t>
  </si>
  <si>
    <t>DISPATCHER FOR IA CLASSIFICATION +1M PPY- Standard Maintenance</t>
  </si>
  <si>
    <t>456-100-788- Standard Maintenance</t>
  </si>
  <si>
    <t>DISPATCHER FOR IA CLASSIFICATION +10M PPY- Standard Maintenance</t>
  </si>
  <si>
    <t>456-100-789- Standard Maintenance</t>
  </si>
  <si>
    <t>DISPATCHER FOR IA EXTRACTION +100K PPY- Standard Maintenance</t>
  </si>
  <si>
    <t>456-100-790- Standard Maintenance</t>
  </si>
  <si>
    <t>DISPATCHER FOR IA EXTRACTION +1M PPY- Standard Maintenance</t>
  </si>
  <si>
    <t>456-100-791- Standard Maintenance</t>
  </si>
  <si>
    <t>DISPATCHER FOR IA EXTRACTION +10M PPY- Standard Maintenance</t>
  </si>
  <si>
    <t>456-100-792- Standard Maintenance</t>
  </si>
  <si>
    <t>DISPATCHER FOR IA BUNDLE +100K PPY- Standard Maintenance</t>
  </si>
  <si>
    <t>456-100-793- Standard Maintenance</t>
  </si>
  <si>
    <t>DISPATCHER FOR IA BUNDLE +1M PPY- Standard Maintenance</t>
  </si>
  <si>
    <t>456-100-794- Standard Maintenance</t>
  </si>
  <si>
    <t>DISPATCHER FOR IA BUNDLE +10M PPY- Standard Maintenance</t>
  </si>
  <si>
    <t>456-100-680- Standard Maintenance</t>
  </si>
  <si>
    <t>DISPATCHER CHECK READING US, 1M PPY PER CLIENT- Standard Maintenance</t>
  </si>
  <si>
    <t>456-100-685- Standard Maintenance</t>
  </si>
  <si>
    <t>DISPATCHER CHECK READING FR, 1M PPY PER CLIENT- Standard Maintenance</t>
  </si>
  <si>
    <t>456-100-795- Standard Maintenance</t>
  </si>
  <si>
    <t>DISPATCHER EAST EURO / APAC OCR PER CLIENT- Standard Maintenance</t>
  </si>
  <si>
    <t>456-100-796- Standard Maintenance</t>
  </si>
  <si>
    <t>DISPATCHER ADVANCED ZONAL (25 CPS), PER CL- Standard Maintenance</t>
  </si>
  <si>
    <t>456-100-797- Standard Maintenance</t>
  </si>
  <si>
    <t>DISPATCHER ADVANCED ZONAL (50 CPS), PER CL- Standard Maintenance</t>
  </si>
  <si>
    <t>456-100-798- Standard Maintenance</t>
  </si>
  <si>
    <t>DISPATCHER ADVANCED ZONAL (100 CPS), PER CL- Standard Maintenance</t>
  </si>
  <si>
    <t>456-100-799- Standard Maintenance</t>
  </si>
  <si>
    <t>DISPATCHER ADVANCED ZONAL (250 CPS), PER CL- Standard Maintenance</t>
  </si>
  <si>
    <t>456-100-800- Standard Maintenance</t>
  </si>
  <si>
    <t>DISPATCHER ADVANCED FULL PAGE (360 PPH), PER CL- Standard Maintenance</t>
  </si>
  <si>
    <t>456-100-801- Standard Maintenance</t>
  </si>
  <si>
    <t>DISPATCHER ADVANCED FULL PAGE (600 PPH), PER CL- Standard Maintenance</t>
  </si>
  <si>
    <t>456-100-802- Standard Maintenance</t>
  </si>
  <si>
    <t>DISPATCHER ADVANCED FULL PAGE (900 PPH), PER CL- Standard Maintenance</t>
  </si>
  <si>
    <t>456-100-803- Standard Maintenance</t>
  </si>
  <si>
    <t>DISPATCHER ADVANCED FULL PAGE (1800 PPH), PER CL- Standard Maintenance</t>
  </si>
  <si>
    <t>456-100-804- Standard Maintenance</t>
  </si>
  <si>
    <t>DISPATCHER ADVANCED FULL PAGE (3600 PPH), PER CL- Standard Maintenance</t>
  </si>
  <si>
    <t>456-100-805- Standard Maintenance</t>
  </si>
  <si>
    <t>DISPATCHER STANDARD HANDPRINT (ICR), PER CLIENT- Standard Maintenance</t>
  </si>
  <si>
    <t>456-101-195- Standard Maintenance</t>
  </si>
  <si>
    <t>DISPATCHER ADV ZONAL OCR/ICR (25 CPS) / CL TP DR- Standard Maintenance</t>
  </si>
  <si>
    <t>456-101-196- Standard Maintenance</t>
  </si>
  <si>
    <t>DISPATCHER ADV ZONAL OCR/ICR (50 CPS) / CL TP DR- Standard Maintenance</t>
  </si>
  <si>
    <t>456-101-197- Standard Maintenance</t>
  </si>
  <si>
    <t>DISPATCHER ADV ZONAL OCR/ICR (100 CPS) / CL TP DR- Standard Maintenance</t>
  </si>
  <si>
    <t>456-101-198- Standard Maintenance</t>
  </si>
  <si>
    <t>DISPATCHER ADV ZONAL OCR/ICR (250 CPS) / CL TP DR- Standard Maintenance</t>
  </si>
  <si>
    <t>456-101-199- Standard Maintenance</t>
  </si>
  <si>
    <t>DISPATCHER ADV FULL PAGE OCR (360 PPH) / CL TP DR- Standard Maintenance</t>
  </si>
  <si>
    <t>456-101-200- Standard Maintenance</t>
  </si>
  <si>
    <t>DISPATCHER ADV FULL PAGE OCR (600 PPH) / CL TP DR- Standard Maintenance</t>
  </si>
  <si>
    <t>456-101-201- Standard Maintenance</t>
  </si>
  <si>
    <t>DISPATCHER ADV FULL PAGE OCR (900 PPH) / CL TP DR- Standard Maintenance</t>
  </si>
  <si>
    <t>456-101-202- Standard Maintenance</t>
  </si>
  <si>
    <t>DISPATCHER ADV FULL PAGE OCR (1800 PPH) / CL TP DR- Standard Maintenance</t>
  </si>
  <si>
    <t>456-101-203- Standard Maintenance</t>
  </si>
  <si>
    <t>DISPATCHER ADV FULL PAGE OCR (3600 PPH) / CL TP DR- Standard Maintenance</t>
  </si>
  <si>
    <t>456-101-204- Standard Maintenance</t>
  </si>
  <si>
    <t>DISPATCHER ADV ZONAL OCR/ICR (25 CPS) / CL TP DEV- Standard Maintenance</t>
  </si>
  <si>
    <t>456-101-205- Standard Maintenance</t>
  </si>
  <si>
    <t>DISPATCHER ADV ZONAL OCR/ICR (50 CPS) / CL TP DEV- Standard Maintenance</t>
  </si>
  <si>
    <t>456-101-206- Standard Maintenance</t>
  </si>
  <si>
    <t>DISPATCHER ADV ZONAL OCR/ICR (100 CPS) / CL TP DEV- Standard Maintenance</t>
  </si>
  <si>
    <t>456-101-207- Standard Maintenance</t>
  </si>
  <si>
    <t>DISPATCHER ADV ZONAL OCR/ICR (250 CPS) / CL TP DEV- Standard Maintenance</t>
  </si>
  <si>
    <t>456-101-208- Standard Maintenance</t>
  </si>
  <si>
    <t>DISPATCHER ADV FULL PAGE OCR (360 PPH) / CL TP DEV- Standard Maintenance</t>
  </si>
  <si>
    <t>456-101-209- Standard Maintenance</t>
  </si>
  <si>
    <t>DISPATCHER ADV FULL PAGE OCR (600 PPH) / CL TP DEV- Standard Maintenance</t>
  </si>
  <si>
    <t>456-101-210- Standard Maintenance</t>
  </si>
  <si>
    <t>DISPATCHER ADV FULL PAGE OCR (900 PPH) / CL TP DEV- Standard Maintenance</t>
  </si>
  <si>
    <t>456-101-211- Standard Maintenance</t>
  </si>
  <si>
    <t>DISPATCHER ADV FULL PAGE OCR 1800 PPH / CL TP DEV- Standard Maintenance</t>
  </si>
  <si>
    <t>456-101-212- Standard Maintenance</t>
  </si>
  <si>
    <t>DISPATCHER ADV FULL PAGE OCR 3600 PPH / CL TP DEV- Standard Maintenance</t>
  </si>
  <si>
    <t>456-100-711- Standard Maintenance</t>
  </si>
  <si>
    <t>INPUTACCEL STANDARD SERVER - 1M PPY- Standard Maintenance</t>
  </si>
  <si>
    <t>456-100-712- Standard Maintenance</t>
  </si>
  <si>
    <t>INPUTACCEL ENTERPRISE SERVER - 1M PPY- Standard Maintenance</t>
  </si>
  <si>
    <t>456-100-713- Standard Maintenance</t>
  </si>
  <si>
    <t>INPUTACCEL STARTER / STD VOLUME PACK - +100k PPY- Standard Maintenance</t>
  </si>
  <si>
    <t>456-100-714- Standard Maintenance</t>
  </si>
  <si>
    <t>INPUTACCEL STARTER / STD VOLUME PACK - +1M PPY- Standard Maintenance</t>
  </si>
  <si>
    <t>456-100-715- Standard Maintenance</t>
  </si>
  <si>
    <t>INPUTACCEL STARTER / STD VOLUME PACK - +10M PPY- Standard Maintenance</t>
  </si>
  <si>
    <t>456-100-716- Standard Maintenance</t>
  </si>
  <si>
    <t>INPUTACCEL ENTERPRISE VOLUME PACK - +100,000 PPY- Standard Maintenance</t>
  </si>
  <si>
    <t>456-100-717- Standard Maintenance</t>
  </si>
  <si>
    <t>INPUTACCEL ENTERPRISE VOLUME PACK - +1M PPY- Standard Maintenance</t>
  </si>
  <si>
    <t>456-011-077- Standard Maintenance</t>
  </si>
  <si>
    <t>Standalone Completion Module- Standard Maintenance</t>
  </si>
  <si>
    <t>456-011-078- Standard Maintenance</t>
  </si>
  <si>
    <t>Free Form Module for Desktop- Standard Maintenance</t>
  </si>
  <si>
    <t>456-011-079- Standard Maintenance</t>
  </si>
  <si>
    <t>Free Form Module- Standard Maintenance</t>
  </si>
  <si>
    <t>456-011-080- Standard Maintenance</t>
  </si>
  <si>
    <t>Database Administration Module- Standard Maintenance</t>
  </si>
  <si>
    <t>456-011-081- Standard Maintenance</t>
  </si>
  <si>
    <t>File System Administration Module- Standard Maintenance</t>
  </si>
  <si>
    <t>456-011-082- Standard Maintenance</t>
  </si>
  <si>
    <t>Distributed Personal Scan Level 1 Client- Standard Maintenance</t>
  </si>
  <si>
    <t>456-011-083- Standard Maintenance</t>
  </si>
  <si>
    <t>Distributed Workgroup Scan Level 2 Client- Standard Maintenance</t>
  </si>
  <si>
    <t>456-011-084- Standard Maintenance</t>
  </si>
  <si>
    <t>Distributed Departmental Scan Level 3 Client- Standard Maintenance</t>
  </si>
  <si>
    <t>456-011-085- Standard Maintenance</t>
  </si>
  <si>
    <t>Distributed Production Scan Level 4 Client- Standard Maintenance</t>
  </si>
  <si>
    <t>456-011-086- Standard Maintenance</t>
  </si>
  <si>
    <t>eEntry Module- Standard Maintenance</t>
  </si>
  <si>
    <t>456-011-087- Standard Maintenance</t>
  </si>
  <si>
    <t>Filler Module- Standard Maintenance</t>
  </si>
  <si>
    <t>456-011-088- Standard Maintenance</t>
  </si>
  <si>
    <t>Internet FormWare Server Module- Standard Maintenance</t>
  </si>
  <si>
    <t>456-011-089- Standard Maintenance</t>
  </si>
  <si>
    <t>PerfectPost Module- Standard Maintenance</t>
  </si>
  <si>
    <t>456-011-090- Standard Maintenance</t>
  </si>
  <si>
    <t>PerfectPost Module - Annual Subscription Service- Standard Maintenance</t>
  </si>
  <si>
    <t>456-011-091- Standard Maintenance</t>
  </si>
  <si>
    <t>QA Statistics Module - 1 Client- Standard Maintenance</t>
  </si>
  <si>
    <t>456-011-092- Standard Maintenance</t>
  </si>
  <si>
    <t>QA Statistics Module - 11 Clients- Standard Maintenance</t>
  </si>
  <si>
    <t>456-011-093- Standard Maintenance</t>
  </si>
  <si>
    <t>QA Statistics Module - 25 Clients- Standard Maintenance</t>
  </si>
  <si>
    <t>456-011-094- Standard Maintenance</t>
  </si>
  <si>
    <t>QA Statistics Module - 50 Clients- Standard Maintenance</t>
  </si>
  <si>
    <t>456-011-095- Standard Maintenance</t>
  </si>
  <si>
    <t>QA Statistics Module -  Unlimited Clients- Standard Maintenance</t>
  </si>
  <si>
    <t>456-011-096- Standard Maintenance</t>
  </si>
  <si>
    <t>FileNET Export Module- Standard Maintenance</t>
  </si>
  <si>
    <t>456-011-097- Standard Maintenance</t>
  </si>
  <si>
    <t>EMC ApplicationXtender Export Module- Standard Maintenance</t>
  </si>
  <si>
    <t>456-011-108- Standard Maintenance</t>
  </si>
  <si>
    <t>Upgrade IPP to Color IPP Module- Standard Maintenance</t>
  </si>
  <si>
    <t>456-011-109- Standard Maintenance</t>
  </si>
  <si>
    <t>Form ID w/Virtual Classification upgrade (Desktop)- Standard Maintenance</t>
  </si>
  <si>
    <t>456-011-110- Standard Maintenance</t>
  </si>
  <si>
    <t>Form ID w/Virtual Classification upgrade- Standard Maintenance</t>
  </si>
  <si>
    <t>456-011-111- Standard Maintenance</t>
  </si>
  <si>
    <t>Rubber-band OCR for Completion- Standard Maintenance</t>
  </si>
  <si>
    <t>456-011-112- Standard Maintenance</t>
  </si>
  <si>
    <t>JobFlow/WorkFlow Module- Standard Maintenance</t>
  </si>
  <si>
    <t>456-011-487- Standard Maintenance</t>
  </si>
  <si>
    <t>FileNET Compatibility Module- Standard Maintenance</t>
  </si>
  <si>
    <t>456-011-591- Standard Maintenance</t>
  </si>
  <si>
    <t>Designer Module- Standard Maintenance</t>
  </si>
  <si>
    <t>456-011-592- Standard Maintenance</t>
  </si>
  <si>
    <t>Personal Scan/Import (ISIS) Level 1 Module- Standard Maintenance</t>
  </si>
  <si>
    <t>456-011-593- Standard Maintenance</t>
  </si>
  <si>
    <t>Workgroup Scan/Import (ISIS) Level 2 Module- Standard Maintenance</t>
  </si>
  <si>
    <t>456-011-594- Standard Maintenance</t>
  </si>
  <si>
    <t>Departmental Scan/Import (ISIS) Level 3 Module- Standard Maintenance</t>
  </si>
  <si>
    <t>456-011-595- Standard Maintenance</t>
  </si>
  <si>
    <t>Production Scan/Import (ISIS) Level 4 Module- Standard Maintenance</t>
  </si>
  <si>
    <t>456-011-596- Standard Maintenance</t>
  </si>
  <si>
    <t>Image Pre-Processing Module- Standard Maintenance</t>
  </si>
  <si>
    <t>456-011-597- Standard Maintenance</t>
  </si>
  <si>
    <t>Color Image Pre-Processing Module- Standard Maintenance</t>
  </si>
  <si>
    <t>456-011-598- Standard Maintenance</t>
  </si>
  <si>
    <t>Form Identification Module for Desktop- Standard Maintenance</t>
  </si>
  <si>
    <t>456-011-114- Standard Maintenance</t>
  </si>
  <si>
    <t>VisionShape Barcode Module- Standard Maintenance</t>
  </si>
  <si>
    <t>456-011-115- Standard Maintenance</t>
  </si>
  <si>
    <t>InScript2 - 1D &amp; 2D Barcode Module- Standard Maintenance</t>
  </si>
  <si>
    <t>456-011-116- Standard Maintenance</t>
  </si>
  <si>
    <t>InScript2- OMR Only Client - "Unlimited" Module- Standard Maintenance</t>
  </si>
  <si>
    <t>456-011-117- Standard Maintenance</t>
  </si>
  <si>
    <t>InScript2 - 100,000 CPD Module- Standard Maintenance</t>
  </si>
  <si>
    <t>456-011-118- Standard Maintenance</t>
  </si>
  <si>
    <t>InScript2 - 250,000 CPD Module- Standard Maintenance</t>
  </si>
  <si>
    <t>456-011-119- Standard Maintenance</t>
  </si>
  <si>
    <t>InScript2 - 500,000 CPD Module- Standard Maintenance</t>
  </si>
  <si>
    <t>456-011-120- Standard Maintenance</t>
  </si>
  <si>
    <t>InScript2 - 1,000,000 CPD Module- Standard Maintenance</t>
  </si>
  <si>
    <t>456-011-121- Standard Maintenance</t>
  </si>
  <si>
    <t>InScript2 - 1,500,000 CPD Module- Standard Maintenance</t>
  </si>
  <si>
    <t>456-011-122- Standard Maintenance</t>
  </si>
  <si>
    <t>InScript2 - 2,000,000 CPD Module- Standard Maintenance</t>
  </si>
  <si>
    <t>456-011-123- Standard Maintenance</t>
  </si>
  <si>
    <t>InScript2 - 2,500,000 CPD Module- Standard Maintenance</t>
  </si>
  <si>
    <t>456-011-124- Standard Maintenance</t>
  </si>
  <si>
    <t>InScript2 - 3,000,000 CPD Module- Standard Maintenance</t>
  </si>
  <si>
    <t>456-011-125- Standard Maintenance</t>
  </si>
  <si>
    <t>InScript2 - 3,500,000 CPD Module- Standard Maintenance</t>
  </si>
  <si>
    <t>456-011-126- Standard Maintenance</t>
  </si>
  <si>
    <t>InScript2 - Unlimited CPD Module- Standard Maintenance</t>
  </si>
  <si>
    <t>456-011-127- Standard Maintenance</t>
  </si>
  <si>
    <t>InScript2 -  Software Tokens- Standard Maintenance</t>
  </si>
  <si>
    <t>456-011-128- Standard Maintenance</t>
  </si>
  <si>
    <t>RecoStar Professional+ 25 CPS Module- Standard Maintenance</t>
  </si>
  <si>
    <t>456-011-129- Standard Maintenance</t>
  </si>
  <si>
    <t>RecoStar Professional+ 50 CPS Module- Standard Maintenance</t>
  </si>
  <si>
    <t>456-011-130- Standard Maintenance</t>
  </si>
  <si>
    <t>RecoStar Professional+ 100 CPS Module- Standard Maintenance</t>
  </si>
  <si>
    <t>456-011-131- Standard Maintenance</t>
  </si>
  <si>
    <t>RecoStar Professional+ 250 CPS Module- Standard Maintenance</t>
  </si>
  <si>
    <t>456-011-132- Standard Maintenance</t>
  </si>
  <si>
    <t>RecoStar Professional+ 400 CPS Module- Standard Maintenance</t>
  </si>
  <si>
    <t>456-011-153- Standard Maintenance</t>
  </si>
  <si>
    <t>PDF/Full Text Module- Standard Maintenance</t>
  </si>
  <si>
    <t>456-011-154- Standard Maintenance</t>
  </si>
  <si>
    <t>PDF/Full Text Module for Desktop- Standard Maintenance</t>
  </si>
  <si>
    <t>456-011-155- Standard Maintenance</t>
  </si>
  <si>
    <t>Upgrade AEG/CGK 25 CPS to RecoStar Pro 25 CPS- Standard Maintenance</t>
  </si>
  <si>
    <t>456-011-156- Standard Maintenance</t>
  </si>
  <si>
    <t>Upgrade AEG/CGK 50 CPS to RecoStar Pro 50 CPS- Standard Maintenance</t>
  </si>
  <si>
    <t>456-011-157- Standard Maintenance</t>
  </si>
  <si>
    <t>Upgrade AEG/CGK 100 CPS to RecoStar Pro 100 CPS- Standard Maintenance</t>
  </si>
  <si>
    <t>456-011-158- Standard Maintenance</t>
  </si>
  <si>
    <t>Upgrade  AEG/CGK 250 CPS to RecoStar Pro 250 CPS- Standard Maintenance</t>
  </si>
  <si>
    <t>456-011-054- Standard Maintenance</t>
  </si>
  <si>
    <t>FormWare Personal Server up to 11 Clients- Standard Maintenance</t>
  </si>
  <si>
    <t>456-011-055- Standard Maintenance</t>
  </si>
  <si>
    <t>FormWare Workgroup Server up to 25 Clients- Standard Maintenance</t>
  </si>
  <si>
    <t>456-011-056- Standard Maintenance</t>
  </si>
  <si>
    <t>FormWare Departmental Server up to 50 Clients- Standard Maintenance</t>
  </si>
  <si>
    <t>456-011-057- Standard Maintenance</t>
  </si>
  <si>
    <t>FormWare Production Server Unlimited Clients- Standard Maintenance</t>
  </si>
  <si>
    <t>456-011-058- Standard Maintenance</t>
  </si>
  <si>
    <t>FormWare Server Additional 5 Client Pack- Standard Maintenance</t>
  </si>
  <si>
    <t>456-101-885- Standard Maintenance</t>
  </si>
  <si>
    <t>INPUTACCEL STARTER DRS SERVER- Standard Maintenance</t>
  </si>
  <si>
    <t>456-101-958- Standard Maintenance</t>
  </si>
  <si>
    <t>INPUTACCEL STANDARD DRS SERVER- Standard Maintenance</t>
  </si>
  <si>
    <t>456-101-959- Standard Maintenance</t>
  </si>
  <si>
    <t>INPUTACCEL ENTERPRISE DRS SERVER- Standard Maintenance</t>
  </si>
  <si>
    <t>456-101-882- Standard Maintenance</t>
  </si>
  <si>
    <t>INPUTACCEL STARTER TEST/DEV SERVER- Standard Maintenance</t>
  </si>
  <si>
    <t>456-101-883- Standard Maintenance</t>
  </si>
  <si>
    <t>INPUTACCEL STANDARD TEST/DEV SERVER- Standard Maintenance</t>
  </si>
  <si>
    <t>456-101-884- Standard Maintenance</t>
  </si>
  <si>
    <t>INPUTACCEL ENTERPRISE TEST/DEV SERVER- Standard Maintenance</t>
  </si>
  <si>
    <t>456-100-316- Standard Maintenance</t>
  </si>
  <si>
    <t>PIXTOOLS FOR .NET- Standard Maintenance</t>
  </si>
  <si>
    <t>456-100-089- Standard Maintenance</t>
  </si>
  <si>
    <t>QUICKSCAN PRO LEVEL 1 ST- Standard Maintenance</t>
  </si>
  <si>
    <t>456-100-090- Standard Maintenance</t>
  </si>
  <si>
    <t>QUICKSCAN PRO LEVEL 2 ST- Standard Maintenance</t>
  </si>
  <si>
    <t>456-100-091- Standard Maintenance</t>
  </si>
  <si>
    <t>QUICKSCAN PRO LEVEL 3 ST- Standard Maintenance</t>
  </si>
  <si>
    <t>456-100-092- Standard Maintenance</t>
  </si>
  <si>
    <t>QUICKSCAN PRO PRODUCTION LEVEL ST- Standard Maintenance</t>
  </si>
  <si>
    <t>456-100-711- Platinum Maintenance</t>
  </si>
  <si>
    <t>INPUTACCEL STANDARD SERVER - 1M PPY- Platinum Maintenance</t>
  </si>
  <si>
    <t>456-100-712- Platinum Maintenance</t>
  </si>
  <si>
    <t>INPUTACCEL ENTERPRISE SERVER - 1M PPY- Platinum Maintenance</t>
  </si>
  <si>
    <t>456-100-713- Platinum Maintenance</t>
  </si>
  <si>
    <t>INPUTACCEL STARTER / STD VOLUME PACK - +100k PPY- Platinum Maintenance</t>
  </si>
  <si>
    <t>456-100-714- Platinum Maintenance</t>
  </si>
  <si>
    <t>INPUTACCEL STARTER / STD VOLUME PACK - +1M PPY- Platinum Maintenance</t>
  </si>
  <si>
    <t>456-100-715- Platinum Maintenance</t>
  </si>
  <si>
    <t>INPUTACCEL STARTER / STD VOLUME PACK - +10M PPY- Platinum Maintenance</t>
  </si>
  <si>
    <t>456-100-716- Platinum Maintenance</t>
  </si>
  <si>
    <t>INPUTACCEL ENTERPRISE VOLUME PACK - +100,000 PPY- Platinum Maintenance</t>
  </si>
  <si>
    <t>456-100-717- Platinum Maintenance</t>
  </si>
  <si>
    <t>INPUTACCEL ENTERPRISE VOLUME PACK - +1M PPY- Platinum Maintenance</t>
  </si>
  <si>
    <t>456-100-718- Platinum Maintenance</t>
  </si>
  <si>
    <t>INPUTACCEL ENTERPRISE VOLUME PACK - +10M PPY- Platinum Maintenance</t>
  </si>
  <si>
    <t>456-100-719- Platinum Maintenance</t>
  </si>
  <si>
    <t>INPUTACCEL SCALESERVER, STARTER / STD SRVR- Platinum Maintenance</t>
  </si>
  <si>
    <t>456-100-720- Platinum Maintenance</t>
  </si>
  <si>
    <t>IA - CLUSTERING, PER STARTER / STD SRVR, +1M PPY- Platinum Maintenance</t>
  </si>
  <si>
    <t>456-100-721- Platinum Maintenance</t>
  </si>
  <si>
    <t>IA - CLUSTERING, PER STARTER / STD SRVR, +10M PPY- Platinum Maintenance</t>
  </si>
  <si>
    <t>456-101-881- Platinum Maintenance</t>
  </si>
  <si>
    <t>INPUTACCEL STARTER SERVER - 100K PPY- Platinum Maintenance</t>
  </si>
  <si>
    <t>456-100-723- Platinum Maintenance</t>
  </si>
  <si>
    <t>INPUTACCEL SCANPLUS MODULE (STANDARD)- Platinum Maintenance</t>
  </si>
  <si>
    <t>456-100-724- Platinum Maintenance</t>
  </si>
  <si>
    <t>INPUTACCEL SCANPLUS MODULE (PREMIUM)- Platinum Maintenance</t>
  </si>
  <si>
    <t>456-100-725- Platinum Maintenance</t>
  </si>
  <si>
    <t>INPUTACCEL ATTENDED CLIENT- Platinum Maintenance</t>
  </si>
  <si>
    <t>456-100-726- Platinum Maintenance</t>
  </si>
  <si>
    <t>INPUTACCEL HANDPRINT / OMR RECOGNITION, PER CLIENT- Platinum Maintenance</t>
  </si>
  <si>
    <t>456-100-727- Platinum Maintenance</t>
  </si>
  <si>
    <t>PRIME RECOGNITION (1 CPU 2 OCR ENGINES)- Platinum Maintenance</t>
  </si>
  <si>
    <t>456-100-728- Platinum Maintenance</t>
  </si>
  <si>
    <t>PRIME RECOGNITION (1 CPU, 3 OCR ENGINES)- Platinum Maintenance</t>
  </si>
  <si>
    <t>456-100-729- Platinum Maintenance</t>
  </si>
  <si>
    <t>PRIME RECOGNITION (2 CPUS, 6 OCR ENGINES)- Platinum Maintenance</t>
  </si>
  <si>
    <t>456-100-730- Platinum Maintenance</t>
  </si>
  <si>
    <t>PRIME RECOGNITION (4 CPUS, 6 OCR ENGINES)- Platinum Maintenance</t>
  </si>
  <si>
    <t>456-100-731- Platinum Maintenance</t>
  </si>
  <si>
    <t>PRIME - ASIAN OCR (1 CPU, 3 OCR ENGINES)- Platinum Maintenance</t>
  </si>
  <si>
    <t>456-100-732- Platinum Maintenance</t>
  </si>
  <si>
    <t>PRIME - OUTPUT IMAGE AS FILE (P FEATURE)- Platinum Maintenance</t>
  </si>
  <si>
    <t>456-100-733- Platinum Maintenance</t>
  </si>
  <si>
    <t>PRIME VERIFY MODULE- Platinum Maintenance</t>
  </si>
  <si>
    <t>456-100-734- Platinum Maintenance</t>
  </si>
  <si>
    <t>INPUTACCEL REPORTS- Platinum Maintenance</t>
  </si>
  <si>
    <t>456-100-740- Platinum Maintenance</t>
  </si>
  <si>
    <t>INPUTACCEL SOFTWARE DEVELOPERS KIT (MDK)- Platinum Maintenance</t>
  </si>
  <si>
    <t>456-100-741- Platinum Maintenance</t>
  </si>
  <si>
    <t>INPUTACCEL WEB SERVICES SDK- Platinum Maintenance</t>
  </si>
  <si>
    <t>456-100-742- Platinum Maintenance</t>
  </si>
  <si>
    <t>INPUTACCEL CUSTOM MODULE CONNECTION- Platinum Maintenance</t>
  </si>
  <si>
    <t>456-100-743- Platinum Maintenance</t>
  </si>
  <si>
    <t>EINPUT CLIENT CONNECTION (CONCURRENT)- Platinum Maintenance</t>
  </si>
  <si>
    <t>456-100-655- Platinum Maintenance</t>
  </si>
  <si>
    <t>INPUTACCEL CONNECTOR FOR ECOPY SHARESCAN- Platinum Maintenance</t>
  </si>
  <si>
    <t>456-100-744- Platinum Maintenance</t>
  </si>
  <si>
    <t>INPUTACCEL FOR INVOICES - + 50,000 PPY- Platinum Maintenance</t>
  </si>
  <si>
    <t>456-100-745- Platinum Maintenance</t>
  </si>
  <si>
    <t>INPUTACCEL FOR INVOICES - + 100,000 PPY- Platinum Maintenance</t>
  </si>
  <si>
    <t>456-100-746- Platinum Maintenance</t>
  </si>
  <si>
    <t>INPUTACCEL FOR INVOICES - + 1M PPY- Platinum Maintenance</t>
  </si>
  <si>
    <t>456-100-747- Platinum Maintenance</t>
  </si>
  <si>
    <t>INPUTACCEL FOR INVOICES - + 10M PPY- Platinum Maintenance</t>
  </si>
  <si>
    <t>456-100-748- Platinum Maintenance</t>
  </si>
  <si>
    <t>MICROSOFT SHAREPOINT 2007 EXPORT- Platinum Maintenance</t>
  </si>
  <si>
    <t>456-100-750- Platinum Maintenance</t>
  </si>
  <si>
    <t>EMC APPLICATIONXTENDER EXPORT- Platinum Maintenance</t>
  </si>
  <si>
    <t>456-100-754- Platinum Maintenance</t>
  </si>
  <si>
    <t>FILENET P8 CONTENT MANAGER EXPORT- Platinum Maintenance</t>
  </si>
  <si>
    <t>456-100-756- Platinum Maintenance</t>
  </si>
  <si>
    <t>IBM CM ADVANCED FOR MULTIPLATFORM- Platinum Maintenance</t>
  </si>
  <si>
    <t>456-100-764- Platinum Maintenance</t>
  </si>
  <si>
    <t>GLOBAL360 (EISTREAM SW NT)- Platinum Maintenance</t>
  </si>
  <si>
    <t>456-100-766- Platinum Maintenance</t>
  </si>
  <si>
    <t>EMC DOCUMENTUM EXPORT- Platinum Maintenance</t>
  </si>
  <si>
    <t>456-100-768- Platinum Maintenance</t>
  </si>
  <si>
    <t>OPENTEXT LIVELINK EXPORT (V9 OR EARLIER)- Platinum Maintenance</t>
  </si>
  <si>
    <t>456-100-772- Platinum Maintenance</t>
  </si>
  <si>
    <t>SAP ARCHIVE EXPORT AND CONNECT- Platinum Maintenance</t>
  </si>
  <si>
    <t>456-100-774- Platinum Maintenance</t>
  </si>
  <si>
    <t>RICOH GLOBALSCAN PLUG-IN- Platinum Maintenance</t>
  </si>
  <si>
    <t>457-100-194- Platinum Maintenance</t>
  </si>
  <si>
    <t>CAPTIVA DIGITAL OFFICE BUNDLE- Platinum Maintenance</t>
  </si>
  <si>
    <t>457-100-195- Platinum Maintenance</t>
  </si>
  <si>
    <t>CAPTIVA INTELLIGENT CAPTURE BUNDLE- Platinum Maintenance</t>
  </si>
  <si>
    <t>457-100-196- Platinum Maintenance</t>
  </si>
  <si>
    <t>CAPTIVA DISPATCHER ADD-ON BUNDLE- Platinum Maintenance</t>
  </si>
  <si>
    <t>457-100-226- Platinum Maintenance</t>
  </si>
  <si>
    <t>CAPTIVA DIGITAL OFFICE FOR SHAREPOINT BUNDLE- Platinum Maintenance</t>
  </si>
  <si>
    <t>456-101-715- Platinum Maintenance</t>
  </si>
  <si>
    <t>DISPATCHER CHECK READING US 100K PPY PER CLIENT- Platinum Maintenance</t>
  </si>
  <si>
    <t>456-101-716- Platinum Maintenance</t>
  </si>
  <si>
    <t>DISPATCHER CHECK READING FR 100K PPY PER CLIENT- Platinum Maintenance</t>
  </si>
  <si>
    <t>456-100-806- Platinum Maintenance</t>
  </si>
  <si>
    <t>DISPATCHER API CLASSIFICATION +100K PPY- Platinum Maintenance</t>
  </si>
  <si>
    <t>456-100-807- Platinum Maintenance</t>
  </si>
  <si>
    <t>DISPATCHER API CLASSIFICATION +1M PPY- Platinum Maintenance</t>
  </si>
  <si>
    <t>456-100-808- Platinum Maintenance</t>
  </si>
  <si>
    <t>DISPATCHER API CLASSIFICATION +10M PPY- Platinum Maintenance</t>
  </si>
  <si>
    <t>456-100-809- Platinum Maintenance</t>
  </si>
  <si>
    <t>DISPATCHER API EXTRACTION +100K PPY- Platinum Maintenance</t>
  </si>
  <si>
    <t>456-100-810- Platinum Maintenance</t>
  </si>
  <si>
    <t>DISPATCHER API EXTRACTION +1M PPY- Platinum Maintenance</t>
  </si>
  <si>
    <t>456-100-811- Platinum Maintenance</t>
  </si>
  <si>
    <t>DISPATCHER API EXTRACTION +10M PPY- Platinum Maintenance</t>
  </si>
  <si>
    <t>456-100-812- Platinum Maintenance</t>
  </si>
  <si>
    <t>DISPATCHER API BUNDLE +100K PPY- Platinum Maintenance</t>
  </si>
  <si>
    <t>456-100-813- Platinum Maintenance</t>
  </si>
  <si>
    <t>DISPATCHER API BUNDLE +1M PPY- Platinum Maintenance</t>
  </si>
  <si>
    <t>456-100-814- Platinum Maintenance</t>
  </si>
  <si>
    <t>DISPATCHER API BUNDLE +10M PPY- Platinum Maintenance</t>
  </si>
  <si>
    <t>456-100-815- Platinum Maintenance</t>
  </si>
  <si>
    <t>DISPATCHER API ATTENDED CLIENT- Platinum Maintenance</t>
  </si>
  <si>
    <t>456-100-786- Platinum Maintenance</t>
  </si>
  <si>
    <t>DISPATCHER FOR IA CLASSIFICATION +100K PPY- Platinum Maintenance</t>
  </si>
  <si>
    <t>456-100-787- Platinum Maintenance</t>
  </si>
  <si>
    <t>DISPATCHER FOR IA CLASSIFICATION +1M PPY- Platinum Maintenance</t>
  </si>
  <si>
    <t>456-100-788- Platinum Maintenance</t>
  </si>
  <si>
    <t>DISPATCHER FOR IA CLASSIFICATION +10M PPY- Platinum Maintenance</t>
  </si>
  <si>
    <t>456-100-789- Platinum Maintenance</t>
  </si>
  <si>
    <t>DISPATCHER FOR IA EXTRACTION +100K PPY- Platinum Maintenance</t>
  </si>
  <si>
    <t>456-100-790- Platinum Maintenance</t>
  </si>
  <si>
    <t>DISPATCHER FOR IA EXTRACTION +1M PPY- Platinum Maintenance</t>
  </si>
  <si>
    <t>456-100-791- Platinum Maintenance</t>
  </si>
  <si>
    <t>DISPATCHER FOR IA EXTRACTION +10M PPY- Platinum Maintenance</t>
  </si>
  <si>
    <t>456-100-792- Platinum Maintenance</t>
  </si>
  <si>
    <t>DISPATCHER FOR IA BUNDLE +100K PPY- Platinum Maintenance</t>
  </si>
  <si>
    <t>456-100-793- Platinum Maintenance</t>
  </si>
  <si>
    <t>DISPATCHER FOR IA BUNDLE +1M PPY- Platinum Maintenance</t>
  </si>
  <si>
    <t>456-100-794- Platinum Maintenance</t>
  </si>
  <si>
    <t>DISPATCHER FOR IA BUNDLE +10M PPY- Platinum Maintenance</t>
  </si>
  <si>
    <t>456-100-680- Platinum Maintenance</t>
  </si>
  <si>
    <t>DISPATCHER CHECK READING US, 1M PPY PER CLIENT- Platinum Maintenance</t>
  </si>
  <si>
    <t>456-100-685- Platinum Maintenance</t>
  </si>
  <si>
    <t>DISPATCHER CHECK READING FR, 1M PPY PER CLIENT- Platinum Maintenance</t>
  </si>
  <si>
    <t>456-100-795- Platinum Maintenance</t>
  </si>
  <si>
    <t>DISPATCHER EAST EURO / APAC OCR PER CLIENT- Platinum Maintenance</t>
  </si>
  <si>
    <t>456-100-796- Platinum Maintenance</t>
  </si>
  <si>
    <t>DISPATCHER ADVANCED ZONAL (25 CPS), PER CL- Platinum Maintenance</t>
  </si>
  <si>
    <t>456-100-797- Platinum Maintenance</t>
  </si>
  <si>
    <t>DISPATCHER ADVANCED ZONAL (50 CPS), PER CL- Platinum Maintenance</t>
  </si>
  <si>
    <t>456-100-798- Platinum Maintenance</t>
  </si>
  <si>
    <t>DISPATCHER ADVANCED ZONAL (100 CPS), PER CL- Platinum Maintenance</t>
  </si>
  <si>
    <t>456-100-799- Platinum Maintenance</t>
  </si>
  <si>
    <t>DISPATCHER ADVANCED ZONAL (250 CPS), PER CL- Platinum Maintenance</t>
  </si>
  <si>
    <t>456-100-800- Platinum Maintenance</t>
  </si>
  <si>
    <t>DISPATCHER ADVANCED FULL PAGE (360 PPH), PER CL- Platinum Maintenance</t>
  </si>
  <si>
    <t>456-100-801- Platinum Maintenance</t>
  </si>
  <si>
    <t>DISPATCHER ADVANCED FULL PAGE (600 PPH), PER CL- Platinum Maintenance</t>
  </si>
  <si>
    <t>456-100-802- Platinum Maintenance</t>
  </si>
  <si>
    <t>DISPATCHER ADVANCED FULL PAGE (900 PPH), PER CL- Platinum Maintenance</t>
  </si>
  <si>
    <t>456-100-803- Platinum Maintenance</t>
  </si>
  <si>
    <t>DISPATCHER ADVANCED FULL PAGE (1800 PPH), PER CL- Platinum Maintenance</t>
  </si>
  <si>
    <t>456-100-804- Platinum Maintenance</t>
  </si>
  <si>
    <t>DISPATCHER ADVANCED FULL PAGE (3600 PPH), PER CL- Platinum Maintenance</t>
  </si>
  <si>
    <t>456-100-805- Platinum Maintenance</t>
  </si>
  <si>
    <t>DISPATCHER STANDARD HANDPRINT (ICR), PER CLIENT- Platinum Maintenance</t>
  </si>
  <si>
    <t>456-101-195- Platinum Maintenance</t>
  </si>
  <si>
    <t>DISPATCHER ADV ZONAL OCR/ICR (25 CPS) / CL TP DR- Platinum Maintenance</t>
  </si>
  <si>
    <t>456-101-196- Platinum Maintenance</t>
  </si>
  <si>
    <t>DISPATCHER ADV ZONAL OCR/ICR (50 CPS) / CL TP DR- Platinum Maintenance</t>
  </si>
  <si>
    <t>456-101-197- Platinum Maintenance</t>
  </si>
  <si>
    <t>DISPATCHER ADV ZONAL OCR/ICR (100 CPS) / CL TP DR- Platinum Maintenance</t>
  </si>
  <si>
    <t>456-101-198- Platinum Maintenance</t>
  </si>
  <si>
    <t>DISPATCHER ADV ZONAL OCR/ICR (250 CPS) / CL TP DR- Platinum Maintenance</t>
  </si>
  <si>
    <t>456-101-199- Platinum Maintenance</t>
  </si>
  <si>
    <t>DISPATCHER ADV FULL PAGE OCR (360 PPH) / CL TP DR- Platinum Maintenance</t>
  </si>
  <si>
    <t>456-101-200- Platinum Maintenance</t>
  </si>
  <si>
    <t>DISPATCHER ADV FULL PAGE OCR (600 PPH) / CL TP DR- Platinum Maintenance</t>
  </si>
  <si>
    <t>456-101-201- Platinum Maintenance</t>
  </si>
  <si>
    <t>DISPATCHER ADV FULL PAGE OCR (900 PPH) / CL TP DR- Platinum Maintenance</t>
  </si>
  <si>
    <t>456-101-202- Platinum Maintenance</t>
  </si>
  <si>
    <t>DISPATCHER ADV FULL PAGE OCR (1800 PPH) / CL TP DR- Platinum Maintenance</t>
  </si>
  <si>
    <t>456-101-203- Platinum Maintenance</t>
  </si>
  <si>
    <t>DISPATCHER ADV FULL PAGE OCR (3600 PPH) / CL TP DR- Platinum Maintenance</t>
  </si>
  <si>
    <t>456-101-204- Platinum Maintenance</t>
  </si>
  <si>
    <t>DISPATCHER ADV ZONAL OCR/ICR (25 CPS) / CL TP DEV- Platinum Maintenance</t>
  </si>
  <si>
    <t>456-101-205- Platinum Maintenance</t>
  </si>
  <si>
    <t>DISPATCHER ADV ZONAL OCR/ICR (50 CPS) / CL TP DEV- Platinum Maintenance</t>
  </si>
  <si>
    <t>456-101-206- Platinum Maintenance</t>
  </si>
  <si>
    <t>DISPATCHER ADV ZONAL OCR/ICR (100 CPS) / CL TP DEV- Platinum Maintenance</t>
  </si>
  <si>
    <t>456-101-207- Platinum Maintenance</t>
  </si>
  <si>
    <t>DISPATCHER ADV ZONAL OCR/ICR (250 CPS) / CL TP DEV- Platinum Maintenance</t>
  </si>
  <si>
    <t>456-101-208- Platinum Maintenance</t>
  </si>
  <si>
    <t>DISPATCHER ADV FULL PAGE OCR (360 PPH) / CL TP DEV- Platinum Maintenance</t>
  </si>
  <si>
    <t>456-101-209- Platinum Maintenance</t>
  </si>
  <si>
    <t>DISPATCHER ADV FULL PAGE OCR (600 PPH) / CL TP DEV- Platinum Maintenance</t>
  </si>
  <si>
    <t>456-101-210- Platinum Maintenance</t>
  </si>
  <si>
    <t>DISPATCHER ADV FULL PAGE OCR (900 PPH) / CL TP DEV- Platinum Maintenance</t>
  </si>
  <si>
    <t>456-101-211- Platinum Maintenance</t>
  </si>
  <si>
    <t>DISPATCHER ADV FULL PAGE OCR 1800 PPH / CL TP DEV- Platinum Maintenance</t>
  </si>
  <si>
    <t>456-101-212- Platinum Maintenance</t>
  </si>
  <si>
    <t>DISPATCHER ADV FULL PAGE OCR 3600 PPH / CL TP DEV- Platinum Maintenance</t>
  </si>
  <si>
    <t>456-011-159- Platinum Maintenance</t>
  </si>
  <si>
    <t>ClaimPack 2,500 Claims/Day- Platinum Maintenance</t>
  </si>
  <si>
    <t>456-011-160- Platinum Maintenance</t>
  </si>
  <si>
    <t>ClaimPack 5,000 Claims/Day- Platinum Maintenance</t>
  </si>
  <si>
    <t>456-011-161- Platinum Maintenance</t>
  </si>
  <si>
    <t>ClaimPack 15,000 Claims/Day- Platinum Maintenance</t>
  </si>
  <si>
    <t>456-011-162- Platinum Maintenance</t>
  </si>
  <si>
    <t>ClaimPack 30,000 Claims/Day- Platinum Maintenance</t>
  </si>
  <si>
    <t>456-011-163- Platinum Maintenance</t>
  </si>
  <si>
    <t>ClaimPack Unlimited Claims/Day- Platinum Maintenance</t>
  </si>
  <si>
    <t>456-011-059- Platinum Maintenance</t>
  </si>
  <si>
    <t>Desktop Edition with InScript2 @ 25 CPS- Platinum Maintenance</t>
  </si>
  <si>
    <t>456-011-060- Platinum Maintenance</t>
  </si>
  <si>
    <t>Desktop Edition with RecoStar Pro @ 25 CPS- Platinum Maintenance</t>
  </si>
  <si>
    <t>456-011-061- Platinum Maintenance</t>
  </si>
  <si>
    <t>Desktop Edition with RecoStar Pro @ 50 CPS- Platinum Maintenance</t>
  </si>
  <si>
    <t>456-011-070- Platinum Maintenance</t>
  </si>
  <si>
    <t>Form Identification Module- Platinum Maintenance</t>
  </si>
  <si>
    <t>456-011-071- Platinum Maintenance</t>
  </si>
  <si>
    <t>Form ID w ith Virtual Classification for Desktop- Platinum Maintenance</t>
  </si>
  <si>
    <t>456-011-072- Platinum Maintenance</t>
  </si>
  <si>
    <t>Form ID with Virtual Classification- Platinum Maintenance</t>
  </si>
  <si>
    <t>456-011-073- Platinum Maintenance</t>
  </si>
  <si>
    <t>Edit/Export Module- Platinum Maintenance</t>
  </si>
  <si>
    <t>456-011-074- Platinum Maintenance</t>
  </si>
  <si>
    <t>Completion Module including rubber-band OCR- Platinum Maintenance</t>
  </si>
  <si>
    <t>456-011-075- Platinum Maintenance</t>
  </si>
  <si>
    <t>"Key From Paper" Completion Module- Platinum Maintenance</t>
  </si>
  <si>
    <t>456-011-076- Platinum Maintenance</t>
  </si>
  <si>
    <t>Manual Training Completion Module- Platinum Maintenance</t>
  </si>
  <si>
    <t>456-011-077- Platinum Maintenance</t>
  </si>
  <si>
    <t>Standalone Completion Module- Platinum Maintenance</t>
  </si>
  <si>
    <t>456-011-078- Platinum Maintenance</t>
  </si>
  <si>
    <t>Free Form Module for Desktop- Platinum Maintenance</t>
  </si>
  <si>
    <t>456-011-079- Platinum Maintenance</t>
  </si>
  <si>
    <t>Free Form Module- Platinum Maintenance</t>
  </si>
  <si>
    <t>456-011-080- Platinum Maintenance</t>
  </si>
  <si>
    <t>Database Administration Module- Platinum Maintenance</t>
  </si>
  <si>
    <t>456-011-081- Platinum Maintenance</t>
  </si>
  <si>
    <t>File System Administration Module- Platinum Maintenance</t>
  </si>
  <si>
    <t>456-011-082- Platinum Maintenance</t>
  </si>
  <si>
    <t>Distributed Personal Scan Level 1 Client- Platinum Maintenance</t>
  </si>
  <si>
    <t>456-011-083- Platinum Maintenance</t>
  </si>
  <si>
    <t>Distributed Workgroup Scan Level 2 Client- Platinum Maintenance</t>
  </si>
  <si>
    <t>456-011-084- Platinum Maintenance</t>
  </si>
  <si>
    <t>Distributed Departmental Scan Level 3 Client- Platinum Maintenance</t>
  </si>
  <si>
    <t>456-011-085- Platinum Maintenance</t>
  </si>
  <si>
    <t>Distributed Production Scan Level 4 Client- Platinum Maintenance</t>
  </si>
  <si>
    <t>456-011-086- Platinum Maintenance</t>
  </si>
  <si>
    <t>eEntry Module- Platinum Maintenance</t>
  </si>
  <si>
    <t>456-011-087- Platinum Maintenance</t>
  </si>
  <si>
    <t>Filler Module- Platinum Maintenance</t>
  </si>
  <si>
    <t>456-011-088- Platinum Maintenance</t>
  </si>
  <si>
    <t>Internet FormWare Server Module- Platinum Maintenance</t>
  </si>
  <si>
    <t>456-011-089- Platinum Maintenance</t>
  </si>
  <si>
    <t>PerfectPost Module- Platinum Maintenance</t>
  </si>
  <si>
    <t>456-011-090- Platinum Maintenance</t>
  </si>
  <si>
    <t>PerfectPost Module - Annual Subscription Service- Platinum Maintenance</t>
  </si>
  <si>
    <t>456-011-091- Platinum Maintenance</t>
  </si>
  <si>
    <t>QA Statistics Module - 1 Client- Platinum Maintenance</t>
  </si>
  <si>
    <t>456-011-092- Platinum Maintenance</t>
  </si>
  <si>
    <t>QA Statistics Module - 11 Clients- Platinum Maintenance</t>
  </si>
  <si>
    <t>456-011-093- Platinum Maintenance</t>
  </si>
  <si>
    <t>QA Statistics Module - 25 Clients- Platinum Maintenance</t>
  </si>
  <si>
    <t>456-011-094- Platinum Maintenance</t>
  </si>
  <si>
    <t>QA Statistics Module - 50 Clients- Platinum Maintenance</t>
  </si>
  <si>
    <t>456-011-095- Platinum Maintenance</t>
  </si>
  <si>
    <t>QA Statistics Module -  Unlimited Clients- Platinum Maintenance</t>
  </si>
  <si>
    <t>456-011-096- Platinum Maintenance</t>
  </si>
  <si>
    <t>FileNET Export Module- Platinum Maintenance</t>
  </si>
  <si>
    <t>456-011-097- Platinum Maintenance</t>
  </si>
  <si>
    <t>EMC ApplicationXtender Export Module- Platinum Maintenance</t>
  </si>
  <si>
    <t>456-011-108- Platinum Maintenance</t>
  </si>
  <si>
    <t>Upgrade IPP to Color IPP Module- Platinum Maintenance</t>
  </si>
  <si>
    <t>456-011-109- Platinum Maintenance</t>
  </si>
  <si>
    <t>Form ID w/Virtual Classification upgrade (Desktop)- Platinum Maintenance</t>
  </si>
  <si>
    <t>456-011-110- Platinum Maintenance</t>
  </si>
  <si>
    <t>Form ID w/Virtual Classification upgrade- Platinum Maintenance</t>
  </si>
  <si>
    <t>456-011-111- Platinum Maintenance</t>
  </si>
  <si>
    <t>Rubber-band OCR for Completion- Platinum Maintenance</t>
  </si>
  <si>
    <t>456-011-112- Platinum Maintenance</t>
  </si>
  <si>
    <t>JobFlow/WorkFlow Module- Platinum Maintenance</t>
  </si>
  <si>
    <t>456-011-487- Platinum Maintenance</t>
  </si>
  <si>
    <t>FileNET Compatibility Module- Platinum Maintenance</t>
  </si>
  <si>
    <t>456-011-591- Platinum Maintenance</t>
  </si>
  <si>
    <t>Designer Module- Platinum Maintenance</t>
  </si>
  <si>
    <t>456-011-592- Platinum Maintenance</t>
  </si>
  <si>
    <t>Personal Scan/Import (ISIS) Level 1 Module- Platinum Maintenance</t>
  </si>
  <si>
    <t>456-011-593- Platinum Maintenance</t>
  </si>
  <si>
    <t>Workgroup Scan/Import (ISIS) Level 2 Module- Platinum Maintenance</t>
  </si>
  <si>
    <t>456-011-594- Platinum Maintenance</t>
  </si>
  <si>
    <t>Departmental Scan/Import (ISIS) Level 3 Module- Platinum Maintenance</t>
  </si>
  <si>
    <t>456-011-595- Platinum Maintenance</t>
  </si>
  <si>
    <t>Production Scan/Import (ISIS) Level 4 Module- Platinum Maintenance</t>
  </si>
  <si>
    <t>456-011-596- Platinum Maintenance</t>
  </si>
  <si>
    <t>Image Pre-Processing Module- Platinum Maintenance</t>
  </si>
  <si>
    <t>456-011-597- Platinum Maintenance</t>
  </si>
  <si>
    <t>Color Image Pre-Processing Module- Platinum Maintenance</t>
  </si>
  <si>
    <t>456-011-598- Platinum Maintenance</t>
  </si>
  <si>
    <t>Form Identification Module for Desktop- Platinum Maintenance</t>
  </si>
  <si>
    <t>456-011-114- Platinum Maintenance</t>
  </si>
  <si>
    <t>VisionShape Barcode Module- Platinum Maintenance</t>
  </si>
  <si>
    <t>456-011-115- Platinum Maintenance</t>
  </si>
  <si>
    <t>InScript2 - 1D &amp; 2D Barcode Module- Platinum Maintenance</t>
  </si>
  <si>
    <t>456-011-116- Platinum Maintenance</t>
  </si>
  <si>
    <t>InScript2- OMR Only Client - "Unlimited" Module- Platinum Maintenance</t>
  </si>
  <si>
    <t>456-011-117- Platinum Maintenance</t>
  </si>
  <si>
    <t>InScript2 - 100,000 CPD Module- Platinum Maintenance</t>
  </si>
  <si>
    <t>456-011-118- Platinum Maintenance</t>
  </si>
  <si>
    <t>InScript2 - 250,000 CPD Module- Platinum Maintenance</t>
  </si>
  <si>
    <t>456-011-119- Platinum Maintenance</t>
  </si>
  <si>
    <t>InScript2 - 500,000 CPD Module- Platinum Maintenance</t>
  </si>
  <si>
    <t>456-011-120- Platinum Maintenance</t>
  </si>
  <si>
    <t>InScript2 - 1,000,000 CPD Module- Platinum Maintenance</t>
  </si>
  <si>
    <t>456-011-121- Platinum Maintenance</t>
  </si>
  <si>
    <t>InScript2 - 1,500,000 CPD Module- Platinum Maintenance</t>
  </si>
  <si>
    <t>456-011-122- Platinum Maintenance</t>
  </si>
  <si>
    <t>InScript2 - 2,000,000 CPD Module- Platinum Maintenance</t>
  </si>
  <si>
    <t>456-011-123- Platinum Maintenance</t>
  </si>
  <si>
    <t>InScript2 - 2,500,000 CPD Module- Platinum Maintenance</t>
  </si>
  <si>
    <t>456-011-124- Platinum Maintenance</t>
  </si>
  <si>
    <t>InScript2 - 3,000,000 CPD Module- Platinum Maintenance</t>
  </si>
  <si>
    <t>456-011-125- Platinum Maintenance</t>
  </si>
  <si>
    <t>InScript2 - 3,500,000 CPD Module- Platinum Maintenance</t>
  </si>
  <si>
    <t>456-011-126- Platinum Maintenance</t>
  </si>
  <si>
    <t>InScript2 - Unlimited CPD Module- Platinum Maintenance</t>
  </si>
  <si>
    <t>456-011-127- Platinum Maintenance</t>
  </si>
  <si>
    <t>InScript2 -  Software Tokens- Platinum Maintenance</t>
  </si>
  <si>
    <t>456-011-128- Platinum Maintenance</t>
  </si>
  <si>
    <t>RecoStar Professional+ 25 CPS Module- Platinum Maintenance</t>
  </si>
  <si>
    <t>456-011-129- Platinum Maintenance</t>
  </si>
  <si>
    <t>RecoStar Professional+ 50 CPS Module- Platinum Maintenance</t>
  </si>
  <si>
    <t>456-011-130- Platinum Maintenance</t>
  </si>
  <si>
    <t>RecoStar Professional+ 100 CPS Module- Platinum Maintenance</t>
  </si>
  <si>
    <t>456-011-131- Platinum Maintenance</t>
  </si>
  <si>
    <t>RecoStar Professional+ 250 CPS Module- Platinum Maintenance</t>
  </si>
  <si>
    <t>456-011-132- Platinum Maintenance</t>
  </si>
  <si>
    <t>RecoStar Professional+ 400 CPS Module- Platinum Maintenance</t>
  </si>
  <si>
    <t>456-011-153- Platinum Maintenance</t>
  </si>
  <si>
    <t>PDF/Full Text Module- Platinum Maintenance</t>
  </si>
  <si>
    <t>456-011-154- Platinum Maintenance</t>
  </si>
  <si>
    <t>PDF/Full Text Module for Desktop- Platinum Maintenance</t>
  </si>
  <si>
    <t>456-011-155- Platinum Maintenance</t>
  </si>
  <si>
    <t>Upgrade AEG/CGK 25 CPS to RecoStar Pro 25 CPS- Platinum Maintenance</t>
  </si>
  <si>
    <t>456-011-156- Platinum Maintenance</t>
  </si>
  <si>
    <t>Upgrade AEG/CGK 50 CPS to RecoStar Pro 50 CPS- Platinum Maintenance</t>
  </si>
  <si>
    <t>456-011-157- Platinum Maintenance</t>
  </si>
  <si>
    <t>Upgrade AEG/CGK 100 CPS to RecoStar Pro 100 CPS- Platinum Maintenance</t>
  </si>
  <si>
    <t>456-011-158- Platinum Maintenance</t>
  </si>
  <si>
    <t>Upgrade  AEG/CGK 250 CPS to RecoStar Pro 250 CPS- Platinum Maintenance</t>
  </si>
  <si>
    <t>456-011-054- Platinum Maintenance</t>
  </si>
  <si>
    <t>FormWare Personal Server up to 11 Clients- Platinum Maintenance</t>
  </si>
  <si>
    <t>456-011-055- Platinum Maintenance</t>
  </si>
  <si>
    <t>FormWare Workgroup Server up to 25 Clients- Platinum Maintenance</t>
  </si>
  <si>
    <t>456-011-056- Platinum Maintenance</t>
  </si>
  <si>
    <t>FormWare Departmental Server up to 50 Clients- Platinum Maintenance</t>
  </si>
  <si>
    <t>456-011-057- Platinum Maintenance</t>
  </si>
  <si>
    <t>FormWare Production Server Unlimited Clients- Platinum Maintenance</t>
  </si>
  <si>
    <t>456-011-058- Platinum Maintenance</t>
  </si>
  <si>
    <t>FormWare Server Additional 5 Client Pack- Platinum Maintenance</t>
  </si>
  <si>
    <t>456-101-885- Platinum Maintenance</t>
  </si>
  <si>
    <t>INPUTACCEL STARTER DRS SERVER- Platinum Maintenance</t>
  </si>
  <si>
    <t>456-101-958- Platinum Maintenance</t>
  </si>
  <si>
    <t>INPUTACCEL STANDARD DRS SERVER- Platinum Maintenance</t>
  </si>
  <si>
    <t>456-101-959- Platinum Maintenance</t>
  </si>
  <si>
    <t>INPUTACCEL ENTERPRISE DRS SERVER- Platinum Maintenance</t>
  </si>
  <si>
    <t>456-101-882- Platinum Maintenance</t>
  </si>
  <si>
    <t>INPUTACCEL STARTER TEST/DEV SERVER- Platinum Maintenance</t>
  </si>
  <si>
    <t>456-101-883- Platinum Maintenance</t>
  </si>
  <si>
    <t>INPUTACCEL STANDARD TEST/DEV SERVER- Platinum Maintenance</t>
  </si>
  <si>
    <t>456-101-884- Platinum Maintenance</t>
  </si>
  <si>
    <t>INPUTACCEL ENTERPRISE TEST/DEV SERVER- Platinum Maintenance</t>
  </si>
  <si>
    <t>456-011-159- Standard Maintenance</t>
  </si>
  <si>
    <t>ClaimPack 2,500 Claims/Day- Standard Maintenance</t>
  </si>
  <si>
    <t>456-011-160- Standard Maintenance</t>
  </si>
  <si>
    <t>ClaimPack 5,000 Claims/Day- Standard Maintenance</t>
  </si>
  <si>
    <t>456-011-161- Standard Maintenance</t>
  </si>
  <si>
    <t>ClaimPack 15,000 Claims/Day- Standard Maintenance</t>
  </si>
  <si>
    <t>456-011-162- Standard Maintenance</t>
  </si>
  <si>
    <t>ClaimPack 30,000 Claims/Day- Standard Maintenance</t>
  </si>
  <si>
    <t>456-011-163- Standard Maintenance</t>
  </si>
  <si>
    <t>ClaimPack Unlimited Claims/Day- Standard Maintenance</t>
  </si>
  <si>
    <t>456-011-059- Standard Maintenance</t>
  </si>
  <si>
    <t>Desktop Edition with InScript2 @ 25 CPS- Standard Maintenance</t>
  </si>
  <si>
    <t>456-011-060- Standard Maintenance</t>
  </si>
  <si>
    <t>Desktop Edition with RecoStar Pro @ 25 CPS- Standard Maintenance</t>
  </si>
  <si>
    <t>456-011-061- Standard Maintenance</t>
  </si>
  <si>
    <t>Desktop Edition with RecoStar Pro @ 50 CPS- Standard Maintenance</t>
  </si>
  <si>
    <t>456-011-070- Standard Maintenance</t>
  </si>
  <si>
    <t>Form Identification Module- Standard Maintenance</t>
  </si>
  <si>
    <t>456-011-071- Standard Maintenance</t>
  </si>
  <si>
    <t>Form ID w ith Virtual Classification for Desktop- Standard Maintenance</t>
  </si>
  <si>
    <t>456-011-072- Standard Maintenance</t>
  </si>
  <si>
    <t>Form ID with Virtual Classification- Standard Maintenance</t>
  </si>
  <si>
    <t>456-011-073- Standard Maintenance</t>
  </si>
  <si>
    <t>Edit/Export Module- Standard Maintenance</t>
  </si>
  <si>
    <t>456-011-074- Standard Maintenance</t>
  </si>
  <si>
    <t>Completion Module including rubber-band OCR- Standard Maintenance</t>
  </si>
  <si>
    <t>456-011-075- Standard Maintenance</t>
  </si>
  <si>
    <t>"Key From Paper" Completion Module- Standard Maintenance</t>
  </si>
  <si>
    <t>456-011-076- Standard Maintenance</t>
  </si>
  <si>
    <t>Manual Training Completion Module- Standard Maintenance</t>
  </si>
  <si>
    <t>457-100-621 - Standard Support</t>
  </si>
  <si>
    <t>CENTERSTAGE AND MYD BUNDLE CENTERSTAGE + MY DOCUMENTUM BUNDLE 1251-3000-Standard Support</t>
  </si>
  <si>
    <t>457-100-621 - Platinum Support</t>
  </si>
  <si>
    <t>CENTERSTAGE AND MYD BUNDLE CENTERSTAGE + MY DOCUMENTUM BUNDLE 1251-3000-Platinum Support</t>
  </si>
  <si>
    <t>457-100-617 - Standard Support</t>
  </si>
  <si>
    <t>CENTERSTAGE AND MYD BUNDLE CENTERSTAGE + MY DOCUMENTUM BUNDLE 1-50-Standard Support</t>
  </si>
  <si>
    <t>457-100-617 - Platinum Support</t>
  </si>
  <si>
    <t>CENTERSTAGE AND MYD BUNDLE CENTERSTAGE + MY DOCUMENTUM BUNDLE 1-50-Platinum Support</t>
  </si>
  <si>
    <t>457-100-619 - Standard Support</t>
  </si>
  <si>
    <t>CENTERSTAGE AND MYD BUNDLE CENTERSTAGE + MY DOCUMENTUM BUNDLE 201-500-Standard Support</t>
  </si>
  <si>
    <t>457-100-619 - Platinum Support</t>
  </si>
  <si>
    <t>CENTERSTAGE AND MYD BUNDLE CENTERSTAGE + MY DOCUMENTUM BUNDLE 201-500-Platinum Support</t>
  </si>
  <si>
    <t>457-100-624 - Standard Support</t>
  </si>
  <si>
    <t>CENTERSTAGE AND MYD BUNDLE CENTERSTAGE + MY DOCUMENTUM BUNDLE 25001-50000-Standard Support</t>
  </si>
  <si>
    <t>457-100-624 - Platinum Support</t>
  </si>
  <si>
    <t>CENTERSTAGE AND MYD BUNDLE CENTERSTAGE + MY DOCUMENTUM BUNDLE 25001-50000-Platinum Support</t>
  </si>
  <si>
    <t>457-100-622 - Standard Support</t>
  </si>
  <si>
    <t>CENTERSTAGE AND MYD BUNDLE CENTERSTAGE + MY DOCUMENTUM BUNDLE 3001-8500-Standard Support</t>
  </si>
  <si>
    <t>457-100-622 - Platinum Support</t>
  </si>
  <si>
    <t>CENTERSTAGE AND MYD BUNDLE CENTERSTAGE + MY DOCUMENTUM BUNDLE 3001-8500-Platinum Support</t>
  </si>
  <si>
    <t>457-100-625 - Standard Support</t>
  </si>
  <si>
    <t>CENTERSTAGE AND MYD BUNDLE CENTERSTAGE + MY DOCUMENTUM BUNDLE 50001-1000000-Standard Support</t>
  </si>
  <si>
    <t>457-100-625 - Platinum Support</t>
  </si>
  <si>
    <t>CENTERSTAGE AND MYD BUNDLE CENTERSTAGE + MY DOCUMENTUM BUNDLE 50001-1000000-Platinum Support</t>
  </si>
  <si>
    <t>457-100-620 - Standard Support</t>
  </si>
  <si>
    <t>CENTERSTAGE AND MYD BUNDLE CENTERSTAGE + MY DOCUMENTUM BUNDLE 501-1250-Standard Support</t>
  </si>
  <si>
    <t>457-100-620 - Platinum Support</t>
  </si>
  <si>
    <t>CENTERSTAGE AND MYD BUNDLE CENTERSTAGE + MY DOCUMENTUM BUNDLE 501-1250-Platinum Support</t>
  </si>
  <si>
    <t>457-100-618 - Standard Support</t>
  </si>
  <si>
    <t>CENTERSTAGE AND MYD BUNDLE CENTERSTAGE + MY DOCUMENTUM BUNDLE 51-200-Standard Support</t>
  </si>
  <si>
    <t>457-100-618 - Platinum Support</t>
  </si>
  <si>
    <t>CENTERSTAGE AND MYD BUNDLE CENTERSTAGE + MY DOCUMENTUM BUNDLE 51-200-Platinum Support</t>
  </si>
  <si>
    <t>457-100-623 - Standard Support</t>
  </si>
  <si>
    <t>CENTERSTAGE AND MYD BUNDLE CENTERSTAGE + MY DOCUMENTUM BUNDLE 8501-25000-Standard Support</t>
  </si>
  <si>
    <t>457-100-623 - Platinum Support</t>
  </si>
  <si>
    <t>CENTERSTAGE AND MYD BUNDLE CENTERSTAGE + MY DOCUMENTUM BUNDLE 8501-25000-Platinum Support</t>
  </si>
  <si>
    <t>457-100-585 - Standard Support</t>
  </si>
  <si>
    <t>CENTERSTAGE CENTERSTAGE BUNDLE 1251-3000-Standard Support</t>
  </si>
  <si>
    <t>457-100-585 - Platinum Support</t>
  </si>
  <si>
    <t>CENTERSTAGE CENTERSTAGE BUNDLE 1251-3000-Platinum Support</t>
  </si>
  <si>
    <t>457-100-583 - Standard Support</t>
  </si>
  <si>
    <t>CENTERSTAGE CENTERSTAGE BUNDLE 201-500-Standard Support</t>
  </si>
  <si>
    <t>457-100-583 - Platinum Support</t>
  </si>
  <si>
    <t>CENTERSTAGE CENTERSTAGE BUNDLE 201-500-Platinum Support</t>
  </si>
  <si>
    <t>457-100-588 - Standard Support</t>
  </si>
  <si>
    <t>CENTERSTAGE CENTERSTAGE BUNDLE 25001-50000-Standard Support</t>
  </si>
  <si>
    <t>457-100-588 - Platinum Support</t>
  </si>
  <si>
    <t>CENTERSTAGE CENTERSTAGE BUNDLE 25001-50000-Platinum Support</t>
  </si>
  <si>
    <t>457-100-586 - Standard Support</t>
  </si>
  <si>
    <t>CENTERSTAGE CENTERSTAGE BUNDLE 3001-8500-Standard Support</t>
  </si>
  <si>
    <t>457-100-586 - Platinum Support</t>
  </si>
  <si>
    <t>CENTERSTAGE CENTERSTAGE BUNDLE 3001-8500-Platinum Support</t>
  </si>
  <si>
    <t>457-100-589 - Standard Support</t>
  </si>
  <si>
    <t>CENTERSTAGE CENTERSTAGE BUNDLE 50001-1000000-Standard Support</t>
  </si>
  <si>
    <t>457-100-589 - Platinum Support</t>
  </si>
  <si>
    <t>CENTERSTAGE CENTERSTAGE BUNDLE 50001-1000000-Platinum Support</t>
  </si>
  <si>
    <t>457-100-584 - Standard Support</t>
  </si>
  <si>
    <t>CENTERSTAGE CENTERSTAGE BUNDLE 501-1250-Standard Support</t>
  </si>
  <si>
    <t>457-100-584 - Platinum Support</t>
  </si>
  <si>
    <t>CENTERSTAGE CENTERSTAGE BUNDLE 501-1250-Platinum Support</t>
  </si>
  <si>
    <t>457-100-582 - Standard Support</t>
  </si>
  <si>
    <t>CENTERSTAGE CENTERSTAGE BUNDLE 51-200-Standard Support</t>
  </si>
  <si>
    <t>457-100-582 - Platinum Support</t>
  </si>
  <si>
    <t>CENTERSTAGE CENTERSTAGE BUNDLE 51-200-Platinum Support</t>
  </si>
  <si>
    <t>457-100-587 - Standard Support</t>
  </si>
  <si>
    <t>CENTERSTAGE CENTERSTAGE BUNDLE 8501-25000-Standard Support</t>
  </si>
  <si>
    <t>457-100-587 - Platinum Support</t>
  </si>
  <si>
    <t>CENTERSTAGE CENTERSTAGE BUNDLE 8501-25000-Platinum Support</t>
  </si>
  <si>
    <t>ER-CLIENT - Standard Support</t>
  </si>
  <si>
    <t>COLLABORATION EROOM (CORE) ST-Standard Support</t>
  </si>
  <si>
    <t>ER-CLIENT - Platinum Support</t>
  </si>
  <si>
    <t>COLLABORATION EROOM (CORE) ST-Platinum Support</t>
  </si>
  <si>
    <t>ERM-ENT - Standard Support</t>
  </si>
  <si>
    <t>COLLABORATION EROOM ENTERPRISE ST-Standard Support</t>
  </si>
  <si>
    <t>ERM-ENT - Platinum Support</t>
  </si>
  <si>
    <t>COLLABORATION EROOM ENTERPRISE ST-Platinum Support</t>
  </si>
  <si>
    <t>ER-RT-CLT-UP - Standard Support</t>
  </si>
  <si>
    <t>COLLABORATION EROOM REAL TIME SVCS ADD-ON ST-Standard Support</t>
  </si>
  <si>
    <t>ER-RT-CLT-UP - Platinum Support</t>
  </si>
  <si>
    <t>COLLABORATION EROOM REAL TIME SVCS ADD-ON ST-Platinum Support</t>
  </si>
  <si>
    <t>ERM-SRVR-SQL - Standard Support</t>
  </si>
  <si>
    <t>COLLABORATION EROOM SERVER (MS SQL SERVER) ST-Standard Support</t>
  </si>
  <si>
    <t>ERM-SRVR-SQL - Platinum Support</t>
  </si>
  <si>
    <t>COLLABORATION EROOM SERVER (MS SQL SERVER) ST-Platinum Support</t>
  </si>
  <si>
    <t>ERM-SRVR-SYB - Standard Support</t>
  </si>
  <si>
    <t>COLLABORATION EROOM SERVER (SYBASE) ST-Standard Support</t>
  </si>
  <si>
    <t>ERM-SRVR-SYB - Platinum Support</t>
  </si>
  <si>
    <t>COLLABORATION EROOM SERVER (SYBASE) ST-Platinum Support</t>
  </si>
  <si>
    <t>ER-MS-PRJVWR - Standard Support</t>
  </si>
  <si>
    <t>COLLABORATION EROOM VIEWER FOR MS PROJECT SERVER-Standard Support</t>
  </si>
  <si>
    <t>ER-MS-PRJVWR - Platinum Support</t>
  </si>
  <si>
    <t>COLLABORATION EROOM VIEWER FOR MS PROJECT SERVER-Platinum Support</t>
  </si>
  <si>
    <t>DCM-CONSUMR - Standard Support</t>
  </si>
  <si>
    <t>COMPLIANCE DCTM COMPLIANCE MGR Documentum Compliance Manager - Consumer-Standard Support</t>
  </si>
  <si>
    <t>DCM-CONSUMR - Platinum Support</t>
  </si>
  <si>
    <t>COMPLIANCE DCTM COMPLIANCE MGR Documentum Compliance Manager - Consumer-Platinum Support</t>
  </si>
  <si>
    <t>DCM-CONTRIB - Standard Support</t>
  </si>
  <si>
    <t>COMPLIANCE DCTM COMPLIANCE MGR Documentum Compliance Manager - Contributor-Standard Support</t>
  </si>
  <si>
    <t>DCM-CONTRIB - Platinum Support</t>
  </si>
  <si>
    <t>COMPLIANCE DCTM COMPLIANCE MGR Documentum Compliance Manager - Contributor-Platinum Support</t>
  </si>
  <si>
    <t>PCS-CPU - Standard Support</t>
  </si>
  <si>
    <t>COMPLIANCE DCTM COMPLIANCE MGR PRINT CONTROL SERVICES-Standard Support</t>
  </si>
  <si>
    <t>PCS-CPU - Platinum Support</t>
  </si>
  <si>
    <t>COMPLIANCE DCTM COMPLIANCE MGR PRINT CONTROL SERVICES-Platinum Support</t>
  </si>
  <si>
    <t>457-100-262 - Standard Support</t>
  </si>
  <si>
    <t>COMPLIANCE RECORDS MANAGEMENT CERTIFIED RECORDS MANAGER  1 - 50-Standard Support</t>
  </si>
  <si>
    <t>457-100-262 - Platinum Support</t>
  </si>
  <si>
    <t>COMPLIANCE RECORDS MANAGEMENT CERTIFIED RECORDS MANAGER  1 - 50-Platinum Support</t>
  </si>
  <si>
    <t>457-100-266 - Standard Support</t>
  </si>
  <si>
    <t>COMPLIANCE RECORDS MANAGEMENT CERTIFIED RECORDS MANAGER 1251 - 3000-Standard Support</t>
  </si>
  <si>
    <t>457-100-266 - Platinum Support</t>
  </si>
  <si>
    <t>COMPLIANCE RECORDS MANAGEMENT CERTIFIED RECORDS MANAGER 1251 - 3000-Platinum Support</t>
  </si>
  <si>
    <t>457-100-264 - Standard Support</t>
  </si>
  <si>
    <t>COMPLIANCE RECORDS MANAGEMENT CERTIFIED RECORDS MANAGER 201 - 500-Standard Support</t>
  </si>
  <si>
    <t>457-100-264 - Platinum Support</t>
  </si>
  <si>
    <t>COMPLIANCE RECORDS MANAGEMENT CERTIFIED RECORDS MANAGER 201 - 500-Platinum Support</t>
  </si>
  <si>
    <t>457-100-269 - Standard Support</t>
  </si>
  <si>
    <t>COMPLIANCE RECORDS MANAGEMENT CERTIFIED RECORDS MANAGER 25001 - 50000-Standard Support</t>
  </si>
  <si>
    <t>457-100-269 - Platinum Support</t>
  </si>
  <si>
    <t>COMPLIANCE RECORDS MANAGEMENT CERTIFIED RECORDS MANAGER 25001 - 50000-Platinum Support</t>
  </si>
  <si>
    <t>457-100-267 - Standard Support</t>
  </si>
  <si>
    <t>COMPLIANCE RECORDS MANAGEMENT CERTIFIED RECORDS MANAGER 3001 - 8500-Standard Support</t>
  </si>
  <si>
    <t>457-100-267 - Platinum Support</t>
  </si>
  <si>
    <t>COMPLIANCE RECORDS MANAGEMENT CERTIFIED RECORDS MANAGER 3001 - 8500-Platinum Support</t>
  </si>
  <si>
    <t>457-100-270 - Standard Support</t>
  </si>
  <si>
    <t>COMPLIANCE RECORDS MANAGEMENT CERTIFIED RECORDS MANAGER 50001 - 1000000-Standard Support</t>
  </si>
  <si>
    <t>457-100-270 - Platinum Support</t>
  </si>
  <si>
    <t>COMPLIANCE RECORDS MANAGEMENT CERTIFIED RECORDS MANAGER 50001 - 1000000-Platinum Support</t>
  </si>
  <si>
    <t>457-100-265 - Standard Support</t>
  </si>
  <si>
    <t>COMPLIANCE RECORDS MANAGEMENT CERTIFIED RECORDS MANAGER 501 - 1250-Standard Support</t>
  </si>
  <si>
    <t>457-100-265 - Platinum Support</t>
  </si>
  <si>
    <t>COMPLIANCE RECORDS MANAGEMENT CERTIFIED RECORDS MANAGER 501 - 1250-Platinum Support</t>
  </si>
  <si>
    <t>457-100-263 - Standard Support</t>
  </si>
  <si>
    <t>COMPLIANCE RECORDS MANAGEMENT CERTIFIED RECORDS MANAGER 51 - 200-Standard Support</t>
  </si>
  <si>
    <t>457-100-263 - Platinum Support</t>
  </si>
  <si>
    <t>COMPLIANCE RECORDS MANAGEMENT CERTIFIED RECORDS MANAGER 51 - 200-Platinum Support</t>
  </si>
  <si>
    <t>457-100-268 - Standard Support</t>
  </si>
  <si>
    <t>COMPLIANCE RECORDS MANAGEMENT CERTIFIED RECORDS MANAGER 8501 - 25000-Standard Support</t>
  </si>
  <si>
    <t>457-100-268 - Platinum Support</t>
  </si>
  <si>
    <t>COMPLIANCE RECORDS MANAGEMENT CERTIFIED RECORDS MANAGER 8501 - 25000-Platinum Support</t>
  </si>
  <si>
    <t>457-100-280 - Standard Support</t>
  </si>
  <si>
    <t>COMPLIANCE RECORDS MANAGEMENT FEDERATED RECORDS SERVICES - REPOSITORY-Standard Support</t>
  </si>
  <si>
    <t>457-100-280 - Platinum Support</t>
  </si>
  <si>
    <t>COMPLIANCE RECORDS MANAGEMENT FEDERATED RECORDS SERVICES - REPOSITORY-Platinum Support</t>
  </si>
  <si>
    <t>457-100-271 - Standard Support</t>
  </si>
  <si>
    <t>COMPLIANCE RECORDS MANAGEMENT PHYSICAL RECORDS MODULE  1 - 50-Standard Support</t>
  </si>
  <si>
    <t>457-100-271 - Platinum Support</t>
  </si>
  <si>
    <t>COMPLIANCE RECORDS MANAGEMENT PHYSICAL RECORDS MODULE  1 - 50-Platinum Support</t>
  </si>
  <si>
    <t>457-100-275 - Standard Support</t>
  </si>
  <si>
    <t>COMPLIANCE RECORDS MANAGEMENT PHYSICAL RECORDS MODULE 1251 - 3000-Standard Support</t>
  </si>
  <si>
    <t>457-100-275 - Platinum Support</t>
  </si>
  <si>
    <t>COMPLIANCE RECORDS MANAGEMENT PHYSICAL RECORDS MODULE 1251 - 3000-Platinum Support</t>
  </si>
  <si>
    <t>457-100-273 - Standard Support</t>
  </si>
  <si>
    <t>COMPLIANCE RECORDS MANAGEMENT PHYSICAL RECORDS MODULE 201 - 500-Standard Support</t>
  </si>
  <si>
    <t>457-100-273 - Platinum Support</t>
  </si>
  <si>
    <t>COMPLIANCE RECORDS MANAGEMENT PHYSICAL RECORDS MODULE 201 - 500-Platinum Support</t>
  </si>
  <si>
    <t>457-100-278 - Standard Support</t>
  </si>
  <si>
    <t>COMPLIANCE RECORDS MANAGEMENT PHYSICAL RECORDS MODULE 25001 - 50000-Standard Support</t>
  </si>
  <si>
    <t>457-100-278 - Platinum Support</t>
  </si>
  <si>
    <t>COMPLIANCE RECORDS MANAGEMENT PHYSICAL RECORDS MODULE 25001 - 50000-Platinum Support</t>
  </si>
  <si>
    <t>457-100-276 - Standard Support</t>
  </si>
  <si>
    <t>COMPLIANCE RECORDS MANAGEMENT PHYSICAL RECORDS MODULE 3001 - 8500-Standard Support</t>
  </si>
  <si>
    <t>457-100-276 - Platinum Support</t>
  </si>
  <si>
    <t>COMPLIANCE RECORDS MANAGEMENT PHYSICAL RECORDS MODULE 3001 - 8500-Platinum Support</t>
  </si>
  <si>
    <t>457-100-279 - Standard Support</t>
  </si>
  <si>
    <t>COMPLIANCE RECORDS MANAGEMENT PHYSICAL RECORDS MODULE 50001 - 1000000-Standard Support</t>
  </si>
  <si>
    <t>457-100-279 - Platinum Support</t>
  </si>
  <si>
    <t>COMPLIANCE RECORDS MANAGEMENT PHYSICAL RECORDS MODULE 50001 - 1000000-Platinum Support</t>
  </si>
  <si>
    <t>457-100-274 - Standard Support</t>
  </si>
  <si>
    <t>COMPLIANCE RECORDS MANAGEMENT PHYSICAL RECORDS MODULE 501 - 1250-Standard Support</t>
  </si>
  <si>
    <t>457-100-274 - Platinum Support</t>
  </si>
  <si>
    <t>COMPLIANCE RECORDS MANAGEMENT PHYSICAL RECORDS MODULE 501 - 1250-Platinum Support</t>
  </si>
  <si>
    <t>457-100-272 - Standard Support</t>
  </si>
  <si>
    <t>COMPLIANCE RECORDS MANAGEMENT PHYSICAL RECORDS MODULE 51 - 200-Standard Support</t>
  </si>
  <si>
    <t>457-100-272 - Platinum Support</t>
  </si>
  <si>
    <t>COMPLIANCE RECORDS MANAGEMENT PHYSICAL RECORDS MODULE 51 - 200-Platinum Support</t>
  </si>
  <si>
    <t>457-100-277 - Standard Support</t>
  </si>
  <si>
    <t>COMPLIANCE RECORDS MANAGEMENT PHYSICAL RECORDS MODULE 8501 - 25000-Standard Support</t>
  </si>
  <si>
    <t>457-100-277 - Platinum Support</t>
  </si>
  <si>
    <t>COMPLIANCE RECORDS MANAGEMENT PHYSICAL RECORDS MODULE 8501 - 25000-Platinum Support</t>
  </si>
  <si>
    <t>457-100-253 - Standard Support</t>
  </si>
  <si>
    <t>COMPLIANCE RECORDS MANAGEMENT RETENTION MANAGEMENT  1 - 50-Standard Support</t>
  </si>
  <si>
    <t>457-100-253 - Platinum Support</t>
  </si>
  <si>
    <t>COMPLIANCE RECORDS MANAGEMENT RETENTION MANAGEMENT  1 - 50-Platinum Support</t>
  </si>
  <si>
    <t>457-100-257 - Standard Support</t>
  </si>
  <si>
    <t>COMPLIANCE RECORDS MANAGEMENT RETENTION MANAGEMENT  1251 - 3000-Standard Support</t>
  </si>
  <si>
    <t>457-100-257 - Platinum Support</t>
  </si>
  <si>
    <t>COMPLIANCE RECORDS MANAGEMENT RETENTION MANAGEMENT  1251 - 3000-Platinum Support</t>
  </si>
  <si>
    <t>457-100-255 - Standard Support</t>
  </si>
  <si>
    <t>COMPLIANCE RECORDS MANAGEMENT RETENTION MANAGEMENT  201 - 500-Standard Support</t>
  </si>
  <si>
    <t>457-100-255 - Platinum Support</t>
  </si>
  <si>
    <t>COMPLIANCE RECORDS MANAGEMENT RETENTION MANAGEMENT  201 - 500-Platinum Support</t>
  </si>
  <si>
    <t>457-100-260 - Standard Support</t>
  </si>
  <si>
    <t>COMPLIANCE RECORDS MANAGEMENT RETENTION MANAGEMENT  25001 - 50000-Standard Support</t>
  </si>
  <si>
    <t>457-100-260 - Platinum Support</t>
  </si>
  <si>
    <t>COMPLIANCE RECORDS MANAGEMENT RETENTION MANAGEMENT  25001 - 50000-Platinum Support</t>
  </si>
  <si>
    <t>457-100-258 - Standard Support</t>
  </si>
  <si>
    <t>COMPLIANCE RECORDS MANAGEMENT RETENTION MANAGEMENT  3001 - 8500-Standard Support</t>
  </si>
  <si>
    <t>457-100-258 - Platinum Support</t>
  </si>
  <si>
    <t>COMPLIANCE RECORDS MANAGEMENT RETENTION MANAGEMENT  3001 - 8500-Platinum Support</t>
  </si>
  <si>
    <t>457-100-261 - Standard Support</t>
  </si>
  <si>
    <t>COMPLIANCE RECORDS MANAGEMENT RETENTION MANAGEMENT  50001 - 1000000-Standard Support</t>
  </si>
  <si>
    <t>457-100-261 - Platinum Support</t>
  </si>
  <si>
    <t>COMPLIANCE RECORDS MANAGEMENT RETENTION MANAGEMENT  50001 - 1000000-Platinum Support</t>
  </si>
  <si>
    <t>457-100-256 - Standard Support</t>
  </si>
  <si>
    <t>COMPLIANCE RECORDS MANAGEMENT RETENTION MANAGEMENT  501 - 1250-Standard Support</t>
  </si>
  <si>
    <t>457-100-256 - Platinum Support</t>
  </si>
  <si>
    <t>COMPLIANCE RECORDS MANAGEMENT RETENTION MANAGEMENT  501 - 1250-Platinum Support</t>
  </si>
  <si>
    <t>457-100-254 - Standard Support</t>
  </si>
  <si>
    <t>COMPLIANCE RECORDS MANAGEMENT RETENTION MANAGEMENT  51 - 200-Standard Support</t>
  </si>
  <si>
    <t>457-100-254 - Platinum Support</t>
  </si>
  <si>
    <t>COMPLIANCE RECORDS MANAGEMENT RETENTION MANAGEMENT  51 - 200-Platinum Support</t>
  </si>
  <si>
    <t>457-100-259 - Standard Support</t>
  </si>
  <si>
    <t>COMPLIANCE RECORDS MANAGEMENT RETENTION MANAGEMENT  8501 - 25000-Standard Support</t>
  </si>
  <si>
    <t>457-100-259 - Platinum Support</t>
  </si>
  <si>
    <t>COMPLIANCE RECORDS MANAGEMENT RETENTION MANAGEMENT  8501 - 25000-Platinum Support</t>
  </si>
  <si>
    <t>457-100-456 - Standard Support</t>
  </si>
  <si>
    <t>COMPLIANCE RECORDS MANAGEMENT UPGRADE FROM RETENTION TO CRM 1251-3000-Standard Support</t>
  </si>
  <si>
    <t>457-100-456 - Platinum Support</t>
  </si>
  <si>
    <t>COMPLIANCE RECORDS MANAGEMENT UPGRADE FROM RETENTION TO CRM 1251-3000-Platinum Support</t>
  </si>
  <si>
    <t>457-100-452 - Standard Support</t>
  </si>
  <si>
    <t>COMPLIANCE RECORDS MANAGEMENT UPGRADE FROM RETENTION TO CRM 1-50-Standard Support</t>
  </si>
  <si>
    <t>457-100-452 - Platinum Support</t>
  </si>
  <si>
    <t>COMPLIANCE RECORDS MANAGEMENT UPGRADE FROM RETENTION TO CRM 1-50-Platinum Support</t>
  </si>
  <si>
    <t>457-100-454 - Standard Support</t>
  </si>
  <si>
    <t>COMPLIANCE RECORDS MANAGEMENT UPGRADE FROM RETENTION TO CRM 201-500-Standard Support</t>
  </si>
  <si>
    <t>457-100-454 - Platinum Support</t>
  </si>
  <si>
    <t>COMPLIANCE RECORDS MANAGEMENT UPGRADE FROM RETENTION TO CRM 201-500-Platinum Support</t>
  </si>
  <si>
    <t>457-100-459 - Standard Support</t>
  </si>
  <si>
    <t>COMPLIANCE RECORDS MANAGEMENT UPGRADE FROM RETENTION TO CRM 25001-50000-Standard Support</t>
  </si>
  <si>
    <t>457-100-459 - Platinum Support</t>
  </si>
  <si>
    <t>COMPLIANCE RECORDS MANAGEMENT UPGRADE FROM RETENTION TO CRM 25001-50000-Platinum Support</t>
  </si>
  <si>
    <t>457-100-457 - Standard Support</t>
  </si>
  <si>
    <t>COMPLIANCE RECORDS MANAGEMENT UPGRADE FROM RETENTION TO CRM 3001-8500-Standard Support</t>
  </si>
  <si>
    <t>457-100-457 - Platinum Support</t>
  </si>
  <si>
    <t>COMPLIANCE RECORDS MANAGEMENT UPGRADE FROM RETENTION TO CRM 3001-8500-Platinum Support</t>
  </si>
  <si>
    <t>457-100-460 - Standard Support</t>
  </si>
  <si>
    <t>COMPLIANCE RECORDS MANAGEMENT UPGRADE FROM RETENTION TO CRM 50001-1000000-Standard Support</t>
  </si>
  <si>
    <t>457-100-460 - Platinum Support</t>
  </si>
  <si>
    <t>COMPLIANCE RECORDS MANAGEMENT UPGRADE FROM RETENTION TO CRM 50001-1000000-Platinum Support</t>
  </si>
  <si>
    <t>457-100-455 - Standard Support</t>
  </si>
  <si>
    <t>COMPLIANCE RECORDS MANAGEMENT UPGRADE FROM RETENTION TO CRM 501-1250-Standard Support</t>
  </si>
  <si>
    <t>457-100-455 - Platinum Support</t>
  </si>
  <si>
    <t>COMPLIANCE RECORDS MANAGEMENT UPGRADE FROM RETENTION TO CRM 501-1250-Platinum Support</t>
  </si>
  <si>
    <t>457-100-453 - Standard Support</t>
  </si>
  <si>
    <t>COMPLIANCE RECORDS MANAGEMENT UPGRADE FROM RETENTION TO CRM 51-200-Standard Support</t>
  </si>
  <si>
    <t>457-100-453 - Platinum Support</t>
  </si>
  <si>
    <t>COMPLIANCE RECORDS MANAGEMENT UPGRADE FROM RETENTION TO CRM 51-200-Platinum Support</t>
  </si>
  <si>
    <t>457-100-458 - Standard Support</t>
  </si>
  <si>
    <t>COMPLIANCE RECORDS MANAGEMENT UPGRADE FROM RETENTION TO CRM 8501-25000-Standard Support</t>
  </si>
  <si>
    <t>457-100-458 - Platinum Support</t>
  </si>
  <si>
    <t>COMPLIANCE RECORDS MANAGEMENT UPGRADE FROM RETENTION TO CRM 8501-25000-Platinum Support</t>
  </si>
  <si>
    <t>457-100-578 - Standard Support</t>
  </si>
  <si>
    <t>CONTENT TRANSFORMATION SERVICES - DOCUMENTS BUNDLE-Standard Support</t>
  </si>
  <si>
    <t>457-100-578 - Platinum Support</t>
  </si>
  <si>
    <t>CONTENT TRANSFORMATION SERVICES - DOCUMENTS BUNDLE-Platinum Support</t>
  </si>
  <si>
    <t>IA1Y100K - Standard Support</t>
  </si>
  <si>
    <t>CVISION SOFTWARE SELECT: PDFOPTIMIZER FOR IA 1 YR TERM - 100K PAGES-Standard Support</t>
  </si>
  <si>
    <t>IA1Y100K - Platinum Support</t>
  </si>
  <si>
    <t>CVISION SOFTWARE SELECT: PDFOPTIMIZER FOR IA 1 YR TERM - 100K PAGES-Platinum Support</t>
  </si>
  <si>
    <t>IA100KPPY - Standard Support</t>
  </si>
  <si>
    <t>CVISION SOFTWARE SELECT: PDFOPTIMIZER FOR IA 100000 PPY-Standard Support</t>
  </si>
  <si>
    <t>IA100KPPY - Platinum Support</t>
  </si>
  <si>
    <t>CVISION SOFTWARE SELECT: PDFOPTIMIZER FOR IA 100000 PPY-Platinum Support</t>
  </si>
  <si>
    <t>IA100KPPYO - Standard Support</t>
  </si>
  <si>
    <t>CVISION SOFTWARE SELECT: PDFOPTIMIZER FOR IA 100000 PPY W/OCR-Standard Support</t>
  </si>
  <si>
    <t>IA100KPPYO - Platinum Support</t>
  </si>
  <si>
    <t>CVISION SOFTWARE SELECT: PDFOPTIMIZER FOR IA 100000 PPY W/OCR-Platinum Support</t>
  </si>
  <si>
    <t>IA1MPPY - Standard Support</t>
  </si>
  <si>
    <t>CVISION SOFTWARE SELECT: PDFOPTIMIZER FOR IA 1M PPY-Standard Support</t>
  </si>
  <si>
    <t>IA1MPPY - Platinum Support</t>
  </si>
  <si>
    <t>CVISION SOFTWARE SELECT: PDFOPTIMIZER FOR IA 1M PPY-Platinum Support</t>
  </si>
  <si>
    <t>IA1MPPYO - Standard Support</t>
  </si>
  <si>
    <t>CVISION SOFTWARE SELECT: PDFOPTIMIZER FOR IA 1M PPY W/OCR-Standard Support</t>
  </si>
  <si>
    <t>IA1MPPYO - Platinum Support</t>
  </si>
  <si>
    <t>CVISION SOFTWARE SELECT: PDFOPTIMIZER FOR IA 1M PPY W/OCR-Platinum Support</t>
  </si>
  <si>
    <t>IAVP100K - Standard Support</t>
  </si>
  <si>
    <t>CVISION SOFTWARE SELECT: PDFOPTIMIZER FOR IA VOL PACK; 100000 PPY-Standard Support</t>
  </si>
  <si>
    <t>IAVP100K - Platinum Support</t>
  </si>
  <si>
    <t>CVISION SOFTWARE SELECT: PDFOPTIMIZER FOR IA VOL PACK; 100000 PPY-Platinum Support</t>
  </si>
  <si>
    <t>IA1Y100KO - Standard Support</t>
  </si>
  <si>
    <t>CVISION SOFTWARE SELECT:PDFOPTIMIZER FOR IA 1YR TERM-100K PGS W/OCR-Standard Support</t>
  </si>
  <si>
    <t>IA1Y100KO - Platinum Support</t>
  </si>
  <si>
    <t>CVISION SOFTWARE SELECT:PDFOPTIMIZER FOR IA 1YR TERM-100K PGS W/OCR-Platinum Support</t>
  </si>
  <si>
    <t>IAVP100KO - Standard Support</t>
  </si>
  <si>
    <t>CVISION SOFTWARE SELECT:PDFOPTIMIZER IA VOL PACK; 100000 PPY W/OCR-Standard Support</t>
  </si>
  <si>
    <t>IAVP100KO - Platinum Support</t>
  </si>
  <si>
    <t>CVISION SOFTWARE SELECT:PDFOPTIMIZER IA VOL PACK; 100000 PPY W/OCR-Platinum Support</t>
  </si>
  <si>
    <t>IDSA-SRC-MC - Standard Support</t>
  </si>
  <si>
    <t>DELIVERY SERVICES ADVANCED SOURCE CORE-Standard Support</t>
  </si>
  <si>
    <t>IDSA-SRC-MC - Platinum Support</t>
  </si>
  <si>
    <t>DELIVERY SERVICES ADVANCED SOURCE CORE-Platinum Support</t>
  </si>
  <si>
    <t>IDSA-TAR-MC - Standard Support</t>
  </si>
  <si>
    <t>DELIVERY SERVICES ADVANCED TARGET CORE-Standard Support</t>
  </si>
  <si>
    <t>IDSA-TAR-MC - Platinum Support</t>
  </si>
  <si>
    <t>DELIVERY SERVICES ADVANCED TARGET CORE-Platinum Support</t>
  </si>
  <si>
    <t>IDS-SRC-MC - Standard Support</t>
  </si>
  <si>
    <t>DELIVERY SERVICES SOURCE CORE-Standard Support</t>
  </si>
  <si>
    <t>IDS-SRC-MC - Platinum Support</t>
  </si>
  <si>
    <t>DELIVERY SERVICES SOURCE CORE-Platinum Support</t>
  </si>
  <si>
    <t>IDS-TAR-MC - Standard Support</t>
  </si>
  <si>
    <t>DELIVERY SERVICES TARGET CORE-Standard Support</t>
  </si>
  <si>
    <t>IDS-TAR-MC - Platinum Support</t>
  </si>
  <si>
    <t>DELIVERY SERVICES TARGET CORE-Platinum Support</t>
  </si>
  <si>
    <t>DCTM-DSE - Standard Support</t>
  </si>
  <si>
    <t>DESIGNATED SUPPORT ENGINEER DSE - REMOTE 10HR - DCTM CONTENT MANAGEMENT-Standard Support</t>
  </si>
  <si>
    <t>DCTM-DSE - Platinum Support</t>
  </si>
  <si>
    <t>DESIGNATED SUPPORT ENGINEER DSE - REMOTE 10HR - DCTM CONTENT MANAGEMENT-Platinum Support</t>
  </si>
  <si>
    <t>EDISCVRY-DSE - Standard Support</t>
  </si>
  <si>
    <t>DESIGNATED SUPPORT ENGINEER DSE - REMOTE 10HR - EDISCOVERY-Standard Support</t>
  </si>
  <si>
    <t>EDISCVRY-DSE - Platinum Support</t>
  </si>
  <si>
    <t>DESIGNATED SUPPORT ENGINEER DSE - REMOTE 10HR - EDISCOVERY-Platinum Support</t>
  </si>
  <si>
    <t>EROOM-DSE - Standard Support</t>
  </si>
  <si>
    <t>DESIGNATED SUPPORT ENGINEER DSE - REMOTE 10HR - EROOM-Standard Support</t>
  </si>
  <si>
    <t>EROOM-DSE - Platinum Support</t>
  </si>
  <si>
    <t>DESIGNATED SUPPORT ENGINEER DSE - REMOTE 10HR - EROOM-Platinum Support</t>
  </si>
  <si>
    <t>IRM-DSE - Standard Support</t>
  </si>
  <si>
    <t>DESIGNATED SUPPORT ENGINEER DSE - REMOTE 10HR - INFORMATION RIGHTS MGMT-Standard Support</t>
  </si>
  <si>
    <t>IRM-DSE - Platinum Support</t>
  </si>
  <si>
    <t>DESIGNATED SUPPORT ENGINEER DSE - REMOTE 10HR - INFORMATION RIGHTS MGMT-Platinum Support</t>
  </si>
  <si>
    <t>DVSP-100HRANL - Standard Support</t>
  </si>
  <si>
    <t>DEVELOPER SUPPORT EMC DEVELOPER SUPPORT - 100 HRS/YR (CMA)-Standard Support</t>
  </si>
  <si>
    <t>DVSP-100HRANL - Platinum Support</t>
  </si>
  <si>
    <t>DEVELOPER SUPPORT EMC DEVELOPER SUPPORT - 100 HRS/YR (CMA)-Platinum Support</t>
  </si>
  <si>
    <t>DVSUP-25HRANL - Standard Support</t>
  </si>
  <si>
    <t>DEVELOPER SUPPORT EMC DEVELOPER SUPPORT - 25 HRS/YR (CMA)-Standard Support</t>
  </si>
  <si>
    <t>DVSUP-25HRANL - Platinum Support</t>
  </si>
  <si>
    <t>DEVELOPER SUPPORT EMC DEVELOPER SUPPORT - 25 HRS/YR (CMA)-Platinum Support</t>
  </si>
  <si>
    <t>DVSUP-50HRANL - Standard Support</t>
  </si>
  <si>
    <t>DEVELOPER SUPPORT EMC DEVELOPER SUPPORT - 50 HRS/YR (CMA)-Standard Support</t>
  </si>
  <si>
    <t>DVSUP-50HRANL - Platinum Support</t>
  </si>
  <si>
    <t>DEVELOPER SUPPORT EMC DEVELOPER SUPPORT - 50 HRS/YR (CMA)-Platinum Support</t>
  </si>
  <si>
    <t>DVSUP-10HRANL - Standard Support</t>
  </si>
  <si>
    <t>DEVELOPER SUPPORT ESG DEVELOPER SUPPORT - 10 HRS/YR-Standard Support</t>
  </si>
  <si>
    <t>DVSUP-10HRANL - Platinum Support</t>
  </si>
  <si>
    <t>DEVELOPER SUPPORT ESG DEVELOPER SUPPORT - 10 HRS/YR-Platinum Support</t>
  </si>
  <si>
    <t>457-100-579 - Standard Support</t>
  </si>
  <si>
    <t>DIGITAL ASSET MANAGEMENT CONTENT TRANSFORMATION SERVICES - MEDIA BUNDLE-Standard Support</t>
  </si>
  <si>
    <t>457-100-579 - Platinum Support</t>
  </si>
  <si>
    <t>DIGITAL ASSET MANAGEMENT CONTENT TRANSFORMATION SERVICES - MEDIA BUNDLE-Platinum Support</t>
  </si>
  <si>
    <t>457-100-580 - Standard Support</t>
  </si>
  <si>
    <t>DIGITAL ASSET MANAGEMENT CONTENT TRANSFORMATION SERVICES - VIDEO BUNDLE-Standard Support</t>
  </si>
  <si>
    <t>457-100-580 - Platinum Support</t>
  </si>
  <si>
    <t>DIGITAL ASSET MANAGEMENT CONTENT TRANSFORMATION SERVICES - VIDEO BUNDLE-Platinum Support</t>
  </si>
  <si>
    <t>457-100-573 - Standard Support</t>
  </si>
  <si>
    <t>DIGITAL ASSET MANAGEMENT DIGITAL ASSET MANAGER BUNDLE 1251-3000-Standard Support</t>
  </si>
  <si>
    <t>457-100-573 - Platinum Support</t>
  </si>
  <si>
    <t>DIGITAL ASSET MANAGEMENT DIGITAL ASSET MANAGER BUNDLE 1251-3000-Platinum Support</t>
  </si>
  <si>
    <t>457-100-569 - Standard Support</t>
  </si>
  <si>
    <t>DIGITAL ASSET MANAGEMENT DIGITAL ASSET MANAGER BUNDLE 1-50-Standard Support</t>
  </si>
  <si>
    <t>457-100-569 - Platinum Support</t>
  </si>
  <si>
    <t>DIGITAL ASSET MANAGEMENT DIGITAL ASSET MANAGER BUNDLE 1-50-Platinum Support</t>
  </si>
  <si>
    <t>457-100-571 - Standard Support</t>
  </si>
  <si>
    <t>DIGITAL ASSET MANAGEMENT DIGITAL ASSET MANAGER BUNDLE 201-500-Standard Support</t>
  </si>
  <si>
    <t>457-100-571 - Platinum Support</t>
  </si>
  <si>
    <t>DIGITAL ASSET MANAGEMENT DIGITAL ASSET MANAGER BUNDLE 201-500-Platinum Support</t>
  </si>
  <si>
    <t>457-100-576 - Standard Support</t>
  </si>
  <si>
    <t>DIGITAL ASSET MANAGEMENT DIGITAL ASSET MANAGER BUNDLE 25001-50000-Standard Support</t>
  </si>
  <si>
    <t>457-100-576 - Platinum Support</t>
  </si>
  <si>
    <t>DIGITAL ASSET MANAGEMENT DIGITAL ASSET MANAGER BUNDLE 25001-50000-Platinum Support</t>
  </si>
  <si>
    <t>457-100-574 - Standard Support</t>
  </si>
  <si>
    <t>DIGITAL ASSET MANAGEMENT DIGITAL ASSET MANAGER BUNDLE 3001-8500-Standard Support</t>
  </si>
  <si>
    <t>457-100-574 - Platinum Support</t>
  </si>
  <si>
    <t>DIGITAL ASSET MANAGEMENT DIGITAL ASSET MANAGER BUNDLE 3001-8500-Platinum Support</t>
  </si>
  <si>
    <t>457-100-577 - Standard Support</t>
  </si>
  <si>
    <t>DIGITAL ASSET MANAGEMENT DIGITAL ASSET MANAGER BUNDLE 50001-1000000-Standard Support</t>
  </si>
  <si>
    <t>457-100-577 - Platinum Support</t>
  </si>
  <si>
    <t>DIGITAL ASSET MANAGEMENT DIGITAL ASSET MANAGER BUNDLE 50001-1000000-Platinum Support</t>
  </si>
  <si>
    <t>457-100-572 - Standard Support</t>
  </si>
  <si>
    <t>DIGITAL ASSET MANAGEMENT DIGITAL ASSET MANAGER BUNDLE 501-1250-Standard Support</t>
  </si>
  <si>
    <t>457-100-572 - Platinum Support</t>
  </si>
  <si>
    <t>DIGITAL ASSET MANAGEMENT DIGITAL ASSET MANAGER BUNDLE 501-1250-Platinum Support</t>
  </si>
  <si>
    <t>457-100-570 - Standard Support</t>
  </si>
  <si>
    <t>DIGITAL ASSET MANAGEMENT DIGITAL ASSET MANAGER BUNDLE 51-200-Standard Support</t>
  </si>
  <si>
    <t>457-100-570 - Platinum Support</t>
  </si>
  <si>
    <t>DIGITAL ASSET MANAGEMENT DIGITAL ASSET MANAGER BUNDLE 51-200-Platinum Support</t>
  </si>
  <si>
    <t>457-100-575 - Standard Support</t>
  </si>
  <si>
    <t>DIGITAL ASSET MANAGEMENT DIGITAL ASSET MANAGER BUNDLE 8501-25000-Standard Support</t>
  </si>
  <si>
    <t>457-100-575 - Platinum Support</t>
  </si>
  <si>
    <t>DIGITAL ASSET MANAGEMENT DIGITAL ASSET MANAGER BUNDLE 8501-25000-Platinum Support</t>
  </si>
  <si>
    <t>456-101-525 - Standard Support</t>
  </si>
  <si>
    <t>DOCUMENT SCIENCES XDESIGN CLIENT-Standard Support</t>
  </si>
  <si>
    <t>456-101-525 - Platinum Support</t>
  </si>
  <si>
    <t>DOCUMENT SCIENCES XDESIGN CLIENT-Platinum Support</t>
  </si>
  <si>
    <t>457-100-322 - Standard Support</t>
  </si>
  <si>
    <t>DOCUMENT SCIENCES xDoc Departmental system-Standard Support</t>
  </si>
  <si>
    <t>457-100-322 - Platinum Support</t>
  </si>
  <si>
    <t>DOCUMENT SCIENCES xDoc Departmental system-Platinum Support</t>
  </si>
  <si>
    <t>456-101-864 - Standard Support</t>
  </si>
  <si>
    <t>DOCUMENT SCIENCES xDoc Departmental to Enterprise Lite-Standard Support</t>
  </si>
  <si>
    <t>456-101-864 - Platinum Support</t>
  </si>
  <si>
    <t>DOCUMENT SCIENCES xDoc Departmental to Enterprise Lite-Platinum Support</t>
  </si>
  <si>
    <t>456-101-863 - Standard Support</t>
  </si>
  <si>
    <t>DOCUMENT SCIENCES xDoc Departmental to Turbo Departmental-Standard Support</t>
  </si>
  <si>
    <t>456-101-863 - Platinum Support</t>
  </si>
  <si>
    <t>DOCUMENT SCIENCES xDoc Departmental to Turbo Departmental-Platinum Support</t>
  </si>
  <si>
    <t>457-100-321 - Standard Support</t>
  </si>
  <si>
    <t>DOCUMENT SCIENCES xDoc Dev-Test Configuration-Standard Support</t>
  </si>
  <si>
    <t>457-100-321 - Platinum Support</t>
  </si>
  <si>
    <t>DOCUMENT SCIENCES xDoc Dev-Test Configuration-Platinum Support</t>
  </si>
  <si>
    <t>457-100-324 - Standard Support</t>
  </si>
  <si>
    <t>DOCUMENT SCIENCES xDoc Enterprise Lite-Standard Support</t>
  </si>
  <si>
    <t>457-100-324 - Platinum Support</t>
  </si>
  <si>
    <t>DOCUMENT SCIENCES xDoc Enterprise Lite-Platinum Support</t>
  </si>
  <si>
    <t>457-100-320 - Standard Support</t>
  </si>
  <si>
    <t>DOCUMENT SCIENCES xDoc Starter Pack-Standard Support</t>
  </si>
  <si>
    <t>457-100-320 - Platinum Support</t>
  </si>
  <si>
    <t>DOCUMENT SCIENCES xDoc Starter Pack-Platinum Support</t>
  </si>
  <si>
    <t>456-101-860 - Standard Support</t>
  </si>
  <si>
    <t>DOCUMENT SCIENCES xDoc Starter Pack to Departmental-Standard Support</t>
  </si>
  <si>
    <t>456-101-860 - Platinum Support</t>
  </si>
  <si>
    <t>DOCUMENT SCIENCES xDoc Starter Pack to Departmental-Platinum Support</t>
  </si>
  <si>
    <t>456-101-862 - Standard Support</t>
  </si>
  <si>
    <t>DOCUMENT SCIENCES xDoc Starter Pack to Enterprise Lite-Standard Support</t>
  </si>
  <si>
    <t>456-101-862 - Platinum Support</t>
  </si>
  <si>
    <t>DOCUMENT SCIENCES xDoc Starter Pack to Enterprise Lite-Platinum Support</t>
  </si>
  <si>
    <t>456-101-861 - Standard Support</t>
  </si>
  <si>
    <t>DOCUMENT SCIENCES xDoc Starter Pack to Turbo Departmental-Standard Support</t>
  </si>
  <si>
    <t>456-101-861 - Platinum Support</t>
  </si>
  <si>
    <t>DOCUMENT SCIENCES xDoc Starter Pack to Turbo Departmental-Platinum Support</t>
  </si>
  <si>
    <t>457-100-323 - Standard Support</t>
  </si>
  <si>
    <t>DOCUMENT SCIENCES xDoc Turbo Departmental system-Standard Support</t>
  </si>
  <si>
    <t>457-100-323 - Platinum Support</t>
  </si>
  <si>
    <t>DOCUMENT SCIENCES xDoc Turbo Departmental system-Platinum Support</t>
  </si>
  <si>
    <t>456-101-865 - Standard Support</t>
  </si>
  <si>
    <t>DOCUMENT SCIENCES xDoc Turbo Departmental to Enterprise Lite-Standard Support</t>
  </si>
  <si>
    <t>456-101-865 - Platinum Support</t>
  </si>
  <si>
    <t>DOCUMENT SCIENCES xDoc Turbo Departmental to Enterprise Lite-Platinum Support</t>
  </si>
  <si>
    <t>456-101-583 - Standard Support</t>
  </si>
  <si>
    <t>DOCUMENT SCIENCES xPRESSFORMS UI SERVER-Standard Support</t>
  </si>
  <si>
    <t>456-101-583 - Platinum Support</t>
  </si>
  <si>
    <t>DOCUMENT SCIENCES xPRESSFORMS UI SERVER-Platinum Support</t>
  </si>
  <si>
    <t>456-101-914 - Standard Support</t>
  </si>
  <si>
    <t>DOCUMENT SCIENCES XPRESSFORMS UI SERVER DEV-TEST-Standard Support</t>
  </si>
  <si>
    <t>456-101-914 - Platinum Support</t>
  </si>
  <si>
    <t>DOCUMENT SCIENCES XPRESSFORMS UI SERVER DEV-TEST-Platinum Support</t>
  </si>
  <si>
    <t>456-101-915 - Standard Support</t>
  </si>
  <si>
    <t>DOCUMENT SCIENCES XPRESSFORMS UI SERVER RECOVERY-Standard Support</t>
  </si>
  <si>
    <t>456-101-915 - Platinum Support</t>
  </si>
  <si>
    <t>DOCUMENT SCIENCES XPRESSFORMS UI SERVER RECOVERY-Platinum Support</t>
  </si>
  <si>
    <t>456-101-582 - Standard Support</t>
  </si>
  <si>
    <t>DOCUMENT SCIENCES xPRESSFORMS USER-Standard Support</t>
  </si>
  <si>
    <t>456-101-582 - Platinum Support</t>
  </si>
  <si>
    <t>DOCUMENT SCIENCES xPRESSFORMS USER-Platinum Support</t>
  </si>
  <si>
    <t>456-101-916 - Standard Support</t>
  </si>
  <si>
    <t>DOCUMENT SCIENCES XPRESSFORMS USER DEV-TEST-Standard Support</t>
  </si>
  <si>
    <t>456-101-916 - Platinum Support</t>
  </si>
  <si>
    <t>DOCUMENT SCIENCES XPRESSFORMS USER DEV-TEST-Platinum Support</t>
  </si>
  <si>
    <t>456-101-917 - Standard Support</t>
  </si>
  <si>
    <t>DOCUMENT SCIENCES XPRESSFORMS USER RECOVERY-Standard Support</t>
  </si>
  <si>
    <t>456-101-917 - Platinum Support</t>
  </si>
  <si>
    <t>DOCUMENT SCIENCES XPRESSFORMS USER RECOVERY-Platinum Support</t>
  </si>
  <si>
    <t>456-101-537 - Standard Support</t>
  </si>
  <si>
    <t>DOCUMENT SCIENCES xPRESSION COMPUSET BRIDGE-Standard Support</t>
  </si>
  <si>
    <t>456-101-537 - Platinum Support</t>
  </si>
  <si>
    <t>DOCUMENT SCIENCES xPRESSION COMPUSET BRIDGE-Platinum Support</t>
  </si>
  <si>
    <t>456-101-539 - Standard Support</t>
  </si>
  <si>
    <t>DOCUMENT SCIENCES xPRESSION COMPUSET BRIDGE DEV-TEST-Standard Support</t>
  </si>
  <si>
    <t>456-101-539 - Platinum Support</t>
  </si>
  <si>
    <t>DOCUMENT SCIENCES xPRESSION COMPUSET BRIDGE DEV-TEST-Platinum Support</t>
  </si>
  <si>
    <t>456-101-566 - Standard Support</t>
  </si>
  <si>
    <t>DOCUMENT SCIENCES xPRESSION COMPUSET BRIDGE RECOVERY-Standard Support</t>
  </si>
  <si>
    <t>456-101-566 - Platinum Support</t>
  </si>
  <si>
    <t>DOCUMENT SCIENCES xPRESSION COMPUSET BRIDGE RECOVERY-Platinum Support</t>
  </si>
  <si>
    <t>456-101-532 - Standard Support</t>
  </si>
  <si>
    <t>DOCUMENT SCIENCES XPRESSION COMPUSET ENABLEMENT-Standard Support</t>
  </si>
  <si>
    <t>456-101-532 - Platinum Support</t>
  </si>
  <si>
    <t>DOCUMENT SCIENCES XPRESSION COMPUSET ENABLEMENT-Platinum Support</t>
  </si>
  <si>
    <t>456-101-560 - Standard Support</t>
  </si>
  <si>
    <t>DOCUMENT SCIENCES xPRESSION COMPUSET ENABLEMENT DEV-TEST-Standard Support</t>
  </si>
  <si>
    <t>456-101-560 - Platinum Support</t>
  </si>
  <si>
    <t>DOCUMENT SCIENCES xPRESSION COMPUSET ENABLEMENT DEV-TEST-Platinum Support</t>
  </si>
  <si>
    <t>456-101-561 - Standard Support</t>
  </si>
  <si>
    <t>DOCUMENT SCIENCES xPRESSION COMPUSET ENABLEMENT RECOVERY-Standard Support</t>
  </si>
  <si>
    <t>456-101-561 - Platinum Support</t>
  </si>
  <si>
    <t>DOCUMENT SCIENCES xPRESSION COMPUSET ENABLEMENT RECOVERY-Platinum Support</t>
  </si>
  <si>
    <t>456-101-963 - Standard Support</t>
  </si>
  <si>
    <t>DOCUMENT SCIENCES XPRESSION DOCUMENTUM EDITION ADD 2 CORES-Standard Support</t>
  </si>
  <si>
    <t>456-101-963 - Platinum Support</t>
  </si>
  <si>
    <t>DOCUMENT SCIENCES XPRESSION DOCUMENTUM EDITION ADD 2 CORES-Platinum Support</t>
  </si>
  <si>
    <t>456-101-961 - Standard Support</t>
  </si>
  <si>
    <t>DOCUMENT SCIENCES XPRESSION DOCUMENTUM EDITION DEV/TEST SERVER-Standard Support</t>
  </si>
  <si>
    <t>456-101-961 - Platinum Support</t>
  </si>
  <si>
    <t>DOCUMENT SCIENCES XPRESSION DOCUMENTUM EDITION DEV/TEST SERVER-Platinum Support</t>
  </si>
  <si>
    <t>456-101-962 - Standard Support</t>
  </si>
  <si>
    <t>DOCUMENT SCIENCES XPRESSION DOCUMENTUM EDITION RECOVERY SERVER-Standard Support</t>
  </si>
  <si>
    <t>456-101-962 - Platinum Support</t>
  </si>
  <si>
    <t>DOCUMENT SCIENCES XPRESSION DOCUMENTUM EDITION RECOVERY SERVER-Platinum Support</t>
  </si>
  <si>
    <t>456-101-960 - Standard Support</t>
  </si>
  <si>
    <t>DOCUMENT SCIENCES XPRESSION DOCUMENTUM EDITION SERVER FOR 4 CORES-Standard Support</t>
  </si>
  <si>
    <t>456-101-960 - Platinum Support</t>
  </si>
  <si>
    <t>DOCUMENT SCIENCES XPRESSION DOCUMENTUM EDITION SERVER FOR 4 CORES-Platinum Support</t>
  </si>
  <si>
    <t>456-101-520 - Standard Support</t>
  </si>
  <si>
    <t>DOCUMENT SCIENCES xPRESSION ENTERPRISE SERVER ADD 2 CORES-Standard Support</t>
  </si>
  <si>
    <t>456-101-520 - Platinum Support</t>
  </si>
  <si>
    <t>DOCUMENT SCIENCES xPRESSION ENTERPRISE SERVER ADD 2 CORES-Platinum Support</t>
  </si>
  <si>
    <t>457-100-301 - Standard Support</t>
  </si>
  <si>
    <t>DOCUMENT SCIENCES xPression Enterprise Server DEV-TEST-Standard Support</t>
  </si>
  <si>
    <t>457-100-301 - Platinum Support</t>
  </si>
  <si>
    <t>DOCUMENT SCIENCES xPression Enterprise Server DEV-TEST-Platinum Support</t>
  </si>
  <si>
    <t>457-100-300 - Standard Support</t>
  </si>
  <si>
    <t>DOCUMENT SCIENCES xPression Enterprise Server for 4 CORES-Standard Support</t>
  </si>
  <si>
    <t>457-100-300 - Platinum Support</t>
  </si>
  <si>
    <t>DOCUMENT SCIENCES xPression Enterprise Server for 4 CORES-Platinum Support</t>
  </si>
  <si>
    <t>457-100-302 - Standard Support</t>
  </si>
  <si>
    <t>DOCUMENT SCIENCES xPression Enterprise Server RECOVERY-Standard Support</t>
  </si>
  <si>
    <t>457-100-302 - Platinum Support</t>
  </si>
  <si>
    <t>DOCUMENT SCIENCES xPression Enterprise Server RECOVERY-Platinum Support</t>
  </si>
  <si>
    <t>456-101-530 - Standard Support</t>
  </si>
  <si>
    <t>DOCUMENT SCIENCES XPRESSO FOR DREAMWEAVER CLIENT-Standard Support</t>
  </si>
  <si>
    <t>456-101-530 - Platinum Support</t>
  </si>
  <si>
    <t>DOCUMENT SCIENCES XPRESSO FOR DREAMWEAVER CLIENT-Platinum Support</t>
  </si>
  <si>
    <t>456-101-529 - Standard Support</t>
  </si>
  <si>
    <t>DOCUMENT SCIENCES XPRESSO FOR INDESIGN CLIENT-Standard Support</t>
  </si>
  <si>
    <t>456-101-529 - Platinum Support</t>
  </si>
  <si>
    <t>DOCUMENT SCIENCES XPRESSO FOR INDESIGN CLIENT-Platinum Support</t>
  </si>
  <si>
    <t>456-101-526 - Standard Support</t>
  </si>
  <si>
    <t>DOCUMENT SCIENCES XPRESSO FOR WORD CLIENT-Standard Support</t>
  </si>
  <si>
    <t>456-101-526 - Platinum Support</t>
  </si>
  <si>
    <t>DOCUMENT SCIENCES XPRESSO FOR WORD CLIENT-Platinum Support</t>
  </si>
  <si>
    <t>456-101-531 - Standard Support</t>
  </si>
  <si>
    <t>DOCUMENT SCIENCES XPRESSO SERVER ADAPTER-Standard Support</t>
  </si>
  <si>
    <t>456-101-531 - Platinum Support</t>
  </si>
  <si>
    <t>DOCUMENT SCIENCES XPRESSO SERVER ADAPTER-Platinum Support</t>
  </si>
  <si>
    <t>456-101-554 - Standard Support</t>
  </si>
  <si>
    <t>DOCUMENT SCIENCES xPRESSO SERVER ADAPTER DEV-TEST-Standard Support</t>
  </si>
  <si>
    <t>456-101-554 - Platinum Support</t>
  </si>
  <si>
    <t>DOCUMENT SCIENCES xPRESSO SERVER ADAPTER DEV-TEST-Platinum Support</t>
  </si>
  <si>
    <t>456-101-555 - Standard Support</t>
  </si>
  <si>
    <t>DOCUMENT SCIENCES xPRESSO SERVER ADAPTER RECOVERY-Standard Support</t>
  </si>
  <si>
    <t>456-101-555 - Platinum Support</t>
  </si>
  <si>
    <t>DOCUMENT SCIENCES xPRESSO SERVER ADAPTER RECOVERY-Platinum Support</t>
  </si>
  <si>
    <t>456-101-521 - Standard Support</t>
  </si>
  <si>
    <t>DOCUMENT SCIENCES XRESPONSE SERVER-Standard Support</t>
  </si>
  <si>
    <t>456-101-521 - Platinum Support</t>
  </si>
  <si>
    <t>DOCUMENT SCIENCES XRESPONSE SERVER-Platinum Support</t>
  </si>
  <si>
    <t>456-101-579 - Standard Support</t>
  </si>
  <si>
    <t>DOCUMENT SCIENCES xRESPONSE SERVER DEV-TEST-Standard Support</t>
  </si>
  <si>
    <t>456-101-579 - Platinum Support</t>
  </si>
  <si>
    <t>DOCUMENT SCIENCES xRESPONSE SERVER DEV-TEST-Platinum Support</t>
  </si>
  <si>
    <t>456-101-580 - Standard Support</t>
  </si>
  <si>
    <t>DOCUMENT SCIENCES xRESPONSE SERVER RECOVERY-Standard Support</t>
  </si>
  <si>
    <t>456-101-580 - Platinum Support</t>
  </si>
  <si>
    <t>DOCUMENT SCIENCES xRESPONSE SERVER RECOVERY-Platinum Support</t>
  </si>
  <si>
    <t>456-101-522 - Standard Support</t>
  </si>
  <si>
    <t>DOCUMENT SCIENCES xRESPONSE USER-Standard Support</t>
  </si>
  <si>
    <t>456-101-522 - Platinum Support</t>
  </si>
  <si>
    <t>DOCUMENT SCIENCES xRESPONSE USER-Platinum Support</t>
  </si>
  <si>
    <t>456-101-918 - Standard Support</t>
  </si>
  <si>
    <t>DOCUMENT SCIENCES XRESPONSE USER DEV-TEST-Standard Support</t>
  </si>
  <si>
    <t>456-101-918 - Platinum Support</t>
  </si>
  <si>
    <t>DOCUMENT SCIENCES XRESPONSE USER DEV-TEST-Platinum Support</t>
  </si>
  <si>
    <t>456-101-919 - Standard Support</t>
  </si>
  <si>
    <t>DOCUMENT SCIENCES XRESPONSE USER RECOVERY-Standard Support</t>
  </si>
  <si>
    <t>456-101-919 - Platinum Support</t>
  </si>
  <si>
    <t>DOCUMENT SCIENCES XRESPONSE USER RECOVERY-Platinum Support</t>
  </si>
  <si>
    <t>456-101-523 - Standard Support</t>
  </si>
  <si>
    <t>DOCUMENT SCIENCES XREVISE SERVER-Standard Support</t>
  </si>
  <si>
    <t>456-101-523 - Platinum Support</t>
  </si>
  <si>
    <t>DOCUMENT SCIENCES XREVISE SERVER-Platinum Support</t>
  </si>
  <si>
    <t>456-101-571 - Standard Support</t>
  </si>
  <si>
    <t>DOCUMENT SCIENCES xREVISE SERVER DEV-TEST-Standard Support</t>
  </si>
  <si>
    <t>456-101-571 - Platinum Support</t>
  </si>
  <si>
    <t>DOCUMENT SCIENCES xREVISE SERVER DEV-TEST-Platinum Support</t>
  </si>
  <si>
    <t>456-101-581 - Standard Support</t>
  </si>
  <si>
    <t>DOCUMENT SCIENCES xREVISE SERVER RECOVERY-Standard Support</t>
  </si>
  <si>
    <t>456-101-581 - Platinum Support</t>
  </si>
  <si>
    <t>DOCUMENT SCIENCES xREVISE SERVER RECOVERY-Platinum Support</t>
  </si>
  <si>
    <t>456-101-524 - Standard Support</t>
  </si>
  <si>
    <t>DOCUMENT SCIENCES xREVISE USER-Standard Support</t>
  </si>
  <si>
    <t>456-101-524 - Platinum Support</t>
  </si>
  <si>
    <t>DOCUMENT SCIENCES xREVISE USER-Platinum Support</t>
  </si>
  <si>
    <t>456-101-920 - Standard Support</t>
  </si>
  <si>
    <t>DOCUMENT SCIENCES XREVISE USER DEV-TEST-Standard Support</t>
  </si>
  <si>
    <t>456-101-920 - Platinum Support</t>
  </si>
  <si>
    <t>DOCUMENT SCIENCES XREVISE USER DEV-TEST-Platinum Support</t>
  </si>
  <si>
    <t>456-101-921 - Standard Support</t>
  </si>
  <si>
    <t>DOCUMENT SCIENCES XREVISE USER RECOVERY-Standard Support</t>
  </si>
  <si>
    <t>456-101-921 - Platinum Support</t>
  </si>
  <si>
    <t>DOCUMENT SCIENCES XREVISE USER RECOVERY-Platinum Support</t>
  </si>
  <si>
    <t>456-101-585 - Standard Support</t>
  </si>
  <si>
    <t>DOCUMENT SCIENCES xTEST AFP FOR SERVER-Standard Support</t>
  </si>
  <si>
    <t>456-101-585 - Platinum Support</t>
  </si>
  <si>
    <t>DOCUMENT SCIENCES xTEST AFP FOR SERVER-Platinum Support</t>
  </si>
  <si>
    <t>456-101-590 - Standard Support</t>
  </si>
  <si>
    <t>DOCUMENT SCIENCES xTEST AFP FOR WORKSTATION-Standard Support</t>
  </si>
  <si>
    <t>456-101-590 - Platinum Support</t>
  </si>
  <si>
    <t>DOCUMENT SCIENCES xTEST AFP FOR WORKSTATION-Platinum Support</t>
  </si>
  <si>
    <t>456-101-584 - Standard Support</t>
  </si>
  <si>
    <t>DOCUMENT SCIENCES xTEST CONCURRENT USER FOR SERVER-Standard Support</t>
  </si>
  <si>
    <t>456-101-584 - Platinum Support</t>
  </si>
  <si>
    <t>DOCUMENT SCIENCES xTEST CONCURRENT USER FOR SERVER-Platinum Support</t>
  </si>
  <si>
    <t>456-101-589 - Standard Support</t>
  </si>
  <si>
    <t>DOCUMENT SCIENCES xTEST METACODE FOR SERVER-Standard Support</t>
  </si>
  <si>
    <t>456-101-589 - Platinum Support</t>
  </si>
  <si>
    <t>DOCUMENT SCIENCES xTEST METACODE FOR SERVER-Platinum Support</t>
  </si>
  <si>
    <t>456-101-594 - Standard Support</t>
  </si>
  <si>
    <t>DOCUMENT SCIENCES xTEST METACODE FOR WORKSTATION-Standard Support</t>
  </si>
  <si>
    <t>456-101-594 - Platinum Support</t>
  </si>
  <si>
    <t>DOCUMENT SCIENCES xTEST METACODE FOR WORKSTATION-Platinum Support</t>
  </si>
  <si>
    <t>456-101-588 - Standard Support</t>
  </si>
  <si>
    <t>DOCUMENT SCIENCES xTEST PCL FOR SERVER-Standard Support</t>
  </si>
  <si>
    <t>456-101-588 - Platinum Support</t>
  </si>
  <si>
    <t>DOCUMENT SCIENCES xTEST PCL FOR SERVER-Platinum Support</t>
  </si>
  <si>
    <t>456-101-593 - Standard Support</t>
  </si>
  <si>
    <t>DOCUMENT SCIENCES xTEST PCL FOR WORKSTATION-Standard Support</t>
  </si>
  <si>
    <t>456-101-593 - Platinum Support</t>
  </si>
  <si>
    <t>DOCUMENT SCIENCES xTEST PCL FOR WORKSTATION-Platinum Support</t>
  </si>
  <si>
    <t>456-101-587 - Standard Support</t>
  </si>
  <si>
    <t>DOCUMENT SCIENCES xTEST PDF FOR SERVER-Standard Support</t>
  </si>
  <si>
    <t>456-101-587 - Platinum Support</t>
  </si>
  <si>
    <t>DOCUMENT SCIENCES xTEST PDF FOR SERVER-Platinum Support</t>
  </si>
  <si>
    <t>456-101-592 - Standard Support</t>
  </si>
  <si>
    <t>DOCUMENT SCIENCES xTEST PDF FOR WORKSTATION-Standard Support</t>
  </si>
  <si>
    <t>456-101-592 - Platinum Support</t>
  </si>
  <si>
    <t>DOCUMENT SCIENCES xTEST PDF FOR WORKSTATION-Platinum Support</t>
  </si>
  <si>
    <t>456-101-586 - Standard Support</t>
  </si>
  <si>
    <t>DOCUMENT SCIENCES xTEST PS FOR SERVER-Standard Support</t>
  </si>
  <si>
    <t>456-101-586 - Platinum Support</t>
  </si>
  <si>
    <t>DOCUMENT SCIENCES xTEST PS FOR SERVER-Platinum Support</t>
  </si>
  <si>
    <t>456-101-591 - Standard Support</t>
  </si>
  <si>
    <t>DOCUMENT SCIENCES xTEST PS FOR WORKSTATION-Standard Support</t>
  </si>
  <si>
    <t>456-101-591 - Platinum Support</t>
  </si>
  <si>
    <t>DOCUMENT SCIENCES xTEST PS FOR WORKSTATION-Platinum Support</t>
  </si>
  <si>
    <t>457-100-325 - Standard Support</t>
  </si>
  <si>
    <t>DOCUMENT SCIENCES xTest Server-Standard Support</t>
  </si>
  <si>
    <t>457-100-325 - Platinum Support</t>
  </si>
  <si>
    <t>DOCUMENT SCIENCES xTest Server-Platinum Support</t>
  </si>
  <si>
    <t>457-100-326 - Standard Support</t>
  </si>
  <si>
    <t>DOCUMENT SCIENCES xTest Workstation-Standard Support</t>
  </si>
  <si>
    <t>457-100-326 - Platinum Support</t>
  </si>
  <si>
    <t>DOCUMENT SCIENCES xTest Workstation-Platinum Support</t>
  </si>
  <si>
    <t>457-100-375 - Standard Support</t>
  </si>
  <si>
    <t>DOCUMENTUM IRM CLIENT BUNDLE - 1251-3000-Standard Support</t>
  </si>
  <si>
    <t>457-100-375 - Platinum Support</t>
  </si>
  <si>
    <t>DOCUMENTUM IRM CLIENT BUNDLE - 1251-3000-Platinum Support</t>
  </si>
  <si>
    <t>457-100-371 - Standard Support</t>
  </si>
  <si>
    <t>DOCUMENTUM IRM CLIENT BUNDLE - 1-50-Standard Support</t>
  </si>
  <si>
    <t>457-100-371 - Platinum Support</t>
  </si>
  <si>
    <t>DOCUMENTUM IRM CLIENT BUNDLE - 1-50-Platinum Support</t>
  </si>
  <si>
    <t>457-100-373 - Standard Support</t>
  </si>
  <si>
    <t>DOCUMENTUM IRM CLIENT BUNDLE - 201-500-Standard Support</t>
  </si>
  <si>
    <t>457-100-373 - Platinum Support</t>
  </si>
  <si>
    <t>DOCUMENTUM IRM CLIENT BUNDLE - 201-500-Platinum Support</t>
  </si>
  <si>
    <t>457-100-378 - Standard Support</t>
  </si>
  <si>
    <t>DOCUMENTUM IRM CLIENT BUNDLE - 25001-50000-Standard Support</t>
  </si>
  <si>
    <t>457-100-378 - Platinum Support</t>
  </si>
  <si>
    <t>DOCUMENTUM IRM CLIENT BUNDLE - 25001-50000-Platinum Support</t>
  </si>
  <si>
    <t>457-100-376 - Standard Support</t>
  </si>
  <si>
    <t>DOCUMENTUM IRM CLIENT BUNDLE - 3001-8500-Standard Support</t>
  </si>
  <si>
    <t>457-100-376 - Platinum Support</t>
  </si>
  <si>
    <t>DOCUMENTUM IRM CLIENT BUNDLE - 3001-8500-Platinum Support</t>
  </si>
  <si>
    <t>457-100-379 - Standard Support</t>
  </si>
  <si>
    <t>DOCUMENTUM IRM CLIENT BUNDLE - 50001-1000000-Standard Support</t>
  </si>
  <si>
    <t>457-100-379 - Platinum Support</t>
  </si>
  <si>
    <t>DOCUMENTUM IRM CLIENT BUNDLE - 50001-1000000-Platinum Support</t>
  </si>
  <si>
    <t>457-100-374 - Standard Support</t>
  </si>
  <si>
    <t>DOCUMENTUM IRM CLIENT BUNDLE - 501-1250-Standard Support</t>
  </si>
  <si>
    <t>457-100-374 - Platinum Support</t>
  </si>
  <si>
    <t>DOCUMENTUM IRM CLIENT BUNDLE - 501-1250-Platinum Support</t>
  </si>
  <si>
    <t>457-100-372 - Standard Support</t>
  </si>
  <si>
    <t>DOCUMENTUM IRM CLIENT BUNDLE - 51-200-Standard Support</t>
  </si>
  <si>
    <t>457-100-372 - Platinum Support</t>
  </si>
  <si>
    <t>DOCUMENTUM IRM CLIENT BUNDLE - 51-200-Platinum Support</t>
  </si>
  <si>
    <t>457-100-377 - Standard Support</t>
  </si>
  <si>
    <t>DOCUMENTUM IRM CLIENT BUNDLE - 8501-25000-Standard Support</t>
  </si>
  <si>
    <t>457-100-377 - Platinum Support</t>
  </si>
  <si>
    <t>DOCUMENTUM IRM CLIENT BUNDLE - 8501-25000-Platinum Support</t>
  </si>
  <si>
    <t>457-100-630 - Standard Support</t>
  </si>
  <si>
    <t>DOCUMENTUM PLATFORM APP SPECIFIC 1251-3000-Standard Support</t>
  </si>
  <si>
    <t>457-100-630 - Platinum Support</t>
  </si>
  <si>
    <t>DOCUMENTUM PLATFORM APP SPECIFIC 1251-3000-Platinum Support</t>
  </si>
  <si>
    <t>457-100-626 - Standard Support</t>
  </si>
  <si>
    <t>DOCUMENTUM PLATFORM APP SPECIFIC 1-50-Standard Support</t>
  </si>
  <si>
    <t>457-100-626 - Platinum Support</t>
  </si>
  <si>
    <t>DOCUMENTUM PLATFORM APP SPECIFIC 1-50-Platinum Support</t>
  </si>
  <si>
    <t>457-100-628 - Standard Support</t>
  </si>
  <si>
    <t>DOCUMENTUM PLATFORM APP SPECIFIC 201-500-Standard Support</t>
  </si>
  <si>
    <t>457-100-628 - Platinum Support</t>
  </si>
  <si>
    <t>DOCUMENTUM PLATFORM APP SPECIFIC 201-500-Platinum Support</t>
  </si>
  <si>
    <t>457-100-633 - Standard Support</t>
  </si>
  <si>
    <t>DOCUMENTUM PLATFORM APP SPECIFIC 25001-50000-Standard Support</t>
  </si>
  <si>
    <t>457-100-633 - Platinum Support</t>
  </si>
  <si>
    <t>DOCUMENTUM PLATFORM APP SPECIFIC 25001-50000-Platinum Support</t>
  </si>
  <si>
    <t>457-100-631 - Standard Support</t>
  </si>
  <si>
    <t>DOCUMENTUM PLATFORM APP SPECIFIC 3001-8500-Standard Support</t>
  </si>
  <si>
    <t>457-100-631 - Platinum Support</t>
  </si>
  <si>
    <t>DOCUMENTUM PLATFORM APP SPECIFIC 3001-8500-Platinum Support</t>
  </si>
  <si>
    <t>457-100-634 - Standard Support</t>
  </si>
  <si>
    <t>DOCUMENTUM PLATFORM APP SPECIFIC 50001-1000000-Standard Support</t>
  </si>
  <si>
    <t>457-100-634 - Platinum Support</t>
  </si>
  <si>
    <t>DOCUMENTUM PLATFORM APP SPECIFIC 50001-1000000-Platinum Support</t>
  </si>
  <si>
    <t>457-100-629 - Standard Support</t>
  </si>
  <si>
    <t>DOCUMENTUM PLATFORM APP SPECIFIC 501-1250-Standard Support</t>
  </si>
  <si>
    <t>457-100-629 - Platinum Support</t>
  </si>
  <si>
    <t>DOCUMENTUM PLATFORM APP SPECIFIC 501-1250-Platinum Support</t>
  </si>
  <si>
    <t>457-100-627 - Standard Support</t>
  </si>
  <si>
    <t>DOCUMENTUM PLATFORM APP SPECIFIC 51-200-Standard Support</t>
  </si>
  <si>
    <t>457-100-627 - Platinum Support</t>
  </si>
  <si>
    <t>DOCUMENTUM PLATFORM APP SPECIFIC 51-200-Platinum Support</t>
  </si>
  <si>
    <t>457-100-632 - Standard Support</t>
  </si>
  <si>
    <t>DOCUMENTUM PLATFORM APP SPECIFIC 8501-25000-Standard Support</t>
  </si>
  <si>
    <t>457-100-632 - Platinum Support</t>
  </si>
  <si>
    <t>DOCUMENTUM PLATFORM APP SPECIFIC 8501-25000-Platinum Support</t>
  </si>
  <si>
    <t>457-100-355 - Standard Support</t>
  </si>
  <si>
    <t>DOCUMENTUM PLATFORM BUNDLE - 1251-3000-Standard Support</t>
  </si>
  <si>
    <t>457-100-355 - Platinum Support</t>
  </si>
  <si>
    <t>DOCUMENTUM PLATFORM BUNDLE - 1251-3000-Platinum Support</t>
  </si>
  <si>
    <t>457-100-351 - Standard Support</t>
  </si>
  <si>
    <t>DOCUMENTUM PLATFORM BUNDLE - 1-50-Standard Support</t>
  </si>
  <si>
    <t>457-100-351 - Platinum Support</t>
  </si>
  <si>
    <t>DOCUMENTUM PLATFORM BUNDLE - 1-50-Platinum Support</t>
  </si>
  <si>
    <t>457-100-353 - Standard Support</t>
  </si>
  <si>
    <t>DOCUMENTUM PLATFORM BUNDLE - 201-500-Standard Support</t>
  </si>
  <si>
    <t>457-100-353 - Platinum Support</t>
  </si>
  <si>
    <t>DOCUMENTUM PLATFORM BUNDLE - 201-500-Platinum Support</t>
  </si>
  <si>
    <t>457-100-358 - Standard Support</t>
  </si>
  <si>
    <t>DOCUMENTUM PLATFORM BUNDLE - 25001-50000-Standard Support</t>
  </si>
  <si>
    <t>457-100-358 - Platinum Support</t>
  </si>
  <si>
    <t>DOCUMENTUM PLATFORM BUNDLE - 25001-50000-Platinum Support</t>
  </si>
  <si>
    <t>457-100-356 - Standard Support</t>
  </si>
  <si>
    <t>DOCUMENTUM PLATFORM BUNDLE - 3001-8500-Standard Support</t>
  </si>
  <si>
    <t>457-100-356 - Platinum Support</t>
  </si>
  <si>
    <t>DOCUMENTUM PLATFORM BUNDLE - 3001-8500-Platinum Support</t>
  </si>
  <si>
    <t>457-100-359 - Standard Support</t>
  </si>
  <si>
    <t>DOCUMENTUM PLATFORM BUNDLE - 50001-1000000-Standard Support</t>
  </si>
  <si>
    <t>457-100-359 - Platinum Support</t>
  </si>
  <si>
    <t>DOCUMENTUM PLATFORM BUNDLE - 50001-1000000-Platinum Support</t>
  </si>
  <si>
    <t>457-100-354 - Standard Support</t>
  </si>
  <si>
    <t>DOCUMENTUM PLATFORM BUNDLE - 501-1250-Standard Support</t>
  </si>
  <si>
    <t>457-100-354 - Platinum Support</t>
  </si>
  <si>
    <t>DOCUMENTUM PLATFORM BUNDLE - 501-1250-Platinum Support</t>
  </si>
  <si>
    <t>457-100-352 - Standard Support</t>
  </si>
  <si>
    <t>DOCUMENTUM PLATFORM BUNDLE - 51-200-Standard Support</t>
  </si>
  <si>
    <t>457-100-352 - Platinum Support</t>
  </si>
  <si>
    <t>DOCUMENTUM PLATFORM BUNDLE - 51-200-Platinum Support</t>
  </si>
  <si>
    <t>457-100-357 - Standard Support</t>
  </si>
  <si>
    <t>DOCUMENTUM PLATFORM BUNDLE - 8501-25000-Standard Support</t>
  </si>
  <si>
    <t>457-100-357 - Platinum Support</t>
  </si>
  <si>
    <t>DOCUMENTUM PLATFORM BUNDLE - 8501-25000-Platinum Support</t>
  </si>
  <si>
    <t>457-100-657 - Standard Support</t>
  </si>
  <si>
    <t>DOCUMENTUM PLATFORM UPGRADE BUNDLE - 1251-3000-Standard Support</t>
  </si>
  <si>
    <t>457-100-657 - Platinum Support</t>
  </si>
  <si>
    <t>DOCUMENTUM PLATFORM UPGRADE BUNDLE - 1251-3000-Platinum Support</t>
  </si>
  <si>
    <t>457-100-653 - Standard Support</t>
  </si>
  <si>
    <t>DOCUMENTUM PLATFORM UPGRADE BUNDLE - 1-50-Standard Support</t>
  </si>
  <si>
    <t>457-100-653 - Platinum Support</t>
  </si>
  <si>
    <t>DOCUMENTUM PLATFORM UPGRADE BUNDLE - 1-50-Platinum Support</t>
  </si>
  <si>
    <t>457-100-655 - Standard Support</t>
  </si>
  <si>
    <t>DOCUMENTUM PLATFORM UPGRADE BUNDLE - 201-500-Standard Support</t>
  </si>
  <si>
    <t>457-100-655 - Platinum Support</t>
  </si>
  <si>
    <t>DOCUMENTUM PLATFORM UPGRADE BUNDLE - 201-500-Platinum Support</t>
  </si>
  <si>
    <t>457-100-660 - Standard Support</t>
  </si>
  <si>
    <t>DOCUMENTUM PLATFORM UPGRADE BUNDLE - 25001-50000-Standard Support</t>
  </si>
  <si>
    <t>457-100-660 - Platinum Support</t>
  </si>
  <si>
    <t>DOCUMENTUM PLATFORM UPGRADE BUNDLE - 25001-50000-Platinum Support</t>
  </si>
  <si>
    <t>457-100-658 - Standard Support</t>
  </si>
  <si>
    <t>DOCUMENTUM PLATFORM UPGRADE BUNDLE - 3001-8500-Standard Support</t>
  </si>
  <si>
    <t>457-100-658 - Platinum Support</t>
  </si>
  <si>
    <t>DOCUMENTUM PLATFORM UPGRADE BUNDLE - 3001-8500-Platinum Support</t>
  </si>
  <si>
    <t>457-100-661 - Standard Support</t>
  </si>
  <si>
    <t>DOCUMENTUM PLATFORM UPGRADE BUNDLE - 50001 - 100M-Standard Support</t>
  </si>
  <si>
    <t>457-100-661 - Platinum Support</t>
  </si>
  <si>
    <t>DOCUMENTUM PLATFORM UPGRADE BUNDLE - 50001 - 100M-Platinum Support</t>
  </si>
  <si>
    <t>457-100-656 - Standard Support</t>
  </si>
  <si>
    <t>DOCUMENTUM PLATFORM UPGRADE BUNDLE - 501-1250-Standard Support</t>
  </si>
  <si>
    <t>457-100-656 - Platinum Support</t>
  </si>
  <si>
    <t>DOCUMENTUM PLATFORM UPGRADE BUNDLE - 501-1250-Platinum Support</t>
  </si>
  <si>
    <t>457-100-654 - Standard Support</t>
  </si>
  <si>
    <t>DOCUMENTUM PLATFORM UPGRADE BUNDLE - 51-200-Standard Support</t>
  </si>
  <si>
    <t>457-100-654 - Platinum Support</t>
  </si>
  <si>
    <t>DOCUMENTUM PLATFORM UPGRADE BUNDLE - 51-200-Platinum Support</t>
  </si>
  <si>
    <t>457-100-659 - Standard Support</t>
  </si>
  <si>
    <t>DOCUMENTUM PLATFORM UPGRADE BUNDLE - 8501-25000-Standard Support</t>
  </si>
  <si>
    <t>457-100-659 - Platinum Support</t>
  </si>
  <si>
    <t>DOCUMENTUM PLATFORM UPGRADE BUNDLE - 8501-25000-Platinum Support</t>
  </si>
  <si>
    <t>457-100-415 - Standard Support</t>
  </si>
  <si>
    <t>DOCUMENTUM TRUSTED CONTENT SVCS (1251-3000)-Standard Support</t>
  </si>
  <si>
    <t>457-100-415 - Platinum Support</t>
  </si>
  <si>
    <t>DOCUMENTUM TRUSTED CONTENT SVCS (1251-3000)-Platinum Support</t>
  </si>
  <si>
    <t>457-100-411 - Standard Support</t>
  </si>
  <si>
    <t>DOCUMENTUM TRUSTED CONTENT SVCS (1-50)-Standard Support</t>
  </si>
  <si>
    <t>457-100-411 - Platinum Support</t>
  </si>
  <si>
    <t>DOCUMENTUM TRUSTED CONTENT SVCS (1-50)-Platinum Support</t>
  </si>
  <si>
    <t>457-100-413 - Standard Support</t>
  </si>
  <si>
    <t>DOCUMENTUM TRUSTED CONTENT SVCS (201-500)-Standard Support</t>
  </si>
  <si>
    <t>457-100-413 - Platinum Support</t>
  </si>
  <si>
    <t>DOCUMENTUM TRUSTED CONTENT SVCS (201-500)-Platinum Support</t>
  </si>
  <si>
    <t>457-100-418 - Standard Support</t>
  </si>
  <si>
    <t>DOCUMENTUM TRUSTED CONTENT SVCS (25001-50000)-Standard Support</t>
  </si>
  <si>
    <t>457-100-418 - Platinum Support</t>
  </si>
  <si>
    <t>DOCUMENTUM TRUSTED CONTENT SVCS (25001-50000)-Platinum Support</t>
  </si>
  <si>
    <t>457-100-416 - Standard Support</t>
  </si>
  <si>
    <t>DOCUMENTUM TRUSTED CONTENT SVCS (3001-8500)-Standard Support</t>
  </si>
  <si>
    <t>457-100-416 - Platinum Support</t>
  </si>
  <si>
    <t>DOCUMENTUM TRUSTED CONTENT SVCS (3001-8500)-Platinum Support</t>
  </si>
  <si>
    <t>457-100-419 - Standard Support</t>
  </si>
  <si>
    <t>DOCUMENTUM TRUSTED CONTENT SVCS (50001-1000000)-Standard Support</t>
  </si>
  <si>
    <t>457-100-419 - Platinum Support</t>
  </si>
  <si>
    <t>DOCUMENTUM TRUSTED CONTENT SVCS (50001-1000000)-Platinum Support</t>
  </si>
  <si>
    <t>457-100-414 - Standard Support</t>
  </si>
  <si>
    <t>DOCUMENTUM TRUSTED CONTENT SVCS (501-1250)-Standard Support</t>
  </si>
  <si>
    <t>457-100-414 - Platinum Support</t>
  </si>
  <si>
    <t>DOCUMENTUM TRUSTED CONTENT SVCS (501-1250)-Platinum Support</t>
  </si>
  <si>
    <t>457-100-412 - Standard Support</t>
  </si>
  <si>
    <t>DOCUMENTUM TRUSTED CONTENT SVCS (51-200)-Standard Support</t>
  </si>
  <si>
    <t>457-100-412 - Platinum Support</t>
  </si>
  <si>
    <t>DOCUMENTUM TRUSTED CONTENT SVCS (51-200)-Platinum Support</t>
  </si>
  <si>
    <t>457-100-417 - Standard Support</t>
  </si>
  <si>
    <t>DOCUMENTUM TRUSTED CONTENT SVCS (8501-25000)-Standard Support</t>
  </si>
  <si>
    <t>457-100-417 - Platinum Support</t>
  </si>
  <si>
    <t>DOCUMENTUM TRUSTED CONTENT SVCS (8501-25000)-Platinum Support</t>
  </si>
  <si>
    <t>457-100-603 - Standard Support</t>
  </si>
  <si>
    <t>DOCUMENTUM WEBTOP APP SPECIFIC - 1251-3000-Standard Support</t>
  </si>
  <si>
    <t>457-100-603 - Platinum Support</t>
  </si>
  <si>
    <t>DOCUMENTUM WEBTOP APP SPECIFIC - 1251-3000-Platinum Support</t>
  </si>
  <si>
    <t>457-100-599 - Standard Support</t>
  </si>
  <si>
    <t>DOCUMENTUM WEBTOP APP SPECIFIC - 1-50-Standard Support</t>
  </si>
  <si>
    <t>457-100-599 - Platinum Support</t>
  </si>
  <si>
    <t>DOCUMENTUM WEBTOP APP SPECIFIC - 1-50-Platinum Support</t>
  </si>
  <si>
    <t>457-100-601 - Standard Support</t>
  </si>
  <si>
    <t>DOCUMENTUM WEBTOP APP SPECIFIC - 201-500-Standard Support</t>
  </si>
  <si>
    <t>457-100-601 - Platinum Support</t>
  </si>
  <si>
    <t>DOCUMENTUM WEBTOP APP SPECIFIC - 201-500-Platinum Support</t>
  </si>
  <si>
    <t>457-100-606 - Standard Support</t>
  </si>
  <si>
    <t>DOCUMENTUM WEBTOP APP SPECIFIC - 25001-50000-Standard Support</t>
  </si>
  <si>
    <t>457-100-606 - Platinum Support</t>
  </si>
  <si>
    <t>DOCUMENTUM WEBTOP APP SPECIFIC - 25001-50000-Platinum Support</t>
  </si>
  <si>
    <t>457-100-604 - Standard Support</t>
  </si>
  <si>
    <t>DOCUMENTUM WEBTOP APP SPECIFIC - 3001-8500-Standard Support</t>
  </si>
  <si>
    <t>457-100-604 - Platinum Support</t>
  </si>
  <si>
    <t>DOCUMENTUM WEBTOP APP SPECIFIC - 3001-8500-Platinum Support</t>
  </si>
  <si>
    <t>457-100-607 - Standard Support</t>
  </si>
  <si>
    <t>DOCUMENTUM WEBTOP APP SPECIFIC - 50001-1000000-Standard Support</t>
  </si>
  <si>
    <t>457-100-607 - Platinum Support</t>
  </si>
  <si>
    <t>DOCUMENTUM WEBTOP APP SPECIFIC - 50001-1000000-Platinum Support</t>
  </si>
  <si>
    <t>457-100-602 - Standard Support</t>
  </si>
  <si>
    <t>DOCUMENTUM WEBTOP APP SPECIFIC - 501-1250-Standard Support</t>
  </si>
  <si>
    <t>457-100-602 - Platinum Support</t>
  </si>
  <si>
    <t>DOCUMENTUM WEBTOP APP SPECIFIC - 501-1250-Platinum Support</t>
  </si>
  <si>
    <t>457-100-600 - Standard Support</t>
  </si>
  <si>
    <t>DOCUMENTUM WEBTOP APP SPECIFIC - 51-200-Standard Support</t>
  </si>
  <si>
    <t>457-100-600 - Platinum Support</t>
  </si>
  <si>
    <t>DOCUMENTUM WEBTOP APP SPECIFIC - 51-200-Platinum Support</t>
  </si>
  <si>
    <t>457-100-605 - Standard Support</t>
  </si>
  <si>
    <t>DOCUMENTUM WEBTOP APP SPECIFIC - 8501-25000-Standard Support</t>
  </si>
  <si>
    <t>457-100-605 - Platinum Support</t>
  </si>
  <si>
    <t>DOCUMENTUM WEBTOP APP SPECIFIC - 8501-25000-Platinum Support</t>
  </si>
  <si>
    <t>457-100-671 - Standard Support</t>
  </si>
  <si>
    <t>DOCUMENTUM WEBTOP UPGRADE BUNDLE - 1-50-Standard Support</t>
  </si>
  <si>
    <t>457-100-671 - Platinum Support</t>
  </si>
  <si>
    <t>DOCUMENTUM WEBTOP UPGRADE BUNDLE - 1-50-Platinum Support</t>
  </si>
  <si>
    <t>457-100-674 - Standard Support</t>
  </si>
  <si>
    <t>DOCUMENTUM WEBTOP UPGRADE BUNDLE - 201-500-Standard Support</t>
  </si>
  <si>
    <t>457-100-674 - Platinum Support</t>
  </si>
  <si>
    <t>DOCUMENTUM WEBTOP UPGRADE BUNDLE - 201-500-Platinum Support</t>
  </si>
  <si>
    <t>457-100-679 - Standard Support</t>
  </si>
  <si>
    <t>DOCUMENTUM WEBTOP UPGRADE BUNDLE - 25001-50000-Standard Support</t>
  </si>
  <si>
    <t>457-100-679 - Platinum Support</t>
  </si>
  <si>
    <t>DOCUMENTUM WEBTOP UPGRADE BUNDLE - 25001-50000-Platinum Support</t>
  </si>
  <si>
    <t>457-100-677 - Standard Support</t>
  </si>
  <si>
    <t>DOCUMENTUM WEBTOP UPGRADE BUNDLE - 3001-8500-Standard Support</t>
  </si>
  <si>
    <t>457-100-677 - Platinum Support</t>
  </si>
  <si>
    <t>DOCUMENTUM WEBTOP UPGRADE BUNDLE - 3001-8500-Platinum Support</t>
  </si>
  <si>
    <t>457-100-680 - Standard Support</t>
  </si>
  <si>
    <t>DOCUMENTUM WEBTOP UPGRADE BUNDLE - 50001 - 100M-Standard Support</t>
  </si>
  <si>
    <t>457-100-680 - Platinum Support</t>
  </si>
  <si>
    <t>DOCUMENTUM WEBTOP UPGRADE BUNDLE - 50001 - 100M-Platinum Support</t>
  </si>
  <si>
    <t>457-100-675 - Standard Support</t>
  </si>
  <si>
    <t>DOCUMENTUM WEBTOP UPGRADE BUNDLE - 501-1250-Standard Support</t>
  </si>
  <si>
    <t>457-100-675 - Platinum Support</t>
  </si>
  <si>
    <t>DOCUMENTUM WEBTOP UPGRADE BUNDLE - 501-1250-Platinum Support</t>
  </si>
  <si>
    <t>457-100-673 - Standard Support</t>
  </si>
  <si>
    <t>DOCUMENTUM WEBTOP UPGRADE BUNDLE - 51-200-Standard Support</t>
  </si>
  <si>
    <t>457-100-673 - Platinum Support</t>
  </si>
  <si>
    <t>DOCUMENTUM WEBTOP UPGRADE BUNDLE - 51-200-Platinum Support</t>
  </si>
  <si>
    <t>457-100-678 - Standard Support</t>
  </si>
  <si>
    <t>DOCUMENTUM WEBTOP UPGRADE BUNDLE - 8501-25000-Standard Support</t>
  </si>
  <si>
    <t>457-100-678 - Platinum Support</t>
  </si>
  <si>
    <t>DOCUMENTUM WEBTOP UPGRADE BUNDLE - 8501-25000-Platinum Support</t>
  </si>
  <si>
    <t>457-100-676 - Standard Support</t>
  </si>
  <si>
    <t>DOCUMENTUM WEBTOP UPGRADE BUNDLE- 1251-3000-Standard Support</t>
  </si>
  <si>
    <t>457-100-676 - Platinum Support</t>
  </si>
  <si>
    <t>DOCUMENTUM WEBTOP UPGRADE BUNDLE- 1251-3000-Platinum Support</t>
  </si>
  <si>
    <t>457-100-350 - Standard Support</t>
  </si>
  <si>
    <t>DOCUMENTUM XCP ANALYZER SUITE-Standard Support</t>
  </si>
  <si>
    <t>457-100-350 - Platinum Support</t>
  </si>
  <si>
    <t>DOCUMENTUM XCP ANALYZER SUITE-Platinum Support</t>
  </si>
  <si>
    <t>456-100-598 - Standard Support</t>
  </si>
  <si>
    <t>DX FOR UNIX/LINUX CAPACITY UPGR FROM 1 TB TO 2 TB-Standard Support</t>
  </si>
  <si>
    <t>456-100-598 - Platinum Support</t>
  </si>
  <si>
    <t>DX FOR UNIX/LINUX CAPACITY UPGR FROM 1 TB TO 2 TB-Platinum Support</t>
  </si>
  <si>
    <t>456-100-601 - Standard Support</t>
  </si>
  <si>
    <t>DX FOR UNIX/LINUX CAPACITY UPGR FROM 10TB TO 15TB-Standard Support</t>
  </si>
  <si>
    <t>456-100-601 - Platinum Support</t>
  </si>
  <si>
    <t>DX FOR UNIX/LINUX CAPACITY UPGR FROM 10TB TO 15TB-Platinum Support</t>
  </si>
  <si>
    <t>456-100-602 - Standard Support</t>
  </si>
  <si>
    <t>DX FOR UNIX/LINUX CAPACITY UPGR FROM 15TB TO 20TB-Standard Support</t>
  </si>
  <si>
    <t>456-100-602 - Platinum Support</t>
  </si>
  <si>
    <t>DX FOR UNIX/LINUX CAPACITY UPGR FROM 15TB TO 20TB-Platinum Support</t>
  </si>
  <si>
    <t>456-100-599 - Standard Support</t>
  </si>
  <si>
    <t>DX FOR UNIX/LINUX CAPACITY UPGR FROM 2 TB TO 5 TB-Standard Support</t>
  </si>
  <si>
    <t>456-100-599 - Platinum Support</t>
  </si>
  <si>
    <t>DX FOR UNIX/LINUX CAPACITY UPGR FROM 2 TB TO 5 TB-Platinum Support</t>
  </si>
  <si>
    <t>456-100-603 - Standard Support</t>
  </si>
  <si>
    <t>DX FOR UNIX/LINUX CAPACITY UPGR FROM 20TB TO 32TB-Standard Support</t>
  </si>
  <si>
    <t>456-100-603 - Platinum Support</t>
  </si>
  <si>
    <t>DX FOR UNIX/LINUX CAPACITY UPGR FROM 20TB TO 32TB-Platinum Support</t>
  </si>
  <si>
    <t>456-100-604 - Standard Support</t>
  </si>
  <si>
    <t>DX FOR UNIX/LINUX CAPACITY UPGR FROM 32TB TO 64TB-Standard Support</t>
  </si>
  <si>
    <t>456-100-604 - Platinum Support</t>
  </si>
  <si>
    <t>DX FOR UNIX/LINUX CAPACITY UPGR FROM 32TB TO 64TB-Platinum Support</t>
  </si>
  <si>
    <t>456-100-600 - Standard Support</t>
  </si>
  <si>
    <t>DX FOR UNIX/LINUX CAPACITY UPGR FROM 5 TB TO 10 TB-Standard Support</t>
  </si>
  <si>
    <t>456-100-600 - Platinum Support</t>
  </si>
  <si>
    <t>DX FOR UNIX/LINUX CAPACITY UPGR FROM 5 TB TO 10 TB-Platinum Support</t>
  </si>
  <si>
    <t>456-100-605 - Standard Support</t>
  </si>
  <si>
    <t>DX FOR UNIX/LINUX CAPACITY UPGR FROM 64TB TO 100TB-Standard Support</t>
  </si>
  <si>
    <t>456-100-605 - Platinum Support</t>
  </si>
  <si>
    <t>DX FOR UNIX/LINUX CAPACITY UPGR FROM 64TB TO 100TB-Platinum Support</t>
  </si>
  <si>
    <t>457-100-140 - Standard Support</t>
  </si>
  <si>
    <t>EMAILXAMINER EMC SOURCEONE EMAIL SUPERVISOR-Standard Support</t>
  </si>
  <si>
    <t>457-100-140 - Platinum Support</t>
  </si>
  <si>
    <t>EMAILXAMINER EMC SOURCEONE EMAIL SUPERVISOR-Platinum Support</t>
  </si>
  <si>
    <t>457-100-033 - Standard Support</t>
  </si>
  <si>
    <t>EMAILXTENDER DX FOR WINDOWS EMAILXTENDER EM ARCH TO CENTERA UP TO 2500 USERS (DXW FSM/2TB)-Standard Support</t>
  </si>
  <si>
    <t>457-100-033 - Platinum Support</t>
  </si>
  <si>
    <t>EMAILXTENDER DX FOR WINDOWS EMAILXTENDER EM ARCH TO CENTERA UP TO 2500 USERS (DXW FSM/2TB)-Platinum Support</t>
  </si>
  <si>
    <t>457-100-034 - Standard Support</t>
  </si>
  <si>
    <t>EMAILXTENDER DX FOR WINDOWS EMAILXTENDER EM ARCH TO CENTERA UP TO 5000 USERS (DXW FSM/5TB)-Standard Support</t>
  </si>
  <si>
    <t>457-100-034 - Platinum Support</t>
  </si>
  <si>
    <t>EMAILXTENDER DX FOR WINDOWS EMAILXTENDER EM ARCH TO CENTERA UP TO 5000 USERS (DXW FSM/5TB)-Platinum Support</t>
  </si>
  <si>
    <t>457-100-032 - Standard Support</t>
  </si>
  <si>
    <t>EMAILXTENDER DX FOR WINDOWS EMAILXTENDER EM ARCH TO CENTERA UP TO 750 USERS (DXW FSM/500GB)-Standard Support</t>
  </si>
  <si>
    <t>457-100-032 - Platinum Support</t>
  </si>
  <si>
    <t>EMAILXTENDER DX FOR WINDOWS EMAILXTENDER EM ARCH TO CENTERA UP TO 750 USERS (DXW FSM/500GB)-Platinum Support</t>
  </si>
  <si>
    <t>457-100-424 - Standard Support</t>
  </si>
  <si>
    <t>EMC DOCUMENTUM CUSTOM CLIENT (1251-3000)-Standard Support</t>
  </si>
  <si>
    <t>457-100-424 - Platinum Support</t>
  </si>
  <si>
    <t>EMC DOCUMENTUM CUSTOM CLIENT (1251-3000)-Platinum Support</t>
  </si>
  <si>
    <t>457-100-420 - Standard Support</t>
  </si>
  <si>
    <t>EMC DOCUMENTUM CUSTOM CLIENT (1-50)-Standard Support</t>
  </si>
  <si>
    <t>457-100-420 - Platinum Support</t>
  </si>
  <si>
    <t>EMC DOCUMENTUM CUSTOM CLIENT (1-50)-Platinum Support</t>
  </si>
  <si>
    <t>457-100-422 - Standard Support</t>
  </si>
  <si>
    <t>EMC DOCUMENTUM CUSTOM CLIENT (201-500)-Standard Support</t>
  </si>
  <si>
    <t>457-100-422 - Platinum Support</t>
  </si>
  <si>
    <t>EMC DOCUMENTUM CUSTOM CLIENT (201-500)-Platinum Support</t>
  </si>
  <si>
    <t>457-100-427 - Standard Support</t>
  </si>
  <si>
    <t>EMC DOCUMENTUM CUSTOM CLIENT (25001-50000)-Standard Support</t>
  </si>
  <si>
    <t>457-100-427 - Platinum Support</t>
  </si>
  <si>
    <t>EMC DOCUMENTUM CUSTOM CLIENT (25001-50000)-Platinum Support</t>
  </si>
  <si>
    <t>457-100-425 - Standard Support</t>
  </si>
  <si>
    <t>EMC DOCUMENTUM CUSTOM CLIENT (3001-8500)-Standard Support</t>
  </si>
  <si>
    <t>457-100-425 - Platinum Support</t>
  </si>
  <si>
    <t>EMC DOCUMENTUM CUSTOM CLIENT (3001-8500)-Platinum Support</t>
  </si>
  <si>
    <t>457-100-428 - Standard Support</t>
  </si>
  <si>
    <t>EMC DOCUMENTUM CUSTOM CLIENT (50001-1000000)-Standard Support</t>
  </si>
  <si>
    <t>457-100-428 - Platinum Support</t>
  </si>
  <si>
    <t>EMC DOCUMENTUM CUSTOM CLIENT (50001-1000000)-Platinum Support</t>
  </si>
  <si>
    <t>457-100-423 - Standard Support</t>
  </si>
  <si>
    <t>EMC DOCUMENTUM CUSTOM CLIENT (501-1250)-Standard Support</t>
  </si>
  <si>
    <t>457-100-423 - Platinum Support</t>
  </si>
  <si>
    <t>EMC DOCUMENTUM CUSTOM CLIENT (501-1250)-Platinum Support</t>
  </si>
  <si>
    <t>457-100-421 - Standard Support</t>
  </si>
  <si>
    <t>EMC DOCUMENTUM CUSTOM CLIENT (51-200)-Standard Support</t>
  </si>
  <si>
    <t>457-100-421 - Platinum Support</t>
  </si>
  <si>
    <t>EMC DOCUMENTUM CUSTOM CLIENT (51-200)-Platinum Support</t>
  </si>
  <si>
    <t>457-100-426 - Standard Support</t>
  </si>
  <si>
    <t>EMC DOCUMENTUM CUSTOM CLIENT (8501-25000)-Standard Support</t>
  </si>
  <si>
    <t>457-100-426 - Platinum Support</t>
  </si>
  <si>
    <t>EMC DOCUMENTUM CUSTOM CLIENT (8501-25000)-Platinum Support</t>
  </si>
  <si>
    <t>457-100-433 - Standard Support</t>
  </si>
  <si>
    <t>EMC DOCUMENTUM WEBTOP (1251-3000)-Standard Support</t>
  </si>
  <si>
    <t>457-100-433 - Platinum Support</t>
  </si>
  <si>
    <t>EMC DOCUMENTUM WEBTOP (1251-3000)-Platinum Support</t>
  </si>
  <si>
    <t>457-100-429 - Standard Support</t>
  </si>
  <si>
    <t>EMC DOCUMENTUM WEBTOP (1-50)-Standard Support</t>
  </si>
  <si>
    <t>457-100-429 - Platinum Support</t>
  </si>
  <si>
    <t>EMC DOCUMENTUM WEBTOP (1-50)-Platinum Support</t>
  </si>
  <si>
    <t>457-100-431 - Standard Support</t>
  </si>
  <si>
    <t>EMC DOCUMENTUM WEBTOP (201-500)-Standard Support</t>
  </si>
  <si>
    <t>457-100-431 - Platinum Support</t>
  </si>
  <si>
    <t>EMC DOCUMENTUM WEBTOP (201-500)-Platinum Support</t>
  </si>
  <si>
    <t>457-100-436 - Standard Support</t>
  </si>
  <si>
    <t>EMC DOCUMENTUM WEBTOP (25001-50000)-Standard Support</t>
  </si>
  <si>
    <t>457-100-436 - Platinum Support</t>
  </si>
  <si>
    <t>EMC DOCUMENTUM WEBTOP (25001-50000)-Platinum Support</t>
  </si>
  <si>
    <t>457-100-434 - Standard Support</t>
  </si>
  <si>
    <t>EMC DOCUMENTUM WEBTOP (3001-8500)-Standard Support</t>
  </si>
  <si>
    <t>457-100-434 - Platinum Support</t>
  </si>
  <si>
    <t>EMC DOCUMENTUM WEBTOP (3001-8500)-Platinum Support</t>
  </si>
  <si>
    <t>457-100-437 - Standard Support</t>
  </si>
  <si>
    <t>EMC DOCUMENTUM WEBTOP (50001-1000000)-Standard Support</t>
  </si>
  <si>
    <t>457-100-437 - Platinum Support</t>
  </si>
  <si>
    <t>EMC DOCUMENTUM WEBTOP (50001-1000000)-Platinum Support</t>
  </si>
  <si>
    <t>457-100-432 - Standard Support</t>
  </si>
  <si>
    <t>EMC DOCUMENTUM WEBTOP (501-1250)-Standard Support</t>
  </si>
  <si>
    <t>457-100-432 - Platinum Support</t>
  </si>
  <si>
    <t>EMC DOCUMENTUM WEBTOP (501-1250)-Platinum Support</t>
  </si>
  <si>
    <t>457-100-430 - Standard Support</t>
  </si>
  <si>
    <t>EMC DOCUMENTUM WEBTOP (51-200)-Standard Support</t>
  </si>
  <si>
    <t>457-100-430 - Platinum Support</t>
  </si>
  <si>
    <t>EMC DOCUMENTUM WEBTOP (51-200)-Platinum Support</t>
  </si>
  <si>
    <t>457-100-435 - Standard Support</t>
  </si>
  <si>
    <t>EMC DOCUMENTUM WEBTOP (8501-25000)-Standard Support</t>
  </si>
  <si>
    <t>457-100-435 - Platinum Support</t>
  </si>
  <si>
    <t>EMC DOCUMENTUM WEBTOP (8501-25000)-Platinum Support</t>
  </si>
  <si>
    <t>456-102-094 - Standard Support</t>
  </si>
  <si>
    <t>EMC SOURCEONE EDISCOVERY INFORMATION CENTER INFOCTR ECS NODE LICENSE FOR SOURCEONE EDISCOVERY-Standard Support</t>
  </si>
  <si>
    <t>456-102-094 - Platinum Support</t>
  </si>
  <si>
    <t>EMC SOURCEONE EDISCOVERY INFORMATION CENTER INFOCTR ECS NODE LICENSE FOR SOURCEONE EDISCOVERY-Platinum Support</t>
  </si>
  <si>
    <t>456-102-092 - Standard Support</t>
  </si>
  <si>
    <t>EMC SOURCEONE EDISCOVERY INFORMATION CENTER INFOCTR ECS ROE LICENSE FOR SOURCEONE EDISCOVERY-Standard Support</t>
  </si>
  <si>
    <t>456-102-092 - Platinum Support</t>
  </si>
  <si>
    <t>EMC SOURCEONE EDISCOVERY INFORMATION CENTER INFOCTR ECS ROE LICENSE FOR SOURCEONE EDISCOVERY-Platinum Support</t>
  </si>
  <si>
    <t>457-100-238 - Standard Support</t>
  </si>
  <si>
    <t>EMC SOURCEONE EDISCOVERY INFORMATION CENTER INFOCTR ECS SOFTWARE FOR SOURCEONE EDISCOVERY-Standard Support</t>
  </si>
  <si>
    <t>457-100-238 - Platinum Support</t>
  </si>
  <si>
    <t>EMC SOURCEONE EDISCOVERY INFORMATION CENTER INFOCTR ECS SOFTWARE FOR SOURCEONE EDISCOVERY-Platinum Support</t>
  </si>
  <si>
    <t>456-102-095 - Standard Support</t>
  </si>
  <si>
    <t>EMC SOURCEONE EDISCOVERY INFORMATION CENTER INFOCTR FILE INT NODE LICENSE FOR SOURCEONE-Standard Support</t>
  </si>
  <si>
    <t>456-102-095 - Platinum Support</t>
  </si>
  <si>
    <t>EMC SOURCEONE EDISCOVERY INFORMATION CENTER INFOCTR FILE INT NODE LICENSE FOR SOURCEONE-Platinum Support</t>
  </si>
  <si>
    <t>456-102-093 - Standard Support</t>
  </si>
  <si>
    <t>EMC SOURCEONE EDISCOVERY INFORMATION CENTER INFOCTR FILE INT ROE LICENSE FOR SOURCEONE-Standard Support</t>
  </si>
  <si>
    <t>456-102-093 - Platinum Support</t>
  </si>
  <si>
    <t>EMC SOURCEONE EDISCOVERY INFORMATION CENTER INFOCTR FILE INT ROE LICENSE FOR SOURCEONE-Platinum Support</t>
  </si>
  <si>
    <t>457-100-239 - Standard Support</t>
  </si>
  <si>
    <t>EMC SOURCEONE EDISCOVERY INFORMATION CENTER INFOCTR FILE INT SOFTWARE FOR SOURCEONE-Standard Support</t>
  </si>
  <si>
    <t>457-100-239 - Platinum Support</t>
  </si>
  <si>
    <t>EMC SOURCEONE EDISCOVERY INFORMATION CENTER INFOCTR FILE INT SOFTWARE FOR SOURCEONE-Platinum Support</t>
  </si>
  <si>
    <t>456-102-046 - Standard Support</t>
  </si>
  <si>
    <t>EMC SOURCEONE EDISCOVERY INFORMATION SERVER ECS CELERRA FLR ROE (500 GB) FOR SOURCEONE EDISCOVERY-Standard Support</t>
  </si>
  <si>
    <t>456-102-046 - Platinum Support</t>
  </si>
  <si>
    <t>EMC SOURCEONE EDISCOVERY INFORMATION SERVER ECS CELERRA FLR ROE (500 GB) FOR SOURCEONE EDISCOVERY-Platinum Support</t>
  </si>
  <si>
    <t>456-102-031 - Standard Support</t>
  </si>
  <si>
    <t>EMC SOURCEONE EDISCOVERY INFORMATION SERVER ECS CONCEPT MANAGER (PER TB) FOR SOURCEONE EDISCOVERY-Standard Support</t>
  </si>
  <si>
    <t>456-102-031 - Platinum Support</t>
  </si>
  <si>
    <t>EMC SOURCEONE EDISCOVERY INFORMATION SERVER ECS CONCEPT MANAGER (PER TB) FOR SOURCEONE EDISCOVERY-Platinum Support</t>
  </si>
  <si>
    <t>456-102-036 - Standard Support</t>
  </si>
  <si>
    <t>EMC SOURCEONE EDISCOVERY INFORMATION SERVER ECS CONCEPT MANAGER ROE (500 GB) SOURCEONE EDISCOVERY-Standard Support</t>
  </si>
  <si>
    <t>456-102-036 - Platinum Support</t>
  </si>
  <si>
    <t>EMC SOURCEONE EDISCOVERY INFORMATION SERVER ECS CONCEPT MANAGER ROE (500 GB) SOURCEONE EDISCOVERY-Platinum Support</t>
  </si>
  <si>
    <t>457-100-234 - Standard Support</t>
  </si>
  <si>
    <t>EMC SOURCEONE EDISCOVERY INFORMATION SERVER ECS ECS ROE (500 GB) FOR SOURCEONE EDISCOVERY-Standard Support</t>
  </si>
  <si>
    <t>457-100-234 - Platinum Support</t>
  </si>
  <si>
    <t>EMC SOURCEONE EDISCOVERY INFORMATION SERVER ECS ECS ROE (500 GB) FOR SOURCEONE EDISCOVERY-Platinum Support</t>
  </si>
  <si>
    <t>456-102-217 - Standard Support</t>
  </si>
  <si>
    <t>EMC SOURCEONE EDISCOVERY INFORMATION SERVER ECS ECS SW (PER TB) FOR SOURCEONE EDISCOVERY-Standard Support</t>
  </si>
  <si>
    <t>456-102-217 - Platinum Support</t>
  </si>
  <si>
    <t>EMC SOURCEONE EDISCOVERY INFORMATION SERVER ECS ECS SW (PER TB) FOR SOURCEONE EDISCOVERY-Platinum Support</t>
  </si>
  <si>
    <t>456-102-038 - Standard Support</t>
  </si>
  <si>
    <t>EMC SOURCEONE EDISCOVERY INFORMATION SERVER ECS EMC CELERRA FLR (PER TB) FOR SOURCEONE EDISCOVERY-Standard Support</t>
  </si>
  <si>
    <t>456-102-038 - Platinum Support</t>
  </si>
  <si>
    <t>EMC SOURCEONE EDISCOVERY INFORMATION SERVER ECS EMC CELERRA FLR (PER TB) FOR SOURCEONE EDISCOVERY-Platinum Support</t>
  </si>
  <si>
    <t>456-102-032 - Standard Support</t>
  </si>
  <si>
    <t>EMC SOURCEONE EDISCOVERY INFORMATION SERVER ECS EMC CENTERA (PER TB) FOR SOURCEONE EDISCOVERY-Standard Support</t>
  </si>
  <si>
    <t>456-102-032 - Platinum Support</t>
  </si>
  <si>
    <t>EMC SOURCEONE EDISCOVERY INFORMATION SERVER ECS EMC CENTERA (PER TB) FOR SOURCEONE EDISCOVERY-Platinum Support</t>
  </si>
  <si>
    <t>456-102-037 - Standard Support</t>
  </si>
  <si>
    <t>EMC SOURCEONE EDISCOVERY INFORMATION SERVER ECS EMC CENTERA ROE (500 GB) FOR SOURCEONE EDISCOVERY-Standard Support</t>
  </si>
  <si>
    <t>456-102-037 - Platinum Support</t>
  </si>
  <si>
    <t>EMC SOURCEONE EDISCOVERY INFORMATION SERVER ECS EMC CENTERA ROE (500 GB) FOR SOURCEONE EDISCOVERY-Platinum Support</t>
  </si>
  <si>
    <t>456-102-035 - Standard Support</t>
  </si>
  <si>
    <t>EMC SOURCEONE EDISCOVERY INFORMATION SERVER ECS EMC DCTM (PER TB) FOR SOURCEONE EDISCOVERY-Standard Support</t>
  </si>
  <si>
    <t>456-102-035 - Platinum Support</t>
  </si>
  <si>
    <t>EMC SOURCEONE EDISCOVERY INFORMATION SERVER ECS EMC DCTM (PER TB) FOR SOURCEONE EDISCOVERY-Platinum Support</t>
  </si>
  <si>
    <t>456-102-044 - Standard Support</t>
  </si>
  <si>
    <t>EMC SOURCEONE EDISCOVERY INFORMATION SERVER ECS EMC DCTM ROE (500 GB) FOR SOURCEONE EDISCOVERY-Standard Support</t>
  </si>
  <si>
    <t>456-102-044 - Platinum Support</t>
  </si>
  <si>
    <t>EMC SOURCEONE EDISCOVERY INFORMATION SERVER ECS EMC DCTM ROE (500 GB) FOR SOURCEONE EDISCOVERY-Platinum Support</t>
  </si>
  <si>
    <t>456-102-218 - Standard Support</t>
  </si>
  <si>
    <t>EMC SOURCEONE EDISCOVERY INFORMATION SERVER ECS FILE INT TO ECS UPGRADE FOR SOURCEONE KAZEON-Standard Support</t>
  </si>
  <si>
    <t>456-102-218 - Platinum Support</t>
  </si>
  <si>
    <t>EMC SOURCEONE EDISCOVERY INFORMATION SERVER ECS FILE INT TO ECS UPGRADE FOR SOURCEONE KAZEON-Platinum Support</t>
  </si>
  <si>
    <t>456-102-040 - Standard Support</t>
  </si>
  <si>
    <t>EMC SOURCEONE EDISCOVERY INFORMATION SERVER ECS IBM LOTUS DOMINO (PER TB) FOR SOURCEONE EDISCOVERY-Standard Support</t>
  </si>
  <si>
    <t>456-102-040 - Platinum Support</t>
  </si>
  <si>
    <t>EMC SOURCEONE EDISCOVERY INFORMATION SERVER ECS IBM LOTUS DOMINO (PER TB) FOR SOURCEONE EDISCOVERY-Platinum Support</t>
  </si>
  <si>
    <t>456-102-034 - Standard Support</t>
  </si>
  <si>
    <t>EMC SOURCEONE EDISCOVERY INFORMATION SERVER ECS LAPTOP/DESKTOP (PER TB) FOR SOURCEONE EDISCOVERY-Standard Support</t>
  </si>
  <si>
    <t>456-102-034 - Platinum Support</t>
  </si>
  <si>
    <t>EMC SOURCEONE EDISCOVERY INFORMATION SERVER ECS LAPTOP/DESKTOP (PER TB) FOR SOURCEONE EDISCOVERY-Platinum Support</t>
  </si>
  <si>
    <t>456-102-033 - Standard Support</t>
  </si>
  <si>
    <t>EMC SOURCEONE EDISCOVERY INFORMATION SERVER ECS LEGAL HOLD MANAGER FOR SOURCEONE EDISCOVERY-Standard Support</t>
  </si>
  <si>
    <t>456-102-033 - Platinum Support</t>
  </si>
  <si>
    <t>EMC SOURCEONE EDISCOVERY INFORMATION SERVER ECS LEGAL HOLD MANAGER FOR SOURCEONE EDISCOVERY-Platinum Support</t>
  </si>
  <si>
    <t>456-102-047 - Standard Support</t>
  </si>
  <si>
    <t>EMC SOURCEONE EDISCOVERY INFORMATION SERVER ECS LOTUS DOMINO ROE (500 GB) FOR SOURCEONE EDISCOVERY-Standard Support</t>
  </si>
  <si>
    <t>456-102-047 - Platinum Support</t>
  </si>
  <si>
    <t>EMC SOURCEONE EDISCOVERY INFORMATION SERVER ECS LOTUS DOMINO ROE (500 GB) FOR SOURCEONE EDISCOVERY-Platinum Support</t>
  </si>
  <si>
    <t>456-102-043 - Standard Support</t>
  </si>
  <si>
    <t>EMC SOURCEONE EDISCOVERY INFORMATION SERVER ECS LT/DT ROE(500GB) FOR SOURCEONE EDISCOVERY-Standard Support</t>
  </si>
  <si>
    <t>456-102-043 - Platinum Support</t>
  </si>
  <si>
    <t>EMC SOURCEONE EDISCOVERY INFORMATION SERVER ECS LT/DT ROE(500GB) FOR SOURCEONE EDISCOVERY-Platinum Support</t>
  </si>
  <si>
    <t>456-102-045 - Standard Support</t>
  </si>
  <si>
    <t>EMC SOURCEONE EDISCOVERY INFORMATION SERVER ECS MICROSOFT EXCH (PER TB) FOR SOURCEONE EDISCOVERY-Standard Support</t>
  </si>
  <si>
    <t>456-102-045 - Platinum Support</t>
  </si>
  <si>
    <t>EMC SOURCEONE EDISCOVERY INFORMATION SERVER ECS MICROSOFT EXCH (PER TB) FOR SOURCEONE EDISCOVERY-Platinum Support</t>
  </si>
  <si>
    <t>456-102-096 - Standard Support</t>
  </si>
  <si>
    <t>EMC SOURCEONE EDISCOVERY INFORMATION SERVER ECS MICROSOFT EXCH ROE(500GB) FOR SOURCEONE EDISCOVERY-Standard Support</t>
  </si>
  <si>
    <t>456-102-096 - Platinum Support</t>
  </si>
  <si>
    <t>EMC SOURCEONE EDISCOVERY INFORMATION SERVER ECS MICROSOFT EXCH ROE(500GB) FOR SOURCEONE EDISCOVERY-Platinum Support</t>
  </si>
  <si>
    <t>456-102-049 - Standard Support</t>
  </si>
  <si>
    <t>EMC SOURCEONE EDISCOVERY INFORMATION SERVER ECS MICROSOFT SP (PER TB) FOR SOURCEONE EDISCOVERY-Standard Support</t>
  </si>
  <si>
    <t>456-102-049 - Platinum Support</t>
  </si>
  <si>
    <t>EMC SOURCEONE EDISCOVERY INFORMATION SERVER ECS MICROSOFT SP (PER TB) FOR SOURCEONE EDISCOVERY-Platinum Support</t>
  </si>
  <si>
    <t>456-102-097 - Standard Support</t>
  </si>
  <si>
    <t>EMC SOURCEONE EDISCOVERY INFORMATION SERVER ECS MICROSOFT SP ROE (500 GB) FOR SOURCEONE EDISCOVERY-Standard Support</t>
  </si>
  <si>
    <t>456-102-097 - Platinum Support</t>
  </si>
  <si>
    <t>EMC SOURCEONE EDISCOVERY INFORMATION SERVER ECS MICROSOFT SP ROE (500 GB) FOR SOURCEONE EDISCOVERY-Platinum Support</t>
  </si>
  <si>
    <t>456-102-039 - Standard Support</t>
  </si>
  <si>
    <t>EMC SOURCEONE EDISCOVERY INFORMATION SERVER ECS NETAPP SNAPLOCK (PER TB) FOR SOURCEONE EDISCOVERY-Standard Support</t>
  </si>
  <si>
    <t>456-102-039 - Platinum Support</t>
  </si>
  <si>
    <t>EMC SOURCEONE EDISCOVERY INFORMATION SERVER ECS NETAPP SNAPLOCK (PER TB) FOR SOURCEONE EDISCOVERY-Platinum Support</t>
  </si>
  <si>
    <t>456-102-042 - Standard Support</t>
  </si>
  <si>
    <t>EMC SOURCEONE EDISCOVERY INFORMATION SERVER ECS NETAPP SNAPSHOTS (PER TB) FOR SOURCEONE EDISCOVERY-Standard Support</t>
  </si>
  <si>
    <t>456-102-042 - Platinum Support</t>
  </si>
  <si>
    <t>EMC SOURCEONE EDISCOVERY INFORMATION SERVER ECS NETAPP SNAPSHOTS (PER TB) FOR SOURCEONE EDISCOVERY-Platinum Support</t>
  </si>
  <si>
    <t>456-102-098 - Standard Support</t>
  </si>
  <si>
    <t>EMC SOURCEONE EDISCOVERY INFORMATION SERVER ECS SYMANTEC EV (PER TB) FOR SOURCEONE EDISCOVERY-Standard Support</t>
  </si>
  <si>
    <t>456-102-098 - Platinum Support</t>
  </si>
  <si>
    <t>EMC SOURCEONE EDISCOVERY INFORMATION SERVER ECS SYMANTEC EV (PER TB) FOR SOURCEONE EDISCOVERY-Platinum Support</t>
  </si>
  <si>
    <t>456-102-099 - Standard Support</t>
  </si>
  <si>
    <t>EMC SOURCEONE EDISCOVERY INFORMATION SERVER ECS SYMANTEC EV ROE (500 GB) FOR SOURCEONE EDISCOVERY-Standard Support</t>
  </si>
  <si>
    <t>456-102-099 - Platinum Support</t>
  </si>
  <si>
    <t>EMC SOURCEONE EDISCOVERY INFORMATION SERVER ECS SYMANTEC EV ROE (500 GB) FOR SOURCEONE EDISCOVERY-Platinum Support</t>
  </si>
  <si>
    <t>457-100-235 - Standard Support</t>
  </si>
  <si>
    <t>EMC SOURCEONE EDISCOVERY INFORMATION SERVER FRM FILE INT ROE (15M FILES) FOR SOURCEONE (fka: FRM)-Standard Support</t>
  </si>
  <si>
    <t>457-100-235 - Platinum Support</t>
  </si>
  <si>
    <t>EMC SOURCEONE EDISCOVERY INFORMATION SERVER FRM FILE INT ROE (15M FILES) FOR SOURCEONE (fka: FRM)-Platinum Support</t>
  </si>
  <si>
    <t>457-100-237 - Standard Support</t>
  </si>
  <si>
    <t>EMC SOURCEONE EDISCOVERY INFORMATION SERVER FRM FILE INT SW (100M FILES) FOR SOURCEONE (fka: FRM)-Standard Support</t>
  </si>
  <si>
    <t>457-100-237 - Platinum Support</t>
  </si>
  <si>
    <t>EMC SOURCEONE EDISCOVERY INFORMATION SERVER FRM FILE INT SW (100M FILES) FOR SOURCEONE (fka: FRM)-Platinum Support</t>
  </si>
  <si>
    <t>457-100-130 - Standard Support</t>
  </si>
  <si>
    <t>EMC SOURCEONE SOURCEONE DISCOVERY MANAGER EMC SOURCEONE DISCOVERY MANAGER-Standard Support</t>
  </si>
  <si>
    <t>457-100-130 - Platinum Support</t>
  </si>
  <si>
    <t>EMC SOURCEONE SOURCEONE DISCOVERY MANAGER EMC SOURCEONE DISCOVERY MANAGER-Platinum Support</t>
  </si>
  <si>
    <t>456-102-249 - Standard Support</t>
  </si>
  <si>
    <t>EMC SOURCEONE SOURCEONE EMAIL EXCHANGE SOURCEONE EMAIL MGMNT - MS EXCHANGE 1-5000 USER-Standard Support</t>
  </si>
  <si>
    <t>456-102-249 - Platinum Support</t>
  </si>
  <si>
    <t>EMC SOURCEONE SOURCEONE EMAIL EXCHANGE SOURCEONE EMAIL MGMNT - MS EXCHANGE 1-5000 USER-Platinum Support</t>
  </si>
  <si>
    <t>456-102-250 - Standard Support</t>
  </si>
  <si>
    <t>EMC SOURCEONE SOURCEONE EMAIL EXCHANGE SOURCEONE EMAIL MGMNT - MS EXCHANGE 5001+ USER-Standard Support</t>
  </si>
  <si>
    <t>456-102-250 - Platinum Support</t>
  </si>
  <si>
    <t>EMC SOURCEONE SOURCEONE EMAIL EXCHANGE SOURCEONE EMAIL MGMNT - MS EXCHANGE 5001+ USER-Platinum Support</t>
  </si>
  <si>
    <t>456-102-247 - Standard Support</t>
  </si>
  <si>
    <t>EMC SOURCEONE SOURCEONE EMAIL NOTES DOMINO SOURCEONE EMAIL MGMNT-NOTES/DOMINO 1-5000 USER-Standard Support</t>
  </si>
  <si>
    <t>456-102-247 - Platinum Support</t>
  </si>
  <si>
    <t>EMC SOURCEONE SOURCEONE EMAIL NOTES DOMINO SOURCEONE EMAIL MGMNT-NOTES/DOMINO 1-5000 USER-Platinum Support</t>
  </si>
  <si>
    <t>456-102-248 - Standard Support</t>
  </si>
  <si>
    <t>EMC SOURCEONE SOURCEONE EMAIL NOTES DOMINO SOURCEONE EMAIL MGMNT-NOTES/DOMINO 5001+ USER-Standard Support</t>
  </si>
  <si>
    <t>456-102-248 - Platinum Support</t>
  </si>
  <si>
    <t>EMC SOURCEONE SOURCEONE EMAIL NOTES DOMINO SOURCEONE EMAIL MGMNT-NOTES/DOMINO 5001+ USER-Platinum Support</t>
  </si>
  <si>
    <t>CS-UPGRADE - Standard Support</t>
  </si>
  <si>
    <t>ENTERPRISE CONTENT INTEGRATION CONTENT SERVER MULTI-CLIENT UPGRADE-Standard Support</t>
  </si>
  <si>
    <t>CS-UPGRADE - Platinum Support</t>
  </si>
  <si>
    <t>ENTERPRISE CONTENT INTEGRATION CONTENT SERVER MULTI-CLIENT UPGRADE-Platinum Support</t>
  </si>
  <si>
    <t>457-100-367 - Standard Support</t>
  </si>
  <si>
    <t>EXT DCTM PLATFORM EXT BUNDLE - 25001-50000-Standard Support</t>
  </si>
  <si>
    <t>457-100-367 - Platinum Support</t>
  </si>
  <si>
    <t>EXT DCTM PLATFORM EXT BUNDLE - 25001-50000-Platinum Support</t>
  </si>
  <si>
    <t>457-100-368 - Standard Support</t>
  </si>
  <si>
    <t>EXT DCTM PLATFORM EXT BUNDLE - 50001-1000000-Standard Support</t>
  </si>
  <si>
    <t>457-100-368 - Platinum Support</t>
  </si>
  <si>
    <t>EXT DCTM PLATFORM EXT BUNDLE - 50001-1000000-Platinum Support</t>
  </si>
  <si>
    <t>457-100-639 - Standard Support</t>
  </si>
  <si>
    <t>EXT DOCUMENTUM PLATFORM EXT APP SPECIFIC 1251-3000-Standard Support</t>
  </si>
  <si>
    <t>457-100-639 - Platinum Support</t>
  </si>
  <si>
    <t>EXT DOCUMENTUM PLATFORM EXT APP SPECIFIC 1251-3000-Platinum Support</t>
  </si>
  <si>
    <t>457-100-635 - Standard Support</t>
  </si>
  <si>
    <t>EXT DOCUMENTUM PLATFORM EXT APP SPECIFIC 1-50-Standard Support</t>
  </si>
  <si>
    <t>457-100-635 - Platinum Support</t>
  </si>
  <si>
    <t>EXT DOCUMENTUM PLATFORM EXT APP SPECIFIC 1-50-Platinum Support</t>
  </si>
  <si>
    <t>457-100-637 - Standard Support</t>
  </si>
  <si>
    <t>EXT DOCUMENTUM PLATFORM EXT APP SPECIFIC 201-500-Standard Support</t>
  </si>
  <si>
    <t>457-100-637 - Platinum Support</t>
  </si>
  <si>
    <t>EXT DOCUMENTUM PLATFORM EXT APP SPECIFIC 201-500-Platinum Support</t>
  </si>
  <si>
    <t>457-100-642 - Standard Support</t>
  </si>
  <si>
    <t>EXT DOCUMENTUM PLATFORM EXT APP SPECIFIC 25001-50000-Standard Support</t>
  </si>
  <si>
    <t>457-100-642 - Platinum Support</t>
  </si>
  <si>
    <t>EXT DOCUMENTUM PLATFORM EXT APP SPECIFIC 25001-50000-Platinum Support</t>
  </si>
  <si>
    <t>457-100-640 - Standard Support</t>
  </si>
  <si>
    <t>EXT DOCUMENTUM PLATFORM EXT APP SPECIFIC 3001-8500-Standard Support</t>
  </si>
  <si>
    <t>457-100-640 - Platinum Support</t>
  </si>
  <si>
    <t>EXT DOCUMENTUM PLATFORM EXT APP SPECIFIC 3001-8500-Platinum Support</t>
  </si>
  <si>
    <t>457-100-643 - Standard Support</t>
  </si>
  <si>
    <t>EXT DOCUMENTUM PLATFORM EXT APP SPECIFIC 50001-1000000-Standard Support</t>
  </si>
  <si>
    <t>457-100-643 - Platinum Support</t>
  </si>
  <si>
    <t>EXT DOCUMENTUM PLATFORM EXT APP SPECIFIC 50001-1000000-Platinum Support</t>
  </si>
  <si>
    <t>457-100-638 - Standard Support</t>
  </si>
  <si>
    <t>EXT DOCUMENTUM PLATFORM EXT APP SPECIFIC 501-1250-Standard Support</t>
  </si>
  <si>
    <t>457-100-638 - Platinum Support</t>
  </si>
  <si>
    <t>EXT DOCUMENTUM PLATFORM EXT APP SPECIFIC 501-1250-Platinum Support</t>
  </si>
  <si>
    <t>457-100-636 - Standard Support</t>
  </si>
  <si>
    <t>EXT DOCUMENTUM PLATFORM EXT APP SPECIFIC 51-200-Standard Support</t>
  </si>
  <si>
    <t>457-100-636 - Platinum Support</t>
  </si>
  <si>
    <t>EXT DOCUMENTUM PLATFORM EXT APP SPECIFIC 51-200-Platinum Support</t>
  </si>
  <si>
    <t>457-100-641 - Standard Support</t>
  </si>
  <si>
    <t>EXT DOCUMENTUM PLATFORM EXT APP SPECIFIC 8501-25000-Standard Support</t>
  </si>
  <si>
    <t>457-100-641 - Platinum Support</t>
  </si>
  <si>
    <t>EXT DOCUMENTUM PLATFORM EXT APP SPECIFIC 8501-25000-Platinum Support</t>
  </si>
  <si>
    <t>457-100-364 - Standard Support</t>
  </si>
  <si>
    <t>EXT DOCUMENTUM PLATFORM EXT BUNDLE - 1251-3000-Standard Support</t>
  </si>
  <si>
    <t>457-100-364 - Platinum Support</t>
  </si>
  <si>
    <t>EXT DOCUMENTUM PLATFORM EXT BUNDLE - 1251-3000-Platinum Support</t>
  </si>
  <si>
    <t>457-100-360 - Standard Support</t>
  </si>
  <si>
    <t>EXT DOCUMENTUM PLATFORM EXT BUNDLE - 1-50-Standard Support</t>
  </si>
  <si>
    <t>457-100-360 - Platinum Support</t>
  </si>
  <si>
    <t>EXT DOCUMENTUM PLATFORM EXT BUNDLE - 1-50-Platinum Support</t>
  </si>
  <si>
    <t>457-100-362 - Standard Support</t>
  </si>
  <si>
    <t>EXT DOCUMENTUM PLATFORM EXT BUNDLE - 201-500-Standard Support</t>
  </si>
  <si>
    <t>457-100-362 - Platinum Support</t>
  </si>
  <si>
    <t>EXT DOCUMENTUM PLATFORM EXT BUNDLE - 201-500-Platinum Support</t>
  </si>
  <si>
    <t>457-100-365 - Standard Support</t>
  </si>
  <si>
    <t>EXT DOCUMENTUM PLATFORM EXT BUNDLE - 3001-8500-Standard Support</t>
  </si>
  <si>
    <t>457-100-365 - Platinum Support</t>
  </si>
  <si>
    <t>EXT DOCUMENTUM PLATFORM EXT BUNDLE - 3001-8500-Platinum Support</t>
  </si>
  <si>
    <t>457-100-363 - Standard Support</t>
  </si>
  <si>
    <t>EXT DOCUMENTUM PLATFORM EXT BUNDLE - 501-1250-Standard Support</t>
  </si>
  <si>
    <t>457-100-363 - Platinum Support</t>
  </si>
  <si>
    <t>EXT DOCUMENTUM PLATFORM EXT BUNDLE - 501-1250-Platinum Support</t>
  </si>
  <si>
    <t>457-100-361 - Standard Support</t>
  </si>
  <si>
    <t>EXT DOCUMENTUM PLATFORM EXT BUNDLE - 51-200-Standard Support</t>
  </si>
  <si>
    <t>457-100-361 - Platinum Support</t>
  </si>
  <si>
    <t>EXT DOCUMENTUM PLATFORM EXT BUNDLE - 51-200-Platinum Support</t>
  </si>
  <si>
    <t>457-100-366 - Standard Support</t>
  </si>
  <si>
    <t>EXT DOCUMENTUM PLATFORM EXT BUNDLE - 8501-25000-Standard Support</t>
  </si>
  <si>
    <t>457-100-366 - Platinum Support</t>
  </si>
  <si>
    <t>EXT DOCUMENTUM PLATFORM EXT BUNDLE - 8501-25000-Platinum Support</t>
  </si>
  <si>
    <t>457-100-666 - Standard Support</t>
  </si>
  <si>
    <t>EXT DOCUMENTUM PLATFORM EXT UPGRADE - 1251-3000-Standard Support</t>
  </si>
  <si>
    <t>457-100-666 - Platinum Support</t>
  </si>
  <si>
    <t>EXT DOCUMENTUM PLATFORM EXT UPGRADE - 1251-3000-Platinum Support</t>
  </si>
  <si>
    <t>457-100-662 - Standard Support</t>
  </si>
  <si>
    <t>EXT DOCUMENTUM PLATFORM EXT UPGRADE - 1-50-Standard Support</t>
  </si>
  <si>
    <t>457-100-662 - Platinum Support</t>
  </si>
  <si>
    <t>EXT DOCUMENTUM PLATFORM EXT UPGRADE - 1-50-Platinum Support</t>
  </si>
  <si>
    <t>457-100-664 - Standard Support</t>
  </si>
  <si>
    <t>EXT DOCUMENTUM PLATFORM EXT UPGRADE - 201-500-Standard Support</t>
  </si>
  <si>
    <t>457-100-664 - Platinum Support</t>
  </si>
  <si>
    <t>EXT DOCUMENTUM PLATFORM EXT UPGRADE - 201-500-Platinum Support</t>
  </si>
  <si>
    <t>457-100-669 - Standard Support</t>
  </si>
  <si>
    <t>EXT DOCUMENTUM PLATFORM EXT UPGRADE - 25001-50000-Standard Support</t>
  </si>
  <si>
    <t>457-100-669 - Platinum Support</t>
  </si>
  <si>
    <t>EXT DOCUMENTUM PLATFORM EXT UPGRADE - 25001-50000-Platinum Support</t>
  </si>
  <si>
    <t>457-100-670 - Standard Support</t>
  </si>
  <si>
    <t>EXT DOCUMENTUM PLATFORM EXT UPGRADE - 50001 - 100M-Standard Support</t>
  </si>
  <si>
    <t>457-100-670 - Platinum Support</t>
  </si>
  <si>
    <t>EXT DOCUMENTUM PLATFORM EXT UPGRADE - 50001 - 100M-Platinum Support</t>
  </si>
  <si>
    <t>457-100-665 - Standard Support</t>
  </si>
  <si>
    <t>EXT DOCUMENTUM PLATFORM EXT UPGRADE - 501-1250-Standard Support</t>
  </si>
  <si>
    <t>457-100-665 - Platinum Support</t>
  </si>
  <si>
    <t>EXT DOCUMENTUM PLATFORM EXT UPGRADE - 501-1250-Platinum Support</t>
  </si>
  <si>
    <t>457-100-663 - Standard Support</t>
  </si>
  <si>
    <t>EXT DOCUMENTUM PLATFORM EXT UPGRADE - 51-200-Standard Support</t>
  </si>
  <si>
    <t>457-100-663 - Platinum Support</t>
  </si>
  <si>
    <t>EXT DOCUMENTUM PLATFORM EXT UPGRADE - 51-200-Platinum Support</t>
  </si>
  <si>
    <t>457-100-668 - Standard Support</t>
  </si>
  <si>
    <t>EXT DOCUMENTUM PLATFORM EXT UPGRADE - 8501-25000-Standard Support</t>
  </si>
  <si>
    <t>457-100-668 - Platinum Support</t>
  </si>
  <si>
    <t>EXT DOCUMENTUM PLATFORM EXT UPGRADE - 8501-25000-Platinum Support</t>
  </si>
  <si>
    <t>457-100-667 - Standard Support</t>
  </si>
  <si>
    <t>EXT DOCUMENTUM PLATFORM EXT UPGRADE- 3001-8500-Standard Support</t>
  </si>
  <si>
    <t>457-100-667 - Platinum Support</t>
  </si>
  <si>
    <t>EXT DOCUMENTUM PLATFORM EXT UPGRADE- 3001-8500-Platinum Support</t>
  </si>
  <si>
    <t>LIC-ASTA08 - Standard Support</t>
  </si>
  <si>
    <t>FATWIRE SOFTWARE SELECT: ADVANCED SUITE FOR TARGETING AND ANALYTICS-Standard Support</t>
  </si>
  <si>
    <t>LIC-ASTA08 - Platinum Support</t>
  </si>
  <si>
    <t>FATWIRE SOFTWARE SELECT: ADVANCED SUITE FOR TARGETING AND ANALYTICS-Platinum Support</t>
  </si>
  <si>
    <t>LIC-CIPS91 - Standard Support</t>
  </si>
  <si>
    <t>FATWIRE SOFTWARE SELECT: CONTENT INTEGRATION PLATFORM - SHAREPOINT-Standard Support</t>
  </si>
  <si>
    <t>LIC-CIPS91 - Platinum Support</t>
  </si>
  <si>
    <t>FATWIRE SOFTWARE SELECT: CONTENT INTEGRATION PLATFORM - SHAREPOINT-Platinum Support</t>
  </si>
  <si>
    <t>LIC-CSC210 - Standard Support</t>
  </si>
  <si>
    <t>FATWIRE SOFTWARE SELECT: FATWIRE CORE WEB CONTENT MANAGEMENT-Standard Support</t>
  </si>
  <si>
    <t>LIC-CSC210 - Platinum Support</t>
  </si>
  <si>
    <t>FATWIRE SOFTWARE SELECT: FATWIRE CORE WEB CONTENT MANAGEMENT-Platinum Support</t>
  </si>
  <si>
    <t>LIC-SAT003 - Standard Support</t>
  </si>
  <si>
    <t>FATWIRE SOFTWARE SELECT: FATWIRE HIGH PERFORMANCE DYNAMIC CACHING-Standard Support</t>
  </si>
  <si>
    <t>LIC-SAT003 - Platinum Support</t>
  </si>
  <si>
    <t>FATWIRE SOFTWARE SELECT: FATWIRE HIGH PERFORMANCE DYNAMIC CACHING-Platinum Support</t>
  </si>
  <si>
    <t>LIC-CIPD56 - Standard Support</t>
  </si>
  <si>
    <t>FATWIRE SOFTWARE SELECT:CONTENT INTEGRATION PLATFORM - DOCUMENTUM-Standard Support</t>
  </si>
  <si>
    <t>LIC-CIPD56 - Platinum Support</t>
  </si>
  <si>
    <t>FATWIRE SOFTWARE SELECT:CONTENT INTEGRATION PLATFORM - DOCUMENTUM-Platinum Support</t>
  </si>
  <si>
    <t>BP-DCTMS - Standard Support</t>
  </si>
  <si>
    <t>IGC BRAVA SOFTWARE SELECT ADDITIONAL BRAVA SERVER-Standard Support</t>
  </si>
  <si>
    <t>BP-DCTMS - Platinum Support</t>
  </si>
  <si>
    <t>IGC BRAVA SOFTWARE SELECT ADDITIONAL BRAVA SERVER-Platinum Support</t>
  </si>
  <si>
    <t>BP-DCTMCT-C - Standard Support</t>
  </si>
  <si>
    <t>IGC BRAVA SOFTWARE SELECT Brava for CAD TaskSpace 1000-1499; per site-Standard Support</t>
  </si>
  <si>
    <t>BP-DCTMCT-C - Platinum Support</t>
  </si>
  <si>
    <t>IGC BRAVA SOFTWARE SELECT Brava for CAD TaskSpace 1000-1499; per site-Platinum Support</t>
  </si>
  <si>
    <t>BP-DCTMCT-D - Standard Support</t>
  </si>
  <si>
    <t>IGC BRAVA SOFTWARE SELECT Brava for CAD TaskSpace 1500-1999; per site-Standard Support</t>
  </si>
  <si>
    <t>BP-DCTMCT-D - Platinum Support</t>
  </si>
  <si>
    <t>IGC BRAVA SOFTWARE SELECT Brava for CAD TaskSpace 1500-1999; per site-Platinum Support</t>
  </si>
  <si>
    <t>BP-DCTMCT-E - Standard Support</t>
  </si>
  <si>
    <t>IGC BRAVA SOFTWARE SELECT Brava for CAD TaskSpace 2000-4999; per site-Standard Support</t>
  </si>
  <si>
    <t>BP-DCTMCT-E - Platinum Support</t>
  </si>
  <si>
    <t>IGC BRAVA SOFTWARE SELECT Brava for CAD TaskSpace 2000-4999; per site-Platinum Support</t>
  </si>
  <si>
    <t>BP-DCTMCT-F - Standard Support</t>
  </si>
  <si>
    <t>IGC BRAVA SOFTWARE SELECT Brava for CAD TaskSpace 5000+; per site-Standard Support</t>
  </si>
  <si>
    <t>BP-DCTMCT-F - Platinum Support</t>
  </si>
  <si>
    <t>IGC BRAVA SOFTWARE SELECT Brava for CAD TaskSpace 5000+; per site-Platinum Support</t>
  </si>
  <si>
    <t>BP-DCTMCT-B - Standard Support</t>
  </si>
  <si>
    <t>IGC BRAVA SOFTWARE SELECT Brava for CAD TaskSpace 500-999; per site-Standard Support</t>
  </si>
  <si>
    <t>BP-DCTMCT-B - Platinum Support</t>
  </si>
  <si>
    <t>IGC BRAVA SOFTWARE SELECT Brava for CAD TaskSpace 500-999; per site-Platinum Support</t>
  </si>
  <si>
    <t>BP-DCTMIT-C - Standard Support</t>
  </si>
  <si>
    <t>IGC BRAVA SOFTWARE SELECT Brava for Docs TaskSpace 1000-1499 per site-Standard Support</t>
  </si>
  <si>
    <t>BP-DCTMIT-C - Platinum Support</t>
  </si>
  <si>
    <t>IGC BRAVA SOFTWARE SELECT Brava for Docs TaskSpace 1000-1499 per site-Platinum Support</t>
  </si>
  <si>
    <t>BP-DCTMIT-D - Standard Support</t>
  </si>
  <si>
    <t>IGC BRAVA SOFTWARE SELECT Brava for Docs TaskSpace 1500-1999 per site-Standard Support</t>
  </si>
  <si>
    <t>BP-DCTMIT-D - Platinum Support</t>
  </si>
  <si>
    <t>IGC BRAVA SOFTWARE SELECT Brava for Docs TaskSpace 1500-1999 per site-Platinum Support</t>
  </si>
  <si>
    <t>BP-DCTMIT-E - Standard Support</t>
  </si>
  <si>
    <t>IGC BRAVA SOFTWARE SELECT Brava for Docs TaskSpace 2000-4999 per site-Standard Support</t>
  </si>
  <si>
    <t>BP-DCTMIT-E - Platinum Support</t>
  </si>
  <si>
    <t>IGC BRAVA SOFTWARE SELECT Brava for Docs TaskSpace 2000-4999 per site-Platinum Support</t>
  </si>
  <si>
    <t>BP-DCTMIT-A - Standard Support</t>
  </si>
  <si>
    <t>IGC BRAVA SOFTWARE SELECT Brava for Docs TaskSpace 25-499; per site-Standard Support</t>
  </si>
  <si>
    <t>BP-DCTMIT-A - Platinum Support</t>
  </si>
  <si>
    <t>IGC BRAVA SOFTWARE SELECT Brava for Docs TaskSpace 25-499; per site-Platinum Support</t>
  </si>
  <si>
    <t>BP-DCTMIT-F - Standard Support</t>
  </si>
  <si>
    <t>IGC BRAVA SOFTWARE SELECT Brava for Docs TaskSpace 5000+; per site-Standard Support</t>
  </si>
  <si>
    <t>BP-DCTMIT-F - Platinum Support</t>
  </si>
  <si>
    <t>IGC BRAVA SOFTWARE SELECT Brava for Docs TaskSpace 5000+; per site-Platinum Support</t>
  </si>
  <si>
    <t>BP-DCTMIT-B - Standard Support</t>
  </si>
  <si>
    <t>IGC BRAVA SOFTWARE SELECT Brava for Docs TaskSpace 500-999; per site-Standard Support</t>
  </si>
  <si>
    <t>BP-DCTMIT-B - Platinum Support</t>
  </si>
  <si>
    <t>IGC BRAVA SOFTWARE SELECT Brava for Docs TaskSpace 500-999; per site-Platinum Support</t>
  </si>
  <si>
    <t>BP-DCTMI-C - Standard Support</t>
  </si>
  <si>
    <t>IGC BRAVA SOFTWARE SELECT Brava for Docs Webtop 1000-1499; per site-Standard Support</t>
  </si>
  <si>
    <t>BP-DCTMI-C - Platinum Support</t>
  </si>
  <si>
    <t>IGC BRAVA SOFTWARE SELECT Brava for Docs Webtop 1000-1499; per site-Platinum Support</t>
  </si>
  <si>
    <t>BP-DCTMI-D - Standard Support</t>
  </si>
  <si>
    <t>IGC BRAVA SOFTWARE SELECT Brava for Docs Webtop 1500-1999; per site-Standard Support</t>
  </si>
  <si>
    <t>BP-DCTMI-D - Platinum Support</t>
  </si>
  <si>
    <t>IGC BRAVA SOFTWARE SELECT Brava for Docs Webtop 1500-1999; per site-Platinum Support</t>
  </si>
  <si>
    <t>BP-DCTMI-E - Standard Support</t>
  </si>
  <si>
    <t>IGC BRAVA SOFTWARE SELECT Brava for Docs Webtop 2000-4999; per site-Standard Support</t>
  </si>
  <si>
    <t>BP-DCTMI-E - Platinum Support</t>
  </si>
  <si>
    <t>IGC BRAVA SOFTWARE SELECT Brava for Docs Webtop 2000-4999; per site-Platinum Support</t>
  </si>
  <si>
    <t>BP-DCTMI-A - Standard Support</t>
  </si>
  <si>
    <t>IGC BRAVA SOFTWARE SELECT Brava for Documents Webtop 25-499; per site-Standard Support</t>
  </si>
  <si>
    <t>BP-DCTMI-A - Platinum Support</t>
  </si>
  <si>
    <t>IGC BRAVA SOFTWARE SELECT Brava for Documents Webtop 25-499; per site-Platinum Support</t>
  </si>
  <si>
    <t>BP-DCTMI-F - Standard Support</t>
  </si>
  <si>
    <t>IGC BRAVA SOFTWARE SELECT Brava for Documents Webtop 5000+; per site-Standard Support</t>
  </si>
  <si>
    <t>BP-DCTMI-F - Platinum Support</t>
  </si>
  <si>
    <t>IGC BRAVA SOFTWARE SELECT Brava for Documents Webtop 5000+; per site-Platinum Support</t>
  </si>
  <si>
    <t>BP-DCTMI-B - Standard Support</t>
  </si>
  <si>
    <t>IGC BRAVA SOFTWARE SELECT Brava for Documents Webtop 500-999;per site-Standard Support</t>
  </si>
  <si>
    <t>BP-DCTMI-B - Platinum Support</t>
  </si>
  <si>
    <t>IGC BRAVA SOFTWARE SELECT Brava for Documents Webtop 500-999;per site-Platinum Support</t>
  </si>
  <si>
    <t>BP-DOCFILT - Standard Support</t>
  </si>
  <si>
    <t>IGC BRAVA SOFTWARE SELECT Optional Office Drivers-Standard Support</t>
  </si>
  <si>
    <t>BP-DOCFILT - Platinum Support</t>
  </si>
  <si>
    <t>IGC BRAVA SOFTWARE SELECT Optional Office Drivers-Platinum Support</t>
  </si>
  <si>
    <t>BP-SPDTMC-C - Standard Support</t>
  </si>
  <si>
    <t>IGC BRAVA SOFTWARE SELECT: BRAVA FOR CAD SHAREPOINT 1000-1499 /SITE-Standard Support</t>
  </si>
  <si>
    <t>BP-SPDTMC-C - Platinum Support</t>
  </si>
  <si>
    <t>IGC BRAVA SOFTWARE SELECT: BRAVA FOR CAD SHAREPOINT 1000-1499 /SITE-Platinum Support</t>
  </si>
  <si>
    <t>BP-SPDTMC-D - Standard Support</t>
  </si>
  <si>
    <t>IGC BRAVA SOFTWARE SELECT: BRAVA FOR CAD SHAREPOINT 1500-1999 /SITE-Standard Support</t>
  </si>
  <si>
    <t>BP-SPDTMC-D - Platinum Support</t>
  </si>
  <si>
    <t>IGC BRAVA SOFTWARE SELECT: BRAVA FOR CAD SHAREPOINT 1500-1999 /SITE-Platinum Support</t>
  </si>
  <si>
    <t>BP-SPDTMC-E - Standard Support</t>
  </si>
  <si>
    <t>IGC BRAVA SOFTWARE SELECT: BRAVA FOR CAD SHAREPOINT 2000-4999; /SITE-Standard Support</t>
  </si>
  <si>
    <t>BP-SPDTMC-E - Platinum Support</t>
  </si>
  <si>
    <t>IGC BRAVA SOFTWARE SELECT: BRAVA FOR CAD SHAREPOINT 2000-4999; /SITE-Platinum Support</t>
  </si>
  <si>
    <t>BP-SPDTMC-F - Standard Support</t>
  </si>
  <si>
    <t>IGC BRAVA SOFTWARE SELECT: BRAVA FOR CAD SHAREPOINT 5000+; /SITE-Standard Support</t>
  </si>
  <si>
    <t>BP-SPDTMC-F - Platinum Support</t>
  </si>
  <si>
    <t>IGC BRAVA SOFTWARE SELECT: BRAVA FOR CAD SHAREPOINT 5000+; /SITE-Platinum Support</t>
  </si>
  <si>
    <t>BP-SPDTMC-B - Standard Support</t>
  </si>
  <si>
    <t>IGC BRAVA SOFTWARE SELECT: BRAVA FOR CAD SHAREPOINT 500-999 /SITE-Standard Support</t>
  </si>
  <si>
    <t>BP-SPDTMC-B - Platinum Support</t>
  </si>
  <si>
    <t>IGC BRAVA SOFTWARE SELECT: BRAVA FOR CAD SHAREPOINT 500-999 /SITE-Platinum Support</t>
  </si>
  <si>
    <t>BP-SPDTMC-M-A - Standard Support</t>
  </si>
  <si>
    <t>IGC BRAVA SOFTWARE SELECT: BRAVA FOR CAD SHAREPOINT25-499 /SITE-Standard Support</t>
  </si>
  <si>
    <t>BP-SPDTMC-M-A - Platinum Support</t>
  </si>
  <si>
    <t>IGC BRAVA SOFTWARE SELECT: BRAVA FOR CAD SHAREPOINT25-499 /SITE-Platinum Support</t>
  </si>
  <si>
    <t>BP-SPDTMI-C - Standard Support</t>
  </si>
  <si>
    <t>IGC BRAVA SOFTWARE SELECT: BRAVA FOR DOCS SHAREPOINT 1000-1499 /SITE-Standard Support</t>
  </si>
  <si>
    <t>BP-SPDTMI-C - Platinum Support</t>
  </si>
  <si>
    <t>IGC BRAVA SOFTWARE SELECT: BRAVA FOR DOCS SHAREPOINT 1000-1499 /SITE-Platinum Support</t>
  </si>
  <si>
    <t>BP-SPDTMI-D - Standard Support</t>
  </si>
  <si>
    <t>IGC BRAVA SOFTWARE SELECT: BRAVA FOR DOCS SHAREPOINT 1500-1999 /SITE-Standard Support</t>
  </si>
  <si>
    <t>BP-SPDTMI-D - Platinum Support</t>
  </si>
  <si>
    <t>IGC BRAVA SOFTWARE SELECT: BRAVA FOR DOCS SHAREPOINT 1500-1999 /SITE-Platinum Support</t>
  </si>
  <si>
    <t>BP-SPDTMI-E - Standard Support</t>
  </si>
  <si>
    <t>IGC BRAVA SOFTWARE SELECT: BRAVA FOR DOCS SHAREPOINT 2000-4999 /SITE-Standard Support</t>
  </si>
  <si>
    <t>BP-SPDTMI-E - Platinum Support</t>
  </si>
  <si>
    <t>IGC BRAVA SOFTWARE SELECT: BRAVA FOR DOCS SHAREPOINT 2000-4999 /SITE-Platinum Support</t>
  </si>
  <si>
    <t>BP-SPDTMI-A - Standard Support</t>
  </si>
  <si>
    <t>IGC BRAVA SOFTWARE SELECT: BRAVA FOR DOCS SHAREPOINT 25-499 /SITE-Standard Support</t>
  </si>
  <si>
    <t>BP-SPDTMI-A - Platinum Support</t>
  </si>
  <si>
    <t>IGC BRAVA SOFTWARE SELECT: BRAVA FOR DOCS SHAREPOINT 25-499 /SITE-Platinum Support</t>
  </si>
  <si>
    <t>BP-SPDTMI-F - Standard Support</t>
  </si>
  <si>
    <t>IGC BRAVA SOFTWARE SELECT: BRAVA FOR DOCS SHAREPOINT 5000+ /SITE-Standard Support</t>
  </si>
  <si>
    <t>BP-SPDTMI-F - Platinum Support</t>
  </si>
  <si>
    <t>IGC BRAVA SOFTWARE SELECT: BRAVA FOR DOCS SHAREPOINT 5000+ /SITE-Platinum Support</t>
  </si>
  <si>
    <t>BP-SPDTMI-B - Standard Support</t>
  </si>
  <si>
    <t>IGC BRAVA SOFTWARE SELECT: BRAVA FOR DOCS SHAREPOINT 500-999 /SITE-Standard Support</t>
  </si>
  <si>
    <t>BP-SPDTMI-B - Platinum Support</t>
  </si>
  <si>
    <t>IGC BRAVA SOFTWARE SELECT: BRAVA FOR DOCS SHAREPOINT 500-999 /SITE-Platinum Support</t>
  </si>
  <si>
    <t>ECONN-SAP-CS - Standard Support</t>
  </si>
  <si>
    <t>INTEGRATION ENTRPRISE APPS CONTENT SERVICES FOR SAP ST-Standard Support</t>
  </si>
  <si>
    <t>ECONN-SAP-CS - Platinum Support</t>
  </si>
  <si>
    <t>INTEGRATION ENTRPRISE APPS CONTENT SERVICES FOR SAP ST-Platinum Support</t>
  </si>
  <si>
    <t>ECONN-SAP-SA - Standard Support</t>
  </si>
  <si>
    <t>INTEGRATION ENTRPRISE APPS CONTENT SVCS FOR SAP SVR AGENT-Standard Support</t>
  </si>
  <si>
    <t>ECONN-SAP-SA - Platinum Support</t>
  </si>
  <si>
    <t>INTEGRATION ENTRPRISE APPS CONTENT SVCS FOR SAP SVR AGENT-Platinum Support</t>
  </si>
  <si>
    <t>ARCH-SVC-SAP - Standard Support</t>
  </si>
  <si>
    <t>INTEGRATION ENTRPRISE APPS FOR SAP-Standard Support</t>
  </si>
  <si>
    <t>ARCH-SVC-SAP - Platinum Support</t>
  </si>
  <si>
    <t>INTEGRATION ENTRPRISE APPS FOR SAP-Platinum Support</t>
  </si>
  <si>
    <t>457-100-370 - Standard Support</t>
  </si>
  <si>
    <t>IRM IRM SERVER DOCUMENTUM IRM SERVER BUNDLE-Standard Support</t>
  </si>
  <si>
    <t>457-100-370 - Platinum Support</t>
  </si>
  <si>
    <t>IRM IRM SERVER DOCUMENTUM IRM SERVER BUNDLE-Platinum Support</t>
  </si>
  <si>
    <t>456-102-323 - Standard Support</t>
  </si>
  <si>
    <t>MICROSOFT OFFICE SHAREPOINT SOURCEONE FOR MS SHAREPOINT-TIER1 ADD-ON-Standard Support</t>
  </si>
  <si>
    <t>456-102-323 - Platinum Support</t>
  </si>
  <si>
    <t>MICROSOFT OFFICE SHAREPOINT SOURCEONE FOR MS SHAREPOINT-TIER1 ADD-ON-Platinum Support</t>
  </si>
  <si>
    <t>456-102-321 - Standard Support</t>
  </si>
  <si>
    <t>MICROSOFT OFFICE SHAREPOINT SOURCEONE FOR MS SHAREPOINT-TIER1 STDAL-Standard Support</t>
  </si>
  <si>
    <t>456-102-321 - Platinum Support</t>
  </si>
  <si>
    <t>MICROSOFT OFFICE SHAREPOINT SOURCEONE FOR MS SHAREPOINT-TIER1 STDAL-Platinum Support</t>
  </si>
  <si>
    <t>456-102-324 - Standard Support</t>
  </si>
  <si>
    <t>MICROSOFT OFFICE SHAREPOINT SOURCEONE FOR MS SHAREPOINT-TIER2 ADD-ON-Standard Support</t>
  </si>
  <si>
    <t>456-102-324 - Platinum Support</t>
  </si>
  <si>
    <t>MICROSOFT OFFICE SHAREPOINT SOURCEONE FOR MS SHAREPOINT-TIER2 ADD-ON-Platinum Support</t>
  </si>
  <si>
    <t>456-102-322 - Standard Support</t>
  </si>
  <si>
    <t>MICROSOFT OFFICE SHAREPOINT SOURCEONE FOR MS SHAREPOINT-TIER2 STDAL-Standard Support</t>
  </si>
  <si>
    <t>456-102-322 - Platinum Support</t>
  </si>
  <si>
    <t>MICROSOFT OFFICE SHAREPOINT SOURCEONE FOR MS SHAREPOINT-TIER2 STDAL-Platinum Support</t>
  </si>
  <si>
    <t>457-100-594 - Standard Support</t>
  </si>
  <si>
    <t>MY DOCUMENTUM BUNDLE 1251-3000-Standard Support</t>
  </si>
  <si>
    <t>457-100-594 - Platinum Support</t>
  </si>
  <si>
    <t>MY DOCUMENTUM BUNDLE 1251-3000-Platinum Support</t>
  </si>
  <si>
    <t>457-100-590 - Standard Support</t>
  </si>
  <si>
    <t>MY DOCUMENTUM BUNDLE 1-50-Standard Support</t>
  </si>
  <si>
    <t>457-100-590 - Platinum Support</t>
  </si>
  <si>
    <t>MY DOCUMENTUM BUNDLE 1-50-Platinum Support</t>
  </si>
  <si>
    <t>457-100-592 - Standard Support</t>
  </si>
  <si>
    <t>MY DOCUMENTUM BUNDLE 201-500-Standard Support</t>
  </si>
  <si>
    <t>457-100-592 - Platinum Support</t>
  </si>
  <si>
    <t>MY DOCUMENTUM BUNDLE 201-500-Platinum Support</t>
  </si>
  <si>
    <t>457-100-597 - Standard Support</t>
  </si>
  <si>
    <t>MY DOCUMENTUM BUNDLE 25001-50000-Standard Support</t>
  </si>
  <si>
    <t>457-100-597 - Platinum Support</t>
  </si>
  <si>
    <t>MY DOCUMENTUM BUNDLE 25001-50000-Platinum Support</t>
  </si>
  <si>
    <t>457-100-595 - Standard Support</t>
  </si>
  <si>
    <t>MY DOCUMENTUM BUNDLE 3001-8500-Standard Support</t>
  </si>
  <si>
    <t>457-100-595 - Platinum Support</t>
  </si>
  <si>
    <t>MY DOCUMENTUM BUNDLE 3001-8500-Platinum Support</t>
  </si>
  <si>
    <t>457-100-598 - Standard Support</t>
  </si>
  <si>
    <t>MY DOCUMENTUM BUNDLE 50001-1000000-Standard Support</t>
  </si>
  <si>
    <t>457-100-598 - Platinum Support</t>
  </si>
  <si>
    <t>MY DOCUMENTUM BUNDLE 50001-1000000-Platinum Support</t>
  </si>
  <si>
    <t>457-100-593 - Standard Support</t>
  </si>
  <si>
    <t>MY DOCUMENTUM BUNDLE 501-1250-Standard Support</t>
  </si>
  <si>
    <t>457-100-593 - Platinum Support</t>
  </si>
  <si>
    <t>MY DOCUMENTUM BUNDLE 501-1250-Platinum Support</t>
  </si>
  <si>
    <t>457-100-591 - Standard Support</t>
  </si>
  <si>
    <t>MY DOCUMENTUM BUNDLE 51-200-Standard Support</t>
  </si>
  <si>
    <t>457-100-591 - Platinum Support</t>
  </si>
  <si>
    <t>MY DOCUMENTUM BUNDLE 51-200-Platinum Support</t>
  </si>
  <si>
    <t>457-100-596 - Standard Support</t>
  </si>
  <si>
    <t>MY DOCUMENTUM BUNDLE 8501-25000-Standard Support</t>
  </si>
  <si>
    <t>457-100-596 - Platinum Support</t>
  </si>
  <si>
    <t>MY DOCUMENTUM BUNDLE 8501-25000-Platinum Support</t>
  </si>
  <si>
    <t>MYD-OFFLN-ST - Standard Support</t>
  </si>
  <si>
    <t>MY DOCUMENTUM OFFLINE SEAT-Standard Support</t>
  </si>
  <si>
    <t>MYD-OFFLN-ST - Platinum Support</t>
  </si>
  <si>
    <t>MY DOCUMENTUM OFFLINE SEAT-Platinum Support</t>
  </si>
  <si>
    <t>DCTM-OSE - Standard Support</t>
  </si>
  <si>
    <t>ONSITE SUPPORT ENGINEER DSE - ONSITE - DCTM CONTENT MANAGEMENT-Standard Support</t>
  </si>
  <si>
    <t>DCTM-OSE - Platinum Support</t>
  </si>
  <si>
    <t>ONSITE SUPPORT ENGINEER DSE - ONSITE - DCTM CONTENT MANAGEMENT-Platinum Support</t>
  </si>
  <si>
    <t>EDISCVRY-OSE - Standard Support</t>
  </si>
  <si>
    <t>ONSITE SUPPORT ENGINEER DSE - ONSITE - EDISCOVERY-Standard Support</t>
  </si>
  <si>
    <t>EDISCVRY-OSE - Platinum Support</t>
  </si>
  <si>
    <t>ONSITE SUPPORT ENGINEER DSE - ONSITE - EDISCOVERY-Platinum Support</t>
  </si>
  <si>
    <t>EROOM-OSE - Standard Support</t>
  </si>
  <si>
    <t>ONSITE SUPPORT ENGINEER DSE - ONSITE - EROOM-Standard Support</t>
  </si>
  <si>
    <t>EROOM-OSE - Platinum Support</t>
  </si>
  <si>
    <t>ONSITE SUPPORT ENGINEER DSE - ONSITE - EROOM-Platinum Support</t>
  </si>
  <si>
    <t>IRM-OSE - Standard Support</t>
  </si>
  <si>
    <t>ONSITE SUPPORT ENGINEER DSE - ONSITE - INFORMATION RIGHTS MGMT-Standard Support</t>
  </si>
  <si>
    <t>IRM-OSE - Platinum Support</t>
  </si>
  <si>
    <t>ONSITE SUPPORT ENGINEER DSE - ONSITE - INFORMATION RIGHTS MGMT-Platinum Support</t>
  </si>
  <si>
    <t>PTSM-3001 - Standard Support</t>
  </si>
  <si>
    <t>PARTNER TECHNICAL SUPPORT SERVICE PARTNER TECHNICAL SUPPORT (CMA)-Standard Support</t>
  </si>
  <si>
    <t>PTSM-3001 - Platinum Support</t>
  </si>
  <si>
    <t>PARTNER TECHNICAL SUPPORT SERVICE PARTNER TECHNICAL SUPPORT (CMA)-Platinum Support</t>
  </si>
  <si>
    <t>457-100-438 - Standard Support</t>
  </si>
  <si>
    <t>PLATFORM CLIENT EXT PDF ANNOTATION SERVICES-Standard Support</t>
  </si>
  <si>
    <t>457-100-438 - Platinum Support</t>
  </si>
  <si>
    <t>PLATFORM CLIENT EXT PDF ANNOTATION SERVICES-Platinum Support</t>
  </si>
  <si>
    <t>457-100-369 - Standard Support</t>
  </si>
  <si>
    <t>PLATFORM DCTM XDB DOCUMENTUM XDB BUNDLING DDS-Standard Support</t>
  </si>
  <si>
    <t>457-100-369 - Platinum Support</t>
  </si>
  <si>
    <t>PLATFORM DCTM XDB DOCUMENTUM XDB BUNDLING DDS-Platinum Support</t>
  </si>
  <si>
    <t>457-100-410 - Standard Support</t>
  </si>
  <si>
    <t>PLATFORM FEDERATED SEARCH ADAPTER-Standard Support</t>
  </si>
  <si>
    <t>457-100-410 - Platinum Support</t>
  </si>
  <si>
    <t>PLATFORM FEDERATED SEARCH ADAPTER-Platinum Support</t>
  </si>
  <si>
    <t>PR456-100-539 - Standard Support</t>
  </si>
  <si>
    <t>PRIME OCR SOFTWARE SELECT: PRIMEOCR  1 CPU 2 OCR ENGINE  IA6-Standard Support</t>
  </si>
  <si>
    <t>PR456-100-539 - Platinum Support</t>
  </si>
  <si>
    <t>PRIME OCR SOFTWARE SELECT: PRIMEOCR  1 CPU 2 OCR ENGINE  IA6-Platinum Support</t>
  </si>
  <si>
    <t>PR456-010-539 - Standard Support</t>
  </si>
  <si>
    <t>PRIME OCR SOFTWARE SELECT: PRIMEOCR  1 CPU 2 OCR ENGINE IA5.3-Standard Support</t>
  </si>
  <si>
    <t>PR456-010-539 - Platinum Support</t>
  </si>
  <si>
    <t>PRIME OCR SOFTWARE SELECT: PRIMEOCR  1 CPU 2 OCR ENGINE IA5.3-Platinum Support</t>
  </si>
  <si>
    <t>PR456-010-394 - Standard Support</t>
  </si>
  <si>
    <t>PRIME OCR SOFTWARE SELECT: PRIMEOCR  1 CPU 3 OCR ENGINE  IA5.3-Standard Support</t>
  </si>
  <si>
    <t>PR456-010-394 - Platinum Support</t>
  </si>
  <si>
    <t>PRIME OCR SOFTWARE SELECT: PRIMEOCR  1 CPU 3 OCR ENGINE  IA5.3-Platinum Support</t>
  </si>
  <si>
    <t>PR456-100-394 - Standard Support</t>
  </si>
  <si>
    <t>PRIME OCR SOFTWARE SELECT: PRIMEOCR  1 CPU 3 OCR ENGINE  IA6-Standard Support</t>
  </si>
  <si>
    <t>PR456-100-394 - Platinum Support</t>
  </si>
  <si>
    <t>PRIME OCR SOFTWARE SELECT: PRIMEOCR  1 CPU 3 OCR ENGINE  IA6-Platinum Support</t>
  </si>
  <si>
    <t>PR456-010-400 - Standard Support</t>
  </si>
  <si>
    <t>PRIME OCR SOFTWARE SELECT: PRIMEOCR  1 CPU 6 OCR ENGINE  IA5.3-Standard Support</t>
  </si>
  <si>
    <t>PR456-010-400 - Platinum Support</t>
  </si>
  <si>
    <t>PRIME OCR SOFTWARE SELECT: PRIMEOCR  1 CPU 6 OCR ENGINE  IA5.3-Platinum Support</t>
  </si>
  <si>
    <t>PR456-100-400 - Standard Support</t>
  </si>
  <si>
    <t>PRIME OCR SOFTWARE SELECT: PRIMEOCR  1 CPU 6 OCR ENGINE  IA6-Standard Support</t>
  </si>
  <si>
    <t>PR456-100-400 - Platinum Support</t>
  </si>
  <si>
    <t>PRIME OCR SOFTWARE SELECT: PRIMEOCR  1 CPU 6 OCR ENGINE  IA6-Platinum Support</t>
  </si>
  <si>
    <t>PR456-010-395 - Standard Support</t>
  </si>
  <si>
    <t>PRIME OCR SOFTWARE SELECT: PRIMEOCR  2 CPU 6 OCR ENGINE  IA5.3-Standard Support</t>
  </si>
  <si>
    <t>PR456-010-395 - Platinum Support</t>
  </si>
  <si>
    <t>PRIME OCR SOFTWARE SELECT: PRIMEOCR  2 CPU 6 OCR ENGINE  IA5.3-Platinum Support</t>
  </si>
  <si>
    <t>PR456-100-395 - Standard Support</t>
  </si>
  <si>
    <t>PRIME OCR SOFTWARE SELECT: PRIMEOCR  2 CPU 6 OCR ENGINE  IA6-Standard Support</t>
  </si>
  <si>
    <t>PR456-100-395 - Platinum Support</t>
  </si>
  <si>
    <t>PRIME OCR SOFTWARE SELECT: PRIMEOCR  2 CPU 6 OCR ENGINE  IA6-Platinum Support</t>
  </si>
  <si>
    <t>PR456-010-396 - Standard Support</t>
  </si>
  <si>
    <t>PRIME OCR SOFTWARE SELECT: PRIMEOCR  4 CPU 6 OCR ENGINE  IA5.3-Standard Support</t>
  </si>
  <si>
    <t>PR456-010-396 - Platinum Support</t>
  </si>
  <si>
    <t>PRIME OCR SOFTWARE SELECT: PRIMEOCR  4 CPU 6 OCR ENGINE  IA5.3-Platinum Support</t>
  </si>
  <si>
    <t>PR456-100-396 - Standard Support</t>
  </si>
  <si>
    <t>PRIME OCR SOFTWARE SELECT: PRIMEOCR  4 CPU 6 OCR ENGINE  IA6-Standard Support</t>
  </si>
  <si>
    <t>PR456-100-396 - Platinum Support</t>
  </si>
  <si>
    <t>PRIME OCR SOFTWARE SELECT: PRIMEOCR  4 CPU 6 OCR ENGINE  IA6-Platinum Support</t>
  </si>
  <si>
    <t>PR456-010-397 - Standard Support</t>
  </si>
  <si>
    <t>PRIME OCR SOFTWARE SELECT: PRIMEOCR ASIAN OCR  IA5.3-Standard Support</t>
  </si>
  <si>
    <t>PR456-010-397 - Platinum Support</t>
  </si>
  <si>
    <t>PRIME OCR SOFTWARE SELECT: PRIMEOCR ASIAN OCR  IA5.3-Platinum Support</t>
  </si>
  <si>
    <t>PR456-100-397 - Standard Support</t>
  </si>
  <si>
    <t>PRIME OCR SOFTWARE SELECT: PRIMEOCR ASIAN OCR  IA6-Standard Support</t>
  </si>
  <si>
    <t>PR456-100-397 - Platinum Support</t>
  </si>
  <si>
    <t>PRIME OCR SOFTWARE SELECT: PRIMEOCR ASIAN OCR  IA6-Platinum Support</t>
  </si>
  <si>
    <t>PR456-100-401 - Standard Support</t>
  </si>
  <si>
    <t>PRIME OCR SOFTWARE SELECT: PRIMEOCR RUSSIAN OCR  IA6-Standard Support</t>
  </si>
  <si>
    <t>PR456-100-401 - Platinum Support</t>
  </si>
  <si>
    <t>PRIME OCR SOFTWARE SELECT: PRIMEOCR RUSSIAN OCR  IA6-Platinum Support</t>
  </si>
  <si>
    <t>PR456-010-399 - Standard Support</t>
  </si>
  <si>
    <t>PRIME OCR SOFTWARE SELECT: PRIMEVERIFY  IA5.3-Standard Support</t>
  </si>
  <si>
    <t>PR456-010-399 - Platinum Support</t>
  </si>
  <si>
    <t>PRIME OCR SOFTWARE SELECT: PRIMEVERIFY  IA5.3-Platinum Support</t>
  </si>
  <si>
    <t>PR456-100-399 - Standard Support</t>
  </si>
  <si>
    <t>PRIME OCR SOFTWARE SELECT: PRIMEVERIFY  IA6-Standard Support</t>
  </si>
  <si>
    <t>PR456-100-399 - Platinum Support</t>
  </si>
  <si>
    <t>PRIME OCR SOFTWARE SELECT: PRIMEVERIFY  IA6-Platinum Support</t>
  </si>
  <si>
    <t>AS-RPT-AFP - Standard Support</t>
  </si>
  <si>
    <t>REPORTS ARCH SVCS RPTS AFP TO PDF PLUG-IN-Standard Support</t>
  </si>
  <si>
    <t>AS-RPT-AFP - Platinum Support</t>
  </si>
  <si>
    <t>REPORTS ARCH SVCS RPTS AFP TO PDF PLUG-IN-Platinum Support</t>
  </si>
  <si>
    <t>AS-RPT-AFP-A - Standard Support</t>
  </si>
  <si>
    <t>REPORTS ARCH SVCS RPTS AFP TO PDF/A PLUG-IN CPU-Standard Support</t>
  </si>
  <si>
    <t>AS-RPT-AFP-A - Platinum Support</t>
  </si>
  <si>
    <t>REPORTS ARCH SVCS RPTS AFP TO PDF/A PLUG-IN CPU-Platinum Support</t>
  </si>
  <si>
    <t>AS-RPT-SPLIT - Standard Support</t>
  </si>
  <si>
    <t>REPORTS ARCH SVCS RPTS ENHANCER AND SPLITTER PLUG-IN-Standard Support</t>
  </si>
  <si>
    <t>AS-RPT-SPLIT - Platinum Support</t>
  </si>
  <si>
    <t>REPORTS ARCH SVCS RPTS ENHANCER AND SPLITTER PLUG-IN-Platinum Support</t>
  </si>
  <si>
    <t>AS-RPT-DJDE - Standard Support</t>
  </si>
  <si>
    <t>REPORTS ARCH SVCS RPTS METACODE DJDE TO PDF PLUG-IN CPU-Standard Support</t>
  </si>
  <si>
    <t>AS-RPT-DJDE - Platinum Support</t>
  </si>
  <si>
    <t>REPORTS ARCH SVCS RPTS METACODE DJDE TO PDF PLUG-IN CPU-Platinum Support</t>
  </si>
  <si>
    <t>AS-RPT-DJDE-A - Standard Support</t>
  </si>
  <si>
    <t>REPORTS ARCH SVCS RPTS METACODE DJDE TO PDF/A PLUG-IN CPU-Standard Support</t>
  </si>
  <si>
    <t>AS-RPT-DJDE-A - Platinum Support</t>
  </si>
  <si>
    <t>REPORTS ARCH SVCS RPTS METACODE DJDE TO PDF/A PLUG-IN CPU-Platinum Support</t>
  </si>
  <si>
    <t>AS-RPT-MADMN - Standard Support</t>
  </si>
  <si>
    <t>REPORTS ARCH SVCS RPTS MINING CLIENT ADMINISTRATOR SEAT-Standard Support</t>
  </si>
  <si>
    <t>AS-RPT-MADMN - Platinum Support</t>
  </si>
  <si>
    <t>REPORTS ARCH SVCS RPTS MINING CLIENT ADMINISTRATOR SEAT-Platinum Support</t>
  </si>
  <si>
    <t>AS-RPT-MCLNT - Standard Support</t>
  </si>
  <si>
    <t>REPORTS ARCH SVCS RPTS MINING CLIENT SEAT-Standard Support</t>
  </si>
  <si>
    <t>AS-RPT-MCLNT - Platinum Support</t>
  </si>
  <si>
    <t>REPORTS ARCH SVCS RPTS MINING CLIENT SEAT-Platinum Support</t>
  </si>
  <si>
    <t>AS-RPT-MIN1MC - Standard Support</t>
  </si>
  <si>
    <t>REPORTS ARCH SVCS RPTS MINING SERVER LEVEL 1 CORE-Standard Support</t>
  </si>
  <si>
    <t>AS-RPT-MIN1MC - Platinum Support</t>
  </si>
  <si>
    <t>REPORTS ARCH SVCS RPTS MINING SERVER LEVEL 1 CORE-Platinum Support</t>
  </si>
  <si>
    <t>AS-RPT-MIN2MC - Standard Support</t>
  </si>
  <si>
    <t>REPORTS ARCH SVCS RPTS MINING SERVER LEVEL 2 CORE-Standard Support</t>
  </si>
  <si>
    <t>AS-RPT-MIN2MC - Platinum Support</t>
  </si>
  <si>
    <t>REPORTS ARCH SVCS RPTS MINING SERVER LEVEL 2 CORE-Platinum Support</t>
  </si>
  <si>
    <t>AS-RPT-PCL-A - Standard Support</t>
  </si>
  <si>
    <t>REPORTS ARCH SVCS RPTS PCL DJDE TO PDF/A PLUG-IN CPU-Standard Support</t>
  </si>
  <si>
    <t>AS-RPT-PCL-A - Platinum Support</t>
  </si>
  <si>
    <t>REPORTS ARCH SVCS RPTS PCL DJDE TO PDF/A PLUG-IN CPU-Platinum Support</t>
  </si>
  <si>
    <t>AS-RPT-PCL - Standard Support</t>
  </si>
  <si>
    <t>REPORTS ARCH SVCS RPTS PCL TO PDF PLUG-IN-Standard Support</t>
  </si>
  <si>
    <t>AS-RPT-PCL - Platinum Support</t>
  </si>
  <si>
    <t>REPORTS ARCH SVCS RPTS PCL TO PDF PLUG-IN-Platinum Support</t>
  </si>
  <si>
    <t>AS-RPT-PS - Standard Support</t>
  </si>
  <si>
    <t>REPORTS ARCH SVCS RPTS POSTSCRIPT TO PDF PLUG-IN-Standard Support</t>
  </si>
  <si>
    <t>AS-RPT-PS - Platinum Support</t>
  </si>
  <si>
    <t>REPORTS ARCH SVCS RPTS POSTSCRIPT TO PDF PLUG-IN-Platinum Support</t>
  </si>
  <si>
    <t>AS-RPT-PS-A - Standard Support</t>
  </si>
  <si>
    <t>REPORTS ARCH SVCS RPTS POSTSCRIPT TO PDF/A PLUG-IN CPU-Standard Support</t>
  </si>
  <si>
    <t>AS-RPT-PS-A - Platinum Support</t>
  </si>
  <si>
    <t>REPORTS ARCH SVCS RPTS POSTSCRIPT TO PDF/A PLUG-IN CPU-Platinum Support</t>
  </si>
  <si>
    <t>AS-RPT-CLIENT - Standard Support</t>
  </si>
  <si>
    <t>REPORTS FOR REPORTS CLIENT ST-Standard Support</t>
  </si>
  <si>
    <t>AS-RPT-CLIENT - Platinum Support</t>
  </si>
  <si>
    <t>REPORTS FOR REPORTS CLIENT ST-Platinum Support</t>
  </si>
  <si>
    <t>AS-RPT-L2-MC - Standard Support</t>
  </si>
  <si>
    <t>REPORTS FOR REPORTS PROC SRVR LV2 CORE-Standard Support</t>
  </si>
  <si>
    <t>AS-RPT-L2-MC - Platinum Support</t>
  </si>
  <si>
    <t>REPORTS FOR REPORTS PROC SRVR LV2 CORE-Platinum Support</t>
  </si>
  <si>
    <t>AS-RPT-L1-MC - Standard Support</t>
  </si>
  <si>
    <t>REPORTS FOR REPORTS PROC SRVR LVL1 CORE-Standard Support</t>
  </si>
  <si>
    <t>AS-RPT-L1-MC - Platinum Support</t>
  </si>
  <si>
    <t>REPORTS FOR REPORTS PROC SRVR LVL1 CORE-Platinum Support</t>
  </si>
  <si>
    <t>AS-RPT-SPOOL - Standard Support</t>
  </si>
  <si>
    <t>REPORTS FOR REPORTS SPOOL CAPTURE SERVICE-Standard Support</t>
  </si>
  <si>
    <t>AS-RPT-SPOOL - Platinum Support</t>
  </si>
  <si>
    <t>REPORTS FOR REPORTS SPOOL CAPTURE SERVICE-Platinum Support</t>
  </si>
  <si>
    <t>AS-RPT-STUDIO - Standard Support</t>
  </si>
  <si>
    <t>REPORTS FOR REPORTS STUDIO ST-Standard Support</t>
  </si>
  <si>
    <t>AS-RPT-STUDIO - Platinum Support</t>
  </si>
  <si>
    <t>REPORTS FOR REPORTS STUDIO ST-Platinum Support</t>
  </si>
  <si>
    <t>AS-RPT-WEBL1 - Standard Support</t>
  </si>
  <si>
    <t>REPORTS FOR REPORTS WEB ACCESS LVL1 CPU-Standard Support</t>
  </si>
  <si>
    <t>AS-RPT-WEBL1 - Platinum Support</t>
  </si>
  <si>
    <t>REPORTS FOR REPORTS WEB ACCESS LVL1 CPU-Platinum Support</t>
  </si>
  <si>
    <t>456-102-536 - Standard Support</t>
  </si>
  <si>
    <t>SOURCEONE FOR FILE SYSTEMS, TIER 1, ADD-ON-Standard Support</t>
  </si>
  <si>
    <t>456-102-536 - Platinum Support</t>
  </si>
  <si>
    <t>SOURCEONE FOR FILE SYSTEMS, TIER 1, ADD-ON-Platinum Support</t>
  </si>
  <si>
    <t>456-102-537 - Standard Support</t>
  </si>
  <si>
    <t>SOURCEONE FOR FILE SYSTEMS, TIER 2, ADD-ON-Standard Support</t>
  </si>
  <si>
    <t>456-102-537 - Platinum Support</t>
  </si>
  <si>
    <t>SOURCEONE FOR FILE SYSTEMS, TIER 2, ADD-ON-Platinum Support</t>
  </si>
  <si>
    <t>IMPORT-MGR - Standard Support</t>
  </si>
  <si>
    <t>TOOLS DOCUMENTUM IMPORT MANAGER ST-Standard Support</t>
  </si>
  <si>
    <t>IMPORT-MGR - Platinum Support</t>
  </si>
  <si>
    <t>TOOLS DOCUMENTUM IMPORT MANAGER ST-Platinum Support</t>
  </si>
  <si>
    <t>AE#T024-001U-S</t>
  </si>
  <si>
    <t>Kofax Capture - Standard Concurrent Stations 1 concurrent station- Standard Support</t>
  </si>
  <si>
    <t>AE#T024-005U-S</t>
  </si>
  <si>
    <t>Kofax Capture - Standard Concurrent Stations 5 concurrent stations- Standard Support</t>
  </si>
  <si>
    <t>AE#T024-020U-S</t>
  </si>
  <si>
    <t>Kofax Capture - Standard Concurrent Stations 20 concurrent stations- Standard Support</t>
  </si>
  <si>
    <t>AE#T024-050U-S</t>
  </si>
  <si>
    <t>Kofax Capture - Standard Concurrent Stations 50 concurrent stations- Standard Support</t>
  </si>
  <si>
    <t>AE#T024-500U-S</t>
  </si>
  <si>
    <t>Kofax Capture - Standard Concurrent Stations 500 concurrent stations- Standard Support</t>
  </si>
  <si>
    <t>AE#T024-001K-S</t>
  </si>
  <si>
    <t>Kofax Capture - Standard Concurrent Stations 1000 concurrent stations- Standard Support</t>
  </si>
  <si>
    <t>AE#Y024-300K-S</t>
  </si>
  <si>
    <t>Kofax Capture - Standard Scan/Import Volume Image vol 300K/yr- Standard Support</t>
  </si>
  <si>
    <t>AE#Y024-600K-S</t>
  </si>
  <si>
    <t>Kofax Capture - Standard Scan/Import Volume Image vol 600K/yr- Standard Support</t>
  </si>
  <si>
    <t>AE#Y024-001M-S</t>
  </si>
  <si>
    <t>Kofax Capture - Standard Scan/Import Volume Image vol 1M/yr- Standard Support</t>
  </si>
  <si>
    <t>AE#Y024-002M-S</t>
  </si>
  <si>
    <t>Kofax Capture - Standard Scan/Import Volume Image vol 2M/yr- Standard Support</t>
  </si>
  <si>
    <t>AE#Y024-005M-S</t>
  </si>
  <si>
    <t>Kofax Capture - Standard Scan/Import Volume Image vol 5M/yr- Standard Support</t>
  </si>
  <si>
    <t>AE#Y024-010M-S</t>
  </si>
  <si>
    <t>Kofax Capture - Standard Scan/Import Volume Image vol 10M/yr- Standard Support</t>
  </si>
  <si>
    <t>AE#Y024-060M-S</t>
  </si>
  <si>
    <t>Kofax Capture - Standard Scan/Import Volume Image vol 60M/yr- Standard Support</t>
  </si>
  <si>
    <t>AE#Y024-120M-S</t>
  </si>
  <si>
    <t>Kofax Capture - Standard Scan/Import Volume Image vol 120M/yr- Standard Support</t>
  </si>
  <si>
    <t>AE#VP01-010M-S</t>
  </si>
  <si>
    <t>Kofax Capture - Standard Scan/Import Volume Image vol 10M  Page Count- Standard Support</t>
  </si>
  <si>
    <t>AE#Y099-060K-S</t>
  </si>
  <si>
    <t>Kofax Capture - Standard Stand-alone Systems Stand-alone 60K/yr- Standard Support</t>
  </si>
  <si>
    <t>AE#Y024U150K-300K-S</t>
  </si>
  <si>
    <t>Kofax Capture - Standard Stand-alone Systems Upg 150K-300K- Standard Support</t>
  </si>
  <si>
    <t>EV#0101-0000-S</t>
  </si>
  <si>
    <t>Kofax Capture - Evaluation System Standard Kofax Capture Evaluation- Standard Support</t>
  </si>
  <si>
    <t>AE#0000-0001-S</t>
  </si>
  <si>
    <t>Kofax Capture - Standard Kofax Capture Hardware Security (Dongle)- Standard Support</t>
  </si>
  <si>
    <t>EE#T024-001U-S</t>
  </si>
  <si>
    <t>Kofax Capture - Enterprise Concurrent Stations 1 concurrent station- Standard Support</t>
  </si>
  <si>
    <t>EE#T024-010U-S</t>
  </si>
  <si>
    <t>Kofax Capture - Enterprise Concurrent Stations 10 concurrent stations- Standard Support</t>
  </si>
  <si>
    <t>EE#T024-020U-S</t>
  </si>
  <si>
    <t>Kofax Capture - Enterprise Concurrent Stations 20 concurrent stations- Standard Support</t>
  </si>
  <si>
    <t>EE#T024-100U-S</t>
  </si>
  <si>
    <t>Kofax Capture - Enterprise Concurrent Stations 100 concurrent stations- Standard Support</t>
  </si>
  <si>
    <t>EE#T024-500U-S</t>
  </si>
  <si>
    <t>Kofax Capture - Enterprise Concurrent Stations 500 concurrent stations- Standard Support</t>
  </si>
  <si>
    <t>EE#Y024-600K-S</t>
  </si>
  <si>
    <t>Kofax Capture - Enterprise Scan/Import Volume Image vol 600K/yr-Ent- Standard Support</t>
  </si>
  <si>
    <t>EE#Y024-001M-S</t>
  </si>
  <si>
    <t>Kofax Capture - Enterprise Scan/Import Volume Image vol 1M/yr-Ent- Standard Support</t>
  </si>
  <si>
    <t>EE#Y024-005M-S</t>
  </si>
  <si>
    <t>Kofax Capture - Enterprise Scan/Import Volume Image vol 5M/yr-Ent- Standard Support</t>
  </si>
  <si>
    <t>EE#Y024-010M-S</t>
  </si>
  <si>
    <t>Kofax Capture - Enterprise Scan/Import Volume Image vol 10M/yr-Ent- Standard Support</t>
  </si>
  <si>
    <t>EE#Y024-060M-S</t>
  </si>
  <si>
    <t>Kofax Capture - Enterprise Scan/Import Volume Image vol 60M/yr-Ent- Standard Support</t>
  </si>
  <si>
    <t>EE#Y024-120M-S</t>
  </si>
  <si>
    <t>Kofax Capture - Enterprise Scan/Import Volume Image vol 120M/yr-Ent- Standard Support</t>
  </si>
  <si>
    <t>EE#VP01-010M-S</t>
  </si>
  <si>
    <t>Kofax Capture - Enterprise Scan/Import Volume Image vol 10M  Page Ct-Ent- Standard Support</t>
  </si>
  <si>
    <t>KOFAX-MEDIA-CAPTURE-S</t>
  </si>
  <si>
    <t>Kofax Capture - Enterprise Kofax Capture Media Pack- Standard Support</t>
  </si>
  <si>
    <t>AE#VY97-060K -S</t>
  </si>
  <si>
    <t>Kofax Capture - Add-ons Kofax Capture Export Connector - SAP KCEC-ERP Queue 60K- Standard Support</t>
  </si>
  <si>
    <t>AE#VY97-060M-S</t>
  </si>
  <si>
    <t>Kofax Capture - Add-ons Kofax Capture Export Connector - SAP KCEC-ERP Queue 060M- Standard Support</t>
  </si>
  <si>
    <t>AE#VY96-060K-S</t>
  </si>
  <si>
    <t>Kofax Capture - Add-ons Kofax Capture Export Connector - SAP KCEC-ERP-LIGHT-60K- Standard Support</t>
  </si>
  <si>
    <t>AE#VY96-600K-S</t>
  </si>
  <si>
    <t>Kofax Capture - Add-ons Kofax Capture Export Connector - SAP KCEC-ERP-LIGHT-600K- Standard Support</t>
  </si>
  <si>
    <t>AE#VY96-001M-S</t>
  </si>
  <si>
    <t>Kofax Capture - Add-ons Kofax Capture Export Connector - SAP KCEC-ERP-LIGHT-001M- Standard Support</t>
  </si>
  <si>
    <t>AE#VY98-060K-S</t>
  </si>
  <si>
    <t>Kofax Capture - Add-ons Kofax Capture Export Connector - SAP KCEC-ERP-FULL-60K- Standard Support</t>
  </si>
  <si>
    <t>AE#VY98-300K-S</t>
  </si>
  <si>
    <t>Kofax Capture - Add-ons Kofax Capture Export Connector - SAP KCEC-ERP-FULL-300K- Standard Support</t>
  </si>
  <si>
    <t>AE#VY98-001M-S</t>
  </si>
  <si>
    <t>Kofax Capture - Add-ons Kofax Capture Export Connector - SAPKCEC-ERP-FULL-001M- Standard Support</t>
  </si>
  <si>
    <t>AE#VY98-060M-S</t>
  </si>
  <si>
    <t>Kofax Capture - Add-ons Kofax Capture Export Connector - SAP KCEC-ERP-FULL-060M- Standard Support</t>
  </si>
  <si>
    <t>AE#VY21-300K-S</t>
  </si>
  <si>
    <t>Kofax Capture - Add-ons Kofax Capture Advanced Reports 300K/yr- Standard Support</t>
  </si>
  <si>
    <t>AE#VY21-600K-S</t>
  </si>
  <si>
    <t>Kofax Capture - Add-ons Kofax Capture Advanced Reports 600K/yr- Standard Support</t>
  </si>
  <si>
    <t>AE#VY21-002M-S</t>
  </si>
  <si>
    <t>Kofax Capture - Add-ons Kofax Capture Advanced Reports 2M/yr- Standard Support</t>
  </si>
  <si>
    <t>AE#VY21-005M-S</t>
  </si>
  <si>
    <t>Kofax Capture - Add-ons Kofax Capture Advanced Reports 5M/yr- Standard Support</t>
  </si>
  <si>
    <t>AE#VY21-020M-S</t>
  </si>
  <si>
    <t>Kofax Capture - Add-ons Kofax Capture Advanced Reports 20M/yr- Standard Support</t>
  </si>
  <si>
    <t>AE#VY21-060M-S</t>
  </si>
  <si>
    <t>Kofax Capture - Add-ons Kofax Capture Advanced Reports 60M/yr- Standard Support</t>
  </si>
  <si>
    <t>AE#T003-0207-S</t>
  </si>
  <si>
    <t>Kofax Capture - Add-ons Kofax Capture Import Connector-Folder- Standard Support</t>
  </si>
  <si>
    <t>AE#T003-0214-S</t>
  </si>
  <si>
    <t>Kofax Capture - Add-ons Kofax Capture VRS Server Add-on - Standard Support</t>
  </si>
  <si>
    <t>AE#T600-300K-S</t>
  </si>
  <si>
    <t>Kofax Capture - Add-ons Kofax Capture Import Connector – Advanced Email and Fax up to 300k msgs / year- Standard Support</t>
  </si>
  <si>
    <t>AE#T600-600K-S</t>
  </si>
  <si>
    <t>Kofax Capture - Add-ons Kofax Capture Import Connector – Advanced Email and Fax up to 600k msgs / year- Standard Support</t>
  </si>
  <si>
    <t>AE#T600-002M-S</t>
  </si>
  <si>
    <t>Kofax Capture - Add-ons Kofax Capture Import Connector – Advanced Email and Fax up to 2M msgs / year- Standard Support</t>
  </si>
  <si>
    <t>AE#T600-005M-S</t>
  </si>
  <si>
    <t>Kofax Capture - Add-ons Kofax Capture Import Connector – Advanced Email and Fax up to 5M msgs / year- Standard Support</t>
  </si>
  <si>
    <t>AE#T600-020M-S</t>
  </si>
  <si>
    <t>Kofax Capture - Add-ons Kofax Capture Import Connector – Advanced Email and Fax up to 20M msgs / year- Standard Support</t>
  </si>
  <si>
    <t>AE#T600-060M-S</t>
  </si>
  <si>
    <t>Kofax Capture - Add-ons Kofax Capture Import Connector – Advanced Email and Fax up to 60M msgs / year- Standard Support</t>
  </si>
  <si>
    <t>AE#P600-001M-S</t>
  </si>
  <si>
    <t>Kofax Capture - Add-ons Kofax Capture Import Connector – Advanced Email and Fax up to 1M msgs count- Standard Support</t>
  </si>
  <si>
    <t>AE#P600-010M-S</t>
  </si>
  <si>
    <t>Kofax Capture - Add-ons Kofax Capture Import Connector – Advanced Email and Fax up to 10M msgs count- Standard Support</t>
  </si>
  <si>
    <t>AE#T602-0000 -S</t>
  </si>
  <si>
    <t>Kofax Capture - Add-ons Kofax Capture Import Connector for 2 Fax Server Connections Basic licenses- Standard Support</t>
  </si>
  <si>
    <t>AE#T603-0000 -S</t>
  </si>
  <si>
    <t>Kofax Capture - Add-ons Kofax Capture Import Connector for 3 Fax Server Connections Basic licenses- Standard Support</t>
  </si>
  <si>
    <t>AE#T606-0000 -S</t>
  </si>
  <si>
    <t>Kofax Capture - Add-ons Kofax Capture Import Connector for 6 Fax Server Connections Basic licenses- Standard Support</t>
  </si>
  <si>
    <t>AE#T608-0000 -S</t>
  </si>
  <si>
    <t>Kofax Capture - Add-ons Kofax Capture Import Connector for 8 Fax Server Connections Basic licenses- Standard Support</t>
  </si>
  <si>
    <t>AE#T601U0603 -S</t>
  </si>
  <si>
    <t>Kofax Capture - Add-ons Upgrade KCIC 2.0 from 1 to 3 Fax Servers- Standard Support</t>
  </si>
  <si>
    <t>AE#T601U0604  -S</t>
  </si>
  <si>
    <t>Kofax Capture - Add-ons Upgrade KCIC 2.0 from 1 to 4 Fax Servers- Standard Support</t>
  </si>
  <si>
    <t>AE#T601U0608  -S</t>
  </si>
  <si>
    <t>Kofax Capture - Add-ons Upgrade KCIC 2.0 from 1 to 8 Fax Servers- Standard Support</t>
  </si>
  <si>
    <t>AE#T602U0603  -S</t>
  </si>
  <si>
    <t>Kofax Capture - Add-ons Upgrade KCIC 2.0 from 2 to 3 Fax Servers- Standard Support</t>
  </si>
  <si>
    <t>AE#T602U0606   -S</t>
  </si>
  <si>
    <t>Kofax Capture - Add-ons Upgrade KCIC 2.0 from 2 to 6 Fax Servers- Standard Support</t>
  </si>
  <si>
    <t>AE#T602U0608  -S</t>
  </si>
  <si>
    <t>Kofax Capture - Add-ons Upgrade KCIC 2.0 from 2 to 8 Fax Servers- Standard Support</t>
  </si>
  <si>
    <t>AE#T603U0606  -S</t>
  </si>
  <si>
    <t>Kofax Capture - Add-ons Upgrade KCIC 2.0 from 3 to 6 Fax Servers- Standard Support</t>
  </si>
  <si>
    <t>AE#T603U0608  -S</t>
  </si>
  <si>
    <t>Kofax Capture - Add-ons Upgrade KCIC 2.0 from 3 to 8 Fax Servers- Standard Support</t>
  </si>
  <si>
    <t>AE#T604U0608  -S</t>
  </si>
  <si>
    <t>Kofax Capture - Add-ons Upgrade KCIC 2.0 from 4 to 8 Fax Servers- Standard Support</t>
  </si>
  <si>
    <t>AE#T606U0608  -S</t>
  </si>
  <si>
    <t>Kofax Capture - Add-ons Upgrade KCIC 2.0 from 6 to 8 Fax Servers- Standard Support</t>
  </si>
  <si>
    <t>AE#T026-0000-S</t>
  </si>
  <si>
    <t>Kofax Capture - Add-ons VRS for Kofax Capture - New Licenses VRS Elite Workgroup- Standard Support</t>
  </si>
  <si>
    <t>AE#T027-0000-S</t>
  </si>
  <si>
    <t>Kofax Capture - Add-ons VRS for Kofax Capture - New Licenses VRS Elite Production- Standard Support</t>
  </si>
  <si>
    <t>UE#T026-0000-S</t>
  </si>
  <si>
    <t>Kofax Capture - Add-ons VRS for Kofax Capture - New Licenses VRS Elite Workgroup Upgrade for Kofax Capture- Standard Support</t>
  </si>
  <si>
    <t>UE#T027-0000-S</t>
  </si>
  <si>
    <t>Kofax Capture - Add-ons VRS for Kofax Capture - New Licenses VRS Elite Production Upgrade for Kofax Capture- Standard Support</t>
  </si>
  <si>
    <t>AE#VY10-300K-S</t>
  </si>
  <si>
    <t>Kofax Capture - Add-ons Full Text PDF  PDF I +T 300K/yr- Standard Support</t>
  </si>
  <si>
    <t>AE#VY10-600K-S</t>
  </si>
  <si>
    <t>Kofax Capture - Add-ons Full Text PDF  PDF I+T 600K/yr- Standard Support</t>
  </si>
  <si>
    <t>AE#VY10-002M-S</t>
  </si>
  <si>
    <t>Kofax Capture - Add-ons Full Text PDF  PDF I+T 2M/Yr- Standard Support</t>
  </si>
  <si>
    <t>AE#VY10-005M-S</t>
  </si>
  <si>
    <t>Kofax Capture - Add-ons Full Text PDF  PDF I+T 5M/Yr- Standard Support</t>
  </si>
  <si>
    <t>AE#VY10-020M-S</t>
  </si>
  <si>
    <t>Kofax Capture - Add-ons Full Text PDF  PDF I+T 20M/Yr- Standard Support</t>
  </si>
  <si>
    <t>AE#VY10-060M-S</t>
  </si>
  <si>
    <t>Kofax Capture - Add-ons Full Text PDF  PDF I+T 60M/Yr- Standard Support</t>
  </si>
  <si>
    <t>AE#VP10-001M-S</t>
  </si>
  <si>
    <t>Kofax Capture - Add-ons Full Text PDF  PDF I+T 1M/Pg Count- Standard Support</t>
  </si>
  <si>
    <t>AE#VP10-002M-S</t>
  </si>
  <si>
    <t>Kofax Capture - Add-ons Full Text PDF  PDF I+T 2M/Pg Count- Standard Support</t>
  </si>
  <si>
    <t>AE#Y505-060K-S</t>
  </si>
  <si>
    <t>Kofax Capture - Add-ons Kofax PDF Compression  PDF Compression Vol 60K/Yr- Standard Support</t>
  </si>
  <si>
    <t>AE#Y505-300K-S</t>
  </si>
  <si>
    <t>Kofax Capture - Add-ons Kofax PDF Compression  PDF Compression Vol 300K/Yr- Standard Support</t>
  </si>
  <si>
    <t>AE#Y505-001M-S</t>
  </si>
  <si>
    <t>Kofax Capture - Add-ons Kofax PDF Compression  PDF Compression Vol 1M/Yr- Standard Support</t>
  </si>
  <si>
    <t>AE#Y505-002M-S</t>
  </si>
  <si>
    <t>Kofax Capture - Add-ons Kofax PDF Compression  PDF Compression Vol 2M/Yr- Standard Support</t>
  </si>
  <si>
    <t>AE#Y505-010M-S</t>
  </si>
  <si>
    <t>Kofax Capture - Add-ons Kofax PDF Compression  PDF Compression Vol 10M/Yr- Standard Support</t>
  </si>
  <si>
    <t>AE#Y505-020M-S</t>
  </si>
  <si>
    <t>Kofax Capture - Add-ons Kofax PDF Compression  PDF Compression Vol 20M/Yr- Standard Support</t>
  </si>
  <si>
    <t>AE#Y505-120M-S</t>
  </si>
  <si>
    <t>Kofax Capture - Add-ons Kofax PDF Compression  PDF Compression Vol 120M/Yr- Standard Support</t>
  </si>
  <si>
    <t>AE#P505-001M-S</t>
  </si>
  <si>
    <t>Kofax Capture - Add-ons Kofax PDF Compression  PDF Compression Vol 1M Pg Cnt- Standard Support</t>
  </si>
  <si>
    <t>AE#P505-010M-S</t>
  </si>
  <si>
    <t>Kofax Capture - Add-ons Kofax PDF Compression  PDF Compression Vol 10M Pg Cnt- Standard Support</t>
  </si>
  <si>
    <t>AO#AOCR-00AD-S</t>
  </si>
  <si>
    <t>Kofax Capture - Add-ons Kofax PDF Compression  Arabic Full Text OCR Add'l Workst. Dongle- Standard Support</t>
  </si>
  <si>
    <t>AO#Y024-300K-S</t>
  </si>
  <si>
    <t>Kofax Capture - Add-ons Kofax PDF Compression  Arabic Full Text OCR 300K Pages/Year- Standard Support</t>
  </si>
  <si>
    <t>AO#Y024-600K-S</t>
  </si>
  <si>
    <t>Kofax Capture - Add-ons Kofax PDF Compression  Arabic Full Text OCR 600K Pages/Year- Standard Support</t>
  </si>
  <si>
    <t>AO#Y024-002M-S</t>
  </si>
  <si>
    <t>Kofax Capture - Add-ons Kofax PDF Compression  Arabic Full Text OCR 2M Pages/Year- Standard Support</t>
  </si>
  <si>
    <t>AO#Y024-005M-S</t>
  </si>
  <si>
    <t>Kofax Capture - Add-ons Kofax PDF Compression  Arabic Full Text OCR 5M Pages/Year- Standard Support</t>
  </si>
  <si>
    <t>AO#Y024-020M-S</t>
  </si>
  <si>
    <t>Kofax Capture - Add-ons Kofax PDF Compression  Arabic Full Text OCR 20M Pages/Year- Standard Support</t>
  </si>
  <si>
    <t>AO#Y024-060M-S</t>
  </si>
  <si>
    <t>Kofax Capture - Add-ons Kofax PDF Compression  Arabic Full Text OCR 60 M Pages/Year- Standard Support</t>
  </si>
  <si>
    <t>AO#VP01-010M-S</t>
  </si>
  <si>
    <t>Kofax Capture - Add-ons Kofax PDF Compression  Arabic Full Text OCR 10M Page Count- Standard Support</t>
  </si>
  <si>
    <t>AO#EVAL-0001-S</t>
  </si>
  <si>
    <t>Kofax Capture - Add-ons Kofax PDF Compression  Arabic Full Text  OCR Evaluation Dongle- Standard Support</t>
  </si>
  <si>
    <t>AE#Y522-030K-S</t>
  </si>
  <si>
    <t>Kofax Transformation Modules KTM 5 Field Extraction Base License 30K Per Year- Standard Support</t>
  </si>
  <si>
    <t>AE#Y522-060K-S</t>
  </si>
  <si>
    <t>Kofax Transformation Modules KTM 5 Field Extraction Base License 60K Per Year- Standard Support</t>
  </si>
  <si>
    <t>AE#Y522-300K-S</t>
  </si>
  <si>
    <t>Kofax Transformation Modules KTM 5 Field Extraction Base License 300K Per Year- Standard Support</t>
  </si>
  <si>
    <t>AE#Y522-600K-S</t>
  </si>
  <si>
    <t>Kofax Transformation Modules KTM 5 Field Extraction Base License 600K Per Year- Standard Support</t>
  </si>
  <si>
    <t>AE#Y522-002M-S</t>
  </si>
  <si>
    <t>Kofax Transformation Modules KTM 5 Field Extraction Base License 2M Per Year- Standard Support</t>
  </si>
  <si>
    <t>AE#Y522-005M-S</t>
  </si>
  <si>
    <t>Kofax Transformation Modules KTM 5 Field Extraction Base License 5M Per Year- Standard Support</t>
  </si>
  <si>
    <t>AE#Y522-020M-S</t>
  </si>
  <si>
    <t>Kofax Transformation Modules KTM 5 Field Extraction Base License 20M Per Year- Standard Support</t>
  </si>
  <si>
    <t>AE#Y522-060M-S</t>
  </si>
  <si>
    <t>Kofax Transformation Modules KTM 5 Field Extraction Base License 60M Per Year- Standard Support</t>
  </si>
  <si>
    <t>AE#P522-001M-S</t>
  </si>
  <si>
    <t>Kofax Transformation Modules KTM 5 Field Extraction Base License1M Page Count- Standard Support</t>
  </si>
  <si>
    <t>AE#P522-002M-S</t>
  </si>
  <si>
    <t>Kofax Transformation Modules KTM 5 Field Extraction Base License 2M Page Count- Standard Support</t>
  </si>
  <si>
    <t>AE#Y523-030K-S</t>
  </si>
  <si>
    <t>Kofax Transformation Modules KTM Unlimited Field Extraction Base License 30K Per Year- Standard Support</t>
  </si>
  <si>
    <t>AE#Y523-060K-S</t>
  </si>
  <si>
    <t>Kofax Transformation Modules KTM Unlimited Field Extraction Base License 60K Per Year- Standard Support</t>
  </si>
  <si>
    <t>AE#Y523-300K-S</t>
  </si>
  <si>
    <t>Kofax Transformation Modules KTM Unlimited Field Extraction Base License 300K Per Year- Standard Support</t>
  </si>
  <si>
    <t>AE#Y523-600K-S</t>
  </si>
  <si>
    <t>Kofax Transformation Modules KTM Unlimited Field Extraction Base License 600K Per Year- Standard Support</t>
  </si>
  <si>
    <t>AE#Y523-002M-S</t>
  </si>
  <si>
    <t>Kofax Transformation Modules Kofax Transformation Modules KTM Unlimited Field Extraction Base License 2M Per Year- Standard Support</t>
  </si>
  <si>
    <t>AE#Y523-005M-S</t>
  </si>
  <si>
    <t>Kofax Transformation Modules KTM Unlimited Field Extraction Base License 5M Per Year- Standard Support</t>
  </si>
  <si>
    <t>AE#Y523-020M-S</t>
  </si>
  <si>
    <t>Kofax Transformation Modules KTM Unlimited Field Extraction Base License 20M Per Year- Standard Support</t>
  </si>
  <si>
    <t>AE#Y523-060M-S</t>
  </si>
  <si>
    <t>Kofax Transformation Modules KTM Unlimited Field Extraction Base License 60M Per Year- Standard Support</t>
  </si>
  <si>
    <t>AE#P523-010M-S</t>
  </si>
  <si>
    <t>Kofax Transformation Modules KTM Unlimited Field Extraction Base License 10M Page Count- Standard Support</t>
  </si>
  <si>
    <t>AE#Y533-030K-S</t>
  </si>
  <si>
    <t>Kofax Transformation Modules KTM Invoice Add-on Pack 30K Per Year- Standard Support</t>
  </si>
  <si>
    <t>AE#Y533-060K-S</t>
  </si>
  <si>
    <t>Kofax Transformation Modules KTM Invoice Add-on Pack 60K Per Year- Standard Support</t>
  </si>
  <si>
    <t>AE#Y533-120K-S</t>
  </si>
  <si>
    <t>Kofax Transformation Modules KTM Invoice Add-on Pack 120K Per Year- Standard Support</t>
  </si>
  <si>
    <t>AE#Y533-300K-S</t>
  </si>
  <si>
    <t>Kofax Transformation Modules KTM Invoice Add-on Pack 300K Per Year- Standard Support</t>
  </si>
  <si>
    <t>AE#Y533-600K-S</t>
  </si>
  <si>
    <t>Kofax Transformation Modules KTM Invoice Add-on Pack 600K Per Year- Standard Support</t>
  </si>
  <si>
    <t>AE#Y533-002M-S</t>
  </si>
  <si>
    <t>Kofax Transformation Modules KTM Invoice Add-on Pack 2M Per Year- Standard Support</t>
  </si>
  <si>
    <t>AE#Y533-005M-S</t>
  </si>
  <si>
    <t>Kofax Transformation Modules KTM Invoice Add-on Pack 5M Per Year- Standard Support</t>
  </si>
  <si>
    <t>AE#Y533-060M-S</t>
  </si>
  <si>
    <t>Kofax Transformation Modules KTM Invoice Add-on Pack 60M Per Year- Standard Support</t>
  </si>
  <si>
    <t>AE#Y533-120M-S</t>
  </si>
  <si>
    <t>Kofax Transformation Modules KTM Invoice Add-on Pack 120M Per Year- Standard Support</t>
  </si>
  <si>
    <t>AE#P533-001M-S</t>
  </si>
  <si>
    <t>Kofax Transformation Modules KTM Invoice Add-on Pack 1M Page Count- Standard Support</t>
  </si>
  <si>
    <t>AE#P533-002M-S</t>
  </si>
  <si>
    <t>Kofax Transformation Modules KTM Invoice Add-on Pack 2M Page Count- Standard Support</t>
  </si>
  <si>
    <t>AE#VY86-030K-S</t>
  </si>
  <si>
    <t>Kofax Transformation Modules KTM Table Extraction 30K Per Year- Standard Support</t>
  </si>
  <si>
    <t>AE#VY86-060K-S</t>
  </si>
  <si>
    <t>Kofax Transformation Modules KTM Table Extraction 60K Per Year- Standard Support</t>
  </si>
  <si>
    <t>AE#VY86-300K-S</t>
  </si>
  <si>
    <t>Kofax Transformation Modules KTM Table Extraction 300K Per Year- Standard Support</t>
  </si>
  <si>
    <t>AE#VY86-600K-S</t>
  </si>
  <si>
    <t>Kofax Transformation Modules KTM Table Extraction 600K Per Year- Standard Support</t>
  </si>
  <si>
    <t>AE#VY86-002M-S</t>
  </si>
  <si>
    <t>Kofax Transformation Modules KTM Table Extraction 2M Per Year- Standard Support</t>
  </si>
  <si>
    <t>AE#VY86-005M-S</t>
  </si>
  <si>
    <t>Kofax Transformation Modules KTM Table Extraction 5M Per Year- Standard Support</t>
  </si>
  <si>
    <t>AE#VY86-020M-S</t>
  </si>
  <si>
    <t>Kofax Transformation Modules KTM Table Extraction 20M Per Year- Standard Support</t>
  </si>
  <si>
    <t>AE#VY86-060M-S</t>
  </si>
  <si>
    <t>Kofax Transformation Modules KTM Table Extraction 60M Per Year- Standard Support</t>
  </si>
  <si>
    <t>AE#VP86-001M-S</t>
  </si>
  <si>
    <t>Kofax Transformation Modules KTM Table Extraction 1M Page Count- Standard Support</t>
  </si>
  <si>
    <t>AE#VP86-002M-S</t>
  </si>
  <si>
    <t>Kofax Transformation Modules KTM Table Extraction 2M Page Count- Standard Support</t>
  </si>
  <si>
    <t>AE#Y512-030K-S</t>
  </si>
  <si>
    <t>Kofax Transformation Modules KTM Professional Add-on 30K Per Year- Standard Support</t>
  </si>
  <si>
    <t>AE#Y512-060K-S</t>
  </si>
  <si>
    <t>Kofax Transformation Modules KTM Professional Add-on 60K Per Year- Standard Support</t>
  </si>
  <si>
    <t>AE#Y512-300K-S</t>
  </si>
  <si>
    <t>Kofax Transformation Modules KTM Professional Add-on 300K Per Year- Standard Support</t>
  </si>
  <si>
    <t>AE#Y512-600K-S</t>
  </si>
  <si>
    <t>Kofax Transformation Modules KTM Professional Add-on 600K Per Year- Standard Support</t>
  </si>
  <si>
    <t>AE#Y512-002M-S</t>
  </si>
  <si>
    <t>Kofax Transformation Modules KTM Professional Add-on 2M Per Year- Standard Support</t>
  </si>
  <si>
    <t>AE#Y512-005M-S</t>
  </si>
  <si>
    <t>Kofax Transformation Modules KTM Professional Add-on 5M Per Year- Standard Support</t>
  </si>
  <si>
    <t>AE#Y512-020M-S</t>
  </si>
  <si>
    <t>Kofax Transformation Modules KTM Professional Add-on 20M Per Year- Standard Support</t>
  </si>
  <si>
    <t>AE#Y512-060M-S</t>
  </si>
  <si>
    <t>Kofax Transformation Modules KTM Professional Add-on 60M Per Year- Standard Support</t>
  </si>
  <si>
    <t>AE#P512-001M-S</t>
  </si>
  <si>
    <t>Kofax Transformation Modules KTM Professional Add-on 1M Page Count- Standard Support</t>
  </si>
  <si>
    <t>AE#P512-002M-S</t>
  </si>
  <si>
    <t>Kofax Transformation Modules KTM Professional Add-on 2M Page Count- Standard Support</t>
  </si>
  <si>
    <t>AE#Y514-030K-S</t>
  </si>
  <si>
    <t>Kofax Transformation Modules KTM Cursive Field Recognition  30K Per Year- Standard Support</t>
  </si>
  <si>
    <t>AE#Y514-060K-S</t>
  </si>
  <si>
    <t>Kofax Transformation Modules KTM Cursive Field Recognition  60K Per Year- Standard Support</t>
  </si>
  <si>
    <t>AE#Y514-600K-S</t>
  </si>
  <si>
    <t>Kofax Transformation Modules KTM Cursive Field Recognition  600K Per Year- Standard Support</t>
  </si>
  <si>
    <t>AE#Y514-001M-S</t>
  </si>
  <si>
    <t>Kofax Transformation Modules KTM Cursive Field Recognition  1M Per Year- Standard Support</t>
  </si>
  <si>
    <t>AE#Y514-002M-S</t>
  </si>
  <si>
    <t>Kofax Transformation Modules KTM Cursive Field Recognition  2M Per Year- Standard Support</t>
  </si>
  <si>
    <t>AE#Y514-005M-S</t>
  </si>
  <si>
    <t>Kofax Transformation Modules KTM Cursive Field Recognition  5M Per Year- Standard Support</t>
  </si>
  <si>
    <t>AE#Y514-060M-S</t>
  </si>
  <si>
    <t>Kofax Transformation Modules KTM Cursive Field Recognition  60M Per Year- Standard Support</t>
  </si>
  <si>
    <t>AE#Y514-120M-S</t>
  </si>
  <si>
    <t>Kofax Transformation Modules KTM Cursive Field Recognition  120M Per Year- Standard Support</t>
  </si>
  <si>
    <t>AE#P514-001M-S</t>
  </si>
  <si>
    <t>Kofax Transformation Modules KTM Cursive Field Recognition  1M Page Count- Standard Support</t>
  </si>
  <si>
    <t>AE#P514-002M-S</t>
  </si>
  <si>
    <t>Kofax Transformation Modules KTM Cursive Field Recognition  2M Page Count- Standard Support</t>
  </si>
  <si>
    <t>AE#Y524-030K-S</t>
  </si>
  <si>
    <t>Kofax Transformation Modules KTM Cursive Page Recog 30K/YR- Standard Support</t>
  </si>
  <si>
    <t>AE#Y524-060K-S</t>
  </si>
  <si>
    <t>Kofax Transformation Modules KTM Cursive Page Recog 60K/YR- Standard Support</t>
  </si>
  <si>
    <t>AE#Y524-300K-S</t>
  </si>
  <si>
    <t>Kofax Transformation Modules KTM Cursive Page Recog 300K/YR- Standard Support</t>
  </si>
  <si>
    <t>AE#Y524-600K-S</t>
  </si>
  <si>
    <t>Kofax Transformation Modules KTM Cursive Page Recog 600K/YR- Standard Support</t>
  </si>
  <si>
    <t>AE#Y524-002M-S</t>
  </si>
  <si>
    <t>Kofax Transformation Modules KTM Cursive Page Recog 2M/YR- Standard Support</t>
  </si>
  <si>
    <t>AE#Y524-005M-S</t>
  </si>
  <si>
    <t>Kofax Transformation Modules KTM Cursive Page Recog 5M/YR- Standard Support</t>
  </si>
  <si>
    <t>AE#Y524-020M-S</t>
  </si>
  <si>
    <t>Kofax Transformation Modules KTM Cursive Page Recog 20M/YR- Standard Support</t>
  </si>
  <si>
    <t>AE#Y524-060M-S</t>
  </si>
  <si>
    <t>Kofax Transformation Modules KTM Cursive Page Recog 60M/YR- Standard Support</t>
  </si>
  <si>
    <t>AE#P524-001M-S</t>
  </si>
  <si>
    <t>Kofax Transformation Modules KTM Cursive Page Recog 1M/PgCt- Standard Support</t>
  </si>
  <si>
    <t>AE#P524-002M-S</t>
  </si>
  <si>
    <t>Kofax Transformation Modules KTM Cursive Page Recog 2M/PgCt- Standard Support</t>
  </si>
  <si>
    <t>AE#Y515-030K-S</t>
  </si>
  <si>
    <t>Kofax Transformation Modules KTM Check Recognition  30K Per Year- Standard Support</t>
  </si>
  <si>
    <t>AE#Y515-060K-S</t>
  </si>
  <si>
    <t>Kofax Transformation Modules KTM Check Recognition  60K Per Year- Standard Support</t>
  </si>
  <si>
    <t>AE#Y515-300K-S</t>
  </si>
  <si>
    <t>Kofax Transformation Modules KTM Check Recognition  300K Per Year- Standard Support</t>
  </si>
  <si>
    <t>AE#Y515-600K-S</t>
  </si>
  <si>
    <t>Kofax Transformation Modules KTM Check Recognition  600K Per Year- Standard Support</t>
  </si>
  <si>
    <t>AE#Y515-002M-S</t>
  </si>
  <si>
    <t>Kofax Transformation Modules KTM Check Recognition  2M Per Year- Standard Support</t>
  </si>
  <si>
    <t>AE#Y515-005M-S</t>
  </si>
  <si>
    <t>Kofax Transformation Modules KTM Check Recognition  5M Per Year- Standard Support</t>
  </si>
  <si>
    <t>AE#Y515-020M-S</t>
  </si>
  <si>
    <t>Kofax Transformation Modules KTM Check Recognition  20M Per Year- Standard Support</t>
  </si>
  <si>
    <t>AE#Y515-060M-S</t>
  </si>
  <si>
    <t>Kofax Transformation Modules KTM Check Recognition  60M Per Year- Standard Support</t>
  </si>
  <si>
    <t>AE#P515-001M-S</t>
  </si>
  <si>
    <t>Kofax Transformation Modules KTM Check Recognition  1M Page Count- Standard Support</t>
  </si>
  <si>
    <t>AE#P515-002M-S</t>
  </si>
  <si>
    <t>Kofax Transformation Modules KTM Check Recognition  2M Page Count- Standard Support</t>
  </si>
  <si>
    <t>AE#Y535-030K-S</t>
  </si>
  <si>
    <t>Kofax Transformation Modules KTM Medical Claims Add-on Pack 30k Per Year- Standard Support</t>
  </si>
  <si>
    <t>AE#Y535-060K-S</t>
  </si>
  <si>
    <t>Kofax Transformation Modules  Medical Claims Add-on Pack 60k Per Year- Standard Support</t>
  </si>
  <si>
    <t>AE#Y535-300K-S</t>
  </si>
  <si>
    <t>Kofax Transformation Modules KTM Medical Claims Add-on Pack 300k Per Year- Standard Support</t>
  </si>
  <si>
    <t>AE#Y535-600K-S</t>
  </si>
  <si>
    <t>Kofax Transformation Modules KTM Medical Claims Add-on Pack 600k Per Year- Standard Support</t>
  </si>
  <si>
    <t>AE#Y535-002M-S</t>
  </si>
  <si>
    <t>Kofax Transformation Modules KTM Medical Claims Add-on Pack 2M Per Year- Standard Support</t>
  </si>
  <si>
    <t>AE#Y535-005M-S</t>
  </si>
  <si>
    <t>Kofax Transformation Modules KTM Medical Claims Add-on Pack 5M Per Year- Standard Support</t>
  </si>
  <si>
    <t>AE#Y535-020M-S</t>
  </si>
  <si>
    <t>Kofax Transformation Modules KTM Medical Claims Add-on Pack 20M Per Year- Standard Support</t>
  </si>
  <si>
    <t>AE#Y535-060M-S</t>
  </si>
  <si>
    <t>Kofax Transformation Modules KTM Medical Claims Add-on Pack 60M Per Year- Standard Support</t>
  </si>
  <si>
    <t>AE#P535-001M-S</t>
  </si>
  <si>
    <t>Kofax Transformation Modules KTM Medical Claims Add-on Pack 1M Page Count- Standard Support</t>
  </si>
  <si>
    <t>AE#P535-002M-S</t>
  </si>
  <si>
    <t>Kofax Transformation Modules KTM Medical Claims Add-on 2M Page Count- Standard Support</t>
  </si>
  <si>
    <t>AE-EDIEXPORT-S</t>
  </si>
  <si>
    <t>Kofax Transformation Modules KTM Medical Claims Add-on 837 EDI Export Module- Standard Support</t>
  </si>
  <si>
    <t>AE#Y534-030K-S</t>
  </si>
  <si>
    <t>Kofax Transformation Modules Arabic Recognition Add-On KTM Arabic OCR  30K Per Year- Standard Support</t>
  </si>
  <si>
    <t>AE#Y534-120K-S</t>
  </si>
  <si>
    <t>Kofax Transformation Modules Arabic Recognition Add-On KTM Arabic OCR  120K Per Year- Standard Support</t>
  </si>
  <si>
    <t>AE#Y534-300K-S</t>
  </si>
  <si>
    <t>Kofax Transformation Modules Arabic Recognition Add-On KTM Arabic OCR  300K Per Year- Standard Support</t>
  </si>
  <si>
    <t>AE#Y534-001M-S</t>
  </si>
  <si>
    <t>Kofax Transformation Modules Arabic Recognition Add-On KTM Arabic OCR  1M Per Year- Standard Support</t>
  </si>
  <si>
    <t>AE#Y534-002M-S</t>
  </si>
  <si>
    <t>Kofax Transformation Modules Arabic Recognition Add-On KTM Arabic OCR  2M Per Year- Standard Support</t>
  </si>
  <si>
    <t>Kofax Transformation Modules Kofax Evaluation- Standard Support</t>
  </si>
  <si>
    <t>EV-T534-0007-S</t>
  </si>
  <si>
    <t>Kofax Transformation Modules KTM Arabic OCR Evaluation- Standard Support</t>
  </si>
  <si>
    <t>AE#VY82-120K-S</t>
  </si>
  <si>
    <t>Kofax Transformation Modules - Legacy System Upgrades KTM Auto-Index Base License 120K Per Year- Standard Support</t>
  </si>
  <si>
    <t>AE#VY82-300K-S</t>
  </si>
  <si>
    <t>Kofax Transformation Modules - Legacy System Upgrades KTM Auto-Index Base License 300K Per Year- Standard Support</t>
  </si>
  <si>
    <t>AE#VY82-001M-S</t>
  </si>
  <si>
    <t>Kofax Transformation Modules - Legacy System Upgrades KTM Auto-Index Base License 1M Per Year- Standard Support</t>
  </si>
  <si>
    <t>AE#VY82-002M-S</t>
  </si>
  <si>
    <t>Kofax Transformation Modules - Legacy System Upgrades KTM Auto-Index Base License 2M Per Year- Standard Support</t>
  </si>
  <si>
    <t>AE#VY82-010M-S</t>
  </si>
  <si>
    <t>Kofax Transformation Modules - Legacy System Upgrades KTM Auto-Index Base License 10M Per Year- Standard Support</t>
  </si>
  <si>
    <t>AE#VY82-020M-S</t>
  </si>
  <si>
    <t>Kofax Transformation Modules - Legacy System Upgrades KTM Auto-Index Base License 20M Per Year- Standard Support</t>
  </si>
  <si>
    <t>AE#VY82-120M-S</t>
  </si>
  <si>
    <t>Kofax Transformation Modules - Legacy System Upgrades KTM Auto-Index Base License 120M Per Year- Standard Support</t>
  </si>
  <si>
    <t>AE#VP82-001M-S</t>
  </si>
  <si>
    <t>Kofax Transformation Modules - Legacy System Upgrades KTM Auto-Index Base License 1M Page Count- Standard Support</t>
  </si>
  <si>
    <t>AE#VP82-010M-S</t>
  </si>
  <si>
    <t>Kofax Transformation Modules - Legacy System Upgrades KTM Auto-Index Base License 10M Page Count- Standard Support</t>
  </si>
  <si>
    <t>AE#Y510-030K-S</t>
  </si>
  <si>
    <t>Kofax Transformation Modules - Legacy System Upgrades KTM Forms Base License 30K Per Year- Standard Support</t>
  </si>
  <si>
    <t>AE#Y510-120K-S</t>
  </si>
  <si>
    <t>Kofax Transformation Modules - Legacy System Upgrades KTM Forms Base License 120K Per Year- Standard Support</t>
  </si>
  <si>
    <t>AE#Y510-300K-S</t>
  </si>
  <si>
    <t>Kofax Transformation Modules - Legacy System Upgrades KTM Forms Base License 300K Per Year- Standard Support</t>
  </si>
  <si>
    <t>AE#Y510-001M-S</t>
  </si>
  <si>
    <t>Kofax Transformation Modules - Legacy System Upgrades KTM Forms Base License 1M Per Year- Standard Support</t>
  </si>
  <si>
    <t>AE#Y510-002M-S</t>
  </si>
  <si>
    <t>Kofax Transformation Modules - Legacy System Upgrades KTM Forms Base License 2M Per Year- Standard Support</t>
  </si>
  <si>
    <t>AE#Y510-010M-S</t>
  </si>
  <si>
    <t>Kofax Transformation Modules - Legacy System Upgrades KTM Forms Base License 10M Per Year- Standard Support</t>
  </si>
  <si>
    <t>AE#Y510-020M-S</t>
  </si>
  <si>
    <t>Kofax Transformation Modules - Legacy System Upgrades KTM Forms Base License 20M Per Year- Standard Support</t>
  </si>
  <si>
    <t>AE#Y510-120M-S</t>
  </si>
  <si>
    <t>Kofax Transformation Modules - Legacy System Upgrades KTM Forms Base License 120M Per Year- Standard Support</t>
  </si>
  <si>
    <t>AE#P510-001M-S</t>
  </si>
  <si>
    <t>Kofax Transformation Modules - Legacy System Upgrades KTM Forms Base License 1M Page Count- Standard Support</t>
  </si>
  <si>
    <t>AE#P510-010M-S</t>
  </si>
  <si>
    <t>Kofax Transformation Modules - Legacy System Upgrades KTM Forms Base License 10M Page Count- Standard Support</t>
  </si>
  <si>
    <t>AE#Y530-030K-S</t>
  </si>
  <si>
    <t>Kofax Transformation Modules - Legacy System Upgrades KTM Forms &amp; Free-form Base License 30K Per Year- Standard Support</t>
  </si>
  <si>
    <t>AE#Y530-120K-S</t>
  </si>
  <si>
    <t>Kofax Transformation Modules - Legacy System Upgrades KTM Forms &amp; Free-form Base License 120K Per Year- Standard Support</t>
  </si>
  <si>
    <t>AE#Y530-300K-S</t>
  </si>
  <si>
    <t>Kofax Transformation Modules - Legacy System Upgrades KTM Forms &amp; Free-form Base License 300K Per Year- Standard Support</t>
  </si>
  <si>
    <t>AE#Y530-001M-S</t>
  </si>
  <si>
    <t>Kofax Transformation Modules - Legacy System Upgrades KTM Forms &amp; Free-form Base License 1M Per Year- Standard Support</t>
  </si>
  <si>
    <t>AE#Y530-002M-S</t>
  </si>
  <si>
    <t>Kofax Transformation Modules - Legacy System Upgrades KTM Forms &amp; Free-form Base License 2M Per Year- Standard Support</t>
  </si>
  <si>
    <t>AE#Y530-010M-S</t>
  </si>
  <si>
    <t>Kofax Transformation Modules - Legacy System Upgrades KTM Forms &amp; Free-form Base License 10M Per Year- Standard Support</t>
  </si>
  <si>
    <t>AE#Y530-020M-S</t>
  </si>
  <si>
    <t>Kofax Transformation Modules - Legacy System Upgrades KTM Forms &amp; Free-form Base License 20M Per Year- Standard Support</t>
  </si>
  <si>
    <t>AE#Y530-120M-S</t>
  </si>
  <si>
    <t>Kofax Transformation Modules - Legacy System Upgrades KTM Forms &amp; Free-form Base License 120M Per Year- Standard Support</t>
  </si>
  <si>
    <t>AE#P530-001M-S</t>
  </si>
  <si>
    <t>Kofax Transformation Modules - Legacy System Upgrades KTM Forms &amp; Free-form Base License 1M Page Count- Standard Support</t>
  </si>
  <si>
    <t>AE#P530-010M-S</t>
  </si>
  <si>
    <t>Kofax Transformation Modules - Legacy System Upgrades KTM Forms &amp; Free-form Base License 10M Page Count- Standard Support</t>
  </si>
  <si>
    <t>AE#VY89-030K-S</t>
  </si>
  <si>
    <t>Kofax Transformation Modules - Legacy System Upgrades KTM Full Base License 30K Per Year- Standard Support</t>
  </si>
  <si>
    <t>AE#VY89-120K-S</t>
  </si>
  <si>
    <t>Kofax Transformation Modules - Legacy System Upgrades KTM Full Base License 120K Per Year- Standard Support</t>
  </si>
  <si>
    <t>AE#VY89-300K-S</t>
  </si>
  <si>
    <t>Kofax Transformation Modules - Legacy System Upgrades KTM Full Base License 300K Per Year- Standard Support</t>
  </si>
  <si>
    <t>AE#VY89-001M-S</t>
  </si>
  <si>
    <t>Kofax Transformation Modules - Legacy System Upgrades KTM Full Base License 1M Per Year- Standard Support</t>
  </si>
  <si>
    <t>AE#VY89-002M-S</t>
  </si>
  <si>
    <t>Kofax Transformation Modules - Legacy System Upgrades KTM Full Base License 2M Per Year- Standard Support</t>
  </si>
  <si>
    <t>AE#VY89-010M-S</t>
  </si>
  <si>
    <t>Kofax Transformation Modules - Legacy System Upgrades KTM Full Base License 10M Per Year- Standard Support</t>
  </si>
  <si>
    <t>AE#VY89-020M-S</t>
  </si>
  <si>
    <t>Kofax Transformation Modules - Legacy System Upgrades KTM Full Base License 20M Per Year- Standard Support</t>
  </si>
  <si>
    <t>AE#VY89-120M-S</t>
  </si>
  <si>
    <t>Kofax Transformation Modules - Legacy System Upgrades KTM Full Base License 120M Per Year- Standard Support</t>
  </si>
  <si>
    <t>AE#VP89-001M-S</t>
  </si>
  <si>
    <t>Kofax Transformation Modules - Legacy System Upgrades KTM Full Base License 1M Page Count- Standard Support</t>
  </si>
  <si>
    <t>AE#VP89-010M-S</t>
  </si>
  <si>
    <t>Kofax Transformation Modules - Legacy System Upgrades KTM Full Base License 10M Page Count- Standard Support</t>
  </si>
  <si>
    <t>AE#Y520-030K-S</t>
  </si>
  <si>
    <t>Kofax Transformation Modules - Legacy System Upgrades Kofax e-Transactions Receiver for KTM 30K/yr- Standard Support</t>
  </si>
  <si>
    <t>AE#Y520-120K-S</t>
  </si>
  <si>
    <t>Kofax Transformation Modules - Legacy System Upgrades Kofax e-Transactions Receiver for KTM 120K/yr- Standard Support</t>
  </si>
  <si>
    <t>AE#Y520-300K-S</t>
  </si>
  <si>
    <t>Kofax Transformation Modules - Legacy System Upgrades Kofax e-Transactions Receiver for KTM 300K/yr- Standard Support</t>
  </si>
  <si>
    <t>ES#T500-0000-S</t>
  </si>
  <si>
    <t>Kofax Front Office Server KFS Server- Standard Support</t>
  </si>
  <si>
    <t>ES#T502-001U-S</t>
  </si>
  <si>
    <t>Kofax Front Office Server KFS Device Connection (1-249)- Standard Support</t>
  </si>
  <si>
    <t>ES#T502-0500-S</t>
  </si>
  <si>
    <t>Kofax Front Office Server KFS Device Connection (500-999)- Standard Support</t>
  </si>
  <si>
    <t>ES#T502-1000-S</t>
  </si>
  <si>
    <t>Kofax Front Office Server KFS Device Connection (1,000-1,999)- Standard Support</t>
  </si>
  <si>
    <t>ES#T503-001U-S</t>
  </si>
  <si>
    <t>Kofax Front Office Server KFS Web Client Concurrent User- Standard Support</t>
  </si>
  <si>
    <t>ES#T503-001Q-S</t>
  </si>
  <si>
    <t>Kofax Front Office Server KFS Web Client Concurrent User - Qty &gt;500- Standard Support</t>
  </si>
  <si>
    <t>TC-03015-S</t>
  </si>
  <si>
    <t>Business Communications Migration VOICE channel to Voice over IP (H.323) channel- Standard Support</t>
  </si>
  <si>
    <t>TC-04710-S</t>
  </si>
  <si>
    <t>Business Communications MFP Integration Licence per MFP device for up to 100 licenses - SMTP (TC/LINK-MFP)- Standard Support</t>
  </si>
  <si>
    <t>TC-04730-S</t>
  </si>
  <si>
    <t>Business Communications MFP Integration License per MFP device for more than 500 licenses - SMTP (TC/LINK-MFP)- Standard Support</t>
  </si>
  <si>
    <t>TC-04740-S</t>
  </si>
  <si>
    <t>Business Communications MFP Integration Licence per MFP device for up to 100 licenses - file interface (TC/LINK-FM)- Standard Support</t>
  </si>
  <si>
    <t>TC-04760-S</t>
  </si>
  <si>
    <t>Business Communications MFP Integration License per MFP device for more than 500 licenses - file interface (TC/LINK-FM)- Standard Support</t>
  </si>
  <si>
    <t>TC-04770-S</t>
  </si>
  <si>
    <t>Business Communications MFP Integration Migration of SMTP based MFP License to file based MFP License- Standard Support</t>
  </si>
  <si>
    <t>TC-04777-S</t>
  </si>
  <si>
    <t>Business Communications MFP Integration VRS for TC/LINK-MFP and TC/LINK-FM- Standard Support</t>
  </si>
  <si>
    <t>TC-04010-S</t>
  </si>
  <si>
    <t>Business Communications Email Integration TC/LINK-MX (50 users)- Standard Support</t>
  </si>
  <si>
    <t>TC-04012-S</t>
  </si>
  <si>
    <t>Business Communications Email Integration TC/LINK-MX (200 users)- Standard Support</t>
  </si>
  <si>
    <t>TC-04013-S</t>
  </si>
  <si>
    <t>Business Communications Email Integration TC/LINK-MX (300 users)- Standard Support</t>
  </si>
  <si>
    <t>TC-04015-S</t>
  </si>
  <si>
    <t>Business Communications Email Integration TC/LINK-MX (700 users)- Standard Support</t>
  </si>
  <si>
    <t>TC-04016-S</t>
  </si>
  <si>
    <t>Business Communications Email Integration TC/LINK-MX (1.000 users)- Standard Support</t>
  </si>
  <si>
    <t>TC-04018-S</t>
  </si>
  <si>
    <t>Business Communications Email Integration TC/LINK-MX (5.000 users)- Standard Support</t>
  </si>
  <si>
    <t>TC-04019-S</t>
  </si>
  <si>
    <t>Business Communications Email Integration TC/LINK-MX (10.000 users)- Standard Support</t>
  </si>
  <si>
    <t>TC-04021-S</t>
  </si>
  <si>
    <t>Business Communications Email Integration TC/LINK-MX (50.000 users)- Standard Support</t>
  </si>
  <si>
    <t>TC-04022-S</t>
  </si>
  <si>
    <t>Business Communications Email Integration TC/LINK-MX (unlimited)- Standard Support</t>
  </si>
  <si>
    <t>TC-04071-S</t>
  </si>
  <si>
    <t>Business Communications Email Integration TC/LINK-MX7 (100 users)- Standard Support</t>
  </si>
  <si>
    <t>TC-04072-S</t>
  </si>
  <si>
    <t>Business Communications Email Integration TC/LINK-MX7 (200 users)- Standard Support</t>
  </si>
  <si>
    <t>TC-04074-S</t>
  </si>
  <si>
    <t>Business Communications Email Integration TC/LINK-MX7 (500 users)- Standard Support</t>
  </si>
  <si>
    <t>TC-04075-S</t>
  </si>
  <si>
    <t>Business Communications Email Integration TC/LINK-MX7 (700 users)- Standard Support</t>
  </si>
  <si>
    <t>TC-04077-S</t>
  </si>
  <si>
    <t>Business Communications Email Integration TC/LINK-MX7 (2.000 users)- Standard Support</t>
  </si>
  <si>
    <t>TC-04078-S</t>
  </si>
  <si>
    <t>Business Communications Email Integration TC/LINK-MX7 (5.000 users)- Standard Support</t>
  </si>
  <si>
    <t>TC-04080-S</t>
  </si>
  <si>
    <t>Business Communications Email Integration TC/LINK-MX7 (20.000 users)- Standard Support</t>
  </si>
  <si>
    <t>TC-04081-S</t>
  </si>
  <si>
    <t>Business Communications Email Integration TC/LINK-MX7 (50.000 users)- Standard Support</t>
  </si>
  <si>
    <t>TC-04085-S</t>
  </si>
  <si>
    <t>Business Communications Email Integration Migration of TC/Link-MX to TC/Link-MX7- Standard Support</t>
  </si>
  <si>
    <t>TC-04030-S</t>
  </si>
  <si>
    <t>Business Communications Email Integration TC/LINK-LN (50 users)- Standard Support</t>
  </si>
  <si>
    <t>TC-04032-S</t>
  </si>
  <si>
    <t>Business Communications Email Integration TC/LINK-LN (200 users)- Standard Support</t>
  </si>
  <si>
    <t>TC-04033-S</t>
  </si>
  <si>
    <t>Business Communications Email Integration TC/LINK-LN (300 users)- Standard Support</t>
  </si>
  <si>
    <t>TC-04035-S</t>
  </si>
  <si>
    <t>Business Communications Email Integration TC/LINK-LN (700 users)- Standard Support</t>
  </si>
  <si>
    <t>TC-04036-S</t>
  </si>
  <si>
    <t>Business Communications Email Integration TC/LINK-LN (1.000 users)- Standard Support</t>
  </si>
  <si>
    <t>TC-04038-S</t>
  </si>
  <si>
    <t>Business Communications Email Integration TC/LINK-LN (5.000 users)- Standard Support</t>
  </si>
  <si>
    <t>TC-04039-S</t>
  </si>
  <si>
    <t>Business Communications Email Integration TC/LINK-LN (10.000 users)- Standard Support</t>
  </si>
  <si>
    <t>TC-04041-S</t>
  </si>
  <si>
    <t>Business Communications Email Integration TC/LINK-LN (50.000 users)- Standard Support</t>
  </si>
  <si>
    <t>TC-04042-S</t>
  </si>
  <si>
    <t>Business Communications Email Integration TC/LINK-LN (unlimited)- Standard Support</t>
  </si>
  <si>
    <t>TC-03040 -S</t>
  </si>
  <si>
    <t>Business Communications IP based SMS Integration TC/LINK-MD (SMS, IP based) up to 100k msgs / year - Standard Support</t>
  </si>
  <si>
    <t>TC-03041 -S</t>
  </si>
  <si>
    <t>Business Communications IP based SMS Integration TC/LINK-MD (SMS, IP based) up to 300k msgs / year - Standard Support</t>
  </si>
  <si>
    <t>TC-03043 -S</t>
  </si>
  <si>
    <t>Business Communications IP based SMS Integration TC/LINK-MD (SMS, IP based) up to 1M msgs / year - Standard Support</t>
  </si>
  <si>
    <t>TC-03044 -S</t>
  </si>
  <si>
    <t>Business Communications IP based SMS Integration TC/LINK-MD (SMS, IP based) up to 2M msgs / year - Standard Support</t>
  </si>
  <si>
    <t>TC-03046 -S</t>
  </si>
  <si>
    <t>Business Communications IP based SMS Integration TC/LINK-MD (SMS, IP based) up to 10M msgs / year - Standard Support</t>
  </si>
  <si>
    <t>TC-03047 -S</t>
  </si>
  <si>
    <t>Business Communications IP based SMS Integration TC/LINK-MD (SMS, IP based) up to 20M msgs / year - Standard Support</t>
  </si>
  <si>
    <t>TC-03049 -S</t>
  </si>
  <si>
    <t>Business Communications IP based SMS Integration TC/LINK-MD (SMS, IP based) up to 120M msgs / year - Standard Support</t>
  </si>
  <si>
    <t>TC-03033 -S</t>
  </si>
  <si>
    <t>Business Communications IP based SMS Integration  TC/LINK-MD (SMS, IP based), protocol UCP - Standard Support</t>
  </si>
  <si>
    <t>TC-03035 -S</t>
  </si>
  <si>
    <t>Business Communications IP based SMS Integration TC/LINK-MD (SMS, IP based), protocol SEMA - Standard Support</t>
  </si>
  <si>
    <t>TC-03036 -S</t>
  </si>
  <si>
    <t>Business Communications IP based SMS Integration TC/LINK-MD (SMS, IP based), protocol CIMD2 - Standard Support</t>
  </si>
  <si>
    <t>TC-04211-S</t>
  </si>
  <si>
    <t>Business Communications Business Application Integration TC/LINK-SC for SAP (instance 2 + 3)- Standard Support</t>
  </si>
  <si>
    <t>TC-04212-S</t>
  </si>
  <si>
    <t>Business Communications Business Application Integration TC/LINK-SC for SAP (instance 4 + higher)- Standard Support</t>
  </si>
  <si>
    <t>TC-04221-S</t>
  </si>
  <si>
    <t>Business Communications Business Application Integration TC/LINK-SC7 for SAP 7 - SMTP based- Standard Support</t>
  </si>
  <si>
    <t>TC-04222-S</t>
  </si>
  <si>
    <t>Business Communications Business Application Integration TC/LINK-SC7 for SAP 7 (instance 2 + 3)- Standard Support</t>
  </si>
  <si>
    <t>TC-04214-S</t>
  </si>
  <si>
    <t>Business Communications Business Application Integration Migration TC/LINK-SC to TC/LINK-SC7- Standard Support</t>
  </si>
  <si>
    <t>TC-04218-S</t>
  </si>
  <si>
    <t>Business Communications Business Application Integration Migration TC/LINK-SC to TC/LINK-SC7 (instance 2 + 3)- Standard Support</t>
  </si>
  <si>
    <t>TC-04220-S</t>
  </si>
  <si>
    <t>Business Communications Business Application Integration TC/LINK-SM for SMTP (Internet mail)- Standard Support</t>
  </si>
  <si>
    <t>TC-04225-S</t>
  </si>
  <si>
    <t>Business Communications Business Application Integration TC/LINK-SDD for Secure Document Delivery over SMTP (SSL)- Standard Support</t>
  </si>
  <si>
    <t>TC-04231-S</t>
  </si>
  <si>
    <t>Business Application Integration TC/LINK-FI - File Interface, low volume edition- Standard Support</t>
  </si>
  <si>
    <t>TC-04240-S</t>
  </si>
  <si>
    <t>Business Application Integration TC/LINK-MQ for IBM MQ Series- Standard Support</t>
  </si>
  <si>
    <t>TC-04265-S</t>
  </si>
  <si>
    <t>Business Application Integration TWS - Web Services- Standard Support</t>
  </si>
  <si>
    <t>TC-04310-S</t>
  </si>
  <si>
    <t>Business Application Integration TC/LINK-XML for XML Data- Standard Support</t>
  </si>
  <si>
    <t>TC-04340-S</t>
  </si>
  <si>
    <t>Business Application Integration TC/LINK-RS- Standard Support</t>
  </si>
  <si>
    <t>TC-04270-S</t>
  </si>
  <si>
    <t>Business Application Integration TC/400-2 KCS Host Software - Standard Support</t>
  </si>
  <si>
    <t>TC-04272-S</t>
  </si>
  <si>
    <t>Business Application Integration TC/400-U  KCS Host Software- Standard Support</t>
  </si>
  <si>
    <t>TC-04280-S</t>
  </si>
  <si>
    <t>Business Application Integration TC/400-2 - IP connection- Standard Support</t>
  </si>
  <si>
    <t>TC-04282-S</t>
  </si>
  <si>
    <t>Business Application Integration TC/400-U - IP connection- Standard Support</t>
  </si>
  <si>
    <t>TC-04290-S</t>
  </si>
  <si>
    <t>Business Application Integration TC/400-2 AFP- Standard Support</t>
  </si>
  <si>
    <t>TC-04292-S</t>
  </si>
  <si>
    <t>Business Communications Business Application Integration TC/400-U AFP- Standard Support</t>
  </si>
  <si>
    <t>TC-05010-S</t>
  </si>
  <si>
    <t>Business Communications Business Application Integration Tandem Server Status Agent Enterprise- Standard Support</t>
  </si>
  <si>
    <t>TC-05210-S</t>
  </si>
  <si>
    <t>Business Communications Business Application Integration TC/VoiceAccess, Email Reader- Standard Support</t>
  </si>
  <si>
    <t>TC-05220-S</t>
  </si>
  <si>
    <t>Business Communications Business Application Integration VoiceAttendant for TC/VoiceAccess- Standard Support</t>
  </si>
  <si>
    <t>TC-05240-S</t>
  </si>
  <si>
    <t>Business Communications Business Application Integration VoiceXML- Standard Support</t>
  </si>
  <si>
    <t>TC-05310-S</t>
  </si>
  <si>
    <t>Business Communications Business Application Integration TC/Archive, Archive Server- Standard Support</t>
  </si>
  <si>
    <t>TC-05501-S</t>
  </si>
  <si>
    <t>Business Communications Business Application Integration TC/Probe PRO- Standard Support</t>
  </si>
  <si>
    <t>TC-05510-S</t>
  </si>
  <si>
    <t>Business Communications Business Application Integration TC/Report- Standard Support</t>
  </si>
  <si>
    <t>TC-05530-S</t>
  </si>
  <si>
    <t>Business Communications Business Application Integration TC/LCR Least cost routing - Standard Support</t>
  </si>
  <si>
    <t>TC-05540-S</t>
  </si>
  <si>
    <t>Business Communications Business Application Integration TC/LanPrt- Standard Support</t>
  </si>
  <si>
    <t>TC-05550-S</t>
  </si>
  <si>
    <t>Business Communications Business Application Integration TC/BrkMsg (FILBRK)- Standard Support</t>
  </si>
  <si>
    <t>TC-05560-S</t>
  </si>
  <si>
    <t>Business Communications  Message Wait Agent- Standard Support</t>
  </si>
  <si>
    <t>TC-05910-S</t>
  </si>
  <si>
    <t>Business Communications Link Add-ons TC/DS Directory Synchronization- Standard Support</t>
  </si>
  <si>
    <t>TC-05940-S</t>
  </si>
  <si>
    <t>Business Communications Link Add-ons Converter PS for Postscript format- Standard Support</t>
  </si>
  <si>
    <t>TC-05950-S</t>
  </si>
  <si>
    <t>Business Communications Link Add-ons Converter PCL format to TCI- Standard Support</t>
  </si>
  <si>
    <t>TC-05960-S</t>
  </si>
  <si>
    <t>Business Communications Link Add-ons Converter TCI to GIF format- Standard Support</t>
  </si>
  <si>
    <t>TC-05980-S</t>
  </si>
  <si>
    <t>Business Communications Link Add-ons Converter PDF format to TCI- Standard Support</t>
  </si>
  <si>
    <t>TC-05990-S</t>
  </si>
  <si>
    <t>Business Communications Link Add-ons T.37 option for TC/LINK-SM- Standard Support</t>
  </si>
  <si>
    <t>TC-06102-S</t>
  </si>
  <si>
    <t>Business Communications  Client Software TCfW 10- Standard Support</t>
  </si>
  <si>
    <t>TC-06102-2-S</t>
  </si>
  <si>
    <t>Business Communications  Client Software TCfW 20- Standard Support</t>
  </si>
  <si>
    <t>TC-06103-S</t>
  </si>
  <si>
    <t>Business Communications  Client Software TCfW 100- Standard Support</t>
  </si>
  <si>
    <t>TC-06103-2-S</t>
  </si>
  <si>
    <t>Business Communications  Client Software TCfW 200- Standard Support</t>
  </si>
  <si>
    <t>TC-06104-S</t>
  </si>
  <si>
    <t>Business Communications  Client Software TCfW 1000- Standard Support</t>
  </si>
  <si>
    <t>TC-06104-2-S</t>
  </si>
  <si>
    <t>Business Communications  Client Software TCfW 2000- Standard Support</t>
  </si>
  <si>
    <t>TC-06105-S</t>
  </si>
  <si>
    <t>Business Communications  Client Software TCfW 10000- Standard Support</t>
  </si>
  <si>
    <t>TC-06106-S</t>
  </si>
  <si>
    <t>Business Communications  Client Software TCfW unlimited- Standard Support</t>
  </si>
  <si>
    <t>TC-06112-S</t>
  </si>
  <si>
    <t>Business Communications Client Software TC/Player 10- Standard Support</t>
  </si>
  <si>
    <t>TC-06112-2-S</t>
  </si>
  <si>
    <t>Business Communications Client Software TC/Player 20- Standard Support</t>
  </si>
  <si>
    <t>TC-06113-S</t>
  </si>
  <si>
    <t>Business Communications Client Software TC/Player 100- Standard Support</t>
  </si>
  <si>
    <t>TC-06113-2-S</t>
  </si>
  <si>
    <t>Business Communications Client Software TC/Player 200- Standard Support</t>
  </si>
  <si>
    <t>TC-06114-S</t>
  </si>
  <si>
    <t>Business Communications Client Software TC/Player 1000- Standard Support</t>
  </si>
  <si>
    <t>TC-06114-2-S</t>
  </si>
  <si>
    <t>Business Communications Client Software  TC/Player 2000- Standard Support</t>
  </si>
  <si>
    <t>TC-06115-S</t>
  </si>
  <si>
    <t>Business Communications Client Software  TC/Player 10000- Standard Support</t>
  </si>
  <si>
    <t>TC-06116-S</t>
  </si>
  <si>
    <t>Business Communications Client Software Player unlimited- Standard Support</t>
  </si>
  <si>
    <t>TC-06142-S</t>
  </si>
  <si>
    <t>Business Communications Client Software TC/Web 10- Standard Support</t>
  </si>
  <si>
    <t>TC-06142-2-S</t>
  </si>
  <si>
    <t>Business Communications Client Software  TC/Web 20- Standard Support</t>
  </si>
  <si>
    <t>TC-06143-S</t>
  </si>
  <si>
    <t>Business Communications Client Software TC/Web 100- Standard Support</t>
  </si>
  <si>
    <t>TC-06143-2-S</t>
  </si>
  <si>
    <t>Business Communications Client Software TC/Web 200- Standard Support</t>
  </si>
  <si>
    <t>TC-06144-S</t>
  </si>
  <si>
    <t>Business Communications Client Software TC/Web 1000- Standard Support</t>
  </si>
  <si>
    <t>TC-06144-2-S</t>
  </si>
  <si>
    <t>Business Communications Client Software TC/Web 2000- Standard Support</t>
  </si>
  <si>
    <t>TC-06145-S</t>
  </si>
  <si>
    <t>Business Communications Client Software TC/Web 10000- Standard Support</t>
  </si>
  <si>
    <t>TC-06146-S</t>
  </si>
  <si>
    <t>Business Communications Client Software TC/Web unlimited- Standard Support</t>
  </si>
  <si>
    <t>TC-07311-S</t>
  </si>
  <si>
    <t>Hardware Line Server Model 305, 4 channel ISDN (2*BRI)- Standard Support</t>
  </si>
  <si>
    <t>TC-07321-S</t>
  </si>
  <si>
    <t>Hardware Line Interface Upgrade 4 to 8 channel ISDN BRI- Standard Support</t>
  </si>
  <si>
    <t>TC-07313-S</t>
  </si>
  <si>
    <t>Hardware Line Server Model 305, 4 analog channels- Standard Support</t>
  </si>
  <si>
    <t>TC-07323-S</t>
  </si>
  <si>
    <t>Hardware Line interface (Mod. 305) upgrade 4 to 8 channel analog- Standard Support</t>
  </si>
  <si>
    <t>TC-07324-S</t>
  </si>
  <si>
    <t>Hardware Line interface (Mod. 305) upgrade 2 to 4 channel Bell DID- Standard Support</t>
  </si>
  <si>
    <t>TC-07402-S</t>
  </si>
  <si>
    <t>Hardware Wireless messaging GSM Box Model 350 for SMS- Standard Support</t>
  </si>
  <si>
    <t>TS15-S</t>
  </si>
  <si>
    <t>Hardware  TS15- Standard Support</t>
  </si>
  <si>
    <t>TC-07101-S</t>
  </si>
  <si>
    <t>Hardware Telex interfaces Dual Telex Interface S.19 (XD-Interface)- Standard Support</t>
  </si>
  <si>
    <t>TC-07103-S</t>
  </si>
  <si>
    <t>Hardware Telex interfaces as S07101 for V.21 standard- Standard Support</t>
  </si>
  <si>
    <t>TC-07104-S</t>
  </si>
  <si>
    <t>Hardware Telex interfaces as S07101 for V.21 France- Standard Support</t>
  </si>
  <si>
    <t>VP-D005-0001-S</t>
  </si>
  <si>
    <t>Image Processing VRS Elite - New Licenses VRS Elite Desktop Version- Standard Support</t>
  </si>
  <si>
    <t>VP-W005-0001-S</t>
  </si>
  <si>
    <t>Image Processing VRS Elite - New Licenses VRS Elite Workgroup Version- Standard Support</t>
  </si>
  <si>
    <t>VP#L005-0000 -S</t>
  </si>
  <si>
    <t>Image Processing VRS Elite License Server- Standard Support</t>
  </si>
  <si>
    <t>UP-D005-0001-S</t>
  </si>
  <si>
    <t>Image Processing VRS Elite - Upgrades VRS Elite Desktop Upgrade- Standard Support</t>
  </si>
  <si>
    <t>UP-P005-0001-S</t>
  </si>
  <si>
    <t>Image Processing VRS Elite - Upgrades VRS Elite Production Upgrade- Standard Support</t>
  </si>
  <si>
    <t>ES-5000-1002-S</t>
  </si>
  <si>
    <t>Image Processing Adrenaline Software Engines AIPE Software Engine- Standard Support</t>
  </si>
  <si>
    <t>UP-5000-1002-S</t>
  </si>
  <si>
    <t>Image Processing Adrenaline Software Engines Upgrade AIPE v3.x to AIPE v4- Standard Support</t>
  </si>
  <si>
    <t>TK-3000-2202-S</t>
  </si>
  <si>
    <t>Image Processing Image Controls 3 Developer's Toolkit Toolkit- Standard Support</t>
  </si>
  <si>
    <t>VR-5001-4000-S</t>
  </si>
  <si>
    <t>Image Processing CGA for Canon DR-X10C CGA board &amp; VRS 4.x Professional- Standard Support</t>
  </si>
  <si>
    <t>SC-1016-0000-S</t>
  </si>
  <si>
    <t>Image Processing Cables SCSI-1 to SCSI-2- Standard Support</t>
  </si>
  <si>
    <t>SC-1026-0000-S</t>
  </si>
  <si>
    <t>Image Processing Cables SCSI-3 to SCSI-2- Standard Support</t>
  </si>
  <si>
    <t>SC-1027-0000-S</t>
  </si>
  <si>
    <t>Image Processing Cables SCSI-3 to SCSI-3- Standard Support</t>
  </si>
  <si>
    <t>KX-LS00-0001-S</t>
  </si>
  <si>
    <t>Kofax Express Kofax Express Low Volume Production- Standard Support</t>
  </si>
  <si>
    <t>KX-MS00-0001-S</t>
  </si>
  <si>
    <t>Kofax Express Kofax Express Mid Volume Production- Standard Support</t>
  </si>
  <si>
    <t>KX-SS00-0001-S</t>
  </si>
  <si>
    <t>Kofax Express Kofax Express Super High Volume Production- Standard Support</t>
  </si>
  <si>
    <t>AE#VY51-005K-S</t>
  </si>
  <si>
    <t>INDICIUS Fixed-Form Volume IND FixForm Vol 005K/Yr- Standard Support</t>
  </si>
  <si>
    <t>AE#VY51-005M-S</t>
  </si>
  <si>
    <t>INDICIUS Fixed-Form Volume IND FixForm Vol 005M/Yr- Standard Support</t>
  </si>
  <si>
    <t>AE#VY51-010M-S</t>
  </si>
  <si>
    <t>INDICIUS Fixed-Form Volume IND FixForm Vol 010M/Yr- Standard Support</t>
  </si>
  <si>
    <t>AE#VY51-020M-S</t>
  </si>
  <si>
    <t>INDICIUS Fixed-Form Volume IND FixForm Vol 020M/Yr- Standard Support</t>
  </si>
  <si>
    <t>AE#VY51-040M-S</t>
  </si>
  <si>
    <t>INDICIUS Fixed-Form Volume IND FixForm Vol 040M/Yr- Standard Support</t>
  </si>
  <si>
    <t>AE#VY51-100M-S</t>
  </si>
  <si>
    <t>INDICIUS Fixed-Form Volume IND FixForm Vol 100M/Yr- Standard Support</t>
  </si>
  <si>
    <t>AE#VP51-300K-S</t>
  </si>
  <si>
    <t>INDICIUS Fixed-Form Volume IND FixForm 300K/Pg Cnt- Standard Support</t>
  </si>
  <si>
    <t>AE#VP51-003M-S</t>
  </si>
  <si>
    <t>INDICIUS Fixed-Form Volume IND FixForm 003M/Pg Cnt- Standard Support</t>
  </si>
  <si>
    <t>AE#VP51-005M-S</t>
  </si>
  <si>
    <t>INDICIUS Fixed-Form Volume IND FixForm 005M/Pg Cnt- Standard Support</t>
  </si>
  <si>
    <t>AE#VY59-002M-S</t>
  </si>
  <si>
    <t>INDICIUS Full Page OCR Volume IND FullPgOCR Vol 002M/Yr- Standard Support</t>
  </si>
  <si>
    <t>AE#VY59-005M-S</t>
  </si>
  <si>
    <t>INDICIUS Full Page OCR Volume IND FullPgOCR Vol 005M/Yr- Standard Support</t>
  </si>
  <si>
    <t>AE#VY59-015M-S</t>
  </si>
  <si>
    <t>INDICIUS Full Page OCR Volume IND FullPgOCR Vol 015M/Yr- Standard Support</t>
  </si>
  <si>
    <t>AE#VY59-020M-S</t>
  </si>
  <si>
    <t>INDICIUS Full Page OCR Volume IND FullPgOCR Vol 020M/Yr- Standard Support</t>
  </si>
  <si>
    <t>AE#VY59-050M-S</t>
  </si>
  <si>
    <t>INDICIUS Full Page OCR Volume IND FullPgOCR Vol 050M/Yr- Standard Support</t>
  </si>
  <si>
    <t>AE#VY59-100M-S</t>
  </si>
  <si>
    <t>INDICIUS Full Page OCR Volume IND FullPgOCR Vol 100M/Yr- Standard Support</t>
  </si>
  <si>
    <t>AE#VP59-001M-S</t>
  </si>
  <si>
    <t>INDICIUS Full Page OCR Volume IND FullPgOCR 001M/Pg Cnt- Standard Support</t>
  </si>
  <si>
    <t>AE#VP59-003M-S</t>
  </si>
  <si>
    <t>INDICIUS Full Page OCR Volume IND FullPgOCR 003M/Pg Cnt- Standard Support</t>
  </si>
  <si>
    <t>AE#VY52-005K-S</t>
  </si>
  <si>
    <t>INDICIUS Free-Form Classification Volume IND FreeFmCls Vol 005K/Yr- Standard Support</t>
  </si>
  <si>
    <t>AE#VY52-002M-S</t>
  </si>
  <si>
    <t>INDICIUS Free-Form Classification Volume IND FreeFmCls Vol 002M/Yr- Standard Support</t>
  </si>
  <si>
    <t>AE#VY52-010M-S</t>
  </si>
  <si>
    <t>INDICIUS Free-Form Classification Volume IND FreeFmCls Vol 010M/Yr- Standard Support</t>
  </si>
  <si>
    <t>AE#VY52-015M-S</t>
  </si>
  <si>
    <t>INDICIUS Free-Form Classification Volume IND FreeFmCls Vol 015M/Yr- Standard Support</t>
  </si>
  <si>
    <t>AE#VY52-040M-S</t>
  </si>
  <si>
    <t>INDICIUS Free-Form Classification Volume IND FreeFmCls Vol 040M/Yr- Standard Support</t>
  </si>
  <si>
    <t>AE#VY52-050M-S</t>
  </si>
  <si>
    <t>INDICIUS Free-Form Classification Volume IND FreeFmCls Vol 050M/Yr- Standard Support</t>
  </si>
  <si>
    <t>AE#VP52-300K-S</t>
  </si>
  <si>
    <t>INDICIUS Free-Form Classification Volume IND FreeFmCls 300K/Pg Cnt- Standard Support</t>
  </si>
  <si>
    <t>AE#VP52-001M-S</t>
  </si>
  <si>
    <t>INDICIUS Free-Form Classification Volume IND FreeFmCls 001M/Pg Cnt- Standard Support</t>
  </si>
  <si>
    <t>AE#VP52-005M-S</t>
  </si>
  <si>
    <t>INDICIUS Free-Form Classification Volume IND FreeFmCls 005M/Pg Cnt- Standard Support</t>
  </si>
  <si>
    <t>AE#VY56-005K-S</t>
  </si>
  <si>
    <t>INDICIUS Free-form Extraction Volume IND FreeFmExt Vol 005K/Yr- Standard Support</t>
  </si>
  <si>
    <t>AE#VY56-005M-S</t>
  </si>
  <si>
    <t>INDICIUS Free-form Extraction Volume IND FreeFmExt Vol 005M/Yr- Standard Support</t>
  </si>
  <si>
    <t>AE#VY56-010M-S</t>
  </si>
  <si>
    <t>INDICIUS Free-form Extraction Volume IND FreeFmExt Vol 010M/Yr- Standard Support</t>
  </si>
  <si>
    <t>AE#VY56-020M-S</t>
  </si>
  <si>
    <t>INDICIUS Free-form Extraction Volume IND FreeFmExt Vol 020M/Yr- Standard Support</t>
  </si>
  <si>
    <t>AE#VY56-040M-S</t>
  </si>
  <si>
    <t>INDICIUS Free-form Extraction Volume IND FreeFmExt Vol 040M/Yr- Standard Support</t>
  </si>
  <si>
    <t>AE#VY56-100M-S</t>
  </si>
  <si>
    <t>INDICIUS Free-form Extraction Volume IND FreeFmExt Vol 100M/Yr- Standard Support</t>
  </si>
  <si>
    <t>AE#VP56-300K-S</t>
  </si>
  <si>
    <t>INDICIUS Free-form Extraction Volume IND FreeFmExt 300K/Pg Cnt- Standard Support</t>
  </si>
  <si>
    <t>AE#VP56-003M-S</t>
  </si>
  <si>
    <t>INDICIUS Free-form Extraction Volume IND FreeFmExt 003M/Pg Cnt- Standard Support</t>
  </si>
  <si>
    <t>AE#VP56-005M-S</t>
  </si>
  <si>
    <t>INDICIUS Free-form Extraction Volume IND FreeFmExt 005M/Pg Cnt- Standard Support</t>
  </si>
  <si>
    <t>AE#VY53-002M-S</t>
  </si>
  <si>
    <t>INDICIUS Advanced Classification Volume IND AdvClass Vol 002M/Yr- Standard Support</t>
  </si>
  <si>
    <t>AE#VY53-005M-S</t>
  </si>
  <si>
    <t>INDICIUS Advanced Classification Volume IND AdvClass Vol 005M/Yr- Standard Support</t>
  </si>
  <si>
    <t>AE#VY53-015M-S</t>
  </si>
  <si>
    <t>INDICIUS Advanced Classification Volume IND AdvClass Vol 015M/Yr- Standard Support</t>
  </si>
  <si>
    <t>AE#VY53-020M-S</t>
  </si>
  <si>
    <t>INDICIUS Advanced Classification Volume IND AdvClass Vol 020M/Yr- Standard Support</t>
  </si>
  <si>
    <t>AE#VY53-050M-S</t>
  </si>
  <si>
    <t>INDICIUS Advanced Classification Volume IND AdvClass Vol 050M/Yr- Standard Support</t>
  </si>
  <si>
    <t>AE#VY53-100M-S</t>
  </si>
  <si>
    <t>INDICIUS Advanced Classification Volume IND AdvClass Vol 100M/Yr- Standard Support</t>
  </si>
  <si>
    <t>AE#VP53-001M-S</t>
  </si>
  <si>
    <t>INDICIUS Advanced Classification Volume IND AdvClass 001M/Pg Cnt- Standard Support</t>
  </si>
  <si>
    <t>AE#VP53-003M-S</t>
  </si>
  <si>
    <t>INDICIUS Advanced Classification Volume IND AdvClass 003M/Pg Cnt- Standard Support</t>
  </si>
  <si>
    <t>AE#VY54-005K-S</t>
  </si>
  <si>
    <t>INDICIUS Standard Document Separation Volume IND StdDocSep Vol 005K/Yr- Standard Support</t>
  </si>
  <si>
    <t>AE#VY54-002M-S</t>
  </si>
  <si>
    <t>INDICIUS Standard Document Separation Volume IND StdDocSep Vol 002M/Yr- Standard Support</t>
  </si>
  <si>
    <t>AE#VY54-010M-S</t>
  </si>
  <si>
    <t>INDICIUS Standard Document Separation Volume IND StdDocSep Vol 010M/Yr- Standard Support</t>
  </si>
  <si>
    <t>AE#VY54-015M-S</t>
  </si>
  <si>
    <t>INDICIUS Standard Document Separation Volume IND StdDocSep Vol 015M/Yr- Standard Support</t>
  </si>
  <si>
    <t>AE#VY54-040M-S</t>
  </si>
  <si>
    <t>INDICIUS Standard Document Separation Volume IND StdDocSep Vol 040M/Yr- Standard Support</t>
  </si>
  <si>
    <t>AE#VY54-050M-S</t>
  </si>
  <si>
    <t>INDICIUS Standard Document Separation Volume IND StdDocSep Vol 050M/Yr- Standard Support</t>
  </si>
  <si>
    <t>AE#VP54-300K-S</t>
  </si>
  <si>
    <t>INDICIUS Standard Document Separation Volume IND StdDocSep 300K/Pg Cnt- Standard Support</t>
  </si>
  <si>
    <t>AE#VP54-001M-S</t>
  </si>
  <si>
    <t>INDICIUS Standard Document Separation Volume IND StdDocSep 001M/Pg Cnt- Standard Support</t>
  </si>
  <si>
    <t>AE#VP54-005M-S</t>
  </si>
  <si>
    <t>INDICIUS Standard Document Separation Volume IND StdDocSep 005M/Pg Cnt- Standard Support</t>
  </si>
  <si>
    <t>AE#VY57-005K-S</t>
  </si>
  <si>
    <t>INDICIUS Standard Voting Engine Volume IND AddVotStd Vol 005K/Yr- Standard Support</t>
  </si>
  <si>
    <t>AE#VY57-005M-S</t>
  </si>
  <si>
    <t>INDICIUS Standard Voting Engine Volume IND AddVotStd Vol 005M/Yr- Standard Support</t>
  </si>
  <si>
    <t>AE#VY57-010M-S</t>
  </si>
  <si>
    <t>INDICIUS Standard Voting Engine Volume IND AddVotStd Vol 010M/Yr- Standard Support</t>
  </si>
  <si>
    <t>AE#VY57-020M-S</t>
  </si>
  <si>
    <t>INDICIUS Standard Voting Engine Volume IND AddVotStd Vol 020M/Yr- Standard Support</t>
  </si>
  <si>
    <t>AE#VY57-040M-S</t>
  </si>
  <si>
    <t>INDICIUS Standard Voting Engine Volume IND AddVotStd Vol 040M/Yr- Standard Support</t>
  </si>
  <si>
    <t>AE#VY57-100M-S</t>
  </si>
  <si>
    <t>INDICIUS Standard Voting Engine Volume IND AddVotStd Vol 100M/Yr- Standard Support</t>
  </si>
  <si>
    <t>AE#VP57-300K-S</t>
  </si>
  <si>
    <t>INDICIUS Standard Voting Engine Volume IND AddVotStd 300K/Pg Cnt- Standard Support</t>
  </si>
  <si>
    <t>AE#VP57-003M-S</t>
  </si>
  <si>
    <t>INDICIUS Standard Voting Engine Volume IND AddVotStd 003M/Pg Cnt- Standard Support</t>
  </si>
  <si>
    <t>AE#VP57-005M-S</t>
  </si>
  <si>
    <t>INDICIUS Standard Voting Engine Volume IND AddVotStd 005M/Pg Cnt- Standard Support</t>
  </si>
  <si>
    <t>AE#VY65-002M-S</t>
  </si>
  <si>
    <t>INDICIUS Advanced Document Separation Volume IND AdvDocSep Vol 002M/Yr- Standard Support</t>
  </si>
  <si>
    <t>AE#VY65-005M-S</t>
  </si>
  <si>
    <t>INDICIUS Advanced Document Separation Volume IND AdvDocSep Vol 005M/Yr- Standard Support</t>
  </si>
  <si>
    <t>AE#VY65-015M-S</t>
  </si>
  <si>
    <t>INDICIUS Advanced Document Separation Volume IND AdvDocSep Vol 015M/Yr- Standard Support</t>
  </si>
  <si>
    <t>AE#VY65-020M-S</t>
  </si>
  <si>
    <t>INDICIUS Advanced Document Separation Volume IND AdvDocSep Vol 020M/Yr- Standard Support</t>
  </si>
  <si>
    <t>AE#VY65-050M-S</t>
  </si>
  <si>
    <t>INDICIUS Advanced Document Separation Volume IND AdvDocSep Vol 050M/Yr- Standard Support</t>
  </si>
  <si>
    <t>AE#VY65-100M-S</t>
  </si>
  <si>
    <t>INDICIUS Advanced Document Separation Volume IND AdvDocSep Vol 100M/Yr- Standard Support</t>
  </si>
  <si>
    <t>AE#VP65-001M-S</t>
  </si>
  <si>
    <t>INDICIUS Advanced Document Separation Volume IND AdvDocSep 001M/Pg Cnt- Standard Support</t>
  </si>
  <si>
    <t>AE#VP65-003M-S</t>
  </si>
  <si>
    <t>INDICIUS Advanced Document Separation Volume IND AdvDocSep 003M/Pg Cnt- Standard Support</t>
  </si>
  <si>
    <t>AE#VY58-005K-S</t>
  </si>
  <si>
    <t>INDICIUS Professional Voting Engine Volume IND AddVotPro Vol 005K/Yr- Standard Support</t>
  </si>
  <si>
    <t>AE#VY58-002M-S</t>
  </si>
  <si>
    <t>INDICIUS Professional Voting Engine Volume IND AddVotPro Vol 002M/Yr- Standard Support</t>
  </si>
  <si>
    <t>AE#VY58-010M-S</t>
  </si>
  <si>
    <t>INDICIUS Professional Voting Engine Volume IND AddVotPro Vol 010M/Yr- Standard Support</t>
  </si>
  <si>
    <t>AE#VY58-015M-S</t>
  </si>
  <si>
    <t>INDICIUS Professional Voting Engine Volume IND AddVotPro Vol 015M/Yr- Standard Support</t>
  </si>
  <si>
    <t>AE#VY58-040M-S</t>
  </si>
  <si>
    <t>INDICIUS Professional Voting Engine Volume IND AddVotPro Vol 040M/Yr- Standard Support</t>
  </si>
  <si>
    <t>AE#VY58-050M-S</t>
  </si>
  <si>
    <t>INDICIUS Professional Voting Engine Volume IND AddVotPro Vol 050M/Yr- Standard Support</t>
  </si>
  <si>
    <t>AE#VP58-300K-S</t>
  </si>
  <si>
    <t>INDICIUS Professional Voting Engine Volume IND AddVotPro 300K/Pg Cnt- Standard Support</t>
  </si>
  <si>
    <t>AE#VP58-001M-S</t>
  </si>
  <si>
    <t>INDICIUS Professional Voting Engine Volume IND AddVotPro 001M/Pg Cnt- Standard Support</t>
  </si>
  <si>
    <t>AE#VP58-005M-S</t>
  </si>
  <si>
    <t>INDICIUS Professional Voting Engine Volume IND AddVotPro 005M/Pg Cnt- Standard Support</t>
  </si>
  <si>
    <t>AE#VY60-005K-S</t>
  </si>
  <si>
    <t>INDICIUS Postal Address Validation Volume IND PostValid Vol 005K/Yr- Standard Support</t>
  </si>
  <si>
    <t>AE#VY60-005M-S</t>
  </si>
  <si>
    <t>INDICIUS Postal Address Validation Volume IND PostValid Vol 005M/Yr- Standard Support</t>
  </si>
  <si>
    <t>AE#VY60-010M-S</t>
  </si>
  <si>
    <t>INDICIUS Postal Address Validation Volume IND PostValid Vol 010M/Yr- Standard Support</t>
  </si>
  <si>
    <t>AE#VY60-020M-S</t>
  </si>
  <si>
    <t>INDICIUS Postal Address Validation Volume IND PostValid Vol 020M/Yr- Standard Support</t>
  </si>
  <si>
    <t>AE#VY60-040M-S</t>
  </si>
  <si>
    <t>INDICIUS Postal Address Validation Volume IND PostValid Vol 040M/Yr- Standard Support</t>
  </si>
  <si>
    <t>AE#VY60-100M-S</t>
  </si>
  <si>
    <t>INDICIUS Postal Address Validation Volume IND PostValid Vol 100M/Yr- Standard Support</t>
  </si>
  <si>
    <t>AE#VP60-300K-S</t>
  </si>
  <si>
    <t>INDICIUS Postal Address Validation Volume IND PostValid 300K/Pg Cnt- Standard Support</t>
  </si>
  <si>
    <t>AE#VP60-003M-S</t>
  </si>
  <si>
    <t>INDICIUS Postal Address Validation Volume IND PostValid 003M/Pg Cnt- Standard Support</t>
  </si>
  <si>
    <t>AE#VP60-005M-S</t>
  </si>
  <si>
    <t>INDICIUS Postal Address Validation Volume IND PostValid 005M/Pg Cnt- Standard Support</t>
  </si>
  <si>
    <t>AE#VY64-002M-S</t>
  </si>
  <si>
    <t>INDICIUS Scripted Export Volume IND ScrptExpt Vol 002M/Yr- Standard Support</t>
  </si>
  <si>
    <t>AE#VY64-005M-S</t>
  </si>
  <si>
    <t>INDICIUS Scripted Export Volume IND ScrptExpt Vol 005M/Yr- Standard Support</t>
  </si>
  <si>
    <t>AE#VY64-015M-S</t>
  </si>
  <si>
    <t>INDICIUS Scripted Export Volume IND ScrptExpt Vol 015M/Yr- Standard Support</t>
  </si>
  <si>
    <t>AE#VY64-020M-S</t>
  </si>
  <si>
    <t>INDICIUS Scripted Export Volume IND ScrptExpt Vol 020M/Yr- Standard Support</t>
  </si>
  <si>
    <t>AE#VY64-050M-S</t>
  </si>
  <si>
    <t>INDICIUS Scripted Export Volume IND ScrptExpt Vol 050M/Yr- Standard Support</t>
  </si>
  <si>
    <t>AE#VY64-100M-S</t>
  </si>
  <si>
    <t>INDICIUS Scripted Export Volume IND ScrptExpt Vol 100M/Yr- Standard Support</t>
  </si>
  <si>
    <t>AE#VP64-001M-S</t>
  </si>
  <si>
    <t>INDICIUS Scripted Export Volume IND ScrptExpt 001M/Pg Cnt- Standard Support</t>
  </si>
  <si>
    <t>AE#VP64-003M-S</t>
  </si>
  <si>
    <t>INDICIUS Scripted Export Volume IND ScrptExpt 003M/Pg Cnt- Standard Support</t>
  </si>
  <si>
    <t>AE#T070-0006-S</t>
  </si>
  <si>
    <t>INDICIUS Document Review Seats INDICIUS DocReview Seat Lic- Standard Support</t>
  </si>
  <si>
    <t>AE#T071-0006-S</t>
  </si>
  <si>
    <t>INDICIUS Correction Seats INDICIUS Correction Seat Lic- Standard Support</t>
  </si>
  <si>
    <t>AE#T073-0006-S</t>
  </si>
  <si>
    <t>INDICIUS Verification Seats INDICIUS Verification Seat Lic- Standard Support</t>
  </si>
  <si>
    <t>AE#T074-0006-S</t>
  </si>
  <si>
    <t>INDICIUS Address Validation Seats INDICIUS AddressValid Seat Lic- Standard Support</t>
  </si>
  <si>
    <t>AE#T024-001U-P</t>
  </si>
  <si>
    <t>Kofax Capture - Standard Concurrent Stations 1 concurrent station- Platinum Support</t>
  </si>
  <si>
    <t>AE#T024-005U-P</t>
  </si>
  <si>
    <t>Kofax Capture - Standard Concurrent Stations 5 concurrent stations- Platinum Support</t>
  </si>
  <si>
    <t>AE#T024-020U-P</t>
  </si>
  <si>
    <t>Kofax Capture - Standard Concurrent Stations 20 concurrent stations- Platinum Support</t>
  </si>
  <si>
    <t>AE#T024-050U-P</t>
  </si>
  <si>
    <t>Kofax Capture - Standard Concurrent Stations 50 concurrent stations- Platinum Support</t>
  </si>
  <si>
    <t>AE#T024-500U-P</t>
  </si>
  <si>
    <t>Kofax Capture - Standard Concurrent Stations 500 concurrent stations- Platinum Support</t>
  </si>
  <si>
    <t>AE#T024-001K-P</t>
  </si>
  <si>
    <t>Kofax Capture - Standard Concurrent Stations 1000 concurrent stations- Platinum Support</t>
  </si>
  <si>
    <t>AE#Y024-300K-P</t>
  </si>
  <si>
    <t>Kofax Capture - Standard Scan/Import Volume Image vol 300K/yr- Platinum Support</t>
  </si>
  <si>
    <t>AE#Y024-600K-P</t>
  </si>
  <si>
    <t>Kofax Capture - Standard Scan/Import Volume Image vol 600K/yr- Platinum Support</t>
  </si>
  <si>
    <t>AE#Y024-001M-P</t>
  </si>
  <si>
    <t>Kofax Capture - Standard Scan/Import Volume Image vol 1M/yr- Platinum Support</t>
  </si>
  <si>
    <t>AE#Y024-002M-P</t>
  </si>
  <si>
    <t>Kofax Capture - Standard Scan/Import Volume Image vol 2M/yr- Platinum Support</t>
  </si>
  <si>
    <t>AE#Y024-005M-P</t>
  </si>
  <si>
    <t>Kofax Capture - Standard Scan/Import Volume Image vol 5M/yr- Platinum Support</t>
  </si>
  <si>
    <t>AE#Y024-010M-P</t>
  </si>
  <si>
    <t>Kofax Capture - Standard Scan/Import Volume Image vol 10M/yr- Platinum Support</t>
  </si>
  <si>
    <t>AE#Y024-060M-P</t>
  </si>
  <si>
    <t>Kofax Capture - Standard Scan/Import Volume Image vol 60M/yr- Platinum Support</t>
  </si>
  <si>
    <t>AE#Y024-120M-P</t>
  </si>
  <si>
    <t>Kofax Capture - Standard Scan/Import Volume Image vol 120M/yr- Platinum Support</t>
  </si>
  <si>
    <t>AE#VP01-010M-P</t>
  </si>
  <si>
    <t>Kofax Capture - Standard Scan/Import Volume Image vol 10M  Page Count- Platinum Support</t>
  </si>
  <si>
    <t>AE#Y099-060K-P</t>
  </si>
  <si>
    <t>Kofax Capture - Standard Stand-alone Systems Stand-alone 60K/yr- Platinum Support</t>
  </si>
  <si>
    <t>AE#Y024U150K-300K-P</t>
  </si>
  <si>
    <t>Kofax Capture - Standard Stand-alone Systems Upg 150K-300K- Platinum Support</t>
  </si>
  <si>
    <t>EV#0101-0000-P</t>
  </si>
  <si>
    <t>Kofax Capture - Evaluation System Standard Kofax Capture Evaluation- Platinum Support</t>
  </si>
  <si>
    <t>AE#0000-0001-P</t>
  </si>
  <si>
    <t>Kofax Capture - Standard Kofax Capture Hardware Security (Dongle)- Platinum Support</t>
  </si>
  <si>
    <t>EE#T024-001U-P</t>
  </si>
  <si>
    <t>Kofax Capture - Enterprise Concurrent Stations 1 concurrent station- Platinum Support</t>
  </si>
  <si>
    <t>EE#T024-010U-P</t>
  </si>
  <si>
    <t>Kofax Capture - Enterprise Concurrent Stations 10 concurrent stations- Platinum Support</t>
  </si>
  <si>
    <t>EE#T024-020U-P</t>
  </si>
  <si>
    <t>Kofax Capture - Enterprise Concurrent Stations 20 concurrent stations- Platinum Support</t>
  </si>
  <si>
    <t>EE#T024-100U-P</t>
  </si>
  <si>
    <t>Kofax Capture - Enterprise Concurrent Stations 100 concurrent stations- Platinum Support</t>
  </si>
  <si>
    <t>EE#T024-500U-P</t>
  </si>
  <si>
    <t>Kofax Capture - Enterprise Concurrent Stations 500 concurrent stations- Platinum Support</t>
  </si>
  <si>
    <t>EE#Y024-600K-P</t>
  </si>
  <si>
    <t>Kofax Capture - Enterprise Scan/Import Volume Image vol 600K/yr-Ent- Platinum Support</t>
  </si>
  <si>
    <t>EE#Y024-001M-P</t>
  </si>
  <si>
    <t>Kofax Capture - Enterprise Scan/Import Volume Image vol 1M/yr-Ent- Platinum Support</t>
  </si>
  <si>
    <t>EE#Y024-005M-P</t>
  </si>
  <si>
    <t>Kofax Capture - Enterprise Scan/Import Volume Image vol 5M/yr-Ent- Platinum Support</t>
  </si>
  <si>
    <t>EE#Y024-010M-P</t>
  </si>
  <si>
    <t>Kofax Capture - Enterprise Scan/Import Volume Image vol 10M/yr-Ent- Platinum Support</t>
  </si>
  <si>
    <t>EE#Y024-060M-P</t>
  </si>
  <si>
    <t>Kofax Capture - Enterprise Scan/Import Volume Image vol 60M/yr-Ent- Platinum Support</t>
  </si>
  <si>
    <t>EE#Y024-120M-P</t>
  </si>
  <si>
    <t>Kofax Capture - Enterprise Scan/Import Volume Image vol 120M/yr-Ent- Platinum Support</t>
  </si>
  <si>
    <t>EE#VP01-010M-P</t>
  </si>
  <si>
    <t>Kofax Capture - Enterprise Scan/Import Volume Image vol 10M  Page Ct-Ent- Platinum Support</t>
  </si>
  <si>
    <t>KOFAX-MEDIA-CAPTURE-P</t>
  </si>
  <si>
    <t>Kofax Capture - Enterprise Kofax Capture Media Pack- Platinum Support</t>
  </si>
  <si>
    <t>AE#VY97-060K -P</t>
  </si>
  <si>
    <t>Kofax Capture - Add-ons Kofax Capture Export Connector - SAP KCEC-ERP Queue 60K- Platinum Support</t>
  </si>
  <si>
    <t>AE#VY97-060M-P</t>
  </si>
  <si>
    <t>Kofax Capture - Add-ons Kofax Capture Export Connector - SAP KCEC-ERP Queue 060M- Platinum Support</t>
  </si>
  <si>
    <t>AE#VY96-060K-P</t>
  </si>
  <si>
    <t>Kofax Capture - Add-ons Kofax Capture Export Connector - SAP KCEC-ERP-LIGHT-60K- Platinum Support</t>
  </si>
  <si>
    <t>AE#VY96-600K-P</t>
  </si>
  <si>
    <t>Kofax Capture - Add-ons Kofax Capture Export Connector - SAP KCEC-ERP-LIGHT-600K- Platinum Support</t>
  </si>
  <si>
    <t>AE#VY96-001M-P</t>
  </si>
  <si>
    <t>Kofax Capture - Add-ons Kofax Capture Export Connector - SAP KCEC-ERP-LIGHT-001M- Platinum Support</t>
  </si>
  <si>
    <t>AE#VY98-060K-P</t>
  </si>
  <si>
    <t>Kofax Capture - Add-ons Kofax Capture Export Connector - SAP KCEC-ERP-FULL-60K- Platinum Support</t>
  </si>
  <si>
    <t>AE#VY98-300K-P</t>
  </si>
  <si>
    <t>Kofax Capture - Add-ons Kofax Capture Export Connector - SAP KCEC-ERP-FULL-300K- Platinum Support</t>
  </si>
  <si>
    <t>AE#VY98-001M-P</t>
  </si>
  <si>
    <t>Kofax Capture - Add-ons Kofax Capture Export Connector - SAPKCEC-ERP-FULL-001M- Platinum Support</t>
  </si>
  <si>
    <t>AE#VY98-060M-P</t>
  </si>
  <si>
    <t>Kofax Capture - Add-ons Kofax Capture Export Connector - SAP KCEC-ERP-FULL-060M- Platinum Support</t>
  </si>
  <si>
    <t>AE#VY21-300K-P</t>
  </si>
  <si>
    <t>Kofax Capture - Add-ons Kofax Capture Advanced Reports 300K/yr- Platinum Support</t>
  </si>
  <si>
    <t>AE#VY21-600K-P</t>
  </si>
  <si>
    <t>Kofax Capture - Add-ons Kofax Capture Advanced Reports 600K/yr- Platinum Support</t>
  </si>
  <si>
    <t>AE#VY21-002M-P</t>
  </si>
  <si>
    <t>Kofax Capture - Add-ons Kofax Capture Advanced Reports 2M/yr- Platinum Support</t>
  </si>
  <si>
    <t>AE#VY21-005M-P</t>
  </si>
  <si>
    <t>Kofax Capture - Add-ons Kofax Capture Advanced Reports 5M/yr- Platinum Support</t>
  </si>
  <si>
    <t>AE#VY21-020M-P</t>
  </si>
  <si>
    <t>Kofax Capture - Add-ons Kofax Capture Advanced Reports 20M/yr- Platinum Support</t>
  </si>
  <si>
    <t>AE#VY21-060M-P</t>
  </si>
  <si>
    <t>Kofax Capture - Add-ons Kofax Capture Advanced Reports 60M/yr- Platinum Support</t>
  </si>
  <si>
    <t>AE#T003-0207-P</t>
  </si>
  <si>
    <t>Kofax Capture - Add-ons Kofax Capture Import Connector-Folder- Platinum Support</t>
  </si>
  <si>
    <t>AE#T003-0214-P</t>
  </si>
  <si>
    <t>Kofax Capture - Add-ons Kofax Capture VRS Server Add-on - Platinum Support</t>
  </si>
  <si>
    <t>AE#T600-300K-P</t>
  </si>
  <si>
    <t>Kofax Capture - Add-ons Kofax Capture Import Connector – Advanced Email and Fax up to 300k msgs / year- Platinum Support</t>
  </si>
  <si>
    <t>AE#T600-600K-P</t>
  </si>
  <si>
    <t>Kofax Capture - Add-ons Kofax Capture Import Connector – Advanced Email and Fax up to 600k msgs / year- Platinum Support</t>
  </si>
  <si>
    <t>AE#T600-002M-P</t>
  </si>
  <si>
    <t>Kofax Capture - Add-ons Kofax Capture Import Connector – Advanced Email and Fax up to 2M msgs / year- Platinum Support</t>
  </si>
  <si>
    <t>AE#T600-005M-P</t>
  </si>
  <si>
    <t>Kofax Capture - Add-ons Kofax Capture Import Connector – Advanced Email and Fax up to 5M msgs / year- Platinum Support</t>
  </si>
  <si>
    <t>AE#T600-020M-P</t>
  </si>
  <si>
    <t>Kofax Capture - Add-ons Kofax Capture Import Connector – Advanced Email and Fax up to 20M msgs / year- Platinum Support</t>
  </si>
  <si>
    <t>AE#T600-060M-P</t>
  </si>
  <si>
    <t>Kofax Capture - Add-ons Kofax Capture Import Connector – Advanced Email and Fax up to 60M msgs / year- Platinum Support</t>
  </si>
  <si>
    <t>AE#P600-001M-P</t>
  </si>
  <si>
    <t>Kofax Capture - Add-ons Kofax Capture Import Connector – Advanced Email and Fax up to 1M msgs count- Platinum Support</t>
  </si>
  <si>
    <t>AE#P600-010M-P</t>
  </si>
  <si>
    <t>Kofax Capture - Add-ons Kofax Capture Import Connector – Advanced Email and Fax up to 10M msgs count- Platinum Support</t>
  </si>
  <si>
    <t>AE#T602-0000-P</t>
  </si>
  <si>
    <t>Kofax Capture - Add-ons Kofax Capture Import Connector for 2 Fax Server Connections Basic licenses- Platinum Support</t>
  </si>
  <si>
    <t>AE#T603-0000-P</t>
  </si>
  <si>
    <t>Kofax Capture - Add-ons Kofax Capture Import Connector for 3 Fax Server Connections Basic licenses- Platinum Support</t>
  </si>
  <si>
    <t>AE#T606-0000-P</t>
  </si>
  <si>
    <t>Kofax Capture - Add-ons Kofax Capture Import Connector for 6 Fax Server Connections Basic licenses- Platinum Support</t>
  </si>
  <si>
    <t>AE#T608-0000-P</t>
  </si>
  <si>
    <t>Kofax Capture - Add-ons Kofax Capture Import Connector for 8 Fax Server Connections Basic licenses- Platinum Support</t>
  </si>
  <si>
    <t>AE#T601U0603-P</t>
  </si>
  <si>
    <t>Kofax Capture - Add-ons Upgrade KCIC 2.0 from 1 to 3 Fax Servers- Platinum Support</t>
  </si>
  <si>
    <t>AE#T601U0604-P</t>
  </si>
  <si>
    <t>Kofax Capture - Add-ons Upgrade KCIC 2.0 from 1 to 4 Fax Servers- Platinum Support</t>
  </si>
  <si>
    <t>AE#T601U0608-P</t>
  </si>
  <si>
    <t>Kofax Capture - Add-ons Upgrade KCIC 2.0 from 1 to 8 Fax Servers- Platinum Support</t>
  </si>
  <si>
    <t>AE#T602U0603-P</t>
  </si>
  <si>
    <t>Kofax Capture - Add-ons Upgrade KCIC 2.0 from 2 to 3 Fax Servers- Platinum Support</t>
  </si>
  <si>
    <t>AE#T602U0606-P</t>
  </si>
  <si>
    <t>Kofax Capture - Add-ons Upgrade KCIC 2.0 from 2 to 6 Fax Servers- Platinum Support</t>
  </si>
  <si>
    <t>AE#T602U0608-P</t>
  </si>
  <si>
    <t>Kofax Capture - Add-ons Upgrade KCIC 2.0 from 2 to 8 Fax Servers- Platinum Support</t>
  </si>
  <si>
    <t>AE#T603U0606-P</t>
  </si>
  <si>
    <t>Kofax Capture - Add-ons Upgrade KCIC 2.0 from 3 to 6 Fax Servers- Platinum Support</t>
  </si>
  <si>
    <t>AE#T603U0608-P</t>
  </si>
  <si>
    <t>Kofax Capture - Add-ons Upgrade KCIC 2.0 from 3 to 8 Fax Servers- Platinum Support</t>
  </si>
  <si>
    <t>AE#T604U0608-P</t>
  </si>
  <si>
    <t>Kofax Capture - Add-ons Upgrade KCIC 2.0 from 4 to 8 Fax Servers- Platinum Support</t>
  </si>
  <si>
    <t>AE#T606U0608-P</t>
  </si>
  <si>
    <t>Kofax Capture - Add-ons Upgrade KCIC 2.0 from 6 to 8 Fax Servers- Platinum Support</t>
  </si>
  <si>
    <t>AE#T026-0000-P</t>
  </si>
  <si>
    <t>Kofax Capture - Add-ons VRS for Kofax Capture - New Licenses VRS Elite Workgroup- Platinum Support</t>
  </si>
  <si>
    <t>AE#T027-0000-P</t>
  </si>
  <si>
    <t>Kofax Capture - Add-ons VRS for Kofax Capture - New Licenses VRS Elite Production- Platinum Support</t>
  </si>
  <si>
    <t>UE#T026-0000-P</t>
  </si>
  <si>
    <t>Kofax Capture - Add-ons VRS for Kofax Capture - New Licenses VRS Elite Workgroup Upgrade for Kofax Capture- Platinum Support</t>
  </si>
  <si>
    <t>UE#T027-0000-P</t>
  </si>
  <si>
    <t>Kofax Capture - Add-ons VRS for Kofax Capture - New Licenses VRS Elite Production Upgrade for Kofax Capture- Platinum Support</t>
  </si>
  <si>
    <t>AE#VY10-300K-P</t>
  </si>
  <si>
    <t>Kofax Capture - Add-ons Full Text PDF  PDF I +T 300K/yr- Platinum Support</t>
  </si>
  <si>
    <t>AE#VY10-600K-P</t>
  </si>
  <si>
    <t>Kofax Capture - Add-ons Full Text PDF  PDF I+T 600K/yr- Platinum Support</t>
  </si>
  <si>
    <t>AE#VY10-002M-P</t>
  </si>
  <si>
    <t>Kofax Capture - Add-ons Full Text PDF  PDF I+T 2M/Yr- Platinum Support</t>
  </si>
  <si>
    <t>AE#VY10-005M-P</t>
  </si>
  <si>
    <t>Kofax Capture - Add-ons Full Text PDF  PDF I+T 5M/Yr- Platinum Support</t>
  </si>
  <si>
    <t>AE#VY10-020M-P</t>
  </si>
  <si>
    <t>Kofax Capture - Add-ons Full Text PDF  PDF I+T 20M/Yr- Platinum Support</t>
  </si>
  <si>
    <t>AE#VY10-060M-P</t>
  </si>
  <si>
    <t>Kofax Capture - Add-ons Full Text PDF  PDF I+T 60M/Yr- Platinum Support</t>
  </si>
  <si>
    <t>AE#VP10-001M-P</t>
  </si>
  <si>
    <t>Kofax Capture - Add-ons Full Text PDF  PDF I+T 1M/Pg Count- Platinum Support</t>
  </si>
  <si>
    <t>AE#VP10-002M-P</t>
  </si>
  <si>
    <t>Kofax Capture - Add-ons Full Text PDF  PDF I+T 2M/Pg Count- Platinum Support</t>
  </si>
  <si>
    <t>AE#Y505-060K-P</t>
  </si>
  <si>
    <t>Kofax Capture - Add-ons Kofax PDF Compression  PDF Compression Vol 60K/Yr- Platinum Support</t>
  </si>
  <si>
    <t>AE#Y505-300K-P</t>
  </si>
  <si>
    <t>Kofax Capture - Add-ons Kofax PDF Compression  PDF Compression Vol 300K/Yr- Platinum Support</t>
  </si>
  <si>
    <t>AE#Y505-001M-P</t>
  </si>
  <si>
    <t>Kofax Capture - Add-ons Kofax PDF Compression  PDF Compression Vol 1M/Yr- Platinum Support</t>
  </si>
  <si>
    <t>AE#Y505-002M-P</t>
  </si>
  <si>
    <t>Kofax Capture - Add-ons Kofax PDF Compression  PDF Compression Vol 2M/Yr- Platinum Support</t>
  </si>
  <si>
    <t>AE#Y505-010M-P</t>
  </si>
  <si>
    <t>Kofax Capture - Add-ons Kofax PDF Compression  PDF Compression Vol 10M/Yr- Platinum Support</t>
  </si>
  <si>
    <t>AE#Y505-020M-P</t>
  </si>
  <si>
    <t>Kofax Capture - Add-ons Kofax PDF Compression  PDF Compression Vol 20M/Yr- Platinum Support</t>
  </si>
  <si>
    <t>AE#Y505-120M-P</t>
  </si>
  <si>
    <t>Kofax Capture - Add-ons Kofax PDF Compression  PDF Compression Vol 120M/Yr- Platinum Support</t>
  </si>
  <si>
    <t>AE#P505-001M-P</t>
  </si>
  <si>
    <t>Kofax Capture - Add-ons Kofax PDF Compression  PDF Compression Vol 1M Pg Cnt- Platinum Support</t>
  </si>
  <si>
    <t>AE#P505-010M-P</t>
  </si>
  <si>
    <t>Kofax Capture - Add-ons Kofax PDF Compression  PDF Compression Vol 10M Pg Cnt- Platinum Support</t>
  </si>
  <si>
    <t>AO#AOCR-00AD-P</t>
  </si>
  <si>
    <t>Kofax Capture - Add-ons Kofax PDF Compression  Arabic Full Text OCR Add'l Workst. Dongle- Platinum Support</t>
  </si>
  <si>
    <t>AO#Y024-300K-P</t>
  </si>
  <si>
    <t>Kofax Capture - Add-ons Kofax PDF Compression  Arabic Full Text OCR 300K Pages/Year- Platinum Support</t>
  </si>
  <si>
    <t>AO#Y024-600K-P</t>
  </si>
  <si>
    <t>Kofax Capture - Add-ons Kofax PDF Compression  Arabic Full Text OCR 600K Pages/Year- Platinum Support</t>
  </si>
  <si>
    <t>AO#Y024-002M-P</t>
  </si>
  <si>
    <t>Kofax Capture - Add-ons Kofax PDF Compression  Arabic Full Text OCR 2M Pages/Year- Platinum Support</t>
  </si>
  <si>
    <t>AO#Y024-005M-P</t>
  </si>
  <si>
    <t>Kofax Capture - Add-ons Kofax PDF Compression  Arabic Full Text OCR 5M Pages/Year- Platinum Support</t>
  </si>
  <si>
    <t>AO#Y024-020M-P</t>
  </si>
  <si>
    <t>Kofax Capture - Add-ons Kofax PDF Compression  Arabic Full Text OCR 20M Pages/Year- Platinum Support</t>
  </si>
  <si>
    <t>AO#Y024-060M-P</t>
  </si>
  <si>
    <t>Kofax Capture - Add-ons Kofax PDF Compression  Arabic Full Text OCR 60 M Pages/Year- Platinum Support</t>
  </si>
  <si>
    <t>AO#VP01-010M-P</t>
  </si>
  <si>
    <t>Kofax Capture - Add-ons Kofax PDF Compression  Arabic Full Text OCR 10M Page Count- Platinum Support</t>
  </si>
  <si>
    <t>AO#EVAL-0001-P</t>
  </si>
  <si>
    <t>Kofax Capture - Add-ons Kofax PDF Compression  Arabic Full Text  OCR Evaluation Dongle- Platinum Support</t>
  </si>
  <si>
    <t>AE#Y522-030K-P</t>
  </si>
  <si>
    <t>Kofax Transformation Modules KTM 5 Field Extraction Base License 30K Per Year- Platinum Support</t>
  </si>
  <si>
    <t>AE#Y522-060K-P</t>
  </si>
  <si>
    <t>Kofax Transformation Modules KTM 5 Field Extraction Base License 60K Per Year- Platinum Support</t>
  </si>
  <si>
    <t>AE#Y522-300K-P</t>
  </si>
  <si>
    <t>Kofax Transformation Modules KTM 5 Field Extraction Base License 300K Per Year- Platinum Support</t>
  </si>
  <si>
    <t>AE#Y522-600K-P</t>
  </si>
  <si>
    <t>Kofax Transformation Modules KTM 5 Field Extraction Base License 600K Per Year- Platinum Support</t>
  </si>
  <si>
    <t>AE#Y522-002M-P</t>
  </si>
  <si>
    <t>Kofax Transformation Modules KTM 5 Field Extraction Base License 2M Per Year- Platinum Support</t>
  </si>
  <si>
    <t>AE#Y522-005M-P</t>
  </si>
  <si>
    <t>Kofax Transformation Modules KTM 5 Field Extraction Base License 5M Per Year- Platinum Support</t>
  </si>
  <si>
    <t>AE#Y522-020M-P</t>
  </si>
  <si>
    <t>Kofax Transformation Modules KTM 5 Field Extraction Base License 20M Per Year- Platinum Support</t>
  </si>
  <si>
    <t>AE#Y522-060M-P</t>
  </si>
  <si>
    <t>Kofax Transformation Modules KTM 5 Field Extraction Base License 60M Per Year- Platinum Support</t>
  </si>
  <si>
    <t>AE#P522-001M-P</t>
  </si>
  <si>
    <t>Kofax Transformation Modules KTM 5 Field Extraction Base License1M Page Count- Platinum Support</t>
  </si>
  <si>
    <t>AE#P522-002M-P</t>
  </si>
  <si>
    <t>Kofax Transformation Modules KTM 5 Field Extraction Base License 2M Page Count- Platinum Support</t>
  </si>
  <si>
    <t>AE#Y523-030K-P</t>
  </si>
  <si>
    <t>Kofax Transformation Modules KTM Unlimited Field Extraction Base License 30K Per Year- Platinum Support</t>
  </si>
  <si>
    <t>AE#Y523-060K-P</t>
  </si>
  <si>
    <t>Kofax Transformation Modules KTM Unlimited Field Extraction Base License 60K Per Year- Platinum Support</t>
  </si>
  <si>
    <t>AE#Y523-300K-P</t>
  </si>
  <si>
    <t>Kofax Transformation Modules KTM Unlimited Field Extraction Base License 300K Per Year- Platinum Support</t>
  </si>
  <si>
    <t>AE#Y523-600K-P</t>
  </si>
  <si>
    <t>Kofax Transformation Modules KTM Unlimited Field Extraction Base License 600K Per Year- Platinum Support</t>
  </si>
  <si>
    <t>AE#Y523-002M-P</t>
  </si>
  <si>
    <t>Kofax Transformation Modules Kofax Transformation Modules KTM Unlimited Field Extraction Base License 2M Per Year- Platinum Support</t>
  </si>
  <si>
    <t>AE#Y523-005M-P</t>
  </si>
  <si>
    <t>Kofax Transformation Modules KTM Unlimited Field Extraction Base License 5M Per Year- Platinum Support</t>
  </si>
  <si>
    <t>AE#Y523-020M-P</t>
  </si>
  <si>
    <t>Kofax Transformation Modules KTM Unlimited Field Extraction Base License 20M Per Year- Platinum Support</t>
  </si>
  <si>
    <t>AE#Y523-060M-P</t>
  </si>
  <si>
    <t>Kofax Transformation Modules KTM Unlimited Field Extraction Base License 60M Per Year- Platinum Support</t>
  </si>
  <si>
    <t>AE#P523-010M-P</t>
  </si>
  <si>
    <t>Kofax Transformation Modules KTM Unlimited Field Extraction Base License 10M Page Count- Platinum Support</t>
  </si>
  <si>
    <t>AE#Y533-030K-P</t>
  </si>
  <si>
    <t>Kofax Transformation Modules KTM Invoice Add-on Pack 30K Per Year- Platinum Support</t>
  </si>
  <si>
    <t>AE#Y533-060K-P</t>
  </si>
  <si>
    <t>Kofax Transformation Modules KTM Invoice Add-on Pack 60K Per Year- Platinum Support</t>
  </si>
  <si>
    <t>AE#Y533-120K-P</t>
  </si>
  <si>
    <t>Kofax Transformation Modules KTM Invoice Add-on Pack 120K Per Year- Platinum Support</t>
  </si>
  <si>
    <t>AE#Y533-300K-P</t>
  </si>
  <si>
    <t>Kofax Transformation Modules KTM Invoice Add-on Pack 300K Per Year- Platinum Support</t>
  </si>
  <si>
    <t>AE#Y533-600K-P</t>
  </si>
  <si>
    <t>Kofax Transformation Modules KTM Invoice Add-on Pack 600K Per Year- Platinum Support</t>
  </si>
  <si>
    <t>AE#Y533-002M-P</t>
  </si>
  <si>
    <t>Kofax Transformation Modules KTM Invoice Add-on Pack 2M Per Year- Platinum Support</t>
  </si>
  <si>
    <t>AE#Y533-005M-P</t>
  </si>
  <si>
    <t>Kofax Transformation Modules KTM Invoice Add-on Pack 5M Per Year- Platinum Support</t>
  </si>
  <si>
    <t>AE#Y533-060M-P</t>
  </si>
  <si>
    <t>Kofax Transformation Modules KTM Invoice Add-on Pack 60M Per Year- Platinum Support</t>
  </si>
  <si>
    <t>AE#Y533-120M-P</t>
  </si>
  <si>
    <t>Kofax Transformation Modules KTM Invoice Add-on Pack 120M Per Year- Platinum Support</t>
  </si>
  <si>
    <t>AE#P533-001M-P</t>
  </si>
  <si>
    <t>Kofax Transformation Modules KTM Invoice Add-on Pack 1M Page Count- Platinum Support</t>
  </si>
  <si>
    <t>AE#P533-002M-P</t>
  </si>
  <si>
    <t>Kofax Transformation Modules KTM Invoice Add-on Pack 2M Page Count- Platinum Support</t>
  </si>
  <si>
    <t>AE#VY86-030K-P</t>
  </si>
  <si>
    <t>Kofax Transformation Modules KTM Table Extraction 30K Per Year- Platinum Support</t>
  </si>
  <si>
    <t>AE#VY86-060K-P</t>
  </si>
  <si>
    <t>Kofax Transformation Modules KTM Table Extraction 60K Per Year- Platinum Support</t>
  </si>
  <si>
    <t>AE#VY86-300K-P</t>
  </si>
  <si>
    <t>Kofax Transformation Modules KTM Table Extraction 300K Per Year- Platinum Support</t>
  </si>
  <si>
    <t>AE#VY86-600K-P</t>
  </si>
  <si>
    <t>Kofax Transformation Modules KTM Table Extraction 600K Per Year- Platinum Support</t>
  </si>
  <si>
    <t>AE#VY86-002M-P</t>
  </si>
  <si>
    <t>Kofax Transformation Modules KTM Table Extraction 2M Per Year- Platinum Support</t>
  </si>
  <si>
    <t>AE#VY86-005M-P</t>
  </si>
  <si>
    <t>Kofax Transformation Modules KTM Table Extraction 5M Per Year- Platinum Support</t>
  </si>
  <si>
    <t>AE#VY86-020M-P</t>
  </si>
  <si>
    <t>Kofax Transformation Modules KTM Table Extraction 20M Per Year- Platinum Support</t>
  </si>
  <si>
    <t>AE#VY86-060M-P</t>
  </si>
  <si>
    <t>Kofax Transformation Modules KTM Table Extraction 60M Per Year- Platinum Support</t>
  </si>
  <si>
    <t>AE#VP86-001M-P</t>
  </si>
  <si>
    <t>Kofax Transformation Modules KTM Table Extraction 1M Page Count- Platinum Support</t>
  </si>
  <si>
    <t>AE#VP86-002M-P</t>
  </si>
  <si>
    <t>Kofax Transformation Modules KTM Table Extraction 2M Page Count- Platinum Support</t>
  </si>
  <si>
    <t>AE#Y512-030K-P</t>
  </si>
  <si>
    <t>Kofax Transformation Modules KTM Professional Add-on 30K Per Year- Platinum Support</t>
  </si>
  <si>
    <t>AE#Y512-060K-P</t>
  </si>
  <si>
    <t>Kofax Transformation Modules KTM Professional Add-on 60K Per Year- Platinum Support</t>
  </si>
  <si>
    <t>AE#Y512-300K-P</t>
  </si>
  <si>
    <t>Kofax Transformation Modules KTM Professional Add-on 300K Per Year- Platinum Support</t>
  </si>
  <si>
    <t>AE#Y512-600K-P</t>
  </si>
  <si>
    <t>Kofax Transformation Modules KTM Professional Add-on 600K Per Year- Platinum Support</t>
  </si>
  <si>
    <t>AE#Y512-002M-P</t>
  </si>
  <si>
    <t>Kofax Transformation Modules KTM Professional Add-on 2M Per Year- Platinum Support</t>
  </si>
  <si>
    <t>AE#Y512-005M-P</t>
  </si>
  <si>
    <t>Kofax Transformation Modules KTM Professional Add-on 5M Per Year- Platinum Support</t>
  </si>
  <si>
    <t>AE#Y512-020M-P</t>
  </si>
  <si>
    <t>Kofax Transformation Modules KTM Professional Add-on 20M Per Year- Platinum Support</t>
  </si>
  <si>
    <t>AE#Y512-060M-P</t>
  </si>
  <si>
    <t>Kofax Transformation Modules KTM Professional Add-on 60M Per Year- Platinum Support</t>
  </si>
  <si>
    <t>AE#P512-001M-P</t>
  </si>
  <si>
    <t>Kofax Transformation Modules KTM Professional Add-on 1M Page Count- Platinum Support</t>
  </si>
  <si>
    <t>AE#P512-002M-P</t>
  </si>
  <si>
    <t>Kofax Transformation Modules KTM Professional Add-on 2M Page Count- Platinum Support</t>
  </si>
  <si>
    <t>AE#Y514-030K-P</t>
  </si>
  <si>
    <t>Kofax Transformation Modules KTM Cursive Field Recognition  30K Per Year- Platinum Support</t>
  </si>
  <si>
    <t>AE#Y514-060K-P</t>
  </si>
  <si>
    <t>Kofax Transformation Modules KTM Cursive Field Recognition  60K Per Year- Platinum Support</t>
  </si>
  <si>
    <t>AE#Y514-600K-P</t>
  </si>
  <si>
    <t>Kofax Transformation Modules KTM Cursive Field Recognition  600K Per Year- Platinum Support</t>
  </si>
  <si>
    <t>AE#Y514-001M-P</t>
  </si>
  <si>
    <t>Kofax Transformation Modules KTM Cursive Field Recognition  1M Per Year- Platinum Support</t>
  </si>
  <si>
    <t>AE#Y514-002M-P</t>
  </si>
  <si>
    <t>Kofax Transformation Modules KTM Cursive Field Recognition  2M Per Year- Platinum Support</t>
  </si>
  <si>
    <t>AE#Y514-005M-P</t>
  </si>
  <si>
    <t>Kofax Transformation Modules KTM Cursive Field Recognition  5M Per Year- Platinum Support</t>
  </si>
  <si>
    <t>AE#Y514-060M-P</t>
  </si>
  <si>
    <t>Kofax Transformation Modules KTM Cursive Field Recognition  60M Per Year- Platinum Support</t>
  </si>
  <si>
    <t>AE#Y514-120M-P</t>
  </si>
  <si>
    <t>Kofax Transformation Modules KTM Cursive Field Recognition  120M Per Year- Platinum Support</t>
  </si>
  <si>
    <t>AE#P514-001M-P</t>
  </si>
  <si>
    <t>Kofax Transformation Modules KTM Cursive Field Recognition  1M Page Count- Platinum Support</t>
  </si>
  <si>
    <t>AE#P514-002M-P</t>
  </si>
  <si>
    <t>Kofax Transformation Modules KTM Cursive Field Recognition  2M Page Count- Platinum Support</t>
  </si>
  <si>
    <t>AE#Y524-030K-P</t>
  </si>
  <si>
    <t>Kofax Transformation Modules KTM Cursive Page Recog 30K/YR- Platinum Support</t>
  </si>
  <si>
    <t>AE#Y524-060K-P</t>
  </si>
  <si>
    <t>Kofax Transformation Modules KTM Cursive Page Recog 60K/YR- Platinum Support</t>
  </si>
  <si>
    <t>AE#Y524-300K-P</t>
  </si>
  <si>
    <t>Kofax Transformation Modules KTM Cursive Page Recog 300K/YR- Platinum Support</t>
  </si>
  <si>
    <t>AE#Y524-600K-P</t>
  </si>
  <si>
    <t>Kofax Transformation Modules KTM Cursive Page Recog 600K/YR- Platinum Support</t>
  </si>
  <si>
    <t>AE#Y524-002M-P</t>
  </si>
  <si>
    <t>Kofax Transformation Modules KTM Cursive Page Recog 2M/YR- Platinum Support</t>
  </si>
  <si>
    <t>AE#Y524-005M-P</t>
  </si>
  <si>
    <t>Kofax Transformation Modules KTM Cursive Page Recog 5M/YR- Platinum Support</t>
  </si>
  <si>
    <t>AE#Y524-020M-P</t>
  </si>
  <si>
    <t>Kofax Transformation Modules KTM Cursive Page Recog 20M/YR- Platinum Support</t>
  </si>
  <si>
    <t>AE#Y524-060M-P</t>
  </si>
  <si>
    <t>Kofax Transformation Modules KTM Cursive Page Recog 60M/YR- Platinum Support</t>
  </si>
  <si>
    <t>AE#P524-001M-P</t>
  </si>
  <si>
    <t>Kofax Transformation Modules KTM Cursive Page Recog 1M/PgCt- Platinum Support</t>
  </si>
  <si>
    <t>AE#P524-002M-P</t>
  </si>
  <si>
    <t>Kofax Transformation Modules KTM Cursive Page Recog 2M/PgCt- Platinum Support</t>
  </si>
  <si>
    <t>AE#Y515-030K-P</t>
  </si>
  <si>
    <t>Kofax Transformation Modules KTM Check Recognition  30K Per Year- Platinum Support</t>
  </si>
  <si>
    <t>AE#Y515-060K-P</t>
  </si>
  <si>
    <t>Kofax Transformation Modules KTM Check Recognition  60K Per Year- Platinum Support</t>
  </si>
  <si>
    <t>AE#Y515-300K-P</t>
  </si>
  <si>
    <t>Kofax Transformation Modules KTM Check Recognition  300K Per Year- Platinum Support</t>
  </si>
  <si>
    <t>AE#Y515-600K-P</t>
  </si>
  <si>
    <t>Kofax Transformation Modules KTM Check Recognition  600K Per Year- Platinum Support</t>
  </si>
  <si>
    <t>AE#Y515-002M-P</t>
  </si>
  <si>
    <t>Kofax Transformation Modules KTM Check Recognition  2M Per Year- Platinum Support</t>
  </si>
  <si>
    <t>AE#Y515-005M-P</t>
  </si>
  <si>
    <t>Kofax Transformation Modules KTM Check Recognition  5M Per Year- Platinum Support</t>
  </si>
  <si>
    <t>AE#Y515-020M-P</t>
  </si>
  <si>
    <t>Kofax Transformation Modules KTM Check Recognition  20M Per Year- Platinum Support</t>
  </si>
  <si>
    <t>AE#Y515-060M-P</t>
  </si>
  <si>
    <t>Kofax Transformation Modules KTM Check Recognition  60M Per Year- Platinum Support</t>
  </si>
  <si>
    <t>AE#P515-001M-P</t>
  </si>
  <si>
    <t>Kofax Transformation Modules KTM Check Recognition  1M Page Count- Platinum Support</t>
  </si>
  <si>
    <t>AE#P515-002M-P</t>
  </si>
  <si>
    <t>Kofax Transformation Modules KTM Check Recognition  2M Page Count- Platinum Support</t>
  </si>
  <si>
    <t>AE#Y535-030K-P</t>
  </si>
  <si>
    <t>Kofax Transformation Modules KTM Medical Claims Add-on Pack 30k Per Year- Platinum Support</t>
  </si>
  <si>
    <t>AE#Y535-060K-P</t>
  </si>
  <si>
    <t>Kofax Transformation Modules  Medical Claims Add-on Pack 60k Per Year- Platinum Support</t>
  </si>
  <si>
    <t>AE#Y535-300K-P</t>
  </si>
  <si>
    <t>Kofax Transformation Modules KTM Medical Claims Add-on Pack 300k Per Year- Platinum Support</t>
  </si>
  <si>
    <t>AE#Y535-600K-P</t>
  </si>
  <si>
    <t>Kofax Transformation Modules KTM Medical Claims Add-on Pack 600k Per Year- Platinum Support</t>
  </si>
  <si>
    <t>AE#Y535-002M-P</t>
  </si>
  <si>
    <t>Kofax Transformation Modules KTM Medical Claims Add-on Pack 2M Per Year- Platinum Support</t>
  </si>
  <si>
    <t>AE#Y535-005M-P</t>
  </si>
  <si>
    <t>Kofax Transformation Modules KTM Medical Claims Add-on Pack 5M Per Year- Platinum Support</t>
  </si>
  <si>
    <t>AE#Y535-020M-P</t>
  </si>
  <si>
    <t>Kofax Transformation Modules KTM Medical Claims Add-on Pack 20M Per Year- Platinum Support</t>
  </si>
  <si>
    <t>AE#Y535-060M-P</t>
  </si>
  <si>
    <t>Kofax Transformation Modules KTM Medical Claims Add-on Pack 60M Per Year- Platinum Support</t>
  </si>
  <si>
    <t>AE#P535-001M-P</t>
  </si>
  <si>
    <t>Kofax Transformation Modules KTM Medical Claims Add-on Pack 1M Page Count- Platinum Support</t>
  </si>
  <si>
    <t>AE#P535-002M-P</t>
  </si>
  <si>
    <t>Kofax Transformation Modules KTM Medical Claims Add-on 2M Page Count- Platinum Support</t>
  </si>
  <si>
    <t>AE-EDIEXPORT-P</t>
  </si>
  <si>
    <t>Kofax Transformation Modules KTM Medical Claims Add-on 837 EDI Export Module- Platinum Support</t>
  </si>
  <si>
    <t>AE#Y534-030K-P</t>
  </si>
  <si>
    <t>Kofax Transformation Modules Arabic Recognition Add-On KTM Arabic OCR  30K Per Year- Platinum Support</t>
  </si>
  <si>
    <t>AE#Y534-120K-P</t>
  </si>
  <si>
    <t>Kofax Transformation Modules Arabic Recognition Add-On KTM Arabic OCR  120K Per Year- Platinum Support</t>
  </si>
  <si>
    <t>AE#Y534-300K-P</t>
  </si>
  <si>
    <t>Kofax Transformation Modules Arabic Recognition Add-On KTM Arabic OCR  300K Per Year- Platinum Support</t>
  </si>
  <si>
    <t>AE#Y534-001M-P</t>
  </si>
  <si>
    <t>Kofax Transformation Modules Arabic Recognition Add-On KTM Arabic OCR  1M Per Year- Platinum Support</t>
  </si>
  <si>
    <t>AE#Y534-002M-P</t>
  </si>
  <si>
    <t>Kofax Transformation Modules Arabic Recognition Add-On KTM Arabic OCR  2M Per Year- Platinum Support</t>
  </si>
  <si>
    <t>Kofax Transformation Modules Kofax Evaluation- Platinum Support</t>
  </si>
  <si>
    <t>EV-T534-0007-P</t>
  </si>
  <si>
    <t>Kofax Transformation Modules KTM Arabic OCR Evaluation- Platinum Support</t>
  </si>
  <si>
    <t>AE#VY82-120K-P</t>
  </si>
  <si>
    <t>Kofax Transformation Modules - Legacy System Upgrades KTM Auto-Index Base License 120K Per Year- Platinum Support</t>
  </si>
  <si>
    <t>AE#VY82-300K-P</t>
  </si>
  <si>
    <t>Kofax Transformation Modules - Legacy System Upgrades KTM Auto-Index Base License 300K Per Year- Platinum Support</t>
  </si>
  <si>
    <t>AE#VY82-001M-P</t>
  </si>
  <si>
    <t>Kofax Transformation Modules - Legacy System Upgrades KTM Auto-Index Base License 1M Per Year- Platinum Support</t>
  </si>
  <si>
    <t>AE#VY82-002M-P</t>
  </si>
  <si>
    <t>Kofax Transformation Modules - Legacy System Upgrades KTM Auto-Index Base License 2M Per Year- Platinum Support</t>
  </si>
  <si>
    <t>AE#VY82-010M-P</t>
  </si>
  <si>
    <t>Kofax Transformation Modules - Legacy System Upgrades KTM Auto-Index Base License 10M Per Year- Platinum Support</t>
  </si>
  <si>
    <t>AE#VY82-020M-P</t>
  </si>
  <si>
    <t>Kofax Transformation Modules - Legacy System Upgrades KTM Auto-Index Base License 20M Per Year- Platinum Support</t>
  </si>
  <si>
    <t>AE#VY82-120M-P</t>
  </si>
  <si>
    <t>Kofax Transformation Modules - Legacy System Upgrades KTM Auto-Index Base License 120M Per Year- Platinum Support</t>
  </si>
  <si>
    <t>AE#VP82-001M-P</t>
  </si>
  <si>
    <t>Kofax Transformation Modules - Legacy System Upgrades KTM Auto-Index Base License 1M Page Count- Platinum Support</t>
  </si>
  <si>
    <t>AE#VP82-010M-P</t>
  </si>
  <si>
    <t>Kofax Transformation Modules - Legacy System Upgrades KTM Auto-Index Base License 10M Page Count- Platinum Support</t>
  </si>
  <si>
    <t>AE#Y510-030K-P</t>
  </si>
  <si>
    <t>Kofax Transformation Modules - Legacy System Upgrades KTM Forms Base License 30K Per Year- Platinum Support</t>
  </si>
  <si>
    <t>AE#Y510-120K-P</t>
  </si>
  <si>
    <t>Kofax Transformation Modules - Legacy System Upgrades KTM Forms Base License 120K Per Year- Platinum Support</t>
  </si>
  <si>
    <t>AE#Y510-300K-P</t>
  </si>
  <si>
    <t>Kofax Transformation Modules - Legacy System Upgrades KTM Forms Base License 300K Per Year- Platinum Support</t>
  </si>
  <si>
    <t>AE#Y510-001M-P</t>
  </si>
  <si>
    <t>Kofax Transformation Modules - Legacy System Upgrades KTM Forms Base License 1M Per Year- Platinum Support</t>
  </si>
  <si>
    <t>AE#Y510-002M-P</t>
  </si>
  <si>
    <t>Kofax Transformation Modules - Legacy System Upgrades KTM Forms Base License 2M Per Year- Platinum Support</t>
  </si>
  <si>
    <t>AE#Y510-010M-P</t>
  </si>
  <si>
    <t>Kofax Transformation Modules - Legacy System Upgrades KTM Forms Base License 10M Per Year- Platinum Support</t>
  </si>
  <si>
    <t>AE#Y510-020M-P</t>
  </si>
  <si>
    <t>Kofax Transformation Modules - Legacy System Upgrades KTM Forms Base License 20M Per Year- Platinum Support</t>
  </si>
  <si>
    <t>AE#Y510-120M-P</t>
  </si>
  <si>
    <t>Kofax Transformation Modules - Legacy System Upgrades KTM Forms Base License 120M Per Year- Platinum Support</t>
  </si>
  <si>
    <t>AE#P510-001M-P</t>
  </si>
  <si>
    <t>Kofax Transformation Modules - Legacy System Upgrades KTM Forms Base License 1M Page Count- Platinum Support</t>
  </si>
  <si>
    <t>AE#P510-010M-P</t>
  </si>
  <si>
    <t>Kofax Transformation Modules - Legacy System Upgrades KTM Forms Base License 10M Page Count- Platinum Support</t>
  </si>
  <si>
    <t>AE#Y530-030K-P</t>
  </si>
  <si>
    <t>Kofax Transformation Modules - Legacy System Upgrades KTM Forms &amp; Free-form Base License 30K Per Year- Platinum Support</t>
  </si>
  <si>
    <t>AE#Y530-120K-P</t>
  </si>
  <si>
    <t>Kofax Transformation Modules - Legacy System Upgrades KTM Forms &amp; Free-form Base License 120K Per Year- Platinum Support</t>
  </si>
  <si>
    <t>AE#Y530-300K-P</t>
  </si>
  <si>
    <t>Kofax Transformation Modules - Legacy System Upgrades KTM Forms &amp; Free-form Base License 300K Per Year- Platinum Support</t>
  </si>
  <si>
    <t>AE#Y530-001M-P</t>
  </si>
  <si>
    <t>Kofax Transformation Modules - Legacy System Upgrades KTM Forms &amp; Free-form Base License 1M Per Year- Platinum Support</t>
  </si>
  <si>
    <t>AE#Y530-002M-P</t>
  </si>
  <si>
    <t>Kofax Transformation Modules - Legacy System Upgrades KTM Forms &amp; Free-form Base License 2M Per Year- Platinum Support</t>
  </si>
  <si>
    <t>AE#Y530-010M-P</t>
  </si>
  <si>
    <t>Kofax Transformation Modules - Legacy System Upgrades KTM Forms &amp; Free-form Base License 10M Per Year- Platinum Support</t>
  </si>
  <si>
    <t>AE#Y530-020M-P</t>
  </si>
  <si>
    <t>Kofax Transformation Modules - Legacy System Upgrades KTM Forms &amp; Free-form Base License 20M Per Year- Platinum Support</t>
  </si>
  <si>
    <t>AE#Y530-120M-P</t>
  </si>
  <si>
    <t>Kofax Transformation Modules - Legacy System Upgrades KTM Forms &amp; Free-form Base License 120M Per Year- Platinum Support</t>
  </si>
  <si>
    <t>AE#P530-001M-P</t>
  </si>
  <si>
    <t>Kofax Transformation Modules - Legacy System Upgrades KTM Forms &amp; Free-form Base License 1M Page Count- Platinum Support</t>
  </si>
  <si>
    <t>AE#P530-010M-P</t>
  </si>
  <si>
    <t>Kofax Transformation Modules - Legacy System Upgrades KTM Forms &amp; Free-form Base License 10M Page Count- Platinum Support</t>
  </si>
  <si>
    <t>AE#VY89-030K-P</t>
  </si>
  <si>
    <t>Kofax Transformation Modules - Legacy System Upgrades KTM Full Base License 30K Per Year- Platinum Support</t>
  </si>
  <si>
    <t>AE#VY89-120K-P</t>
  </si>
  <si>
    <t>Kofax Transformation Modules - Legacy System Upgrades KTM Full Base License 120K Per Year- Platinum Support</t>
  </si>
  <si>
    <t>AE#VY89-300K-P</t>
  </si>
  <si>
    <t>Kofax Transformation Modules - Legacy System Upgrades KTM Full Base License 300K Per Year- Platinum Support</t>
  </si>
  <si>
    <t>AE#VY89-001M-P</t>
  </si>
  <si>
    <t>Kofax Transformation Modules - Legacy System Upgrades KTM Full Base License 1M Per Year- Platinum Support</t>
  </si>
  <si>
    <t>AE#VY89-002M-P</t>
  </si>
  <si>
    <t>Kofax Transformation Modules - Legacy System Upgrades KTM Full Base License 2M Per Year- Platinum Support</t>
  </si>
  <si>
    <t>AE#VY89-010M-P</t>
  </si>
  <si>
    <t>Kofax Transformation Modules - Legacy System Upgrades KTM Full Base License 10M Per Year- Platinum Support</t>
  </si>
  <si>
    <t>AE#VY89-020M-P</t>
  </si>
  <si>
    <t>Kofax Transformation Modules - Legacy System Upgrades KTM Full Base License 20M Per Year- Platinum Support</t>
  </si>
  <si>
    <t>AE#VY89-120M-P</t>
  </si>
  <si>
    <t>Kofax Transformation Modules - Legacy System Upgrades KTM Full Base License 120M Per Year- Platinum Support</t>
  </si>
  <si>
    <t>AE#VP89-001M-P</t>
  </si>
  <si>
    <t>Kofax Transformation Modules - Legacy System Upgrades KTM Full Base License 1M Page Count- Platinum Support</t>
  </si>
  <si>
    <t>AE#VP89-010M-P</t>
  </si>
  <si>
    <t>Kofax Transformation Modules - Legacy System Upgrades KTM Full Base License 10M Page Count- Platinum Support</t>
  </si>
  <si>
    <t>AE#Y520-030K-P</t>
  </si>
  <si>
    <t>Kofax Transformation Modules - Legacy System Upgrades Kofax e-Transactions Receiver for KTM 30K/yr- Platinum Support</t>
  </si>
  <si>
    <t>AE#Y520-120K-P</t>
  </si>
  <si>
    <t>Kofax Transformation Modules - Legacy System Upgrades Kofax e-Transactions Receiver for KTM 120K/yr- Platinum Support</t>
  </si>
  <si>
    <t>AE#Y520-300K-P</t>
  </si>
  <si>
    <t>Kofax Transformation Modules - Legacy System Upgrades Kofax e-Transactions Receiver for KTM 300K/yr- Platinum Support</t>
  </si>
  <si>
    <t>ES#T500-0000-P</t>
  </si>
  <si>
    <t>Kofax Front Office Server KFS Server- Platinum Support</t>
  </si>
  <si>
    <t>ES#T502-001U-P</t>
  </si>
  <si>
    <t>Kofax Front Office Server KFS Device Connection (1-249)- Platinum Support</t>
  </si>
  <si>
    <t>ES#T502-0500-P</t>
  </si>
  <si>
    <t>Kofax Front Office Server KFS Device Connection (500-999)- Platinum Support</t>
  </si>
  <si>
    <t>ES#T502-1000-P</t>
  </si>
  <si>
    <t>Kofax Front Office Server KFS Device Connection (1,000-1,999)- Platinum Support</t>
  </si>
  <si>
    <t>ES#T503-001U-P</t>
  </si>
  <si>
    <t>Kofax Front Office Server KFS Web Client Concurrent User- Platinum Support</t>
  </si>
  <si>
    <t>ES#T503-001Q-P</t>
  </si>
  <si>
    <t>Kofax Front Office Server KFS Web Client Concurrent User - Qty &gt;500- Platinum Support</t>
  </si>
  <si>
    <t>TC-03015-P</t>
  </si>
  <si>
    <t>Business Communications Migration VOICE channel to Voice over IP (H.323) channel- Platinum Support</t>
  </si>
  <si>
    <t>TC-04710-P</t>
  </si>
  <si>
    <t>Business Communications MFP Integration Licence per MFP device for up to 100 licenses - SMTP (TC/LINK-MFP)- Platinum Support</t>
  </si>
  <si>
    <t>TC-04730-P</t>
  </si>
  <si>
    <t>Business Communications MFP Integration License per MFP device for more than 500 licenses - SMTP (TC/LINK-MFP)- Platinum Support</t>
  </si>
  <si>
    <t>TC-04740-P</t>
  </si>
  <si>
    <t>Business Communications MFP Integration Licence per MFP device for up to 100 licenses - file interface (TC/LINK-FM)- Platinum Support</t>
  </si>
  <si>
    <t>TC-04760-P</t>
  </si>
  <si>
    <t>Business Communications MFP Integration License per MFP device for more than 500 licenses - file interface (TC/LINK-FM)- Platinum Support</t>
  </si>
  <si>
    <t>TC-04770-P</t>
  </si>
  <si>
    <t>Business Communications MFP Integration Migration of SMTP based MFP License to file based MFP License- Platinum Support</t>
  </si>
  <si>
    <t>TC-04777-P</t>
  </si>
  <si>
    <t>Business Communications MFP Integration VRS for TC/LINK-MFP and TC/LINK-FM- Platinum Support</t>
  </si>
  <si>
    <t>TC-04010-P</t>
  </si>
  <si>
    <t>Business Communications Email Integration TC/LINK-MX (50 users)- Platinum Support</t>
  </si>
  <si>
    <t>TC-04012-P</t>
  </si>
  <si>
    <t>Business Communications Email Integration TC/LINK-MX (200 users)- Platinum Support</t>
  </si>
  <si>
    <t>TC-04013-P</t>
  </si>
  <si>
    <t>Business Communications Email Integration TC/LINK-MX (300 users)- Platinum Support</t>
  </si>
  <si>
    <t>TC-04015-P</t>
  </si>
  <si>
    <t>Business Communications Email Integration TC/LINK-MX (700 users)- Platinum Support</t>
  </si>
  <si>
    <t>TC-04016-P</t>
  </si>
  <si>
    <t>Business Communications Email Integration TC/LINK-MX (1.000 users)- Platinum Support</t>
  </si>
  <si>
    <t>TC-04018-P</t>
  </si>
  <si>
    <t>Business Communications Email Integration TC/LINK-MX (5.000 users)- Platinum Support</t>
  </si>
  <si>
    <t>TC-04019-P</t>
  </si>
  <si>
    <t>Business Communications Email Integration TC/LINK-MX (10.000 users)- Platinum Support</t>
  </si>
  <si>
    <t>TC-04021-P</t>
  </si>
  <si>
    <t>Business Communications Email Integration TC/LINK-MX (50.000 users)- Platinum Support</t>
  </si>
  <si>
    <t>TC-04022-P</t>
  </si>
  <si>
    <t>Business Communications Email Integration TC/LINK-MX (unlimited)- Platinum Support</t>
  </si>
  <si>
    <t>TC-04071-P</t>
  </si>
  <si>
    <t>Business Communications Email Integration TC/LINK-MX7 (100 users)- Platinum Support</t>
  </si>
  <si>
    <t>TC-04072-P</t>
  </si>
  <si>
    <t>Business Communications Email Integration TC/LINK-MX7 (200 users)- Platinum Support</t>
  </si>
  <si>
    <t>TC-04074-P</t>
  </si>
  <si>
    <t>Business Communications Email Integration TC/LINK-MX7 (500 users)- Platinum Support</t>
  </si>
  <si>
    <t>TC-04075-P</t>
  </si>
  <si>
    <t>Business Communications Email Integration TC/LINK-MX7 (700 users)- Platinum Support</t>
  </si>
  <si>
    <t>TC-04077-P</t>
  </si>
  <si>
    <t>Business Communications Email Integration TC/LINK-MX7 (2.000 users)- Platinum Support</t>
  </si>
  <si>
    <t>TC-04078-P</t>
  </si>
  <si>
    <t>Business Communications Email Integration TC/LINK-MX7 (5.000 users)- Platinum Support</t>
  </si>
  <si>
    <t>TC-04080-P</t>
  </si>
  <si>
    <t>Business Communications Email Integration TC/LINK-MX7 (20.000 users)- Platinum Support</t>
  </si>
  <si>
    <t>TC-04081-P</t>
  </si>
  <si>
    <t>Business Communications Email Integration TC/LINK-MX7 (50.000 users)- Platinum Support</t>
  </si>
  <si>
    <t>TC-04085-P</t>
  </si>
  <si>
    <t>Business Communications Email Integration Migration of TC/Link-MX to TC/Link-MX7- Platinum Support</t>
  </si>
  <si>
    <t>TC-04030-P</t>
  </si>
  <si>
    <t>Business Communications Email Integration TC/LINK-LN (50 users)- Platinum Support</t>
  </si>
  <si>
    <t>TC-04032-P</t>
  </si>
  <si>
    <t>Business Communications Email Integration TC/LINK-LN (200 users)- Platinum Support</t>
  </si>
  <si>
    <t>TC-04033-P</t>
  </si>
  <si>
    <t>Business Communications Email Integration TC/LINK-LN (300 users)- Platinum Support</t>
  </si>
  <si>
    <t>TC-04035-P</t>
  </si>
  <si>
    <t>Business Communications Email Integration TC/LINK-LN (700 users)- Platinum Support</t>
  </si>
  <si>
    <t>TC-04036-P</t>
  </si>
  <si>
    <t>Business Communications Email Integration TC/LINK-LN (1.000 users)- Platinum Support</t>
  </si>
  <si>
    <t>TC-04038-P</t>
  </si>
  <si>
    <t>Business Communications Email Integration TC/LINK-LN (5.000 users)- Platinum Support</t>
  </si>
  <si>
    <t>TC-04039-P</t>
  </si>
  <si>
    <t>Business Communications Email Integration TC/LINK-LN (10.000 users)- Platinum Support</t>
  </si>
  <si>
    <t>TC-04041-P</t>
  </si>
  <si>
    <t>Business Communications Email Integration TC/LINK-LN (50.000 users)- Platinum Support</t>
  </si>
  <si>
    <t>TC-04042-P</t>
  </si>
  <si>
    <t>Business Communications Email Integration TC/LINK-LN (unlimited)- Platinum Support</t>
  </si>
  <si>
    <t>TC-03040 -P</t>
  </si>
  <si>
    <t>Business Communications IP based SMS Integration TC/LINK-MD (SMS, IP based) up to 100k msgs / year - Platinum Support</t>
  </si>
  <si>
    <t>TC-03041 -P</t>
  </si>
  <si>
    <t>Business Communications IP based SMS Integration TC/LINK-MD (SMS, IP based) up to 300k msgs / year - Platinum Support</t>
  </si>
  <si>
    <t>TC-03043 -P</t>
  </si>
  <si>
    <t>Business Communications IP based SMS Integration TC/LINK-MD (SMS, IP based) up to 1M msgs / year - Platinum Support</t>
  </si>
  <si>
    <t>TC-03044 -P</t>
  </si>
  <si>
    <t>Business Communications IP based SMS Integration TC/LINK-MD (SMS, IP based) up to 2M msgs / year - Platinum Support</t>
  </si>
  <si>
    <t>TC-03046 -P</t>
  </si>
  <si>
    <t>Business Communications IP based SMS Integration TC/LINK-MD (SMS, IP based) up to 10M msgs / year - Platinum Support</t>
  </si>
  <si>
    <t>TC-03047 -P</t>
  </si>
  <si>
    <t>Business Communications IP based SMS Integration TC/LINK-MD (SMS, IP based) up to 20M msgs / year - Platinum Support</t>
  </si>
  <si>
    <t>TC-03049 -P</t>
  </si>
  <si>
    <t>Business Communications IP based SMS Integration TC/LINK-MD (SMS, IP based) up to 120M msgs / year - Platinum Support</t>
  </si>
  <si>
    <t>TC-03033 -P</t>
  </si>
  <si>
    <t>Business Communications IP based SMS Integration  TC/LINK-MD (SMS, IP based), protocol UCP - Platinum Support</t>
  </si>
  <si>
    <t>TC-03035 -P</t>
  </si>
  <si>
    <t>Business Communications IP based SMS Integration TC/LINK-MD (SMS, IP based), protocol SEMA - Platinum Support</t>
  </si>
  <si>
    <t>TC-03036 -P</t>
  </si>
  <si>
    <t>Business Communications IP based SMS Integration TC/LINK-MD (SMS, IP based), protocol CIMD2 - Platinum Support</t>
  </si>
  <si>
    <t>TC-04211-P</t>
  </si>
  <si>
    <t>Business Communications Business Application Integration TC/LINK-SC for SAP (instance 2 + 3)- Platinum Support</t>
  </si>
  <si>
    <t>TC-04212-P</t>
  </si>
  <si>
    <t>Business Communications Business Application Integration TC/LINK-SC for SAP (instance 4 + higher)- Platinum Support</t>
  </si>
  <si>
    <t>TC-04221-P</t>
  </si>
  <si>
    <t>Business Communications Business Application Integration TC/LINK-SC7 for SAP 7 - SMTP based- Platinum Support</t>
  </si>
  <si>
    <t>TC-04222-P</t>
  </si>
  <si>
    <t>Business Communications Business Application Integration TC/LINK-SC7 for SAP 7 (instance 2 + 3)- Platinum Support</t>
  </si>
  <si>
    <t>TC-04214-P</t>
  </si>
  <si>
    <t>Business Communications Business Application Integration Migration TC/LINK-SC to TC/LINK-SC7- Platinum Support</t>
  </si>
  <si>
    <t>TC-04218-P</t>
  </si>
  <si>
    <t>Business Communications Business Application Integration Migration TC/LINK-SC to TC/LINK-SC7 (instance 2 + 3)- Platinum Support</t>
  </si>
  <si>
    <t>TC-04220-P</t>
  </si>
  <si>
    <t>Business Communications Business Application Integration TC/LINK-SM for SMTP (Internet mail)- Platinum Support</t>
  </si>
  <si>
    <t>TC-04225-P</t>
  </si>
  <si>
    <t>Business Communications Business Application Integration TC/LINK-SDD for Secure Document Delivery over SMTP (SSL)- Platinum Support</t>
  </si>
  <si>
    <t>TC-04231-P</t>
  </si>
  <si>
    <t>Business Application Integration TC/LINK-FI - File Interface, low volume edition- Platinum Support</t>
  </si>
  <si>
    <t>TC-04240-P</t>
  </si>
  <si>
    <t>Business Application Integration TC/LINK-MQ for IBM MQ Series- Platinum Support</t>
  </si>
  <si>
    <t>TC-04265-P</t>
  </si>
  <si>
    <t>Business Application Integration TWS - Web Services- Platinum Support</t>
  </si>
  <si>
    <t>TC-04310-P</t>
  </si>
  <si>
    <t>Business Application Integration TC/LINK-XML for XML Data- Platinum Support</t>
  </si>
  <si>
    <t>TC-04340-P</t>
  </si>
  <si>
    <t>Business Application Integration TC/LINK-RS- Platinum Support</t>
  </si>
  <si>
    <t>TC-04270-P</t>
  </si>
  <si>
    <t>Business Application Integration TC/400-2 KCS Host Software - Platinum Support</t>
  </si>
  <si>
    <t>TC-04272-P</t>
  </si>
  <si>
    <t>Business Application Integration TC/400-U  KCS Host Software- Platinum Support</t>
  </si>
  <si>
    <t>TC-04280-P</t>
  </si>
  <si>
    <t>Business Application Integration TC/400-2 - IP connection- Platinum Support</t>
  </si>
  <si>
    <t>TC-04282-P</t>
  </si>
  <si>
    <t>Business Application Integration TC/400-U - IP connection- Platinum Support</t>
  </si>
  <si>
    <t>TC-04290-P</t>
  </si>
  <si>
    <t>Business Application Integration TC/400-2 AFP- Platinum Support</t>
  </si>
  <si>
    <t>TC-04292-P</t>
  </si>
  <si>
    <t>Business Communications Business Application Integration TC/400-U AFP- Platinum Support</t>
  </si>
  <si>
    <t>TC-05010-P</t>
  </si>
  <si>
    <t>Business Communications Business Application Integration Tandem Server Status Agent Enterprise- Platinum Support</t>
  </si>
  <si>
    <t>TC-05210-P</t>
  </si>
  <si>
    <t>Business Communications Business Application Integration TC/VoiceAccess, Email Reader- Platinum Support</t>
  </si>
  <si>
    <t>TC-05220-P</t>
  </si>
  <si>
    <t>Business Communications Business Application Integration VoiceAttendant for TC/VoiceAccess- Platinum Support</t>
  </si>
  <si>
    <t>TC-05240-P</t>
  </si>
  <si>
    <t>Business Communications Business Application Integration VoiceXML- Platinum Support</t>
  </si>
  <si>
    <t>TC-05310-P</t>
  </si>
  <si>
    <t>Business Communications Business Application Integration TC/Archive, Archive Server- Platinum Support</t>
  </si>
  <si>
    <t>TC-05501-P</t>
  </si>
  <si>
    <t>Business Communications Business Application Integration TC/Probe PRO- Platinum Support</t>
  </si>
  <si>
    <t>TC-05510-P</t>
  </si>
  <si>
    <t>Business Communications Business Application Integration TC/Report- Platinum Support</t>
  </si>
  <si>
    <t>TC-05530-P</t>
  </si>
  <si>
    <t>Business Communications Business Application Integration TC/LCR Least cost routing - Platinum Support</t>
  </si>
  <si>
    <t>TC-05540-P</t>
  </si>
  <si>
    <t>Business Communications Business Application Integration TC/LanPrt- Platinum Support</t>
  </si>
  <si>
    <t>TC-05550-P</t>
  </si>
  <si>
    <t>Business Communications Business Application Integration TC/BrkMsg (FILBRK)- Platinum Support</t>
  </si>
  <si>
    <t>TC-05560-P</t>
  </si>
  <si>
    <t>Business Communications  Message Wait Agent- Platinum Support</t>
  </si>
  <si>
    <t>TC-05910-P</t>
  </si>
  <si>
    <t>Business Communications Link Add-ons TC/DS Directory Synchronization- Platinum Support</t>
  </si>
  <si>
    <t>TC-05940-P</t>
  </si>
  <si>
    <t>Business Communications Link Add-ons Converter PS for Postscript format- Platinum Support</t>
  </si>
  <si>
    <t>TC-05950-P</t>
  </si>
  <si>
    <t>Business Communications Link Add-ons Converter PCL format to TCI- Platinum Support</t>
  </si>
  <si>
    <t>TC-05960-P</t>
  </si>
  <si>
    <t>Business Communications Link Add-ons Converter TCI to GIF format- Platinum Support</t>
  </si>
  <si>
    <t>TC-05980-P</t>
  </si>
  <si>
    <t>Business Communications Link Add-ons Converter PDF format to TCI- Platinum Support</t>
  </si>
  <si>
    <t>TC-05990-P</t>
  </si>
  <si>
    <t>Business Communications Link Add-ons T.37 option for TC/LINK-SM- Platinum Support</t>
  </si>
  <si>
    <t>TC-06102-P</t>
  </si>
  <si>
    <t>Business Communications  Client Software TCfW 10- Platinum Support</t>
  </si>
  <si>
    <t>TC-06102-2-P</t>
  </si>
  <si>
    <t>Business Communications  Client Software TCfW 20- Platinum Support</t>
  </si>
  <si>
    <t>TC-06103-P</t>
  </si>
  <si>
    <t>Business Communications  Client Software TCfW 100- Platinum Support</t>
  </si>
  <si>
    <t>TC-06103-2-P</t>
  </si>
  <si>
    <t>Business Communications  Client Software TCfW 200- Platinum Support</t>
  </si>
  <si>
    <t>TC-06104-P</t>
  </si>
  <si>
    <t>Business Communications  Client Software TCfW 1000- Platinum Support</t>
  </si>
  <si>
    <t>TC-06104-2-P</t>
  </si>
  <si>
    <t>Business Communications  Client Software TCfW 2000- Platinum Support</t>
  </si>
  <si>
    <t>TC-06105-P</t>
  </si>
  <si>
    <t>Business Communications  Client Software TCfW 10000- Platinum Support</t>
  </si>
  <si>
    <t>TC-06106-P</t>
  </si>
  <si>
    <t>Business Communications  Client Software TCfW unlimited- Platinum Support</t>
  </si>
  <si>
    <t>TC-06112-P</t>
  </si>
  <si>
    <t>Business Communications Client Software TC/Player 10- Platinum Support</t>
  </si>
  <si>
    <t>TC-06112-2-P</t>
  </si>
  <si>
    <t>Business Communications Client Software TC/Player 20- Platinum Support</t>
  </si>
  <si>
    <t>TC-06113-P</t>
  </si>
  <si>
    <t>Business Communications Client Software TC/Player 100- Platinum Support</t>
  </si>
  <si>
    <t>TC-06113-2-P</t>
  </si>
  <si>
    <t>Business Communications Client Software TC/Player 200- Platinum Support</t>
  </si>
  <si>
    <t>TC-06114-P</t>
  </si>
  <si>
    <t>Business Communications Client Software TC/Player 1000- Platinum Support</t>
  </si>
  <si>
    <t>TC-06114-2-P</t>
  </si>
  <si>
    <t>Business Communications Client Software  TC/Player 2000- Platinum Support</t>
  </si>
  <si>
    <t>TC-06115-P</t>
  </si>
  <si>
    <t>Business Communications Client Software  TC/Player 10000- Platinum Support</t>
  </si>
  <si>
    <t>TC-06116-P</t>
  </si>
  <si>
    <t>Business Communications Client Software Player unlimited- Platinum Support</t>
  </si>
  <si>
    <t>TC-06142-P</t>
  </si>
  <si>
    <t>Business Communications Client Software TC/Web 10- Platinum Support</t>
  </si>
  <si>
    <t>TC-06142-2-P</t>
  </si>
  <si>
    <t>Business Communications Client Software  TC/Web 20- Platinum Support</t>
  </si>
  <si>
    <t>TC-06143-P</t>
  </si>
  <si>
    <t>Business Communications Client Software TC/Web 100- Platinum Support</t>
  </si>
  <si>
    <t>TC-06143-2-P</t>
  </si>
  <si>
    <t>Business Communications Client Software TC/Web 200- Platinum Support</t>
  </si>
  <si>
    <t>TC-06144-P</t>
  </si>
  <si>
    <t>Business Communications Client Software TC/Web 1000- Platinum Support</t>
  </si>
  <si>
    <t>TC-06144-2-P</t>
  </si>
  <si>
    <t>Business Communications Client Software TC/Web 2000- Platinum Support</t>
  </si>
  <si>
    <t>TC-06145-P</t>
  </si>
  <si>
    <t>Business Communications Client Software TC/Web 10000- Platinum Support</t>
  </si>
  <si>
    <t>TC-06146-P</t>
  </si>
  <si>
    <t>Business Communications Client Software TC/Web unlimited- Platinum Support</t>
  </si>
  <si>
    <t>TC-07311-P</t>
  </si>
  <si>
    <t>Hardware Line Server Model 305, 4 channel ISDN (2*BRI)- Platinum Support</t>
  </si>
  <si>
    <t>TC-07321-P</t>
  </si>
  <si>
    <t>Hardware Line Interface Upgrade 4 to 8 channel ISDN BRI- Platinum Support</t>
  </si>
  <si>
    <t>TC-07313-P</t>
  </si>
  <si>
    <t>Hardware Line Server Model 305, 4 analog channels- Platinum Support</t>
  </si>
  <si>
    <t>TC-07323-P</t>
  </si>
  <si>
    <t>Hardware Line interface (Mod. 305) upgrade 4 to 8 channel analog- Platinum Support</t>
  </si>
  <si>
    <t>TC-07324-P</t>
  </si>
  <si>
    <t>Hardware Line interface (Mod. 305) upgrade 2 to 4 channel Bell DID- Platinum Support</t>
  </si>
  <si>
    <t>TC-07402-P</t>
  </si>
  <si>
    <t>Hardware Wireless messaging GSM Box Model 350 for SMS- Platinum Support</t>
  </si>
  <si>
    <t>TS15-P</t>
  </si>
  <si>
    <t>Hardware  TS15- Platinum Support</t>
  </si>
  <si>
    <t>TC-07101-P</t>
  </si>
  <si>
    <t>Hardware Telex interfaces Dual Telex Interface S.19 (XD-Interface)- Platinum Support</t>
  </si>
  <si>
    <t>TC-07103-P</t>
  </si>
  <si>
    <t>Hardware Telex interfaces as S07101 for V.21 standard- Platinum Support</t>
  </si>
  <si>
    <t>TC-07104-P</t>
  </si>
  <si>
    <t>Hardware Telex interfaces as S07101 for V.21 France- Platinum Support</t>
  </si>
  <si>
    <t>VP-D005-0001-P</t>
  </si>
  <si>
    <t>Image Processing VRS Elite - New Licenses VRS Elite Desktop Version- Platinum Support</t>
  </si>
  <si>
    <t>VP-W005-0001-P</t>
  </si>
  <si>
    <t>Image Processing VRS Elite - New Licenses VRS Elite Workgroup Version- Platinum Support</t>
  </si>
  <si>
    <t>VP#L005-0000 -P</t>
  </si>
  <si>
    <t>Image Processing VRS Elite License Server- Platinum Support</t>
  </si>
  <si>
    <t>UP-D005-0001-P</t>
  </si>
  <si>
    <t>Image Processing VRS Elite - Upgrades VRS Elite Desktop Upgrade- Platinum Support</t>
  </si>
  <si>
    <t>UP-P005-0001-P</t>
  </si>
  <si>
    <t>Image Processing VRS Elite - Upgrades VRS Elite Production Upgrade- Platinum Support</t>
  </si>
  <si>
    <t>ES-5000-1002-P</t>
  </si>
  <si>
    <t>Image Processing Adrenaline Software Engines AIPE Software Engine- Platinum Support</t>
  </si>
  <si>
    <t>UP-5000-1002-P</t>
  </si>
  <si>
    <t>Image Processing Adrenaline Software Engines Upgrade AIPE v3.x to AIPE v4- Platinum Support</t>
  </si>
  <si>
    <t>TK-3000-2202-P</t>
  </si>
  <si>
    <t>Image Processing Image Controls 3 Developer's Toolkit Toolkit- Platinum Support</t>
  </si>
  <si>
    <t>VR-5001-4000-P</t>
  </si>
  <si>
    <t>Image Processing CGA for Canon DR-X10C CGA board &amp; VRS 4.x Professional- Platinum Support</t>
  </si>
  <si>
    <t>SC-1016-0000-P</t>
  </si>
  <si>
    <t>Image Processing Cables SCSI-1 to SCSI-2- Platinum Support</t>
  </si>
  <si>
    <t>SC-1026-0000-P</t>
  </si>
  <si>
    <t>Image Processing Cables SCSI-3 to SCSI-2- Platinum Support</t>
  </si>
  <si>
    <t>SC-1027-0000-P</t>
  </si>
  <si>
    <t>Image Processing Cables SCSI-3 to SCSI-3- Platinum Support</t>
  </si>
  <si>
    <t>KX-LS00-0001-P</t>
  </si>
  <si>
    <t>Kofax Express Kofax Express Low Volume Production- Platinum Support</t>
  </si>
  <si>
    <t>KX-MS00-0001-P</t>
  </si>
  <si>
    <t>Kofax Express Kofax Express Mid Volume Production- Platinum Support</t>
  </si>
  <si>
    <t>KX-SS00-0001-P</t>
  </si>
  <si>
    <t>Kofax Express Kofax Express Super High Volume Production- Platinum Support</t>
  </si>
  <si>
    <t>AE#VY51-005K-P</t>
  </si>
  <si>
    <t>INDICIUS Fixed-Form Volume IND FixForm Vol 005K/Yr- Platinum Support</t>
  </si>
  <si>
    <t>AE#VY51-005M-P</t>
  </si>
  <si>
    <t>INDICIUS Fixed-Form Volume IND FixForm Vol 005M/Yr- Platinum Support</t>
  </si>
  <si>
    <t>AE#VY51-010M-P</t>
  </si>
  <si>
    <t>INDICIUS Fixed-Form Volume IND FixForm Vol 010M/Yr- Platinum Support</t>
  </si>
  <si>
    <t>AE#VY51-020M-P</t>
  </si>
  <si>
    <t>INDICIUS Fixed-Form Volume IND FixForm Vol 020M/Yr- Platinum Support</t>
  </si>
  <si>
    <t>AE#VY51-040M-P</t>
  </si>
  <si>
    <t>INDICIUS Fixed-Form Volume IND FixForm Vol 040M/Yr- Platinum Support</t>
  </si>
  <si>
    <t>AE#VY51-100M-P</t>
  </si>
  <si>
    <t>INDICIUS Fixed-Form Volume IND FixForm Vol 100M/Yr- Platinum Support</t>
  </si>
  <si>
    <t>AE#VP51-300K-P</t>
  </si>
  <si>
    <t>INDICIUS Fixed-Form Volume IND FixForm 300K/Pg Cnt- Platinum Support</t>
  </si>
  <si>
    <t>AE#VP51-003M-P</t>
  </si>
  <si>
    <t>INDICIUS Fixed-Form Volume IND FixForm 003M/Pg Cnt- Platinum Support</t>
  </si>
  <si>
    <t>AE#VP51-005M-P</t>
  </si>
  <si>
    <t>INDICIUS Fixed-Form Volume IND FixForm 005M/Pg Cnt- Platinum Support</t>
  </si>
  <si>
    <t>AE#VY59-002M-P</t>
  </si>
  <si>
    <t>INDICIUS Full Page OCR Volume IND FullPgOCR Vol 002M/Yr- Platinum Support</t>
  </si>
  <si>
    <t>AE#VY59-005M-P</t>
  </si>
  <si>
    <t>INDICIUS Full Page OCR Volume IND FullPgOCR Vol 005M/Yr- Platinum Support</t>
  </si>
  <si>
    <t>AE#VY59-015M-P</t>
  </si>
  <si>
    <t>INDICIUS Full Page OCR Volume IND FullPgOCR Vol 015M/Yr- Platinum Support</t>
  </si>
  <si>
    <t>AE#VY59-020M-P</t>
  </si>
  <si>
    <t>INDICIUS Full Page OCR Volume IND FullPgOCR Vol 020M/Yr- Platinum Support</t>
  </si>
  <si>
    <t>AE#VY59-050M-P</t>
  </si>
  <si>
    <t>INDICIUS Full Page OCR Volume IND FullPgOCR Vol 050M/Yr- Platinum Support</t>
  </si>
  <si>
    <t>AE#VY59-100M-P</t>
  </si>
  <si>
    <t>INDICIUS Full Page OCR Volume IND FullPgOCR Vol 100M/Yr- Platinum Support</t>
  </si>
  <si>
    <t>AE#VP59-001M-P</t>
  </si>
  <si>
    <t>INDICIUS Full Page OCR Volume IND FullPgOCR 001M/Pg Cnt- Platinum Support</t>
  </si>
  <si>
    <t>AE#VP59-003M-P</t>
  </si>
  <si>
    <t>INDICIUS Full Page OCR Volume IND FullPgOCR 003M/Pg Cnt- Platinum Support</t>
  </si>
  <si>
    <t>AE#VY52-005K-P</t>
  </si>
  <si>
    <t>INDICIUS Free-Form Classification Volume IND FreeFmCls Vol 005K/Yr- Platinum Support</t>
  </si>
  <si>
    <t>AE#VY52-002M-P</t>
  </si>
  <si>
    <t>INDICIUS Free-Form Classification Volume IND FreeFmCls Vol 002M/Yr- Platinum Support</t>
  </si>
  <si>
    <t>AE#VY52-010M-P</t>
  </si>
  <si>
    <t>INDICIUS Free-Form Classification Volume IND FreeFmCls Vol 010M/Yr- Platinum Support</t>
  </si>
  <si>
    <t>AE#VY52-015M-P</t>
  </si>
  <si>
    <t>INDICIUS Free-Form Classification Volume IND FreeFmCls Vol 015M/Yr- Platinum Support</t>
  </si>
  <si>
    <t>AE#VY52-040M-P</t>
  </si>
  <si>
    <t>INDICIUS Free-Form Classification Volume IND FreeFmCls Vol 040M/Yr- Platinum Support</t>
  </si>
  <si>
    <t>AE#VY52-050M-P</t>
  </si>
  <si>
    <t>INDICIUS Free-Form Classification Volume IND FreeFmCls Vol 050M/Yr- Platinum Support</t>
  </si>
  <si>
    <t>AE#VP52-300K-P</t>
  </si>
  <si>
    <t>INDICIUS Free-Form Classification Volume IND FreeFmCls 300K/Pg Cnt- Platinum Support</t>
  </si>
  <si>
    <t>AE#VP52-001M-P</t>
  </si>
  <si>
    <t>INDICIUS Free-Form Classification Volume IND FreeFmCls 001M/Pg Cnt- Platinum Support</t>
  </si>
  <si>
    <t>AE#VP52-005M-P</t>
  </si>
  <si>
    <t>INDICIUS Free-Form Classification Volume IND FreeFmCls 005M/Pg Cnt- Platinum Support</t>
  </si>
  <si>
    <t>AE#VY56-005K-P</t>
  </si>
  <si>
    <t>INDICIUS Free-form Extraction Volume IND FreeFmExt Vol 005K/Yr- Platinum Support</t>
  </si>
  <si>
    <t>AE#VY56-005M-P</t>
  </si>
  <si>
    <t>INDICIUS Free-form Extraction Volume IND FreeFmExt Vol 005M/Yr- Platinum Support</t>
  </si>
  <si>
    <t>AE#VY56-010M-P</t>
  </si>
  <si>
    <t>INDICIUS Free-form Extraction Volume IND FreeFmExt Vol 010M/Yr- Platinum Support</t>
  </si>
  <si>
    <t>AE#VY56-020M-P</t>
  </si>
  <si>
    <t>INDICIUS Free-form Extraction Volume IND FreeFmExt Vol 020M/Yr- Platinum Support</t>
  </si>
  <si>
    <t>AE#VY56-040M-P</t>
  </si>
  <si>
    <t>INDICIUS Free-form Extraction Volume IND FreeFmExt Vol 040M/Yr- Platinum Support</t>
  </si>
  <si>
    <t>AE#VY56-100M-P</t>
  </si>
  <si>
    <t>INDICIUS Free-form Extraction Volume IND FreeFmExt Vol 100M/Yr- Platinum Support</t>
  </si>
  <si>
    <t>AE#VP56-300K-P</t>
  </si>
  <si>
    <t>INDICIUS Free-form Extraction Volume IND FreeFmExt 300K/Pg Cnt- Platinum Support</t>
  </si>
  <si>
    <t>AE#VP56-003M-P</t>
  </si>
  <si>
    <t>INDICIUS Free-form Extraction Volume IND FreeFmExt 003M/Pg Cnt- Platinum Support</t>
  </si>
  <si>
    <t>AE#VP56-005M-P</t>
  </si>
  <si>
    <t>INDICIUS Free-form Extraction Volume IND FreeFmExt 005M/Pg Cnt- Platinum Support</t>
  </si>
  <si>
    <t>AE#VY53-002M-P</t>
  </si>
  <si>
    <t>INDICIUS Advanced Classification Volume IND AdvClass Vol 002M/Yr- Platinum Support</t>
  </si>
  <si>
    <t>AE#VY53-005M-P</t>
  </si>
  <si>
    <t>INDICIUS Advanced Classification Volume IND AdvClass Vol 005M/Yr- Platinum Support</t>
  </si>
  <si>
    <t>AE#VY53-015M-P</t>
  </si>
  <si>
    <t>INDICIUS Advanced Classification Volume IND AdvClass Vol 015M/Yr- Platinum Support</t>
  </si>
  <si>
    <t>AE#VY53-020M-P</t>
  </si>
  <si>
    <t>INDICIUS Advanced Classification Volume IND AdvClass Vol 020M/Yr- Platinum Support</t>
  </si>
  <si>
    <t>AE#VY53-050M-P</t>
  </si>
  <si>
    <t>INDICIUS Advanced Classification Volume IND AdvClass Vol 050M/Yr- Platinum Support</t>
  </si>
  <si>
    <t>AE#VY53-100M-P</t>
  </si>
  <si>
    <t>INDICIUS Advanced Classification Volume IND AdvClass Vol 100M/Yr- Platinum Support</t>
  </si>
  <si>
    <t>AE#VP53-001M-P</t>
  </si>
  <si>
    <t>INDICIUS Advanced Classification Volume IND AdvClass 001M/Pg Cnt- Platinum Support</t>
  </si>
  <si>
    <t>AE#VP53-003M-P</t>
  </si>
  <si>
    <t>INDICIUS Advanced Classification Volume IND AdvClass 003M/Pg Cnt- Platinum Support</t>
  </si>
  <si>
    <t>AE#VY54-005K-P</t>
  </si>
  <si>
    <t>INDICIUS Standard Document Separation Volume IND StdDocSep Vol 005K/Yr- Platinum Support</t>
  </si>
  <si>
    <t>AE#VY54-002M-P</t>
  </si>
  <si>
    <t>INDICIUS Standard Document Separation Volume IND StdDocSep Vol 002M/Yr- Platinum Support</t>
  </si>
  <si>
    <t>AE#VY54-010M-P</t>
  </si>
  <si>
    <t>INDICIUS Standard Document Separation Volume IND StdDocSep Vol 010M/Yr- Platinum Support</t>
  </si>
  <si>
    <t>AE#VY54-015M-P</t>
  </si>
  <si>
    <t>INDICIUS Standard Document Separation Volume IND StdDocSep Vol 015M/Yr- Platinum Support</t>
  </si>
  <si>
    <t>AE#VY54-040M-P</t>
  </si>
  <si>
    <t>INDICIUS Standard Document Separation Volume IND StdDocSep Vol 040M/Yr- Platinum Support</t>
  </si>
  <si>
    <t>AE#VY54-050M-P</t>
  </si>
  <si>
    <t>INDICIUS Standard Document Separation Volume IND StdDocSep Vol 050M/Yr- Platinum Support</t>
  </si>
  <si>
    <t>AE#VP54-300K-P</t>
  </si>
  <si>
    <t>INDICIUS Standard Document Separation Volume IND StdDocSep 300K/Pg Cnt- Platinum Support</t>
  </si>
  <si>
    <t>AE#VP54-001M-P</t>
  </si>
  <si>
    <t>INDICIUS Standard Document Separation Volume IND StdDocSep 001M/Pg Cnt- Platinum Support</t>
  </si>
  <si>
    <t>AE#VP54-005M-P</t>
  </si>
  <si>
    <t>INDICIUS Standard Document Separation Volume IND StdDocSep 005M/Pg Cnt- Platinum Support</t>
  </si>
  <si>
    <t>AE#VY57-005K-P</t>
  </si>
  <si>
    <t>INDICIUS Standard Voting Engine Volume IND AddVotStd Vol 005K/Yr- Platinum Support</t>
  </si>
  <si>
    <t>AE#VY57-005M-P</t>
  </si>
  <si>
    <t>INDICIUS Standard Voting Engine Volume IND AddVotStd Vol 005M/Yr- Platinum Support</t>
  </si>
  <si>
    <t>AE#VY57-010M-P</t>
  </si>
  <si>
    <t>INDICIUS Standard Voting Engine Volume IND AddVotStd Vol 010M/Yr- Platinum Support</t>
  </si>
  <si>
    <t>AE#VY57-020M-P</t>
  </si>
  <si>
    <t>INDICIUS Standard Voting Engine Volume IND AddVotStd Vol 020M/Yr- Platinum Support</t>
  </si>
  <si>
    <t>AE#VY57-040M-P</t>
  </si>
  <si>
    <t>INDICIUS Standard Voting Engine Volume IND AddVotStd Vol 040M/Yr- Platinum Support</t>
  </si>
  <si>
    <t>AE#VY57-100M-P</t>
  </si>
  <si>
    <t>INDICIUS Standard Voting Engine Volume IND AddVotStd Vol 100M/Yr- Platinum Support</t>
  </si>
  <si>
    <t>AE#VP57-300K-P</t>
  </si>
  <si>
    <t>INDICIUS Standard Voting Engine Volume IND AddVotStd 300K/Pg Cnt- Platinum Support</t>
  </si>
  <si>
    <t>AE#VP57-003M-P</t>
  </si>
  <si>
    <t>INDICIUS Standard Voting Engine Volume IND AddVotStd 003M/Pg Cnt- Platinum Support</t>
  </si>
  <si>
    <t>AE#VP57-005M-P</t>
  </si>
  <si>
    <t>INDICIUS Standard Voting Engine Volume IND AddVotStd 005M/Pg Cnt- Platinum Support</t>
  </si>
  <si>
    <t>AE#VY65-002M-P</t>
  </si>
  <si>
    <t>INDICIUS Advanced Document Separation Volume IND AdvDocSep Vol 002M/Yr- Platinum Support</t>
  </si>
  <si>
    <t>AE#VY65-005M-P</t>
  </si>
  <si>
    <t>INDICIUS Advanced Document Separation Volume IND AdvDocSep Vol 005M/Yr- Platinum Support</t>
  </si>
  <si>
    <t>AE#VY65-015M-P</t>
  </si>
  <si>
    <t>INDICIUS Advanced Document Separation Volume IND AdvDocSep Vol 015M/Yr- Platinum Support</t>
  </si>
  <si>
    <t>AE#VY65-020M-P</t>
  </si>
  <si>
    <t>INDICIUS Advanced Document Separation Volume IND AdvDocSep Vol 020M/Yr- Platinum Support</t>
  </si>
  <si>
    <t>AE#VY65-050M-P</t>
  </si>
  <si>
    <t>INDICIUS Advanced Document Separation Volume IND AdvDocSep Vol 050M/Yr- Platinum Support</t>
  </si>
  <si>
    <t>AE#VY65-100M-P</t>
  </si>
  <si>
    <t>INDICIUS Advanced Document Separation Volume IND AdvDocSep Vol 100M/Yr- Platinum Support</t>
  </si>
  <si>
    <t>AE#VP65-001M-P</t>
  </si>
  <si>
    <t>INDICIUS Advanced Document Separation Volume IND AdvDocSep 001M/Pg Cnt- Platinum Support</t>
  </si>
  <si>
    <t>AE#VP65-003M-P</t>
  </si>
  <si>
    <t>INDICIUS Advanced Document Separation Volume IND AdvDocSep 003M/Pg Cnt- Platinum Support</t>
  </si>
  <si>
    <t>AE#VY58-005K-P</t>
  </si>
  <si>
    <t>INDICIUS Professional Voting Engine Volume IND AddVotPro Vol 005K/Yr- Platinum Support</t>
  </si>
  <si>
    <t>AE#VY58-002M-P</t>
  </si>
  <si>
    <t>INDICIUS Professional Voting Engine Volume IND AddVotPro Vol 002M/Yr- Platinum Support</t>
  </si>
  <si>
    <t>AE#VY58-010M-P</t>
  </si>
  <si>
    <t>INDICIUS Professional Voting Engine Volume IND AddVotPro Vol 010M/Yr- Platinum Support</t>
  </si>
  <si>
    <t>AE#VY58-015M-P</t>
  </si>
  <si>
    <t>INDICIUS Professional Voting Engine Volume IND AddVotPro Vol 015M/Yr- Platinum Support</t>
  </si>
  <si>
    <t>AE#VY58-040M-P</t>
  </si>
  <si>
    <t>INDICIUS Professional Voting Engine Volume IND AddVotPro Vol 040M/Yr- Platinum Support</t>
  </si>
  <si>
    <t>AE#VY58-050M-P</t>
  </si>
  <si>
    <t>INDICIUS Professional Voting Engine Volume IND AddVotPro Vol 050M/Yr- Platinum Support</t>
  </si>
  <si>
    <t>AE#VP58-300K-P</t>
  </si>
  <si>
    <t>INDICIUS Professional Voting Engine Volume IND AddVotPro 300K/Pg Cnt- Platinum Support</t>
  </si>
  <si>
    <t>AE#VP58-001M-P</t>
  </si>
  <si>
    <t>INDICIUS Professional Voting Engine Volume IND AddVotPro 001M/Pg Cnt- Platinum Support</t>
  </si>
  <si>
    <t>AE#VP58-005M-P</t>
  </si>
  <si>
    <t>INDICIUS Professional Voting Engine Volume IND AddVotPro 005M/Pg Cnt- Platinum Support</t>
  </si>
  <si>
    <t>AE#VY60-005K-P</t>
  </si>
  <si>
    <t>INDICIUS Postal Address Validation Volume IND PostValid Vol 005K/Yr- Platinum Support</t>
  </si>
  <si>
    <t>AE#VY60-005M-P</t>
  </si>
  <si>
    <t>INDICIUS Postal Address Validation Volume IND PostValid Vol 005M/Yr- Platinum Support</t>
  </si>
  <si>
    <t>AE#VY60-010M-P</t>
  </si>
  <si>
    <t>INDICIUS Postal Address Validation Volume IND PostValid Vol 010M/Yr- Platinum Support</t>
  </si>
  <si>
    <t>AE#VY60-020M-P</t>
  </si>
  <si>
    <t>INDICIUS Postal Address Validation Volume IND PostValid Vol 020M/Yr- Platinum Support</t>
  </si>
  <si>
    <t>AE#VY60-040M-P</t>
  </si>
  <si>
    <t>INDICIUS Postal Address Validation Volume IND PostValid Vol 040M/Yr- Platinum Support</t>
  </si>
  <si>
    <t>AE#VY60-100M-P</t>
  </si>
  <si>
    <t>INDICIUS Postal Address Validation Volume IND PostValid Vol 100M/Yr- Platinum Support</t>
  </si>
  <si>
    <t>AE#VP60-300K-P</t>
  </si>
  <si>
    <t>INDICIUS Postal Address Validation Volume IND PostValid 300K/Pg Cnt- Platinum Support</t>
  </si>
  <si>
    <t>AE#VP60-003M-P</t>
  </si>
  <si>
    <t>INDICIUS Postal Address Validation Volume IND PostValid 003M/Pg Cnt- Platinum Support</t>
  </si>
  <si>
    <t>AE#VP60-005M-P</t>
  </si>
  <si>
    <t>INDICIUS Postal Address Validation Volume IND PostValid 005M/Pg Cnt- Platinum Support</t>
  </si>
  <si>
    <t>AE#VY64-002M-P</t>
  </si>
  <si>
    <t>INDICIUS Scripted Export Volume IND ScrptExpt Vol 002M/Yr- Platinum Support</t>
  </si>
  <si>
    <t>AE#VY64-005M-P</t>
  </si>
  <si>
    <t>INDICIUS Scripted Export Volume IND ScrptExpt Vol 005M/Yr- Platinum Support</t>
  </si>
  <si>
    <t>AE#VY64-015M-P</t>
  </si>
  <si>
    <t>INDICIUS Scripted Export Volume IND ScrptExpt Vol 015M/Yr- Platinum Support</t>
  </si>
  <si>
    <t>AE#VY64-020M-P</t>
  </si>
  <si>
    <t>INDICIUS Scripted Export Volume IND ScrptExpt Vol 020M/Yr- Platinum Support</t>
  </si>
  <si>
    <t>AE#VY64-050M-P</t>
  </si>
  <si>
    <t>INDICIUS Scripted Export Volume IND ScrptExpt Vol 050M/Yr- Platinum Support</t>
  </si>
  <si>
    <t>AE#VY64-100M-P</t>
  </si>
  <si>
    <t>INDICIUS Scripted Export Volume IND ScrptExpt Vol 100M/Yr- Platinum Support</t>
  </si>
  <si>
    <t>AE#VP64-001M-P</t>
  </si>
  <si>
    <t>INDICIUS Scripted Export Volume IND ScrptExpt 001M/Pg Cnt- Platinum Support</t>
  </si>
  <si>
    <t>AE#VP64-003M-P</t>
  </si>
  <si>
    <t>INDICIUS Scripted Export Volume IND ScrptExpt 003M/Pg Cnt- Platinum Support</t>
  </si>
  <si>
    <t>AE#T070-0006-P</t>
  </si>
  <si>
    <t>INDICIUS Document Review Seats INDICIUS DocReview Seat Lic- Platinum Support</t>
  </si>
  <si>
    <t>AE#T071-0006-P</t>
  </si>
  <si>
    <t>INDICIUS Correction Seats INDICIUS Correction Seat Lic- Platinum Support</t>
  </si>
  <si>
    <t>AE#T073-0006-P</t>
  </si>
  <si>
    <t>INDICIUS Verification Seats INDICIUS Verification Seat Lic- Platinum Support</t>
  </si>
  <si>
    <t>AE#T074-0006-P</t>
  </si>
  <si>
    <t>INDICIUS Address Validation Seats INDICIUS AddressValid Seat Lic- Platinum Support</t>
  </si>
  <si>
    <t>KACE-001- STDMAINT</t>
  </si>
  <si>
    <t>KACE - K1100 - 100 Nodes - Base Unit - 1-Yr Standard Support and Maintenance</t>
  </si>
  <si>
    <t>KACE-002- STDMAINT</t>
  </si>
  <si>
    <t>KACE - VK1100 - 100 Nodes - Base Unit - 1-Yr Standard Support and Maintenance</t>
  </si>
  <si>
    <t>KACE-002- PLTMAINT</t>
  </si>
  <si>
    <t>KACE - VK1100 - 100 Nodes - Base Unit - 1-Yr Platinum Support and Maintenance</t>
  </si>
  <si>
    <t>KACE-003- PLTMAINT</t>
  </si>
  <si>
    <t>KACE - K1200- 100 Nodes - Base Unit - 1-Yr Platinum Support and Maintenance</t>
  </si>
  <si>
    <t>KACE-004- STDMAINT</t>
  </si>
  <si>
    <t>KACE - VK1200- 100 Nodes - Base Unit - 1-Yr Standard Support and Maintenance</t>
  </si>
  <si>
    <t>KACE-004- PLTMAINT</t>
  </si>
  <si>
    <t>KACE - VK1200- 100 Nodes - Base Unit - 1-Yr Platinum Support and Maintenance</t>
  </si>
  <si>
    <t>KACE-005- STDMAINT</t>
  </si>
  <si>
    <t>KACE - K2100- 100 Node - Base Unit - 1-Yr Standard Support and Maintenance</t>
  </si>
  <si>
    <t>KACE-005- PLTMAINT</t>
  </si>
  <si>
    <t>KACE - K2100- 100 Node - Base Unit - 1-Yr Platinum Support and Maintenance</t>
  </si>
  <si>
    <t>KACE-006- STDMAINT</t>
  </si>
  <si>
    <t>KACE - VK2100- 100 Node - Base Unit - 1-Yr Standard Support and Maintenance</t>
  </si>
  <si>
    <t>KACE-006- PLTMAINT</t>
  </si>
  <si>
    <t>KACE - VK2100- 100 Node - Base Unit - 1-Yr Platinum Support and Maintenance</t>
  </si>
  <si>
    <t>KACE-007- STDMAINT</t>
  </si>
  <si>
    <t>KACE - K2200- 100 Nodes  - Base Unit - 1-Yr Standard Support and Maintenance</t>
  </si>
  <si>
    <t>KACE-007- PLTMAINT</t>
  </si>
  <si>
    <t>KACE - K2200- 100 Nodes - Base Unit - 1-Yr Platinum Support and Maintenance</t>
  </si>
  <si>
    <t>KACE-008- STDMAINT</t>
  </si>
  <si>
    <t>KACE - VK2200- 100 Nodes  - Base Unit - 1-Yr Standard Support and Maintenance</t>
  </si>
  <si>
    <t>KACE-008- PLTMAINT</t>
  </si>
  <si>
    <t>KACE - VK2200- 100 Nodes - Base Unit - 1-Yr Platinum Support and Maintenance</t>
  </si>
  <si>
    <t>KACE-016- STDMAINT</t>
  </si>
  <si>
    <t>KACE - Additional Nodes  for K1100 and VK100  - 1-Yr Standard Support and Maintenance</t>
  </si>
  <si>
    <t>KACE-016- PLTMAINT</t>
  </si>
  <si>
    <t>KACE - Additional Nodes  for K1100 and VK100  - 1-Yr Platinum Support and Maintenance</t>
  </si>
  <si>
    <t>KACE-017- STDMAINT</t>
  </si>
  <si>
    <t>KACE-017- PLTMAINT</t>
  </si>
  <si>
    <t>100-000-002</t>
  </si>
  <si>
    <t>MasterScan Check Processing for ApplicationXtender-Standard Support</t>
  </si>
  <si>
    <t>100-000-003</t>
  </si>
  <si>
    <t>MasterScan Check Processing for ApplicationXtender-Platinum Support</t>
  </si>
  <si>
    <t>100-000-005</t>
  </si>
  <si>
    <t>MasterScan AppXtender Services for SharePoint  -Standard Support</t>
  </si>
  <si>
    <t>100-000-006</t>
  </si>
  <si>
    <t>MasterScan AppXtender Services for SharePoint  -Platinum Support</t>
  </si>
  <si>
    <t>100-000-008</t>
  </si>
  <si>
    <t>MasterScan Fax Image Gateway  -Standard Support</t>
  </si>
  <si>
    <t>100-000-009</t>
  </si>
  <si>
    <t>MasterScan Fax Image Gateway  -Platinum Support</t>
  </si>
  <si>
    <t>100-000-011</t>
  </si>
  <si>
    <t>MasterScan Desktop  -Standard Support</t>
  </si>
  <si>
    <t>100-000-012</t>
  </si>
  <si>
    <t>MasterScan Desktop  -Platinum Support</t>
  </si>
  <si>
    <t>100-000-014</t>
  </si>
  <si>
    <t>MasterScan Media Distribution  -Standard Support</t>
  </si>
  <si>
    <t>100-000-015</t>
  </si>
  <si>
    <t>MasterScan Media Distribution  -Platinum Support</t>
  </si>
  <si>
    <t>100-000-017</t>
  </si>
  <si>
    <t>MasterScan Data Assimilation  -Standard Support</t>
  </si>
  <si>
    <t>100-000-018</t>
  </si>
  <si>
    <t>MasterScan Data Assimilation  -Platinum Support</t>
  </si>
  <si>
    <t>100-000-020</t>
  </si>
  <si>
    <t>MasterScan Workflow Server  -Standard Support</t>
  </si>
  <si>
    <t>100-000-021</t>
  </si>
  <si>
    <t>MasterScan Workflow Server  -Platinum Support</t>
  </si>
  <si>
    <t>100-000-023</t>
  </si>
  <si>
    <t>MasterScan Workflow Client License  -Standard Support</t>
  </si>
  <si>
    <t>100-000-024</t>
  </si>
  <si>
    <t>MasterScan Workflow Client License  -Platinum Support</t>
  </si>
  <si>
    <t>100-000-029</t>
  </si>
  <si>
    <t>Mobilis Professional  -Standard Support</t>
  </si>
  <si>
    <t>100-000-030</t>
  </si>
  <si>
    <t>Mobilis Professional  -Platinum Support</t>
  </si>
  <si>
    <t>100-000-032</t>
  </si>
  <si>
    <t>Mobilis Professional Web Client License  -Standard Support</t>
  </si>
  <si>
    <t>100-000-033</t>
  </si>
  <si>
    <t>Mobilis Professional Web Client License  -Platinum Support</t>
  </si>
  <si>
    <t>100-000-035</t>
  </si>
  <si>
    <t>MasterScan Directory Watcher-Standard Support</t>
  </si>
  <si>
    <t>100-000-036</t>
  </si>
  <si>
    <t>MasterScan Directory Watcher-Platinum Support</t>
  </si>
  <si>
    <t>100-000-038</t>
  </si>
  <si>
    <t>MasterScan ACE Release Interface  -Standard Support</t>
  </si>
  <si>
    <t>100-000-039</t>
  </si>
  <si>
    <t>MasterScan ACE Release Interface  -Platinum Support</t>
  </si>
  <si>
    <t>100-000-041</t>
  </si>
  <si>
    <t>MasterScan Web Tools  -Standard Support</t>
  </si>
  <si>
    <t>100-000-042</t>
  </si>
  <si>
    <t>MasterScan Web Tools  -Platinum Support</t>
  </si>
  <si>
    <t>100-000-044</t>
  </si>
  <si>
    <t>Masterscan Audit Tool-Standard Support</t>
  </si>
  <si>
    <t>100-000-045</t>
  </si>
  <si>
    <t>Masterscan Audit Tool-Platinum Support</t>
  </si>
  <si>
    <t>100-000-047</t>
  </si>
  <si>
    <t>Masterscan Deployment Kit-Standard Support</t>
  </si>
  <si>
    <t>100-000-048</t>
  </si>
  <si>
    <t>Masterscan Deployment Kit-Platinum Support</t>
  </si>
  <si>
    <t>100-000-051</t>
  </si>
  <si>
    <t>100-000-052</t>
  </si>
  <si>
    <t>100-000-054</t>
  </si>
  <si>
    <t>MasterScan Database Integrity Checker-Standard Support</t>
  </si>
  <si>
    <t>100-000-055</t>
  </si>
  <si>
    <t>MasterScan Database Integrity Checker-Platinum Support</t>
  </si>
  <si>
    <t>100-000-057</t>
  </si>
  <si>
    <t>Masterscan Index Extractor-Standard Support</t>
  </si>
  <si>
    <t>100-000-058</t>
  </si>
  <si>
    <t>Masterscan Index Extractor-Platinum Support</t>
  </si>
  <si>
    <t>100-000-060</t>
  </si>
  <si>
    <t>MasterScan Rimage Interface Software-Standard Support</t>
  </si>
  <si>
    <t>100-000-061</t>
  </si>
  <si>
    <t>MasterScan Rimage Interface Software-Platinum Support</t>
  </si>
  <si>
    <t>100-000-063</t>
  </si>
  <si>
    <t>Masterscan Legacy Integrator (Per User)-Standard Support</t>
  </si>
  <si>
    <t>100-000-064</t>
  </si>
  <si>
    <t>Masterscan Legacy Integrator (Per User)-Platinum Support</t>
  </si>
  <si>
    <t>100-000-066</t>
  </si>
  <si>
    <t>BIS Cloud_0 - 50 GB (Per GB Per Month)-Standard Support</t>
  </si>
  <si>
    <t>100-000-067</t>
  </si>
  <si>
    <t>BIS Cloud_0 - 50 GB (Per GB Per Month)-Platinum Support</t>
  </si>
  <si>
    <t>100-000-069</t>
  </si>
  <si>
    <t>BIS Cloud_51-100GB (Per GB Per Month)-Standard Support</t>
  </si>
  <si>
    <t>100-000-070</t>
  </si>
  <si>
    <t>BIS Cloud_51-100GB (Per GB Per Month)-Platinum Support</t>
  </si>
  <si>
    <t>100-000-072</t>
  </si>
  <si>
    <t>BIS Cloud_101 -200GB (Per GB Per Month)-Standard Support</t>
  </si>
  <si>
    <t>100-000-073</t>
  </si>
  <si>
    <t>BIS Cloud_101 -200GB (Per GB Per Month)-Platinum Support</t>
  </si>
  <si>
    <t>100-000-075</t>
  </si>
  <si>
    <t>BIS Cloud_201 - 400GB (Per GB Per Month)-Standard Support</t>
  </si>
  <si>
    <t>100-000-076</t>
  </si>
  <si>
    <t>BIS Cloud_201 - 400GB (Per GB Per Month)-Platinum Support</t>
  </si>
  <si>
    <t>100-000-078</t>
  </si>
  <si>
    <t>BIS Cloud_401 - 600GB (Per GB Per Month)-Standard Support</t>
  </si>
  <si>
    <t>100-000-079</t>
  </si>
  <si>
    <t>BIS Cloud_401 - 600GB (Per GB Per Month)-Platinum Support</t>
  </si>
  <si>
    <t>100-000-081</t>
  </si>
  <si>
    <t>BIS Cloud_601 - 800GB (Per GB Per Month)-Standard Support</t>
  </si>
  <si>
    <t>100-000-082</t>
  </si>
  <si>
    <t>BIS Cloud_601 - 800GB (Per GB Per Month)-Platinum Support</t>
  </si>
  <si>
    <t>100-000-084</t>
  </si>
  <si>
    <t>BIS Cloud_800 - Above (Per GB Per Month)-Standard Support</t>
  </si>
  <si>
    <t>100-000-085</t>
  </si>
  <si>
    <t>BIS Cloud_800 - Above (Per GB Per Month)-Platinum Support</t>
  </si>
  <si>
    <t>100-000-087</t>
  </si>
  <si>
    <t>BIS Cloud_Site Fee (Per Month)-Standard Support</t>
  </si>
  <si>
    <t>100-000-088</t>
  </si>
  <si>
    <t>BIS Cloud_Site Fee (Per Month)-Platinum Support</t>
  </si>
  <si>
    <t>100-000-090</t>
  </si>
  <si>
    <t>BIS Cloud_ApplicationXtender Workflow Manager  (Per Month)-Standard Support</t>
  </si>
  <si>
    <t>100-000-091</t>
  </si>
  <si>
    <t>BIS Cloud_ApplicationXtender Workflow Manager  (Per Month)-Platinum Support</t>
  </si>
  <si>
    <t>100-000-093</t>
  </si>
  <si>
    <t>BIS Cloud_ApplicationXtender Reports Management  (Per Month)-Standard Support</t>
  </si>
  <si>
    <t>100-000-094</t>
  </si>
  <si>
    <t>BIS Cloud_ApplicationXtender Reports Management  (Per Month)-Platinum Support</t>
  </si>
  <si>
    <t>100-000-096</t>
  </si>
  <si>
    <t>BIS Cloud_ApplicationXtender Media Distribution (Per Distribution)-Standard Support</t>
  </si>
  <si>
    <t>100-000-097</t>
  </si>
  <si>
    <t>BIS Cloud_ApplicationXtender Media Distribution (Per Distribution)-Platinum Support</t>
  </si>
  <si>
    <t>100-000-099</t>
  </si>
  <si>
    <t>BIS Cloud_ApplicationXtender Information Rights Management (Per User Per Month)-Standard Support</t>
  </si>
  <si>
    <t>100-000-100</t>
  </si>
  <si>
    <t>BIS Cloud_ApplicationXtender Information Rights Management (Per User Per Month)-Platinum Support</t>
  </si>
  <si>
    <t>100-000-102</t>
  </si>
  <si>
    <t>BIS Cloud_AX Retention Management (Software and Centera)-Standard Support</t>
  </si>
  <si>
    <t>100-000-103</t>
  </si>
  <si>
    <t>BIS Cloud_AX Retention Management (Software and Centera)-Platinum Support</t>
  </si>
  <si>
    <t>100-000-105</t>
  </si>
  <si>
    <t>BIS Cloud Kiosk Scanning Appliance-Standard Support</t>
  </si>
  <si>
    <t>100-000-106</t>
  </si>
  <si>
    <t>BIS Cloud Kiosk Scanning Appliance-Platinum Support</t>
  </si>
  <si>
    <t>200-EQL-001</t>
  </si>
  <si>
    <t>PS6510E 7.2K RPM 2TB SATA II -48 Drives-Dual Controller-96TB Capacity-Standard Support</t>
  </si>
  <si>
    <t>200-EQL-002</t>
  </si>
  <si>
    <t>PS6510E 7.2K RPM 2TB SATA II -48 Drives-Dual Controller-96TB Capacity-Platinum Support</t>
  </si>
  <si>
    <t>200-EQL-004</t>
  </si>
  <si>
    <t>PS6510E 7.2K RPM 1TB SATA II -48 Drives-Dual Controller-48TB Capacity-Standard Support</t>
  </si>
  <si>
    <t>200-EQL-005</t>
  </si>
  <si>
    <t>PS6510E 7.2K RPM 1TB SATA II -48 Drives-Dual Controller-48TB Capacity-Platinum Support</t>
  </si>
  <si>
    <t>200-EQL-007</t>
  </si>
  <si>
    <t>PS6510E 10K RPM 600GB SAS 10K-48 Drives-Dual Controller-28.8TB Capacity-Standard Support</t>
  </si>
  <si>
    <t>200-EQL-008</t>
  </si>
  <si>
    <t>PS6510E 10K RPM 600GB SAS 10K-48 Drives-Dual Controller-28.8TB Capacity-Platinum Support</t>
  </si>
  <si>
    <t>200-EQL-010</t>
  </si>
  <si>
    <t>PS6510-1YEAR-Keep Your Hard Drive-Standard Support</t>
  </si>
  <si>
    <t>200-EQL-011</t>
  </si>
  <si>
    <t>PS6510-1YEAR-Keep Your Hard Drive-Platinum Support</t>
  </si>
  <si>
    <t>200-EQL-013</t>
  </si>
  <si>
    <t>PS6500E 7.2K RPM 500GB SATA II -48 Drives-Dual Controller-24TB Capacity-Standard Support</t>
  </si>
  <si>
    <t>200-EQL-014</t>
  </si>
  <si>
    <t>PS6500E 7.2K RPM 500GB SATA II -48 Drives-Dual Controller-24TB Capacity-Platinum Support</t>
  </si>
  <si>
    <t>200-EQL-016</t>
  </si>
  <si>
    <t>PS6500E 7.2K RPM 2TB SATA II -48 Drives-Dual Controller-96TB Capacity-Standard Support</t>
  </si>
  <si>
    <t>200-EQL-017</t>
  </si>
  <si>
    <t>PS6500E 7.2K RPM 2TB SATA II -48 Drives-Dual Controller-96TB Capacity-Platinum Support</t>
  </si>
  <si>
    <t>200-EQL-019</t>
  </si>
  <si>
    <t>PS6500E 7.2K RPM 1TB SATA II -48 Drives-Dual Controller-48TB Capacity-Standard Support</t>
  </si>
  <si>
    <t>200-EQL-020</t>
  </si>
  <si>
    <t>PS6500E 7.2K RPM 1TB SATA II -48 Drives-Dual Controller-48TB Capacity-Platinum Support</t>
  </si>
  <si>
    <t>200-EQL-022</t>
  </si>
  <si>
    <t>PS6500E 10K RPM 600GB SAS 10K-48 Drives-Dual Controller-28.8TB Capacity-Standard Support</t>
  </si>
  <si>
    <t>200-EQL-023</t>
  </si>
  <si>
    <t>PS6500E 10K RPM 600GB SAS 10K-48 Drives-Dual Controller-28.8TB Capacity-Platinum Support</t>
  </si>
  <si>
    <t>200-EQL-025</t>
  </si>
  <si>
    <t>PS6500-1YEAR-Keep Your Hard Drive-Standard Support</t>
  </si>
  <si>
    <t>200-EQL-026</t>
  </si>
  <si>
    <t>PS6500-1YEAR-Keep Your Hard Drive-Platinum Support</t>
  </si>
  <si>
    <t>200-EQL-028</t>
  </si>
  <si>
    <t>PS60xOS-1YEAR-Keep Your Hard Drive-Standard Support</t>
  </si>
  <si>
    <t>200-EQL-029</t>
  </si>
  <si>
    <t>PS60xOS-1YEAR-Keep Your Hard Drive-Platinum Support</t>
  </si>
  <si>
    <t>200-EQL-031</t>
  </si>
  <si>
    <t>PS6010XVS Solid State 8X100SSD/8X450SAS -16 Drives-Dual Controller -4.4TB Capacity-Standard Support</t>
  </si>
  <si>
    <t>200-EQL-032</t>
  </si>
  <si>
    <t>PS6010XVS Solid State 8X100SSD/8X450SAS -16 Drives-Dual Controller -4.4TB Capacity-Platinum Support</t>
  </si>
  <si>
    <t>200-EQL-034</t>
  </si>
  <si>
    <t>PS6010XV 15K RPM 600GB SAS 15K -16 Drives - Dual Controller - 9.6TB Capacity-Standard Support</t>
  </si>
  <si>
    <t>200-EQL-035</t>
  </si>
  <si>
    <t>PS6010XV 15K RPM 600GB SAS 15K -16 Drives - Dual Controller - 9.6TB Capacity-Platinum Support</t>
  </si>
  <si>
    <t>200-EQL-037</t>
  </si>
  <si>
    <t>PS6010S Solid State 100GB SSD -8 Drives - Dual Controller - 800GB Capacity-Standard Support</t>
  </si>
  <si>
    <t>200-EQL-038</t>
  </si>
  <si>
    <t>PS6010S Solid State 100GB SSD -8 Drives - Dual Controller - 800GB Capacity-Platinum Support</t>
  </si>
  <si>
    <t>200-EQL-040</t>
  </si>
  <si>
    <t>PS6010S Solid State 100GB SSD -16 Drives - Dual Controller - 1.6TB Capacity-Standard Support</t>
  </si>
  <si>
    <t>200-EQL-041</t>
  </si>
  <si>
    <t>PS6010S Solid State 100GB SSD -16 Drives - Dual Controller - 1.6TB Capacity-Platinum Support</t>
  </si>
  <si>
    <t>200-EQL-043</t>
  </si>
  <si>
    <t>PS6010-1YEAR-Keep Your Hard Drive-Standard Support</t>
  </si>
  <si>
    <t>200-EQL-044</t>
  </si>
  <si>
    <t>PS6010-1YEAR-Keep Your Hard Drive-Platinum Support</t>
  </si>
  <si>
    <t>200-EQL-046</t>
  </si>
  <si>
    <t>PS6000XVS Solid State 8X100SSD/8X450SAS -16 Drives-Dual Controller -4.4TB Capacity-Standard Support</t>
  </si>
  <si>
    <t>200-EQL-047</t>
  </si>
  <si>
    <t>PS6000XVS Solid State 8X100SSD/8X450SAS -16 Drives-Dual Controller -4.4TB Capacity-Platinum Support</t>
  </si>
  <si>
    <t>200-EQL-049</t>
  </si>
  <si>
    <t>PS6000XV 15K RPM 600GB SAS 15K -16 Drives - Dual Controller - 9.6TB Capacity-Standard Support</t>
  </si>
  <si>
    <t>200-EQL-050</t>
  </si>
  <si>
    <t>PS6000XV 15K RPM 600GB SAS 15K -16 Drives - Dual Controller - 9.6TB Capacity-Platinum Support</t>
  </si>
  <si>
    <t>200-EQL-052</t>
  </si>
  <si>
    <t>PS6000XV 15K RPM 450GB SAS 15K -16 Drives - Dual Controller - 7.2TB Capacity-Standard Support</t>
  </si>
  <si>
    <t>200-EQL-053</t>
  </si>
  <si>
    <t>PS6000XV 15K RPM 450GB SAS 15K -16 Drives - Dual Controller - 7.2TB Capacity-Platinum Support</t>
  </si>
  <si>
    <t>200-EQL-055</t>
  </si>
  <si>
    <t>PS6000XV 15K RPM 300GB SAS 15K -16 Drives - Dual Controller - 4.8TB Capacity-Standard Support</t>
  </si>
  <si>
    <t>200-EQL-056</t>
  </si>
  <si>
    <t>PS6000XV 15K RPM 300GB SAS 15K -16 Drives - Dual Controller - 4.8TB Capacity-Platinum Support</t>
  </si>
  <si>
    <t>200-EQL-058</t>
  </si>
  <si>
    <t>PS6000S Solid State 50GB SSD -8 Drives - Dual Controller - 400GB Capacity-Standard Support</t>
  </si>
  <si>
    <t>200-EQL-059</t>
  </si>
  <si>
    <t>PS6000S Solid State 50GB SSD -8 Drives - Dual Controller - 400GB Capacity-Platinum Support</t>
  </si>
  <si>
    <t>200-EQL-061</t>
  </si>
  <si>
    <t>PS6000S Solid State 50GB SSD -16 Drives - Dual Controller - 800GB Capacity-Standard Support</t>
  </si>
  <si>
    <t>200-EQL-062</t>
  </si>
  <si>
    <t>PS6000S Solid State 50GB SSD -16 Drives - Dual Controller - 800GB Capacity-Platinum Support</t>
  </si>
  <si>
    <t>200-EQL-064</t>
  </si>
  <si>
    <t>PS6000S Solid State 100GB SSD -8 Drives - Dual Controller - 800GB Capacity-Standard Support</t>
  </si>
  <si>
    <t>200-EQL-065</t>
  </si>
  <si>
    <t>PS6000S Solid State 100GB SSD -8 Drives - Dual Controller - 800GB Capacity-Platinum Support</t>
  </si>
  <si>
    <t>200-EQL-067</t>
  </si>
  <si>
    <t>PS6000S Solid State 100GB SSD -16 Drives - Dual Controller - 1.6TB Capacity-Standard Support</t>
  </si>
  <si>
    <t>200-EQL-068</t>
  </si>
  <si>
    <t>PS6000S Solid State 100GB SSD -16 Drives - Dual Controller - 1.6TB Capacity-Platinum Support</t>
  </si>
  <si>
    <t>200-EQL-070</t>
  </si>
  <si>
    <t>PS6000-1YEAR-Keep Your Hard Drive-Standard Support</t>
  </si>
  <si>
    <t>200-EQL-071</t>
  </si>
  <si>
    <t>PS6000-1YEAR-Keep Your Hard Drive-Platinum Support</t>
  </si>
  <si>
    <t>200-EQL-073</t>
  </si>
  <si>
    <t>PS4000XV 15K RPM 600GB SAS 15K -16 Drives - Dual Controller - 9.6TB Capacity-Standard Support</t>
  </si>
  <si>
    <t>200-EQL-074</t>
  </si>
  <si>
    <t>PS4000XV 15K RPM 600GB SAS 15K -16 Drives - Dual Controller - 9.6TB Capacity-Platinum Support</t>
  </si>
  <si>
    <t>200-EQL-076</t>
  </si>
  <si>
    <t>PS4000XV 15K RPM 450GB SAS 15K -16 Drives - Dual Controller - 7.2TB Capacity-Standard Support</t>
  </si>
  <si>
    <t>200-EQL-077</t>
  </si>
  <si>
    <t>PS4000XV 15K RPM 450GB SAS 15K -16 Drives - Dual Controller - 7.2TB Capacity-Platinum Support</t>
  </si>
  <si>
    <t>200-EQL-079</t>
  </si>
  <si>
    <t>PS4000XV 15K RPM 300GB SAS 15K -16 Drives - Dual Controller - 4.8TB Capacity-Standard Support</t>
  </si>
  <si>
    <t>200-EQL-080</t>
  </si>
  <si>
    <t>PS4000XV 15K RPM 300GB SAS 15K -16 Drives - Dual Controller - 4.8TB Capacity-Platinum Support</t>
  </si>
  <si>
    <t>200-EQL-082</t>
  </si>
  <si>
    <t>PS4000-1YEAR-Keep Your Hard Drive-Standard Support</t>
  </si>
  <si>
    <t>200-EQL-083</t>
  </si>
  <si>
    <t>PS4000-1YEAR-Keep Your Hard Drive-Platinum Support</t>
  </si>
  <si>
    <t>200-EQL-085</t>
  </si>
  <si>
    <t>PS 6010X 10K RPM  600GB SAS 10K - 16 Drives- Dual Controller -9.6TB Capacity-Standard Support</t>
  </si>
  <si>
    <t>200-EQL-086</t>
  </si>
  <si>
    <t>PS 6010X 10K RPM  600GB SAS 10K - 16 Drives- Dual Controller -9.6TB Capacity-Platinum Support</t>
  </si>
  <si>
    <t>200-EQL-088</t>
  </si>
  <si>
    <t>PS 6010E 7.2K RPM  500GB SATA II - 16 Drives- Dual Controller -8TB Capacity-Standard Support</t>
  </si>
  <si>
    <t>200-EQL-089</t>
  </si>
  <si>
    <t>PS 6010E 7.2K RPM  500GB SATA II - 16 Drives- Dual Controller -8TB Capacity-Platinum Support</t>
  </si>
  <si>
    <t>200-EQL-091</t>
  </si>
  <si>
    <t>PS 6010E 7.2K RPM  2TB SATA II - 16 Drives- Dual Controller -32TB Capacity-Standard Support</t>
  </si>
  <si>
    <t>200-EQL-092</t>
  </si>
  <si>
    <t>PS 6010E 7.2K RPM  2TB SATA II - 16 Drives- Dual Controller -32TB Capacity-Platinum Support</t>
  </si>
  <si>
    <t>200-EQL-094</t>
  </si>
  <si>
    <t>PS 6010E 7.2K RPM  1TB SATA II - 16 Drives- Dual Controller -16TB Capacity-Standard Support</t>
  </si>
  <si>
    <t>200-EQL-095</t>
  </si>
  <si>
    <t>PS 6010E 7.2K RPM  1TB SATA II - 16 Drives- Dual Controller -16TB Capacity-Platinum Support</t>
  </si>
  <si>
    <t>200-EQL-097</t>
  </si>
  <si>
    <t>PS 6000X 10K RPM  600GB SAS 10K - 16 Drives- Dual Controller -9.6TB Capacity-Standard Support</t>
  </si>
  <si>
    <t>200-EQL-098</t>
  </si>
  <si>
    <t>PS 6000X 10K RPM  600GB SAS 10K - 16 Drives- Dual Controller -9.6TB Capacity-Platinum Support</t>
  </si>
  <si>
    <t>200-EQL-100</t>
  </si>
  <si>
    <t>PS 6000X 10K RPM  450GB SAS 10K - 16 Drives- Dual Controller -7.2TB Capacity-Standard Support</t>
  </si>
  <si>
    <t>200-EQL-101</t>
  </si>
  <si>
    <t>PS 6000X 10K RPM  450GB SAS 10K - 16 Drives- Dual Controller -7.2TB Capacity-Platinum Support</t>
  </si>
  <si>
    <t>200-EQL-103</t>
  </si>
  <si>
    <t>PS 6000E 7.2K RPM  500GB SATA II - 16 Drives- Dual Controller -8TB Capacity-Standard Support</t>
  </si>
  <si>
    <t>200-EQL-104</t>
  </si>
  <si>
    <t>PS 6000E 7.2K RPM  500GB SATA II - 16 Drives- Dual Controller -8TB Capacity-Platinum Support</t>
  </si>
  <si>
    <t>200-EQL-106</t>
  </si>
  <si>
    <t>PS 6000E 7.2K RPM  2TB SATA II - 16 Drives- Dual Controller -32TB Capacity-Standard Support</t>
  </si>
  <si>
    <t>200-EQL-107</t>
  </si>
  <si>
    <t>PS 6000E 7.2K RPM  2TB SATA II - 16 Drives- Dual Controller -32TB Capacity-Platinum Support</t>
  </si>
  <si>
    <t>200-EQL-109</t>
  </si>
  <si>
    <t>PS 6000E 7.2K RPM  1TB SATA II - 16 Drives- Dual Controller -16TB Capacity-Standard Support</t>
  </si>
  <si>
    <t>200-EQL-110</t>
  </si>
  <si>
    <t>PS 6000E 7.2K RPM  1TB SATA II - 16 Drives- Dual Controller -16TB Capacity-Platinum Support</t>
  </si>
  <si>
    <t>200-EQL-112</t>
  </si>
  <si>
    <t>PS 4000X 10K RPM  600GB SAS 10K - 16 Drives- Dual Controller -9.6TB Capacity-Standard Support</t>
  </si>
  <si>
    <t>200-EQL-113</t>
  </si>
  <si>
    <t>PS 4000X 10K RPM  600GB SAS 10K - 16 Drives- Dual Controller -9.6TB Capacity-Platinum Support</t>
  </si>
  <si>
    <t>200-EQL-115</t>
  </si>
  <si>
    <t>PS 4000X 10K RPM  450GB SAS 10K - 16 Drives- Dual Controller -7.2TB Capacity-Standard Support</t>
  </si>
  <si>
    <t>200-EQL-116</t>
  </si>
  <si>
    <t>PS 4000X 10K RPM  450GB SAS 10K - 16 Drives- Dual Controller -7.2TB Capacity-Platinum Support</t>
  </si>
  <si>
    <t>200-EQL-118</t>
  </si>
  <si>
    <t>PS 4000E 7.2K RPM  500GB SATA II - 16 Drives- Dual Controller -8TB Capacity-Standard Support</t>
  </si>
  <si>
    <t>200-EQL-119</t>
  </si>
  <si>
    <t>PS 4000E 7.2K RPM  500GB SATA II - 16 Drives- Dual Controller -8TB Capacity-Platinum Support</t>
  </si>
  <si>
    <t>200-EQL-121</t>
  </si>
  <si>
    <t>PS 4000E 7.2K RPM  2TB SATA II - 16 Drives- Dual Controller -32TB Capacity-Standard Support</t>
  </si>
  <si>
    <t>200-EQL-122</t>
  </si>
  <si>
    <t>PS 4000E 7.2K RPM  2TB SATA II - 16 Drives- Dual Controller -32TB Capacity-Platinum Support</t>
  </si>
  <si>
    <t>200-EQL-124</t>
  </si>
  <si>
    <t>PS 4000E 7.2K RPM  2TB SATA II - 16 Drives- Dual Controller -16TB Capacity-Standard Support</t>
  </si>
  <si>
    <t>200-EQL-125</t>
  </si>
  <si>
    <t>PS 4000E 7.2K RPM  2TB SATA II - 16 Drives- Dual Controller -16TB Capacity-Platinum Support</t>
  </si>
  <si>
    <t>101104-STDMAINT</t>
  </si>
  <si>
    <t>ProStor InfiniVault Model 3 -- System Controller, 700GB Online Area, 3 RDX slots-Standard Support</t>
  </si>
  <si>
    <t>101104-PLTMAINT</t>
  </si>
  <si>
    <t>ProStor InfiniVault Model 3 -- System Controller, 700GB Online Area, 3 RDX slots-Platinum Support</t>
  </si>
  <si>
    <t>101796-STDMAINT</t>
  </si>
  <si>
    <t>ProStor InfiniVault Model 5 -- System Controller, 1.8TB Online Area, 5 RDX slots-Standard Support</t>
  </si>
  <si>
    <t>101796-PLTMAINT</t>
  </si>
  <si>
    <t>ProStor InfiniVault Model 5 -- System Controller, 1.8TB Online Area, 5 RDX slots-Platinum Support</t>
  </si>
  <si>
    <t>101099-STDMAINT</t>
  </si>
  <si>
    <t>ProStor InfiniVault Model 30 - - System Controller with 3.7TB Online Area- Removable Disk Unit (RDU), 10 RDX slots-Standard Support</t>
  </si>
  <si>
    <t>101099-PLTMAINT</t>
  </si>
  <si>
    <t>ProStor InfiniVault Model 30 - - System Controller with 3.7TB Online Area- Removable Disk Unit (RDU), 10 RDX slots-Platinum Support</t>
  </si>
  <si>
    <t>111467-STDMAINT</t>
  </si>
  <si>
    <t>ProStor InfiniVault Model 35 - - System Controller with 5.6TB Online Area- Removable Disk Unit (RDU), 10 RDX slots-Standard Support</t>
  </si>
  <si>
    <t>111467-PLTMAINT</t>
  </si>
  <si>
    <t>ProStor InfiniVault Model 35 - - System Controller with 5.6TB Online Area- Removable Disk Unit (RDU), 10 RDX slots-Platinum Support</t>
  </si>
  <si>
    <t>101080-STDMAINT</t>
  </si>
  <si>
    <t>ProStor InfiniVault Model 100 - - System Controller- 13TB Online Area- Two Removable Disk Units (RDU), 20 RDX slots-Standard Support</t>
  </si>
  <si>
    <t>101080-PLTMAINT</t>
  </si>
  <si>
    <t>ProStor InfiniVault Model 100 - - System Controller- 13TB Online Area- Two Removable Disk Units (RDU), 20 RDX slots-Platinum Support</t>
  </si>
  <si>
    <t>101083-STDMAINT</t>
  </si>
  <si>
    <t>ProStor InfiniVault Expansion Removable Disk Unit, 3U component with10 RDX slots-Standard Support</t>
  </si>
  <si>
    <t>101083-PLTMAINT</t>
  </si>
  <si>
    <t>ProStor InfiniVault Expansion Removable Disk Unit, 3U component with10 RDX slots-Platinum Support</t>
  </si>
  <si>
    <t>101615-STDMAINT</t>
  </si>
  <si>
    <t>5 pack of 500 GB cartridges-Standard Support</t>
  </si>
  <si>
    <t>101615-PLTMAINT</t>
  </si>
  <si>
    <t>5 pack of 500 GB cartridges-Platinum Support</t>
  </si>
  <si>
    <t>101909-STDMAINT</t>
  </si>
  <si>
    <t>5 pack of 640 GB cartridges-Standard Support</t>
  </si>
  <si>
    <t>101909-PLTMAINT</t>
  </si>
  <si>
    <t>5 pack of 640 GB cartridges-Platinum Support</t>
  </si>
  <si>
    <t>101966-STDMAINT</t>
  </si>
  <si>
    <t>5 pack of 1 TB cartridges-Standard Support</t>
  </si>
  <si>
    <t>101966-PLTMAINT</t>
  </si>
  <si>
    <t>5 pack of 1 TB cartridges-Platinum Support</t>
  </si>
  <si>
    <t>101792-STDMAINT</t>
  </si>
  <si>
    <t>FileStore Data Migrator for InfiniVault.-Standard Support</t>
  </si>
  <si>
    <t>101792-PLTMAINT</t>
  </si>
  <si>
    <t>FileStore Data Migrator for InfiniVault.-Platinum Support</t>
  </si>
  <si>
    <t>101642-STDMAINT</t>
  </si>
  <si>
    <t>ProStor InfiniVault DICOM Model 3 - System Controller, 700GB Online Area, 3 RDX slots- Integrated DICOM software-Standard Support</t>
  </si>
  <si>
    <t>101642-PLTMAINT</t>
  </si>
  <si>
    <t>ProStor InfiniVault DICOM Model 3 - System Controller, 700GB Online Area, 3 RDX slots- Integrated DICOM software-Platinum Support</t>
  </si>
  <si>
    <t>101847-STDMAINT</t>
  </si>
  <si>
    <t>ProStor InfiniVault DICOM Model 5 - - System Controller, 1.8TB Online Area, 5 RDX slots- Integrated DICOM software-Standard Support</t>
  </si>
  <si>
    <t>101847-PLTMAINT</t>
  </si>
  <si>
    <t>ProStor InfiniVault DICOM Model 5 - - System Controller, 1.8TB Online Area, 5 RDX slots- Integrated DICOM software-Platinum Support</t>
  </si>
  <si>
    <t>101641-STDMAINT</t>
  </si>
  <si>
    <t>ProStor InfiniVault DICOM Model 30 - System Controller 3.7TB Online Area- Removable Disk Unit (RDU), 10 RDX slots-Standard Support</t>
  </si>
  <si>
    <t>101641-PLTMAINT</t>
  </si>
  <si>
    <t>ProStor InfiniVault DICOM Model 30 - System Controller 3.7TB Online Area- Removable Disk Unit (RDU), 10 RDX slots-Platinum Support</t>
  </si>
  <si>
    <t>111468-STDMAINT</t>
  </si>
  <si>
    <t>ProStor InfiniVault DICOM Model 35 - System Controller 5.6TB Online Area- Removable Disk Unit (RDU), 10 RDX slots-Standard Support</t>
  </si>
  <si>
    <t>111468-PLTMAINT</t>
  </si>
  <si>
    <t>ProStor InfiniVault DICOM Model 35 - System Controller 5.6TB Online Area- Removable Disk Unit (RDU), 10 RDX slots-Platinum Support</t>
  </si>
  <si>
    <t>101643-STDMAINT</t>
  </si>
  <si>
    <t>ProStor InfiniVault DICOM Model 100-System Controller-13TB Online Area-Two Removable Disk Units, 20 RDX slots-Standard Support</t>
  </si>
  <si>
    <t>101643-PLTMAINT</t>
  </si>
  <si>
    <t>ProStor InfiniVault DICOM Model 100-System Controller-13TB Online Area-Two Removable Disk Units, 20 RDX slots-Platinum Support</t>
  </si>
  <si>
    <t>001-RIM-001</t>
  </si>
  <si>
    <t>Producer III - 8100N (with Embedded, High-Performance Control Center) Producer III 8100N with Everest 600 Printer-4 BD-Platinum Support</t>
  </si>
  <si>
    <t>001-RIM-002</t>
  </si>
  <si>
    <t>Producer III - 8100N (with Embedded, High-Performance Control Center) Producer III 8100N with Everest 600 Printer-2 BD - 2 CD/DVD-Platinum Support</t>
  </si>
  <si>
    <t>001-RIM-003</t>
  </si>
  <si>
    <t>Producer III - 8100N (with Embedded, High-Performance Control Center) Producer III 8100N with Everest 600 Printer-4 CD/DVD-Platinum Support</t>
  </si>
  <si>
    <t>001-RIM-004</t>
  </si>
  <si>
    <t>Producer III - 8100N (with Embedded, High-Performance Control Center) Producer III 8100N with PrismPlus! Printer-4 BD-Platinum Support</t>
  </si>
  <si>
    <t>001-RIM-005</t>
  </si>
  <si>
    <t>Producer III - 8100N (with Embedded, High-Performance Control Center) Producer III 8100N with PrismPlus! Printer-2 BD - 2 CD/DVD-Platinum Support</t>
  </si>
  <si>
    <t>001-RIM-006</t>
  </si>
  <si>
    <t>Producer III - 8100N (with Embedded, High-Performance Control Center) Producer III 8100N with PrismPlus! Printer-4 CD/DVD-Platinum Support</t>
  </si>
  <si>
    <t>001-RIM-007</t>
  </si>
  <si>
    <t>Producer III - 8100N (with Embedded, High-Performance Control Center) Producer III Discwatch-Platinum Support</t>
  </si>
  <si>
    <t>001-RIM-008</t>
  </si>
  <si>
    <t>Producer III - 8100N (with Embedded, High-Performance Control Center) 19" LCD Monitor, Keyboard, Mouse-Platinum Support</t>
  </si>
  <si>
    <t>001-RIM-009</t>
  </si>
  <si>
    <t>Producer III - 7100N (with Embedded, High Performance Control Center) Producer III 7100N with Everest 600 Printer-2 BD-Platinum Support</t>
  </si>
  <si>
    <t>001-RIM-010</t>
  </si>
  <si>
    <t>Producer III - 7100N (with Embedded, High Performance Control Center) Producer III 7100N with Everest 600 Printer-1 BD - 1 CD/DVD-Platinum Support</t>
  </si>
  <si>
    <t>001-RIM-011</t>
  </si>
  <si>
    <t>Producer III - 7100N (with Embedded, High Performance Control Center) Producer III 7100N with Everest 600 Printer-2 CD/DVD-Platinum Support</t>
  </si>
  <si>
    <t>001-RIM-012</t>
  </si>
  <si>
    <t>Producer III - 7100N (with Embedded, High Performance Control Center) Producer III 7100N with PrismPlus! Printer-2 BD-Platinum Support</t>
  </si>
  <si>
    <t>001-RIM-013</t>
  </si>
  <si>
    <t>Producer III - 7100N (with Embedded, High Performance Control Center) Producer III 7100N with PrismPlus! Printer-1 BD - 1 CD/DVD-Platinum Support</t>
  </si>
  <si>
    <t>001-RIM-014</t>
  </si>
  <si>
    <t>Producer III - 7100N (with Embedded, High Performance Control Center)Producer III 7100N with PrismPlus! Printer-2 CD/DVD-Platinum Support</t>
  </si>
  <si>
    <t>001-RIM-015</t>
  </si>
  <si>
    <t>Producer III - 7100N (with Embedded, High Performance Control Center) Producer III Discwatch-Platinum Support</t>
  </si>
  <si>
    <t>001-RIM-016</t>
  </si>
  <si>
    <t>Producer III - 7100N (with Embedded, High Performance Control Center) 19" LCD Monitor, Keyboard, Mouse-Platinum Support</t>
  </si>
  <si>
    <t>001-RIM-017</t>
  </si>
  <si>
    <t>Producer III - 6100N (with Embedded Control Center) Producer III 6100N with Everest 600 Printer-1 BD-Platinum Support</t>
  </si>
  <si>
    <t>001-RIM-018</t>
  </si>
  <si>
    <t>Producer III - 6100N (with Embedded Control Center) Producer III 6100N with Everest 600 Printer-1 CD/DVD-Platinum Support</t>
  </si>
  <si>
    <t>001-RIM-019</t>
  </si>
  <si>
    <t>Producer III - 6100N (with Embedded Control Center) Producer III 6100N with PrismPlus! Printer-1 BD-Platinum Support</t>
  </si>
  <si>
    <t>001-RIM-020</t>
  </si>
  <si>
    <t>Producer III - 6100N (with Embedded Control Center) Producer III 6100N with PrismPlus! Printer-1 CD/DVD-Platinum Support</t>
  </si>
  <si>
    <t>001-RIM-021</t>
  </si>
  <si>
    <t>Producer III - 6100N (with Embedded Control Center) Producer III Discwatch-Platinum Support</t>
  </si>
  <si>
    <t>001-RIM-022</t>
  </si>
  <si>
    <t>Producer III - 6100N (with Embedded Control Center) 19" LCD Monitor, Keyboard, Mouse-Platinum Support</t>
  </si>
  <si>
    <t>001-RIM-023</t>
  </si>
  <si>
    <t>Professional - 5400N (with Embedded Control Center) Professional 5400N with Everest 400 Printer-2 BD-Platinum Support</t>
  </si>
  <si>
    <t>001-RIM-024</t>
  </si>
  <si>
    <t>Professional - 5400N (with Embedded Control Center) Professional 5400N with Everest 400 Printer-1 BD - 1 CD/DVD-Platinum Support</t>
  </si>
  <si>
    <t>001-RIM-025</t>
  </si>
  <si>
    <t>Professional - 5400N (with Embedded Control Center) Professional 5400N with Everest 400 Printer-2 CD/DVD-Platinum Support</t>
  </si>
  <si>
    <t>001-RIM-026</t>
  </si>
  <si>
    <t>Professional - 5400N (with Embedded Control Center) Network Software Suite for 3400-Platinum Support</t>
  </si>
  <si>
    <t>001-RIM-027</t>
  </si>
  <si>
    <t>Professional - 5400N (with Embedded Control Center) 19" LCD Monitor, Keyboard, Mouse-Platinum Support</t>
  </si>
  <si>
    <t>001-RIM-028</t>
  </si>
  <si>
    <t>Professional - 3400 (with Network Software Suite) Professional 3400 NSS with Everest 400 Printer-2 BD-Platinum Support</t>
  </si>
  <si>
    <t>001-RIM-029</t>
  </si>
  <si>
    <t>Professional - 3400 (with Network Software Suite) Professional 3400 NSS with Everest 400 Printer-1 BD - 1 CD/DVD -Platinum Support</t>
  </si>
  <si>
    <t>001-RIM-030</t>
  </si>
  <si>
    <t>Professional - 3400 (with Network Software Suite) Professional 3400 NSS with Everest 400 Printer-2 CD/DVD-Platinum Support</t>
  </si>
  <si>
    <t>001-RIM-031</t>
  </si>
  <si>
    <t>Professional - 3400 (with Network Software Suite) Professional 3400 with Everest 400 Printer-2 BD-Platinum Support</t>
  </si>
  <si>
    <t>001-RIM-032</t>
  </si>
  <si>
    <t>Professional - 3400 (with Network Software Suite) Professional 3400 with Everest 400 Printer-1 BD - 1 CD/DVD-Platinum Support</t>
  </si>
  <si>
    <t>001-RIM-033</t>
  </si>
  <si>
    <t>Professional - 3400 (with Network Software Suite) Professional 3400 with Everest 400 Printer-2 CD/DVD -Platinum Support</t>
  </si>
  <si>
    <t>001-RIM-034</t>
  </si>
  <si>
    <t>Professional - 3400 Network Software Suite for 3400-Platinum Support</t>
  </si>
  <si>
    <t>001-RIM-035</t>
  </si>
  <si>
    <t>Professional - 3400 19" LCD Monitor, Keyboard, Mouse-Platinum Support</t>
  </si>
  <si>
    <t>001-RIM-036</t>
  </si>
  <si>
    <t>RIMAGE 8100N, 5400N EDS Rimage EDS Enterprise - 8100N w/Disc camera and Forensic software-4 BD-Platinum Support</t>
  </si>
  <si>
    <t>001-RIM-037</t>
  </si>
  <si>
    <t>RIMAGE 8100N, 5400N EDS Rimage EDS Pro - 5400N w/Disc Camera and Forensic software-2 BD-Platinum Support</t>
  </si>
  <si>
    <t>001-RIM-038</t>
  </si>
  <si>
    <t>Rimage Copy Station Rimage 5400N Copy Station-2 BD-Platinum Support</t>
  </si>
  <si>
    <t>001-RIM-039</t>
  </si>
  <si>
    <t>Rimage 2000i Rimage 2000i DVD/CD-2 CD/DVD-Platinum Support</t>
  </si>
  <si>
    <t>001-RIM-040</t>
  </si>
  <si>
    <t>Rimage 2000i Officenet Software Suite for Rimage 2000i-Platinum Support</t>
  </si>
  <si>
    <t>001-RIM-041</t>
  </si>
  <si>
    <t>Autoprinters and Stand Alone Printers AutoEverest 600-Platinum Support</t>
  </si>
  <si>
    <t>001-RIM-042</t>
  </si>
  <si>
    <t>Autoprinters and Stand Alone Printers AutoPrismPlus!-Platinum Support</t>
  </si>
  <si>
    <t>001-RIM-043</t>
  </si>
  <si>
    <t>Autoprinters and Stand Alone Printers Stand-Alone Everest 600-Platinum Support</t>
  </si>
  <si>
    <t>001-RIM-044</t>
  </si>
  <si>
    <t>Autoprinters and Stand Alone Printers Stand-Alone PrismPlus!-Platinum Support</t>
  </si>
  <si>
    <t>001-RIM-045</t>
  </si>
  <si>
    <t>Autoprinters and Stand Alone Printers Rimage 480i-Platinum Support</t>
  </si>
  <si>
    <t>001-RIM-046</t>
  </si>
  <si>
    <t>Producer III - 8100N (with Embedded, High-Performance Control Center) Producer III 8100N with Everest 600 Printer-4 BD-Standard Support</t>
  </si>
  <si>
    <t>001-RIM-047</t>
  </si>
  <si>
    <t>Producer III - 8100N (with Embedded, High-Performance Control Center) Producer III 8100N with Everest 600 Printer-2 BD - 2 CD/DVD-Standard Support</t>
  </si>
  <si>
    <t>001-RIM-048</t>
  </si>
  <si>
    <t>Producer III - 8100N (with Embedded, High-Performance Control Center) Producer III 8100N with Everest 600 Printer-4 CD/DVD-Standard Support</t>
  </si>
  <si>
    <t>001-RIM-049</t>
  </si>
  <si>
    <t>Producer III - 8100N (with Embedded, High-Performance Control Center) Producer III 8100N with PrismPlus! Printer-4 BD-Standard Support</t>
  </si>
  <si>
    <t>001-RIM-050</t>
  </si>
  <si>
    <t>Producer III - 8100N (with Embedded, High-Performance Control Center) Producer III 8100N with PrismPlus! Printer-2 BD - 2 CD/DVD-Standard Support</t>
  </si>
  <si>
    <t>001-RIM-051</t>
  </si>
  <si>
    <t>Producer III - 8100N (with Embedded, High-Performance Control Center) Producer III 8100N with PrismPlus! Printer-4 CD/DVD-Standard Support</t>
  </si>
  <si>
    <t>001-RIM-052</t>
  </si>
  <si>
    <t>Producer III - 8100N (with Embedded, High-Performance Control Center) Producer III Discwatch-Standard Support</t>
  </si>
  <si>
    <t>001-RIM-053</t>
  </si>
  <si>
    <t>Producer III - 8100N (with Embedded, High-Performance Control Center) 19" LCD Monitor, Keyboard, Mouse-Standard Support</t>
  </si>
  <si>
    <t>001-RIM-054</t>
  </si>
  <si>
    <t>Producer III - 7100N (with Embedded, High Performance Control Center) Producer III 7100N with Everest 600 Printer-2 BD-Standard Support</t>
  </si>
  <si>
    <t>001-RIM-055</t>
  </si>
  <si>
    <t>Producer III - 7100N (with Embedded, High Performance Control Center) Producer III 7100N with Everest 600 Printer-1 BD - 1 CD/DVD-Standard Support</t>
  </si>
  <si>
    <t>001-RIM-056</t>
  </si>
  <si>
    <t>Producer III - 7100N (with Embedded, High Performance Control Center) Producer III 7100N with Everest 600 Printer-2 CD/DVD-Standard Support</t>
  </si>
  <si>
    <t>001-RIM-057</t>
  </si>
  <si>
    <t>Producer III - 7100N (with Embedded, High Performance Control Center) Producer III 7100N with PrismPlus! Printer-2 BD-Standard Support</t>
  </si>
  <si>
    <t>001-RIM-058</t>
  </si>
  <si>
    <t>Producer III - 7100N (with Embedded, High Performance Control Center) Producer III 7100N with PrismPlus! Printer-1 BD - 1 CD/DVD-Standard Support</t>
  </si>
  <si>
    <t>001-RIM-059</t>
  </si>
  <si>
    <t>Producer III - 7100N (with Embedded, High Performance Control Center)Producer III 7100N with PrismPlus! Printer-2 CD/DVD-Standard Support</t>
  </si>
  <si>
    <t>001-RIM-060</t>
  </si>
  <si>
    <t>Producer III - 7100N (with Embedded, High Performance Control Center) Producer III Discwatch-Standard Support</t>
  </si>
  <si>
    <t>001-RIM-061</t>
  </si>
  <si>
    <t>Producer III - 7100N (with Embedded, High Performance Control Center) 19" LCD Monitor, Keyboard, Mouse-Standard Support</t>
  </si>
  <si>
    <t>001-RIM-062</t>
  </si>
  <si>
    <t>Producer III - 6100N (with Embedded Control Center) Producer III 6100N with Everest 600 Printer-1 BD-Standard Support</t>
  </si>
  <si>
    <t>001-RIM-063</t>
  </si>
  <si>
    <t>Producer III - 6100N (with Embedded Control Center) Producer III 6100N with Everest 600 Printer-1 CD/DVD-Standard Support</t>
  </si>
  <si>
    <t>001-RIM-064</t>
  </si>
  <si>
    <t>Producer III - 6100N (with Embedded Control Center) Producer III 6100N with PrismPlus! Printer-1 BD-Standard Support</t>
  </si>
  <si>
    <t>001-RIM-065</t>
  </si>
  <si>
    <t>Producer III - 6100N (with Embedded Control Center) Producer III 6100N with PrismPlus! Printer-1 CD/DVD-Standard Support</t>
  </si>
  <si>
    <t>001-RIM-066</t>
  </si>
  <si>
    <t>Producer III - 6100N (with Embedded Control Center) Producer III Discwatch-Standard Support</t>
  </si>
  <si>
    <t>001-RIM-067</t>
  </si>
  <si>
    <t>Producer III - 6100N (with Embedded Control Center) 19" LCD Monitor, Keyboard, Mouse-Standard Support</t>
  </si>
  <si>
    <t>001-RIM-068</t>
  </si>
  <si>
    <t>Professional - 5400N (with Embedded Control Center) Professional 5400N with Everest 400 Printer-2 BD-Standard Support</t>
  </si>
  <si>
    <t>001-RIM-069</t>
  </si>
  <si>
    <t>Professional - 5400N (with Embedded Control Center) Professional 5400N with Everest 400 Printer-1 BD - 1 CD/DVD-Standard Support</t>
  </si>
  <si>
    <t>001-RIM-070</t>
  </si>
  <si>
    <t>Professional - 5400N (with Embedded Control Center) Professional 5400N with Everest 400 Printer-2 CD/DVD-Standard Support</t>
  </si>
  <si>
    <t>001-RIM-071</t>
  </si>
  <si>
    <t>Professional - 5400N (with Embedded Control Center) Network Software Suite for 3400-Standard Support</t>
  </si>
  <si>
    <t>001-RIM-072</t>
  </si>
  <si>
    <t>Professional - 5400N (with Embedded Control Center) 19" LCD Monitor, Keyboard, Mouse-Standard Support</t>
  </si>
  <si>
    <t>001-RIM-073</t>
  </si>
  <si>
    <t>Professional - 3400 (with Network Software Suite) Professional 3400 NSS with Everest 400 Printer-2 BD-Standard Support</t>
  </si>
  <si>
    <t>001-RIM-074</t>
  </si>
  <si>
    <t>Professional - 3400 (with Network Software Suite) Professional 3400 NSS with Everest 400 Printer-1 BD - 1 CD/DVD -Standard Support</t>
  </si>
  <si>
    <t>001-RIM-075</t>
  </si>
  <si>
    <t>Professional - 3400 (with Network Software Suite) Professional 3400 NSS with Everest 400 Printer-2 CD/DVD-Standard Support</t>
  </si>
  <si>
    <t>001-RIM-076</t>
  </si>
  <si>
    <t>Professional - 3400 (with Network Software Suite) Professional 3400 with Everest 400 Printer-2 BD-Standard Support</t>
  </si>
  <si>
    <t>001-RIM-077</t>
  </si>
  <si>
    <t>Professional - 3400 (with Network Software Suite) Professional 3400 with Everest 400 Printer-1 BD - 1 CD/DVD-Standard Support</t>
  </si>
  <si>
    <t>001-RIM-078</t>
  </si>
  <si>
    <t>Professional - 3400 (with Network Software Suite) Professional 3400 with Everest 400 Printer-2 CD/DVD -Standard Support</t>
  </si>
  <si>
    <t>001-RIM-079</t>
  </si>
  <si>
    <t>Professional - 3400 Network Software Suite for 3400-Standard Support</t>
  </si>
  <si>
    <t>001-RIM-080</t>
  </si>
  <si>
    <t>Professional - 3400 19" LCD Monitor, Keyboard, Mouse-Standard Support</t>
  </si>
  <si>
    <t>001-RIM-081</t>
  </si>
  <si>
    <t>RIMAGE 8100N, 5400N EDS Rimage EDS Enterprise - 8100N w/Disc camera and Forensic software-4 BD-Standard Support</t>
  </si>
  <si>
    <t>001-RIM-082</t>
  </si>
  <si>
    <t>RIMAGE 8100N, 5400N EDS Rimage EDS Pro - 5400N w/Disc Camera and Forensic software-2 BD-Standard Support</t>
  </si>
  <si>
    <t>001-RIM-083</t>
  </si>
  <si>
    <t>Rimage Copy Station Rimage 5400N Copy Station-2 BD-Standard Support</t>
  </si>
  <si>
    <t>001-RIM-084</t>
  </si>
  <si>
    <t>Rimage 2000i Rimage 2000i DVD/CD-2 CD/DVD-Standard Support</t>
  </si>
  <si>
    <t>001-RIM-085</t>
  </si>
  <si>
    <t>Rimage 2000i Officenet Software Suite for Rimage 2000i-Standard Support</t>
  </si>
  <si>
    <t>001-RIM-086</t>
  </si>
  <si>
    <t>Autoprinters and Stand Alone Printers AutoEverest 600-Standard Support</t>
  </si>
  <si>
    <t>001-RIM-087</t>
  </si>
  <si>
    <t>Autoprinters and Stand Alone Printers AutoPrismPlus!-Standard Support</t>
  </si>
  <si>
    <t>001-RIM-088</t>
  </si>
  <si>
    <t>Autoprinters and Stand Alone Printers Stand-Alone Everest 600-Standard Support</t>
  </si>
  <si>
    <t>001-RIM-089</t>
  </si>
  <si>
    <t>Autoprinters and Stand Alone Printers Stand-Alone PrismPlus!-Standard Support</t>
  </si>
  <si>
    <t>001-RIM-090</t>
  </si>
  <si>
    <t>Autoprinters and Stand Alone Printers Rimage 480i-Standard Support</t>
  </si>
  <si>
    <t>H-CPRFPG2450007-1YR</t>
  </si>
  <si>
    <t>Additional Block of 4 Fax Channels - 1 Year - New</t>
  </si>
  <si>
    <t xml:space="preserve">H-CPRFPG2450007-1YRR </t>
  </si>
  <si>
    <t>Additional Block of 4 Fax Channels - 1 Year - Renewal</t>
  </si>
  <si>
    <t xml:space="preserve">H-CPRFHOSTED-1B  </t>
  </si>
  <si>
    <t>Basic Hosted Fax Services - 1 Year New</t>
  </si>
  <si>
    <t xml:space="preserve">H-CPRFHOSTED-1BR  </t>
  </si>
  <si>
    <t>Basic Hosted Fax Services - 1 Year Renewal</t>
  </si>
  <si>
    <t xml:space="preserve">H-CPRFHOSTED-1BS  </t>
  </si>
  <si>
    <t>Basic Hosted Fax Solution - 1 Year New</t>
  </si>
  <si>
    <t xml:space="preserve">H-CPRFHOSTED-1BSR </t>
  </si>
  <si>
    <t xml:space="preserve">Basic Hosted Fax Solution - 1 Year Renewal </t>
  </si>
  <si>
    <t xml:space="preserve">H-CPRF2450086-1YR </t>
  </si>
  <si>
    <t xml:space="preserve">Canon MFP Connector - 1 Year - New </t>
  </si>
  <si>
    <t xml:space="preserve">H-CPRF2450086-1YRR  </t>
  </si>
  <si>
    <t>Canon MFP Connector - 1 Year - Renewal</t>
  </si>
  <si>
    <t xml:space="preserve">H-CPRFHOSTED-1E  </t>
  </si>
  <si>
    <t>Enterprise Hosted Fax Services - 1 Year New</t>
  </si>
  <si>
    <t xml:space="preserve">H-CPRFHOSTED-1ER </t>
  </si>
  <si>
    <t>Enterprise Hosted Fax Services - 1 Year Renewal</t>
  </si>
  <si>
    <t xml:space="preserve">H-CPRFHOSTED-1ES  </t>
  </si>
  <si>
    <t>Enterprise Hosted Fax Solution - 1 Year New</t>
  </si>
  <si>
    <t xml:space="preserve">H-CPRFHOSTED-1ESR </t>
  </si>
  <si>
    <t>Enterprise Hosted Fax Solution - 1 Year Renewal</t>
  </si>
  <si>
    <t xml:space="preserve">H-CPRF2450003-1YR  </t>
  </si>
  <si>
    <t>FileNet Connector - 1 Year - New</t>
  </si>
  <si>
    <t xml:space="preserve">H-CPRF2450003-1YRR  </t>
  </si>
  <si>
    <t>FileNet Connector - 1 Year - Renewal</t>
  </si>
  <si>
    <t xml:space="preserve">H-CPRFPG2450015-1YR </t>
  </si>
  <si>
    <t>Integration Module - 1 Year - New</t>
  </si>
  <si>
    <t xml:space="preserve">H-CPRFPG2450015-1YRR </t>
  </si>
  <si>
    <t>Integration Module - 1 Year - Renewal</t>
  </si>
  <si>
    <t xml:space="preserve">H-CPRF2450021-1YR </t>
  </si>
  <si>
    <t>MFP Connector For Hewlett Packard - 1 Year - New</t>
  </si>
  <si>
    <t xml:space="preserve">H-CPRF2450021-1YRR </t>
  </si>
  <si>
    <t>MFP Connector For Hewlett Packard - 1 Year - Renewal</t>
  </si>
  <si>
    <t xml:space="preserve">H-CPRF2450025-1YR </t>
  </si>
  <si>
    <t>MFP Connector For Konica Minolta - 1 Year - New</t>
  </si>
  <si>
    <t xml:space="preserve">H-CPRF2450025-1YRR </t>
  </si>
  <si>
    <t>MFP Connector For Konica Minolta - 1 Year - Renewal</t>
  </si>
  <si>
    <t xml:space="preserve">H-CPRF2450092-1YR  </t>
  </si>
  <si>
    <t>MFP Connector For Ricoh ESA - 1 Year - New</t>
  </si>
  <si>
    <t xml:space="preserve">H-CPRF2450092-1YRR </t>
  </si>
  <si>
    <t>MFP Connector For Ricoh ESA - 1 Year - Renewal</t>
  </si>
  <si>
    <t xml:space="preserve">H-CPRF2450022-1YR  </t>
  </si>
  <si>
    <t>MFP Connector For Sharp - 1 Year - New</t>
  </si>
  <si>
    <t xml:space="preserve">H-CPRF2450022-1YRR  </t>
  </si>
  <si>
    <t>MFP Connector For Sharp - 1 Year - Renewal</t>
  </si>
  <si>
    <t xml:space="preserve">H-CPRFSMTP19-1YR </t>
  </si>
  <si>
    <t>MFP Connector For SMTP Enabled Devices - 1 Year - New</t>
  </si>
  <si>
    <t xml:space="preserve">H-CPRFSMTP19-1YRR </t>
  </si>
  <si>
    <t>MFP Connector For SMTP Enabled Devices - 1 Year - Renewal</t>
  </si>
  <si>
    <t xml:space="preserve">H-CPRFSMTP19-3YR </t>
  </si>
  <si>
    <t xml:space="preserve">MFP Connector For SMTP Enabled Devices - 3 </t>
  </si>
  <si>
    <t xml:space="preserve">H-CPRF2450023-1YR  </t>
  </si>
  <si>
    <t>MFP Connector For Xerox - 1 Year - New</t>
  </si>
  <si>
    <t xml:space="preserve">H-CPRF2450023-1YRR  </t>
  </si>
  <si>
    <t>MFP Connector For Xerox - 1 Year - Renewal</t>
  </si>
  <si>
    <t xml:space="preserve">H-CPRF2450098-1YR </t>
  </si>
  <si>
    <t xml:space="preserve">MFP Connector For Xerox EIP - 1 Year - New </t>
  </si>
  <si>
    <t xml:space="preserve">H-CPRF2450098-1YRR </t>
  </si>
  <si>
    <t>MFP Connector For Xerox EIP - 1 Year - Renewal</t>
  </si>
  <si>
    <t xml:space="preserve">H-CPRF2450077-1YR </t>
  </si>
  <si>
    <t>MFP Connector For XML Compatible Devices - 1 Year - New</t>
  </si>
  <si>
    <t xml:space="preserve">H-CPRF2450077-1YRR </t>
  </si>
  <si>
    <t>MFP Connector For XML Compatible Devices - 1 Year - Renewal</t>
  </si>
  <si>
    <t xml:space="preserve">H-CPRFPG2450016-1YR  </t>
  </si>
  <si>
    <t>SAP Connector 1 Year - New</t>
  </si>
  <si>
    <t xml:space="preserve">H-CPRFPG2450016-1YRR  </t>
  </si>
  <si>
    <t>SAP Connector 1 Year - Renewal</t>
  </si>
  <si>
    <t xml:space="preserve">H-CPRF2450060-1YR  </t>
  </si>
  <si>
    <t>SharePoint Connector - 1 Year - New</t>
  </si>
  <si>
    <t xml:space="preserve">H-CPRF2450060-1YRR  </t>
  </si>
  <si>
    <t>SharePoint Connector - 1 Year - Renewal</t>
  </si>
  <si>
    <t xml:space="preserve">H-CPRFPG2450024-1YR  </t>
  </si>
  <si>
    <t>XML Generator Module - 1 Year - New</t>
  </si>
  <si>
    <t xml:space="preserve">H-CPRFPG2450024-1YRR  </t>
  </si>
  <si>
    <t>XML Generator Module - 1 Year - Renewal</t>
  </si>
  <si>
    <t>S-CPRFPG2400002 - Standard Support</t>
  </si>
  <si>
    <t>RightFax Business Server- Standard Support</t>
  </si>
  <si>
    <t>S-CPRFPG2400002 - Platinum Support</t>
  </si>
  <si>
    <t>RightFax Business Server- Platinum Support</t>
  </si>
  <si>
    <t>S-CPRFPG2400003 - Standard Support</t>
  </si>
  <si>
    <t>RightFax Enterprise Server- Standard Support</t>
  </si>
  <si>
    <t>S-CPRFPG2400003 - Platinum Support</t>
  </si>
  <si>
    <t>RightFax Enterprise Server- Platinum Support</t>
  </si>
  <si>
    <t>S-CPRFPG2400004 - Standard Support</t>
  </si>
  <si>
    <t>RightFax Enterprise Suite- Standard Support</t>
  </si>
  <si>
    <t>S-CPRFPG2400004 - Platinum Support</t>
  </si>
  <si>
    <t>RightFax Enterprise Suite- Platinum Support</t>
  </si>
  <si>
    <t>S-CPRFPG2400005 - Standard Support</t>
  </si>
  <si>
    <t>RightFax Enterprise Integration Server- Standard Support</t>
  </si>
  <si>
    <t>S-CPRFPG2400005 - Platinum Support</t>
  </si>
  <si>
    <t>RightFax Enterprise Integration Server- Platinum Support</t>
  </si>
  <si>
    <t>S-CPRFPG2400021 - Standard Support</t>
  </si>
  <si>
    <t>RightFax Satellite Server- Standard Support</t>
  </si>
  <si>
    <t>S-CPRFPG2400021 - Platinum Support</t>
  </si>
  <si>
    <t>RightFax Satellite Server- Platinum Support</t>
  </si>
  <si>
    <t>S-CPRFPGMSX2010 - Standard Support</t>
  </si>
  <si>
    <t>RightFax Bundle for Microsoft Exchange 2010- Standard Support</t>
  </si>
  <si>
    <t>S-CPRFPGMSX2010 - Platinum Support</t>
  </si>
  <si>
    <t>RightFax Bundle for Microsoft Exchange 2010- Platinum Support</t>
  </si>
  <si>
    <t>S-CPRFPG2400034 - Standard Support</t>
  </si>
  <si>
    <t>RightFax - Partner Demonstration Edition- Standard Support</t>
  </si>
  <si>
    <t>S-CPRFPG2400034 - Platinum Support</t>
  </si>
  <si>
    <t>RightFax - Partner Demonstration Edition- Platinum Support</t>
  </si>
  <si>
    <t>S-CPRFPG2400013 - Standard Support</t>
  </si>
  <si>
    <t>RightFax Enterprise Integration Edition- Partner Demonstration/In House Edition- Standard Support</t>
  </si>
  <si>
    <t>S-CPRFPG2400013 - Platinum Support</t>
  </si>
  <si>
    <t>RightFax Enterprise Integration Edition- Partner Demonstration/In House Edition- Platinum Support</t>
  </si>
  <si>
    <t>S-CPRFSECDOCPRT - Standard Support</t>
  </si>
  <si>
    <t>RightFax Secure Documents Module - Partner Edition- Standard Support</t>
  </si>
  <si>
    <t>S-CPRFSECDOCPRT - Platinum Support</t>
  </si>
  <si>
    <t>RightFax Secure Documents Module - Partner Edition- Platinum Support</t>
  </si>
  <si>
    <t>S-CPRFPG2450007 - Standard Support</t>
  </si>
  <si>
    <t>RightFax Additional Document Delivery Channel- Standard Support</t>
  </si>
  <si>
    <t>S-CPRFPG2450007 - Platinum Support</t>
  </si>
  <si>
    <t>RightFax Additional Document Delivery Channel- Platinum Support</t>
  </si>
  <si>
    <t>S-CPRFPG2FOIPC - Standard Support</t>
  </si>
  <si>
    <t>RightFax Bundle for Microsoft Exchange 2010 - 2 Additional Channels- Standard Support</t>
  </si>
  <si>
    <t>S-CPRFPG2FOIPC - Platinum Support</t>
  </si>
  <si>
    <t>RightFax Bundle for Microsoft Exchange 2010 - 2 Additional Channels- Platinum Support</t>
  </si>
  <si>
    <t>S-CPRF2450003  - Standard Support</t>
  </si>
  <si>
    <t>RightFax FileNet Connector- Standard Support</t>
  </si>
  <si>
    <t>S-CPRF2450003  - Platinum Support</t>
  </si>
  <si>
    <t>RightFax FileNet Connector- Platinum Support</t>
  </si>
  <si>
    <t>S-CPRF2450060 - Standard Support</t>
  </si>
  <si>
    <t>RightFax Connector 2.0 for SharePoint Server 2007- Standard Support</t>
  </si>
  <si>
    <t>S-CPRF2450060 - Platinum Support</t>
  </si>
  <si>
    <t>RightFax Connector 2.0 for SharePoint Server 2007- Platinum Support</t>
  </si>
  <si>
    <t>S-CPRF2800014 - Standard Support</t>
  </si>
  <si>
    <t>RightFax SecureDocs Module- Standard Support</t>
  </si>
  <si>
    <t>S-CPRF2800014 - Platinum Support</t>
  </si>
  <si>
    <t>RightFax SecureDocs Module- Platinum Support</t>
  </si>
  <si>
    <t>S-CPRFPG2450011 - Standard Support</t>
  </si>
  <si>
    <t>RightFax Connector for Lotus Notes - Standard Support</t>
  </si>
  <si>
    <t>S-CPRFPG2450011 - Platinum Support</t>
  </si>
  <si>
    <t>RightFax Connector for Lotus Notes - Platinum Support</t>
  </si>
  <si>
    <t>S-CPRFPG2450012  - Standard Support</t>
  </si>
  <si>
    <t>RightFax Connector for Microsoft Exchange- Standard Support</t>
  </si>
  <si>
    <t>S-CPRFPG2450012  - Platinum Support</t>
  </si>
  <si>
    <t>RightFax Connector for Microsoft Exchange- Platinum Support</t>
  </si>
  <si>
    <t>S-CPRFPG2450013 - Standard Support</t>
  </si>
  <si>
    <t>RightFax PDF Module- Standard Support</t>
  </si>
  <si>
    <t>S-CPRFPG2450013 - Platinum Support</t>
  </si>
  <si>
    <t>RightFax PDF Module- Platinum Support</t>
  </si>
  <si>
    <t>S-CPRFPG2450014 - Standard Support</t>
  </si>
  <si>
    <t>RightFax Web Access Module- Standard Support</t>
  </si>
  <si>
    <t>S-CPRFPG2450014 - Platinum Support</t>
  </si>
  <si>
    <t>RightFax Web Access Module- Platinum Support</t>
  </si>
  <si>
    <t>S-CPRFPG2450015 - Standard Support</t>
  </si>
  <si>
    <t>RightFax Integration Module- Standard Support</t>
  </si>
  <si>
    <t>S-CPRFPG2450015 - Platinum Support</t>
  </si>
  <si>
    <t>RightFax Integration Module- Platinum Support</t>
  </si>
  <si>
    <t>S-CPRFPG2450016 - Standard Support</t>
  </si>
  <si>
    <t>RightFax Connector for SAP- Standard Support</t>
  </si>
  <si>
    <t>S-CPRFPG2450016 - Platinum Support</t>
  </si>
  <si>
    <t>RightFax Connector for SAP- Platinum Support</t>
  </si>
  <si>
    <t>S-CPRFPG2450017 - Standard Support</t>
  </si>
  <si>
    <t>RightFax Business Integration Module- Standard Support</t>
  </si>
  <si>
    <t>S-CPRFPG2450017 - Platinum Support</t>
  </si>
  <si>
    <t>RightFax Business Integration Module- Platinum Support</t>
  </si>
  <si>
    <t>S-CPRFPG2450018 - Standard Support</t>
  </si>
  <si>
    <t>RightFax Shared Services Module- Standard Support</t>
  </si>
  <si>
    <t>S-CPRFPG2450018 - Platinum Support</t>
  </si>
  <si>
    <t>RightFax Shared Services Module- Platinum Support</t>
  </si>
  <si>
    <t>S-CPRFPG2450024 - Standard Support</t>
  </si>
  <si>
    <t>RightFax XML Generator Module- Standard Support</t>
  </si>
  <si>
    <t>S-CPRFPG2450024 - Platinum Support</t>
  </si>
  <si>
    <t>RightFax XML Generator Module- Platinum Support</t>
  </si>
  <si>
    <t>S-CPRF2450022 - Standard Support</t>
  </si>
  <si>
    <t>RightFax Connector 3.0 for Sharp MFP - 1-9 Devices- Standard Support</t>
  </si>
  <si>
    <t>S-CPRF2450022 - Platinum Support</t>
  </si>
  <si>
    <t>RightFax Connector 3.0 for Sharp MFP - 1-9 Devices- Platinum Support</t>
  </si>
  <si>
    <t>S-CPRF2450069 - Standard Support</t>
  </si>
  <si>
    <t>RightFax Connector 3.0 for Sharp MFP - 10-49 Devices- Standard Support</t>
  </si>
  <si>
    <t>S-CPRF2450069 - Platinum Support</t>
  </si>
  <si>
    <t>RightFax Connector 3.0 for Sharp MFP - 10-49 Devices- Platinum Support</t>
  </si>
  <si>
    <t>S-CPRF2450070 - Standard Support</t>
  </si>
  <si>
    <t>RightFax Connector 3.0 for Sharp MFP - 50-499 Devices- Standard Support</t>
  </si>
  <si>
    <t>S-CPRF2450070 - Platinum Support</t>
  </si>
  <si>
    <t>RightFax Connector 3.0 for Sharp MFP - 50-499 Devices- Platinum Support</t>
  </si>
  <si>
    <t>S-CPRF2450071 - Standard Support</t>
  </si>
  <si>
    <t>RightFax Connector 3.0 for Sharp MFP - 500-5,000 Devices- Standard Support</t>
  </si>
  <si>
    <t>S-CPRF2450071 - Platinum Support</t>
  </si>
  <si>
    <t>RightFax Connector 3.0 for Sharp MFP - 500-5,000 Devices- Platinum Support</t>
  </si>
  <si>
    <t>S-CPRF2450023 - Standard Support</t>
  </si>
  <si>
    <t>RightFax Connector 3.0 for Xerox MFP - 1-9 Devices- Standard Support</t>
  </si>
  <si>
    <t>S-CPRF2450023 - Platinum Support</t>
  </si>
  <si>
    <t>RightFax Connector 3.0 for Xerox MFP - 1-9 Devices- Platinum Support</t>
  </si>
  <si>
    <t>S-CPRF2450066 - Standard Support</t>
  </si>
  <si>
    <t>RightFax Connector 3.0 for Xerox MFP - 10-49 Devices- Standard Support</t>
  </si>
  <si>
    <t>S-CPRF2450066 - Platinum Support</t>
  </si>
  <si>
    <t>RightFax Connector 3.0 for Xerox MFP - 10-49 Devices- Platinum Support</t>
  </si>
  <si>
    <t>S-CPRF2450067 - Standard Support</t>
  </si>
  <si>
    <t>RightFax Connector 3.0 for Xerox MFP - 50-499 Devices- Standard Support</t>
  </si>
  <si>
    <t>S-CPRF2450067 - Platinum Support</t>
  </si>
  <si>
    <t>RightFax Connector 3.0 for Xerox MFP - 50-499 Devices- Platinum Support</t>
  </si>
  <si>
    <t>S-CPRF2450068 - Standard Support</t>
  </si>
  <si>
    <t>RightFax Connector 3.0 for Xerox MFP - 500-5,000 Devices- Standard Support</t>
  </si>
  <si>
    <t>S-CPRF2450068 - Platinum Support</t>
  </si>
  <si>
    <t>RightFax Connector 3.0 for Xerox MFP - 500-5,000 Devices- Platinum Support</t>
  </si>
  <si>
    <t>S-CPRF2450098 - Standard Support</t>
  </si>
  <si>
    <t>RightFax Connector 3.0 for Xerox EIP - 1-9 Devices- Standard Support</t>
  </si>
  <si>
    <t>S-CPRF2450098 - Platinum Support</t>
  </si>
  <si>
    <t>RightFax Connector 3.0 for Xerox EIP - 1-9 Devices- Platinum Support</t>
  </si>
  <si>
    <t>S-CPRF2450099 - Standard Support</t>
  </si>
  <si>
    <t>RightFax Connector 3.0 for Xerox EIP - 10-49 Devices- Standard Support</t>
  </si>
  <si>
    <t>S-CPRF2450099 - Platinum Support</t>
  </si>
  <si>
    <t>RightFax Connector 3.0 for Xerox EIP - 10-49 Devices- Platinum Support</t>
  </si>
  <si>
    <t>S-CPRF2450100 - Standard Support</t>
  </si>
  <si>
    <t>RightFax Connector 3.0 for Xerox EIP - 50-499 Devices- Standard Support</t>
  </si>
  <si>
    <t>S-CPRF2450100 - Platinum Support</t>
  </si>
  <si>
    <t>RightFax Connector 3.0 for Xerox EIP - 50-499 Devices- Platinum Support</t>
  </si>
  <si>
    <t>S-CPRF2450101 - Standard Support</t>
  </si>
  <si>
    <t>RightFax Connector 3.0 for Xerox EIP - 500- 5,000 Devices- Standard Support</t>
  </si>
  <si>
    <t>S-CPRF2450101 - Platinum Support</t>
  </si>
  <si>
    <t>RightFax Connector 3.0 for Xerox EIP - 500- 5,000 Devices- Platinum Support</t>
  </si>
  <si>
    <t>S-CPRF2450092 - Standard Support</t>
  </si>
  <si>
    <t>RightFax Connector 3.0 for Ricoh ESA MFP - 1- 9 Devices- Standard Support</t>
  </si>
  <si>
    <t>S-CPRF2450092 - Platinum Support</t>
  </si>
  <si>
    <t>RightFax Connector 3.0 for Ricoh ESA MFP - 1- 9 Devices- Platinum Support</t>
  </si>
  <si>
    <t>S-CPRF2450093 - Standard Support</t>
  </si>
  <si>
    <t>RightFax Connector 3.0 for Ricoh ESA MFP - 10-49 Devices- Standard Support</t>
  </si>
  <si>
    <t>S-CPRF2450093 - Platinum Support</t>
  </si>
  <si>
    <t>RightFax Connector 3.0 for Ricoh ESA MFP - 10-49 Devices- Platinum Support</t>
  </si>
  <si>
    <t>S-CPRF2450094 - Standard Support</t>
  </si>
  <si>
    <t>RightFax Connector 3.0 for Ricoh ESA MFP - 50-499 Devices- Standard Support</t>
  </si>
  <si>
    <t>S-CPRF2450094 - Platinum Support</t>
  </si>
  <si>
    <t>RightFax Connector 3.0 for Ricoh ESA MFP - 50-499 Devices- Platinum Support</t>
  </si>
  <si>
    <t>S-CPRF2450095 - Standard Support</t>
  </si>
  <si>
    <t>RightFax Connector 3.0 for Ricoh ESA MFP - 500-5,000 Devices- Standard Support</t>
  </si>
  <si>
    <t>S-CPRF2450095 - Platinum Support</t>
  </si>
  <si>
    <t>RightFax Connector 3.0 for Ricoh ESA MFP - 500-5,000 Devices- Platinum Support</t>
  </si>
  <si>
    <t>S-CPRFSMTP19  - Standard Support</t>
  </si>
  <si>
    <t>RightFax SMTP Connector for MFPs, 1-9 MFPs- Standard Support</t>
  </si>
  <si>
    <t>S-CPRFSMTP19  - Platinum Support</t>
  </si>
  <si>
    <t>RightFax SMTP Connector for MFPs, 1-9 MFPs- Platinum Support</t>
  </si>
  <si>
    <t>S-CPRFSMTP1049 - Standard Support</t>
  </si>
  <si>
    <t>RightFax SMTP Connector for MFPs, 10-49 MFPs- Standard Support</t>
  </si>
  <si>
    <t>S-CPRFSMTP1049 - Platinum Support</t>
  </si>
  <si>
    <t>RightFax SMTP Connector for MFPs, 10-49 MFPs- Platinum Support</t>
  </si>
  <si>
    <t>S-CPRFSMTP50499 - Standard Support</t>
  </si>
  <si>
    <t>RightFax SMTP Connector for MFPs, 50-499 MFPs- Standard Support</t>
  </si>
  <si>
    <t>S-CPRFSMTP50499 - Platinum Support</t>
  </si>
  <si>
    <t>RightFax SMTP Connector for MFPs, 50-499 MFPs- Platinum Support</t>
  </si>
  <si>
    <t>S-CPRFSMTP500 - Standard Support</t>
  </si>
  <si>
    <t>RightFax SMTP Connector for MFPs, 500+MFPs- Standard Support</t>
  </si>
  <si>
    <t>S-CPRFSMTP500 - Platinum Support</t>
  </si>
  <si>
    <t>RightFax SMTP Connector for MFPs, 500+MFPs- Platinum Support</t>
  </si>
  <si>
    <t>S-CPRF2450077  - Standard Support</t>
  </si>
  <si>
    <t>RightFax XML Connector for MFPs, 1-9 MFPs- Standard Support</t>
  </si>
  <si>
    <t>S-CPRF2450077  - Platinum Support</t>
  </si>
  <si>
    <t>RightFax XML Connector for MFPs, 1-9 MFPs- Platinum Support</t>
  </si>
  <si>
    <t>S-CPRF2450078  - Standard Support</t>
  </si>
  <si>
    <t>RightFax XML Connector for MFPs, 10-49 MFPs- Standard Support</t>
  </si>
  <si>
    <t>S-CPRF2450078  - Platinum Support</t>
  </si>
  <si>
    <t>RightFax XML Connector for MFPs, 10-49 MFPs- Platinum Support</t>
  </si>
  <si>
    <t>S-CPRF2450079 - Standard Support</t>
  </si>
  <si>
    <t>RightFax XML Connector for MFPs, 50-499 MFPs- Standard Support</t>
  </si>
  <si>
    <t>S-CPRF2450079 - Platinum Support</t>
  </si>
  <si>
    <t>RightFax XML Connector for MFPs, 50-499 MFPs- Platinum Support</t>
  </si>
  <si>
    <t>S-CPRF2450080  - Standard Support</t>
  </si>
  <si>
    <t>RightFax XML Connector for MFPs, 500+ MFPs- Standard Support</t>
  </si>
  <si>
    <t>S-CPRF2450080  - Platinum Support</t>
  </si>
  <si>
    <t>RightFax XML Connector for MFPs, 500+ MFPs- Platinum Support</t>
  </si>
  <si>
    <t>S-CPRF2450086 - Standard Support</t>
  </si>
  <si>
    <t>RightFax Connector 1.3 for Canon MEAP MFP - 1-9 Devices- Standard Support</t>
  </si>
  <si>
    <t>S-CPRF2450086 - Platinum Support</t>
  </si>
  <si>
    <t>RightFax Connector 1.3 for Canon MEAP MFP - 1-9 Devices- Platinum Support</t>
  </si>
  <si>
    <t>S-CPRF2450087 - Standard Support</t>
  </si>
  <si>
    <t>RightFax Connector 1.3 for Canon MEAP MFP - 10-49 Devices- Standard Support</t>
  </si>
  <si>
    <t>S-CPRF2450087 - Platinum Support</t>
  </si>
  <si>
    <t>RightFax Connector 1.3 for Canon MEAP MFP - 10-49 Devices- Platinum Support</t>
  </si>
  <si>
    <t>S-CPRF2450088 - Standard Support</t>
  </si>
  <si>
    <t>RightFax Connector 1.3 for Canon MEAP MFP - 50-499 Devices- Standard Support</t>
  </si>
  <si>
    <t>S-CPRF2450088 - Platinum Support</t>
  </si>
  <si>
    <t>RightFax Connector 1.3 for Canon MEAP MFP - 50-499 Devices- Platinum Support</t>
  </si>
  <si>
    <t>S-CPRF2450089 - Standard Support</t>
  </si>
  <si>
    <t>RightFax Connector 1.3 for Canon MEAP MFP - 500+ Devices- Standard Support</t>
  </si>
  <si>
    <t>S-CPRF2450089 - Platinum Support</t>
  </si>
  <si>
    <t>RightFax Connector 1.3 for Canon MEAP MFP - 500+ Devices- Platinum Support</t>
  </si>
  <si>
    <t>S-CPRF2450021 - Standard Support</t>
  </si>
  <si>
    <t>RightFax Connector 3.0 for Hewlett Packard MFP - 1-9 Devices- Standard Support</t>
  </si>
  <si>
    <t>S-CPRF2450021 - Platinum Support</t>
  </si>
  <si>
    <t>RightFax Connector 3.0 for Hewlett Packard MFP - 1-9 Devices- Platinum Support</t>
  </si>
  <si>
    <t>S-CPRF2450063 - Standard Support</t>
  </si>
  <si>
    <t>RightFax Connector 3.0 for Hewlett Packard MFP - 10-49 Devices- Standard Support</t>
  </si>
  <si>
    <t>S-CPRF2450063 - Platinum Support</t>
  </si>
  <si>
    <t>RightFax Connector 3.0 for Hewlett Packard MFP - 10-49 Devices- Platinum Support</t>
  </si>
  <si>
    <t>S-CPRF2450064 - Standard Support</t>
  </si>
  <si>
    <t>RightFax Connector 3.0 for Hewlett Packard MFP - 50-499 Devices- Standard Support</t>
  </si>
  <si>
    <t>S-CPRF2450064 - Platinum Support</t>
  </si>
  <si>
    <t>RightFax Connector 3.0 for Hewlett Packard MFP - 50-499 Devices- Platinum Support</t>
  </si>
  <si>
    <t>S-CPRF2450065 - Standard Support</t>
  </si>
  <si>
    <t>RightFax Connector 3.0 for Hewlett Packard MFP - 500-5,000 Devices- Standard Support</t>
  </si>
  <si>
    <t>S-CPRF2450065 - Platinum Support</t>
  </si>
  <si>
    <t>RightFax Connector 3.0 for Hewlett Packard MFP - 500-5,000 Devices- Platinum Support</t>
  </si>
  <si>
    <t>S-CPRF2450025 - Standard Support</t>
  </si>
  <si>
    <t>RightFax Connector 3.0 for Konica Minolta MFP - 1-9 Devices- Standard Support</t>
  </si>
  <si>
    <t>S-CPRF2450025 - Platinum Support</t>
  </si>
  <si>
    <t>RightFax Connector 3.0 for Konica Minolta MFP - 1-9 Devices- Platinum Support</t>
  </si>
  <si>
    <t>S-CPRF2450072 - Standard Support</t>
  </si>
  <si>
    <t>RightFax Connector 3.0 for Konica Minolta MFP - 10-49 Devices- Standard Support</t>
  </si>
  <si>
    <t>S-CPRF2450072 - Platinum Support</t>
  </si>
  <si>
    <t>RightFax Connector 3.0 for Konica Minolta MFP - 10-49 Devices- Platinum Support</t>
  </si>
  <si>
    <t>S-CPRF2450073 - Standard Support</t>
  </si>
  <si>
    <t>RightFax Connector 3.0 for Konica Minolta MFP - 50-499 Devices- Standard Support</t>
  </si>
  <si>
    <t>S-CPRF2450073 - Platinum Support</t>
  </si>
  <si>
    <t>RightFax Connector 3.0 for Konica Minolta MFP - 50-499 Devices- Platinum Support</t>
  </si>
  <si>
    <t>S-CPRF2450074 - Standard Support</t>
  </si>
  <si>
    <t>RightFax Connector 3.0 for Konica Minolta MFP - 500-5,000 Devices- Standard Support</t>
  </si>
  <si>
    <t>S-CPRF2450074 - Platinum Support</t>
  </si>
  <si>
    <t>RightFax Connector 3.0 for Konica Minolta MFP - 500-5,000 Devices- Platinum Support</t>
  </si>
  <si>
    <t>S-CPRFPG2400015  - Standard Support</t>
  </si>
  <si>
    <t>RightFax Business Server - Redundant- Standard Support</t>
  </si>
  <si>
    <t>S-CPRFPG2400015  - Platinum Support</t>
  </si>
  <si>
    <t>RightFax Business Server - Redundant- Platinum Support</t>
  </si>
  <si>
    <t>S-CPRFPG2400016  - Standard Support</t>
  </si>
  <si>
    <t>RightFax Enterprise Server - Redundant- Standard Support</t>
  </si>
  <si>
    <t>S-CPRFPG2400016  - Platinum Support</t>
  </si>
  <si>
    <t>RightFax Enterprise Server - Redundant- Platinum Support</t>
  </si>
  <si>
    <t>S-CPRFPG2400017  - Standard Support</t>
  </si>
  <si>
    <t>RightFax Enterprise Suite - Redundant- Standard Support</t>
  </si>
  <si>
    <t>S-CPRFPG2400017  - Platinum Support</t>
  </si>
  <si>
    <t>RightFax Enterprise Suite - Redundant- Platinum Support</t>
  </si>
  <si>
    <t>S-CPRFPG2400018 - Standard Support</t>
  </si>
  <si>
    <t>RightFax Enterprise Integration Server - Redundant- Standard Support</t>
  </si>
  <si>
    <t>S-CPRFPG2400018 - Platinum Support</t>
  </si>
  <si>
    <t>RightFax Enterprise Integration Server - Redundant- Platinum Support</t>
  </si>
  <si>
    <t>S-CPRF2450006  - Standard Support</t>
  </si>
  <si>
    <t>RightFax FileNet Connector - Redundant - Standard Support</t>
  </si>
  <si>
    <t>S-CPRF2450006  - Platinum Support</t>
  </si>
  <si>
    <t>RightFax FileNet Connector - Redundant - Platinum Support</t>
  </si>
  <si>
    <t>S-CPRF2450085 - Standard Support</t>
  </si>
  <si>
    <t>RightFax Connector 2.0 for SharePoint Server 2007 - Redundant- Standard Support</t>
  </si>
  <si>
    <t>S-CPRF2450085 - Platinum Support</t>
  </si>
  <si>
    <t>RightFax Connector 2.0 for SharePoint Server 2007 - Redundant- Platinum Support</t>
  </si>
  <si>
    <t>S-CPRFPG2450030 - Standard Support</t>
  </si>
  <si>
    <t>Additional Document Delivery Channel - Redundant- Standard Support</t>
  </si>
  <si>
    <t>S-CPRFPG2450030 - Platinum Support</t>
  </si>
  <si>
    <t>Additional Document Delivery Channel - Redundant- Platinum Support</t>
  </si>
  <si>
    <t>S-CPRFPG2450032 - Standard Support</t>
  </si>
  <si>
    <t>RightFax Connector for Lotus Notes - Redundant- Standard Support</t>
  </si>
  <si>
    <t>S-CPRFPG2450032 - Platinum Support</t>
  </si>
  <si>
    <t>RightFax Connector for Lotus Notes - Redundant- Platinum Support</t>
  </si>
  <si>
    <t>S-CPRFPG2450033 - Standard Support</t>
  </si>
  <si>
    <t>RightFax Connector for Microsoft Exchange - Redundant- Standard Support</t>
  </si>
  <si>
    <t>S-CPRFPG2450033 - Platinum Support</t>
  </si>
  <si>
    <t>RightFax Connector for Microsoft Exchange - Redundant- Platinum Support</t>
  </si>
  <si>
    <t>S-CPRFPG2450034 - Standard Support</t>
  </si>
  <si>
    <t>RightFax PDF Module - Redundant - Standard Support</t>
  </si>
  <si>
    <t>S-CPRFPG2450034 - Platinum Support</t>
  </si>
  <si>
    <t>RightFax PDF Module - Redundant - Platinum Support</t>
  </si>
  <si>
    <t>S-CPRFPG2450035  - Standard Support</t>
  </si>
  <si>
    <t>RightFax Web Access Module - Redundant- Standard Support</t>
  </si>
  <si>
    <t>S-CPRFPG2450035  - Platinum Support</t>
  </si>
  <si>
    <t>RightFax Web Access Module - Redundant- Platinum Support</t>
  </si>
  <si>
    <t>S-CPRFPG2450036   - Standard Support</t>
  </si>
  <si>
    <t>RightFax Integration Module - Redundant- Standard Support</t>
  </si>
  <si>
    <t>S-CPRFPG2450036   - Platinum Support</t>
  </si>
  <si>
    <t>RightFax Integration Module - Redundant- Platinum Support</t>
  </si>
  <si>
    <t>S-CPRFPG2450037 - Standard Support</t>
  </si>
  <si>
    <t>RightFax Connector for SAP - Redundant - Standard Support</t>
  </si>
  <si>
    <t>S-CPRFPG2450037 - Platinum Support</t>
  </si>
  <si>
    <t>RightFax Connector for SAP - Redundant - Platinum Support</t>
  </si>
  <si>
    <t>S-CPRFPG2450038 - Standard Support</t>
  </si>
  <si>
    <t>RightFax Business Integration Module - Redundant- Standard Support</t>
  </si>
  <si>
    <t>S-CPRFPG2450038 - Platinum Support</t>
  </si>
  <si>
    <t>RightFax Business Integration Module - Redundant- Platinum Support</t>
  </si>
  <si>
    <t>S-CPRFPG2450040  - Standard Support</t>
  </si>
  <si>
    <t>RightFax Shared Services Module - Redundant- Standard Support</t>
  </si>
  <si>
    <t>S-CPRFPG2450040  - Platinum Support</t>
  </si>
  <si>
    <t>RightFax Shared Services Module - Redundant- Platinum Support</t>
  </si>
  <si>
    <t>S-CPRFPG2450045 - Standard Support</t>
  </si>
  <si>
    <t>RightFax XML Generator - Redundant - Standard Support</t>
  </si>
  <si>
    <t>S-CPRFPG2450045 - Platinum Support</t>
  </si>
  <si>
    <t>RightFax XML Generator - Redundant - Platinum Support</t>
  </si>
  <si>
    <t>S-CPRF2800015  - Standard Support</t>
  </si>
  <si>
    <t>RightFax SecureDocs Module - Redundant- Standard Support</t>
  </si>
  <si>
    <t>S-CPRF2800015  - Platinum Support</t>
  </si>
  <si>
    <t>RightFax SecureDocs Module - Redundant- Platinum Support</t>
  </si>
  <si>
    <t>S-CPRFPG2420001 - Standard Support</t>
  </si>
  <si>
    <t>RightFax Business Server to RightFax Enterprise Server- Standard Support</t>
  </si>
  <si>
    <t>S-CPRFPG2420001 - Platinum Support</t>
  </si>
  <si>
    <t>RightFax Business Server to RightFax Enterprise Server- Platinum Support</t>
  </si>
  <si>
    <t>S-CPRFPG2420002 - Standard Support</t>
  </si>
  <si>
    <t>RightFax Business Server to RightFax Enterprise Suite- Standard Support</t>
  </si>
  <si>
    <t>S-CPRFPG2420002 - Platinum Support</t>
  </si>
  <si>
    <t>RightFax Business Server to RightFax Enterprise Suite- Platinum Support</t>
  </si>
  <si>
    <t>S-CPRFPG2420003 - Standard Support</t>
  </si>
  <si>
    <t>RightFax Business Server to RightFax Enterprise Integration- Standard Support</t>
  </si>
  <si>
    <t>S-CPRFPG2420003 - Platinum Support</t>
  </si>
  <si>
    <t>RightFax Business Server to RightFax Enterprise Integration- Platinum Support</t>
  </si>
  <si>
    <t>S-CPRFPG2420004 - Standard Support</t>
  </si>
  <si>
    <t>RightFax Enterprise Server to RightFax Enterprise Suite- Standard Support</t>
  </si>
  <si>
    <t>S-CPRFPG2420004 - Platinum Support</t>
  </si>
  <si>
    <t>RightFax Enterprise Server to RightFax Enterprise Suite- Platinum Support</t>
  </si>
  <si>
    <t>S-CPRFPG2420005 - Standard Support</t>
  </si>
  <si>
    <t>RightFax Enterprise Server to RightFax Enterprise Integration- Standard Support</t>
  </si>
  <si>
    <t>S-CPRFPG2420005 - Platinum Support</t>
  </si>
  <si>
    <t>RightFax Enterprise Server to RightFax Enterprise Integration- Platinum Support</t>
  </si>
  <si>
    <t>S-CPRFPG2420006 - Standard Support</t>
  </si>
  <si>
    <t>RightFax Enterprise Suite to RightFax Enterprise Integration- Standard Support</t>
  </si>
  <si>
    <t>S-CPRFPG2420006 - Platinum Support</t>
  </si>
  <si>
    <t>RightFax Enterprise Suite to RightFax Enterprise Integration- Platinum Support</t>
  </si>
  <si>
    <t>S-CPRFPG2420008 - Standard Support</t>
  </si>
  <si>
    <t>RightFax Business Server to RightFax Enterprise Server - Redundant- Standard Support</t>
  </si>
  <si>
    <t>S-CPRFPG2420008 - Platinum Support</t>
  </si>
  <si>
    <t>RightFax Business Server to RightFax Enterprise Server - Redundant- Platinum Support</t>
  </si>
  <si>
    <t>S-CPRFPG2420009 - Standard Support</t>
  </si>
  <si>
    <t>RightFax Business Server to RightFax Enterprise Suite - Redundant- Standard Support</t>
  </si>
  <si>
    <t>S-CPRFPG2420009 - Platinum Support</t>
  </si>
  <si>
    <t>RightFax Business Server to RightFax Enterprise Suite - Redundant- Platinum Support</t>
  </si>
  <si>
    <t>S-CPRFPG2420010 - Standard Support</t>
  </si>
  <si>
    <t>RightFax Business Server to RightFax Enterprise Integration Server - Redundant- Standard Support</t>
  </si>
  <si>
    <t>S-CPRFPG2420010 - Platinum Support</t>
  </si>
  <si>
    <t>RightFax Business Server to RightFax Enterprise Integration Server - Redundant- Platinum Support</t>
  </si>
  <si>
    <t>S-CPRFPG2420011 - Standard Support</t>
  </si>
  <si>
    <t>RightFax Enterprise Server to RightFax Enterprise Suite - Redundant- Standard Support</t>
  </si>
  <si>
    <t>S-CPRFPG2420011 - Platinum Support</t>
  </si>
  <si>
    <t>RightFax Enterprise Server to RightFax Enterprise Suite - Redundant- Platinum Support</t>
  </si>
  <si>
    <t>S-CPRFPG2420012 - Standard Support</t>
  </si>
  <si>
    <t>RightFax Enterprise Server to RightFax Enterprise Integration Server - Redundant- Standard Support</t>
  </si>
  <si>
    <t>S-CPRFPG2420012 - Platinum Support</t>
  </si>
  <si>
    <t>RightFax Enterprise Server to RightFax Enterprise Integration Server - Redundant- Platinum Support</t>
  </si>
  <si>
    <t>S-CPRFPG2420013 - Standard Support</t>
  </si>
  <si>
    <t>RightFax Enterprise Suite to RightFax Enterprise Integration Server - Redundant- Standard Support</t>
  </si>
  <si>
    <t>S-CPRFPG2420013 - Platinum Support</t>
  </si>
  <si>
    <t>RightFax Enterprise Suite to RightFax Enterprise Integration Server - Redundant- Platinum Support</t>
  </si>
  <si>
    <t>S-CPFG2100D1-N- Standard Support</t>
  </si>
  <si>
    <t>Fax Gateway 2100, Modular Fax Gateway, 1 T1/E1/J1 SIP/T.38 - North America Edition- Standard Support</t>
  </si>
  <si>
    <t>S-CPFG2100D1-N- Platinum Support</t>
  </si>
  <si>
    <t>Fax Gateway 2100, Modular Fax Gateway, 1 T1/E1/J1 SIP/T.38 - North America Edition- Platinum Support</t>
  </si>
  <si>
    <t>S-CPFG2100D2-N - Standard Support</t>
  </si>
  <si>
    <t>Fax Gateway 2100, Modular Fax Gateway, 2 T1/E1/J1 SIP/T.38 - North America Edition- Standard Support</t>
  </si>
  <si>
    <t>S-CPFG2100D2-N - Platinum Support</t>
  </si>
  <si>
    <t>Fax Gateway 2100, Modular Fax Gateway, 2 T1/E1/J1 SIP/T.38 - North America Edition- Platinum Support</t>
  </si>
  <si>
    <t>S-CPFG2100D4-N - Standard Support</t>
  </si>
  <si>
    <t>Fax Gateway 2100, Modular Fax Gateway, 4 T1/E1/J1 SIP/T.38 - North America Edition- Standard Support</t>
  </si>
  <si>
    <t>S-CPFG2100D4-N - Platinum Support</t>
  </si>
  <si>
    <t>Fax Gateway 2100, Modular Fax Gateway, 4 T1/E1/J1 SIP/T.38 - North America Edition- Platinum Support</t>
  </si>
  <si>
    <t>S-CPFG304A4-N - Standard Support</t>
  </si>
  <si>
    <t>Fax Gateway 304, Analog Fax Gateway, 4 FXO SIP/T.38 - North America Edition- Standard Support</t>
  </si>
  <si>
    <t>S-CPFG304A4-N - Platinum Support</t>
  </si>
  <si>
    <t>Fax Gateway 304, Analog Fax Gateway, 4 FXO SIP/T.38 - North America Edition- Platinum Support</t>
  </si>
  <si>
    <t>S-CPFG308A8-N - Standard Support</t>
  </si>
  <si>
    <t>Fax Gateway 308, Analog Fax Gateway, 8 FXO SIP/T.38 - North America Edition- Standard Support</t>
  </si>
  <si>
    <t>S-CPFG308A8-N - Platinum Support</t>
  </si>
  <si>
    <t>Fax Gateway 308, Analog Fax Gateway, 8 FXO SIP/T.38 - North America Edition- Platinum Support</t>
  </si>
  <si>
    <t>S-CPFG904B4-N - Standard Support</t>
  </si>
  <si>
    <t>Fax Gateway 904, ISDN Fax Gateway, 4 BRI SIP/T.38 - North America Edition- Standard Support</t>
  </si>
  <si>
    <t>S-CPFG904B4-N - Platinum Support</t>
  </si>
  <si>
    <t>Fax Gateway 904, ISDN Fax Gateway, 4 BRI SIP/T.38 - North America Edition- Platinum Support</t>
  </si>
  <si>
    <t>S-CPFG908B8-N - Standard Support</t>
  </si>
  <si>
    <t>Fax Gateway 908, ISDN Fax Gateway, 8 BRI SIP/T.38 - North America Edition- Standard Support</t>
  </si>
  <si>
    <t>S-CPFG908B8-N - Platinum Support</t>
  </si>
  <si>
    <t>Fax Gateway 908, ISDN Fax Gateway, 8 BRI SIP/T.38 - North America Edition- Platinum Support</t>
  </si>
  <si>
    <t>S-CPFGAVQFXS - Standard Support</t>
  </si>
  <si>
    <t>Fax Gateway 2100, Modular Fax Gateway Analog Voice Module - Quad FXS- Standard Support</t>
  </si>
  <si>
    <t>S-CPFGAVQFXS - Platinum Support</t>
  </si>
  <si>
    <t>Fax Gateway 2100, Modular Fax Gateway Analog Voice Module - Quad FXS- Platinum Support</t>
  </si>
  <si>
    <t>S-CPFGKPSAC - Standard Support</t>
  </si>
  <si>
    <t>Fax Gateway 2100, Modular Fax Gateway Spare part - AC power supply- Standard Support</t>
  </si>
  <si>
    <t>S-CPFGKPSAC - Platinum Support</t>
  </si>
  <si>
    <t>Fax Gateway 2100, Modular Fax Gateway Spare part - AC power supply- Platinum Support</t>
  </si>
  <si>
    <t>S-CPFGVM1SPAN - Standard Support</t>
  </si>
  <si>
    <t>Fax Gateway 2100, Modular Fax Gateway Spare part - Digital Voice Module - Single span- Standard Support</t>
  </si>
  <si>
    <t>S-CPFGVM1SPAN - Platinum Support</t>
  </si>
  <si>
    <t>Fax Gateway 2100, Modular Fax Gateway Spare part - Digital Voice Module - Single span- Platinum Support</t>
  </si>
  <si>
    <t>S-CPFGVM2SPAN - Standard Support</t>
  </si>
  <si>
    <t>Fax Gateway 2100, Modular Fax Gateway Spare part - Digital Voice Module - Dual span- Standard Support</t>
  </si>
  <si>
    <t>S-CPFGVM2SPAN - Platinum Support</t>
  </si>
  <si>
    <t>Fax Gateway 2100, Modular Fax Gateway Spare part - Digital Voice Module - Dual span- Platinum Support</t>
  </si>
  <si>
    <t>S-CPFGVM4FXO - Standard Support</t>
  </si>
  <si>
    <t>Fax Gateway 2100, Modular Fax Gateway Spare part - Analog Voice Module - Quad FXO- Standard Support</t>
  </si>
  <si>
    <t>S-CPFGVM4FXO - Platinum Support</t>
  </si>
  <si>
    <t>Fax Gateway 2100, Modular Fax Gateway Spare part - Analog Voice Module - Quad FXO- Platinum Support</t>
  </si>
  <si>
    <t>S-CPFG10R11X - Standard Support</t>
  </si>
  <si>
    <t>Fax Gateway Model 304 and 308 Rack Mount Shelf- Standard Support</t>
  </si>
  <si>
    <t>S-CPFG10R11X - Platinum Support</t>
  </si>
  <si>
    <t>Fax Gateway Model 304 and 308 Rack Mount Shelf- Platinum Support</t>
  </si>
  <si>
    <t>S-CPFG2100D1-H - Standard Support</t>
  </si>
  <si>
    <t>Fax Gateway 2100, Modular Fax Gateway, 1 T1/E1/J1 SIP/T.38 - Advanced Replacement New Sale- 1 Year- Standard Support</t>
  </si>
  <si>
    <t>S-CPFG2100D1-H - Platinum Support</t>
  </si>
  <si>
    <t>Fax Gateway 2100, Modular Fax Gateway, 1 T1/E1/J1 SIP/T.38 - Advanced Replacement New Sale- 1 Year- Platinum Support</t>
  </si>
  <si>
    <t>S-CPFG2100D1-HR - Standard Support</t>
  </si>
  <si>
    <t>Fax Gateway 2100, Modular Fax Gateway, 1 T1/E1/J1 SIP/T.38 - Advanced Replacement Renewal - 1 Year- Standard Support</t>
  </si>
  <si>
    <t>S-CPFG2100D1-HR - Platinum Support</t>
  </si>
  <si>
    <t>Fax Gateway 2100, Modular Fax Gateway, 1 T1/E1/J1 SIP/T.38 - Advanced Replacement Renewal - 1 Year- Platinum Support</t>
  </si>
  <si>
    <t>S-CPFG2100D1-M - Standard Support</t>
  </si>
  <si>
    <t>Fax Gateway 2100, Modular Fax Gateway, 1 T1/E1/J1 - Standard Support new sale- Standard Support</t>
  </si>
  <si>
    <t>S-CPFG2100D1-M - Platinum Support</t>
  </si>
  <si>
    <t>Fax Gateway 2100, Modular Fax Gateway, 1 T1/E1/J1 - Standard Support new sale- Platinum Support</t>
  </si>
  <si>
    <t>S-CPFG2100D1-MR- Standard Support</t>
  </si>
  <si>
    <t>Fax Gateway 2100, Modular Fax Gateway, 1 T1/E1/J1 - Standard Support Renewal- Standard Support</t>
  </si>
  <si>
    <t>S-CPFG2100D1-MR- Platinum Support</t>
  </si>
  <si>
    <t>Fax Gateway 2100, Modular Fax Gateway, 1 T1/E1/J1 - Standard Support Renewal- Platinum Support</t>
  </si>
  <si>
    <t>S-CPFG2100D2-H - Standard Support</t>
  </si>
  <si>
    <t>Fax Gateway 2100, Modular Fax Gateway, 2 T1/E1/J1 SIP/T.38 - Advanced Replacement New Sale - 1 Year- Standard Support</t>
  </si>
  <si>
    <t>S-CPFG2100D2-H - Platinum Support</t>
  </si>
  <si>
    <t>Fax Gateway 2100, Modular Fax Gateway, 2 T1/E1/J1 SIP/T.38 - Advanced Replacement New Sale - 1 Year- Platinum Support</t>
  </si>
  <si>
    <t>S-CPFG2100D2-HR - Standard Support</t>
  </si>
  <si>
    <t>Fax Gateway 2100, Modular Fax Gateway, 2 T1/E1/J1 SIP/T.38 - Advanced Replacement Renewal - 1 Year- Standard Support</t>
  </si>
  <si>
    <t>S-CPFG2100D2-HR - Platinum Support</t>
  </si>
  <si>
    <t>Fax Gateway 2100, Modular Fax Gateway, 2 T1/E1/J1 SIP/T.38 - Advanced Replacement Renewal - 1 Year- Platinum Support</t>
  </si>
  <si>
    <t>S-CPFG2100D2-M - Standard Support</t>
  </si>
  <si>
    <t>Fax Gateway 2100, Modular Fax Gateway, 2 T1/E1/J1 - Standard Support New Sale- Standard Support</t>
  </si>
  <si>
    <t>S-CPFG2100D2-M - Platinum Support</t>
  </si>
  <si>
    <t>Fax Gateway 2100, Modular Fax Gateway, 2 T1/E1/J1 - Standard Support New Sale- Platinum Support</t>
  </si>
  <si>
    <t>S-CPFG2100D2-MR - Standard Support</t>
  </si>
  <si>
    <t>Fax Gateway 2100, Modular Fax Gateway, 2 T1/E1/J1 - Standard Support Renewal- Standard Support</t>
  </si>
  <si>
    <t>S-CPFG2100D2-MR - Platinum Support</t>
  </si>
  <si>
    <t>Fax Gateway 2100, Modular Fax Gateway, 2 T1/E1/J1 - Standard Support Renewal- Platinum Support</t>
  </si>
  <si>
    <t>S-CPFG2100D4-H - Standard Support</t>
  </si>
  <si>
    <t>Fax Gateway 2100, Modular Fax Gateway, 4 T1/E1/J1 SIP/T.38 - Advanced Replacement New Sale- 1 Year- Standard Support</t>
  </si>
  <si>
    <t>S-CPFG2100D4-H - Platinum Support</t>
  </si>
  <si>
    <t>Fax Gateway 2100, Modular Fax Gateway, 4 T1/E1/J1 SIP/T.38 - Advanced Replacement New Sale- 1 Year- Platinum Support</t>
  </si>
  <si>
    <t>S-CPFG2100D4-HR - Standard Support</t>
  </si>
  <si>
    <t>Fax Gateway 2100, Modular Fax Gateway, 4 T1/E1/J1 SIP/T.38 - Advanced Replacement Renewal - 1 Year- Standard Support</t>
  </si>
  <si>
    <t>S-CPFG2100D4-HR - Platinum Support</t>
  </si>
  <si>
    <t>Fax Gateway 2100, Modular Fax Gateway, 4 T1/E1/J1 SIP/T.38 - Advanced Replacement Renewal - 1 Year- Platinum Support</t>
  </si>
  <si>
    <t>S-CPFG2100D4-M - Standard Support</t>
  </si>
  <si>
    <t>Fax Gateway 2100, Modular Fax Gateway, 4 T1/E1/J1 SIP/T.38 - Standard Support New Sale- Standard Support</t>
  </si>
  <si>
    <t>S-CPFG2100D4-M - Platinum Support</t>
  </si>
  <si>
    <t>Fax Gateway 2100, Modular Fax Gateway, 4 T1/E1/J1 SIP/T.38 - Standard Support New Sale- Platinum Support</t>
  </si>
  <si>
    <t>S-CPFG2100D4-MR - Standard Support</t>
  </si>
  <si>
    <t>Fax Gateway 2100, Modular Fax Gateway, 4 T1/E1/J1 SIP/T.38 - Standard Support Renewal- Standard Support</t>
  </si>
  <si>
    <t>S-CPFG2100D4-MR - Platinum Support</t>
  </si>
  <si>
    <t>Fax Gateway 2100, Modular Fax Gateway, 4 T1/E1/J1 SIP/T.38 - Standard Support Renewal- Platinum Support</t>
  </si>
  <si>
    <t>S-CPFG304A4-H - Standard Support</t>
  </si>
  <si>
    <t>Fax Gateway 304, Analog Fax Gateway, 4 FXO SIP/T.38 - Advanced Replacement New Sale- 1 Year- Standard Support</t>
  </si>
  <si>
    <t>S-CPFG304A4-H - Platinum Support</t>
  </si>
  <si>
    <t>Fax Gateway 304, Analog Fax Gateway, 4 FXO SIP/T.38 - Advanced Replacement New Sale- 1 Year- Platinum Support</t>
  </si>
  <si>
    <t>S-CPFG304A4-HR - Standard Support</t>
  </si>
  <si>
    <t>Fax Gateway 304, Analog Fax Gateway, 4 FXO SIP/T.38 - Advanced Replacement Renewal - 1 Year- Standard Support</t>
  </si>
  <si>
    <t>S-CPFG304A4-HR - Platinum Support</t>
  </si>
  <si>
    <t>Fax Gateway 304, Analog Fax Gateway, 4 FXO SIP/T.38 - Advanced Replacement Renewal - 1 Year- Platinum Support</t>
  </si>
  <si>
    <t>S-CPFG304A4-M - Standard Support</t>
  </si>
  <si>
    <t>Fax Gateway 304, Analog Fax Gateway, 4 FXO SIP/T.38 - Standard Support New Sale- Standard Support</t>
  </si>
  <si>
    <t>S-CPFG304A4-M - Platinum Support</t>
  </si>
  <si>
    <t>Fax Gateway 304, Analog Fax Gateway, 4 FXO SIP/T.38 - Standard Support New Sale- Platinum Support</t>
  </si>
  <si>
    <t>S-CPFG304A4-MR- Standard Support</t>
  </si>
  <si>
    <t>Fax Gateway 304, Analog Fax Gateway, 4 FXO SIP/T.38 - Standard Support Renewal- Standard Support</t>
  </si>
  <si>
    <t>S-CPFG304A4-MR- Platinum Support</t>
  </si>
  <si>
    <t>Fax Gateway 304, Analog Fax Gateway, 4 FXO SIP/T.38 - Standard Support Renewal- Platinum Support</t>
  </si>
  <si>
    <t>S-CPFG308A8-H - Standard Support</t>
  </si>
  <si>
    <t>Fax Gateway 308, Analog Fax Gateway, 8 FXO SIP/T.38 - Advanced Replacement New Sale- 1 Year- Standard Support</t>
  </si>
  <si>
    <t>S-CPFG308A8-H - Platinum Support</t>
  </si>
  <si>
    <t>Fax Gateway 308, Analog Fax Gateway, 8 FXO SIP/T.38 - Advanced Replacement New Sale- 1 Year- Platinum Support</t>
  </si>
  <si>
    <t>S-CPFG308A8-HR - Standard Support</t>
  </si>
  <si>
    <t>Fax Gateway 308, Analog Fax Gateway, 8 FXO SIP/T.38 - Advanced Replacement Renewal - 1 Year- Standard Support</t>
  </si>
  <si>
    <t>S-CPFG308A8-HR - Platinum Support</t>
  </si>
  <si>
    <t>Fax Gateway 308, Analog Fax Gateway, 8 FXO SIP/T.38 - Advanced Replacement Renewal - 1 Year- Platinum Support</t>
  </si>
  <si>
    <t>S-CPFG308A8-M - Standard Support</t>
  </si>
  <si>
    <t>Fax Gateway 308, Analog Fax Gateway, 8 FXO SIP/T.38 - Standard Support New Sale- Standard Support</t>
  </si>
  <si>
    <t>S-CPFG308A8-M - Platinum Support</t>
  </si>
  <si>
    <t>Fax Gateway 308, Analog Fax Gateway, 8 FXO SIP/T.38 - Standard Support New Sale- Platinum Support</t>
  </si>
  <si>
    <t>S-CPFG308A8-MR - Standard Support</t>
  </si>
  <si>
    <t>Fax Gateway 308, Analog Fax Gateway, 8 FXO SIP/T.38 - Standard Support Renewal- Standard Support</t>
  </si>
  <si>
    <t>S-CPFG308A8-MR - Platinum Support</t>
  </si>
  <si>
    <t>Fax Gateway 308, Analog Fax Gateway, 8 FXO SIP/T.38 - Standard Support Renewal- Platinum Support</t>
  </si>
  <si>
    <t>S-CPFG904B4-H- Standard Support</t>
  </si>
  <si>
    <t>Fax Gateway 904, ISDN Fax Gateway, 4 BRI SIP/T.38 - Advanced Replacement New Sale- 1 Year- Standard Support</t>
  </si>
  <si>
    <t>S-CPFG904B4-H- Platinum Support</t>
  </si>
  <si>
    <t>Fax Gateway 904, ISDN Fax Gateway, 4 BRI SIP/T.38 - Advanced Replacement New Sale- 1 Year- Platinum Support</t>
  </si>
  <si>
    <t>S-CPFG904B4-HR- Standard Support</t>
  </si>
  <si>
    <t>Fax Gateway 904, ISDN Fax Gateway, 4 BRI SIP/T.38 - Advanced Replacement Renewal - 1 Year- Standard Support</t>
  </si>
  <si>
    <t>S-CPFG904B4-HR- Platinum Support</t>
  </si>
  <si>
    <t>Fax Gateway 904, ISDN Fax Gateway, 4 BRI SIP/T.38 - Advanced Replacement Renewal - 1 Year- Platinum Support</t>
  </si>
  <si>
    <t>S-CPFG904B4-M- Standard Support</t>
  </si>
  <si>
    <t>Fax Gateway 904, ISDN Fax Gateway, 4 BRI SIP/T.38 - Standard Support New Sale- Standard Support</t>
  </si>
  <si>
    <t>S-CPFG904B4-M- Platinum Support</t>
  </si>
  <si>
    <t>Fax Gateway 904, ISDN Fax Gateway, 4 BRI SIP/T.38 - Standard Support New Sale- Platinum Support</t>
  </si>
  <si>
    <t>S-CPFG904B4-MR - Standard Support</t>
  </si>
  <si>
    <t>Fax Gateway 904, ISDN Fax Gateway, 4 BRI SIP/T.38 - Standard Support Renewal- Standard Support</t>
  </si>
  <si>
    <t>S-CPFG904B4-MR - Platinum Support</t>
  </si>
  <si>
    <t>Fax Gateway 904, ISDN Fax Gateway, 4 BRI SIP/T.38 - Standard Support Renewal- Platinum Support</t>
  </si>
  <si>
    <t>S-CPFG908B8-H- Standard Support</t>
  </si>
  <si>
    <t>Fax Gateway 908, ISDN Fax Gateway, 8 BRI SIP/T.38 - Advanced Replacement New Sale- 1 Year- Standard Support</t>
  </si>
  <si>
    <t>S-CPFG908B8-H- Platinum Support</t>
  </si>
  <si>
    <t>Fax Gateway 908, ISDN Fax Gateway, 8 BRI SIP/T.38 - Advanced Replacement New Sale- 1 Year- Platinum Support</t>
  </si>
  <si>
    <t>S-CPFG908B8-HR - Standard Support</t>
  </si>
  <si>
    <t>Fax Gateway 908, ISDN Fax Gateway, 8 BRI SIP/T.38 - Advanced Replacement Renewal - 1 Year- Standard Support</t>
  </si>
  <si>
    <t>S-CPFG908B8-HR - Platinum Support</t>
  </si>
  <si>
    <t>Fax Gateway 908, ISDN Fax Gateway, 8 BRI SIP/T.38 - Advanced Replacement Renewal - 1 Year- Platinum Support</t>
  </si>
  <si>
    <t>S-CPFG908B8-M - Standard Support</t>
  </si>
  <si>
    <t>Fax Gateway 908, ISDN Fax Gateway, 8 BRI SIP/T.38 - Standard Support Renewal New Sale- Standard Support</t>
  </si>
  <si>
    <t>S-CPFG908B8-M - Platinum Support</t>
  </si>
  <si>
    <t>Fax Gateway 908, ISDN Fax Gateway, 8 BRI SIP/T.38 - Standard Support Renewal New Sale- Platinum Support</t>
  </si>
  <si>
    <t>S-CPFG908B8-MR - Standard Support</t>
  </si>
  <si>
    <t>Fax Gateway 908, ISDN Fax Gateway, 8 BRI SIP/T.38 - Standard Support Renewal- Standard Support</t>
  </si>
  <si>
    <t>S-CPFG908B8-MR - Platinum Support</t>
  </si>
  <si>
    <t>Fax Gateway 908, ISDN Fax Gateway, 8 BRI SIP/T.38 - Standard Support Renewal- Platinum Support</t>
  </si>
  <si>
    <t>S-CPFG2100D1-P- Standard Support</t>
  </si>
  <si>
    <t xml:space="preserve"> Fax Gateway 2100, Modular Fax Gateway, 1 T1/E1/J1 SIP/T.38 - Partner Edition- Standard Support</t>
  </si>
  <si>
    <t>S-CPFG2100D1-P- Platinum Support</t>
  </si>
  <si>
    <t xml:space="preserve"> Fax Gateway 2100, Modular Fax Gateway, 1 T1/E1/J1 SIP/T.38 - Partner Edition- Platinum Support</t>
  </si>
  <si>
    <t>S-CPFG2100D2-P - Standard Support</t>
  </si>
  <si>
    <t>Fax Gateway 2100, Modular Fax Gateway, 2 T1/E1/J1 SIP/T.38 - Partner Edition- Standard Support</t>
  </si>
  <si>
    <t>S-CPFG2100D2-P - Platinum Support</t>
  </si>
  <si>
    <t>Fax Gateway 2100, Modular Fax Gateway, 2 T1/E1/J1 SIP/T.38 - Partner Edition- Platinum Support</t>
  </si>
  <si>
    <t>S-CPFG2100D4-P - Standard Support</t>
  </si>
  <si>
    <t>Fax Gateway 2100, Modular Fax Gateway, 4 T1/E1/J1 SIP/T.38 - Partner Edition- Standard Support</t>
  </si>
  <si>
    <t>S-CPFG2100D4-P - Platinum Support</t>
  </si>
  <si>
    <t>Fax Gateway 2100, Modular Fax Gateway, 4 T1/E1/J1 SIP/T.38 - Partner Edition- Platinum Support</t>
  </si>
  <si>
    <t>S-CPFG304A4-P - Standard Support</t>
  </si>
  <si>
    <t>Fax Gateway 304, Analog Fax Gateway, 4 FXO SIP/T.38 - Partner Edition- Standard Support</t>
  </si>
  <si>
    <t>S-CPFG304A4-P - Platinum Support</t>
  </si>
  <si>
    <t>Fax Gateway 304, Analog Fax Gateway, 4 FXO SIP/T.38 - Partner Edition- Platinum Support</t>
  </si>
  <si>
    <t>S-CPFG308A8-P - Standard Support</t>
  </si>
  <si>
    <t>Fax Gateway 308, Analog Fax Gateway, 8 FXO SIP/T.38 - Partner Edition- Standard Support</t>
  </si>
  <si>
    <t>S-CPFG308A8-P - Platinum Support</t>
  </si>
  <si>
    <t>Fax Gateway 308, Analog Fax Gateway, 8 FXO SIP/T.38 - Partner Edition- Platinum Support</t>
  </si>
  <si>
    <t>S-CPFG904B4-P- Standard Support</t>
  </si>
  <si>
    <t>Fax Gateway 904, ISDN Fax Gateway, 4 BRI SIP/T.38 - Partner Edition- Standard Support</t>
  </si>
  <si>
    <t>S-CPFG904B4-P- Platinum Support</t>
  </si>
  <si>
    <t>Fax Gateway 904, ISDN Fax Gateway, 4 BRI SIP/T.38 - Partner Edition- Platinum Support</t>
  </si>
  <si>
    <t>S-CPFG908B8-P - Standard Support</t>
  </si>
  <si>
    <t>Fax Gateway 908, ISDN Fax Gateway, 8 BRI SIP/T.38 - Partner Edition- Standard Support</t>
  </si>
  <si>
    <t>S-CPFG908B8-P - Platinum Support</t>
  </si>
  <si>
    <t>Fax Gateway 908, ISDN Fax Gateway, 8 BRI SIP/T.38 - Partner Edition- Platinum Support</t>
  </si>
  <si>
    <t>S-CPRF2690001 - Standard Support</t>
  </si>
  <si>
    <t>Upgrade SR-140-2F - Redundant to Production - Standard Support</t>
  </si>
  <si>
    <t>S-CPRF2690001 - Platinum Support</t>
  </si>
  <si>
    <t>Upgrade SR-140-2F - Redundant to Production - Platinum Support</t>
  </si>
  <si>
    <t>S-CPRF2690002  - Standard Support</t>
  </si>
  <si>
    <t>Upgrade SR-140-4F - Redundant to Production- Standard Support</t>
  </si>
  <si>
    <t>S-CPRF2690002  - Platinum Support</t>
  </si>
  <si>
    <t>Upgrade SR-140-4F - Redundant to Production- Platinum Support</t>
  </si>
  <si>
    <t>S-CPRF2690003  - Standard Support</t>
  </si>
  <si>
    <t>Upgrade SR-140-8F - Redundant to Production- Standard Support</t>
  </si>
  <si>
    <t>S-CPRF2690003  - Platinum Support</t>
  </si>
  <si>
    <t>Upgrade SR-140-8F - Redundant to Production- Platinum Support</t>
  </si>
  <si>
    <t>S-CPRF2690004 - Standard Support</t>
  </si>
  <si>
    <t>Upgrade SR-140-12F - Redundant to Production- Standard Support</t>
  </si>
  <si>
    <t>S-CPRF2690004 - Platinum Support</t>
  </si>
  <si>
    <t>Upgrade SR-140-12F - Redundant to Production- Platinum Support</t>
  </si>
  <si>
    <t>S-CPRF2690005 - Standard Support</t>
  </si>
  <si>
    <t>Upgrade SR-140-24F - Redundant to Production- Standard Support</t>
  </si>
  <si>
    <t>S-CPRF2690005 - Platinum Support</t>
  </si>
  <si>
    <t>Upgrade SR-140-24F - Redundant to Production- Platinum Support</t>
  </si>
  <si>
    <t>S-CPRF2690006 - Standard Support</t>
  </si>
  <si>
    <t>Upgrade SR-140-30F - Redundant to Production- Standard Support</t>
  </si>
  <si>
    <t>S-CPRF2690006 - Platinum Support</t>
  </si>
  <si>
    <t>Upgrade SR-140-30F - Redundant to Production- Platinum Support</t>
  </si>
  <si>
    <t>S-CPRF2690007 - Standard Support</t>
  </si>
  <si>
    <t>Upgrade SR-140-48F - Redundant to Production- Standard Support</t>
  </si>
  <si>
    <t>S-CPRF2690007 - Platinum Support</t>
  </si>
  <si>
    <t>Upgrade SR-140-48F - Redundant to Production- Platinum Support</t>
  </si>
  <si>
    <t>S-CPRF2690008 - Standard Support</t>
  </si>
  <si>
    <t>Upgrade SR-140-60F - Redundant to Production- Standard Support</t>
  </si>
  <si>
    <t>S-CPRF2690008 - Platinum Support</t>
  </si>
  <si>
    <t>Upgrade SR-140-60F - Redundant to Production- Platinum Support</t>
  </si>
  <si>
    <t>S-CPRF2410003 - Standard Support</t>
  </si>
  <si>
    <t>Reconnect for RightFax Business Server - Standard Support</t>
  </si>
  <si>
    <t>S-CPRF2410003 - Platinum Support</t>
  </si>
  <si>
    <t>Reconnect for RightFax Business Server - Platinum Support</t>
  </si>
  <si>
    <t>S-CPRF2410004 - Standard Support</t>
  </si>
  <si>
    <t>Reconnect for RightFax, Enterprise Edition - Standard Support</t>
  </si>
  <si>
    <t>S-CPRF2410004 - Platinum Support</t>
  </si>
  <si>
    <t>Reconnect for RightFax, Enterprise Edition - Platinum Support</t>
  </si>
  <si>
    <t>S-CPRF2410005  - Standard Support</t>
  </si>
  <si>
    <t>Reconnect for RightFax Enterprise Suite- Standard Support</t>
  </si>
  <si>
    <t>S-CPRF2410005  - Platinum Support</t>
  </si>
  <si>
    <t>Reconnect for RightFax Enterprise Suite- Platinum Support</t>
  </si>
  <si>
    <t>S-CPRF2410006 - Standard Support</t>
  </si>
  <si>
    <t>Reconnect for RightFax Enterprise Integration Edition- Standard Support</t>
  </si>
  <si>
    <t>S-CPRF2410006 - Platinum Support</t>
  </si>
  <si>
    <t>Reconnect for RightFax Enterprise Integration Edition- Platinum Support</t>
  </si>
  <si>
    <t>S-CPRF265001000 - Standard Support</t>
  </si>
  <si>
    <t>TR1034+P4-4L-R Four Channel Analog Fax Board- Standard Support</t>
  </si>
  <si>
    <t>S-CPRF265001000 - Platinum Support</t>
  </si>
  <si>
    <t>TR1034+P4-4L-R Four Channel Analog Fax Board- Platinum Support</t>
  </si>
  <si>
    <t>S-CPRF265001100 - Standard Support</t>
  </si>
  <si>
    <t>TR1034+P8-8L-R Eight Channel Analog Fax Board- Standard Support</t>
  </si>
  <si>
    <t>S-CPRF265001100 - Platinum Support</t>
  </si>
  <si>
    <t>TR1034+P8-8L-R Eight Channel Analog Fax Board- Platinum Support</t>
  </si>
  <si>
    <t>S-CPRF265002800 T- Standard Support</t>
  </si>
  <si>
    <t>TruFax 100-R-uPCI - uPCI Analog Fax Board - Half Length- Standard Support</t>
  </si>
  <si>
    <t>S-CPRF265002800 T- Platinum Support</t>
  </si>
  <si>
    <t>TruFax 100-R-uPCI - uPCI Analog Fax Board - Half Length- Platinum Support</t>
  </si>
  <si>
    <t>S-CPRF265003000 - Standard Support</t>
  </si>
  <si>
    <t>TruFax 200-R-uPCI - uPCI Analog Fax Board - Half Length- Standard Support</t>
  </si>
  <si>
    <t>S-CPRF265003000 - Platinum Support</t>
  </si>
  <si>
    <t>TruFax 200-R-uPCI - uPCI Analog Fax Board - Half Length- Platinum Support</t>
  </si>
  <si>
    <t>S-CPRF265003700 - Standard Support</t>
  </si>
  <si>
    <t>TR1034+E4-4L Four Channel Analog Fax Board - PCI Express- Standard Support</t>
  </si>
  <si>
    <t>S-CPRF265003700 - Platinum Support</t>
  </si>
  <si>
    <t>TR1034+E4-4L Four Channel Analog Fax Board - PCI Express- Platinum Support</t>
  </si>
  <si>
    <t>S-CPRF265003800 - Standard Support</t>
  </si>
  <si>
    <t>TR1034+E8-8L Eight Channel Analog Fax Board - PCI Express- Standard Support</t>
  </si>
  <si>
    <t>S-CPRF265003800 - Platinum Support</t>
  </si>
  <si>
    <t>TR1034+E8-8L Eight Channel Analog Fax Board - PCI Express- Platinum Support</t>
  </si>
  <si>
    <t>S-CPRF265007600 - Standard Support</t>
  </si>
  <si>
    <t>TR1034+P2-2L-R Two Channel Analog Fax Board - Half Length- Standard Support</t>
  </si>
  <si>
    <t>S-CPRF265007600 - Platinum Support</t>
  </si>
  <si>
    <t>TR1034+P2-2L-R Two Channel Analog Fax Board - Half Length- Platinum Support</t>
  </si>
  <si>
    <t>S-CPRF265007800 - Standard Support</t>
  </si>
  <si>
    <t>TR1034+E2-2L-R Two Channel Analog Fax Board - PCI Express - Half Length- Standard Support</t>
  </si>
  <si>
    <t>S-CPRF265007800 - Platinum Support</t>
  </si>
  <si>
    <t>TR1034+E2-2L-R Two Channel Analog Fax Board - PCI Express - Half Length- Platinum Support</t>
  </si>
  <si>
    <t>S-CPRF265008300 - Standard Support</t>
  </si>
  <si>
    <t>TruFax 100E - Analog Fax Board - PCI Express - Half Length- Standard Support</t>
  </si>
  <si>
    <t>S-CPRF265008300 - Platinum Support</t>
  </si>
  <si>
    <t>TruFax 100E - Analog Fax Board - PCI Express - Half Length- Platinum Support</t>
  </si>
  <si>
    <t>S-CPRF265008500 - Standard Support</t>
  </si>
  <si>
    <t>TruFax 200E - Analog Fax Board - PCI Express- Half Length- Standard Support</t>
  </si>
  <si>
    <t>S-CPRF265008500 - Platinum Support</t>
  </si>
  <si>
    <t>TruFax 200E - Analog Fax Board - PCI Express- Half Length- Platinum Support</t>
  </si>
  <si>
    <t>S-CPRF265000100 - Standard Support</t>
  </si>
  <si>
    <t>TR1034+uP2C-R Two Channel Combo Fax Board (1 Loop/ 1 DID) - Half Length- Standard Support</t>
  </si>
  <si>
    <t>S-CPRF265000100 - Platinum Support</t>
  </si>
  <si>
    <t>TR1034+uP2C-R Two Channel Combo Fax Board (1 Loop/ 1 DID) - Half Length- Platinum Support</t>
  </si>
  <si>
    <t>S-CPRF265000200 - Standard Support</t>
  </si>
  <si>
    <t>TR1034+uP4C-R Four Channel Combo Fax Board (2 Loop/ 2 DID) - Half Length- Standard Support</t>
  </si>
  <si>
    <t>S-CPRF265000200 - Platinum Support</t>
  </si>
  <si>
    <t>TR1034+uP4C-R Four Channel Combo Fax Board (2 Loop/ 2 DID) - Half Length- Platinum Support</t>
  </si>
  <si>
    <t>S-CPRF265000300 - Standard Support</t>
  </si>
  <si>
    <t>TR1034+uP2D-R Two Channel DID Fax Board - Half Length- Standard Support</t>
  </si>
  <si>
    <t>S-CPRF265000300 - Platinum Support</t>
  </si>
  <si>
    <t>TR1034+uP2D-R Two Channel DID Fax Board - Half Length- Platinum Support</t>
  </si>
  <si>
    <t>S-CPRF265000400 - Standard Support</t>
  </si>
  <si>
    <t>TR1034+uP4D-R Four Channel DID Fax Board - Half Length- Standard Support</t>
  </si>
  <si>
    <t>S-CPRF265000400 - Platinum Support</t>
  </si>
  <si>
    <t>TR1034+uP4D-R Four Channel DID Fax Board - Half Length- Platinum Support</t>
  </si>
  <si>
    <t>S-CPRF265007900 - Standard Support</t>
  </si>
  <si>
    <t>TR1034+E2C-R Two Channel Combo Fax Board (1 Loop/ 1 DID) - PCI Express - Half Length- Standard Support</t>
  </si>
  <si>
    <t>S-CPRF265007900 - Platinum Support</t>
  </si>
  <si>
    <t>TR1034+E2C-R Two Channel Combo Fax Board (1 Loop/ 1 DID) - PCI Express - Half Length- Platinum Support</t>
  </si>
  <si>
    <t>S-CPRF265008000 - Standard Support</t>
  </si>
  <si>
    <t>TR1034+E2D-R Two Channel DID Fax Board - PCI Express - Half Length- Standard Support</t>
  </si>
  <si>
    <t>S-CPRF265008000 - Platinum Support</t>
  </si>
  <si>
    <t>TR1034+E2D-R Two Channel DID Fax Board - PCI Express - Half Length- Platinum Support</t>
  </si>
  <si>
    <t>S-CPRF265008100 - Standard Support</t>
  </si>
  <si>
    <t>TR1034+E4C-R Four Channel Combo Fax Board (2 Loop/ 2 DID) - PCI Express - Half Length- Standard Support</t>
  </si>
  <si>
    <t>S-CPRF265008100 - Platinum Support</t>
  </si>
  <si>
    <t>TR1034+E4C-R Four Channel Combo Fax Board (2 Loop/ 2 DID) - PCI Express - Half Length- Platinum Support</t>
  </si>
  <si>
    <t>S-CPRF265008200 - Standard Support</t>
  </si>
  <si>
    <t>TR1034+E4D-R Four Channel DID Fax Board - PCI Express - Half Length- Standard Support</t>
  </si>
  <si>
    <t>S-CPRF265008200 - Platinum Support</t>
  </si>
  <si>
    <t>TR1034+E4D-R Four Channel DID Fax Board - PCI Express - Half Length- Platinum Support</t>
  </si>
  <si>
    <t>S-CPRF265001800 - Standard Support</t>
  </si>
  <si>
    <t>TR1034+P4H-T1-1N-R 4-pt T1/PRI Interface uPCI Fax Board- Standard Support</t>
  </si>
  <si>
    <t>S-CPRF265001800 - Platinum Support</t>
  </si>
  <si>
    <t>TR1034+P4H-T1-1N-R 4-pt T1/PRI Interface uPCI Fax Board- Platinum Support</t>
  </si>
  <si>
    <t>S-CPRF265001900 - Standard Support</t>
  </si>
  <si>
    <t>TR1034+P8H-T1-1N-R 8-pt T1/PRI Interface uPCI Fax Board- Standard Support</t>
  </si>
  <si>
    <t>S-CPRF265001900 - Platinum Support</t>
  </si>
  <si>
    <t>TR1034+P8H-T1-1N-R 8-pt T1/PRI Interface uPCI Fax Board- Platinum Support</t>
  </si>
  <si>
    <t>S-CPRF265002000 - Standard Support</t>
  </si>
  <si>
    <t>TR1034+P16H-T1-1N-R 16-pt T1/PRI Interface uPCI Fax Board- Standard Support</t>
  </si>
  <si>
    <t>S-CPRF265002000 - Platinum Support</t>
  </si>
  <si>
    <t>TR1034+P16H-T1-1N-R 16-pt T1/PRI Interface uPCI Fax Board- Platinum Support</t>
  </si>
  <si>
    <t>S-CPRF265002100 - Standard Support</t>
  </si>
  <si>
    <t>TR1034+P24H-T1-1N-R 24-pt T1/PRI Interface uPCI Fax board- Standard Support</t>
  </si>
  <si>
    <t>S-CPRF265002100 - Platinum Support</t>
  </si>
  <si>
    <t>TR1034+P24H-T1-1N-R 24-pt T1/PRI Interface uPCI Fax board- Platinum Support</t>
  </si>
  <si>
    <t>S-CPRF265005100 - Standard Support</t>
  </si>
  <si>
    <t>TR1034+E4H-T1-1N-PCIe-R 4-pt T1/PRI Interface Fax Board - PCI Express- Standard Support</t>
  </si>
  <si>
    <t>S-CPRF265005100 - Platinum Support</t>
  </si>
  <si>
    <t>TR1034+E4H-T1-1N-PCIe-R 4-pt T1/PRI Interface Fax Board - PCI Express- Platinum Support</t>
  </si>
  <si>
    <t>S-CPRF265005200 - Standard Support</t>
  </si>
  <si>
    <t>TR1034+E8H-T1-1N-PCIe-R 8-pt T1/PRI Interface Fax Board - PCI Express- Standard Support</t>
  </si>
  <si>
    <t>S-CPRF265005200 - Platinum Support</t>
  </si>
  <si>
    <t>TR1034+E8H-T1-1N-PCIe-R 8-pt T1/PRI Interface Fax Board - PCI Express- Platinum Support</t>
  </si>
  <si>
    <t>S-CPRF265005300 - Standard Support</t>
  </si>
  <si>
    <t>TR1034+E16H-T1-1N-R 16-pt T1/PRI Interface Fax Board - PCI Express- Standard Support</t>
  </si>
  <si>
    <t>S-CPRF265005300 - Platinum Support</t>
  </si>
  <si>
    <t>TR1034+E16H-T1-1N-R 16-pt T1/PRI Interface Fax Board - PCI Express- Platinum Support</t>
  </si>
  <si>
    <t>S-CPRF265005400 - Standard Support</t>
  </si>
  <si>
    <t>TR1034+E24H-T1-1N-R 24-pt T1/PRI Interface Fax board - PCI Express- Standard Support</t>
  </si>
  <si>
    <t>S-CPRF265005400 - Platinum Support</t>
  </si>
  <si>
    <t>TR1034+E24H-T1-1N-R 24-pt T1/PRI Interface Fax board - PCI Express- Platinum Support</t>
  </si>
  <si>
    <t>S-CPRF2660001 - Standard Support</t>
  </si>
  <si>
    <t>TR1034 4-Channel to 8-Channel License Key (T1) Upgrade- Standard Support</t>
  </si>
  <si>
    <t>S-CPRF2660001 - Platinum Support</t>
  </si>
  <si>
    <t>TR1034 4-Channel to 8-Channel License Key (T1) Upgrade- Platinum Support</t>
  </si>
  <si>
    <t>S-CPRF2660002 - Standard Support</t>
  </si>
  <si>
    <t>TR1034 4-Channel to 16-Channel License Key (T1) Upgrade- Standard Support</t>
  </si>
  <si>
    <t>S-CPRF2660002 - Platinum Support</t>
  </si>
  <si>
    <t>TR1034 4-Channel to 16-Channel License Key (T1) Upgrade- Platinum Support</t>
  </si>
  <si>
    <t>S-CPRF2660003 - Standard Support</t>
  </si>
  <si>
    <t>TR1034 4-Channel to 24-Channel License Key (T1) Upgrade- Standard Support</t>
  </si>
  <si>
    <t>S-CPRF2660003 - Platinum Support</t>
  </si>
  <si>
    <t>TR1034 4-Channel to 24-Channel License Key (T1) Upgrade- Platinum Support</t>
  </si>
  <si>
    <t>S-CPRF2660004 - Standard Support</t>
  </si>
  <si>
    <t>TR1034 8-Channel to 16-Channel License Key (T1) Upgrade- Standard Support</t>
  </si>
  <si>
    <t>S-CPRF2660004 - Platinum Support</t>
  </si>
  <si>
    <t>TR1034 8-Channel to 16-Channel License Key (T1) Upgrade- Platinum Support</t>
  </si>
  <si>
    <t>S-CPRF2660006 - Standard Support</t>
  </si>
  <si>
    <t>TR1034 8-Channel to 24-Channel License Key (T1) Upgrade- Standard Support</t>
  </si>
  <si>
    <t>S-CPRF2660006 - Platinum Support</t>
  </si>
  <si>
    <t>TR1034 8-Channel to 24-Channel License Key (T1) Upgrade- Platinum Support</t>
  </si>
  <si>
    <t>S-CPRF2660008 - Standard Support</t>
  </si>
  <si>
    <t>TR1034 16-Channel to 24-Channel License Key (T1) Upgrade- Standard Support</t>
  </si>
  <si>
    <t>S-CPRF2660008 - Platinum Support</t>
  </si>
  <si>
    <t>TR1034 16-Channel to 24-Channel License Key (T1) Upgrade- Platinum Support</t>
  </si>
  <si>
    <t>S-CPRF2660022 - Standard Support</t>
  </si>
  <si>
    <t>TR1034 4-Channel to 8-Channel License Key (T1)- Standard Support</t>
  </si>
  <si>
    <t>S-CPRF2660022 - Platinum Support</t>
  </si>
  <si>
    <t>TR1034 4-Channel to 8-Channel License Key (T1)- Platinum Support</t>
  </si>
  <si>
    <t>S-CPRF2660023 - Standard Support</t>
  </si>
  <si>
    <t>TR1034 4-Channel to 16-Channel License Key (T1)- Standard Support</t>
  </si>
  <si>
    <t>S-CPRF2660023 - Platinum Support</t>
  </si>
  <si>
    <t>TR1034 4-Channel to 16-Channel License Key (T1)- Platinum Support</t>
  </si>
  <si>
    <t>S-CPRF2660024 - Standard Support</t>
  </si>
  <si>
    <t>TR1034 4-Channel to 24-Channel License Key (T1)- Standard Support</t>
  </si>
  <si>
    <t>S-CPRF2660024 - Platinum Support</t>
  </si>
  <si>
    <t>TR1034 4-Channel to 24-Channel License Key (T1)- Platinum Support</t>
  </si>
  <si>
    <t>S-CPRF2660028 - Standard Support</t>
  </si>
  <si>
    <t>TR1034 8-Channel to 16-Channel License Key (T1)- Standard Support</t>
  </si>
  <si>
    <t>S-CPRF2660028 - Platinum Support</t>
  </si>
  <si>
    <t>TR1034 8-Channel to 16-Channel License Key (T1)- Platinum Support</t>
  </si>
  <si>
    <t>S-CPRF2660030 - Standard Support</t>
  </si>
  <si>
    <t>TR1034 8-Channel to 24-Channel License Key (T1)- Standard Support</t>
  </si>
  <si>
    <t>S-CPRF2660030 - Platinum Support</t>
  </si>
  <si>
    <t>TR1034 8-Channel to 24-Channel License Key (T1)- Platinum Support</t>
  </si>
  <si>
    <t>S-CPRF2660032 - Standard Support</t>
  </si>
  <si>
    <t>TR1034 16-Channel to 24-Channel License Key (T1)- Standard Support</t>
  </si>
  <si>
    <t>S-CPRF2660032 - Platinum Support</t>
  </si>
  <si>
    <t>TR1034 16-Channel to 24-Channel License Key (T1)- Platinum Support</t>
  </si>
  <si>
    <t>S-CPRF2660013 - Standard Support</t>
  </si>
  <si>
    <t>TR1034 4-Channel (T1)- Standard Support</t>
  </si>
  <si>
    <t>S-CPRF2660013 - Platinum Support</t>
  </si>
  <si>
    <t>TR1034 4-Channel (T1)- Platinum Support</t>
  </si>
  <si>
    <t>S-CPRF2660014 - Standard Support</t>
  </si>
  <si>
    <t>TR1034 8-Channel (T1)- Standard Support</t>
  </si>
  <si>
    <t>S-CPRF2660014 - Platinum Support</t>
  </si>
  <si>
    <t>TR1034 8-Channel (T1)- Platinum Support</t>
  </si>
  <si>
    <t>S-CPRF2660015 - Standard Support</t>
  </si>
  <si>
    <t>TR1034 16-Channel (T1)- Standard Support</t>
  </si>
  <si>
    <t>S-CPRF2660015 - Platinum Support</t>
  </si>
  <si>
    <t>TR1034 16-Channel (T1)- Platinum Support</t>
  </si>
  <si>
    <t>S-CPRF2660016 - Standard Support</t>
  </si>
  <si>
    <t>TR1034 24-Channel (T1)- Standard Support</t>
  </si>
  <si>
    <t>S-CPRF2660016 - Platinum Support</t>
  </si>
  <si>
    <t>TR1034 24-Channel (T1)- Platinum Support</t>
  </si>
  <si>
    <t>S-CPRF2670003 - Standard Support</t>
  </si>
  <si>
    <t>Brooktrout SR-140-2F - 2 Channel FoIP Boardless Fax Solution 2 Channel T.38 (V.34); SIP; H.323; Host Based Fax License- Standard Support</t>
  </si>
  <si>
    <t>S-CPRF2670003 - Platinum Support</t>
  </si>
  <si>
    <t>Brooktrout SR-140-2F - 2 Channel FoIP Boardless Fax Solution 2 Channel T.38 (V.34); SIP; H.323; Host Based Fax License- Platinum Support</t>
  </si>
  <si>
    <t>S-CPRF2670004 - Standard Support</t>
  </si>
  <si>
    <t>Brooktrout SR-140-4F - 4 Channel FoIP Boardless Fax Solution 4 Channel T.38 (V.34); SIP; H.323; Host Based Fax License- Standard Support</t>
  </si>
  <si>
    <t>S-CPRF2670004 - Platinum Support</t>
  </si>
  <si>
    <t>Brooktrout SR-140-4F - 4 Channel FoIP Boardless Fax Solution 4 Channel T.38 (V.34); SIP; H.323; Host Based Fax License- Platinum Support</t>
  </si>
  <si>
    <t>S-CPRF2670005 - Standard Support</t>
  </si>
  <si>
    <t>Brooktrout SR-140-8F - 8 Channel FoIP Boardless Fax Solution 8 Channel T.38 (V.34); SIP; H.323; Host Based Fax License- Standard Support</t>
  </si>
  <si>
    <t>S-CPRF2670005 - Platinum Support</t>
  </si>
  <si>
    <t>Brooktrout SR-140-8F - 8 Channel FoIP Boardless Fax Solution 8 Channel T.38 (V.34); SIP; H.323; Host Based Fax License- Platinum Support</t>
  </si>
  <si>
    <t>S-CPRF2670006 - Standard Support</t>
  </si>
  <si>
    <t>Brooktrout SR-140-12F - 12 Channel FoIP Boardless Fax Solution 12 Channel T.38 (V.34); SIP; H.323; Host Based Fax License- Standard Support</t>
  </si>
  <si>
    <t>S-CPRF2670006 - Platinum Support</t>
  </si>
  <si>
    <t>Brooktrout SR-140-12F - 12 Channel FoIP Boardless Fax Solution 12 Channel T.38 (V.34); SIP; H.323; Host Based Fax License- Platinum Support</t>
  </si>
  <si>
    <t>S-CPRF2670007 - Standard Support</t>
  </si>
  <si>
    <t>Brooktrout SR-140-24F - 24 Channel FoIP Boardless Fax Solution 24 Channel T.38 (V.34); SIP; H.323; Host Based Fax License- Standard Support</t>
  </si>
  <si>
    <t>S-CPRF2670007 - Platinum Support</t>
  </si>
  <si>
    <t>Brooktrout SR-140-24F - 24 Channel FoIP Boardless Fax Solution 24 Channel T.38 (V.34); SIP; H.323; Host Based Fax License- Platinum Support</t>
  </si>
  <si>
    <t>S-CPRF2670008 - Standard Support</t>
  </si>
  <si>
    <t>Brooktrout SR-140-30F - 30 Channel FoIP Boardless Fax Solution 30 Channel T.38 (V.34); SIP; H.323; Host Based Fax License- Standard Support</t>
  </si>
  <si>
    <t>S-CPRF2670008 - Platinum Support</t>
  </si>
  <si>
    <t>Brooktrout SR-140-30F - 30 Channel FoIP Boardless Fax Solution 30 Channel T.38 (V.34); SIP; H.323; Host Based Fax License- Platinum Support</t>
  </si>
  <si>
    <t>S-CPRF2670009 - Standard Support</t>
  </si>
  <si>
    <t>Brooktrout SR-140-48F - 48 Channel FoIP Boardless Fax Solution 48 Channel T.38 (V.34); SIP; H.323; Host Based Fax License- Standard Support</t>
  </si>
  <si>
    <t>S-CPRF2670009 - Platinum Support</t>
  </si>
  <si>
    <t>Brooktrout SR-140-48F - 48 Channel FoIP Boardless Fax Solution 48 Channel T.38 (V.34); SIP; H.323; Host Based Fax License- Platinum Support</t>
  </si>
  <si>
    <t>S-CPRF2670010 - Standard Support</t>
  </si>
  <si>
    <t>Brooktrout SR-140-60F - 60 Channel FoIP Boardless Fax Solution 60 Channel T.38 (V.34); SIP; H.323; Host Based Fax License- Standard Support</t>
  </si>
  <si>
    <t>S-CPRF2670010 - Platinum Support</t>
  </si>
  <si>
    <t>Brooktrout SR-140-60F - 60 Channel FoIP Boardless Fax Solution 60 Channel T.38 (V.34); SIP; H.323; Host Based Fax License- Platinum Support</t>
  </si>
  <si>
    <t>S-CPRF2670014 - Standard Support</t>
  </si>
  <si>
    <t>Brooktrout SR-140-2F - 2 Channel FoIP Boardless Fax Solution - Redundant- Standard Support</t>
  </si>
  <si>
    <t>S-CPRF2670014 - Platinum Support</t>
  </si>
  <si>
    <t>Brooktrout SR-140-2F - 2 Channel FoIP Boardless Fax Solution - Redundant- Platinum Support</t>
  </si>
  <si>
    <t>S-CPRF2670015 - Standard Support</t>
  </si>
  <si>
    <t>Brooktrout SR-140-4F - 4 Channel FoIP Boardless Fax Solution - Redundant- Standard Support</t>
  </si>
  <si>
    <t>S-CPRF2670015 - Platinum Support</t>
  </si>
  <si>
    <t>Brooktrout SR-140-4F - 4 Channel FoIP Boardless Fax Solution - Redundant- Platinum Support</t>
  </si>
  <si>
    <t>S-CPRF2670016 - Standard Support</t>
  </si>
  <si>
    <t>Brooktrout SR-140-8F - 8 Channel FoIP Boardless Fax Solution - Redundant- Standard Support</t>
  </si>
  <si>
    <t>S-CPRF2670016 - Platinum Support</t>
  </si>
  <si>
    <t>Brooktrout SR-140-8F - 8 Channel FoIP Boardless Fax Solution - Redundant- Platinum Support</t>
  </si>
  <si>
    <t>S-CPRF2670017 - Standard Support</t>
  </si>
  <si>
    <t>Brooktrout SR-140-12F - 12 Channel FoIP Boardless Fax Solution - Redundant- Standard Support</t>
  </si>
  <si>
    <t>S-CPRF2670017 - Platinum Support</t>
  </si>
  <si>
    <t>Brooktrout SR-140-12F - 12 Channel FoIP Boardless Fax Solution - Redundant- Platinum Support</t>
  </si>
  <si>
    <t>S-CPRF2670018 - Standard Support</t>
  </si>
  <si>
    <t>Brooktrout SR-140-24F - 24 Channel FoIP Boardless Fax Solution - Redundant- Standard Support</t>
  </si>
  <si>
    <t>S-CPRF2670018 - Platinum Support</t>
  </si>
  <si>
    <t>Brooktrout SR-140-24F - 24 Channel FoIP Boardless Fax Solution - Redundant- Platinum Support</t>
  </si>
  <si>
    <t>S-CPRF2670019 - Standard Support</t>
  </si>
  <si>
    <t>Brooktrout SR-140-30F - 30 Channel FoIP Boardless Fax Solution - Redundant- Standard Support</t>
  </si>
  <si>
    <t>S-CPRF2670019 - Platinum Support</t>
  </si>
  <si>
    <t>Brooktrout SR-140-30F - 30 Channel FoIP Boardless Fax Solution - Redundant- Platinum Support</t>
  </si>
  <si>
    <t>S-CPRF2670020 - Standard Support</t>
  </si>
  <si>
    <t>Brooktrout SR-140-48F - 48 Channel FoIP Boardless Fax Solution - Redundant- Standard Support</t>
  </si>
  <si>
    <t>S-CPRF2670020 - Platinum Support</t>
  </si>
  <si>
    <t>Brooktrout SR-140-48F - 48 Channel FoIP Boardless Fax Solution - Redundant- Platinum Support</t>
  </si>
  <si>
    <t>S-CPRF2670021 - Standard Support</t>
  </si>
  <si>
    <t>Brooktrout SR-140-60F - 60 Channel FoIP Boardless Fax Solution - Redundant- Standard Support</t>
  </si>
  <si>
    <t>S-CPRF2670021 - Platinum Support</t>
  </si>
  <si>
    <t>Brooktrout SR-140-60F - 60 Channel FoIP Boardless Fax Solution - Redundant- Platinum Support</t>
  </si>
  <si>
    <t xml:space="preserve"> FSS-MTI-005  </t>
  </si>
  <si>
    <t xml:space="preserve"> Maintenance – 5,000 Form Submissions, per Server, per Year  </t>
  </si>
  <si>
    <t xml:space="preserve"> FSS-MTI-010  </t>
  </si>
  <si>
    <t xml:space="preserve"> Maintenance – 10,000 Form Submissions, per Server, per Year  </t>
  </si>
  <si>
    <t xml:space="preserve"> FSS-MTI-025  </t>
  </si>
  <si>
    <t xml:space="preserve"> Maintenance – 25,000 Form Submissions, per Server, per Year  </t>
  </si>
  <si>
    <t xml:space="preserve"> FSS-MTI-100  </t>
  </si>
  <si>
    <t xml:space="preserve"> Maintenance – 100,000 Form Submissions, per Server, per Year  </t>
  </si>
  <si>
    <t xml:space="preserve"> FSS-MTI-250  </t>
  </si>
  <si>
    <t xml:space="preserve"> Maintenance – 250,000 Form Submissions, per Server, per Year  </t>
  </si>
  <si>
    <t xml:space="preserve"> FSS-MTI-500  </t>
  </si>
  <si>
    <t xml:space="preserve"> Maintenance – 500,000 Form Submissions, per Server, per Year  </t>
  </si>
  <si>
    <t xml:space="preserve"> FSS-MTI-ENT  </t>
  </si>
  <si>
    <t xml:space="preserve"> Maintenance – 1,000,000 Form Submissions, per Server, per Year  </t>
  </si>
  <si>
    <t xml:space="preserve"> FSS-MTS-SVR  </t>
  </si>
  <si>
    <t xml:space="preserve"> Maintenance – Additional 5,000 Form Submissions, per Server, per Year  </t>
  </si>
  <si>
    <t xml:space="preserve"> FSS-MTA-025  </t>
  </si>
  <si>
    <t xml:space="preserve"> Maintenance – Incremental 25,000 form Submissions, per Server, per Year  </t>
  </si>
  <si>
    <t xml:space="preserve"> FSS-MTA-050  </t>
  </si>
  <si>
    <t xml:space="preserve"> Maintenance – Incremental 50,000 form Submissions, per Server, per Year  </t>
  </si>
  <si>
    <t xml:space="preserve"> FSS-MTA-100  </t>
  </si>
  <si>
    <t xml:space="preserve"> Maintenance – Incremental 100,000 form Submissions, per Server, per Year  </t>
  </si>
  <si>
    <t xml:space="preserve"> DSR-MTA-001  </t>
  </si>
  <si>
    <t xml:space="preserve"> Maintenance – Formatta Designer, Single User License  </t>
  </si>
  <si>
    <t xml:space="preserve"> FSS-MTIS-005-T  </t>
  </si>
  <si>
    <t xml:space="preserve"> DSR-MTA-001-T  </t>
  </si>
  <si>
    <t xml:space="preserve"> AIP-MTS-UNL  </t>
  </si>
  <si>
    <t xml:space="preserve"> Maintenance - Unlimited Form Submissions, per Server, per Year  </t>
  </si>
  <si>
    <t xml:space="preserve"> AIP-MTS-SVR  </t>
  </si>
  <si>
    <t xml:space="preserve"> Maintenance - Unlimited Form Submissions, per additional Server, per Year  </t>
  </si>
  <si>
    <t xml:space="preserve"> AIP-MTS-UNL-T  </t>
  </si>
  <si>
    <t>456-100-316- Platinum Maintenance</t>
  </si>
  <si>
    <t>PIXTOOLS FOR .NET- Platinum Maintenance</t>
  </si>
  <si>
    <t>456-100-089- Platinum Maintenance</t>
  </si>
  <si>
    <t>QUICKSCAN PRO LEVEL 1 ST- Platinum Maintenance</t>
  </si>
  <si>
    <t>456-100-090- Platinum Maintenance</t>
  </si>
  <si>
    <t>QUICKSCAN PRO LEVEL 2 ST- Platinum Maintenance</t>
  </si>
  <si>
    <t>456-100-091- Platinum Maintenance</t>
  </si>
  <si>
    <t>QUICKSCAN PRO LEVEL 3 ST- Platinum Maintenance</t>
  </si>
  <si>
    <t>456-100-092- Platinum Maintenance</t>
  </si>
  <si>
    <t>QUICKSCAN PRO PRODUCTION LEVEL ST- Platinum Maintenance</t>
  </si>
  <si>
    <t>001-CAN-001</t>
  </si>
  <si>
    <t>001-CAN-002</t>
  </si>
  <si>
    <t>001-CAN-003</t>
  </si>
  <si>
    <t>001-CAN-004</t>
  </si>
  <si>
    <t>001-CAN-005</t>
  </si>
  <si>
    <t>001-CAN-006</t>
  </si>
  <si>
    <t>001-CAN-007</t>
  </si>
  <si>
    <t>001-CAN-008</t>
  </si>
  <si>
    <t>001-CAN-009</t>
  </si>
  <si>
    <t>001-CAN-010</t>
  </si>
  <si>
    <t>001-CAN-011</t>
  </si>
  <si>
    <t>001-CAN-012</t>
  </si>
  <si>
    <t>001-CAN-013</t>
  </si>
  <si>
    <t>001-CAN-014</t>
  </si>
  <si>
    <t>001-CAN-015</t>
  </si>
  <si>
    <t>001-CAN-016</t>
  </si>
  <si>
    <t>001-CAN-017</t>
  </si>
  <si>
    <t>001-CAN-018</t>
  </si>
  <si>
    <t>001-CAN-019</t>
  </si>
  <si>
    <t>001-CAN-020</t>
  </si>
  <si>
    <t>001-CAN-021</t>
  </si>
  <si>
    <t>001-CAN-022</t>
  </si>
  <si>
    <t>001-CAN-023</t>
  </si>
  <si>
    <t>001-CAN-024</t>
  </si>
  <si>
    <t>001-CAN-025</t>
  </si>
  <si>
    <t>001-CAN-026</t>
  </si>
  <si>
    <t>001-CAN-027</t>
  </si>
  <si>
    <t>001-CAN-028</t>
  </si>
  <si>
    <t>001-CAN-029</t>
  </si>
  <si>
    <t>001-CAN-030</t>
  </si>
  <si>
    <t>001-CAN-031</t>
  </si>
  <si>
    <t>001-CAN-032</t>
  </si>
  <si>
    <t>001-CAN-033</t>
  </si>
  <si>
    <t>001-CAN-034</t>
  </si>
  <si>
    <t>001-CAN-035</t>
  </si>
  <si>
    <t>001-CAN-036</t>
  </si>
  <si>
    <t>001-CAN-037</t>
  </si>
  <si>
    <t>001-CAN-038</t>
  </si>
  <si>
    <t>001-CAN-040</t>
  </si>
  <si>
    <t>001-CAN-041</t>
  </si>
  <si>
    <t>001-CAN-042</t>
  </si>
  <si>
    <t>001-CAN-043</t>
  </si>
  <si>
    <t>001-CAN-044</t>
  </si>
  <si>
    <t>001-CAN-045</t>
  </si>
  <si>
    <t>FUJ-005</t>
  </si>
  <si>
    <t>fi-5950, 135ppm/270ipm Fujitsu Color Scanner-Platinum Support</t>
  </si>
  <si>
    <t>FUJ-017</t>
  </si>
  <si>
    <t>fi-6800, 130ppm/260ipm Fujitsu Color Scanner-Platinum Support</t>
  </si>
  <si>
    <t>FUJ-029</t>
  </si>
  <si>
    <t>fi-5950, 135ppm/270ipm Fujitsu Color Scanner-Standard Support</t>
  </si>
  <si>
    <t>FUJ-041</t>
  </si>
  <si>
    <t>fi-6800, 130ppm/260ipm Fujitsu Color Scanner-Standard Support</t>
  </si>
  <si>
    <t>FUJ-016</t>
  </si>
  <si>
    <t>fi-6770A (VRS), 70ppm/140ipm Fujitsu Color Scanner-Platinum Support</t>
  </si>
  <si>
    <t>FUJ-015</t>
  </si>
  <si>
    <t>fi-6770, 70ppm/140ipm Fujitsu Color Scanner-Platinum Support</t>
  </si>
  <si>
    <t>FUJ-014</t>
  </si>
  <si>
    <t>fi-6670A (VRS), 70ppm/140ipm Fujitsu Color Scanner-Platinum Support</t>
  </si>
  <si>
    <t>FUJ-013</t>
  </si>
  <si>
    <t>fi-6670, 70ppm/140ipm Fujitsu Color Scanner-Platinum Support</t>
  </si>
  <si>
    <t>FUJ-040</t>
  </si>
  <si>
    <t>fi-6770A (VRS), 70ppm/140ipm Fujitsu Color Scanner-Standard Support</t>
  </si>
  <si>
    <t>FUJ-001</t>
  </si>
  <si>
    <t>fi-4340C, 40ppm/80ipm, Flatbed Fujitsu Color Scanner-Platinum Support</t>
  </si>
  <si>
    <t>FUJ-002</t>
  </si>
  <si>
    <t>FUJ-039</t>
  </si>
  <si>
    <t>fi-6770, 70ppm/140ipm Fujitsu Color Scanner-Standard Support</t>
  </si>
  <si>
    <t>FUJ-004</t>
  </si>
  <si>
    <t>fi-5530C2, 35ppm/70ipm-Platinum Support</t>
  </si>
  <si>
    <t>FUJ-038</t>
  </si>
  <si>
    <t>fi-6670A (VRS), 70ppm/140ipm Fujitsu Color Scanner-Standard Support</t>
  </si>
  <si>
    <t>FUJ-037</t>
  </si>
  <si>
    <t>fi-6670, 70ppm/140ipm Fujitsu Color Scanner-Standard Support</t>
  </si>
  <si>
    <t>FUJ-006</t>
  </si>
  <si>
    <t>fi-6010N iScanner, Network-Platinum Support</t>
  </si>
  <si>
    <t>FUJ-025</t>
  </si>
  <si>
    <t>fi-4340C, 40ppm/80ipm, Flatbed Fujitsu Color Scanner-Standard Support</t>
  </si>
  <si>
    <t>FUJ-026</t>
  </si>
  <si>
    <t>FUJ-012</t>
  </si>
  <si>
    <t>fi-6240, 60ppm/120ipm, Flatbed Fujitsu Color Scanner-Platinum Support</t>
  </si>
  <si>
    <t>FUJ-028</t>
  </si>
  <si>
    <t>fi-5530C2, 35ppm/70ipm-Standard Support</t>
  </si>
  <si>
    <t>FUJ-010</t>
  </si>
  <si>
    <t>fi-6140, 60ppm/120ipm Fujitsu Color Scanner-Platinum Support</t>
  </si>
  <si>
    <t>FUJ-011</t>
  </si>
  <si>
    <t>fi-6230, 40ppm/80ipm, Flatbed Fujitsu Color Scanner-Platinum Support</t>
  </si>
  <si>
    <t>FUJ-036</t>
  </si>
  <si>
    <t>fi-6240, 60ppm/120ipm, Flatbed Fujitsu Color Scanner-Standard Support</t>
  </si>
  <si>
    <t>FUJ-009</t>
  </si>
  <si>
    <t>fi-6130, 40ppm/80ipm Fujitsu Color Scanner-Platinum Support</t>
  </si>
  <si>
    <t>FUJ-034</t>
  </si>
  <si>
    <t>fi-6140, 60ppm/120ipm Fujitsu Color Scanner-Standard Support</t>
  </si>
  <si>
    <t>FUJ-035</t>
  </si>
  <si>
    <t>fi-6230, 40ppm/80ipm, Flatbed Fujitsu Color Scanner-Standard Support</t>
  </si>
  <si>
    <t>FUJ-008</t>
  </si>
  <si>
    <t>fi-6110, 20ppm/40ipm ADF Fujitsu Color Scanner-Platinum Support</t>
  </si>
  <si>
    <t>FUJ-003</t>
  </si>
  <si>
    <t>fi-5015C, 15ppm, Flatbed Fujitsu Color Scanner-Platinum Support</t>
  </si>
  <si>
    <t>FUJ-033</t>
  </si>
  <si>
    <t>fi-6130, 40ppm/80ipm Fujitsu Color Scanner-Standard Support</t>
  </si>
  <si>
    <t>FUJ-021</t>
  </si>
  <si>
    <t>ScanSnap S1500 (Bundle) Fujitsu Color Scanner-Platinum Support</t>
  </si>
  <si>
    <t>FUJ-032</t>
  </si>
  <si>
    <t>fi-6110, 20ppm/40ipm ADF Fujitsu Color Scanner-Standard Support</t>
  </si>
  <si>
    <t>FUJ-022</t>
  </si>
  <si>
    <t>ScanSnap S1500 (PC) Fujitsu Color Scanner-Platinum Support</t>
  </si>
  <si>
    <t>FUJ-023</t>
  </si>
  <si>
    <t>ScanSnap S1500 Trade Compliant Fujitsu Color Scanner-Platinum Support</t>
  </si>
  <si>
    <t>FUJ-024</t>
  </si>
  <si>
    <t>ScanSnap S1500M (Mac) 20ppm Fujitsu Color Scanner-Platinum Support</t>
  </si>
  <si>
    <t>FUJ-007</t>
  </si>
  <si>
    <t>fi-60F, 5.83 x 4.13, Flatbed Fujitsu Color Scanner-Platinum Support</t>
  </si>
  <si>
    <t>891-4228 - Standard Support</t>
  </si>
  <si>
    <t>159-8143 - Standard Support</t>
  </si>
  <si>
    <t>851-6254 - Standard Support</t>
  </si>
  <si>
    <t>851-7476 - Standard Support</t>
  </si>
  <si>
    <t>114-7925 - Standard Support</t>
  </si>
  <si>
    <t>101-2434 - Standard Support</t>
  </si>
  <si>
    <t>825-9426 - Standard Support</t>
  </si>
  <si>
    <t>122-0169 - Standard Support</t>
  </si>
  <si>
    <t>141-9787 - Standard Support</t>
  </si>
  <si>
    <t>825-2843 - Standard Support</t>
  </si>
  <si>
    <t>827-2676 - Standard Support</t>
  </si>
  <si>
    <t>876-6198 - Standard Support</t>
  </si>
  <si>
    <t>823-6697 - Standard Support</t>
  </si>
  <si>
    <t>876-1850 - Standard Support</t>
  </si>
  <si>
    <t>861-2459 - Standard Support</t>
  </si>
  <si>
    <t>888-2649 - Standard Support</t>
  </si>
  <si>
    <t>845-3508 - Standard Support</t>
  </si>
  <si>
    <t>144-3589 - Standard Support</t>
  </si>
  <si>
    <t>153-4270 - Standard Support</t>
  </si>
  <si>
    <t>186-7852 - Standard Support</t>
  </si>
  <si>
    <t>180-2230 - Standard Support</t>
  </si>
  <si>
    <t>120-0013 - Standard Support</t>
  </si>
  <si>
    <t>199-2882 - Standard Support</t>
  </si>
  <si>
    <t>873-8056 - Standard Support</t>
  </si>
  <si>
    <t>168-6161 - Standard Support</t>
  </si>
  <si>
    <t>814-8041 - Standard Support</t>
  </si>
  <si>
    <t>831-8214 - Standard Support</t>
  </si>
  <si>
    <t>867-7288 - Standard Support</t>
  </si>
  <si>
    <t>891-1448 - Standard Support</t>
  </si>
  <si>
    <t>105-5755 - Standard Support</t>
  </si>
  <si>
    <t>862-1716 - Standard Support</t>
  </si>
  <si>
    <t>891-4228 - Platinum Support</t>
  </si>
  <si>
    <t>159-8143 - Platinum Support</t>
  </si>
  <si>
    <t>851-6254 - Platinum Support</t>
  </si>
  <si>
    <t>851-7476 - Platinum Support</t>
  </si>
  <si>
    <t>114-7925 - Platinum Support</t>
  </si>
  <si>
    <t>101-2434 - Platinum Support</t>
  </si>
  <si>
    <t>825-9426 - Platinum Support</t>
  </si>
  <si>
    <t>122-0169 - Platinum Support</t>
  </si>
  <si>
    <t>141-9787 - Platinum Support</t>
  </si>
  <si>
    <t>825-2843 - Platinum Support</t>
  </si>
  <si>
    <t>827-2676 - Platinum Support</t>
  </si>
  <si>
    <t>876-6198 - Platinum Support</t>
  </si>
  <si>
    <t>823-6697 - Platinum Support</t>
  </si>
  <si>
    <t>876-1850 - Platinum Support</t>
  </si>
  <si>
    <t>861-2459 - Platinum Support</t>
  </si>
  <si>
    <t>888-2649 - Platinum Support</t>
  </si>
  <si>
    <t>845-3508 - Platinum Support</t>
  </si>
  <si>
    <t>144-3589 - Platinum Support</t>
  </si>
  <si>
    <t>153-4270 - Platinum Support</t>
  </si>
  <si>
    <t>186-7852 - Platinum Support</t>
  </si>
  <si>
    <t>180-2230 - Platinum Support</t>
  </si>
  <si>
    <t>120-0013 - Platinum Support</t>
  </si>
  <si>
    <t>199-2882 - Platinum Support</t>
  </si>
  <si>
    <t>873-8056 - Platinum Support</t>
  </si>
  <si>
    <t>168-6161 - Platinum Support</t>
  </si>
  <si>
    <t>814-8041 - Platinum Support</t>
  </si>
  <si>
    <t>831-8214 - Platinum Support</t>
  </si>
  <si>
    <t>867-7288 - Platinum Support</t>
  </si>
  <si>
    <t>891-1448 - Platinum Support</t>
  </si>
  <si>
    <t>105-5755 - Platinum Support</t>
  </si>
  <si>
    <t>Offsite / Onsite Scanning Services Cost Proposal, Tab 5</t>
  </si>
  <si>
    <t>Onsite</t>
  </si>
  <si>
    <t>Offsite</t>
  </si>
  <si>
    <t>SERVICE REQUESTED</t>
  </si>
  <si>
    <t>Flat Fee</t>
  </si>
  <si>
    <t>COST/Copy</t>
  </si>
  <si>
    <t>A</t>
  </si>
  <si>
    <t xml:space="preserve">Paper up to 11 x 17 converted into TIFF Group-4 (black and white) images at 200dpi including document scanning and digital enhancement (despekle, deskew).  </t>
  </si>
  <si>
    <t>Price Per Image</t>
  </si>
  <si>
    <t>B</t>
  </si>
  <si>
    <t>Paper up to 11" x 17" converted into TIFF or JPEG (color or grayscale) images at resolution of up to 400dpi.</t>
  </si>
  <si>
    <t>Color/grayscale images within black/white documents (Price per Image)</t>
  </si>
  <si>
    <t>Documents consist of all color/grayscale images (Price per Image)</t>
  </si>
  <si>
    <t>C</t>
  </si>
  <si>
    <t xml:space="preserve">Paper of stated size converted into TIFF Group-4 (black and white) images at 200dpi including document scanning and digital enhancement (despekle, deskew).  </t>
  </si>
  <si>
    <t>12" x 18" (Price per Image)</t>
  </si>
  <si>
    <t>18" x 24" (price per Image)</t>
  </si>
  <si>
    <t>24" x 36" (Price per Image)</t>
  </si>
  <si>
    <t>36" x 48" (Price per Image)</t>
  </si>
  <si>
    <t>Roll 36" x (Price per linear ft)</t>
  </si>
  <si>
    <t>D</t>
  </si>
  <si>
    <t xml:space="preserve">Paper size larger than 11" x 17" converted into TIFF or JPEG (color or grayscale) images at resolution of up to 400dpi, including document preparation and scanning.  </t>
  </si>
  <si>
    <t>E</t>
  </si>
  <si>
    <t>Bound volume or book scanning (up to 11" x 17" converted into TIFF or PDF images at resolution of up to 400dpi.</t>
  </si>
  <si>
    <t>Bound Book Scanning (black/white up to 400dpi TIFF)</t>
  </si>
  <si>
    <t>Bound book scanning (color or grayscale up to 400dpi TIFF, PDF, or JPEG)</t>
  </si>
  <si>
    <t>F</t>
  </si>
  <si>
    <t>Scanning of COM Microfiche or Jacketed Microfiche to TIFF Group-4 (black and white) images at 200dpi including digital enhancements (despekle, deskew).</t>
  </si>
  <si>
    <t>Microfiche COM (Price per Image)</t>
  </si>
  <si>
    <t>Microfiche - Jacketed (Price per Image)</t>
  </si>
  <si>
    <t>G</t>
  </si>
  <si>
    <t>Scanning of 16mm or 35mm Microfilm rolls to TIFF Group-4 (black and white) images at 200dpi including digital enhancements (despekle, deskew).</t>
  </si>
  <si>
    <t>Microfilm Scanning - 16mm film (Price per Image)</t>
  </si>
  <si>
    <t>Microfilm Scanning - 35mm film (Price per Image)</t>
  </si>
  <si>
    <t>H</t>
  </si>
  <si>
    <t>Additional Imaging Conversion Services</t>
  </si>
  <si>
    <t>Indexing Services (Per Character)</t>
  </si>
  <si>
    <t>Conversion of TIFF to Adobe PDF file Format (Per Image)</t>
  </si>
  <si>
    <t>Optical Character Recognition - OCR - (Per Image)</t>
  </si>
  <si>
    <t>Document Preparation</t>
  </si>
  <si>
    <t>Document Reassembly</t>
  </si>
  <si>
    <t>Boxing documents for transport</t>
  </si>
  <si>
    <t>$4.00/box</t>
  </si>
  <si>
    <t>Transport of documents</t>
  </si>
  <si>
    <t>No Charge</t>
  </si>
  <si>
    <t>CD Master (Each)</t>
  </si>
  <si>
    <t>CD Duplicate (Each)</t>
  </si>
  <si>
    <t>DVD Master (Each)</t>
  </si>
  <si>
    <t>DVD Duplicate (Each)</t>
  </si>
  <si>
    <t>Book Rebinding</t>
  </si>
  <si>
    <t>$35/Book</t>
  </si>
  <si>
    <t>Masterscan Document Surveyor-Standard Support</t>
  </si>
  <si>
    <t>Masterscan Document Surveyor-Platinum Support</t>
  </si>
  <si>
    <t>Exhibit B continued</t>
  </si>
  <si>
    <t>BIS</t>
  </si>
  <si>
    <t>EMC</t>
  </si>
  <si>
    <t>Kofax</t>
  </si>
  <si>
    <t>Rightfax</t>
  </si>
  <si>
    <t>Kace</t>
  </si>
  <si>
    <t>IBML</t>
  </si>
  <si>
    <t>Rimage</t>
  </si>
  <si>
    <t>Equallogic</t>
  </si>
  <si>
    <t>Lowest Price GSA Match or better</t>
  </si>
  <si>
    <t>Software Pricing</t>
  </si>
  <si>
    <t>See example of GSA Pricing on some EMC products PDF attachment.  Other product discounts on EMC products may be less.</t>
  </si>
  <si>
    <t>DR-G1130, 130ppm/260ipm Canon Color Scanner</t>
  </si>
  <si>
    <t>DR-G1100, 100 ppm / 200ipm Canon Color Scanner</t>
  </si>
  <si>
    <t>DR-X10C, 128ppm/256ipm Canon Color Scanner</t>
  </si>
  <si>
    <t xml:space="preserve">DR-1210C Feed Roller Unit </t>
  </si>
  <si>
    <t>DR-2020U Feed Roller Unit</t>
  </si>
  <si>
    <t>DR-2020U, 20ppm/40ipm Feed Roller Unit, DR--2020U</t>
  </si>
  <si>
    <t>DR-2050C/2080C Exch Roller Kit</t>
  </si>
  <si>
    <t>DR-2580C Exch Roller Kit</t>
  </si>
  <si>
    <t>DR-2580C, 25ppm/50ipm Exch Roller Kit, DR-2580C</t>
  </si>
  <si>
    <t>DR-3010C Exchange Roller Kit</t>
  </si>
  <si>
    <t>DR-3010C, 30ppm Exchange Roller Kit, 3010C</t>
  </si>
  <si>
    <t xml:space="preserve">DR-4010/6010C Exch Roller Kit </t>
  </si>
  <si>
    <t>DR-4010C, 40ppm/80ipm Exch Roller Kit 4010/6010C</t>
  </si>
  <si>
    <t xml:space="preserve">DR-4080U Exchange Roller Kit </t>
  </si>
  <si>
    <t>DR-5010/6030 Exchange Roller Kit</t>
  </si>
  <si>
    <t>DR-5020/5080 Exchange Roller Kit</t>
  </si>
  <si>
    <t>DR-6010C, 60ppm/ 120ipm Exch Roller Kit 4010/6010C</t>
  </si>
  <si>
    <t>DR-6030C, 80ppm/160ipm Exchange Roller Kit, 5010/6030</t>
  </si>
  <si>
    <t>DR-6050C, 65ppm/130ipm Exch Roller Kit 6050/7550/9050</t>
  </si>
  <si>
    <t xml:space="preserve">DR-7080C Exchange Roller Kit </t>
  </si>
  <si>
    <t>DR-7090C, 70ppm/88ipm Exchange Roller Kit, DR-7090C</t>
  </si>
  <si>
    <t>DR-X10C Exchange Roller Kit</t>
  </si>
  <si>
    <t>DR-X10C, 128ppm/256ipm Exchange Roller Kit, DR-X10C</t>
  </si>
  <si>
    <t>Exchange Roller Kit, DR-7090C</t>
  </si>
  <si>
    <t>DR-2020U, 20ppm/40ipm Canon Color Scanner</t>
  </si>
  <si>
    <t>DR-3010C, 30ppm Canon Color Scanner</t>
  </si>
  <si>
    <t>DR-6010C, 60ppm/ 120ipm Canon Color Scanner</t>
  </si>
  <si>
    <t>DR-6030C, 80ppm/160ipm Canon Color Scanner</t>
  </si>
  <si>
    <t xml:space="preserve">6050/7550/9050/G1100/G1130 Exch Roller Kit </t>
  </si>
  <si>
    <t>CR-190i, 190cpm Canon Check Scanner</t>
  </si>
  <si>
    <t>CR-190i,135i Exch. Roller Kit</t>
  </si>
  <si>
    <t>CR-135i, 135cpm Canon Check Scanner</t>
  </si>
  <si>
    <t>DR-7550C, 90 ppm / 180 ipm Exch Roller Kit 6050/7550/9050/G1100/G1130</t>
  </si>
  <si>
    <t>DR-9050C, 112ppm/225ipm Exch Roller Kit 6050/7550/9050/G1100/G1130</t>
  </si>
  <si>
    <t>Formatta/Formsoft</t>
  </si>
  <si>
    <t>8074B002</t>
  </si>
  <si>
    <t>8073B002</t>
  </si>
  <si>
    <t>DR-M160, 60ppm/120ipm Canon Color Scanner</t>
  </si>
  <si>
    <t>5483B002</t>
  </si>
  <si>
    <t>5482B002</t>
  </si>
  <si>
    <t>DR-M140, 40ppm/80ipm Canon Color Scanner</t>
  </si>
  <si>
    <t>DR-C130, 30ppm/60ipm Canon Color Scanner</t>
  </si>
  <si>
    <t>DR-C125, 25ppm/50ipm Canon Color Scanner</t>
  </si>
  <si>
    <t>6583B002</t>
  </si>
  <si>
    <t>5005B002</t>
  </si>
  <si>
    <t>CR-50, 50cpm Canon Check Scanner</t>
  </si>
  <si>
    <t>5367B002</t>
  </si>
  <si>
    <t xml:space="preserve">CR-80, 80cpm Canon Check Scanner </t>
  </si>
  <si>
    <t>5368B002</t>
  </si>
  <si>
    <t>4575B007</t>
  </si>
  <si>
    <t>4574B007</t>
  </si>
  <si>
    <t>ScanFront 300 CAC/PIV 30ppm/60ipm Scanner</t>
  </si>
  <si>
    <t>ScanFront 300P CAC/PIV 30ppm/60ipm 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</si>
</sst>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00_);[Red]\(&quot;$&quot;#,##0.000\)"/>
    <numFmt numFmtId="166" formatCode="&quot;$&quot;#,##0.0000_);[Red]\(&quot;$&quot;#,##0.0000\)"/>
    <numFmt numFmtId="167" formatCode="&quot;$&quot;#,##0.00000_);[Red]\(&quot;$&quot;#,##0.0000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64BE"/>
      <name val="Cambria"/>
      <family val="1"/>
      <scheme val="major"/>
    </font>
    <font>
      <sz val="16"/>
      <name val="Cambria"/>
      <family val="1"/>
      <scheme val="maj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3" fontId="9" fillId="0" borderId="1">
      <alignment horizontal="left" vertical="center" wrapText="1"/>
    </xf>
    <xf numFmtId="0" fontId="8" fillId="0" borderId="0">
      <alignment vertical="top" wrapText="1"/>
    </xf>
    <xf numFmtId="3" fontId="10" fillId="0" borderId="7">
      <alignment vertical="top" wrapText="1"/>
    </xf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 wrapText="1"/>
    </xf>
    <xf numFmtId="0" fontId="8" fillId="0" borderId="0"/>
    <xf numFmtId="0" fontId="8" fillId="0" borderId="0"/>
  </cellStyleXfs>
  <cellXfs count="84"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/>
    <xf numFmtId="164" fontId="0" fillId="0" borderId="1" xfId="0" applyNumberFormat="1" applyBorder="1"/>
    <xf numFmtId="0" fontId="4" fillId="2" borderId="1" xfId="0" applyFont="1" applyFill="1" applyBorder="1" applyAlignment="1">
      <alignment vertical="top"/>
    </xf>
    <xf numFmtId="9" fontId="0" fillId="0" borderId="1" xfId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6" fontId="5" fillId="2" borderId="1" xfId="0" applyNumberFormat="1" applyFont="1" applyFill="1" applyBorder="1"/>
    <xf numFmtId="164" fontId="5" fillId="2" borderId="1" xfId="0" applyNumberFormat="1" applyFont="1" applyFill="1" applyBorder="1"/>
    <xf numFmtId="0" fontId="0" fillId="0" borderId="0" xfId="0"/>
    <xf numFmtId="0" fontId="0" fillId="2" borderId="1" xfId="0" applyFill="1" applyBorder="1"/>
    <xf numFmtId="9" fontId="0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5" fontId="0" fillId="3" borderId="1" xfId="0" applyNumberFormat="1" applyFill="1" applyBorder="1"/>
    <xf numFmtId="0" fontId="0" fillId="0" borderId="1" xfId="0" applyBorder="1" applyAlignment="1">
      <alignment vertical="top" wrapText="1"/>
    </xf>
    <xf numFmtId="0" fontId="0" fillId="3" borderId="1" xfId="0" applyFill="1" applyBorder="1"/>
    <xf numFmtId="166" fontId="0" fillId="3" borderId="1" xfId="0" applyNumberFormat="1" applyFill="1" applyBorder="1"/>
    <xf numFmtId="167" fontId="0" fillId="3" borderId="1" xfId="0" applyNumberFormat="1" applyFill="1" applyBorder="1"/>
    <xf numFmtId="9" fontId="5" fillId="2" borderId="1" xfId="1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6" fillId="0" borderId="0" xfId="0" applyFont="1" applyAlignme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8" fontId="6" fillId="0" borderId="1" xfId="0" applyNumberFormat="1" applyFont="1" applyBorder="1" applyAlignment="1"/>
    <xf numFmtId="6" fontId="6" fillId="0" borderId="1" xfId="0" applyNumberFormat="1" applyFont="1" applyBorder="1" applyAlignment="1"/>
    <xf numFmtId="0" fontId="6" fillId="0" borderId="0" xfId="0" applyFont="1" applyAlignment="1">
      <alignment horizontal="left"/>
    </xf>
    <xf numFmtId="8" fontId="4" fillId="2" borderId="1" xfId="10" applyNumberFormat="1" applyFont="1" applyFill="1" applyBorder="1"/>
    <xf numFmtId="0" fontId="0" fillId="2" borderId="1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2" borderId="0" xfId="0" applyFill="1"/>
    <xf numFmtId="6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5" fillId="2" borderId="1" xfId="0" applyFont="1" applyFill="1" applyBorder="1"/>
    <xf numFmtId="8" fontId="0" fillId="2" borderId="1" xfId="0" applyNumberFormat="1" applyFont="1" applyFill="1" applyBorder="1"/>
    <xf numFmtId="6" fontId="0" fillId="2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/>
    <xf numFmtId="0" fontId="13" fillId="0" borderId="15" xfId="0" applyFont="1" applyBorder="1"/>
    <xf numFmtId="9" fontId="13" fillId="0" borderId="16" xfId="0" applyNumberFormat="1" applyFont="1" applyBorder="1" applyAlignment="1">
      <alignment horizontal="center"/>
    </xf>
    <xf numFmtId="0" fontId="13" fillId="4" borderId="15" xfId="0" applyFont="1" applyFill="1" applyBorder="1"/>
    <xf numFmtId="0" fontId="13" fillId="4" borderId="16" xfId="0" applyFont="1" applyFill="1" applyBorder="1" applyAlignment="1">
      <alignment horizontal="center"/>
    </xf>
    <xf numFmtId="0" fontId="13" fillId="0" borderId="16" xfId="0" applyFont="1" applyBorder="1" applyAlignment="1">
      <alignment horizontal="center"/>
    </xf>
    <xf numFmtId="9" fontId="13" fillId="4" borderId="16" xfId="0" applyNumberFormat="1" applyFont="1" applyFill="1" applyBorder="1" applyAlignment="1">
      <alignment horizontal="center"/>
    </xf>
    <xf numFmtId="164" fontId="6" fillId="2" borderId="1" xfId="0" applyNumberFormat="1" applyFont="1" applyFill="1" applyBorder="1"/>
    <xf numFmtId="0" fontId="12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12" fillId="2" borderId="14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20">
    <cellStyle name="Comma 2" xfId="3"/>
    <cellStyle name="Comma 2 2" xfId="14"/>
    <cellStyle name="Currency 2" xfId="4"/>
    <cellStyle name="Currency 2 2" xfId="15"/>
    <cellStyle name="Header" xfId="6"/>
    <cellStyle name="Item" xfId="8"/>
    <cellStyle name="Normal" xfId="0" builtinId="0"/>
    <cellStyle name="Normal 2" xfId="2"/>
    <cellStyle name="Normal 2 2" xfId="9"/>
    <cellStyle name="Normal 2 2 2" xfId="18"/>
    <cellStyle name="Normal 3" xfId="11"/>
    <cellStyle name="Normal 4" xfId="12"/>
    <cellStyle name="Normal 5" xfId="10"/>
    <cellStyle name="Normal 5 2" xfId="19"/>
    <cellStyle name="Normal 5 3" xfId="13"/>
    <cellStyle name="Percent" xfId="1" builtinId="5"/>
    <cellStyle name="Percent 2" xfId="5"/>
    <cellStyle name="Percent 2 2" xfId="16"/>
    <cellStyle name="Stil 1" xfId="7"/>
    <cellStyle name="Stil 1 2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6"/>
  <sheetViews>
    <sheetView tabSelected="1" view="pageBreakPreview" zoomScale="85" zoomScaleNormal="100" zoomScaleSheetLayoutView="85" zoomScalePageLayoutView="70" workbookViewId="0">
      <selection activeCell="G5" sqref="G5"/>
    </sheetView>
  </sheetViews>
  <sheetFormatPr defaultRowHeight="11.25" customHeight="1" x14ac:dyDescent="0.2"/>
  <cols>
    <col min="1" max="1" width="16.28515625" style="27" bestFit="1" customWidth="1"/>
    <col min="2" max="2" width="115.140625" style="34" customWidth="1"/>
    <col min="3" max="3" width="15.140625" style="29" bestFit="1" customWidth="1"/>
    <col min="4" max="4" width="14.42578125" style="29" customWidth="1"/>
    <col min="5" max="5" width="10.7109375" style="27" bestFit="1" customWidth="1"/>
    <col min="6" max="16384" width="9.140625" style="26"/>
  </cols>
  <sheetData>
    <row r="1" spans="1:5" ht="11.25" customHeight="1" x14ac:dyDescent="0.2">
      <c r="A1" s="58" t="s">
        <v>7791</v>
      </c>
      <c r="B1" s="58"/>
      <c r="C1" s="58"/>
      <c r="D1" s="58"/>
      <c r="E1" s="58"/>
    </row>
    <row r="2" spans="1:5" ht="11.25" customHeight="1" x14ac:dyDescent="0.2">
      <c r="A2" s="59"/>
      <c r="B2" s="59"/>
      <c r="C2" s="59"/>
      <c r="D2" s="59"/>
      <c r="E2" s="59"/>
    </row>
    <row r="3" spans="1:5" ht="11.25" customHeight="1" x14ac:dyDescent="0.2">
      <c r="A3" s="48" t="s">
        <v>0</v>
      </c>
      <c r="B3" s="49" t="s">
        <v>1</v>
      </c>
      <c r="C3" s="50" t="s">
        <v>2</v>
      </c>
      <c r="D3" s="50" t="s">
        <v>3</v>
      </c>
      <c r="E3" s="48" t="s">
        <v>4</v>
      </c>
    </row>
    <row r="4" spans="1:5" ht="11.25" customHeight="1" x14ac:dyDescent="0.2">
      <c r="A4" s="30" t="s">
        <v>25</v>
      </c>
      <c r="B4" s="31" t="s">
        <v>7834</v>
      </c>
      <c r="C4" s="32">
        <v>2795</v>
      </c>
      <c r="D4" s="57">
        <v>2347.7999999999997</v>
      </c>
      <c r="E4" s="28">
        <f>1-SUM(D4/C4)</f>
        <v>0.16000000000000014</v>
      </c>
    </row>
    <row r="5" spans="1:5" ht="11.25" customHeight="1" x14ac:dyDescent="0.2">
      <c r="A5" s="30" t="s">
        <v>26</v>
      </c>
      <c r="B5" s="31" t="s">
        <v>7832</v>
      </c>
      <c r="C5" s="32">
        <v>3495</v>
      </c>
      <c r="D5" s="32">
        <v>2621.25</v>
      </c>
      <c r="E5" s="28">
        <f t="shared" ref="E5:E19" si="0">1-SUM(D5/C5)</f>
        <v>0.25</v>
      </c>
    </row>
    <row r="6" spans="1:5" ht="11.25" customHeight="1" x14ac:dyDescent="0.2">
      <c r="A6" s="30" t="s">
        <v>7849</v>
      </c>
      <c r="B6" s="31" t="s">
        <v>7848</v>
      </c>
      <c r="C6" s="32">
        <v>795</v>
      </c>
      <c r="D6" s="32">
        <f>C6*0.75</f>
        <v>596.25</v>
      </c>
      <c r="E6" s="28">
        <f t="shared" si="0"/>
        <v>0.25</v>
      </c>
    </row>
    <row r="7" spans="1:5" ht="11.25" customHeight="1" x14ac:dyDescent="0.2">
      <c r="A7" s="30" t="s">
        <v>7851</v>
      </c>
      <c r="B7" s="31" t="s">
        <v>7850</v>
      </c>
      <c r="C7" s="32">
        <v>995</v>
      </c>
      <c r="D7" s="32">
        <f>C7*0.75</f>
        <v>746.25</v>
      </c>
      <c r="E7" s="28">
        <f t="shared" si="0"/>
        <v>0.25</v>
      </c>
    </row>
    <row r="8" spans="1:5" ht="11.25" customHeight="1" x14ac:dyDescent="0.2">
      <c r="A8" s="30" t="s">
        <v>7847</v>
      </c>
      <c r="B8" s="31" t="s">
        <v>7845</v>
      </c>
      <c r="C8" s="32">
        <v>495</v>
      </c>
      <c r="D8" s="32">
        <f>C8*0.84</f>
        <v>415.8</v>
      </c>
      <c r="E8" s="28">
        <f t="shared" si="0"/>
        <v>0.16000000000000003</v>
      </c>
    </row>
    <row r="9" spans="1:5" ht="11.25" customHeight="1" x14ac:dyDescent="0.2">
      <c r="A9" s="30" t="s">
        <v>7846</v>
      </c>
      <c r="B9" s="31" t="s">
        <v>7844</v>
      </c>
      <c r="C9" s="32">
        <v>595</v>
      </c>
      <c r="D9" s="32">
        <f>C9*0.84</f>
        <v>499.79999999999995</v>
      </c>
      <c r="E9" s="28">
        <f t="shared" si="0"/>
        <v>0.16000000000000003</v>
      </c>
    </row>
    <row r="10" spans="1:5" ht="11.25" customHeight="1" x14ac:dyDescent="0.2">
      <c r="A10" s="30" t="s">
        <v>27</v>
      </c>
      <c r="B10" s="31" t="s">
        <v>7827</v>
      </c>
      <c r="C10" s="32">
        <v>695</v>
      </c>
      <c r="D10" s="57">
        <v>583.79999999999995</v>
      </c>
      <c r="E10" s="28">
        <f t="shared" si="0"/>
        <v>0.16000000000000003</v>
      </c>
    </row>
    <row r="11" spans="1:5" ht="11.25" customHeight="1" x14ac:dyDescent="0.2">
      <c r="A11" s="30" t="s">
        <v>28</v>
      </c>
      <c r="B11" s="31" t="s">
        <v>7828</v>
      </c>
      <c r="C11" s="32">
        <v>1095</v>
      </c>
      <c r="D11" s="32">
        <v>766.5</v>
      </c>
      <c r="E11" s="28">
        <f t="shared" si="0"/>
        <v>0.30000000000000004</v>
      </c>
    </row>
    <row r="12" spans="1:5" ht="11.25" customHeight="1" x14ac:dyDescent="0.2">
      <c r="A12" s="30" t="s">
        <v>7842</v>
      </c>
      <c r="B12" s="31" t="s">
        <v>7843</v>
      </c>
      <c r="C12" s="32">
        <v>1195</v>
      </c>
      <c r="D12" s="32">
        <f>C12*0.7</f>
        <v>836.5</v>
      </c>
      <c r="E12" s="28">
        <f t="shared" ref="E12" si="1">1-SUM(D12/C12)</f>
        <v>0.30000000000000004</v>
      </c>
    </row>
    <row r="13" spans="1:5" ht="11.25" customHeight="1" x14ac:dyDescent="0.2">
      <c r="A13" s="30" t="s">
        <v>7841</v>
      </c>
      <c r="B13" s="31" t="s">
        <v>7840</v>
      </c>
      <c r="C13" s="32">
        <v>1295</v>
      </c>
      <c r="D13" s="32">
        <f>C13*0.7</f>
        <v>906.49999999999989</v>
      </c>
      <c r="E13" s="28">
        <f t="shared" si="0"/>
        <v>0.30000000000000004</v>
      </c>
    </row>
    <row r="14" spans="1:5" ht="11.25" customHeight="1" x14ac:dyDescent="0.2">
      <c r="A14" s="30" t="s">
        <v>29</v>
      </c>
      <c r="B14" s="31" t="s">
        <v>7829</v>
      </c>
      <c r="C14" s="32">
        <v>3495</v>
      </c>
      <c r="D14" s="32">
        <v>2446.5</v>
      </c>
      <c r="E14" s="28">
        <f t="shared" si="0"/>
        <v>0.30000000000000004</v>
      </c>
    </row>
    <row r="15" spans="1:5" ht="11.25" customHeight="1" x14ac:dyDescent="0.2">
      <c r="A15" s="30" t="s">
        <v>30</v>
      </c>
      <c r="B15" s="31" t="s">
        <v>7830</v>
      </c>
      <c r="C15" s="32">
        <v>4495</v>
      </c>
      <c r="D15" s="57">
        <v>3011.6499999999996</v>
      </c>
      <c r="E15" s="28">
        <f t="shared" si="0"/>
        <v>0.33000000000000007</v>
      </c>
    </row>
    <row r="16" spans="1:5" ht="11.25" customHeight="1" x14ac:dyDescent="0.2">
      <c r="A16" s="30" t="s">
        <v>7838</v>
      </c>
      <c r="B16" s="31" t="s">
        <v>7804</v>
      </c>
      <c r="C16" s="32">
        <v>6775</v>
      </c>
      <c r="D16" s="32">
        <v>4742.5</v>
      </c>
      <c r="E16" s="28">
        <f t="shared" si="0"/>
        <v>0.30000000000000004</v>
      </c>
    </row>
    <row r="17" spans="1:5" ht="11.25" customHeight="1" x14ac:dyDescent="0.2">
      <c r="A17" s="30" t="s">
        <v>7839</v>
      </c>
      <c r="B17" s="31" t="s">
        <v>7803</v>
      </c>
      <c r="C17" s="32">
        <v>9975</v>
      </c>
      <c r="D17" s="32">
        <v>6982.5</v>
      </c>
      <c r="E17" s="28">
        <f t="shared" si="0"/>
        <v>0.30000000000000004</v>
      </c>
    </row>
    <row r="18" spans="1:5" ht="11.25" customHeight="1" x14ac:dyDescent="0.2">
      <c r="A18" s="30" t="s">
        <v>31</v>
      </c>
      <c r="B18" s="31" t="s">
        <v>7805</v>
      </c>
      <c r="C18" s="32">
        <v>17995</v>
      </c>
      <c r="D18" s="32">
        <v>17200</v>
      </c>
      <c r="E18" s="28">
        <f t="shared" si="0"/>
        <v>4.4178938594053863E-2</v>
      </c>
    </row>
    <row r="19" spans="1:5" ht="11.25" customHeight="1" x14ac:dyDescent="0.2">
      <c r="A19" s="30" t="s">
        <v>32</v>
      </c>
      <c r="B19" s="31" t="s">
        <v>33</v>
      </c>
      <c r="C19" s="32">
        <v>295</v>
      </c>
      <c r="D19" s="32">
        <v>265.5</v>
      </c>
      <c r="E19" s="28">
        <f t="shared" si="0"/>
        <v>9.9999999999999978E-2</v>
      </c>
    </row>
    <row r="20" spans="1:5" ht="11.25" customHeight="1" x14ac:dyDescent="0.2">
      <c r="A20" s="30" t="s">
        <v>40</v>
      </c>
      <c r="B20" s="31" t="s">
        <v>41</v>
      </c>
      <c r="C20" s="32">
        <v>2295</v>
      </c>
      <c r="D20" s="32">
        <f>C20*0.8</f>
        <v>1836</v>
      </c>
      <c r="E20" s="28">
        <v>0.19999999999999996</v>
      </c>
    </row>
    <row r="21" spans="1:5" ht="11.25" customHeight="1" x14ac:dyDescent="0.2">
      <c r="A21" s="30" t="s">
        <v>38</v>
      </c>
      <c r="B21" s="31" t="s">
        <v>39</v>
      </c>
      <c r="C21" s="32">
        <v>1995</v>
      </c>
      <c r="D21" s="32">
        <f t="shared" ref="D21:D25" si="2">C21*0.8</f>
        <v>1596</v>
      </c>
      <c r="E21" s="28">
        <v>0.19999999999999996</v>
      </c>
    </row>
    <row r="22" spans="1:5" ht="11.25" customHeight="1" x14ac:dyDescent="0.2">
      <c r="A22" s="30" t="s">
        <v>7852</v>
      </c>
      <c r="B22" s="31" t="s">
        <v>7855</v>
      </c>
      <c r="C22" s="32">
        <v>2695</v>
      </c>
      <c r="D22" s="32">
        <f t="shared" si="2"/>
        <v>2156</v>
      </c>
      <c r="E22" s="28">
        <v>0.19999999999999996</v>
      </c>
    </row>
    <row r="23" spans="1:5" ht="11.25" customHeight="1" x14ac:dyDescent="0.2">
      <c r="A23" s="30" t="s">
        <v>7853</v>
      </c>
      <c r="B23" s="31" t="s">
        <v>7854</v>
      </c>
      <c r="C23" s="32">
        <v>2395</v>
      </c>
      <c r="D23" s="32">
        <f t="shared" si="2"/>
        <v>1916</v>
      </c>
      <c r="E23" s="28">
        <v>0.19999999999999996</v>
      </c>
    </row>
    <row r="24" spans="1:5" ht="11.25" customHeight="1" x14ac:dyDescent="0.2">
      <c r="A24" s="30" t="s">
        <v>36</v>
      </c>
      <c r="B24" s="31" t="s">
        <v>37</v>
      </c>
      <c r="C24" s="32">
        <v>3195</v>
      </c>
      <c r="D24" s="32">
        <f t="shared" si="2"/>
        <v>2556</v>
      </c>
      <c r="E24" s="28">
        <v>0.19999999999999996</v>
      </c>
    </row>
    <row r="25" spans="1:5" ht="11.25" customHeight="1" x14ac:dyDescent="0.2">
      <c r="A25" s="30" t="s">
        <v>34</v>
      </c>
      <c r="B25" s="31" t="s">
        <v>35</v>
      </c>
      <c r="C25" s="32">
        <v>2995</v>
      </c>
      <c r="D25" s="32">
        <f t="shared" si="2"/>
        <v>2396</v>
      </c>
      <c r="E25" s="28">
        <v>0.19999999999999996</v>
      </c>
    </row>
    <row r="26" spans="1:5" ht="11.25" customHeight="1" x14ac:dyDescent="0.2">
      <c r="A26" s="30" t="s">
        <v>42</v>
      </c>
      <c r="B26" s="31" t="s">
        <v>7831</v>
      </c>
      <c r="C26" s="32">
        <v>74</v>
      </c>
      <c r="D26" s="32">
        <v>55.5</v>
      </c>
      <c r="E26" s="28">
        <v>0.25</v>
      </c>
    </row>
    <row r="27" spans="1:5" ht="11.25" customHeight="1" x14ac:dyDescent="0.2">
      <c r="A27" s="30" t="s">
        <v>43</v>
      </c>
      <c r="B27" s="31" t="s">
        <v>44</v>
      </c>
      <c r="C27" s="32">
        <v>74</v>
      </c>
      <c r="D27" s="32">
        <v>55.5</v>
      </c>
      <c r="E27" s="28">
        <v>0.25</v>
      </c>
    </row>
    <row r="28" spans="1:5" ht="11.25" customHeight="1" x14ac:dyDescent="0.2">
      <c r="A28" s="30" t="s">
        <v>45</v>
      </c>
      <c r="B28" s="31" t="s">
        <v>7833</v>
      </c>
      <c r="C28" s="32">
        <v>59</v>
      </c>
      <c r="D28" s="32">
        <v>44.25</v>
      </c>
      <c r="E28" s="28">
        <v>0.25</v>
      </c>
    </row>
    <row r="29" spans="1:5" ht="11.25" customHeight="1" x14ac:dyDescent="0.2">
      <c r="A29" s="30" t="s">
        <v>46</v>
      </c>
      <c r="B29" s="31" t="s">
        <v>7806</v>
      </c>
      <c r="C29" s="32">
        <v>45</v>
      </c>
      <c r="D29" s="32">
        <v>33.75</v>
      </c>
      <c r="E29" s="28">
        <v>0.25</v>
      </c>
    </row>
    <row r="30" spans="1:5" ht="11.25" customHeight="1" x14ac:dyDescent="0.2">
      <c r="A30" s="30" t="s">
        <v>47</v>
      </c>
      <c r="B30" s="31" t="s">
        <v>7807</v>
      </c>
      <c r="C30" s="32">
        <v>53</v>
      </c>
      <c r="D30" s="32">
        <v>39.75</v>
      </c>
      <c r="E30" s="28">
        <f t="shared" ref="E30" si="3">1-SUM(D30/C30)</f>
        <v>0.25</v>
      </c>
    </row>
    <row r="31" spans="1:5" ht="11.25" customHeight="1" x14ac:dyDescent="0.2">
      <c r="A31" s="30" t="s">
        <v>47</v>
      </c>
      <c r="B31" s="31" t="s">
        <v>7808</v>
      </c>
      <c r="C31" s="32">
        <v>53</v>
      </c>
      <c r="D31" s="32">
        <v>39.75</v>
      </c>
      <c r="E31" s="28">
        <v>0.25</v>
      </c>
    </row>
    <row r="32" spans="1:5" ht="11.25" customHeight="1" x14ac:dyDescent="0.2">
      <c r="A32" s="30" t="s">
        <v>48</v>
      </c>
      <c r="B32" s="31" t="s">
        <v>7809</v>
      </c>
      <c r="C32" s="32">
        <v>49</v>
      </c>
      <c r="D32" s="32">
        <v>36.75</v>
      </c>
      <c r="E32" s="28">
        <v>0.25</v>
      </c>
    </row>
    <row r="33" spans="1:5" ht="11.25" customHeight="1" x14ac:dyDescent="0.2">
      <c r="A33" s="30" t="s">
        <v>49</v>
      </c>
      <c r="B33" s="31" t="s">
        <v>7810</v>
      </c>
      <c r="C33" s="32">
        <v>63</v>
      </c>
      <c r="D33" s="32">
        <v>50.4</v>
      </c>
      <c r="E33" s="28">
        <v>0.20000000000000007</v>
      </c>
    </row>
    <row r="34" spans="1:5" ht="11.25" customHeight="1" x14ac:dyDescent="0.2">
      <c r="A34" s="30" t="s">
        <v>49</v>
      </c>
      <c r="B34" s="31" t="s">
        <v>7811</v>
      </c>
      <c r="C34" s="32">
        <v>63</v>
      </c>
      <c r="D34" s="32">
        <v>50.4</v>
      </c>
      <c r="E34" s="28">
        <v>0.20000000000000007</v>
      </c>
    </row>
    <row r="35" spans="1:5" ht="11.25" customHeight="1" x14ac:dyDescent="0.2">
      <c r="A35" s="30" t="s">
        <v>50</v>
      </c>
      <c r="B35" s="31" t="s">
        <v>7812</v>
      </c>
      <c r="C35" s="32">
        <v>49</v>
      </c>
      <c r="D35" s="32">
        <v>34.299999999999997</v>
      </c>
      <c r="E35" s="28">
        <v>0.30000000000000004</v>
      </c>
    </row>
    <row r="36" spans="1:5" ht="11.25" customHeight="1" x14ac:dyDescent="0.2">
      <c r="A36" s="30" t="s">
        <v>50</v>
      </c>
      <c r="B36" s="31" t="s">
        <v>7813</v>
      </c>
      <c r="C36" s="32">
        <v>49</v>
      </c>
      <c r="D36" s="32">
        <v>34.299999999999997</v>
      </c>
      <c r="E36" s="28">
        <v>0.30000000000000004</v>
      </c>
    </row>
    <row r="37" spans="1:5" ht="11.25" customHeight="1" x14ac:dyDescent="0.2">
      <c r="A37" s="30" t="s">
        <v>51</v>
      </c>
      <c r="B37" s="31" t="s">
        <v>7814</v>
      </c>
      <c r="C37" s="32">
        <v>74</v>
      </c>
      <c r="D37" s="32">
        <v>55.5</v>
      </c>
      <c r="E37" s="28">
        <v>0.25</v>
      </c>
    </row>
    <row r="38" spans="1:5" ht="11.25" customHeight="1" x14ac:dyDescent="0.2">
      <c r="A38" s="30" t="s">
        <v>51</v>
      </c>
      <c r="B38" s="31" t="s">
        <v>7815</v>
      </c>
      <c r="C38" s="32">
        <v>74</v>
      </c>
      <c r="D38" s="32">
        <v>59.2</v>
      </c>
      <c r="E38" s="28">
        <v>0.19999999999999996</v>
      </c>
    </row>
    <row r="39" spans="1:5" ht="11.25" customHeight="1" x14ac:dyDescent="0.2">
      <c r="A39" s="30" t="s">
        <v>52</v>
      </c>
      <c r="B39" s="31" t="s">
        <v>7816</v>
      </c>
      <c r="C39" s="32">
        <v>399</v>
      </c>
      <c r="D39" s="32">
        <v>299.25</v>
      </c>
      <c r="E39" s="28">
        <v>0.25</v>
      </c>
    </row>
    <row r="40" spans="1:5" ht="11.25" customHeight="1" x14ac:dyDescent="0.2">
      <c r="A40" s="30" t="s">
        <v>53</v>
      </c>
      <c r="B40" s="31" t="s">
        <v>7817</v>
      </c>
      <c r="C40" s="32">
        <v>74</v>
      </c>
      <c r="D40" s="32">
        <v>59.2</v>
      </c>
      <c r="E40" s="28">
        <v>0.19999999999999996</v>
      </c>
    </row>
    <row r="41" spans="1:5" ht="11.25" customHeight="1" x14ac:dyDescent="0.2">
      <c r="A41" s="30" t="s">
        <v>54</v>
      </c>
      <c r="B41" s="31" t="s">
        <v>7818</v>
      </c>
      <c r="C41" s="32">
        <v>78</v>
      </c>
      <c r="D41" s="32">
        <v>62.4</v>
      </c>
      <c r="E41" s="28">
        <v>0.20000000000000007</v>
      </c>
    </row>
    <row r="42" spans="1:5" ht="11.25" customHeight="1" x14ac:dyDescent="0.2">
      <c r="A42" s="30" t="s">
        <v>51</v>
      </c>
      <c r="B42" s="31" t="s">
        <v>7819</v>
      </c>
      <c r="C42" s="32">
        <v>74</v>
      </c>
      <c r="D42" s="32">
        <v>59.2</v>
      </c>
      <c r="E42" s="28">
        <v>0.19999999999999996</v>
      </c>
    </row>
    <row r="43" spans="1:5" ht="11.25" customHeight="1" x14ac:dyDescent="0.2">
      <c r="A43" s="30" t="s">
        <v>53</v>
      </c>
      <c r="B43" s="31" t="s">
        <v>7820</v>
      </c>
      <c r="C43" s="32">
        <v>74</v>
      </c>
      <c r="D43" s="32">
        <v>59.2</v>
      </c>
      <c r="E43" s="28">
        <v>0.19999999999999996</v>
      </c>
    </row>
    <row r="44" spans="1:5" ht="11.25" customHeight="1" x14ac:dyDescent="0.2">
      <c r="A44" s="30" t="s">
        <v>42</v>
      </c>
      <c r="B44" s="31" t="s">
        <v>7821</v>
      </c>
      <c r="C44" s="32">
        <v>74</v>
      </c>
      <c r="D44" s="32">
        <v>59.2</v>
      </c>
      <c r="E44" s="28">
        <v>0.19999999999999996</v>
      </c>
    </row>
    <row r="45" spans="1:5" ht="11.25" customHeight="1" x14ac:dyDescent="0.2">
      <c r="A45" s="30" t="s">
        <v>55</v>
      </c>
      <c r="B45" s="31" t="s">
        <v>7822</v>
      </c>
      <c r="C45" s="32">
        <v>115</v>
      </c>
      <c r="D45" s="32">
        <v>86.25</v>
      </c>
      <c r="E45" s="28">
        <v>0.25</v>
      </c>
    </row>
    <row r="46" spans="1:5" ht="11.25" customHeight="1" x14ac:dyDescent="0.2">
      <c r="A46" s="30" t="s">
        <v>56</v>
      </c>
      <c r="B46" s="31" t="s">
        <v>7823</v>
      </c>
      <c r="C46" s="32">
        <v>115</v>
      </c>
      <c r="D46" s="32">
        <v>86.25</v>
      </c>
      <c r="E46" s="28">
        <v>0.25</v>
      </c>
    </row>
    <row r="47" spans="1:5" ht="11.25" customHeight="1" x14ac:dyDescent="0.2">
      <c r="A47" s="30" t="s">
        <v>42</v>
      </c>
      <c r="B47" s="31" t="s">
        <v>7835</v>
      </c>
      <c r="C47" s="32">
        <v>74</v>
      </c>
      <c r="D47" s="32">
        <v>59.2</v>
      </c>
      <c r="E47" s="28">
        <v>0.19999999999999996</v>
      </c>
    </row>
    <row r="48" spans="1:5" ht="11.25" customHeight="1" x14ac:dyDescent="0.2">
      <c r="A48" s="30" t="s">
        <v>42</v>
      </c>
      <c r="B48" s="31" t="s">
        <v>7836</v>
      </c>
      <c r="C48" s="32">
        <v>74</v>
      </c>
      <c r="D48" s="32">
        <v>59.2</v>
      </c>
      <c r="E48" s="28">
        <v>0.19999999999999996</v>
      </c>
    </row>
    <row r="49" spans="1:5" ht="11.25" customHeight="1" x14ac:dyDescent="0.2">
      <c r="A49" s="30" t="s">
        <v>57</v>
      </c>
      <c r="B49" s="31" t="s">
        <v>7824</v>
      </c>
      <c r="C49" s="32">
        <v>130</v>
      </c>
      <c r="D49" s="32">
        <v>104</v>
      </c>
      <c r="E49" s="28">
        <v>0.19999999999999996</v>
      </c>
    </row>
    <row r="50" spans="1:5" ht="11.25" customHeight="1" x14ac:dyDescent="0.2">
      <c r="A50" s="30" t="s">
        <v>57</v>
      </c>
      <c r="B50" s="31" t="s">
        <v>7825</v>
      </c>
      <c r="C50" s="32">
        <v>130</v>
      </c>
      <c r="D50" s="32">
        <v>104</v>
      </c>
      <c r="E50" s="28">
        <v>0.19999999999999996</v>
      </c>
    </row>
    <row r="51" spans="1:5" ht="11.25" customHeight="1" x14ac:dyDescent="0.2">
      <c r="A51" s="30" t="s">
        <v>58</v>
      </c>
      <c r="B51" s="31" t="s">
        <v>59</v>
      </c>
      <c r="C51" s="32">
        <v>74</v>
      </c>
      <c r="D51" s="32">
        <v>55.5</v>
      </c>
      <c r="E51" s="28">
        <v>0.25</v>
      </c>
    </row>
    <row r="52" spans="1:5" ht="11.25" customHeight="1" x14ac:dyDescent="0.2">
      <c r="A52" s="30" t="s">
        <v>60</v>
      </c>
      <c r="B52" s="31" t="s">
        <v>61</v>
      </c>
      <c r="C52" s="32">
        <v>74</v>
      </c>
      <c r="D52" s="32">
        <v>55.5</v>
      </c>
      <c r="E52" s="28">
        <v>0.25</v>
      </c>
    </row>
    <row r="53" spans="1:5" ht="11.25" customHeight="1" x14ac:dyDescent="0.2">
      <c r="A53" s="30" t="s">
        <v>56</v>
      </c>
      <c r="B53" s="31" t="s">
        <v>7826</v>
      </c>
      <c r="C53" s="32">
        <v>115</v>
      </c>
      <c r="D53" s="32">
        <v>86.25</v>
      </c>
      <c r="E53" s="28">
        <v>0.25</v>
      </c>
    </row>
    <row r="54" spans="1:5" ht="11.25" customHeight="1" x14ac:dyDescent="0.2">
      <c r="A54" s="30" t="s">
        <v>62</v>
      </c>
      <c r="B54" s="31" t="s">
        <v>63</v>
      </c>
      <c r="C54" s="32">
        <v>12</v>
      </c>
      <c r="D54" s="32">
        <v>9</v>
      </c>
      <c r="E54" s="28">
        <v>0.25</v>
      </c>
    </row>
    <row r="55" spans="1:5" ht="11.25" customHeight="1" x14ac:dyDescent="0.2">
      <c r="A55" s="30" t="s">
        <v>62</v>
      </c>
      <c r="B55" s="31" t="s">
        <v>64</v>
      </c>
      <c r="C55" s="32">
        <v>12</v>
      </c>
      <c r="D55" s="32">
        <v>9</v>
      </c>
      <c r="E55" s="28">
        <v>0.25</v>
      </c>
    </row>
    <row r="56" spans="1:5" ht="11.25" customHeight="1" x14ac:dyDescent="0.2">
      <c r="A56" s="30" t="s">
        <v>65</v>
      </c>
      <c r="B56" s="31" t="s">
        <v>66</v>
      </c>
      <c r="C56" s="32">
        <v>49</v>
      </c>
      <c r="D56" s="32">
        <v>34.299999999999997</v>
      </c>
      <c r="E56" s="28">
        <v>0.30000000000000004</v>
      </c>
    </row>
    <row r="57" spans="1:5" ht="11.25" customHeight="1" x14ac:dyDescent="0.2">
      <c r="A57" s="30" t="s">
        <v>65</v>
      </c>
      <c r="B57" s="31" t="s">
        <v>67</v>
      </c>
      <c r="C57" s="32">
        <v>49</v>
      </c>
      <c r="D57" s="32">
        <v>34.299999999999997</v>
      </c>
      <c r="E57" s="28">
        <v>0.30000000000000004</v>
      </c>
    </row>
    <row r="58" spans="1:5" ht="11.25" customHeight="1" x14ac:dyDescent="0.2">
      <c r="A58" s="30" t="s">
        <v>65</v>
      </c>
      <c r="B58" s="31" t="s">
        <v>68</v>
      </c>
      <c r="C58" s="32">
        <v>49</v>
      </c>
      <c r="D58" s="32">
        <v>34.299999999999997</v>
      </c>
      <c r="E58" s="28">
        <v>0.30000000000000004</v>
      </c>
    </row>
    <row r="59" spans="1:5" ht="11.25" customHeight="1" x14ac:dyDescent="0.2">
      <c r="A59" s="30" t="s">
        <v>69</v>
      </c>
      <c r="B59" s="31" t="s">
        <v>70</v>
      </c>
      <c r="C59" s="32">
        <v>24995</v>
      </c>
      <c r="D59" s="32">
        <v>19996</v>
      </c>
      <c r="E59" s="28">
        <v>0.19999999999999996</v>
      </c>
    </row>
    <row r="60" spans="1:5" ht="11.25" customHeight="1" x14ac:dyDescent="0.2">
      <c r="A60" s="30" t="s">
        <v>71</v>
      </c>
      <c r="B60" s="31" t="s">
        <v>72</v>
      </c>
      <c r="C60" s="32">
        <v>19995</v>
      </c>
      <c r="D60" s="32">
        <v>16995.75</v>
      </c>
      <c r="E60" s="28">
        <v>0.15000000000000002</v>
      </c>
    </row>
    <row r="61" spans="1:5" ht="11.25" customHeight="1" x14ac:dyDescent="0.2">
      <c r="A61" s="30" t="s">
        <v>73</v>
      </c>
      <c r="B61" s="31" t="s">
        <v>74</v>
      </c>
      <c r="C61" s="32">
        <v>8995</v>
      </c>
      <c r="D61" s="32">
        <v>6296.5</v>
      </c>
      <c r="E61" s="28">
        <v>0.30000000000000004</v>
      </c>
    </row>
    <row r="62" spans="1:5" ht="11.25" customHeight="1" x14ac:dyDescent="0.2">
      <c r="A62" s="30" t="s">
        <v>75</v>
      </c>
      <c r="B62" s="31" t="s">
        <v>76</v>
      </c>
      <c r="C62" s="32">
        <v>7995</v>
      </c>
      <c r="D62" s="32">
        <v>5596.5</v>
      </c>
      <c r="E62" s="28">
        <v>0.30000000000000004</v>
      </c>
    </row>
    <row r="63" spans="1:5" ht="11.25" customHeight="1" x14ac:dyDescent="0.2">
      <c r="A63" s="30" t="s">
        <v>77</v>
      </c>
      <c r="B63" s="31" t="s">
        <v>78</v>
      </c>
      <c r="C63" s="32">
        <v>6995</v>
      </c>
      <c r="D63" s="32">
        <v>4896.5</v>
      </c>
      <c r="E63" s="28">
        <v>0.30000000000000004</v>
      </c>
    </row>
    <row r="64" spans="1:5" ht="11.25" customHeight="1" x14ac:dyDescent="0.2">
      <c r="A64" s="30" t="s">
        <v>79</v>
      </c>
      <c r="B64" s="31" t="s">
        <v>80</v>
      </c>
      <c r="C64" s="32">
        <v>5995</v>
      </c>
      <c r="D64" s="32">
        <v>4196.5</v>
      </c>
      <c r="E64" s="28">
        <v>0.30000000000000004</v>
      </c>
    </row>
    <row r="65" spans="1:5" ht="11.25" customHeight="1" x14ac:dyDescent="0.2">
      <c r="A65" s="30" t="s">
        <v>81</v>
      </c>
      <c r="B65" s="31" t="s">
        <v>82</v>
      </c>
      <c r="C65" s="32">
        <v>4995</v>
      </c>
      <c r="D65" s="32">
        <v>3246.75</v>
      </c>
      <c r="E65" s="28">
        <v>0.35</v>
      </c>
    </row>
    <row r="66" spans="1:5" ht="11.25" customHeight="1" x14ac:dyDescent="0.2">
      <c r="A66" s="30" t="s">
        <v>81</v>
      </c>
      <c r="B66" s="31" t="s">
        <v>82</v>
      </c>
      <c r="C66" s="32">
        <v>4995</v>
      </c>
      <c r="D66" s="32">
        <v>3246.75</v>
      </c>
      <c r="E66" s="28">
        <v>0.35</v>
      </c>
    </row>
    <row r="67" spans="1:5" ht="11.25" customHeight="1" x14ac:dyDescent="0.2">
      <c r="A67" s="30" t="s">
        <v>83</v>
      </c>
      <c r="B67" s="31" t="s">
        <v>84</v>
      </c>
      <c r="C67" s="32">
        <v>2495</v>
      </c>
      <c r="D67" s="32">
        <v>1871.25</v>
      </c>
      <c r="E67" s="28">
        <v>0.25</v>
      </c>
    </row>
    <row r="68" spans="1:5" ht="11.25" customHeight="1" x14ac:dyDescent="0.2">
      <c r="A68" s="30" t="s">
        <v>85</v>
      </c>
      <c r="B68" s="31" t="s">
        <v>86</v>
      </c>
      <c r="C68" s="32">
        <v>1995</v>
      </c>
      <c r="D68" s="32">
        <v>1396.5</v>
      </c>
      <c r="E68" s="28">
        <v>0.30000000000000004</v>
      </c>
    </row>
    <row r="69" spans="1:5" ht="11.25" customHeight="1" x14ac:dyDescent="0.2">
      <c r="A69" s="30" t="s">
        <v>87</v>
      </c>
      <c r="B69" s="31" t="s">
        <v>88</v>
      </c>
      <c r="C69" s="32">
        <v>1995</v>
      </c>
      <c r="D69" s="32">
        <v>1396.5</v>
      </c>
      <c r="E69" s="28">
        <v>0.30000000000000004</v>
      </c>
    </row>
    <row r="70" spans="1:5" ht="11.25" customHeight="1" x14ac:dyDescent="0.2">
      <c r="A70" s="30" t="s">
        <v>89</v>
      </c>
      <c r="B70" s="31" t="s">
        <v>90</v>
      </c>
      <c r="C70" s="32">
        <v>1195</v>
      </c>
      <c r="D70" s="32">
        <v>956</v>
      </c>
      <c r="E70" s="28">
        <v>0.19999999999999996</v>
      </c>
    </row>
    <row r="71" spans="1:5" ht="11.25" customHeight="1" x14ac:dyDescent="0.2">
      <c r="A71" s="30" t="s">
        <v>91</v>
      </c>
      <c r="B71" s="31" t="s">
        <v>92</v>
      </c>
      <c r="C71" s="32">
        <v>895</v>
      </c>
      <c r="D71" s="32">
        <v>626.5</v>
      </c>
      <c r="E71" s="28">
        <v>0.30000000000000004</v>
      </c>
    </row>
    <row r="72" spans="1:5" ht="11.25" customHeight="1" x14ac:dyDescent="0.2">
      <c r="A72" s="30" t="s">
        <v>93</v>
      </c>
      <c r="B72" s="31" t="s">
        <v>94</v>
      </c>
      <c r="C72" s="32">
        <v>695</v>
      </c>
      <c r="D72" s="32">
        <v>486.5</v>
      </c>
      <c r="E72" s="28">
        <v>0.30000000000000004</v>
      </c>
    </row>
    <row r="73" spans="1:5" ht="11.25" customHeight="1" x14ac:dyDescent="0.2">
      <c r="A73" s="30" t="s">
        <v>95</v>
      </c>
      <c r="B73" s="31" t="s">
        <v>96</v>
      </c>
      <c r="C73" s="32">
        <v>595</v>
      </c>
      <c r="D73" s="32">
        <v>416.5</v>
      </c>
      <c r="E73" s="28">
        <v>0.30000000000000004</v>
      </c>
    </row>
    <row r="74" spans="1:5" ht="11.25" customHeight="1" x14ac:dyDescent="0.2">
      <c r="A74" s="30" t="s">
        <v>97</v>
      </c>
      <c r="B74" s="31" t="s">
        <v>98</v>
      </c>
      <c r="C74" s="32">
        <v>495</v>
      </c>
      <c r="D74" s="32">
        <v>346.5</v>
      </c>
      <c r="E74" s="28">
        <v>0.30000000000000004</v>
      </c>
    </row>
    <row r="75" spans="1:5" ht="11.25" customHeight="1" x14ac:dyDescent="0.2">
      <c r="A75" s="30" t="s">
        <v>99</v>
      </c>
      <c r="B75" s="31" t="s">
        <v>100</v>
      </c>
      <c r="C75" s="32">
        <v>495</v>
      </c>
      <c r="D75" s="32">
        <v>346.5</v>
      </c>
      <c r="E75" s="28">
        <v>0.30000000000000004</v>
      </c>
    </row>
    <row r="76" spans="1:5" ht="11.25" customHeight="1" x14ac:dyDescent="0.2">
      <c r="A76" s="30" t="s">
        <v>101</v>
      </c>
      <c r="B76" s="31" t="s">
        <v>102</v>
      </c>
      <c r="C76" s="32">
        <v>495</v>
      </c>
      <c r="D76" s="32">
        <v>346.5</v>
      </c>
      <c r="E76" s="28">
        <v>0.30000000000000004</v>
      </c>
    </row>
    <row r="77" spans="1:5" ht="11.25" customHeight="1" x14ac:dyDescent="0.2">
      <c r="A77" s="30" t="s">
        <v>103</v>
      </c>
      <c r="B77" s="31" t="s">
        <v>104</v>
      </c>
      <c r="C77" s="32">
        <v>399</v>
      </c>
      <c r="D77" s="32">
        <v>279.3</v>
      </c>
      <c r="E77" s="28">
        <v>0.29999999999999993</v>
      </c>
    </row>
    <row r="78" spans="1:5" ht="11.25" customHeight="1" x14ac:dyDescent="0.2">
      <c r="A78" s="30" t="s">
        <v>105</v>
      </c>
      <c r="B78" s="31" t="s">
        <v>106</v>
      </c>
      <c r="C78" s="32">
        <v>349</v>
      </c>
      <c r="D78" s="32">
        <v>244.3</v>
      </c>
      <c r="E78" s="28">
        <v>0.29999999999999993</v>
      </c>
    </row>
    <row r="79" spans="1:5" ht="11.25" customHeight="1" x14ac:dyDescent="0.2">
      <c r="A79" s="30" t="s">
        <v>107</v>
      </c>
      <c r="B79" s="31" t="s">
        <v>108</v>
      </c>
      <c r="C79" s="32">
        <v>295</v>
      </c>
      <c r="D79" s="32">
        <v>206.5</v>
      </c>
      <c r="E79" s="28">
        <v>0.30000000000000004</v>
      </c>
    </row>
    <row r="80" spans="1:5" ht="11.25" customHeight="1" x14ac:dyDescent="0.2">
      <c r="A80" s="30" t="s">
        <v>109</v>
      </c>
      <c r="B80" s="31" t="s">
        <v>110</v>
      </c>
      <c r="C80" s="32">
        <v>199</v>
      </c>
      <c r="D80" s="32">
        <v>139.30000000000001</v>
      </c>
      <c r="E80" s="28">
        <v>0.29999999999999993</v>
      </c>
    </row>
    <row r="81" spans="1:5" ht="11.25" customHeight="1" x14ac:dyDescent="0.2">
      <c r="A81" s="30" t="s">
        <v>111</v>
      </c>
      <c r="B81" s="31" t="s">
        <v>112</v>
      </c>
      <c r="C81" s="32">
        <v>18000</v>
      </c>
      <c r="D81" s="32">
        <v>14900</v>
      </c>
      <c r="E81" s="28">
        <v>0.17222222222222228</v>
      </c>
    </row>
    <row r="82" spans="1:5" ht="11.25" customHeight="1" x14ac:dyDescent="0.2">
      <c r="A82" s="30" t="s">
        <v>113</v>
      </c>
      <c r="B82" s="31" t="s">
        <v>114</v>
      </c>
      <c r="C82" s="32">
        <v>20000</v>
      </c>
      <c r="D82" s="32">
        <v>16300</v>
      </c>
      <c r="E82" s="28">
        <v>0.18500000000000005</v>
      </c>
    </row>
    <row r="83" spans="1:5" ht="11.25" customHeight="1" x14ac:dyDescent="0.2">
      <c r="A83" s="30" t="s">
        <v>115</v>
      </c>
      <c r="B83" s="31" t="s">
        <v>116</v>
      </c>
      <c r="C83" s="32">
        <v>25000</v>
      </c>
      <c r="D83" s="32">
        <v>20750</v>
      </c>
      <c r="E83" s="28">
        <v>0.17000000000000004</v>
      </c>
    </row>
    <row r="84" spans="1:5" ht="11.25" customHeight="1" x14ac:dyDescent="0.2">
      <c r="A84" s="30" t="s">
        <v>117</v>
      </c>
      <c r="B84" s="31" t="s">
        <v>118</v>
      </c>
      <c r="C84" s="32">
        <v>35000</v>
      </c>
      <c r="D84" s="32">
        <v>29750</v>
      </c>
      <c r="E84" s="28">
        <v>0.15000000000000002</v>
      </c>
    </row>
    <row r="85" spans="1:5" ht="11.25" customHeight="1" x14ac:dyDescent="0.2">
      <c r="A85" s="30" t="s">
        <v>119</v>
      </c>
      <c r="B85" s="31" t="s">
        <v>120</v>
      </c>
      <c r="C85" s="32">
        <v>495</v>
      </c>
      <c r="D85" s="32">
        <v>470.25</v>
      </c>
      <c r="E85" s="28">
        <v>5.0000000000000044E-2</v>
      </c>
    </row>
    <row r="86" spans="1:5" ht="11.25" customHeight="1" x14ac:dyDescent="0.2">
      <c r="A86" s="30" t="s">
        <v>121</v>
      </c>
      <c r="B86" s="31" t="s">
        <v>122</v>
      </c>
      <c r="C86" s="32">
        <v>799</v>
      </c>
      <c r="D86" s="32">
        <v>759.05</v>
      </c>
      <c r="E86" s="28">
        <v>5.0000000000000044E-2</v>
      </c>
    </row>
    <row r="87" spans="1:5" ht="11.25" customHeight="1" x14ac:dyDescent="0.2">
      <c r="A87" s="30" t="s">
        <v>123</v>
      </c>
      <c r="B87" s="31" t="s">
        <v>124</v>
      </c>
      <c r="C87" s="32">
        <v>1199</v>
      </c>
      <c r="D87" s="32">
        <v>1139.05</v>
      </c>
      <c r="E87" s="28">
        <v>5.0000000000000044E-2</v>
      </c>
    </row>
    <row r="88" spans="1:5" ht="11.25" customHeight="1" x14ac:dyDescent="0.2">
      <c r="A88" s="30" t="s">
        <v>125</v>
      </c>
      <c r="B88" s="31" t="s">
        <v>126</v>
      </c>
      <c r="C88" s="32">
        <v>1295</v>
      </c>
      <c r="D88" s="32">
        <v>1100.75</v>
      </c>
      <c r="E88" s="28">
        <v>0.15000000000000002</v>
      </c>
    </row>
    <row r="89" spans="1:5" ht="11.25" customHeight="1" x14ac:dyDescent="0.2">
      <c r="A89" s="30" t="s">
        <v>127</v>
      </c>
      <c r="B89" s="31" t="s">
        <v>128</v>
      </c>
      <c r="C89" s="32">
        <v>1895</v>
      </c>
      <c r="D89" s="32">
        <v>1610.75</v>
      </c>
      <c r="E89" s="28">
        <v>0.15000000000000002</v>
      </c>
    </row>
    <row r="90" spans="1:5" ht="11.25" customHeight="1" x14ac:dyDescent="0.2">
      <c r="A90" s="30" t="s">
        <v>129</v>
      </c>
      <c r="B90" s="31" t="s">
        <v>130</v>
      </c>
      <c r="C90" s="32">
        <v>3995</v>
      </c>
      <c r="D90" s="32">
        <v>2996.25</v>
      </c>
      <c r="E90" s="28">
        <v>0.25</v>
      </c>
    </row>
    <row r="91" spans="1:5" ht="11.25" customHeight="1" x14ac:dyDescent="0.2">
      <c r="A91" s="30" t="s">
        <v>131</v>
      </c>
      <c r="B91" s="31" t="s">
        <v>132</v>
      </c>
      <c r="C91" s="32">
        <v>4995</v>
      </c>
      <c r="D91" s="32">
        <v>4245.75</v>
      </c>
      <c r="E91" s="28">
        <v>0.15000000000000002</v>
      </c>
    </row>
    <row r="92" spans="1:5" ht="11.25" customHeight="1" x14ac:dyDescent="0.2">
      <c r="A92" s="30" t="s">
        <v>133</v>
      </c>
      <c r="B92" s="31" t="s">
        <v>134</v>
      </c>
      <c r="C92" s="32">
        <v>5995</v>
      </c>
      <c r="D92" s="32">
        <v>5095.75</v>
      </c>
      <c r="E92" s="28">
        <v>0.15000000000000002</v>
      </c>
    </row>
    <row r="93" spans="1:5" ht="11.25" customHeight="1" x14ac:dyDescent="0.2">
      <c r="A93" s="30" t="s">
        <v>135</v>
      </c>
      <c r="B93" s="31" t="s">
        <v>136</v>
      </c>
      <c r="C93" s="32">
        <v>67000</v>
      </c>
      <c r="D93" s="32">
        <v>54940</v>
      </c>
      <c r="E93" s="28">
        <v>0.18000000000000005</v>
      </c>
    </row>
    <row r="94" spans="1:5" ht="11.25" customHeight="1" x14ac:dyDescent="0.2">
      <c r="A94" s="30" t="s">
        <v>137</v>
      </c>
      <c r="B94" s="31" t="s">
        <v>138</v>
      </c>
      <c r="C94" s="32">
        <v>85000</v>
      </c>
      <c r="D94" s="32">
        <v>69700</v>
      </c>
      <c r="E94" s="28">
        <v>0.18000000000000005</v>
      </c>
    </row>
    <row r="95" spans="1:5" ht="11.25" customHeight="1" x14ac:dyDescent="0.2">
      <c r="A95" s="30" t="s">
        <v>139</v>
      </c>
      <c r="B95" s="31" t="s">
        <v>140</v>
      </c>
      <c r="C95" s="32">
        <v>799</v>
      </c>
      <c r="D95" s="32">
        <v>679.15</v>
      </c>
      <c r="E95" s="28">
        <v>0.15000000000000002</v>
      </c>
    </row>
    <row r="96" spans="1:5" ht="11.25" customHeight="1" x14ac:dyDescent="0.2">
      <c r="A96" s="30" t="s">
        <v>141</v>
      </c>
      <c r="B96" s="31" t="s">
        <v>142</v>
      </c>
      <c r="C96" s="32">
        <v>1195</v>
      </c>
      <c r="D96" s="32">
        <v>1015.75</v>
      </c>
      <c r="E96" s="28">
        <v>0.15000000000000002</v>
      </c>
    </row>
    <row r="97" spans="1:5" ht="11.25" customHeight="1" x14ac:dyDescent="0.2">
      <c r="A97" s="30" t="s">
        <v>143</v>
      </c>
      <c r="B97" s="31" t="s">
        <v>144</v>
      </c>
      <c r="C97" s="32">
        <v>9995</v>
      </c>
      <c r="D97" s="32">
        <v>7996</v>
      </c>
      <c r="E97" s="28">
        <v>0.19999999999999996</v>
      </c>
    </row>
    <row r="98" spans="1:5" ht="11.25" customHeight="1" x14ac:dyDescent="0.2">
      <c r="A98" s="30" t="s">
        <v>145</v>
      </c>
      <c r="B98" s="31" t="s">
        <v>146</v>
      </c>
      <c r="C98" s="32">
        <v>14995</v>
      </c>
      <c r="D98" s="32">
        <v>13495.5</v>
      </c>
      <c r="E98" s="28">
        <v>9.9999999999999978E-2</v>
      </c>
    </row>
    <row r="99" spans="1:5" ht="11.25" customHeight="1" x14ac:dyDescent="0.2">
      <c r="A99" s="30" t="s">
        <v>147</v>
      </c>
      <c r="B99" s="31" t="s">
        <v>148</v>
      </c>
      <c r="C99" s="32">
        <v>21995</v>
      </c>
      <c r="D99" s="32">
        <v>19795.5</v>
      </c>
      <c r="E99" s="28">
        <v>9.9999999999999978E-2</v>
      </c>
    </row>
    <row r="100" spans="1:5" ht="11.25" customHeight="1" x14ac:dyDescent="0.2">
      <c r="A100" s="30" t="s">
        <v>149</v>
      </c>
      <c r="B100" s="31" t="s">
        <v>150</v>
      </c>
      <c r="C100" s="32">
        <v>22000</v>
      </c>
      <c r="D100" s="32">
        <v>18700</v>
      </c>
      <c r="E100" s="28">
        <v>0.15000000000000002</v>
      </c>
    </row>
    <row r="101" spans="1:5" ht="11.25" customHeight="1" x14ac:dyDescent="0.2">
      <c r="A101" s="30" t="s">
        <v>151</v>
      </c>
      <c r="B101" s="31" t="s">
        <v>152</v>
      </c>
      <c r="C101" s="32">
        <v>30000</v>
      </c>
      <c r="D101" s="32">
        <v>25500</v>
      </c>
      <c r="E101" s="28">
        <v>0.15000000000000002</v>
      </c>
    </row>
    <row r="102" spans="1:5" ht="11.25" customHeight="1" x14ac:dyDescent="0.2">
      <c r="A102" s="30" t="s">
        <v>153</v>
      </c>
      <c r="B102" s="31" t="s">
        <v>154</v>
      </c>
      <c r="C102" s="32">
        <v>35000</v>
      </c>
      <c r="D102" s="32">
        <v>29750</v>
      </c>
      <c r="E102" s="28">
        <v>0.15000000000000002</v>
      </c>
    </row>
    <row r="103" spans="1:5" ht="11.25" customHeight="1" x14ac:dyDescent="0.2">
      <c r="A103" s="30" t="s">
        <v>155</v>
      </c>
      <c r="B103" s="31" t="s">
        <v>156</v>
      </c>
      <c r="C103" s="32">
        <v>1995</v>
      </c>
      <c r="D103" s="32">
        <v>1895.25</v>
      </c>
      <c r="E103" s="28">
        <v>5.0000000000000044E-2</v>
      </c>
    </row>
    <row r="104" spans="1:5" ht="11.25" customHeight="1" x14ac:dyDescent="0.2">
      <c r="A104" s="30" t="s">
        <v>157</v>
      </c>
      <c r="B104" s="31" t="s">
        <v>158</v>
      </c>
      <c r="C104" s="32">
        <v>2495</v>
      </c>
      <c r="D104" s="32">
        <v>2120.75</v>
      </c>
      <c r="E104" s="28">
        <v>0.15000000000000002</v>
      </c>
    </row>
    <row r="105" spans="1:5" ht="11.25" customHeight="1" x14ac:dyDescent="0.2">
      <c r="A105" s="30" t="s">
        <v>159</v>
      </c>
      <c r="B105" s="31" t="s">
        <v>160</v>
      </c>
      <c r="C105" s="32">
        <v>3295</v>
      </c>
      <c r="D105" s="32">
        <v>2800.75</v>
      </c>
      <c r="E105" s="28">
        <v>0.15000000000000002</v>
      </c>
    </row>
    <row r="106" spans="1:5" ht="11.25" customHeight="1" x14ac:dyDescent="0.2">
      <c r="A106" s="30" t="s">
        <v>161</v>
      </c>
      <c r="B106" s="31" t="s">
        <v>162</v>
      </c>
      <c r="C106" s="32">
        <v>4095</v>
      </c>
      <c r="D106" s="32">
        <v>3685.5</v>
      </c>
      <c r="E106" s="28">
        <v>9.9999999999999978E-2</v>
      </c>
    </row>
    <row r="107" spans="1:5" ht="11.25" customHeight="1" x14ac:dyDescent="0.2">
      <c r="A107" s="30" t="s">
        <v>163</v>
      </c>
      <c r="B107" s="31" t="s">
        <v>164</v>
      </c>
      <c r="C107" s="32">
        <v>36</v>
      </c>
      <c r="D107" s="32">
        <v>30.6</v>
      </c>
      <c r="E107" s="28">
        <v>0.14999999999999991</v>
      </c>
    </row>
    <row r="108" spans="1:5" ht="11.25" customHeight="1" x14ac:dyDescent="0.2">
      <c r="A108" s="30" t="s">
        <v>165</v>
      </c>
      <c r="B108" s="31" t="s">
        <v>166</v>
      </c>
      <c r="C108" s="32">
        <v>536</v>
      </c>
      <c r="D108" s="32">
        <v>509.2</v>
      </c>
      <c r="E108" s="28">
        <v>5.0000000000000044E-2</v>
      </c>
    </row>
    <row r="109" spans="1:5" ht="11.25" customHeight="1" x14ac:dyDescent="0.2">
      <c r="A109" s="30" t="s">
        <v>167</v>
      </c>
      <c r="B109" s="31" t="s">
        <v>168</v>
      </c>
      <c r="C109" s="32">
        <v>8495</v>
      </c>
      <c r="D109" s="32">
        <v>6796</v>
      </c>
      <c r="E109" s="28">
        <v>0.19999999999999996</v>
      </c>
    </row>
    <row r="110" spans="1:5" ht="11.25" customHeight="1" x14ac:dyDescent="0.2">
      <c r="A110" s="30" t="s">
        <v>169</v>
      </c>
      <c r="B110" s="31" t="s">
        <v>170</v>
      </c>
      <c r="C110" s="32">
        <v>6995</v>
      </c>
      <c r="D110" s="32">
        <v>5596</v>
      </c>
      <c r="E110" s="28">
        <v>0.19999999999999996</v>
      </c>
    </row>
    <row r="111" spans="1:5" ht="11.25" customHeight="1" x14ac:dyDescent="0.2">
      <c r="A111" s="30" t="s">
        <v>171</v>
      </c>
      <c r="B111" s="31" t="s">
        <v>172</v>
      </c>
      <c r="C111" s="32">
        <v>2704</v>
      </c>
      <c r="D111" s="32">
        <v>2298.4</v>
      </c>
      <c r="E111" s="28">
        <v>0.14999999999999991</v>
      </c>
    </row>
    <row r="112" spans="1:5" ht="11.25" customHeight="1" x14ac:dyDescent="0.2">
      <c r="A112" s="30" t="s">
        <v>163</v>
      </c>
      <c r="B112" s="31" t="s">
        <v>173</v>
      </c>
      <c r="C112" s="32">
        <v>36</v>
      </c>
      <c r="D112" s="32">
        <v>30.6</v>
      </c>
      <c r="E112" s="28">
        <v>0.14999999999999991</v>
      </c>
    </row>
    <row r="113" spans="1:5" ht="11.25" customHeight="1" x14ac:dyDescent="0.2">
      <c r="A113" s="30" t="s">
        <v>174</v>
      </c>
      <c r="B113" s="31" t="s">
        <v>175</v>
      </c>
      <c r="C113" s="32">
        <v>11835</v>
      </c>
      <c r="D113" s="32">
        <v>11006.55</v>
      </c>
      <c r="E113" s="28">
        <v>7.0000000000000062E-2</v>
      </c>
    </row>
    <row r="114" spans="1:5" ht="11.25" customHeight="1" x14ac:dyDescent="0.2">
      <c r="A114" s="30" t="s">
        <v>174</v>
      </c>
      <c r="B114" s="31" t="s">
        <v>176</v>
      </c>
      <c r="C114" s="32">
        <v>3313.8</v>
      </c>
      <c r="D114" s="32">
        <v>3081.83</v>
      </c>
      <c r="E114" s="28">
        <v>7.0001207073450478E-2</v>
      </c>
    </row>
    <row r="115" spans="1:5" ht="11.25" customHeight="1" x14ac:dyDescent="0.2">
      <c r="A115" s="30" t="s">
        <v>177</v>
      </c>
      <c r="B115" s="31" t="s">
        <v>178</v>
      </c>
      <c r="C115" s="32">
        <v>11835</v>
      </c>
      <c r="D115" s="32">
        <v>11006.55</v>
      </c>
      <c r="E115" s="28">
        <v>7.0000000000000062E-2</v>
      </c>
    </row>
    <row r="116" spans="1:5" ht="11.25" customHeight="1" x14ac:dyDescent="0.2">
      <c r="A116" s="30" t="s">
        <v>179</v>
      </c>
      <c r="B116" s="31" t="s">
        <v>180</v>
      </c>
      <c r="C116" s="32">
        <v>103950</v>
      </c>
      <c r="D116" s="32">
        <v>96673.5</v>
      </c>
      <c r="E116" s="28">
        <v>6.9999999999999951E-2</v>
      </c>
    </row>
    <row r="117" spans="1:5" ht="11.25" customHeight="1" x14ac:dyDescent="0.2">
      <c r="A117" s="30" t="s">
        <v>179</v>
      </c>
      <c r="B117" s="31" t="s">
        <v>181</v>
      </c>
      <c r="C117" s="32">
        <v>18711</v>
      </c>
      <c r="D117" s="32">
        <v>17401.23</v>
      </c>
      <c r="E117" s="28">
        <v>7.0000000000000062E-2</v>
      </c>
    </row>
    <row r="118" spans="1:5" ht="11.25" customHeight="1" x14ac:dyDescent="0.2">
      <c r="A118" s="30" t="s">
        <v>182</v>
      </c>
      <c r="B118" s="31" t="s">
        <v>183</v>
      </c>
      <c r="C118" s="32">
        <v>103950</v>
      </c>
      <c r="D118" s="32">
        <v>96673.5</v>
      </c>
      <c r="E118" s="28">
        <v>6.9999999999999951E-2</v>
      </c>
    </row>
    <row r="119" spans="1:5" ht="11.25" customHeight="1" x14ac:dyDescent="0.2">
      <c r="A119" s="30" t="s">
        <v>184</v>
      </c>
      <c r="B119" s="31" t="s">
        <v>185</v>
      </c>
      <c r="C119" s="32">
        <v>6775</v>
      </c>
      <c r="D119" s="32">
        <v>6300.75</v>
      </c>
      <c r="E119" s="28">
        <v>6.9999999999999951E-2</v>
      </c>
    </row>
    <row r="120" spans="1:5" ht="11.25" customHeight="1" x14ac:dyDescent="0.2">
      <c r="A120" s="30" t="s">
        <v>186</v>
      </c>
      <c r="B120" s="31" t="s">
        <v>187</v>
      </c>
      <c r="C120" s="32">
        <v>6775</v>
      </c>
      <c r="D120" s="32">
        <v>6300.75</v>
      </c>
      <c r="E120" s="28">
        <v>6.9999999999999951E-2</v>
      </c>
    </row>
    <row r="121" spans="1:5" ht="11.25" customHeight="1" x14ac:dyDescent="0.2">
      <c r="A121" s="30" t="s">
        <v>188</v>
      </c>
      <c r="B121" s="31" t="s">
        <v>189</v>
      </c>
      <c r="C121" s="32">
        <v>46450</v>
      </c>
      <c r="D121" s="32">
        <v>43198.5</v>
      </c>
      <c r="E121" s="28">
        <v>6.9999999999999951E-2</v>
      </c>
    </row>
    <row r="122" spans="1:5" ht="11.25" customHeight="1" x14ac:dyDescent="0.2">
      <c r="A122" s="30" t="s">
        <v>190</v>
      </c>
      <c r="B122" s="31" t="s">
        <v>191</v>
      </c>
      <c r="C122" s="32">
        <v>46450</v>
      </c>
      <c r="D122" s="32">
        <v>43198.5</v>
      </c>
      <c r="E122" s="28">
        <v>6.9999999999999951E-2</v>
      </c>
    </row>
    <row r="123" spans="1:5" ht="11.25" customHeight="1" x14ac:dyDescent="0.2">
      <c r="A123" s="30" t="s">
        <v>192</v>
      </c>
      <c r="B123" s="31" t="s">
        <v>193</v>
      </c>
      <c r="C123" s="32">
        <v>31</v>
      </c>
      <c r="D123" s="32">
        <v>28.83</v>
      </c>
      <c r="E123" s="28">
        <v>7.0000000000000062E-2</v>
      </c>
    </row>
    <row r="124" spans="1:5" ht="11.25" customHeight="1" x14ac:dyDescent="0.2">
      <c r="A124" s="30" t="s">
        <v>194</v>
      </c>
      <c r="B124" s="31" t="s">
        <v>193</v>
      </c>
      <c r="C124" s="32">
        <v>13</v>
      </c>
      <c r="D124" s="32">
        <v>12.09</v>
      </c>
      <c r="E124" s="28">
        <v>7.0000000000000062E-2</v>
      </c>
    </row>
    <row r="125" spans="1:5" ht="11.25" customHeight="1" x14ac:dyDescent="0.2">
      <c r="A125" s="30" t="s">
        <v>195</v>
      </c>
      <c r="B125" s="31" t="s">
        <v>196</v>
      </c>
      <c r="C125" s="32">
        <v>5550</v>
      </c>
      <c r="D125" s="32">
        <v>5000</v>
      </c>
      <c r="E125" s="28">
        <v>9.9099099099099086E-2</v>
      </c>
    </row>
    <row r="126" spans="1:5" ht="11.25" customHeight="1" x14ac:dyDescent="0.2">
      <c r="A126" s="30" t="s">
        <v>197</v>
      </c>
      <c r="B126" s="31" t="s">
        <v>198</v>
      </c>
      <c r="C126" s="32">
        <v>277.5</v>
      </c>
      <c r="D126" s="32">
        <v>250</v>
      </c>
      <c r="E126" s="28">
        <v>9.9099099099099086E-2</v>
      </c>
    </row>
    <row r="127" spans="1:5" ht="11.25" customHeight="1" x14ac:dyDescent="0.2">
      <c r="A127" s="30" t="s">
        <v>199</v>
      </c>
      <c r="B127" s="31" t="s">
        <v>200</v>
      </c>
      <c r="C127" s="32">
        <v>333</v>
      </c>
      <c r="D127" s="32">
        <v>300</v>
      </c>
      <c r="E127" s="28">
        <v>9.9099099099099086E-2</v>
      </c>
    </row>
    <row r="128" spans="1:5" ht="11.25" customHeight="1" x14ac:dyDescent="0.2">
      <c r="A128" s="30">
        <v>101104</v>
      </c>
      <c r="B128" s="31" t="s">
        <v>201</v>
      </c>
      <c r="C128" s="32">
        <v>9995</v>
      </c>
      <c r="D128" s="32">
        <v>8995.5</v>
      </c>
      <c r="E128" s="28">
        <v>9.9999999999999978E-2</v>
      </c>
    </row>
    <row r="129" spans="1:5" ht="11.25" customHeight="1" x14ac:dyDescent="0.2">
      <c r="A129" s="30">
        <v>101796</v>
      </c>
      <c r="B129" s="31" t="s">
        <v>202</v>
      </c>
      <c r="C129" s="32">
        <v>14995</v>
      </c>
      <c r="D129" s="32">
        <v>13495.5</v>
      </c>
      <c r="E129" s="28">
        <v>9.9999999999999978E-2</v>
      </c>
    </row>
    <row r="130" spans="1:5" ht="11.25" customHeight="1" x14ac:dyDescent="0.2">
      <c r="A130" s="30">
        <v>101099</v>
      </c>
      <c r="B130" s="31" t="s">
        <v>203</v>
      </c>
      <c r="C130" s="32">
        <v>29995</v>
      </c>
      <c r="D130" s="32">
        <v>26995.5</v>
      </c>
      <c r="E130" s="28">
        <v>9.9999999999999978E-2</v>
      </c>
    </row>
    <row r="131" spans="1:5" ht="11.25" customHeight="1" x14ac:dyDescent="0.2">
      <c r="A131" s="30">
        <v>111467</v>
      </c>
      <c r="B131" s="31" t="s">
        <v>204</v>
      </c>
      <c r="C131" s="32">
        <v>34995</v>
      </c>
      <c r="D131" s="32">
        <v>31495.5</v>
      </c>
      <c r="E131" s="28">
        <v>9.9999999999999978E-2</v>
      </c>
    </row>
    <row r="132" spans="1:5" ht="11.25" customHeight="1" x14ac:dyDescent="0.2">
      <c r="A132" s="30">
        <v>101080</v>
      </c>
      <c r="B132" s="31" t="s">
        <v>205</v>
      </c>
      <c r="C132" s="32">
        <v>69995</v>
      </c>
      <c r="D132" s="32">
        <v>62995.5</v>
      </c>
      <c r="E132" s="28">
        <v>9.9999999999999978E-2</v>
      </c>
    </row>
    <row r="133" spans="1:5" ht="11.25" customHeight="1" x14ac:dyDescent="0.2">
      <c r="A133" s="30">
        <v>101083</v>
      </c>
      <c r="B133" s="31" t="s">
        <v>206</v>
      </c>
      <c r="C133" s="32">
        <v>6995</v>
      </c>
      <c r="D133" s="32">
        <v>6295.5</v>
      </c>
      <c r="E133" s="28">
        <v>9.9999999999999978E-2</v>
      </c>
    </row>
    <row r="134" spans="1:5" ht="11.25" customHeight="1" x14ac:dyDescent="0.2">
      <c r="A134" s="30">
        <v>101615</v>
      </c>
      <c r="B134" s="31" t="s">
        <v>207</v>
      </c>
      <c r="C134" s="32">
        <v>1245</v>
      </c>
      <c r="D134" s="32">
        <v>1120.5</v>
      </c>
      <c r="E134" s="28">
        <v>9.9999999999999978E-2</v>
      </c>
    </row>
    <row r="135" spans="1:5" ht="11.25" customHeight="1" x14ac:dyDescent="0.2">
      <c r="A135" s="30">
        <v>101909</v>
      </c>
      <c r="B135" s="31" t="s">
        <v>208</v>
      </c>
      <c r="C135" s="32">
        <v>1495</v>
      </c>
      <c r="D135" s="32">
        <v>1345.5</v>
      </c>
      <c r="E135" s="28">
        <v>9.9999999999999978E-2</v>
      </c>
    </row>
    <row r="136" spans="1:5" ht="11.25" customHeight="1" x14ac:dyDescent="0.2">
      <c r="A136" s="30">
        <v>101966</v>
      </c>
      <c r="B136" s="31" t="s">
        <v>209</v>
      </c>
      <c r="C136" s="32">
        <v>1995</v>
      </c>
      <c r="D136" s="32">
        <v>1795.5</v>
      </c>
      <c r="E136" s="28">
        <v>9.9999999999999978E-2</v>
      </c>
    </row>
    <row r="137" spans="1:5" ht="11.25" customHeight="1" x14ac:dyDescent="0.2">
      <c r="A137" s="30">
        <v>101792</v>
      </c>
      <c r="B137" s="31" t="s">
        <v>210</v>
      </c>
      <c r="C137" s="32">
        <v>3000</v>
      </c>
      <c r="D137" s="32">
        <v>2700</v>
      </c>
      <c r="E137" s="28">
        <v>9.9999999999999978E-2</v>
      </c>
    </row>
    <row r="138" spans="1:5" ht="11.25" customHeight="1" x14ac:dyDescent="0.2">
      <c r="A138" s="30">
        <v>101642</v>
      </c>
      <c r="B138" s="31" t="s">
        <v>211</v>
      </c>
      <c r="C138" s="32">
        <v>14995</v>
      </c>
      <c r="D138" s="32">
        <v>13495.5</v>
      </c>
      <c r="E138" s="28">
        <v>9.9999999999999978E-2</v>
      </c>
    </row>
    <row r="139" spans="1:5" ht="11.25" customHeight="1" x14ac:dyDescent="0.2">
      <c r="A139" s="30">
        <v>101847</v>
      </c>
      <c r="B139" s="31" t="s">
        <v>212</v>
      </c>
      <c r="C139" s="32">
        <v>19995</v>
      </c>
      <c r="D139" s="32">
        <v>17995.5</v>
      </c>
      <c r="E139" s="28">
        <v>9.9999999999999978E-2</v>
      </c>
    </row>
    <row r="140" spans="1:5" ht="11.25" customHeight="1" x14ac:dyDescent="0.2">
      <c r="A140" s="30">
        <v>101641</v>
      </c>
      <c r="B140" s="31" t="s">
        <v>213</v>
      </c>
      <c r="C140" s="32">
        <v>39995</v>
      </c>
      <c r="D140" s="32">
        <v>35995.5</v>
      </c>
      <c r="E140" s="28">
        <v>9.9999999999999978E-2</v>
      </c>
    </row>
    <row r="141" spans="1:5" ht="11.25" customHeight="1" x14ac:dyDescent="0.2">
      <c r="A141" s="30">
        <v>111468</v>
      </c>
      <c r="B141" s="31" t="s">
        <v>214</v>
      </c>
      <c r="C141" s="32">
        <v>44995</v>
      </c>
      <c r="D141" s="32">
        <v>40495.5</v>
      </c>
      <c r="E141" s="28">
        <v>9.9999999999999978E-2</v>
      </c>
    </row>
    <row r="142" spans="1:5" ht="11.25" customHeight="1" x14ac:dyDescent="0.2">
      <c r="A142" s="30">
        <v>101643</v>
      </c>
      <c r="B142" s="31" t="s">
        <v>215</v>
      </c>
      <c r="C142" s="32">
        <v>89995</v>
      </c>
      <c r="D142" s="32">
        <v>80995.5</v>
      </c>
      <c r="E142" s="28">
        <v>9.9999999999999978E-2</v>
      </c>
    </row>
    <row r="143" spans="1:5" ht="11.25" customHeight="1" x14ac:dyDescent="0.2">
      <c r="A143" s="30" t="s">
        <v>5</v>
      </c>
      <c r="B143" s="31" t="s">
        <v>6</v>
      </c>
      <c r="C143" s="33">
        <v>3300</v>
      </c>
      <c r="D143" s="32">
        <v>2805</v>
      </c>
      <c r="E143" s="28">
        <v>0.15000000000000002</v>
      </c>
    </row>
    <row r="144" spans="1:5" ht="11.25" customHeight="1" x14ac:dyDescent="0.2">
      <c r="A144" s="30" t="s">
        <v>7</v>
      </c>
      <c r="B144" s="31" t="s">
        <v>8</v>
      </c>
      <c r="C144" s="33">
        <v>3300</v>
      </c>
      <c r="D144" s="32">
        <v>2805</v>
      </c>
      <c r="E144" s="28">
        <v>0.15000000000000002</v>
      </c>
    </row>
    <row r="145" spans="1:5" ht="11.25" customHeight="1" x14ac:dyDescent="0.2">
      <c r="A145" s="30" t="s">
        <v>9</v>
      </c>
      <c r="B145" s="31" t="s">
        <v>10</v>
      </c>
      <c r="C145" s="33">
        <v>3300</v>
      </c>
      <c r="D145" s="32">
        <v>2805</v>
      </c>
      <c r="E145" s="28">
        <v>0.15000000000000002</v>
      </c>
    </row>
    <row r="146" spans="1:5" ht="11.25" customHeight="1" x14ac:dyDescent="0.2">
      <c r="A146" s="30" t="s">
        <v>11</v>
      </c>
      <c r="B146" s="31" t="s">
        <v>12</v>
      </c>
      <c r="C146" s="33">
        <v>3300</v>
      </c>
      <c r="D146" s="32">
        <v>2805</v>
      </c>
      <c r="E146" s="28">
        <v>0.15000000000000002</v>
      </c>
    </row>
    <row r="147" spans="1:5" ht="11.25" customHeight="1" x14ac:dyDescent="0.2">
      <c r="A147" s="30" t="s">
        <v>13</v>
      </c>
      <c r="B147" s="31" t="s">
        <v>14</v>
      </c>
      <c r="C147" s="33">
        <v>3300</v>
      </c>
      <c r="D147" s="32">
        <v>2805</v>
      </c>
      <c r="E147" s="28">
        <v>0.15000000000000002</v>
      </c>
    </row>
    <row r="148" spans="1:5" ht="11.25" customHeight="1" x14ac:dyDescent="0.2">
      <c r="A148" s="30" t="s">
        <v>15</v>
      </c>
      <c r="B148" s="31" t="s">
        <v>16</v>
      </c>
      <c r="C148" s="33">
        <v>2600</v>
      </c>
      <c r="D148" s="32">
        <v>2210</v>
      </c>
      <c r="E148" s="28">
        <v>0.15000000000000002</v>
      </c>
    </row>
    <row r="149" spans="1:5" ht="11.25" customHeight="1" x14ac:dyDescent="0.2">
      <c r="A149" s="30" t="s">
        <v>17</v>
      </c>
      <c r="B149" s="31" t="s">
        <v>18</v>
      </c>
      <c r="C149" s="33">
        <v>500</v>
      </c>
      <c r="D149" s="32">
        <v>425</v>
      </c>
      <c r="E149" s="28">
        <v>0.15000000000000002</v>
      </c>
    </row>
    <row r="150" spans="1:5" ht="11.25" customHeight="1" x14ac:dyDescent="0.2">
      <c r="A150" s="30" t="s">
        <v>19</v>
      </c>
      <c r="B150" s="31" t="s">
        <v>20</v>
      </c>
      <c r="C150" s="33">
        <v>2500</v>
      </c>
      <c r="D150" s="32">
        <v>2125</v>
      </c>
      <c r="E150" s="28">
        <v>0.15000000000000002</v>
      </c>
    </row>
    <row r="151" spans="1:5" ht="11.25" customHeight="1" x14ac:dyDescent="0.2">
      <c r="A151" s="30" t="s">
        <v>21</v>
      </c>
      <c r="B151" s="31" t="s">
        <v>22</v>
      </c>
      <c r="C151" s="33">
        <v>2500</v>
      </c>
      <c r="D151" s="32">
        <v>2125</v>
      </c>
      <c r="E151" s="28">
        <v>0.15000000000000002</v>
      </c>
    </row>
    <row r="152" spans="1:5" ht="11.25" customHeight="1" x14ac:dyDescent="0.2">
      <c r="A152" s="30" t="s">
        <v>23</v>
      </c>
      <c r="B152" s="31" t="s">
        <v>24</v>
      </c>
      <c r="C152" s="33">
        <v>2500</v>
      </c>
      <c r="D152" s="32">
        <v>2125</v>
      </c>
      <c r="E152" s="28">
        <v>0.15000000000000002</v>
      </c>
    </row>
    <row r="153" spans="1:5" ht="11.25" customHeight="1" x14ac:dyDescent="0.2">
      <c r="A153" s="30">
        <v>2001469</v>
      </c>
      <c r="B153" s="31" t="s">
        <v>216</v>
      </c>
      <c r="C153" s="32">
        <v>42.5</v>
      </c>
      <c r="D153" s="32">
        <v>38.25</v>
      </c>
      <c r="E153" s="28">
        <v>9.9999999999999978E-2</v>
      </c>
    </row>
    <row r="154" spans="1:5" ht="11.25" customHeight="1" x14ac:dyDescent="0.2">
      <c r="A154" s="30">
        <v>2001480</v>
      </c>
      <c r="B154" s="31" t="s">
        <v>217</v>
      </c>
      <c r="C154" s="32">
        <v>132.5</v>
      </c>
      <c r="D154" s="32">
        <v>119.25</v>
      </c>
      <c r="E154" s="28">
        <v>9.9999999999999978E-2</v>
      </c>
    </row>
    <row r="155" spans="1:5" ht="11.25" customHeight="1" x14ac:dyDescent="0.2">
      <c r="A155" s="30">
        <v>2001481</v>
      </c>
      <c r="B155" s="31" t="s">
        <v>218</v>
      </c>
      <c r="C155" s="32">
        <v>75</v>
      </c>
      <c r="D155" s="32">
        <v>67.5</v>
      </c>
      <c r="E155" s="28">
        <v>9.9999999999999978E-2</v>
      </c>
    </row>
    <row r="156" spans="1:5" ht="11.25" customHeight="1" x14ac:dyDescent="0.2">
      <c r="A156" s="30">
        <v>2001624</v>
      </c>
      <c r="B156" s="31" t="s">
        <v>219</v>
      </c>
      <c r="C156" s="32">
        <v>125</v>
      </c>
      <c r="D156" s="32">
        <v>112.5</v>
      </c>
      <c r="E156" s="28">
        <v>9.9999999999999978E-2</v>
      </c>
    </row>
    <row r="157" spans="1:5" ht="11.25" customHeight="1" x14ac:dyDescent="0.2">
      <c r="A157" s="30">
        <v>2001625</v>
      </c>
      <c r="B157" s="31" t="s">
        <v>220</v>
      </c>
      <c r="C157" s="32">
        <v>150</v>
      </c>
      <c r="D157" s="32">
        <v>135</v>
      </c>
      <c r="E157" s="28">
        <v>9.9999999999999978E-2</v>
      </c>
    </row>
    <row r="158" spans="1:5" ht="11.25" customHeight="1" x14ac:dyDescent="0.2">
      <c r="A158" s="30">
        <v>2001631</v>
      </c>
      <c r="B158" s="31" t="s">
        <v>221</v>
      </c>
      <c r="C158" s="32">
        <v>43.12</v>
      </c>
      <c r="D158" s="32">
        <v>38.81</v>
      </c>
      <c r="E158" s="28">
        <v>9.9953617810760509E-2</v>
      </c>
    </row>
    <row r="159" spans="1:5" ht="11.25" customHeight="1" x14ac:dyDescent="0.2">
      <c r="A159" s="30">
        <v>2001632</v>
      </c>
      <c r="B159" s="31" t="s">
        <v>222</v>
      </c>
      <c r="C159" s="32">
        <v>43.12</v>
      </c>
      <c r="D159" s="32">
        <v>38.81</v>
      </c>
      <c r="E159" s="28">
        <v>9.9953617810760509E-2</v>
      </c>
    </row>
    <row r="160" spans="1:5" ht="11.25" customHeight="1" x14ac:dyDescent="0.2">
      <c r="A160" s="30">
        <v>2001633</v>
      </c>
      <c r="B160" s="31" t="s">
        <v>223</v>
      </c>
      <c r="C160" s="32">
        <v>47</v>
      </c>
      <c r="D160" s="32">
        <v>42.3</v>
      </c>
      <c r="E160" s="28">
        <v>0.10000000000000009</v>
      </c>
    </row>
    <row r="161" spans="1:5" ht="11.25" customHeight="1" x14ac:dyDescent="0.2">
      <c r="A161" s="30">
        <v>2001634</v>
      </c>
      <c r="B161" s="31" t="s">
        <v>224</v>
      </c>
      <c r="C161" s="32">
        <v>53</v>
      </c>
      <c r="D161" s="32">
        <v>47.7</v>
      </c>
      <c r="E161" s="28">
        <v>9.9999999999999978E-2</v>
      </c>
    </row>
    <row r="162" spans="1:5" ht="11.25" customHeight="1" x14ac:dyDescent="0.2">
      <c r="A162" s="30">
        <v>2001635</v>
      </c>
      <c r="B162" s="31" t="s">
        <v>225</v>
      </c>
      <c r="C162" s="32">
        <v>168</v>
      </c>
      <c r="D162" s="32">
        <v>151.19999999999999</v>
      </c>
      <c r="E162" s="28">
        <v>0.10000000000000009</v>
      </c>
    </row>
    <row r="163" spans="1:5" ht="11.25" customHeight="1" x14ac:dyDescent="0.2">
      <c r="A163" s="30">
        <v>2001636</v>
      </c>
      <c r="B163" s="31" t="s">
        <v>226</v>
      </c>
      <c r="C163" s="32">
        <v>406</v>
      </c>
      <c r="D163" s="32">
        <v>365.4</v>
      </c>
      <c r="E163" s="28">
        <v>0.10000000000000009</v>
      </c>
    </row>
    <row r="164" spans="1:5" ht="11.25" customHeight="1" x14ac:dyDescent="0.2">
      <c r="A164" s="30">
        <v>2001637</v>
      </c>
      <c r="B164" s="31" t="s">
        <v>227</v>
      </c>
      <c r="C164" s="32">
        <v>37.93</v>
      </c>
      <c r="D164" s="32">
        <v>34.14</v>
      </c>
      <c r="E164" s="28">
        <v>9.9920906933825493E-2</v>
      </c>
    </row>
    <row r="165" spans="1:5" ht="11.25" customHeight="1" x14ac:dyDescent="0.2">
      <c r="A165" s="30">
        <v>2001638</v>
      </c>
      <c r="B165" s="31" t="s">
        <v>228</v>
      </c>
      <c r="C165" s="32">
        <v>43.16</v>
      </c>
      <c r="D165" s="32">
        <v>38.840000000000003</v>
      </c>
      <c r="E165" s="28">
        <v>0.10009267840593128</v>
      </c>
    </row>
    <row r="166" spans="1:5" ht="11.25" customHeight="1" x14ac:dyDescent="0.2">
      <c r="A166" s="30">
        <v>2001827</v>
      </c>
      <c r="B166" s="31" t="s">
        <v>229</v>
      </c>
      <c r="C166" s="32">
        <v>23</v>
      </c>
      <c r="D166" s="32">
        <v>20.7</v>
      </c>
      <c r="E166" s="28">
        <v>9.9999999999999978E-2</v>
      </c>
    </row>
    <row r="167" spans="1:5" ht="11.25" customHeight="1" x14ac:dyDescent="0.2">
      <c r="A167" s="30">
        <v>2001828</v>
      </c>
      <c r="B167" s="31" t="s">
        <v>230</v>
      </c>
      <c r="C167" s="32">
        <v>23</v>
      </c>
      <c r="D167" s="32">
        <v>20.7</v>
      </c>
      <c r="E167" s="28">
        <v>9.9999999999999978E-2</v>
      </c>
    </row>
    <row r="168" spans="1:5" ht="11.25" customHeight="1" x14ac:dyDescent="0.2">
      <c r="A168" s="30">
        <v>2001829</v>
      </c>
      <c r="B168" s="31" t="s">
        <v>231</v>
      </c>
      <c r="C168" s="32">
        <v>31</v>
      </c>
      <c r="D168" s="32">
        <v>27.9</v>
      </c>
      <c r="E168" s="28">
        <v>0.10000000000000009</v>
      </c>
    </row>
    <row r="169" spans="1:5" ht="11.25" customHeight="1" x14ac:dyDescent="0.2">
      <c r="A169" s="30">
        <v>3000356</v>
      </c>
      <c r="B169" s="31" t="s">
        <v>232</v>
      </c>
      <c r="C169" s="32">
        <v>350</v>
      </c>
      <c r="D169" s="32">
        <v>315</v>
      </c>
      <c r="E169" s="28">
        <v>9.9999999999999978E-2</v>
      </c>
    </row>
    <row r="170" spans="1:5" ht="11.25" customHeight="1" x14ac:dyDescent="0.2">
      <c r="A170" s="30">
        <v>3000356</v>
      </c>
      <c r="B170" s="31" t="s">
        <v>233</v>
      </c>
      <c r="C170" s="32">
        <v>350</v>
      </c>
      <c r="D170" s="32">
        <v>315</v>
      </c>
      <c r="E170" s="28">
        <v>9.9999999999999978E-2</v>
      </c>
    </row>
    <row r="171" spans="1:5" ht="11.25" customHeight="1" x14ac:dyDescent="0.2">
      <c r="A171" s="30">
        <v>3000356</v>
      </c>
      <c r="B171" s="31" t="s">
        <v>234</v>
      </c>
      <c r="C171" s="32">
        <v>350</v>
      </c>
      <c r="D171" s="32">
        <v>315</v>
      </c>
      <c r="E171" s="28">
        <v>9.9999999999999978E-2</v>
      </c>
    </row>
    <row r="172" spans="1:5" ht="11.25" customHeight="1" x14ac:dyDescent="0.2">
      <c r="A172" s="30">
        <v>3000356</v>
      </c>
      <c r="B172" s="31" t="s">
        <v>235</v>
      </c>
      <c r="C172" s="32">
        <v>350</v>
      </c>
      <c r="D172" s="32">
        <v>315</v>
      </c>
      <c r="E172" s="28">
        <v>9.9999999999999978E-2</v>
      </c>
    </row>
    <row r="173" spans="1:5" ht="11.25" customHeight="1" x14ac:dyDescent="0.2">
      <c r="A173" s="30">
        <v>3000356</v>
      </c>
      <c r="B173" s="31" t="s">
        <v>236</v>
      </c>
      <c r="C173" s="32">
        <v>350</v>
      </c>
      <c r="D173" s="32">
        <v>315</v>
      </c>
      <c r="E173" s="28">
        <v>9.9999999999999978E-2</v>
      </c>
    </row>
    <row r="174" spans="1:5" ht="11.25" customHeight="1" x14ac:dyDescent="0.2">
      <c r="A174" s="30">
        <v>3000522</v>
      </c>
      <c r="B174" s="31" t="s">
        <v>237</v>
      </c>
      <c r="C174" s="32">
        <v>225</v>
      </c>
      <c r="D174" s="32">
        <v>202.5</v>
      </c>
      <c r="E174" s="28">
        <v>9.9999999999999978E-2</v>
      </c>
    </row>
    <row r="175" spans="1:5" ht="11.25" customHeight="1" x14ac:dyDescent="0.2">
      <c r="A175" s="30">
        <v>3000524</v>
      </c>
      <c r="B175" s="31" t="s">
        <v>238</v>
      </c>
      <c r="C175" s="32">
        <v>1000</v>
      </c>
      <c r="D175" s="32">
        <v>900</v>
      </c>
      <c r="E175" s="28">
        <v>9.9999999999999978E-2</v>
      </c>
    </row>
    <row r="176" spans="1:5" ht="11.25" customHeight="1" x14ac:dyDescent="0.2">
      <c r="A176" s="30">
        <v>3000525</v>
      </c>
      <c r="B176" s="31" t="s">
        <v>239</v>
      </c>
      <c r="C176" s="32">
        <v>3750</v>
      </c>
      <c r="D176" s="32">
        <v>3375</v>
      </c>
      <c r="E176" s="28">
        <v>9.9999999999999978E-2</v>
      </c>
    </row>
    <row r="177" spans="1:5" ht="11.25" customHeight="1" x14ac:dyDescent="0.2">
      <c r="A177" s="30">
        <v>3001061</v>
      </c>
      <c r="B177" s="31" t="s">
        <v>240</v>
      </c>
      <c r="C177" s="32">
        <v>950</v>
      </c>
      <c r="D177" s="32">
        <v>855</v>
      </c>
      <c r="E177" s="28">
        <v>9.9999999999999978E-2</v>
      </c>
    </row>
    <row r="178" spans="1:5" ht="11.25" customHeight="1" x14ac:dyDescent="0.2">
      <c r="A178" s="30">
        <v>3001121</v>
      </c>
      <c r="B178" s="31" t="s">
        <v>241</v>
      </c>
      <c r="C178" s="32">
        <v>373</v>
      </c>
      <c r="D178" s="32">
        <v>335.7</v>
      </c>
      <c r="E178" s="28">
        <v>9.9999999999999978E-2</v>
      </c>
    </row>
    <row r="179" spans="1:5" ht="11.25" customHeight="1" x14ac:dyDescent="0.2">
      <c r="A179" s="30">
        <v>3001123</v>
      </c>
      <c r="B179" s="31" t="s">
        <v>242</v>
      </c>
      <c r="C179" s="32">
        <v>746</v>
      </c>
      <c r="D179" s="32">
        <v>671.4</v>
      </c>
      <c r="E179" s="28">
        <v>9.9999999999999978E-2</v>
      </c>
    </row>
    <row r="180" spans="1:5" ht="11.25" customHeight="1" x14ac:dyDescent="0.2">
      <c r="A180" s="30">
        <v>3001124</v>
      </c>
      <c r="B180" s="31" t="s">
        <v>243</v>
      </c>
      <c r="C180" s="32">
        <v>566</v>
      </c>
      <c r="D180" s="32">
        <v>509.4</v>
      </c>
      <c r="E180" s="28">
        <v>0.10000000000000009</v>
      </c>
    </row>
    <row r="181" spans="1:5" ht="11.25" customHeight="1" x14ac:dyDescent="0.2">
      <c r="A181" s="30">
        <v>3001125</v>
      </c>
      <c r="B181" s="31" t="s">
        <v>244</v>
      </c>
      <c r="C181" s="32">
        <v>566</v>
      </c>
      <c r="D181" s="32">
        <v>509.4</v>
      </c>
      <c r="E181" s="28">
        <v>0.10000000000000009</v>
      </c>
    </row>
    <row r="182" spans="1:5" ht="11.25" customHeight="1" x14ac:dyDescent="0.2">
      <c r="A182" s="30">
        <v>3001126</v>
      </c>
      <c r="B182" s="31" t="s">
        <v>245</v>
      </c>
      <c r="C182" s="32">
        <v>7079</v>
      </c>
      <c r="D182" s="32">
        <v>6371.1</v>
      </c>
      <c r="E182" s="28">
        <v>9.9999999999999978E-2</v>
      </c>
    </row>
    <row r="183" spans="1:5" ht="11.25" customHeight="1" x14ac:dyDescent="0.2">
      <c r="A183" s="30">
        <v>3001127</v>
      </c>
      <c r="B183" s="31" t="s">
        <v>246</v>
      </c>
      <c r="C183" s="32">
        <v>5369</v>
      </c>
      <c r="D183" s="32">
        <v>4832.1000000000004</v>
      </c>
      <c r="E183" s="28">
        <v>9.9999999999999978E-2</v>
      </c>
    </row>
    <row r="184" spans="1:5" ht="11.25" customHeight="1" x14ac:dyDescent="0.2">
      <c r="A184" s="30">
        <v>3001128</v>
      </c>
      <c r="B184" s="31" t="s">
        <v>247</v>
      </c>
      <c r="C184" s="32">
        <v>5369</v>
      </c>
      <c r="D184" s="32">
        <v>4832.1000000000004</v>
      </c>
      <c r="E184" s="28">
        <v>9.9999999999999978E-2</v>
      </c>
    </row>
    <row r="185" spans="1:5" ht="11.25" customHeight="1" x14ac:dyDescent="0.2">
      <c r="A185" s="30">
        <v>3001129</v>
      </c>
      <c r="B185" s="31" t="s">
        <v>248</v>
      </c>
      <c r="C185" s="32">
        <v>386</v>
      </c>
      <c r="D185" s="32">
        <v>347.4</v>
      </c>
      <c r="E185" s="28">
        <v>0.10000000000000009</v>
      </c>
    </row>
    <row r="186" spans="1:5" ht="11.25" customHeight="1" x14ac:dyDescent="0.2">
      <c r="A186" s="30">
        <v>3001140</v>
      </c>
      <c r="B186" s="31" t="s">
        <v>249</v>
      </c>
      <c r="C186" s="32">
        <v>773</v>
      </c>
      <c r="D186" s="32">
        <v>695.7</v>
      </c>
      <c r="E186" s="28">
        <v>9.9999999999999978E-2</v>
      </c>
    </row>
    <row r="187" spans="1:5" ht="11.25" customHeight="1" x14ac:dyDescent="0.2">
      <c r="A187" s="30">
        <v>3001141</v>
      </c>
      <c r="B187" s="31" t="s">
        <v>250</v>
      </c>
      <c r="C187" s="32">
        <v>594</v>
      </c>
      <c r="D187" s="32">
        <v>534.6</v>
      </c>
      <c r="E187" s="28">
        <v>9.9999999999999978E-2</v>
      </c>
    </row>
    <row r="188" spans="1:5" ht="11.25" customHeight="1" x14ac:dyDescent="0.2">
      <c r="A188" s="30">
        <v>3001142</v>
      </c>
      <c r="B188" s="31" t="s">
        <v>251</v>
      </c>
      <c r="C188" s="32">
        <v>7433</v>
      </c>
      <c r="D188" s="32">
        <v>6689.7</v>
      </c>
      <c r="E188" s="28">
        <v>9.9999999999999978E-2</v>
      </c>
    </row>
    <row r="189" spans="1:5" ht="11.25" customHeight="1" x14ac:dyDescent="0.2">
      <c r="A189" s="30">
        <v>3001143</v>
      </c>
      <c r="B189" s="31" t="s">
        <v>252</v>
      </c>
      <c r="C189" s="32">
        <v>5723</v>
      </c>
      <c r="D189" s="32">
        <v>5150.7</v>
      </c>
      <c r="E189" s="28">
        <v>9.9999999999999978E-2</v>
      </c>
    </row>
    <row r="190" spans="1:5" ht="11.25" customHeight="1" x14ac:dyDescent="0.2">
      <c r="A190" s="30">
        <v>3001203</v>
      </c>
      <c r="B190" s="31" t="s">
        <v>253</v>
      </c>
      <c r="C190" s="32">
        <v>11900</v>
      </c>
      <c r="D190" s="32">
        <v>10710</v>
      </c>
      <c r="E190" s="28">
        <v>9.9999999999999978E-2</v>
      </c>
    </row>
    <row r="191" spans="1:5" ht="11.25" customHeight="1" x14ac:dyDescent="0.2">
      <c r="A191" s="30">
        <v>3001252</v>
      </c>
      <c r="B191" s="31" t="s">
        <v>254</v>
      </c>
      <c r="C191" s="32">
        <v>25</v>
      </c>
      <c r="D191" s="32">
        <v>22.5</v>
      </c>
      <c r="E191" s="28">
        <v>9.9999999999999978E-2</v>
      </c>
    </row>
    <row r="192" spans="1:5" ht="11.25" customHeight="1" x14ac:dyDescent="0.2">
      <c r="A192" s="30">
        <v>3001285</v>
      </c>
      <c r="B192" s="31" t="s">
        <v>255</v>
      </c>
      <c r="C192" s="32">
        <v>950</v>
      </c>
      <c r="D192" s="32">
        <v>855</v>
      </c>
      <c r="E192" s="28">
        <v>9.9999999999999978E-2</v>
      </c>
    </row>
    <row r="193" spans="1:5" ht="11.25" customHeight="1" x14ac:dyDescent="0.2">
      <c r="A193" s="30">
        <v>3001321</v>
      </c>
      <c r="B193" s="31" t="s">
        <v>256</v>
      </c>
      <c r="C193" s="32">
        <v>1950</v>
      </c>
      <c r="D193" s="32">
        <v>1755</v>
      </c>
      <c r="E193" s="28">
        <v>9.9999999999999978E-2</v>
      </c>
    </row>
    <row r="194" spans="1:5" ht="11.25" customHeight="1" x14ac:dyDescent="0.2">
      <c r="A194" s="30">
        <v>3001321</v>
      </c>
      <c r="B194" s="31" t="s">
        <v>257</v>
      </c>
      <c r="C194" s="32">
        <v>1950</v>
      </c>
      <c r="D194" s="32">
        <v>1755</v>
      </c>
      <c r="E194" s="28">
        <v>9.9999999999999978E-2</v>
      </c>
    </row>
    <row r="195" spans="1:5" ht="11.25" customHeight="1" x14ac:dyDescent="0.2">
      <c r="A195" s="30">
        <v>3001371</v>
      </c>
      <c r="B195" s="31" t="s">
        <v>258</v>
      </c>
      <c r="C195" s="32">
        <v>7079</v>
      </c>
      <c r="D195" s="32">
        <v>6371.1</v>
      </c>
      <c r="E195" s="28">
        <v>9.9999999999999978E-2</v>
      </c>
    </row>
    <row r="196" spans="1:5" ht="11.25" customHeight="1" x14ac:dyDescent="0.2">
      <c r="A196" s="30">
        <v>3001372</v>
      </c>
      <c r="B196" s="31" t="s">
        <v>259</v>
      </c>
      <c r="C196" s="32">
        <v>5369</v>
      </c>
      <c r="D196" s="32">
        <v>4832.1000000000004</v>
      </c>
      <c r="E196" s="28">
        <v>9.9999999999999978E-2</v>
      </c>
    </row>
    <row r="197" spans="1:5" ht="11.25" customHeight="1" x14ac:dyDescent="0.2">
      <c r="A197" s="30">
        <v>3001373</v>
      </c>
      <c r="B197" s="31" t="s">
        <v>260</v>
      </c>
      <c r="C197" s="32">
        <v>5369</v>
      </c>
      <c r="D197" s="32">
        <v>4832.1000000000004</v>
      </c>
      <c r="E197" s="28">
        <v>9.9999999999999978E-2</v>
      </c>
    </row>
    <row r="198" spans="1:5" ht="11.25" customHeight="1" x14ac:dyDescent="0.2">
      <c r="A198" s="30">
        <v>3001374</v>
      </c>
      <c r="B198" s="31" t="s">
        <v>261</v>
      </c>
      <c r="C198" s="32">
        <v>7433</v>
      </c>
      <c r="D198" s="32">
        <v>6689.7</v>
      </c>
      <c r="E198" s="28">
        <v>9.9999999999999978E-2</v>
      </c>
    </row>
    <row r="199" spans="1:5" ht="11.25" customHeight="1" x14ac:dyDescent="0.2">
      <c r="A199" s="30">
        <v>3001375</v>
      </c>
      <c r="B199" s="31" t="s">
        <v>262</v>
      </c>
      <c r="C199" s="32">
        <v>5723</v>
      </c>
      <c r="D199" s="32">
        <v>5150.7</v>
      </c>
      <c r="E199" s="28">
        <v>9.9999999999999978E-2</v>
      </c>
    </row>
    <row r="200" spans="1:5" ht="11.25" customHeight="1" x14ac:dyDescent="0.2">
      <c r="A200" s="30">
        <v>3001376</v>
      </c>
      <c r="B200" s="31" t="s">
        <v>263</v>
      </c>
      <c r="C200" s="32">
        <v>7079</v>
      </c>
      <c r="D200" s="32">
        <v>6371.1</v>
      </c>
      <c r="E200" s="28">
        <v>9.9999999999999978E-2</v>
      </c>
    </row>
    <row r="201" spans="1:5" ht="11.25" customHeight="1" x14ac:dyDescent="0.2">
      <c r="A201" s="30">
        <v>3001377</v>
      </c>
      <c r="B201" s="31" t="s">
        <v>264</v>
      </c>
      <c r="C201" s="32">
        <v>5162</v>
      </c>
      <c r="D201" s="32">
        <v>4645.8</v>
      </c>
      <c r="E201" s="28">
        <v>9.9999999999999978E-2</v>
      </c>
    </row>
    <row r="202" spans="1:5" ht="11.25" customHeight="1" x14ac:dyDescent="0.2">
      <c r="A202" s="30">
        <v>3001379</v>
      </c>
      <c r="B202" s="31" t="s">
        <v>265</v>
      </c>
      <c r="C202" s="32">
        <v>7433</v>
      </c>
      <c r="D202" s="32">
        <v>6689.7</v>
      </c>
      <c r="E202" s="28">
        <v>9.9999999999999978E-2</v>
      </c>
    </row>
    <row r="203" spans="1:5" ht="11.25" customHeight="1" x14ac:dyDescent="0.2">
      <c r="A203" s="30">
        <v>3001424</v>
      </c>
      <c r="B203" s="31" t="s">
        <v>266</v>
      </c>
      <c r="C203" s="32">
        <v>746</v>
      </c>
      <c r="D203" s="32">
        <v>671.4</v>
      </c>
      <c r="E203" s="28">
        <v>9.9999999999999978E-2</v>
      </c>
    </row>
    <row r="204" spans="1:5" ht="11.25" customHeight="1" x14ac:dyDescent="0.2">
      <c r="A204" s="30">
        <v>3001462</v>
      </c>
      <c r="B204" s="31" t="s">
        <v>267</v>
      </c>
      <c r="C204" s="32">
        <v>3905</v>
      </c>
      <c r="D204" s="32">
        <v>3514.5</v>
      </c>
      <c r="E204" s="28">
        <v>9.9999999999999978E-2</v>
      </c>
    </row>
    <row r="205" spans="1:5" ht="11.25" customHeight="1" x14ac:dyDescent="0.2">
      <c r="A205" s="30">
        <v>3001463</v>
      </c>
      <c r="B205" s="31" t="s">
        <v>268</v>
      </c>
      <c r="C205" s="32">
        <v>1147</v>
      </c>
      <c r="D205" s="32">
        <v>1032.3</v>
      </c>
      <c r="E205" s="28">
        <v>0.10000000000000009</v>
      </c>
    </row>
    <row r="206" spans="1:5" ht="11.25" customHeight="1" x14ac:dyDescent="0.2">
      <c r="A206" s="30">
        <v>3001464</v>
      </c>
      <c r="B206" s="31" t="s">
        <v>269</v>
      </c>
      <c r="C206" s="32">
        <v>322</v>
      </c>
      <c r="D206" s="32">
        <v>289.8</v>
      </c>
      <c r="E206" s="28">
        <v>9.9999999999999978E-2</v>
      </c>
    </row>
    <row r="207" spans="1:5" ht="11.25" customHeight="1" x14ac:dyDescent="0.2">
      <c r="A207" s="30">
        <v>3001469</v>
      </c>
      <c r="B207" s="31" t="s">
        <v>270</v>
      </c>
      <c r="C207" s="32">
        <v>220</v>
      </c>
      <c r="D207" s="32">
        <v>198</v>
      </c>
      <c r="E207" s="28">
        <v>9.9999999999999978E-2</v>
      </c>
    </row>
    <row r="208" spans="1:5" ht="11.25" customHeight="1" x14ac:dyDescent="0.2">
      <c r="A208" s="30">
        <v>3001480</v>
      </c>
      <c r="B208" s="31" t="s">
        <v>271</v>
      </c>
      <c r="C208" s="32">
        <v>220</v>
      </c>
      <c r="D208" s="32">
        <v>198</v>
      </c>
      <c r="E208" s="28">
        <v>9.9999999999999978E-2</v>
      </c>
    </row>
    <row r="209" spans="1:5" ht="11.25" customHeight="1" x14ac:dyDescent="0.2">
      <c r="A209" s="30">
        <v>3001481</v>
      </c>
      <c r="B209" s="31" t="s">
        <v>272</v>
      </c>
      <c r="C209" s="32">
        <v>2000</v>
      </c>
      <c r="D209" s="32">
        <v>1800</v>
      </c>
      <c r="E209" s="28">
        <v>9.9999999999999978E-2</v>
      </c>
    </row>
    <row r="210" spans="1:5" ht="11.25" customHeight="1" x14ac:dyDescent="0.2">
      <c r="A210" s="30">
        <v>3001482</v>
      </c>
      <c r="B210" s="31" t="s">
        <v>273</v>
      </c>
      <c r="C210" s="32">
        <v>2000</v>
      </c>
      <c r="D210" s="32">
        <v>1800</v>
      </c>
      <c r="E210" s="28">
        <v>9.9999999999999978E-2</v>
      </c>
    </row>
    <row r="211" spans="1:5" ht="11.25" customHeight="1" x14ac:dyDescent="0.2">
      <c r="A211" s="30">
        <v>3001483</v>
      </c>
      <c r="B211" s="31" t="s">
        <v>274</v>
      </c>
      <c r="C211" s="32">
        <v>300</v>
      </c>
      <c r="D211" s="32">
        <v>270</v>
      </c>
      <c r="E211" s="28">
        <v>9.9999999999999978E-2</v>
      </c>
    </row>
    <row r="212" spans="1:5" ht="11.25" customHeight="1" x14ac:dyDescent="0.2">
      <c r="A212" s="30">
        <v>3001485</v>
      </c>
      <c r="B212" s="31" t="s">
        <v>275</v>
      </c>
      <c r="C212" s="32">
        <v>2800</v>
      </c>
      <c r="D212" s="32">
        <v>2520</v>
      </c>
      <c r="E212" s="28">
        <v>9.9999999999999978E-2</v>
      </c>
    </row>
    <row r="213" spans="1:5" ht="11.25" customHeight="1" x14ac:dyDescent="0.2">
      <c r="A213" s="30">
        <v>3001510</v>
      </c>
      <c r="B213" s="31" t="s">
        <v>276</v>
      </c>
      <c r="C213" s="32">
        <v>3325</v>
      </c>
      <c r="D213" s="32">
        <v>2992.5</v>
      </c>
      <c r="E213" s="28">
        <v>9.9999999999999978E-2</v>
      </c>
    </row>
    <row r="214" spans="1:5" ht="11.25" customHeight="1" x14ac:dyDescent="0.2">
      <c r="A214" s="30">
        <v>4000021</v>
      </c>
      <c r="B214" s="31" t="s">
        <v>277</v>
      </c>
      <c r="C214" s="32">
        <v>37950</v>
      </c>
      <c r="D214" s="32">
        <v>34155</v>
      </c>
      <c r="E214" s="28">
        <v>9.9999999999999978E-2</v>
      </c>
    </row>
    <row r="215" spans="1:5" ht="11.25" customHeight="1" x14ac:dyDescent="0.2">
      <c r="A215" s="30">
        <v>4000143</v>
      </c>
      <c r="B215" s="31" t="s">
        <v>278</v>
      </c>
      <c r="C215" s="32">
        <v>36950</v>
      </c>
      <c r="D215" s="32">
        <v>33255</v>
      </c>
      <c r="E215" s="28">
        <v>9.9999999999999978E-2</v>
      </c>
    </row>
    <row r="216" spans="1:5" ht="11.25" customHeight="1" x14ac:dyDescent="0.2">
      <c r="A216" s="30">
        <v>4000150</v>
      </c>
      <c r="B216" s="31" t="s">
        <v>279</v>
      </c>
      <c r="C216" s="32">
        <v>30450</v>
      </c>
      <c r="D216" s="32">
        <v>27405</v>
      </c>
      <c r="E216" s="28">
        <v>9.9999999999999978E-2</v>
      </c>
    </row>
    <row r="217" spans="1:5" ht="11.25" customHeight="1" x14ac:dyDescent="0.2">
      <c r="A217" s="30">
        <v>4000152</v>
      </c>
      <c r="B217" s="31" t="s">
        <v>280</v>
      </c>
      <c r="C217" s="32">
        <v>30950</v>
      </c>
      <c r="D217" s="32">
        <v>27855</v>
      </c>
      <c r="E217" s="28">
        <v>9.9999999999999978E-2</v>
      </c>
    </row>
    <row r="218" spans="1:5" ht="11.25" customHeight="1" x14ac:dyDescent="0.2">
      <c r="A218" s="30">
        <v>4000261</v>
      </c>
      <c r="B218" s="31" t="s">
        <v>281</v>
      </c>
      <c r="C218" s="32">
        <v>29950</v>
      </c>
      <c r="D218" s="32">
        <v>26955</v>
      </c>
      <c r="E218" s="28">
        <v>9.9999999999999978E-2</v>
      </c>
    </row>
    <row r="219" spans="1:5" ht="11.25" customHeight="1" x14ac:dyDescent="0.2">
      <c r="A219" s="30">
        <v>4000263</v>
      </c>
      <c r="B219" s="31" t="s">
        <v>282</v>
      </c>
      <c r="C219" s="32">
        <v>30950</v>
      </c>
      <c r="D219" s="32">
        <v>27855</v>
      </c>
      <c r="E219" s="28">
        <v>9.9999999999999978E-2</v>
      </c>
    </row>
    <row r="220" spans="1:5" ht="11.25" customHeight="1" x14ac:dyDescent="0.2">
      <c r="A220" s="30">
        <v>4000265</v>
      </c>
      <c r="B220" s="31" t="s">
        <v>283</v>
      </c>
      <c r="C220" s="32">
        <v>31950</v>
      </c>
      <c r="D220" s="32">
        <v>28755</v>
      </c>
      <c r="E220" s="28">
        <v>9.9999999999999978E-2</v>
      </c>
    </row>
    <row r="221" spans="1:5" ht="11.25" customHeight="1" x14ac:dyDescent="0.2">
      <c r="A221" s="30">
        <v>4000269</v>
      </c>
      <c r="B221" s="31" t="s">
        <v>284</v>
      </c>
      <c r="C221" s="32">
        <v>24950</v>
      </c>
      <c r="D221" s="32">
        <v>22455</v>
      </c>
      <c r="E221" s="28">
        <v>9.9999999999999978E-2</v>
      </c>
    </row>
    <row r="222" spans="1:5" ht="11.25" customHeight="1" x14ac:dyDescent="0.2">
      <c r="A222" s="30">
        <v>4000271</v>
      </c>
      <c r="B222" s="31" t="s">
        <v>285</v>
      </c>
      <c r="C222" s="32">
        <v>25450</v>
      </c>
      <c r="D222" s="32">
        <v>22905</v>
      </c>
      <c r="E222" s="28">
        <v>9.9999999999999978E-2</v>
      </c>
    </row>
    <row r="223" spans="1:5" ht="11.25" customHeight="1" x14ac:dyDescent="0.2">
      <c r="A223" s="30">
        <v>4000273</v>
      </c>
      <c r="B223" s="31" t="s">
        <v>286</v>
      </c>
      <c r="C223" s="32">
        <v>25950</v>
      </c>
      <c r="D223" s="32">
        <v>23355</v>
      </c>
      <c r="E223" s="28">
        <v>9.9999999999999978E-2</v>
      </c>
    </row>
    <row r="224" spans="1:5" ht="11.25" customHeight="1" x14ac:dyDescent="0.2">
      <c r="A224" s="30">
        <v>4000332</v>
      </c>
      <c r="B224" s="31" t="s">
        <v>287</v>
      </c>
      <c r="C224" s="32">
        <v>4950</v>
      </c>
      <c r="D224" s="32">
        <v>4455</v>
      </c>
      <c r="E224" s="28">
        <v>9.9999999999999978E-2</v>
      </c>
    </row>
    <row r="225" spans="1:5" ht="11.25" customHeight="1" x14ac:dyDescent="0.2">
      <c r="A225" s="30">
        <v>4000385</v>
      </c>
      <c r="B225" s="31" t="s">
        <v>288</v>
      </c>
      <c r="C225" s="32">
        <v>16950</v>
      </c>
      <c r="D225" s="32">
        <v>15255</v>
      </c>
      <c r="E225" s="28">
        <v>9.9999999999999978E-2</v>
      </c>
    </row>
    <row r="226" spans="1:5" ht="11.25" customHeight="1" x14ac:dyDescent="0.2">
      <c r="A226" s="30">
        <v>4000434</v>
      </c>
      <c r="B226" s="31" t="s">
        <v>289</v>
      </c>
      <c r="C226" s="32">
        <v>14950</v>
      </c>
      <c r="D226" s="32">
        <v>13455</v>
      </c>
      <c r="E226" s="28">
        <v>9.9999999999999978E-2</v>
      </c>
    </row>
    <row r="227" spans="1:5" ht="11.25" customHeight="1" x14ac:dyDescent="0.2">
      <c r="A227" s="30">
        <v>4000471</v>
      </c>
      <c r="B227" s="31" t="s">
        <v>290</v>
      </c>
      <c r="C227" s="32">
        <v>6950</v>
      </c>
      <c r="D227" s="32">
        <v>6255</v>
      </c>
      <c r="E227" s="28">
        <v>9.9999999999999978E-2</v>
      </c>
    </row>
    <row r="228" spans="1:5" ht="11.25" customHeight="1" x14ac:dyDescent="0.2">
      <c r="A228" s="30">
        <v>4000480</v>
      </c>
      <c r="B228" s="31" t="s">
        <v>291</v>
      </c>
      <c r="C228" s="32">
        <v>15450</v>
      </c>
      <c r="D228" s="32">
        <v>13905</v>
      </c>
      <c r="E228" s="28">
        <v>9.9999999999999978E-2</v>
      </c>
    </row>
    <row r="229" spans="1:5" ht="11.25" customHeight="1" x14ac:dyDescent="0.2">
      <c r="A229" s="30">
        <v>4000482</v>
      </c>
      <c r="B229" s="31" t="s">
        <v>292</v>
      </c>
      <c r="C229" s="32">
        <v>17450</v>
      </c>
      <c r="D229" s="32">
        <v>15705</v>
      </c>
      <c r="E229" s="28">
        <v>9.9999999999999978E-2</v>
      </c>
    </row>
    <row r="230" spans="1:5" ht="11.25" customHeight="1" x14ac:dyDescent="0.2">
      <c r="A230" s="30">
        <v>4000602</v>
      </c>
      <c r="B230" s="31" t="s">
        <v>293</v>
      </c>
      <c r="C230" s="32">
        <v>6950</v>
      </c>
      <c r="D230" s="32">
        <v>6255</v>
      </c>
      <c r="E230" s="28">
        <v>9.9999999999999978E-2</v>
      </c>
    </row>
    <row r="231" spans="1:5" ht="11.25" customHeight="1" x14ac:dyDescent="0.2">
      <c r="A231" s="30">
        <v>4000603</v>
      </c>
      <c r="B231" s="31" t="s">
        <v>294</v>
      </c>
      <c r="C231" s="32">
        <v>11950</v>
      </c>
      <c r="D231" s="32">
        <v>10755</v>
      </c>
      <c r="E231" s="28">
        <v>9.9999999999999978E-2</v>
      </c>
    </row>
    <row r="232" spans="1:5" ht="11.25" customHeight="1" x14ac:dyDescent="0.2">
      <c r="A232" s="30">
        <v>4000611</v>
      </c>
      <c r="B232" s="31" t="s">
        <v>295</v>
      </c>
      <c r="C232" s="32">
        <v>12950</v>
      </c>
      <c r="D232" s="32">
        <v>11655</v>
      </c>
      <c r="E232" s="28">
        <v>9.9999999999999978E-2</v>
      </c>
    </row>
    <row r="233" spans="1:5" ht="11.25" customHeight="1" x14ac:dyDescent="0.2">
      <c r="A233" s="30">
        <v>4000620</v>
      </c>
      <c r="B233" s="31" t="s">
        <v>296</v>
      </c>
      <c r="C233" s="32">
        <v>8900</v>
      </c>
      <c r="D233" s="32">
        <v>8010</v>
      </c>
      <c r="E233" s="28">
        <v>9.9999999999999978E-2</v>
      </c>
    </row>
    <row r="234" spans="1:5" ht="11.25" customHeight="1" x14ac:dyDescent="0.2">
      <c r="A234" s="30">
        <v>4000622</v>
      </c>
      <c r="B234" s="31" t="s">
        <v>297</v>
      </c>
      <c r="C234" s="32">
        <v>7950</v>
      </c>
      <c r="D234" s="32">
        <v>7155</v>
      </c>
      <c r="E234" s="28">
        <v>9.9999999999999978E-2</v>
      </c>
    </row>
    <row r="235" spans="1:5" ht="11.25" customHeight="1" x14ac:dyDescent="0.2">
      <c r="A235" s="30">
        <v>4000635</v>
      </c>
      <c r="B235" s="31" t="s">
        <v>298</v>
      </c>
      <c r="C235" s="32">
        <v>9400</v>
      </c>
      <c r="D235" s="32">
        <v>8460</v>
      </c>
      <c r="E235" s="28">
        <v>9.9999999999999978E-2</v>
      </c>
    </row>
    <row r="236" spans="1:5" ht="11.25" customHeight="1" x14ac:dyDescent="0.2">
      <c r="A236" s="30">
        <v>4000636</v>
      </c>
      <c r="B236" s="31" t="s">
        <v>299</v>
      </c>
      <c r="C236" s="32">
        <v>7450</v>
      </c>
      <c r="D236" s="32">
        <v>6705</v>
      </c>
      <c r="E236" s="28">
        <v>9.9999999999999978E-2</v>
      </c>
    </row>
    <row r="237" spans="1:5" ht="11.25" customHeight="1" x14ac:dyDescent="0.2">
      <c r="A237" s="30">
        <v>4000637</v>
      </c>
      <c r="B237" s="31" t="s">
        <v>300</v>
      </c>
      <c r="C237" s="32">
        <v>9900</v>
      </c>
      <c r="D237" s="32">
        <v>8910</v>
      </c>
      <c r="E237" s="28">
        <v>9.9999999999999978E-2</v>
      </c>
    </row>
    <row r="238" spans="1:5" ht="11.25" customHeight="1" x14ac:dyDescent="0.2">
      <c r="A238" s="30">
        <v>4000638</v>
      </c>
      <c r="B238" s="31" t="s">
        <v>301</v>
      </c>
      <c r="C238" s="32">
        <v>12450</v>
      </c>
      <c r="D238" s="32">
        <v>11205</v>
      </c>
      <c r="E238" s="28">
        <v>9.9999999999999978E-2</v>
      </c>
    </row>
    <row r="239" spans="1:5" ht="11.25" customHeight="1" x14ac:dyDescent="0.2">
      <c r="A239" s="30">
        <v>4000640</v>
      </c>
      <c r="B239" s="31" t="s">
        <v>302</v>
      </c>
      <c r="C239" s="32">
        <v>34950</v>
      </c>
      <c r="D239" s="32">
        <v>31455</v>
      </c>
      <c r="E239" s="28">
        <v>9.9999999999999978E-2</v>
      </c>
    </row>
    <row r="240" spans="1:5" ht="11.25" customHeight="1" x14ac:dyDescent="0.2">
      <c r="A240" s="30">
        <v>4000641</v>
      </c>
      <c r="B240" s="31" t="s">
        <v>303</v>
      </c>
      <c r="C240" s="32">
        <v>14950</v>
      </c>
      <c r="D240" s="32">
        <v>13455</v>
      </c>
      <c r="E240" s="28">
        <v>9.9999999999999978E-2</v>
      </c>
    </row>
    <row r="241" spans="1:5" ht="11.25" customHeight="1" x14ac:dyDescent="0.2">
      <c r="A241" s="30">
        <v>4000700</v>
      </c>
      <c r="B241" s="31" t="s">
        <v>304</v>
      </c>
      <c r="C241" s="32">
        <v>15950</v>
      </c>
      <c r="D241" s="32">
        <v>14355</v>
      </c>
      <c r="E241" s="28">
        <v>9.9999999999999978E-2</v>
      </c>
    </row>
    <row r="242" spans="1:5" ht="11.25" customHeight="1" x14ac:dyDescent="0.2">
      <c r="A242" s="30" t="s">
        <v>305</v>
      </c>
      <c r="B242" s="31" t="s">
        <v>306</v>
      </c>
      <c r="C242" s="32">
        <v>419</v>
      </c>
      <c r="D242" s="32">
        <v>377.1</v>
      </c>
      <c r="E242" s="28">
        <v>9.9999999999999978E-2</v>
      </c>
    </row>
    <row r="243" spans="1:5" ht="11.25" customHeight="1" x14ac:dyDescent="0.2">
      <c r="A243" s="30" t="s">
        <v>307</v>
      </c>
      <c r="B243" s="31" t="s">
        <v>308</v>
      </c>
      <c r="C243" s="32">
        <v>329</v>
      </c>
      <c r="D243" s="32">
        <v>296.10000000000002</v>
      </c>
      <c r="E243" s="28">
        <v>9.9999999999999978E-2</v>
      </c>
    </row>
    <row r="244" spans="1:5" ht="11.25" customHeight="1" x14ac:dyDescent="0.2">
      <c r="A244" s="30" t="s">
        <v>309</v>
      </c>
      <c r="B244" s="31" t="s">
        <v>310</v>
      </c>
      <c r="C244" s="32">
        <v>50.25</v>
      </c>
      <c r="D244" s="32">
        <v>45.23</v>
      </c>
      <c r="E244" s="28">
        <v>9.9900497512437902E-2</v>
      </c>
    </row>
    <row r="245" spans="1:5" ht="11.25" customHeight="1" x14ac:dyDescent="0.2">
      <c r="A245" s="30" t="s">
        <v>311</v>
      </c>
      <c r="B245" s="31" t="s">
        <v>312</v>
      </c>
      <c r="C245" s="32">
        <v>63.75</v>
      </c>
      <c r="D245" s="32">
        <v>57.38</v>
      </c>
      <c r="E245" s="28">
        <v>9.9921568627450941E-2</v>
      </c>
    </row>
    <row r="246" spans="1:5" ht="11.25" customHeight="1" x14ac:dyDescent="0.2">
      <c r="A246" s="30" t="s">
        <v>313</v>
      </c>
      <c r="B246" s="31" t="s">
        <v>314</v>
      </c>
      <c r="C246" s="32">
        <v>93.75</v>
      </c>
      <c r="D246" s="32">
        <v>84.38</v>
      </c>
      <c r="E246" s="28">
        <v>9.9946666666666739E-2</v>
      </c>
    </row>
    <row r="247" spans="1:5" ht="11.25" customHeight="1" x14ac:dyDescent="0.2">
      <c r="A247" s="30" t="s">
        <v>315</v>
      </c>
      <c r="B247" s="31" t="s">
        <v>316</v>
      </c>
      <c r="C247" s="32">
        <v>179</v>
      </c>
      <c r="D247" s="32">
        <v>161.1</v>
      </c>
      <c r="E247" s="28">
        <v>9.9999999999999978E-2</v>
      </c>
    </row>
    <row r="248" spans="1:5" ht="11.25" customHeight="1" x14ac:dyDescent="0.2">
      <c r="A248" s="30" t="s">
        <v>317</v>
      </c>
      <c r="B248" s="31" t="s">
        <v>318</v>
      </c>
      <c r="C248" s="32">
        <v>63.75</v>
      </c>
      <c r="D248" s="32">
        <v>57.38</v>
      </c>
      <c r="E248" s="28">
        <v>9.9921568627450941E-2</v>
      </c>
    </row>
    <row r="249" spans="1:5" ht="11.25" customHeight="1" x14ac:dyDescent="0.2">
      <c r="A249" s="30" t="s">
        <v>319</v>
      </c>
      <c r="B249" s="31" t="s">
        <v>320</v>
      </c>
      <c r="C249" s="32">
        <v>65.95</v>
      </c>
      <c r="D249" s="32">
        <v>59.36</v>
      </c>
      <c r="E249" s="28">
        <v>9.9924184988627762E-2</v>
      </c>
    </row>
    <row r="250" spans="1:5" ht="11.25" customHeight="1" x14ac:dyDescent="0.2">
      <c r="A250" s="30" t="s">
        <v>321</v>
      </c>
      <c r="B250" s="31" t="s">
        <v>322</v>
      </c>
      <c r="C250" s="32">
        <v>54.95</v>
      </c>
      <c r="D250" s="32">
        <v>49.46</v>
      </c>
      <c r="E250" s="28">
        <v>9.990900818926296E-2</v>
      </c>
    </row>
    <row r="251" spans="1:5" ht="11.25" customHeight="1" x14ac:dyDescent="0.2">
      <c r="A251" s="30" t="s">
        <v>323</v>
      </c>
      <c r="B251" s="31" t="s">
        <v>324</v>
      </c>
      <c r="C251" s="32">
        <v>42.5</v>
      </c>
      <c r="D251" s="32">
        <v>38.25</v>
      </c>
      <c r="E251" s="28">
        <v>9.9999999999999978E-2</v>
      </c>
    </row>
    <row r="252" spans="1:5" ht="11.25" customHeight="1" x14ac:dyDescent="0.2">
      <c r="A252" s="30" t="s">
        <v>325</v>
      </c>
      <c r="B252" s="31" t="s">
        <v>326</v>
      </c>
      <c r="C252" s="32">
        <v>132.5</v>
      </c>
      <c r="D252" s="32">
        <v>119.25</v>
      </c>
      <c r="E252" s="28">
        <v>9.9999999999999978E-2</v>
      </c>
    </row>
    <row r="253" spans="1:5" ht="11.25" customHeight="1" x14ac:dyDescent="0.2">
      <c r="A253" s="30" t="s">
        <v>327</v>
      </c>
      <c r="B253" s="31" t="s">
        <v>328</v>
      </c>
      <c r="C253" s="32">
        <v>148.5</v>
      </c>
      <c r="D253" s="32">
        <v>133.65</v>
      </c>
      <c r="E253" s="28">
        <v>9.9999999999999978E-2</v>
      </c>
    </row>
    <row r="254" spans="1:5" ht="11.25" customHeight="1" x14ac:dyDescent="0.2">
      <c r="A254" s="30" t="s">
        <v>329</v>
      </c>
      <c r="B254" s="31" t="s">
        <v>330</v>
      </c>
      <c r="C254" s="32">
        <v>52</v>
      </c>
      <c r="D254" s="32">
        <v>46.8</v>
      </c>
      <c r="E254" s="28">
        <v>0.10000000000000009</v>
      </c>
    </row>
    <row r="255" spans="1:5" ht="11.25" customHeight="1" x14ac:dyDescent="0.2">
      <c r="A255" s="30" t="s">
        <v>331</v>
      </c>
      <c r="B255" s="31" t="s">
        <v>332</v>
      </c>
      <c r="C255" s="32">
        <v>61</v>
      </c>
      <c r="D255" s="32">
        <v>54.9</v>
      </c>
      <c r="E255" s="28">
        <v>9.9999999999999978E-2</v>
      </c>
    </row>
    <row r="256" spans="1:5" ht="11.25" customHeight="1" x14ac:dyDescent="0.2">
      <c r="A256" s="30" t="s">
        <v>333</v>
      </c>
      <c r="B256" s="31" t="s">
        <v>334</v>
      </c>
      <c r="C256" s="32">
        <v>65</v>
      </c>
      <c r="D256" s="32">
        <v>58.5</v>
      </c>
      <c r="E256" s="28">
        <v>9.9999999999999978E-2</v>
      </c>
    </row>
    <row r="257" spans="1:5" ht="11.25" customHeight="1" x14ac:dyDescent="0.2">
      <c r="A257" s="30" t="s">
        <v>335</v>
      </c>
      <c r="B257" s="31" t="s">
        <v>336</v>
      </c>
      <c r="C257" s="32">
        <v>60</v>
      </c>
      <c r="D257" s="32">
        <v>54</v>
      </c>
      <c r="E257" s="28">
        <v>9.9999999999999978E-2</v>
      </c>
    </row>
    <row r="258" spans="1:5" ht="11.25" customHeight="1" x14ac:dyDescent="0.2">
      <c r="A258" s="30" t="s">
        <v>337</v>
      </c>
      <c r="B258" s="31" t="s">
        <v>338</v>
      </c>
      <c r="C258" s="32">
        <v>746</v>
      </c>
      <c r="D258" s="32">
        <v>671.4</v>
      </c>
      <c r="E258" s="28">
        <v>9.9999999999999978E-2</v>
      </c>
    </row>
    <row r="259" spans="1:5" ht="11.25" customHeight="1" x14ac:dyDescent="0.2">
      <c r="A259" s="30" t="s">
        <v>339</v>
      </c>
      <c r="B259" s="31" t="s">
        <v>340</v>
      </c>
      <c r="C259" s="32">
        <v>544</v>
      </c>
      <c r="D259" s="32">
        <v>489.6</v>
      </c>
      <c r="E259" s="28">
        <v>9.9999999999999978E-2</v>
      </c>
    </row>
    <row r="260" spans="1:5" ht="11.25" customHeight="1" x14ac:dyDescent="0.2">
      <c r="A260" s="30" t="s">
        <v>341</v>
      </c>
      <c r="B260" s="31" t="s">
        <v>342</v>
      </c>
      <c r="C260" s="32">
        <v>373</v>
      </c>
      <c r="D260" s="32">
        <v>335.7</v>
      </c>
      <c r="E260" s="28">
        <v>9.9999999999999978E-2</v>
      </c>
    </row>
    <row r="261" spans="1:5" ht="11.25" customHeight="1" x14ac:dyDescent="0.2">
      <c r="A261" s="30" t="s">
        <v>343</v>
      </c>
      <c r="B261" s="31" t="s">
        <v>344</v>
      </c>
      <c r="C261" s="32">
        <v>411</v>
      </c>
      <c r="D261" s="32">
        <v>369.9</v>
      </c>
      <c r="E261" s="28">
        <v>0.10000000000000009</v>
      </c>
    </row>
    <row r="262" spans="1:5" ht="11.25" customHeight="1" x14ac:dyDescent="0.2">
      <c r="A262" s="30" t="s">
        <v>345</v>
      </c>
      <c r="B262" s="31" t="s">
        <v>346</v>
      </c>
      <c r="C262" s="32">
        <v>7079</v>
      </c>
      <c r="D262" s="32">
        <v>6371.1</v>
      </c>
      <c r="E262" s="28">
        <v>9.9999999999999978E-2</v>
      </c>
    </row>
    <row r="263" spans="1:5" ht="11.25" customHeight="1" x14ac:dyDescent="0.2">
      <c r="A263" s="30" t="s">
        <v>347</v>
      </c>
      <c r="B263" s="31" t="s">
        <v>348</v>
      </c>
      <c r="C263" s="32">
        <v>544</v>
      </c>
      <c r="D263" s="32">
        <v>489.6</v>
      </c>
      <c r="E263" s="28">
        <v>9.9999999999999978E-2</v>
      </c>
    </row>
    <row r="264" spans="1:5" ht="11.25" customHeight="1" x14ac:dyDescent="0.2">
      <c r="A264" s="30" t="s">
        <v>349</v>
      </c>
      <c r="B264" s="31" t="s">
        <v>350</v>
      </c>
      <c r="C264" s="32">
        <v>386</v>
      </c>
      <c r="D264" s="32">
        <v>347.4</v>
      </c>
      <c r="E264" s="28">
        <v>0.10000000000000009</v>
      </c>
    </row>
    <row r="265" spans="1:5" ht="11.25" customHeight="1" x14ac:dyDescent="0.2">
      <c r="A265" s="30" t="s">
        <v>351</v>
      </c>
      <c r="B265" s="31" t="s">
        <v>352</v>
      </c>
      <c r="C265" s="32">
        <v>773</v>
      </c>
      <c r="D265" s="32">
        <v>695.7</v>
      </c>
      <c r="E265" s="28">
        <v>9.9999999999999978E-2</v>
      </c>
    </row>
    <row r="266" spans="1:5" ht="11.25" customHeight="1" x14ac:dyDescent="0.2">
      <c r="A266" s="30" t="s">
        <v>353</v>
      </c>
      <c r="B266" s="31" t="s">
        <v>354</v>
      </c>
      <c r="C266" s="32">
        <v>7433</v>
      </c>
      <c r="D266" s="32">
        <v>6689.7</v>
      </c>
      <c r="E266" s="28">
        <v>9.9999999999999978E-2</v>
      </c>
    </row>
    <row r="267" spans="1:5" ht="11.25" customHeight="1" x14ac:dyDescent="0.2">
      <c r="A267" s="30" t="s">
        <v>355</v>
      </c>
      <c r="B267" s="31" t="s">
        <v>356</v>
      </c>
      <c r="C267" s="32">
        <v>436</v>
      </c>
      <c r="D267" s="32">
        <v>392.4</v>
      </c>
      <c r="E267" s="28">
        <v>0.10000000000000009</v>
      </c>
    </row>
    <row r="268" spans="1:5" ht="11.25" customHeight="1" x14ac:dyDescent="0.2">
      <c r="A268" s="30" t="s">
        <v>357</v>
      </c>
      <c r="B268" s="31" t="s">
        <v>358</v>
      </c>
      <c r="C268" s="32">
        <v>495</v>
      </c>
      <c r="D268" s="32">
        <v>445.5</v>
      </c>
      <c r="E268" s="28">
        <v>9.9999999999999978E-2</v>
      </c>
    </row>
    <row r="269" spans="1:5" ht="11.25" customHeight="1" x14ac:dyDescent="0.2">
      <c r="A269" s="30" t="s">
        <v>357</v>
      </c>
      <c r="B269" s="31" t="s">
        <v>359</v>
      </c>
      <c r="C269" s="32">
        <v>495</v>
      </c>
      <c r="D269" s="32">
        <v>445.5</v>
      </c>
      <c r="E269" s="28">
        <v>9.9999999999999978E-2</v>
      </c>
    </row>
    <row r="270" spans="1:5" ht="11.25" customHeight="1" x14ac:dyDescent="0.2">
      <c r="A270" s="30" t="s">
        <v>357</v>
      </c>
      <c r="B270" s="31" t="s">
        <v>360</v>
      </c>
      <c r="C270" s="32">
        <v>495</v>
      </c>
      <c r="D270" s="32">
        <v>445.5</v>
      </c>
      <c r="E270" s="28">
        <v>9.9999999999999978E-2</v>
      </c>
    </row>
    <row r="271" spans="1:5" ht="11.25" customHeight="1" x14ac:dyDescent="0.2">
      <c r="A271" s="30" t="s">
        <v>361</v>
      </c>
      <c r="B271" s="31" t="s">
        <v>362</v>
      </c>
      <c r="C271" s="32">
        <v>950</v>
      </c>
      <c r="D271" s="32">
        <v>855</v>
      </c>
      <c r="E271" s="28">
        <v>9.9999999999999978E-2</v>
      </c>
    </row>
    <row r="272" spans="1:5" ht="11.25" customHeight="1" x14ac:dyDescent="0.2">
      <c r="A272" s="30" t="s">
        <v>363</v>
      </c>
      <c r="B272" s="31" t="s">
        <v>364</v>
      </c>
      <c r="C272" s="32">
        <v>571</v>
      </c>
      <c r="D272" s="32">
        <v>513.9</v>
      </c>
      <c r="E272" s="28">
        <v>0.10000000000000009</v>
      </c>
    </row>
    <row r="273" spans="1:5" ht="11.25" customHeight="1" x14ac:dyDescent="0.2">
      <c r="A273" s="30" t="s">
        <v>365</v>
      </c>
      <c r="B273" s="31" t="s">
        <v>366</v>
      </c>
      <c r="C273" s="32">
        <v>3450</v>
      </c>
      <c r="D273" s="32">
        <v>3105</v>
      </c>
      <c r="E273" s="28">
        <v>9.9999999999999978E-2</v>
      </c>
    </row>
    <row r="274" spans="1:5" ht="11.25" customHeight="1" x14ac:dyDescent="0.2">
      <c r="A274" s="30" t="s">
        <v>367</v>
      </c>
      <c r="B274" s="31" t="s">
        <v>368</v>
      </c>
      <c r="C274" s="32">
        <v>1250</v>
      </c>
      <c r="D274" s="32">
        <v>1125</v>
      </c>
      <c r="E274" s="28">
        <v>9.9999999999999978E-2</v>
      </c>
    </row>
    <row r="275" spans="1:5" ht="11.25" customHeight="1" x14ac:dyDescent="0.2">
      <c r="A275" s="30" t="s">
        <v>369</v>
      </c>
      <c r="B275" s="31" t="s">
        <v>370</v>
      </c>
      <c r="C275" s="32">
        <v>35950</v>
      </c>
      <c r="D275" s="32">
        <v>32355</v>
      </c>
      <c r="E275" s="28">
        <v>9.9999999999999978E-2</v>
      </c>
    </row>
    <row r="276" spans="1:5" ht="11.25" customHeight="1" x14ac:dyDescent="0.2">
      <c r="A276" s="30" t="s">
        <v>371</v>
      </c>
      <c r="B276" s="31" t="s">
        <v>372</v>
      </c>
      <c r="C276" s="32">
        <v>29950</v>
      </c>
      <c r="D276" s="32">
        <v>26955</v>
      </c>
      <c r="E276" s="28">
        <v>9.9999999999999978E-2</v>
      </c>
    </row>
    <row r="277" spans="1:5" ht="11.25" customHeight="1" x14ac:dyDescent="0.2">
      <c r="A277" s="30" t="s">
        <v>373</v>
      </c>
      <c r="B277" s="31" t="s">
        <v>374</v>
      </c>
      <c r="C277" s="32">
        <v>7950</v>
      </c>
      <c r="D277" s="32">
        <v>7155</v>
      </c>
      <c r="E277" s="28">
        <v>9.9999999999999978E-2</v>
      </c>
    </row>
    <row r="278" spans="1:5" ht="11.25" customHeight="1" x14ac:dyDescent="0.2">
      <c r="A278" s="30" t="s">
        <v>375</v>
      </c>
      <c r="B278" s="31" t="s">
        <v>376</v>
      </c>
      <c r="C278" s="32">
        <v>5950</v>
      </c>
      <c r="D278" s="32">
        <v>5355</v>
      </c>
      <c r="E278" s="28">
        <v>9.9999999999999978E-2</v>
      </c>
    </row>
    <row r="279" spans="1:5" ht="11.25" customHeight="1" x14ac:dyDescent="0.2">
      <c r="A279" s="30" t="s">
        <v>377</v>
      </c>
      <c r="B279" s="31" t="s">
        <v>378</v>
      </c>
      <c r="C279" s="32">
        <v>3295</v>
      </c>
      <c r="D279" s="32">
        <v>2965.5</v>
      </c>
      <c r="E279" s="28">
        <v>9.9999999999999978E-2</v>
      </c>
    </row>
    <row r="280" spans="1:5" ht="11.25" customHeight="1" x14ac:dyDescent="0.2">
      <c r="A280" s="30" t="s">
        <v>379</v>
      </c>
      <c r="B280" s="31" t="s">
        <v>380</v>
      </c>
      <c r="C280" s="32">
        <v>6195</v>
      </c>
      <c r="D280" s="32">
        <v>5575.5</v>
      </c>
      <c r="E280" s="28">
        <v>9.9999999999999978E-2</v>
      </c>
    </row>
    <row r="281" spans="1:5" ht="11.25" customHeight="1" x14ac:dyDescent="0.2">
      <c r="A281" s="30" t="s">
        <v>381</v>
      </c>
      <c r="B281" s="31" t="s">
        <v>382</v>
      </c>
      <c r="C281" s="32">
        <v>649</v>
      </c>
      <c r="D281" s="32">
        <v>584.1</v>
      </c>
      <c r="E281" s="28">
        <v>9.9999999999999978E-2</v>
      </c>
    </row>
    <row r="282" spans="1:5" ht="11.25" customHeight="1" x14ac:dyDescent="0.2">
      <c r="A282" s="30" t="s">
        <v>383</v>
      </c>
      <c r="B282" s="31" t="s">
        <v>384</v>
      </c>
      <c r="C282" s="32">
        <v>799</v>
      </c>
      <c r="D282" s="32">
        <v>719.1</v>
      </c>
      <c r="E282" s="28">
        <v>9.9999999999999978E-2</v>
      </c>
    </row>
    <row r="283" spans="1:5" ht="11.25" customHeight="1" x14ac:dyDescent="0.2">
      <c r="A283" s="30" t="s">
        <v>385</v>
      </c>
      <c r="B283" s="31" t="s">
        <v>386</v>
      </c>
      <c r="C283" s="32">
        <v>3295</v>
      </c>
      <c r="D283" s="32">
        <v>2965.5</v>
      </c>
      <c r="E283" s="28">
        <v>9.9999999999999978E-2</v>
      </c>
    </row>
    <row r="284" spans="1:5" ht="11.25" customHeight="1" x14ac:dyDescent="0.2">
      <c r="A284" s="30" t="s">
        <v>387</v>
      </c>
      <c r="B284" s="31" t="s">
        <v>388</v>
      </c>
      <c r="C284" s="32">
        <v>6195</v>
      </c>
      <c r="D284" s="32">
        <v>5575.5</v>
      </c>
      <c r="E284" s="28">
        <v>9.9999999999999978E-2</v>
      </c>
    </row>
    <row r="285" spans="1:5" ht="11.25" customHeight="1" x14ac:dyDescent="0.2">
      <c r="A285" s="30" t="s">
        <v>389</v>
      </c>
      <c r="B285" s="31" t="s">
        <v>390</v>
      </c>
      <c r="C285" s="32">
        <v>1995</v>
      </c>
      <c r="D285" s="32">
        <v>1795.5</v>
      </c>
      <c r="E285" s="28">
        <v>9.9999999999999978E-2</v>
      </c>
    </row>
    <row r="286" spans="1:5" ht="11.25" customHeight="1" x14ac:dyDescent="0.2">
      <c r="A286" s="30" t="s">
        <v>391</v>
      </c>
      <c r="B286" s="31" t="s">
        <v>392</v>
      </c>
      <c r="C286" s="32">
        <v>1995</v>
      </c>
      <c r="D286" s="32">
        <v>1795.5</v>
      </c>
      <c r="E286" s="28">
        <v>9.9999999999999978E-2</v>
      </c>
    </row>
    <row r="287" spans="1:5" ht="11.25" customHeight="1" x14ac:dyDescent="0.2">
      <c r="A287" s="30" t="s">
        <v>393</v>
      </c>
      <c r="B287" s="31" t="s">
        <v>394</v>
      </c>
      <c r="C287" s="32">
        <v>649</v>
      </c>
      <c r="D287" s="32">
        <v>584.1</v>
      </c>
      <c r="E287" s="28">
        <v>9.9999999999999978E-2</v>
      </c>
    </row>
    <row r="288" spans="1:5" ht="11.25" customHeight="1" x14ac:dyDescent="0.2">
      <c r="A288" s="30" t="s">
        <v>395</v>
      </c>
      <c r="B288" s="31" t="s">
        <v>396</v>
      </c>
      <c r="C288" s="32">
        <v>799</v>
      </c>
      <c r="D288" s="32">
        <v>719.1</v>
      </c>
      <c r="E288" s="28">
        <v>9.9999999999999978E-2</v>
      </c>
    </row>
    <row r="289" spans="1:5" ht="11.25" customHeight="1" x14ac:dyDescent="0.2">
      <c r="A289" s="30" t="s">
        <v>397</v>
      </c>
      <c r="B289" s="31" t="s">
        <v>398</v>
      </c>
      <c r="C289" s="32">
        <v>2475</v>
      </c>
      <c r="D289" s="32">
        <v>2227.5</v>
      </c>
      <c r="E289" s="28">
        <v>9.9999999999999978E-2</v>
      </c>
    </row>
    <row r="290" spans="1:5" ht="11.25" customHeight="1" x14ac:dyDescent="0.2">
      <c r="A290" s="30" t="s">
        <v>399</v>
      </c>
      <c r="B290" s="31" t="s">
        <v>400</v>
      </c>
      <c r="C290" s="32">
        <v>4020</v>
      </c>
      <c r="D290" s="32">
        <v>3618</v>
      </c>
      <c r="E290" s="28">
        <v>9.9999999999999978E-2</v>
      </c>
    </row>
    <row r="291" spans="1:5" ht="11.25" customHeight="1" x14ac:dyDescent="0.2">
      <c r="A291" s="30" t="s">
        <v>401</v>
      </c>
      <c r="B291" s="31" t="s">
        <v>402</v>
      </c>
      <c r="C291" s="32">
        <v>2475</v>
      </c>
      <c r="D291" s="32">
        <v>2227.5</v>
      </c>
      <c r="E291" s="28">
        <v>9.9999999999999978E-2</v>
      </c>
    </row>
    <row r="292" spans="1:5" ht="11.25" customHeight="1" x14ac:dyDescent="0.2">
      <c r="A292" s="30" t="s">
        <v>403</v>
      </c>
      <c r="B292" s="31" t="s">
        <v>404</v>
      </c>
      <c r="C292" s="32">
        <v>4020</v>
      </c>
      <c r="D292" s="32">
        <v>3618</v>
      </c>
      <c r="E292" s="28">
        <v>9.9999999999999978E-2</v>
      </c>
    </row>
    <row r="293" spans="1:5" ht="11.25" customHeight="1" x14ac:dyDescent="0.2">
      <c r="A293" s="30" t="s">
        <v>405</v>
      </c>
      <c r="B293" s="31" t="s">
        <v>406</v>
      </c>
      <c r="C293" s="32">
        <v>2475</v>
      </c>
      <c r="D293" s="32">
        <v>2227.5</v>
      </c>
      <c r="E293" s="28">
        <v>9.9999999999999978E-2</v>
      </c>
    </row>
    <row r="294" spans="1:5" ht="11.25" customHeight="1" x14ac:dyDescent="0.2">
      <c r="A294" s="30" t="s">
        <v>407</v>
      </c>
      <c r="B294" s="31" t="s">
        <v>408</v>
      </c>
      <c r="C294" s="32">
        <v>2475</v>
      </c>
      <c r="D294" s="32">
        <v>2227.5</v>
      </c>
      <c r="E294" s="28">
        <v>9.9999999999999978E-2</v>
      </c>
    </row>
    <row r="295" spans="1:5" ht="11.25" customHeight="1" x14ac:dyDescent="0.2">
      <c r="A295" s="30" t="s">
        <v>409</v>
      </c>
      <c r="B295" s="31" t="s">
        <v>410</v>
      </c>
      <c r="C295" s="32">
        <v>4020</v>
      </c>
      <c r="D295" s="32">
        <v>3618</v>
      </c>
      <c r="E295" s="28">
        <v>9.9999999999999978E-2</v>
      </c>
    </row>
    <row r="296" spans="1:5" ht="11.25" customHeight="1" x14ac:dyDescent="0.2">
      <c r="A296" s="30" t="s">
        <v>411</v>
      </c>
      <c r="B296" s="31" t="s">
        <v>412</v>
      </c>
      <c r="C296" s="32">
        <v>4020</v>
      </c>
      <c r="D296" s="32">
        <v>3618</v>
      </c>
      <c r="E296" s="28">
        <v>9.9999999999999978E-2</v>
      </c>
    </row>
    <row r="297" spans="1:5" ht="11.25" customHeight="1" x14ac:dyDescent="0.2">
      <c r="A297" s="30" t="s">
        <v>413</v>
      </c>
      <c r="B297" s="31" t="s">
        <v>414</v>
      </c>
      <c r="C297" s="32">
        <v>4995</v>
      </c>
      <c r="D297" s="32">
        <v>4495.5</v>
      </c>
      <c r="E297" s="28">
        <v>9.9999999999999978E-2</v>
      </c>
    </row>
    <row r="298" spans="1:5" ht="11.25" customHeight="1" x14ac:dyDescent="0.2">
      <c r="A298" s="30" t="s">
        <v>415</v>
      </c>
      <c r="B298" s="31" t="s">
        <v>416</v>
      </c>
      <c r="C298" s="32">
        <v>7495</v>
      </c>
      <c r="D298" s="32">
        <v>6745.5</v>
      </c>
      <c r="E298" s="28">
        <v>9.9999999999999978E-2</v>
      </c>
    </row>
    <row r="299" spans="1:5" ht="11.25" customHeight="1" x14ac:dyDescent="0.2">
      <c r="A299" s="30" t="s">
        <v>417</v>
      </c>
      <c r="B299" s="31" t="s">
        <v>418</v>
      </c>
      <c r="C299" s="32">
        <v>12290</v>
      </c>
      <c r="D299" s="32">
        <v>11061</v>
      </c>
      <c r="E299" s="28">
        <v>9.9999999999999978E-2</v>
      </c>
    </row>
    <row r="300" spans="1:5" ht="11.25" customHeight="1" x14ac:dyDescent="0.2">
      <c r="A300" s="30" t="s">
        <v>419</v>
      </c>
      <c r="B300" s="31" t="s">
        <v>420</v>
      </c>
      <c r="C300" s="32">
        <v>17490</v>
      </c>
      <c r="D300" s="32">
        <v>15741</v>
      </c>
      <c r="E300" s="28">
        <v>9.9999999999999978E-2</v>
      </c>
    </row>
    <row r="301" spans="1:5" ht="11.25" customHeight="1" x14ac:dyDescent="0.2">
      <c r="A301" s="30" t="s">
        <v>421</v>
      </c>
      <c r="B301" s="31" t="s">
        <v>422</v>
      </c>
      <c r="C301" s="32">
        <v>4995</v>
      </c>
      <c r="D301" s="32">
        <v>4495.5</v>
      </c>
      <c r="E301" s="28">
        <v>9.9999999999999978E-2</v>
      </c>
    </row>
    <row r="302" spans="1:5" ht="11.25" customHeight="1" x14ac:dyDescent="0.2">
      <c r="A302" s="30" t="s">
        <v>423</v>
      </c>
      <c r="B302" s="31" t="s">
        <v>424</v>
      </c>
      <c r="C302" s="32">
        <v>7495</v>
      </c>
      <c r="D302" s="32">
        <v>6745.5</v>
      </c>
      <c r="E302" s="28">
        <v>9.9999999999999978E-2</v>
      </c>
    </row>
    <row r="303" spans="1:5" ht="11.25" customHeight="1" x14ac:dyDescent="0.2">
      <c r="A303" s="30" t="s">
        <v>425</v>
      </c>
      <c r="B303" s="31" t="s">
        <v>426</v>
      </c>
      <c r="C303" s="32">
        <v>12290</v>
      </c>
      <c r="D303" s="32">
        <v>11061</v>
      </c>
      <c r="E303" s="28">
        <v>9.9999999999999978E-2</v>
      </c>
    </row>
    <row r="304" spans="1:5" ht="11.25" customHeight="1" x14ac:dyDescent="0.2">
      <c r="A304" s="30" t="s">
        <v>427</v>
      </c>
      <c r="B304" s="31" t="s">
        <v>428</v>
      </c>
      <c r="C304" s="32">
        <v>17490</v>
      </c>
      <c r="D304" s="32">
        <v>15741</v>
      </c>
      <c r="E304" s="28">
        <v>9.9999999999999978E-2</v>
      </c>
    </row>
    <row r="305" spans="1:5" ht="11.25" customHeight="1" x14ac:dyDescent="0.2">
      <c r="A305" s="30" t="s">
        <v>429</v>
      </c>
      <c r="B305" s="31" t="s">
        <v>430</v>
      </c>
      <c r="C305" s="32">
        <v>4495</v>
      </c>
      <c r="D305" s="32">
        <v>4045.5</v>
      </c>
      <c r="E305" s="28">
        <v>9.9999999999999978E-2</v>
      </c>
    </row>
    <row r="306" spans="1:5" ht="11.25" customHeight="1" x14ac:dyDescent="0.2">
      <c r="A306" s="30" t="s">
        <v>431</v>
      </c>
      <c r="B306" s="31" t="s">
        <v>432</v>
      </c>
      <c r="C306" s="32">
        <v>9995</v>
      </c>
      <c r="D306" s="32">
        <v>8995.5</v>
      </c>
      <c r="E306" s="28">
        <v>9.9999999999999978E-2</v>
      </c>
    </row>
    <row r="307" spans="1:5" ht="11.25" customHeight="1" x14ac:dyDescent="0.2">
      <c r="A307" s="30" t="s">
        <v>433</v>
      </c>
      <c r="B307" s="31" t="s">
        <v>434</v>
      </c>
      <c r="C307" s="32">
        <v>14750</v>
      </c>
      <c r="D307" s="32">
        <v>13275</v>
      </c>
      <c r="E307" s="28">
        <v>9.9999999999999978E-2</v>
      </c>
    </row>
    <row r="308" spans="1:5" ht="11.25" customHeight="1" x14ac:dyDescent="0.2">
      <c r="A308" s="30" t="s">
        <v>435</v>
      </c>
      <c r="B308" s="31" t="s">
        <v>436</v>
      </c>
      <c r="C308" s="32">
        <v>6995</v>
      </c>
      <c r="D308" s="32">
        <v>6295.5</v>
      </c>
      <c r="E308" s="28">
        <v>9.9999999999999978E-2</v>
      </c>
    </row>
    <row r="309" spans="1:5" ht="11.25" customHeight="1" x14ac:dyDescent="0.2">
      <c r="A309" s="30" t="s">
        <v>437</v>
      </c>
      <c r="B309" s="31" t="s">
        <v>438</v>
      </c>
      <c r="C309" s="32">
        <v>11795</v>
      </c>
      <c r="D309" s="32">
        <v>10615.5</v>
      </c>
      <c r="E309" s="28">
        <v>9.9999999999999978E-2</v>
      </c>
    </row>
    <row r="310" spans="1:5" ht="11.25" customHeight="1" x14ac:dyDescent="0.2">
      <c r="A310" s="30" t="s">
        <v>439</v>
      </c>
      <c r="B310" s="31" t="s">
        <v>440</v>
      </c>
      <c r="C310" s="32">
        <v>6995</v>
      </c>
      <c r="D310" s="32">
        <v>6295.5</v>
      </c>
      <c r="E310" s="28">
        <v>9.9999999999999978E-2</v>
      </c>
    </row>
    <row r="311" spans="1:5" ht="11.25" customHeight="1" x14ac:dyDescent="0.2">
      <c r="A311" s="30" t="s">
        <v>441</v>
      </c>
      <c r="B311" s="31" t="s">
        <v>442</v>
      </c>
      <c r="C311" s="32">
        <v>4495</v>
      </c>
      <c r="D311" s="32">
        <v>4045.5</v>
      </c>
      <c r="E311" s="28">
        <v>9.9999999999999978E-2</v>
      </c>
    </row>
    <row r="312" spans="1:5" ht="11.25" customHeight="1" x14ac:dyDescent="0.2">
      <c r="A312" s="30" t="s">
        <v>443</v>
      </c>
      <c r="B312" s="31" t="s">
        <v>444</v>
      </c>
      <c r="C312" s="32">
        <v>9995</v>
      </c>
      <c r="D312" s="32">
        <v>8995.5</v>
      </c>
      <c r="E312" s="28">
        <v>9.9999999999999978E-2</v>
      </c>
    </row>
    <row r="313" spans="1:5" ht="11.25" customHeight="1" x14ac:dyDescent="0.2">
      <c r="A313" s="30" t="s">
        <v>445</v>
      </c>
      <c r="B313" s="31" t="s">
        <v>446</v>
      </c>
      <c r="C313" s="32">
        <v>14750</v>
      </c>
      <c r="D313" s="32">
        <v>13275</v>
      </c>
      <c r="E313" s="28">
        <v>9.9999999999999978E-2</v>
      </c>
    </row>
    <row r="314" spans="1:5" ht="11.25" customHeight="1" x14ac:dyDescent="0.2">
      <c r="A314" s="30" t="s">
        <v>447</v>
      </c>
      <c r="B314" s="31" t="s">
        <v>448</v>
      </c>
      <c r="C314" s="32">
        <v>6995</v>
      </c>
      <c r="D314" s="32">
        <v>6295.5</v>
      </c>
      <c r="E314" s="28">
        <v>9.9999999999999978E-2</v>
      </c>
    </row>
    <row r="315" spans="1:5" ht="11.25" customHeight="1" x14ac:dyDescent="0.2">
      <c r="A315" s="30" t="s">
        <v>449</v>
      </c>
      <c r="B315" s="31" t="s">
        <v>450</v>
      </c>
      <c r="C315" s="32">
        <v>11795</v>
      </c>
      <c r="D315" s="32">
        <v>10615.5</v>
      </c>
      <c r="E315" s="28">
        <v>9.9999999999999978E-2</v>
      </c>
    </row>
    <row r="316" spans="1:5" ht="11.25" customHeight="1" x14ac:dyDescent="0.2">
      <c r="A316" s="30" t="s">
        <v>451</v>
      </c>
      <c r="B316" s="31" t="s">
        <v>452</v>
      </c>
      <c r="C316" s="32">
        <v>6995</v>
      </c>
      <c r="D316" s="32">
        <v>6295.5</v>
      </c>
      <c r="E316" s="28">
        <v>9.9999999999999978E-2</v>
      </c>
    </row>
    <row r="317" spans="1:5" ht="11.25" customHeight="1" x14ac:dyDescent="0.2">
      <c r="A317" s="30" t="s">
        <v>453</v>
      </c>
      <c r="B317" s="31" t="s">
        <v>454</v>
      </c>
      <c r="C317" s="32">
        <v>1000</v>
      </c>
      <c r="D317" s="32">
        <v>900</v>
      </c>
      <c r="E317" s="28">
        <v>9.9999999999999978E-2</v>
      </c>
    </row>
    <row r="318" spans="1:5" ht="11.25" customHeight="1" x14ac:dyDescent="0.2">
      <c r="A318" s="30" t="s">
        <v>455</v>
      </c>
      <c r="B318" s="31" t="s">
        <v>456</v>
      </c>
      <c r="C318" s="32">
        <v>1000</v>
      </c>
      <c r="D318" s="32">
        <v>900</v>
      </c>
      <c r="E318" s="28">
        <v>9.9999999999999978E-2</v>
      </c>
    </row>
    <row r="319" spans="1:5" ht="11.25" customHeight="1" x14ac:dyDescent="0.2">
      <c r="A319" s="30" t="s">
        <v>457</v>
      </c>
      <c r="B319" s="31" t="s">
        <v>458</v>
      </c>
      <c r="C319" s="32">
        <v>1000</v>
      </c>
      <c r="D319" s="32">
        <v>900</v>
      </c>
      <c r="E319" s="28">
        <v>9.9999999999999978E-2</v>
      </c>
    </row>
    <row r="320" spans="1:5" ht="11.25" customHeight="1" x14ac:dyDescent="0.2">
      <c r="A320" s="30" t="s">
        <v>459</v>
      </c>
      <c r="B320" s="31" t="s">
        <v>460</v>
      </c>
      <c r="C320" s="32">
        <v>1000</v>
      </c>
      <c r="D320" s="32">
        <v>900</v>
      </c>
      <c r="E320" s="28">
        <v>9.9999999999999978E-2</v>
      </c>
    </row>
    <row r="321" spans="1:5" ht="11.25" customHeight="1" x14ac:dyDescent="0.2">
      <c r="A321" s="30" t="s">
        <v>461</v>
      </c>
      <c r="B321" s="31" t="s">
        <v>462</v>
      </c>
      <c r="C321" s="32">
        <v>1099</v>
      </c>
      <c r="D321" s="32">
        <v>989.1</v>
      </c>
      <c r="E321" s="28">
        <v>9.9999999999999978E-2</v>
      </c>
    </row>
    <row r="322" spans="1:5" ht="11.25" customHeight="1" x14ac:dyDescent="0.2">
      <c r="A322" s="30" t="s">
        <v>463</v>
      </c>
      <c r="B322" s="31" t="s">
        <v>464</v>
      </c>
      <c r="C322" s="32">
        <v>2197</v>
      </c>
      <c r="D322" s="32">
        <v>1977.3</v>
      </c>
      <c r="E322" s="28">
        <v>9.9999999999999978E-2</v>
      </c>
    </row>
    <row r="323" spans="1:5" ht="11.25" customHeight="1" x14ac:dyDescent="0.2">
      <c r="A323" s="30" t="s">
        <v>465</v>
      </c>
      <c r="B323" s="31" t="s">
        <v>466</v>
      </c>
      <c r="C323" s="32">
        <v>4395</v>
      </c>
      <c r="D323" s="32">
        <v>3955.5</v>
      </c>
      <c r="E323" s="28">
        <v>9.9999999999999978E-2</v>
      </c>
    </row>
    <row r="324" spans="1:5" ht="11.25" customHeight="1" x14ac:dyDescent="0.2">
      <c r="A324" s="30" t="s">
        <v>467</v>
      </c>
      <c r="B324" s="31" t="s">
        <v>468</v>
      </c>
      <c r="C324" s="32">
        <v>6592</v>
      </c>
      <c r="D324" s="32">
        <v>5932.8</v>
      </c>
      <c r="E324" s="28">
        <v>9.9999999999999978E-2</v>
      </c>
    </row>
    <row r="325" spans="1:5" ht="11.25" customHeight="1" x14ac:dyDescent="0.2">
      <c r="A325" s="30" t="s">
        <v>469</v>
      </c>
      <c r="B325" s="31" t="s">
        <v>470</v>
      </c>
      <c r="C325" s="32">
        <v>13184</v>
      </c>
      <c r="D325" s="32">
        <v>11865.6</v>
      </c>
      <c r="E325" s="28">
        <v>9.9999999999999978E-2</v>
      </c>
    </row>
    <row r="326" spans="1:5" ht="11.25" customHeight="1" x14ac:dyDescent="0.2">
      <c r="A326" s="30" t="s">
        <v>471</v>
      </c>
      <c r="B326" s="31" t="s">
        <v>472</v>
      </c>
      <c r="C326" s="32">
        <v>16480</v>
      </c>
      <c r="D326" s="32">
        <v>14832</v>
      </c>
      <c r="E326" s="28">
        <v>9.9999999999999978E-2</v>
      </c>
    </row>
    <row r="327" spans="1:5" ht="11.25" customHeight="1" x14ac:dyDescent="0.2">
      <c r="A327" s="30" t="s">
        <v>473</v>
      </c>
      <c r="B327" s="31" t="s">
        <v>474</v>
      </c>
      <c r="C327" s="32">
        <v>26368</v>
      </c>
      <c r="D327" s="32">
        <v>23731.200000000001</v>
      </c>
      <c r="E327" s="28">
        <v>9.9999999999999978E-2</v>
      </c>
    </row>
    <row r="328" spans="1:5" ht="11.25" customHeight="1" x14ac:dyDescent="0.2">
      <c r="A328" s="30" t="s">
        <v>475</v>
      </c>
      <c r="B328" s="31" t="s">
        <v>476</v>
      </c>
      <c r="C328" s="32">
        <v>32960</v>
      </c>
      <c r="D328" s="32">
        <v>29664</v>
      </c>
      <c r="E328" s="28">
        <v>9.9999999999999978E-2</v>
      </c>
    </row>
    <row r="329" spans="1:5" ht="11.25" customHeight="1" x14ac:dyDescent="0.2">
      <c r="A329" s="30" t="s">
        <v>477</v>
      </c>
      <c r="B329" s="31" t="s">
        <v>478</v>
      </c>
      <c r="C329" s="32">
        <v>550</v>
      </c>
      <c r="D329" s="32">
        <v>495</v>
      </c>
      <c r="E329" s="28">
        <v>9.9999999999999978E-2</v>
      </c>
    </row>
    <row r="330" spans="1:5" ht="11.25" customHeight="1" x14ac:dyDescent="0.2">
      <c r="A330" s="30" t="s">
        <v>479</v>
      </c>
      <c r="B330" s="31" t="s">
        <v>480</v>
      </c>
      <c r="C330" s="32">
        <v>1099</v>
      </c>
      <c r="D330" s="32">
        <v>989.1</v>
      </c>
      <c r="E330" s="28">
        <v>9.9999999999999978E-2</v>
      </c>
    </row>
    <row r="331" spans="1:5" ht="11.25" customHeight="1" x14ac:dyDescent="0.2">
      <c r="A331" s="30" t="s">
        <v>481</v>
      </c>
      <c r="B331" s="31" t="s">
        <v>482</v>
      </c>
      <c r="C331" s="32">
        <v>2198</v>
      </c>
      <c r="D331" s="32">
        <v>1978.2</v>
      </c>
      <c r="E331" s="28">
        <v>9.9999999999999978E-2</v>
      </c>
    </row>
    <row r="332" spans="1:5" ht="11.25" customHeight="1" x14ac:dyDescent="0.2">
      <c r="A332" s="30" t="s">
        <v>483</v>
      </c>
      <c r="B332" s="31" t="s">
        <v>484</v>
      </c>
      <c r="C332" s="32">
        <v>3296</v>
      </c>
      <c r="D332" s="32">
        <v>2966.4</v>
      </c>
      <c r="E332" s="28">
        <v>9.9999999999999978E-2</v>
      </c>
    </row>
    <row r="333" spans="1:5" ht="11.25" customHeight="1" x14ac:dyDescent="0.2">
      <c r="A333" s="30" t="s">
        <v>485</v>
      </c>
      <c r="B333" s="31" t="s">
        <v>486</v>
      </c>
      <c r="C333" s="32">
        <v>6592</v>
      </c>
      <c r="D333" s="32">
        <v>5932.8</v>
      </c>
      <c r="E333" s="28">
        <v>9.9999999999999978E-2</v>
      </c>
    </row>
    <row r="334" spans="1:5" ht="11.25" customHeight="1" x14ac:dyDescent="0.2">
      <c r="A334" s="30" t="s">
        <v>487</v>
      </c>
      <c r="B334" s="31" t="s">
        <v>488</v>
      </c>
      <c r="C334" s="32">
        <v>8240</v>
      </c>
      <c r="D334" s="32">
        <v>7416</v>
      </c>
      <c r="E334" s="28">
        <v>9.9999999999999978E-2</v>
      </c>
    </row>
    <row r="335" spans="1:5" ht="11.25" customHeight="1" x14ac:dyDescent="0.2">
      <c r="A335" s="30" t="s">
        <v>489</v>
      </c>
      <c r="B335" s="31" t="s">
        <v>490</v>
      </c>
      <c r="C335" s="32">
        <v>13184</v>
      </c>
      <c r="D335" s="32">
        <v>11865.6</v>
      </c>
      <c r="E335" s="28">
        <v>9.9999999999999978E-2</v>
      </c>
    </row>
    <row r="336" spans="1:5" ht="11.25" customHeight="1" x14ac:dyDescent="0.2">
      <c r="A336" s="30" t="s">
        <v>491</v>
      </c>
      <c r="B336" s="31" t="s">
        <v>492</v>
      </c>
      <c r="C336" s="32">
        <v>16480</v>
      </c>
      <c r="D336" s="32">
        <v>14832</v>
      </c>
      <c r="E336" s="28">
        <v>9.9999999999999978E-2</v>
      </c>
    </row>
  </sheetData>
  <mergeCells count="1">
    <mergeCell ref="A1:E2"/>
  </mergeCells>
  <printOptions gridLines="1"/>
  <pageMargins left="0.7" right="0.7" top="0.75" bottom="0.75" header="0.3" footer="0.3"/>
  <pageSetup scale="68" orientation="landscape" r:id="rId1"/>
  <headerFooter>
    <oddHeader>&amp;C&amp;8Hardware Cost Proposal (may or may not be awarded), Tab 2</oddHeader>
    <oddFooter>Page &amp;P of &amp;N</oddFooter>
  </headerFooter>
  <rowBreaks count="1" manualBreakCount="1">
    <brk id="57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9" sqref="E9"/>
    </sheetView>
  </sheetViews>
  <sheetFormatPr defaultRowHeight="15" x14ac:dyDescent="0.25"/>
  <cols>
    <col min="1" max="1" width="14.85546875" customWidth="1"/>
    <col min="2" max="2" width="56.85546875" customWidth="1"/>
    <col min="3" max="3" width="14.7109375" customWidth="1"/>
    <col min="4" max="4" width="14.42578125" customWidth="1"/>
    <col min="5" max="5" width="10.5703125" customWidth="1"/>
  </cols>
  <sheetData>
    <row r="1" spans="1:5" s="26" customFormat="1" ht="11.25" customHeight="1" x14ac:dyDescent="0.2">
      <c r="A1" s="58" t="s">
        <v>7791</v>
      </c>
      <c r="B1" s="58"/>
      <c r="C1" s="58"/>
      <c r="D1" s="58"/>
      <c r="E1" s="58"/>
    </row>
    <row r="2" spans="1:5" s="26" customFormat="1" ht="11.25" customHeight="1" x14ac:dyDescent="0.2">
      <c r="A2" s="59"/>
      <c r="B2" s="59"/>
      <c r="C2" s="59"/>
      <c r="D2" s="59"/>
      <c r="E2" s="59"/>
    </row>
    <row r="3" spans="1:5" s="1" customFormat="1" x14ac:dyDescent="0.25">
      <c r="A3" s="60" t="s">
        <v>493</v>
      </c>
      <c r="B3" s="60"/>
      <c r="C3" s="60"/>
      <c r="D3" s="60"/>
      <c r="E3" s="60"/>
    </row>
    <row r="4" spans="1:5" x14ac:dyDescent="0.25">
      <c r="A4" s="3" t="s">
        <v>494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25">
      <c r="A5" s="5" t="s">
        <v>495</v>
      </c>
      <c r="B5" s="5" t="s">
        <v>496</v>
      </c>
      <c r="C5" s="4">
        <v>225</v>
      </c>
      <c r="D5" s="4">
        <v>105</v>
      </c>
      <c r="E5" s="6">
        <v>0.53</v>
      </c>
    </row>
    <row r="6" spans="1:5" x14ac:dyDescent="0.25">
      <c r="A6" s="5" t="s">
        <v>497</v>
      </c>
      <c r="B6" s="5" t="s">
        <v>498</v>
      </c>
      <c r="C6" s="4">
        <v>225</v>
      </c>
      <c r="D6" s="4">
        <v>113</v>
      </c>
      <c r="E6" s="6">
        <v>0.5</v>
      </c>
    </row>
    <row r="7" spans="1:5" x14ac:dyDescent="0.25">
      <c r="A7" s="5" t="s">
        <v>499</v>
      </c>
      <c r="B7" s="5" t="s">
        <v>500</v>
      </c>
      <c r="C7" s="4">
        <v>225</v>
      </c>
      <c r="D7" s="4">
        <v>120</v>
      </c>
      <c r="E7" s="6">
        <v>0.47</v>
      </c>
    </row>
    <row r="8" spans="1:5" x14ac:dyDescent="0.25">
      <c r="A8" s="5" t="s">
        <v>501</v>
      </c>
      <c r="B8" s="5" t="s">
        <v>502</v>
      </c>
      <c r="C8" s="4">
        <v>225</v>
      </c>
      <c r="D8" s="4">
        <v>185</v>
      </c>
      <c r="E8" s="6">
        <v>0.18</v>
      </c>
    </row>
    <row r="9" spans="1:5" s="2" customFormat="1" x14ac:dyDescent="0.25">
      <c r="A9" s="5" t="s">
        <v>504</v>
      </c>
      <c r="B9" s="5" t="s">
        <v>503</v>
      </c>
      <c r="C9" s="4">
        <v>225</v>
      </c>
      <c r="D9" s="4">
        <v>185</v>
      </c>
      <c r="E9" s="6">
        <v>0.18</v>
      </c>
    </row>
    <row r="11" spans="1:5" x14ac:dyDescent="0.25">
      <c r="B11" s="61"/>
      <c r="C11" s="61"/>
    </row>
  </sheetData>
  <mergeCells count="3">
    <mergeCell ref="A3:E3"/>
    <mergeCell ref="B11:C11"/>
    <mergeCell ref="A1:E2"/>
  </mergeCells>
  <pageMargins left="0.7" right="0.7" top="0.75" bottom="0.75" header="0.3" footer="0.3"/>
  <pageSetup orientation="landscape" r:id="rId1"/>
  <headerFooter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83"/>
  <sheetViews>
    <sheetView zoomScale="70" zoomScaleNormal="70" workbookViewId="0">
      <selection activeCell="D32" sqref="D32"/>
    </sheetView>
  </sheetViews>
  <sheetFormatPr defaultRowHeight="15" x14ac:dyDescent="0.25"/>
  <cols>
    <col min="1" max="1" width="35.28515625" style="42" bestFit="1" customWidth="1"/>
    <col min="2" max="2" width="127.28515625" style="42" customWidth="1"/>
    <col min="3" max="3" width="14.7109375" style="42" customWidth="1"/>
    <col min="4" max="4" width="14.42578125" style="42" customWidth="1"/>
    <col min="5" max="5" width="10.5703125" style="37" customWidth="1"/>
    <col min="6" max="16384" width="9.140625" style="42"/>
  </cols>
  <sheetData>
    <row r="1" spans="1:5" s="26" customFormat="1" ht="11.25" x14ac:dyDescent="0.2">
      <c r="A1" s="58" t="s">
        <v>7791</v>
      </c>
      <c r="B1" s="58"/>
      <c r="C1" s="58"/>
      <c r="D1" s="58"/>
      <c r="E1" s="58"/>
    </row>
    <row r="2" spans="1:5" s="26" customFormat="1" ht="11.25" x14ac:dyDescent="0.2">
      <c r="A2" s="59"/>
      <c r="B2" s="59"/>
      <c r="C2" s="59"/>
      <c r="D2" s="59"/>
      <c r="E2" s="59"/>
    </row>
    <row r="3" spans="1:5" x14ac:dyDescent="0.25">
      <c r="A3" s="62" t="s">
        <v>505</v>
      </c>
      <c r="B3" s="62"/>
      <c r="C3" s="62"/>
      <c r="D3" s="62"/>
      <c r="E3" s="62"/>
    </row>
    <row r="4" spans="1:5" x14ac:dyDescent="0.25">
      <c r="A4" s="8" t="s">
        <v>0</v>
      </c>
      <c r="B4" s="7" t="s">
        <v>1</v>
      </c>
      <c r="C4" s="7" t="s">
        <v>2</v>
      </c>
      <c r="D4" s="7" t="s">
        <v>3</v>
      </c>
      <c r="E4" s="15" t="s">
        <v>4</v>
      </c>
    </row>
    <row r="5" spans="1:5" x14ac:dyDescent="0.25">
      <c r="A5" s="44" t="s">
        <v>506</v>
      </c>
      <c r="B5" s="38" t="s">
        <v>507</v>
      </c>
      <c r="C5" s="43">
        <v>4301.1000000000004</v>
      </c>
      <c r="D5" s="39">
        <v>3225.8250000000003</v>
      </c>
      <c r="E5" s="14">
        <v>0.25</v>
      </c>
    </row>
    <row r="6" spans="1:5" x14ac:dyDescent="0.25">
      <c r="A6" s="44" t="s">
        <v>508</v>
      </c>
      <c r="B6" s="38" t="s">
        <v>509</v>
      </c>
      <c r="C6" s="43">
        <v>6690.6</v>
      </c>
      <c r="D6" s="39">
        <v>5017.9500000000007</v>
      </c>
      <c r="E6" s="14">
        <v>0.24999999999999989</v>
      </c>
    </row>
    <row r="7" spans="1:5" x14ac:dyDescent="0.25">
      <c r="A7" s="44" t="s">
        <v>510</v>
      </c>
      <c r="B7" s="38" t="s">
        <v>511</v>
      </c>
      <c r="C7" s="43">
        <v>4499.1000000000004</v>
      </c>
      <c r="D7" s="39">
        <v>3374.3250000000003</v>
      </c>
      <c r="E7" s="14">
        <v>0.25</v>
      </c>
    </row>
    <row r="8" spans="1:5" x14ac:dyDescent="0.25">
      <c r="A8" s="44" t="s">
        <v>512</v>
      </c>
      <c r="B8" s="38" t="s">
        <v>513</v>
      </c>
      <c r="C8" s="43">
        <v>6998.6</v>
      </c>
      <c r="D8" s="39">
        <v>5248.9500000000007</v>
      </c>
      <c r="E8" s="14">
        <v>0.24999999999999989</v>
      </c>
    </row>
    <row r="9" spans="1:5" x14ac:dyDescent="0.25">
      <c r="A9" s="44" t="s">
        <v>514</v>
      </c>
      <c r="B9" s="38" t="s">
        <v>515</v>
      </c>
      <c r="C9" s="43">
        <v>18</v>
      </c>
      <c r="D9" s="39">
        <v>13.5</v>
      </c>
      <c r="E9" s="14">
        <v>0.25</v>
      </c>
    </row>
    <row r="10" spans="1:5" x14ac:dyDescent="0.25">
      <c r="A10" s="44" t="s">
        <v>516</v>
      </c>
      <c r="B10" s="38" t="s">
        <v>517</v>
      </c>
      <c r="C10" s="43">
        <v>28</v>
      </c>
      <c r="D10" s="39">
        <v>21</v>
      </c>
      <c r="E10" s="14">
        <v>0.25</v>
      </c>
    </row>
    <row r="11" spans="1:5" x14ac:dyDescent="0.25">
      <c r="A11" s="44" t="s">
        <v>518</v>
      </c>
      <c r="B11" s="38" t="s">
        <v>519</v>
      </c>
      <c r="C11" s="43">
        <v>1079.0999999999999</v>
      </c>
      <c r="D11" s="39">
        <v>809.32499999999993</v>
      </c>
      <c r="E11" s="14">
        <v>0.25</v>
      </c>
    </row>
    <row r="12" spans="1:5" x14ac:dyDescent="0.25">
      <c r="A12" s="44" t="s">
        <v>520</v>
      </c>
      <c r="B12" s="38" t="s">
        <v>521</v>
      </c>
      <c r="C12" s="43">
        <v>1678.6</v>
      </c>
      <c r="D12" s="39">
        <v>1258.9499999999998</v>
      </c>
      <c r="E12" s="14">
        <v>0.25000000000000011</v>
      </c>
    </row>
    <row r="13" spans="1:5" x14ac:dyDescent="0.25">
      <c r="A13" s="44" t="s">
        <v>522</v>
      </c>
      <c r="B13" s="38" t="s">
        <v>523</v>
      </c>
      <c r="C13" s="43">
        <v>126</v>
      </c>
      <c r="D13" s="39">
        <v>94.5</v>
      </c>
      <c r="E13" s="14">
        <v>0.25</v>
      </c>
    </row>
    <row r="14" spans="1:5" x14ac:dyDescent="0.25">
      <c r="A14" s="44" t="s">
        <v>524</v>
      </c>
      <c r="B14" s="38" t="s">
        <v>525</v>
      </c>
      <c r="C14" s="43">
        <v>196</v>
      </c>
      <c r="D14" s="39">
        <v>147</v>
      </c>
      <c r="E14" s="14">
        <v>0.25</v>
      </c>
    </row>
    <row r="15" spans="1:5" x14ac:dyDescent="0.25">
      <c r="A15" s="44" t="s">
        <v>526</v>
      </c>
      <c r="B15" s="38" t="s">
        <v>527</v>
      </c>
      <c r="C15" s="43">
        <v>126</v>
      </c>
      <c r="D15" s="39">
        <v>94.5</v>
      </c>
      <c r="E15" s="14">
        <v>0.25</v>
      </c>
    </row>
    <row r="16" spans="1:5" x14ac:dyDescent="0.25">
      <c r="A16" s="44" t="s">
        <v>528</v>
      </c>
      <c r="B16" s="38" t="s">
        <v>529</v>
      </c>
      <c r="C16" s="43">
        <v>196</v>
      </c>
      <c r="D16" s="39">
        <v>147</v>
      </c>
      <c r="E16" s="14">
        <v>0.25</v>
      </c>
    </row>
    <row r="17" spans="1:5" x14ac:dyDescent="0.25">
      <c r="A17" s="44" t="s">
        <v>530</v>
      </c>
      <c r="B17" s="38" t="s">
        <v>531</v>
      </c>
      <c r="C17" s="43">
        <v>6750</v>
      </c>
      <c r="D17" s="39">
        <v>5062.5</v>
      </c>
      <c r="E17" s="14">
        <v>0.25</v>
      </c>
    </row>
    <row r="18" spans="1:5" x14ac:dyDescent="0.25">
      <c r="A18" s="44" t="s">
        <v>532</v>
      </c>
      <c r="B18" s="38" t="s">
        <v>533</v>
      </c>
      <c r="C18" s="43">
        <v>10500</v>
      </c>
      <c r="D18" s="39">
        <v>7875</v>
      </c>
      <c r="E18" s="14">
        <v>0.25</v>
      </c>
    </row>
    <row r="19" spans="1:5" x14ac:dyDescent="0.25">
      <c r="A19" s="44" t="s">
        <v>534</v>
      </c>
      <c r="B19" s="38" t="s">
        <v>535</v>
      </c>
      <c r="C19" s="43">
        <v>1350</v>
      </c>
      <c r="D19" s="39">
        <v>1012.5</v>
      </c>
      <c r="E19" s="14">
        <v>0.25</v>
      </c>
    </row>
    <row r="20" spans="1:5" x14ac:dyDescent="0.25">
      <c r="A20" s="44" t="s">
        <v>536</v>
      </c>
      <c r="B20" s="38" t="s">
        <v>537</v>
      </c>
      <c r="C20" s="43">
        <v>2100</v>
      </c>
      <c r="D20" s="39">
        <v>1575</v>
      </c>
      <c r="E20" s="14">
        <v>0.25</v>
      </c>
    </row>
    <row r="21" spans="1:5" x14ac:dyDescent="0.25">
      <c r="A21" s="44" t="s">
        <v>538</v>
      </c>
      <c r="B21" s="38" t="s">
        <v>539</v>
      </c>
      <c r="C21" s="43">
        <v>20250</v>
      </c>
      <c r="D21" s="39">
        <v>15187.5</v>
      </c>
      <c r="E21" s="14">
        <v>0.25</v>
      </c>
    </row>
    <row r="22" spans="1:5" x14ac:dyDescent="0.25">
      <c r="A22" s="44" t="s">
        <v>540</v>
      </c>
      <c r="B22" s="38" t="s">
        <v>541</v>
      </c>
      <c r="C22" s="43">
        <v>31500</v>
      </c>
      <c r="D22" s="39">
        <v>23625</v>
      </c>
      <c r="E22" s="14">
        <v>0.25</v>
      </c>
    </row>
    <row r="23" spans="1:5" x14ac:dyDescent="0.25">
      <c r="A23" s="44" t="s">
        <v>542</v>
      </c>
      <c r="B23" s="38" t="s">
        <v>543</v>
      </c>
      <c r="C23" s="43">
        <v>1800</v>
      </c>
      <c r="D23" s="39">
        <v>1350</v>
      </c>
      <c r="E23" s="14">
        <v>0.25</v>
      </c>
    </row>
    <row r="24" spans="1:5" x14ac:dyDescent="0.25">
      <c r="A24" s="44" t="s">
        <v>544</v>
      </c>
      <c r="B24" s="38" t="s">
        <v>545</v>
      </c>
      <c r="C24" s="43">
        <v>2800</v>
      </c>
      <c r="D24" s="39">
        <v>2100</v>
      </c>
      <c r="E24" s="14">
        <v>0.25</v>
      </c>
    </row>
    <row r="25" spans="1:5" x14ac:dyDescent="0.25">
      <c r="A25" s="44" t="s">
        <v>546</v>
      </c>
      <c r="B25" s="38" t="s">
        <v>547</v>
      </c>
      <c r="C25" s="43">
        <v>1440</v>
      </c>
      <c r="D25" s="39">
        <v>1080</v>
      </c>
      <c r="E25" s="14">
        <v>0.25</v>
      </c>
    </row>
    <row r="26" spans="1:5" x14ac:dyDescent="0.25">
      <c r="A26" s="44" t="s">
        <v>548</v>
      </c>
      <c r="B26" s="38" t="s">
        <v>549</v>
      </c>
      <c r="C26" s="43">
        <v>2240</v>
      </c>
      <c r="D26" s="39">
        <v>1680</v>
      </c>
      <c r="E26" s="14">
        <v>0.25</v>
      </c>
    </row>
    <row r="27" spans="1:5" x14ac:dyDescent="0.25">
      <c r="A27" s="44" t="s">
        <v>550</v>
      </c>
      <c r="B27" s="38" t="s">
        <v>551</v>
      </c>
      <c r="C27" s="43">
        <v>1575</v>
      </c>
      <c r="D27" s="39">
        <v>1181.25</v>
      </c>
      <c r="E27" s="14">
        <v>0.25</v>
      </c>
    </row>
    <row r="28" spans="1:5" x14ac:dyDescent="0.25">
      <c r="A28" s="44" t="s">
        <v>552</v>
      </c>
      <c r="B28" s="38" t="s">
        <v>553</v>
      </c>
      <c r="C28" s="43">
        <v>2450</v>
      </c>
      <c r="D28" s="39">
        <v>1837.5</v>
      </c>
      <c r="E28" s="14">
        <v>0.25</v>
      </c>
    </row>
    <row r="29" spans="1:5" x14ac:dyDescent="0.25">
      <c r="A29" s="44" t="s">
        <v>554</v>
      </c>
      <c r="B29" s="38" t="s">
        <v>555</v>
      </c>
      <c r="C29" s="43">
        <v>315</v>
      </c>
      <c r="D29" s="39">
        <v>236.25</v>
      </c>
      <c r="E29" s="14">
        <v>0.25</v>
      </c>
    </row>
    <row r="30" spans="1:5" x14ac:dyDescent="0.25">
      <c r="A30" s="44" t="s">
        <v>556</v>
      </c>
      <c r="B30" s="38" t="s">
        <v>557</v>
      </c>
      <c r="C30" s="43">
        <v>490</v>
      </c>
      <c r="D30" s="39">
        <v>367.5</v>
      </c>
      <c r="E30" s="14">
        <v>0.25</v>
      </c>
    </row>
    <row r="31" spans="1:5" x14ac:dyDescent="0.25">
      <c r="A31" s="44" t="s">
        <v>558</v>
      </c>
      <c r="B31" s="38" t="s">
        <v>559</v>
      </c>
      <c r="C31" s="43">
        <v>4725</v>
      </c>
      <c r="D31" s="39">
        <v>3543.75</v>
      </c>
      <c r="E31" s="14">
        <v>0.25</v>
      </c>
    </row>
    <row r="32" spans="1:5" x14ac:dyDescent="0.25">
      <c r="A32" s="44" t="s">
        <v>560</v>
      </c>
      <c r="B32" s="38" t="s">
        <v>561</v>
      </c>
      <c r="C32" s="43">
        <v>7350</v>
      </c>
      <c r="D32" s="39">
        <v>5512.5</v>
      </c>
      <c r="E32" s="14">
        <v>0.25</v>
      </c>
    </row>
    <row r="33" spans="1:5" x14ac:dyDescent="0.25">
      <c r="A33" s="44" t="s">
        <v>562</v>
      </c>
      <c r="B33" s="38" t="s">
        <v>563</v>
      </c>
      <c r="C33" s="43">
        <v>4950</v>
      </c>
      <c r="D33" s="39">
        <v>3712.5</v>
      </c>
      <c r="E33" s="14">
        <v>0.25</v>
      </c>
    </row>
    <row r="34" spans="1:5" x14ac:dyDescent="0.25">
      <c r="A34" s="44" t="s">
        <v>564</v>
      </c>
      <c r="B34" s="38" t="s">
        <v>565</v>
      </c>
      <c r="C34" s="43">
        <v>7700</v>
      </c>
      <c r="D34" s="39">
        <v>5775</v>
      </c>
      <c r="E34" s="14">
        <v>0.25</v>
      </c>
    </row>
    <row r="35" spans="1:5" x14ac:dyDescent="0.25">
      <c r="A35" s="44" t="s">
        <v>566</v>
      </c>
      <c r="B35" s="38" t="s">
        <v>567</v>
      </c>
      <c r="C35" s="43">
        <v>990</v>
      </c>
      <c r="D35" s="39">
        <v>742.5</v>
      </c>
      <c r="E35" s="14">
        <v>0.25</v>
      </c>
    </row>
    <row r="36" spans="1:5" x14ac:dyDescent="0.25">
      <c r="A36" s="44" t="s">
        <v>568</v>
      </c>
      <c r="B36" s="38" t="s">
        <v>569</v>
      </c>
      <c r="C36" s="43">
        <v>1540</v>
      </c>
      <c r="D36" s="39">
        <v>1155</v>
      </c>
      <c r="E36" s="14">
        <v>0.25</v>
      </c>
    </row>
    <row r="37" spans="1:5" x14ac:dyDescent="0.25">
      <c r="A37" s="44" t="s">
        <v>570</v>
      </c>
      <c r="B37" s="38" t="s">
        <v>571</v>
      </c>
      <c r="C37" s="43">
        <v>14850</v>
      </c>
      <c r="D37" s="39">
        <v>11137.5</v>
      </c>
      <c r="E37" s="14">
        <v>0.25</v>
      </c>
    </row>
    <row r="38" spans="1:5" x14ac:dyDescent="0.25">
      <c r="A38" s="44" t="s">
        <v>572</v>
      </c>
      <c r="B38" s="38" t="s">
        <v>573</v>
      </c>
      <c r="C38" s="43">
        <v>23100</v>
      </c>
      <c r="D38" s="39">
        <v>17325</v>
      </c>
      <c r="E38" s="14">
        <v>0.25</v>
      </c>
    </row>
    <row r="39" spans="1:5" x14ac:dyDescent="0.25">
      <c r="A39" s="44" t="s">
        <v>574</v>
      </c>
      <c r="B39" s="38" t="s">
        <v>575</v>
      </c>
      <c r="C39" s="43">
        <v>450</v>
      </c>
      <c r="D39" s="39">
        <v>337.5</v>
      </c>
      <c r="E39" s="14">
        <v>0.25</v>
      </c>
    </row>
    <row r="40" spans="1:5" x14ac:dyDescent="0.25">
      <c r="A40" s="44" t="s">
        <v>576</v>
      </c>
      <c r="B40" s="38" t="s">
        <v>577</v>
      </c>
      <c r="C40" s="43">
        <v>700</v>
      </c>
      <c r="D40" s="39">
        <v>525</v>
      </c>
      <c r="E40" s="14">
        <v>0.25</v>
      </c>
    </row>
    <row r="41" spans="1:5" x14ac:dyDescent="0.25">
      <c r="A41" s="44" t="s">
        <v>578</v>
      </c>
      <c r="B41" s="38" t="s">
        <v>579</v>
      </c>
      <c r="C41" s="43">
        <v>450</v>
      </c>
      <c r="D41" s="39">
        <v>337.5</v>
      </c>
      <c r="E41" s="14">
        <v>0.25</v>
      </c>
    </row>
    <row r="42" spans="1:5" x14ac:dyDescent="0.25">
      <c r="A42" s="44" t="s">
        <v>580</v>
      </c>
      <c r="B42" s="38" t="s">
        <v>581</v>
      </c>
      <c r="C42" s="43">
        <v>700</v>
      </c>
      <c r="D42" s="39">
        <v>525</v>
      </c>
      <c r="E42" s="14">
        <v>0.25</v>
      </c>
    </row>
    <row r="43" spans="1:5" x14ac:dyDescent="0.25">
      <c r="A43" s="44" t="s">
        <v>582</v>
      </c>
      <c r="B43" s="38" t="s">
        <v>583</v>
      </c>
      <c r="C43" s="43">
        <v>675</v>
      </c>
      <c r="D43" s="39">
        <v>506.25</v>
      </c>
      <c r="E43" s="14">
        <v>0.25</v>
      </c>
    </row>
    <row r="44" spans="1:5" x14ac:dyDescent="0.25">
      <c r="A44" s="44" t="s">
        <v>584</v>
      </c>
      <c r="B44" s="38" t="s">
        <v>585</v>
      </c>
      <c r="C44" s="43">
        <v>1050</v>
      </c>
      <c r="D44" s="39">
        <v>787.5</v>
      </c>
      <c r="E44" s="14">
        <v>0.25</v>
      </c>
    </row>
    <row r="45" spans="1:5" x14ac:dyDescent="0.25">
      <c r="A45" s="44" t="s">
        <v>586</v>
      </c>
      <c r="B45" s="38" t="s">
        <v>587</v>
      </c>
      <c r="C45" s="43">
        <v>135</v>
      </c>
      <c r="D45" s="39">
        <v>101.25</v>
      </c>
      <c r="E45" s="14">
        <v>0.25</v>
      </c>
    </row>
    <row r="46" spans="1:5" x14ac:dyDescent="0.25">
      <c r="A46" s="44" t="s">
        <v>588</v>
      </c>
      <c r="B46" s="38" t="s">
        <v>589</v>
      </c>
      <c r="C46" s="43">
        <v>210</v>
      </c>
      <c r="D46" s="39">
        <v>157.5</v>
      </c>
      <c r="E46" s="14">
        <v>0.25</v>
      </c>
    </row>
    <row r="47" spans="1:5" x14ac:dyDescent="0.25">
      <c r="A47" s="44" t="s">
        <v>590</v>
      </c>
      <c r="B47" s="38" t="s">
        <v>591</v>
      </c>
      <c r="C47" s="43">
        <v>2025</v>
      </c>
      <c r="D47" s="39">
        <v>1518.75</v>
      </c>
      <c r="E47" s="14">
        <v>0.25</v>
      </c>
    </row>
    <row r="48" spans="1:5" x14ac:dyDescent="0.25">
      <c r="A48" s="44" t="s">
        <v>592</v>
      </c>
      <c r="B48" s="38" t="s">
        <v>593</v>
      </c>
      <c r="C48" s="43">
        <v>3150</v>
      </c>
      <c r="D48" s="39">
        <v>2362.5</v>
      </c>
      <c r="E48" s="14">
        <v>0.25</v>
      </c>
    </row>
    <row r="49" spans="1:5" x14ac:dyDescent="0.25">
      <c r="A49" s="44" t="s">
        <v>594</v>
      </c>
      <c r="B49" s="38" t="s">
        <v>595</v>
      </c>
      <c r="C49" s="43">
        <v>1800</v>
      </c>
      <c r="D49" s="39">
        <v>1350</v>
      </c>
      <c r="E49" s="14">
        <v>0.25</v>
      </c>
    </row>
    <row r="50" spans="1:5" x14ac:dyDescent="0.25">
      <c r="A50" s="44" t="s">
        <v>596</v>
      </c>
      <c r="B50" s="38" t="s">
        <v>597</v>
      </c>
      <c r="C50" s="43">
        <v>2800</v>
      </c>
      <c r="D50" s="39">
        <v>2100</v>
      </c>
      <c r="E50" s="14">
        <v>0.25</v>
      </c>
    </row>
    <row r="51" spans="1:5" x14ac:dyDescent="0.25">
      <c r="A51" s="44" t="s">
        <v>598</v>
      </c>
      <c r="B51" s="38" t="s">
        <v>599</v>
      </c>
      <c r="C51" s="43">
        <v>27</v>
      </c>
      <c r="D51" s="39">
        <v>20.25</v>
      </c>
      <c r="E51" s="14">
        <v>0.25</v>
      </c>
    </row>
    <row r="52" spans="1:5" x14ac:dyDescent="0.25">
      <c r="A52" s="44" t="s">
        <v>600</v>
      </c>
      <c r="B52" s="38" t="s">
        <v>601</v>
      </c>
      <c r="C52" s="43">
        <v>42</v>
      </c>
      <c r="D52" s="39">
        <v>31.5</v>
      </c>
      <c r="E52" s="14">
        <v>0.25</v>
      </c>
    </row>
    <row r="53" spans="1:5" x14ac:dyDescent="0.25">
      <c r="A53" s="44" t="s">
        <v>602</v>
      </c>
      <c r="B53" s="38" t="s">
        <v>603</v>
      </c>
      <c r="C53" s="43">
        <v>900</v>
      </c>
      <c r="D53" s="39">
        <v>675</v>
      </c>
      <c r="E53" s="14">
        <v>0.25</v>
      </c>
    </row>
    <row r="54" spans="1:5" x14ac:dyDescent="0.25">
      <c r="A54" s="44" t="s">
        <v>604</v>
      </c>
      <c r="B54" s="38" t="s">
        <v>605</v>
      </c>
      <c r="C54" s="43">
        <v>1400</v>
      </c>
      <c r="D54" s="39">
        <v>1050</v>
      </c>
      <c r="E54" s="14">
        <v>0.25</v>
      </c>
    </row>
    <row r="55" spans="1:5" x14ac:dyDescent="0.25">
      <c r="A55" s="44" t="s">
        <v>606</v>
      </c>
      <c r="B55" s="38" t="s">
        <v>607</v>
      </c>
      <c r="C55" s="43">
        <v>4500</v>
      </c>
      <c r="D55" s="39">
        <v>3375</v>
      </c>
      <c r="E55" s="14">
        <v>0.25</v>
      </c>
    </row>
    <row r="56" spans="1:5" x14ac:dyDescent="0.25">
      <c r="A56" s="44" t="s">
        <v>608</v>
      </c>
      <c r="B56" s="38" t="s">
        <v>609</v>
      </c>
      <c r="C56" s="43">
        <v>7000</v>
      </c>
      <c r="D56" s="39">
        <v>5250</v>
      </c>
      <c r="E56" s="14">
        <v>0.25</v>
      </c>
    </row>
    <row r="57" spans="1:5" x14ac:dyDescent="0.25">
      <c r="A57" s="44" t="s">
        <v>518</v>
      </c>
      <c r="B57" s="38" t="s">
        <v>610</v>
      </c>
      <c r="C57" s="43">
        <v>1079.0999999999999</v>
      </c>
      <c r="D57" s="39">
        <v>809.32499999999993</v>
      </c>
      <c r="E57" s="14">
        <v>0.25</v>
      </c>
    </row>
    <row r="58" spans="1:5" x14ac:dyDescent="0.25">
      <c r="A58" s="44" t="s">
        <v>520</v>
      </c>
      <c r="B58" s="38" t="s">
        <v>611</v>
      </c>
      <c r="C58" s="43">
        <v>1678.6</v>
      </c>
      <c r="D58" s="39">
        <v>1258.9499999999998</v>
      </c>
      <c r="E58" s="14">
        <v>0.25000000000000011</v>
      </c>
    </row>
    <row r="59" spans="1:5" x14ac:dyDescent="0.25">
      <c r="A59" s="44" t="s">
        <v>506</v>
      </c>
      <c r="B59" s="38" t="s">
        <v>612</v>
      </c>
      <c r="C59" s="43">
        <v>4301.1000000000004</v>
      </c>
      <c r="D59" s="39">
        <v>3225.8250000000003</v>
      </c>
      <c r="E59" s="14">
        <v>0.25</v>
      </c>
    </row>
    <row r="60" spans="1:5" x14ac:dyDescent="0.25">
      <c r="A60" s="44" t="s">
        <v>508</v>
      </c>
      <c r="B60" s="38" t="s">
        <v>613</v>
      </c>
      <c r="C60" s="43">
        <v>6690.6</v>
      </c>
      <c r="D60" s="39">
        <v>5017.9500000000007</v>
      </c>
      <c r="E60" s="14">
        <v>0.24999999999999989</v>
      </c>
    </row>
    <row r="61" spans="1:5" x14ac:dyDescent="0.25">
      <c r="A61" s="44" t="s">
        <v>510</v>
      </c>
      <c r="B61" s="38" t="s">
        <v>614</v>
      </c>
      <c r="C61" s="43">
        <v>4499.1000000000004</v>
      </c>
      <c r="D61" s="39">
        <v>3374.3250000000003</v>
      </c>
      <c r="E61" s="14">
        <v>0.25</v>
      </c>
    </row>
    <row r="62" spans="1:5" x14ac:dyDescent="0.25">
      <c r="A62" s="44" t="s">
        <v>512</v>
      </c>
      <c r="B62" s="38" t="s">
        <v>615</v>
      </c>
      <c r="C62" s="43">
        <v>6998.6</v>
      </c>
      <c r="D62" s="39">
        <v>5248.9500000000007</v>
      </c>
      <c r="E62" s="14">
        <v>0.24999999999999989</v>
      </c>
    </row>
    <row r="63" spans="1:5" x14ac:dyDescent="0.25">
      <c r="A63" s="44" t="s">
        <v>616</v>
      </c>
      <c r="B63" s="38" t="s">
        <v>617</v>
      </c>
      <c r="C63" s="43">
        <v>2700</v>
      </c>
      <c r="D63" s="39">
        <v>2025</v>
      </c>
      <c r="E63" s="14">
        <v>0.25</v>
      </c>
    </row>
    <row r="64" spans="1:5" x14ac:dyDescent="0.25">
      <c r="A64" s="44" t="s">
        <v>618</v>
      </c>
      <c r="B64" s="38" t="s">
        <v>619</v>
      </c>
      <c r="C64" s="43">
        <v>4200</v>
      </c>
      <c r="D64" s="39">
        <v>3150</v>
      </c>
      <c r="E64" s="14">
        <v>0.25</v>
      </c>
    </row>
    <row r="65" spans="1:5" x14ac:dyDescent="0.25">
      <c r="A65" s="44" t="s">
        <v>620</v>
      </c>
      <c r="B65" s="38" t="s">
        <v>621</v>
      </c>
      <c r="C65" s="43">
        <v>360</v>
      </c>
      <c r="D65" s="39">
        <v>270</v>
      </c>
      <c r="E65" s="14">
        <v>0.25</v>
      </c>
    </row>
    <row r="66" spans="1:5" x14ac:dyDescent="0.25">
      <c r="A66" s="44" t="s">
        <v>622</v>
      </c>
      <c r="B66" s="38" t="s">
        <v>623</v>
      </c>
      <c r="C66" s="43">
        <v>560</v>
      </c>
      <c r="D66" s="39">
        <v>420</v>
      </c>
      <c r="E66" s="14">
        <v>0.25</v>
      </c>
    </row>
    <row r="67" spans="1:5" x14ac:dyDescent="0.25">
      <c r="A67" s="44" t="s">
        <v>624</v>
      </c>
      <c r="B67" s="38" t="s">
        <v>625</v>
      </c>
      <c r="C67" s="43">
        <v>539.82000000000005</v>
      </c>
      <c r="D67" s="39">
        <v>404.86500000000001</v>
      </c>
      <c r="E67" s="14">
        <v>0.25</v>
      </c>
    </row>
    <row r="68" spans="1:5" x14ac:dyDescent="0.25">
      <c r="A68" s="44" t="s">
        <v>626</v>
      </c>
      <c r="B68" s="38" t="s">
        <v>627</v>
      </c>
      <c r="C68" s="43">
        <v>839.72</v>
      </c>
      <c r="D68" s="39">
        <v>629.79</v>
      </c>
      <c r="E68" s="14">
        <v>0.25000000000000011</v>
      </c>
    </row>
    <row r="69" spans="1:5" x14ac:dyDescent="0.25">
      <c r="A69" s="44" t="s">
        <v>628</v>
      </c>
      <c r="B69" s="38" t="s">
        <v>629</v>
      </c>
      <c r="C69" s="43">
        <v>1494</v>
      </c>
      <c r="D69" s="39">
        <v>1120.5</v>
      </c>
      <c r="E69" s="14">
        <v>0.25</v>
      </c>
    </row>
    <row r="70" spans="1:5" x14ac:dyDescent="0.25">
      <c r="A70" s="44" t="s">
        <v>630</v>
      </c>
      <c r="B70" s="38" t="s">
        <v>631</v>
      </c>
      <c r="C70" s="43">
        <v>2324</v>
      </c>
      <c r="D70" s="39">
        <v>1743</v>
      </c>
      <c r="E70" s="14">
        <v>0.25</v>
      </c>
    </row>
    <row r="71" spans="1:5" x14ac:dyDescent="0.25">
      <c r="A71" s="44" t="s">
        <v>632</v>
      </c>
      <c r="B71" s="38" t="s">
        <v>633</v>
      </c>
      <c r="C71" s="43">
        <v>2430</v>
      </c>
      <c r="D71" s="39">
        <v>1822.5</v>
      </c>
      <c r="E71" s="14">
        <v>0.25</v>
      </c>
    </row>
    <row r="72" spans="1:5" x14ac:dyDescent="0.25">
      <c r="A72" s="44" t="s">
        <v>634</v>
      </c>
      <c r="B72" s="38" t="s">
        <v>635</v>
      </c>
      <c r="C72" s="43">
        <v>3780</v>
      </c>
      <c r="D72" s="39">
        <v>2835</v>
      </c>
      <c r="E72" s="14">
        <v>0.25</v>
      </c>
    </row>
    <row r="73" spans="1:5" x14ac:dyDescent="0.25">
      <c r="A73" s="44" t="s">
        <v>636</v>
      </c>
      <c r="B73" s="38" t="s">
        <v>637</v>
      </c>
      <c r="C73" s="43">
        <v>4050</v>
      </c>
      <c r="D73" s="39">
        <v>3037.5</v>
      </c>
      <c r="E73" s="14">
        <v>0.25</v>
      </c>
    </row>
    <row r="74" spans="1:5" x14ac:dyDescent="0.25">
      <c r="A74" s="44" t="s">
        <v>638</v>
      </c>
      <c r="B74" s="38" t="s">
        <v>639</v>
      </c>
      <c r="C74" s="43">
        <v>6300</v>
      </c>
      <c r="D74" s="39">
        <v>4725</v>
      </c>
      <c r="E74" s="14">
        <v>0.25</v>
      </c>
    </row>
    <row r="75" spans="1:5" x14ac:dyDescent="0.25">
      <c r="A75" s="44" t="s">
        <v>640</v>
      </c>
      <c r="B75" s="38" t="s">
        <v>641</v>
      </c>
      <c r="C75" s="43">
        <v>7110</v>
      </c>
      <c r="D75" s="39">
        <v>5332.5</v>
      </c>
      <c r="E75" s="14">
        <v>0.25</v>
      </c>
    </row>
    <row r="76" spans="1:5" x14ac:dyDescent="0.25">
      <c r="A76" s="44" t="s">
        <v>642</v>
      </c>
      <c r="B76" s="38" t="s">
        <v>643</v>
      </c>
      <c r="C76" s="43">
        <v>11060</v>
      </c>
      <c r="D76" s="39">
        <v>8295</v>
      </c>
      <c r="E76" s="14">
        <v>0.25</v>
      </c>
    </row>
    <row r="77" spans="1:5" x14ac:dyDescent="0.25">
      <c r="A77" s="44" t="s">
        <v>644</v>
      </c>
      <c r="B77" s="38" t="s">
        <v>645</v>
      </c>
      <c r="C77" s="43">
        <v>11340</v>
      </c>
      <c r="D77" s="39">
        <v>8505</v>
      </c>
      <c r="E77" s="14">
        <v>0.25</v>
      </c>
    </row>
    <row r="78" spans="1:5" x14ac:dyDescent="0.25">
      <c r="A78" s="44" t="s">
        <v>646</v>
      </c>
      <c r="B78" s="38" t="s">
        <v>647</v>
      </c>
      <c r="C78" s="43">
        <v>17640</v>
      </c>
      <c r="D78" s="39">
        <v>13230</v>
      </c>
      <c r="E78" s="14">
        <v>0.25</v>
      </c>
    </row>
    <row r="79" spans="1:5" x14ac:dyDescent="0.25">
      <c r="A79" s="44" t="s">
        <v>648</v>
      </c>
      <c r="B79" s="38" t="s">
        <v>649</v>
      </c>
      <c r="C79" s="43">
        <v>14580</v>
      </c>
      <c r="D79" s="39">
        <v>10935</v>
      </c>
      <c r="E79" s="14">
        <v>0.25</v>
      </c>
    </row>
    <row r="80" spans="1:5" x14ac:dyDescent="0.25">
      <c r="A80" s="44" t="s">
        <v>650</v>
      </c>
      <c r="B80" s="38" t="s">
        <v>651</v>
      </c>
      <c r="C80" s="43">
        <v>22680</v>
      </c>
      <c r="D80" s="39">
        <v>17010</v>
      </c>
      <c r="E80" s="14">
        <v>0.25</v>
      </c>
    </row>
    <row r="81" spans="1:5" x14ac:dyDescent="0.25">
      <c r="A81" s="44" t="s">
        <v>652</v>
      </c>
      <c r="B81" s="38" t="s">
        <v>653</v>
      </c>
      <c r="C81" s="43">
        <v>18360</v>
      </c>
      <c r="D81" s="39">
        <v>13770</v>
      </c>
      <c r="E81" s="14">
        <v>0.25</v>
      </c>
    </row>
    <row r="82" spans="1:5" x14ac:dyDescent="0.25">
      <c r="A82" s="44" t="s">
        <v>654</v>
      </c>
      <c r="B82" s="38" t="s">
        <v>655</v>
      </c>
      <c r="C82" s="43">
        <v>28560</v>
      </c>
      <c r="D82" s="39">
        <v>21420</v>
      </c>
      <c r="E82" s="14">
        <v>0.25</v>
      </c>
    </row>
    <row r="83" spans="1:5" x14ac:dyDescent="0.25">
      <c r="A83" s="44" t="s">
        <v>656</v>
      </c>
      <c r="B83" s="38" t="s">
        <v>657</v>
      </c>
      <c r="C83" s="43">
        <v>39060</v>
      </c>
      <c r="D83" s="39">
        <v>29295</v>
      </c>
      <c r="E83" s="14">
        <v>0.25</v>
      </c>
    </row>
    <row r="84" spans="1:5" x14ac:dyDescent="0.25">
      <c r="A84" s="44" t="s">
        <v>658</v>
      </c>
      <c r="B84" s="38" t="s">
        <v>659</v>
      </c>
      <c r="C84" s="43">
        <v>60760</v>
      </c>
      <c r="D84" s="39">
        <v>45570</v>
      </c>
      <c r="E84" s="14">
        <v>0.25</v>
      </c>
    </row>
    <row r="85" spans="1:5" x14ac:dyDescent="0.25">
      <c r="A85" s="44" t="s">
        <v>660</v>
      </c>
      <c r="B85" s="38" t="s">
        <v>661</v>
      </c>
      <c r="C85" s="43">
        <v>70200</v>
      </c>
      <c r="D85" s="39">
        <v>52650</v>
      </c>
      <c r="E85" s="14">
        <v>0.25</v>
      </c>
    </row>
    <row r="86" spans="1:5" x14ac:dyDescent="0.25">
      <c r="A86" s="44" t="s">
        <v>662</v>
      </c>
      <c r="B86" s="38" t="s">
        <v>663</v>
      </c>
      <c r="C86" s="43">
        <v>109200</v>
      </c>
      <c r="D86" s="39">
        <v>81900</v>
      </c>
      <c r="E86" s="14">
        <v>0.25</v>
      </c>
    </row>
    <row r="87" spans="1:5" x14ac:dyDescent="0.25">
      <c r="A87" s="44" t="s">
        <v>664</v>
      </c>
      <c r="B87" s="38" t="s">
        <v>665</v>
      </c>
      <c r="C87" s="43">
        <v>124200</v>
      </c>
      <c r="D87" s="39">
        <v>93150</v>
      </c>
      <c r="E87" s="14">
        <v>0.25</v>
      </c>
    </row>
    <row r="88" spans="1:5" x14ac:dyDescent="0.25">
      <c r="A88" s="44" t="s">
        <v>666</v>
      </c>
      <c r="B88" s="38" t="s">
        <v>667</v>
      </c>
      <c r="C88" s="43">
        <v>193200</v>
      </c>
      <c r="D88" s="39">
        <v>144900</v>
      </c>
      <c r="E88" s="14">
        <v>0.25</v>
      </c>
    </row>
    <row r="89" spans="1:5" x14ac:dyDescent="0.25">
      <c r="A89" s="44" t="s">
        <v>668</v>
      </c>
      <c r="B89" s="38" t="s">
        <v>669</v>
      </c>
      <c r="C89" s="43">
        <v>1440</v>
      </c>
      <c r="D89" s="39">
        <v>1080</v>
      </c>
      <c r="E89" s="14">
        <v>0.25</v>
      </c>
    </row>
    <row r="90" spans="1:5" x14ac:dyDescent="0.25">
      <c r="A90" s="44" t="s">
        <v>670</v>
      </c>
      <c r="B90" s="38" t="s">
        <v>671</v>
      </c>
      <c r="C90" s="43">
        <v>2240</v>
      </c>
      <c r="D90" s="39">
        <v>1680</v>
      </c>
      <c r="E90" s="14">
        <v>0.25</v>
      </c>
    </row>
    <row r="91" spans="1:5" x14ac:dyDescent="0.25">
      <c r="A91" s="44" t="s">
        <v>672</v>
      </c>
      <c r="B91" s="38" t="s">
        <v>673</v>
      </c>
      <c r="C91" s="43">
        <v>1134</v>
      </c>
      <c r="D91" s="39">
        <v>850.5</v>
      </c>
      <c r="E91" s="14">
        <v>0.25</v>
      </c>
    </row>
    <row r="92" spans="1:5" x14ac:dyDescent="0.25">
      <c r="A92" s="44" t="s">
        <v>674</v>
      </c>
      <c r="B92" s="38" t="s">
        <v>675</v>
      </c>
      <c r="C92" s="43">
        <v>1764</v>
      </c>
      <c r="D92" s="39">
        <v>1323</v>
      </c>
      <c r="E92" s="14">
        <v>0.25</v>
      </c>
    </row>
    <row r="93" spans="1:5" x14ac:dyDescent="0.25">
      <c r="A93" s="44" t="s">
        <v>676</v>
      </c>
      <c r="B93" s="38" t="s">
        <v>677</v>
      </c>
      <c r="C93" s="43">
        <v>972</v>
      </c>
      <c r="D93" s="39">
        <v>729</v>
      </c>
      <c r="E93" s="14">
        <v>0.25</v>
      </c>
    </row>
    <row r="94" spans="1:5" x14ac:dyDescent="0.25">
      <c r="A94" s="44" t="s">
        <v>678</v>
      </c>
      <c r="B94" s="38" t="s">
        <v>679</v>
      </c>
      <c r="C94" s="43">
        <v>1512</v>
      </c>
      <c r="D94" s="39">
        <v>1134</v>
      </c>
      <c r="E94" s="14">
        <v>0.25</v>
      </c>
    </row>
    <row r="95" spans="1:5" x14ac:dyDescent="0.25">
      <c r="A95" s="44" t="s">
        <v>680</v>
      </c>
      <c r="B95" s="38" t="s">
        <v>681</v>
      </c>
      <c r="C95" s="43">
        <v>918</v>
      </c>
      <c r="D95" s="39">
        <v>688.5</v>
      </c>
      <c r="E95" s="14">
        <v>0.25</v>
      </c>
    </row>
    <row r="96" spans="1:5" x14ac:dyDescent="0.25">
      <c r="A96" s="44" t="s">
        <v>682</v>
      </c>
      <c r="B96" s="38" t="s">
        <v>683</v>
      </c>
      <c r="C96" s="43">
        <v>1428</v>
      </c>
      <c r="D96" s="39">
        <v>1071</v>
      </c>
      <c r="E96" s="14">
        <v>0.25</v>
      </c>
    </row>
    <row r="97" spans="1:5" x14ac:dyDescent="0.25">
      <c r="A97" s="44" t="s">
        <v>684</v>
      </c>
      <c r="B97" s="38" t="s">
        <v>685</v>
      </c>
      <c r="C97" s="43">
        <v>774</v>
      </c>
      <c r="D97" s="39">
        <v>580.5</v>
      </c>
      <c r="E97" s="14">
        <v>0.25</v>
      </c>
    </row>
    <row r="98" spans="1:5" x14ac:dyDescent="0.25">
      <c r="A98" s="44" t="s">
        <v>686</v>
      </c>
      <c r="B98" s="38" t="s">
        <v>687</v>
      </c>
      <c r="C98" s="43">
        <v>1204</v>
      </c>
      <c r="D98" s="39">
        <v>903</v>
      </c>
      <c r="E98" s="14">
        <v>0.25</v>
      </c>
    </row>
    <row r="99" spans="1:5" x14ac:dyDescent="0.25">
      <c r="A99" s="44" t="s">
        <v>688</v>
      </c>
      <c r="B99" s="38" t="s">
        <v>689</v>
      </c>
      <c r="C99" s="43">
        <v>1404</v>
      </c>
      <c r="D99" s="39">
        <v>1053</v>
      </c>
      <c r="E99" s="14">
        <v>0.25</v>
      </c>
    </row>
    <row r="100" spans="1:5" x14ac:dyDescent="0.25">
      <c r="A100" s="44" t="s">
        <v>690</v>
      </c>
      <c r="B100" s="38" t="s">
        <v>691</v>
      </c>
      <c r="C100" s="43">
        <v>2184</v>
      </c>
      <c r="D100" s="39">
        <v>1638</v>
      </c>
      <c r="E100" s="14">
        <v>0.25</v>
      </c>
    </row>
    <row r="101" spans="1:5" x14ac:dyDescent="0.25">
      <c r="A101" s="44" t="s">
        <v>692</v>
      </c>
      <c r="B101" s="38" t="s">
        <v>693</v>
      </c>
      <c r="C101" s="43">
        <v>450</v>
      </c>
      <c r="D101" s="39">
        <v>337.5</v>
      </c>
      <c r="E101" s="14">
        <v>0.25</v>
      </c>
    </row>
    <row r="102" spans="1:5" x14ac:dyDescent="0.25">
      <c r="A102" s="44" t="s">
        <v>694</v>
      </c>
      <c r="B102" s="38" t="s">
        <v>695</v>
      </c>
      <c r="C102" s="43">
        <v>700</v>
      </c>
      <c r="D102" s="39">
        <v>525</v>
      </c>
      <c r="E102" s="14">
        <v>0.25</v>
      </c>
    </row>
    <row r="103" spans="1:5" x14ac:dyDescent="0.25">
      <c r="A103" s="44" t="s">
        <v>696</v>
      </c>
      <c r="B103" s="38" t="s">
        <v>697</v>
      </c>
      <c r="C103" s="43">
        <v>900</v>
      </c>
      <c r="D103" s="39">
        <v>675</v>
      </c>
      <c r="E103" s="14">
        <v>0.25</v>
      </c>
    </row>
    <row r="104" spans="1:5" x14ac:dyDescent="0.25">
      <c r="A104" s="44" t="s">
        <v>698</v>
      </c>
      <c r="B104" s="38" t="s">
        <v>699</v>
      </c>
      <c r="C104" s="43">
        <v>1400</v>
      </c>
      <c r="D104" s="39">
        <v>1050</v>
      </c>
      <c r="E104" s="14">
        <v>0.25</v>
      </c>
    </row>
    <row r="105" spans="1:5" x14ac:dyDescent="0.25">
      <c r="A105" s="44" t="s">
        <v>700</v>
      </c>
      <c r="B105" s="38" t="s">
        <v>701</v>
      </c>
      <c r="C105" s="43">
        <v>1440</v>
      </c>
      <c r="D105" s="39">
        <v>1080</v>
      </c>
      <c r="E105" s="14">
        <v>0.25</v>
      </c>
    </row>
    <row r="106" spans="1:5" x14ac:dyDescent="0.25">
      <c r="A106" s="44" t="s">
        <v>702</v>
      </c>
      <c r="B106" s="38" t="s">
        <v>703</v>
      </c>
      <c r="C106" s="43">
        <v>2240</v>
      </c>
      <c r="D106" s="39">
        <v>1680</v>
      </c>
      <c r="E106" s="14">
        <v>0.25</v>
      </c>
    </row>
    <row r="107" spans="1:5" x14ac:dyDescent="0.25">
      <c r="A107" s="44" t="s">
        <v>704</v>
      </c>
      <c r="B107" s="38" t="s">
        <v>705</v>
      </c>
      <c r="C107" s="43">
        <v>13.5</v>
      </c>
      <c r="D107" s="39">
        <v>10.125</v>
      </c>
      <c r="E107" s="14">
        <v>0.25</v>
      </c>
    </row>
    <row r="108" spans="1:5" x14ac:dyDescent="0.25">
      <c r="A108" s="44" t="s">
        <v>706</v>
      </c>
      <c r="B108" s="38" t="s">
        <v>707</v>
      </c>
      <c r="C108" s="43">
        <v>21</v>
      </c>
      <c r="D108" s="39">
        <v>15.75</v>
      </c>
      <c r="E108" s="14">
        <v>0.25</v>
      </c>
    </row>
    <row r="109" spans="1:5" x14ac:dyDescent="0.25">
      <c r="A109" s="44" t="s">
        <v>708</v>
      </c>
      <c r="B109" s="38" t="s">
        <v>709</v>
      </c>
      <c r="C109" s="43">
        <v>216</v>
      </c>
      <c r="D109" s="39">
        <v>162</v>
      </c>
      <c r="E109" s="14">
        <v>0.25</v>
      </c>
    </row>
    <row r="110" spans="1:5" x14ac:dyDescent="0.25">
      <c r="A110" s="44" t="s">
        <v>710</v>
      </c>
      <c r="B110" s="38" t="s">
        <v>711</v>
      </c>
      <c r="C110" s="43">
        <v>336</v>
      </c>
      <c r="D110" s="39">
        <v>252</v>
      </c>
      <c r="E110" s="14">
        <v>0.25</v>
      </c>
    </row>
    <row r="111" spans="1:5" x14ac:dyDescent="0.25">
      <c r="A111" s="44" t="s">
        <v>712</v>
      </c>
      <c r="B111" s="38" t="s">
        <v>713</v>
      </c>
      <c r="C111" s="43">
        <v>9000</v>
      </c>
      <c r="D111" s="39">
        <v>6750</v>
      </c>
      <c r="E111" s="14">
        <v>0.25</v>
      </c>
    </row>
    <row r="112" spans="1:5" x14ac:dyDescent="0.25">
      <c r="A112" s="44" t="s">
        <v>714</v>
      </c>
      <c r="B112" s="38" t="s">
        <v>715</v>
      </c>
      <c r="C112" s="43">
        <v>14000</v>
      </c>
      <c r="D112" s="39">
        <v>10500</v>
      </c>
      <c r="E112" s="14">
        <v>0.25</v>
      </c>
    </row>
    <row r="113" spans="1:5" x14ac:dyDescent="0.25">
      <c r="A113" s="44" t="s">
        <v>716</v>
      </c>
      <c r="B113" s="38" t="s">
        <v>717</v>
      </c>
      <c r="C113" s="43">
        <v>90</v>
      </c>
      <c r="D113" s="39">
        <v>67.5</v>
      </c>
      <c r="E113" s="14">
        <v>0.25</v>
      </c>
    </row>
    <row r="114" spans="1:5" x14ac:dyDescent="0.25">
      <c r="A114" s="44" t="s">
        <v>718</v>
      </c>
      <c r="B114" s="38" t="s">
        <v>719</v>
      </c>
      <c r="C114" s="43">
        <v>140</v>
      </c>
      <c r="D114" s="39">
        <v>105</v>
      </c>
      <c r="E114" s="14">
        <v>0.25</v>
      </c>
    </row>
    <row r="115" spans="1:5" x14ac:dyDescent="0.25">
      <c r="A115" s="44" t="s">
        <v>522</v>
      </c>
      <c r="B115" s="38" t="s">
        <v>720</v>
      </c>
      <c r="C115" s="43">
        <v>126</v>
      </c>
      <c r="D115" s="39">
        <v>94.5</v>
      </c>
      <c r="E115" s="14">
        <v>0.25</v>
      </c>
    </row>
    <row r="116" spans="1:5" x14ac:dyDescent="0.25">
      <c r="A116" s="44" t="s">
        <v>524</v>
      </c>
      <c r="B116" s="38" t="s">
        <v>721</v>
      </c>
      <c r="C116" s="43">
        <v>196</v>
      </c>
      <c r="D116" s="39">
        <v>147</v>
      </c>
      <c r="E116" s="14">
        <v>0.25</v>
      </c>
    </row>
    <row r="117" spans="1:5" x14ac:dyDescent="0.25">
      <c r="A117" s="44" t="s">
        <v>722</v>
      </c>
      <c r="B117" s="38" t="s">
        <v>723</v>
      </c>
      <c r="C117" s="43">
        <v>900</v>
      </c>
      <c r="D117" s="39">
        <v>675</v>
      </c>
      <c r="E117" s="14">
        <v>0.25</v>
      </c>
    </row>
    <row r="118" spans="1:5" x14ac:dyDescent="0.25">
      <c r="A118" s="44" t="s">
        <v>724</v>
      </c>
      <c r="B118" s="38" t="s">
        <v>725</v>
      </c>
      <c r="C118" s="43">
        <v>1400</v>
      </c>
      <c r="D118" s="39">
        <v>1050</v>
      </c>
      <c r="E118" s="14">
        <v>0.25</v>
      </c>
    </row>
    <row r="119" spans="1:5" x14ac:dyDescent="0.25">
      <c r="A119" s="44" t="s">
        <v>726</v>
      </c>
      <c r="B119" s="38" t="s">
        <v>727</v>
      </c>
      <c r="C119" s="43">
        <v>1800</v>
      </c>
      <c r="D119" s="39">
        <v>1350</v>
      </c>
      <c r="E119" s="14">
        <v>0.25</v>
      </c>
    </row>
    <row r="120" spans="1:5" x14ac:dyDescent="0.25">
      <c r="A120" s="44" t="s">
        <v>728</v>
      </c>
      <c r="B120" s="38" t="s">
        <v>729</v>
      </c>
      <c r="C120" s="43">
        <v>2800</v>
      </c>
      <c r="D120" s="39">
        <v>2100</v>
      </c>
      <c r="E120" s="14">
        <v>0.25</v>
      </c>
    </row>
    <row r="121" spans="1:5" x14ac:dyDescent="0.25">
      <c r="A121" s="44" t="s">
        <v>730</v>
      </c>
      <c r="B121" s="38" t="s">
        <v>731</v>
      </c>
      <c r="C121" s="43">
        <v>2700</v>
      </c>
      <c r="D121" s="39">
        <v>2025</v>
      </c>
      <c r="E121" s="14">
        <v>0.25</v>
      </c>
    </row>
    <row r="122" spans="1:5" x14ac:dyDescent="0.25">
      <c r="A122" s="44" t="s">
        <v>732</v>
      </c>
      <c r="B122" s="38" t="s">
        <v>733</v>
      </c>
      <c r="C122" s="43">
        <v>4200</v>
      </c>
      <c r="D122" s="39">
        <v>3150</v>
      </c>
      <c r="E122" s="14">
        <v>0.25</v>
      </c>
    </row>
    <row r="123" spans="1:5" x14ac:dyDescent="0.25">
      <c r="A123" s="44" t="s">
        <v>734</v>
      </c>
      <c r="B123" s="38" t="s">
        <v>735</v>
      </c>
      <c r="C123" s="43">
        <v>4500</v>
      </c>
      <c r="D123" s="39">
        <v>3375</v>
      </c>
      <c r="E123" s="14">
        <v>0.25</v>
      </c>
    </row>
    <row r="124" spans="1:5" x14ac:dyDescent="0.25">
      <c r="A124" s="44" t="s">
        <v>736</v>
      </c>
      <c r="B124" s="38" t="s">
        <v>737</v>
      </c>
      <c r="C124" s="43">
        <v>7000</v>
      </c>
      <c r="D124" s="39">
        <v>5250</v>
      </c>
      <c r="E124" s="14">
        <v>0.25</v>
      </c>
    </row>
    <row r="125" spans="1:5" x14ac:dyDescent="0.25">
      <c r="A125" s="44" t="s">
        <v>738</v>
      </c>
      <c r="B125" s="38" t="s">
        <v>739</v>
      </c>
      <c r="C125" s="43">
        <v>8100</v>
      </c>
      <c r="D125" s="39">
        <v>6075</v>
      </c>
      <c r="E125" s="14">
        <v>0.25</v>
      </c>
    </row>
    <row r="126" spans="1:5" x14ac:dyDescent="0.25">
      <c r="A126" s="44" t="s">
        <v>740</v>
      </c>
      <c r="B126" s="38" t="s">
        <v>741</v>
      </c>
      <c r="C126" s="43">
        <v>12600</v>
      </c>
      <c r="D126" s="39">
        <v>9450</v>
      </c>
      <c r="E126" s="14">
        <v>0.25</v>
      </c>
    </row>
    <row r="127" spans="1:5" x14ac:dyDescent="0.25">
      <c r="A127" s="44" t="s">
        <v>742</v>
      </c>
      <c r="B127" s="38" t="s">
        <v>743</v>
      </c>
      <c r="C127" s="43">
        <v>180</v>
      </c>
      <c r="D127" s="39">
        <v>135</v>
      </c>
      <c r="E127" s="14">
        <v>0.25</v>
      </c>
    </row>
    <row r="128" spans="1:5" x14ac:dyDescent="0.25">
      <c r="A128" s="44" t="s">
        <v>744</v>
      </c>
      <c r="B128" s="38" t="s">
        <v>745</v>
      </c>
      <c r="C128" s="43">
        <v>280</v>
      </c>
      <c r="D128" s="39">
        <v>210</v>
      </c>
      <c r="E128" s="14">
        <v>0.25</v>
      </c>
    </row>
    <row r="129" spans="1:5" x14ac:dyDescent="0.25">
      <c r="A129" s="44" t="s">
        <v>746</v>
      </c>
      <c r="B129" s="38" t="s">
        <v>747</v>
      </c>
      <c r="C129" s="43">
        <v>900</v>
      </c>
      <c r="D129" s="39">
        <v>675</v>
      </c>
      <c r="E129" s="14">
        <v>0.25</v>
      </c>
    </row>
    <row r="130" spans="1:5" x14ac:dyDescent="0.25">
      <c r="A130" s="44" t="s">
        <v>748</v>
      </c>
      <c r="B130" s="38" t="s">
        <v>749</v>
      </c>
      <c r="C130" s="43">
        <v>1400</v>
      </c>
      <c r="D130" s="39">
        <v>1050</v>
      </c>
      <c r="E130" s="14">
        <v>0.25</v>
      </c>
    </row>
    <row r="131" spans="1:5" x14ac:dyDescent="0.25">
      <c r="A131" s="44" t="s">
        <v>750</v>
      </c>
      <c r="B131" s="38" t="s">
        <v>751</v>
      </c>
      <c r="C131" s="43">
        <v>36</v>
      </c>
      <c r="D131" s="39">
        <v>27</v>
      </c>
      <c r="E131" s="14">
        <v>0.25</v>
      </c>
    </row>
    <row r="132" spans="1:5" x14ac:dyDescent="0.25">
      <c r="A132" s="44" t="s">
        <v>752</v>
      </c>
      <c r="B132" s="38" t="s">
        <v>753</v>
      </c>
      <c r="C132" s="43">
        <v>56</v>
      </c>
      <c r="D132" s="39">
        <v>42</v>
      </c>
      <c r="E132" s="14">
        <v>0.25</v>
      </c>
    </row>
    <row r="133" spans="1:5" x14ac:dyDescent="0.25">
      <c r="A133" s="44" t="s">
        <v>754</v>
      </c>
      <c r="B133" s="38" t="s">
        <v>755</v>
      </c>
      <c r="C133" s="43">
        <v>171</v>
      </c>
      <c r="D133" s="39">
        <v>128.25</v>
      </c>
      <c r="E133" s="14">
        <v>0.25</v>
      </c>
    </row>
    <row r="134" spans="1:5" x14ac:dyDescent="0.25">
      <c r="A134" s="44" t="s">
        <v>756</v>
      </c>
      <c r="B134" s="38" t="s">
        <v>757</v>
      </c>
      <c r="C134" s="43">
        <v>266</v>
      </c>
      <c r="D134" s="39">
        <v>199.5</v>
      </c>
      <c r="E134" s="14">
        <v>0.25</v>
      </c>
    </row>
    <row r="135" spans="1:5" x14ac:dyDescent="0.25">
      <c r="A135" s="44" t="s">
        <v>758</v>
      </c>
      <c r="B135" s="38" t="s">
        <v>759</v>
      </c>
      <c r="C135" s="43">
        <v>810</v>
      </c>
      <c r="D135" s="39">
        <v>607.5</v>
      </c>
      <c r="E135" s="14">
        <v>0.25</v>
      </c>
    </row>
    <row r="136" spans="1:5" x14ac:dyDescent="0.25">
      <c r="A136" s="44" t="s">
        <v>760</v>
      </c>
      <c r="B136" s="38" t="s">
        <v>761</v>
      </c>
      <c r="C136" s="43">
        <v>1260</v>
      </c>
      <c r="D136" s="39">
        <v>945</v>
      </c>
      <c r="E136" s="14">
        <v>0.25</v>
      </c>
    </row>
    <row r="137" spans="1:5" x14ac:dyDescent="0.25">
      <c r="A137" s="44" t="s">
        <v>762</v>
      </c>
      <c r="B137" s="38" t="s">
        <v>763</v>
      </c>
      <c r="C137" s="43">
        <v>3060</v>
      </c>
      <c r="D137" s="39">
        <v>2295</v>
      </c>
      <c r="E137" s="14">
        <v>0.25</v>
      </c>
    </row>
    <row r="138" spans="1:5" x14ac:dyDescent="0.25">
      <c r="A138" s="44" t="s">
        <v>764</v>
      </c>
      <c r="B138" s="38" t="s">
        <v>765</v>
      </c>
      <c r="C138" s="43">
        <v>4760</v>
      </c>
      <c r="D138" s="39">
        <v>3570</v>
      </c>
      <c r="E138" s="14">
        <v>0.25</v>
      </c>
    </row>
    <row r="139" spans="1:5" x14ac:dyDescent="0.25">
      <c r="A139" s="44" t="s">
        <v>766</v>
      </c>
      <c r="B139" s="38" t="s">
        <v>767</v>
      </c>
      <c r="C139" s="43">
        <v>7200</v>
      </c>
      <c r="D139" s="39">
        <v>5400</v>
      </c>
      <c r="E139" s="14">
        <v>0.25</v>
      </c>
    </row>
    <row r="140" spans="1:5" x14ac:dyDescent="0.25">
      <c r="A140" s="44" t="s">
        <v>768</v>
      </c>
      <c r="B140" s="38" t="s">
        <v>769</v>
      </c>
      <c r="C140" s="43">
        <v>11200</v>
      </c>
      <c r="D140" s="39">
        <v>8400</v>
      </c>
      <c r="E140" s="14">
        <v>0.25</v>
      </c>
    </row>
    <row r="141" spans="1:5" x14ac:dyDescent="0.25">
      <c r="A141" s="44" t="s">
        <v>770</v>
      </c>
      <c r="B141" s="38" t="s">
        <v>771</v>
      </c>
      <c r="C141" s="43">
        <v>540</v>
      </c>
      <c r="D141" s="39">
        <v>405</v>
      </c>
      <c r="E141" s="14">
        <v>0.25</v>
      </c>
    </row>
    <row r="142" spans="1:5" x14ac:dyDescent="0.25">
      <c r="A142" s="44" t="s">
        <v>772</v>
      </c>
      <c r="B142" s="38" t="s">
        <v>773</v>
      </c>
      <c r="C142" s="43">
        <v>840</v>
      </c>
      <c r="D142" s="39">
        <v>630</v>
      </c>
      <c r="E142" s="14">
        <v>0.25</v>
      </c>
    </row>
    <row r="143" spans="1:5" x14ac:dyDescent="0.25">
      <c r="A143" s="44" t="s">
        <v>774</v>
      </c>
      <c r="B143" s="38" t="s">
        <v>775</v>
      </c>
      <c r="C143" s="43">
        <v>54</v>
      </c>
      <c r="D143" s="39">
        <v>40.5</v>
      </c>
      <c r="E143" s="14">
        <v>0.25</v>
      </c>
    </row>
    <row r="144" spans="1:5" x14ac:dyDescent="0.25">
      <c r="A144" s="44" t="s">
        <v>776</v>
      </c>
      <c r="B144" s="38" t="s">
        <v>777</v>
      </c>
      <c r="C144" s="43">
        <v>84</v>
      </c>
      <c r="D144" s="39">
        <v>63</v>
      </c>
      <c r="E144" s="14">
        <v>0.25</v>
      </c>
    </row>
    <row r="145" spans="1:5" x14ac:dyDescent="0.25">
      <c r="A145" s="44" t="s">
        <v>778</v>
      </c>
      <c r="B145" s="38" t="s">
        <v>779</v>
      </c>
      <c r="C145" s="43">
        <v>270</v>
      </c>
      <c r="D145" s="39">
        <v>202.5</v>
      </c>
      <c r="E145" s="14">
        <v>0.25</v>
      </c>
    </row>
    <row r="146" spans="1:5" x14ac:dyDescent="0.25">
      <c r="A146" s="44" t="s">
        <v>780</v>
      </c>
      <c r="B146" s="38" t="s">
        <v>781</v>
      </c>
      <c r="C146" s="43">
        <v>420</v>
      </c>
      <c r="D146" s="39">
        <v>315</v>
      </c>
      <c r="E146" s="14">
        <v>0.25</v>
      </c>
    </row>
    <row r="147" spans="1:5" x14ac:dyDescent="0.25">
      <c r="A147" s="44" t="s">
        <v>782</v>
      </c>
      <c r="B147" s="38" t="s">
        <v>783</v>
      </c>
      <c r="C147" s="43">
        <v>1282.5</v>
      </c>
      <c r="D147" s="39">
        <v>961.875</v>
      </c>
      <c r="E147" s="14">
        <v>0.25</v>
      </c>
    </row>
    <row r="148" spans="1:5" x14ac:dyDescent="0.25">
      <c r="A148" s="44" t="s">
        <v>784</v>
      </c>
      <c r="B148" s="38" t="s">
        <v>785</v>
      </c>
      <c r="C148" s="43">
        <v>1995</v>
      </c>
      <c r="D148" s="39">
        <v>1496.25</v>
      </c>
      <c r="E148" s="14">
        <v>0.25</v>
      </c>
    </row>
    <row r="149" spans="1:5" x14ac:dyDescent="0.25">
      <c r="A149" s="44" t="s">
        <v>786</v>
      </c>
      <c r="B149" s="38" t="s">
        <v>787</v>
      </c>
      <c r="C149" s="43">
        <v>4860</v>
      </c>
      <c r="D149" s="39">
        <v>3645</v>
      </c>
      <c r="E149" s="14">
        <v>0.25</v>
      </c>
    </row>
    <row r="150" spans="1:5" x14ac:dyDescent="0.25">
      <c r="A150" s="44" t="s">
        <v>788</v>
      </c>
      <c r="B150" s="38" t="s">
        <v>789</v>
      </c>
      <c r="C150" s="43">
        <v>7560</v>
      </c>
      <c r="D150" s="39">
        <v>5670</v>
      </c>
      <c r="E150" s="14">
        <v>0.25</v>
      </c>
    </row>
    <row r="151" spans="1:5" x14ac:dyDescent="0.25">
      <c r="A151" s="44" t="s">
        <v>790</v>
      </c>
      <c r="B151" s="38" t="s">
        <v>791</v>
      </c>
      <c r="C151" s="43">
        <v>11475</v>
      </c>
      <c r="D151" s="39">
        <v>8606.25</v>
      </c>
      <c r="E151" s="14">
        <v>0.25</v>
      </c>
    </row>
    <row r="152" spans="1:5" x14ac:dyDescent="0.25">
      <c r="A152" s="44" t="s">
        <v>792</v>
      </c>
      <c r="B152" s="38" t="s">
        <v>793</v>
      </c>
      <c r="C152" s="43">
        <v>17850</v>
      </c>
      <c r="D152" s="39">
        <v>13387.5</v>
      </c>
      <c r="E152" s="14">
        <v>0.25</v>
      </c>
    </row>
    <row r="153" spans="1:5" x14ac:dyDescent="0.25">
      <c r="A153" s="44" t="s">
        <v>794</v>
      </c>
      <c r="B153" s="38" t="s">
        <v>795</v>
      </c>
      <c r="C153" s="43">
        <v>720</v>
      </c>
      <c r="D153" s="39">
        <v>540</v>
      </c>
      <c r="E153" s="14">
        <v>0.25</v>
      </c>
    </row>
    <row r="154" spans="1:5" x14ac:dyDescent="0.25">
      <c r="A154" s="44" t="s">
        <v>796</v>
      </c>
      <c r="B154" s="38" t="s">
        <v>797</v>
      </c>
      <c r="C154" s="43">
        <v>1120</v>
      </c>
      <c r="D154" s="39">
        <v>840</v>
      </c>
      <c r="E154" s="14">
        <v>0.25</v>
      </c>
    </row>
    <row r="155" spans="1:5" x14ac:dyDescent="0.25">
      <c r="A155" s="44" t="s">
        <v>798</v>
      </c>
      <c r="B155" s="38" t="s">
        <v>799</v>
      </c>
      <c r="C155" s="43">
        <v>900</v>
      </c>
      <c r="D155" s="39">
        <v>675</v>
      </c>
      <c r="E155" s="14">
        <v>0.25</v>
      </c>
    </row>
    <row r="156" spans="1:5" x14ac:dyDescent="0.25">
      <c r="A156" s="44" t="s">
        <v>800</v>
      </c>
      <c r="B156" s="38" t="s">
        <v>801</v>
      </c>
      <c r="C156" s="43">
        <v>1400</v>
      </c>
      <c r="D156" s="39">
        <v>1050</v>
      </c>
      <c r="E156" s="14">
        <v>0.25</v>
      </c>
    </row>
    <row r="157" spans="1:5" x14ac:dyDescent="0.25">
      <c r="A157" s="44" t="s">
        <v>802</v>
      </c>
      <c r="B157" s="38" t="s">
        <v>803</v>
      </c>
      <c r="C157" s="43">
        <v>900</v>
      </c>
      <c r="D157" s="39">
        <v>675</v>
      </c>
      <c r="E157" s="14">
        <v>0.25</v>
      </c>
    </row>
    <row r="158" spans="1:5" x14ac:dyDescent="0.25">
      <c r="A158" s="44" t="s">
        <v>804</v>
      </c>
      <c r="B158" s="38" t="s">
        <v>805</v>
      </c>
      <c r="C158" s="43">
        <v>1400</v>
      </c>
      <c r="D158" s="39">
        <v>1050</v>
      </c>
      <c r="E158" s="14">
        <v>0.25</v>
      </c>
    </row>
    <row r="159" spans="1:5" x14ac:dyDescent="0.25">
      <c r="A159" s="44" t="s">
        <v>806</v>
      </c>
      <c r="B159" s="38" t="s">
        <v>807</v>
      </c>
      <c r="C159" s="43">
        <v>1350</v>
      </c>
      <c r="D159" s="39">
        <v>1012.5</v>
      </c>
      <c r="E159" s="14">
        <v>0.25</v>
      </c>
    </row>
    <row r="160" spans="1:5" x14ac:dyDescent="0.25">
      <c r="A160" s="44" t="s">
        <v>808</v>
      </c>
      <c r="B160" s="38" t="s">
        <v>809</v>
      </c>
      <c r="C160" s="43">
        <v>2100</v>
      </c>
      <c r="D160" s="39">
        <v>1575</v>
      </c>
      <c r="E160" s="14">
        <v>0.25</v>
      </c>
    </row>
    <row r="161" spans="1:5" x14ac:dyDescent="0.25">
      <c r="A161" s="44" t="s">
        <v>810</v>
      </c>
      <c r="B161" s="38" t="s">
        <v>811</v>
      </c>
      <c r="C161" s="43">
        <v>900</v>
      </c>
      <c r="D161" s="39">
        <v>675</v>
      </c>
      <c r="E161" s="14">
        <v>0.25</v>
      </c>
    </row>
    <row r="162" spans="1:5" x14ac:dyDescent="0.25">
      <c r="A162" s="44" t="s">
        <v>812</v>
      </c>
      <c r="B162" s="38" t="s">
        <v>813</v>
      </c>
      <c r="C162" s="43">
        <v>1400</v>
      </c>
      <c r="D162" s="39">
        <v>1050</v>
      </c>
      <c r="E162" s="14">
        <v>0.25</v>
      </c>
    </row>
    <row r="163" spans="1:5" x14ac:dyDescent="0.25">
      <c r="A163" s="44" t="s">
        <v>814</v>
      </c>
      <c r="B163" s="38" t="s">
        <v>815</v>
      </c>
      <c r="C163" s="43">
        <v>5400</v>
      </c>
      <c r="D163" s="39">
        <v>4050</v>
      </c>
      <c r="E163" s="14">
        <v>0.25</v>
      </c>
    </row>
    <row r="164" spans="1:5" x14ac:dyDescent="0.25">
      <c r="A164" s="44" t="s">
        <v>816</v>
      </c>
      <c r="B164" s="38" t="s">
        <v>817</v>
      </c>
      <c r="C164" s="43">
        <v>8400</v>
      </c>
      <c r="D164" s="39">
        <v>6300</v>
      </c>
      <c r="E164" s="14">
        <v>0.25</v>
      </c>
    </row>
    <row r="165" spans="1:5" x14ac:dyDescent="0.25">
      <c r="A165" s="44" t="s">
        <v>818</v>
      </c>
      <c r="B165" s="38" t="s">
        <v>819</v>
      </c>
      <c r="C165" s="43">
        <v>5400</v>
      </c>
      <c r="D165" s="39">
        <v>4050</v>
      </c>
      <c r="E165" s="14">
        <v>0.25</v>
      </c>
    </row>
    <row r="166" spans="1:5" x14ac:dyDescent="0.25">
      <c r="A166" s="44" t="s">
        <v>820</v>
      </c>
      <c r="B166" s="38" t="s">
        <v>821</v>
      </c>
      <c r="C166" s="43">
        <v>8400</v>
      </c>
      <c r="D166" s="39">
        <v>6300</v>
      </c>
      <c r="E166" s="14">
        <v>0.25</v>
      </c>
    </row>
    <row r="167" spans="1:5" x14ac:dyDescent="0.25">
      <c r="A167" s="44" t="s">
        <v>822</v>
      </c>
      <c r="B167" s="38" t="s">
        <v>823</v>
      </c>
      <c r="C167" s="43">
        <v>5400</v>
      </c>
      <c r="D167" s="39">
        <v>4050</v>
      </c>
      <c r="E167" s="14">
        <v>0.25</v>
      </c>
    </row>
    <row r="168" spans="1:5" x14ac:dyDescent="0.25">
      <c r="A168" s="44" t="s">
        <v>824</v>
      </c>
      <c r="B168" s="38" t="s">
        <v>825</v>
      </c>
      <c r="C168" s="43">
        <v>8400</v>
      </c>
      <c r="D168" s="39">
        <v>6300</v>
      </c>
      <c r="E168" s="14">
        <v>0.25</v>
      </c>
    </row>
    <row r="169" spans="1:5" x14ac:dyDescent="0.25">
      <c r="A169" s="44" t="s">
        <v>826</v>
      </c>
      <c r="B169" s="38" t="s">
        <v>827</v>
      </c>
      <c r="C169" s="43">
        <v>900</v>
      </c>
      <c r="D169" s="39">
        <v>675</v>
      </c>
      <c r="E169" s="14">
        <v>0.25</v>
      </c>
    </row>
    <row r="170" spans="1:5" x14ac:dyDescent="0.25">
      <c r="A170" s="44" t="s">
        <v>828</v>
      </c>
      <c r="B170" s="38" t="s">
        <v>829</v>
      </c>
      <c r="C170" s="43">
        <v>1400</v>
      </c>
      <c r="D170" s="39">
        <v>1050</v>
      </c>
      <c r="E170" s="14">
        <v>0.25</v>
      </c>
    </row>
    <row r="171" spans="1:5" x14ac:dyDescent="0.25">
      <c r="A171" s="44" t="s">
        <v>830</v>
      </c>
      <c r="B171" s="38" t="s">
        <v>831</v>
      </c>
      <c r="C171" s="43">
        <v>2340</v>
      </c>
      <c r="D171" s="39">
        <v>1755</v>
      </c>
      <c r="E171" s="14">
        <v>0.25</v>
      </c>
    </row>
    <row r="172" spans="1:5" x14ac:dyDescent="0.25">
      <c r="A172" s="44" t="s">
        <v>832</v>
      </c>
      <c r="B172" s="38" t="s">
        <v>833</v>
      </c>
      <c r="C172" s="43">
        <v>3640</v>
      </c>
      <c r="D172" s="39">
        <v>2730</v>
      </c>
      <c r="E172" s="14">
        <v>0.25</v>
      </c>
    </row>
    <row r="173" spans="1:5" x14ac:dyDescent="0.25">
      <c r="A173" s="44" t="s">
        <v>834</v>
      </c>
      <c r="B173" s="38" t="s">
        <v>835</v>
      </c>
      <c r="C173" s="43">
        <v>4140</v>
      </c>
      <c r="D173" s="39">
        <v>3105</v>
      </c>
      <c r="E173" s="14">
        <v>0.25</v>
      </c>
    </row>
    <row r="174" spans="1:5" x14ac:dyDescent="0.25">
      <c r="A174" s="44" t="s">
        <v>836</v>
      </c>
      <c r="B174" s="38" t="s">
        <v>837</v>
      </c>
      <c r="C174" s="43">
        <v>6440</v>
      </c>
      <c r="D174" s="39">
        <v>4830</v>
      </c>
      <c r="E174" s="14">
        <v>0.25</v>
      </c>
    </row>
    <row r="175" spans="1:5" x14ac:dyDescent="0.25">
      <c r="A175" s="44" t="s">
        <v>838</v>
      </c>
      <c r="B175" s="38" t="s">
        <v>839</v>
      </c>
      <c r="C175" s="43">
        <v>5400</v>
      </c>
      <c r="D175" s="39">
        <v>4050</v>
      </c>
      <c r="E175" s="14">
        <v>0.25</v>
      </c>
    </row>
    <row r="176" spans="1:5" x14ac:dyDescent="0.25">
      <c r="A176" s="44" t="s">
        <v>840</v>
      </c>
      <c r="B176" s="38" t="s">
        <v>841</v>
      </c>
      <c r="C176" s="43">
        <v>8400</v>
      </c>
      <c r="D176" s="39">
        <v>6300</v>
      </c>
      <c r="E176" s="14">
        <v>0.25</v>
      </c>
    </row>
    <row r="177" spans="1:5" x14ac:dyDescent="0.25">
      <c r="A177" s="44" t="s">
        <v>842</v>
      </c>
      <c r="B177" s="38" t="s">
        <v>843</v>
      </c>
      <c r="C177" s="43">
        <v>6840</v>
      </c>
      <c r="D177" s="39">
        <v>5130</v>
      </c>
      <c r="E177" s="14">
        <v>0.25</v>
      </c>
    </row>
    <row r="178" spans="1:5" x14ac:dyDescent="0.25">
      <c r="A178" s="44" t="s">
        <v>844</v>
      </c>
      <c r="B178" s="38" t="s">
        <v>845</v>
      </c>
      <c r="C178" s="43">
        <v>10640</v>
      </c>
      <c r="D178" s="39">
        <v>7980</v>
      </c>
      <c r="E178" s="14">
        <v>0.25</v>
      </c>
    </row>
    <row r="179" spans="1:5" x14ac:dyDescent="0.25">
      <c r="A179" s="44" t="s">
        <v>846</v>
      </c>
      <c r="B179" s="38" t="s">
        <v>847</v>
      </c>
      <c r="C179" s="43">
        <v>15300</v>
      </c>
      <c r="D179" s="39">
        <v>11475</v>
      </c>
      <c r="E179" s="14">
        <v>0.25</v>
      </c>
    </row>
    <row r="180" spans="1:5" x14ac:dyDescent="0.25">
      <c r="A180" s="44" t="s">
        <v>848</v>
      </c>
      <c r="B180" s="38" t="s">
        <v>849</v>
      </c>
      <c r="C180" s="43">
        <v>23800</v>
      </c>
      <c r="D180" s="39">
        <v>17850</v>
      </c>
      <c r="E180" s="14">
        <v>0.25</v>
      </c>
    </row>
    <row r="181" spans="1:5" x14ac:dyDescent="0.25">
      <c r="A181" s="44" t="s">
        <v>850</v>
      </c>
      <c r="B181" s="38" t="s">
        <v>851</v>
      </c>
      <c r="C181" s="43">
        <v>18000</v>
      </c>
      <c r="D181" s="39">
        <v>13500</v>
      </c>
      <c r="E181" s="14">
        <v>0.25</v>
      </c>
    </row>
    <row r="182" spans="1:5" x14ac:dyDescent="0.25">
      <c r="A182" s="44" t="s">
        <v>852</v>
      </c>
      <c r="B182" s="38" t="s">
        <v>853</v>
      </c>
      <c r="C182" s="43">
        <v>28000</v>
      </c>
      <c r="D182" s="39">
        <v>21000</v>
      </c>
      <c r="E182" s="14">
        <v>0.25</v>
      </c>
    </row>
    <row r="183" spans="1:5" x14ac:dyDescent="0.25">
      <c r="A183" s="44" t="s">
        <v>854</v>
      </c>
      <c r="B183" s="38" t="s">
        <v>855</v>
      </c>
      <c r="C183" s="43">
        <v>31500</v>
      </c>
      <c r="D183" s="39">
        <v>23625</v>
      </c>
      <c r="E183" s="14">
        <v>0.25</v>
      </c>
    </row>
    <row r="184" spans="1:5" x14ac:dyDescent="0.25">
      <c r="A184" s="44" t="s">
        <v>856</v>
      </c>
      <c r="B184" s="38" t="s">
        <v>857</v>
      </c>
      <c r="C184" s="43">
        <v>49000</v>
      </c>
      <c r="D184" s="39">
        <v>36750</v>
      </c>
      <c r="E184" s="14">
        <v>0.25</v>
      </c>
    </row>
    <row r="185" spans="1:5" x14ac:dyDescent="0.25">
      <c r="A185" s="44" t="s">
        <v>858</v>
      </c>
      <c r="B185" s="38" t="s">
        <v>859</v>
      </c>
      <c r="C185" s="43">
        <v>77400</v>
      </c>
      <c r="D185" s="39">
        <v>58050</v>
      </c>
      <c r="E185" s="14">
        <v>0.25</v>
      </c>
    </row>
    <row r="186" spans="1:5" x14ac:dyDescent="0.25">
      <c r="A186" s="44" t="s">
        <v>860</v>
      </c>
      <c r="B186" s="38" t="s">
        <v>861</v>
      </c>
      <c r="C186" s="43">
        <v>120400</v>
      </c>
      <c r="D186" s="39">
        <v>90300</v>
      </c>
      <c r="E186" s="14">
        <v>0.25</v>
      </c>
    </row>
    <row r="187" spans="1:5" x14ac:dyDescent="0.25">
      <c r="A187" s="44" t="s">
        <v>862</v>
      </c>
      <c r="B187" s="38" t="s">
        <v>863</v>
      </c>
      <c r="C187" s="43">
        <v>144000</v>
      </c>
      <c r="D187" s="39">
        <v>108000</v>
      </c>
      <c r="E187" s="14">
        <v>0.25</v>
      </c>
    </row>
    <row r="188" spans="1:5" x14ac:dyDescent="0.25">
      <c r="A188" s="44" t="s">
        <v>864</v>
      </c>
      <c r="B188" s="38" t="s">
        <v>865</v>
      </c>
      <c r="C188" s="43">
        <v>224000</v>
      </c>
      <c r="D188" s="39">
        <v>168000</v>
      </c>
      <c r="E188" s="14">
        <v>0.25</v>
      </c>
    </row>
    <row r="189" spans="1:5" x14ac:dyDescent="0.25">
      <c r="A189" s="44" t="s">
        <v>866</v>
      </c>
      <c r="B189" s="38" t="s">
        <v>867</v>
      </c>
      <c r="C189" s="43">
        <v>1800</v>
      </c>
      <c r="D189" s="39">
        <v>1350</v>
      </c>
      <c r="E189" s="14">
        <v>0.25</v>
      </c>
    </row>
    <row r="190" spans="1:5" x14ac:dyDescent="0.25">
      <c r="A190" s="44" t="s">
        <v>868</v>
      </c>
      <c r="B190" s="38" t="s">
        <v>869</v>
      </c>
      <c r="C190" s="43">
        <v>2800</v>
      </c>
      <c r="D190" s="39">
        <v>2100</v>
      </c>
      <c r="E190" s="14">
        <v>0.25</v>
      </c>
    </row>
    <row r="191" spans="1:5" x14ac:dyDescent="0.25">
      <c r="A191" s="44" t="s">
        <v>870</v>
      </c>
      <c r="B191" s="38" t="s">
        <v>871</v>
      </c>
      <c r="C191" s="43">
        <v>450</v>
      </c>
      <c r="D191" s="39">
        <v>337.5</v>
      </c>
      <c r="E191" s="14">
        <v>0.25</v>
      </c>
    </row>
    <row r="192" spans="1:5" x14ac:dyDescent="0.25">
      <c r="A192" s="44" t="s">
        <v>872</v>
      </c>
      <c r="B192" s="38" t="s">
        <v>873</v>
      </c>
      <c r="C192" s="43">
        <v>700</v>
      </c>
      <c r="D192" s="39">
        <v>525</v>
      </c>
      <c r="E192" s="14">
        <v>0.25</v>
      </c>
    </row>
    <row r="193" spans="1:5" x14ac:dyDescent="0.25">
      <c r="A193" s="44" t="s">
        <v>874</v>
      </c>
      <c r="B193" s="38" t="s">
        <v>875</v>
      </c>
      <c r="C193" s="43">
        <v>1350</v>
      </c>
      <c r="D193" s="39">
        <v>1012.5</v>
      </c>
      <c r="E193" s="14">
        <v>0.25</v>
      </c>
    </row>
    <row r="194" spans="1:5" x14ac:dyDescent="0.25">
      <c r="A194" s="44" t="s">
        <v>876</v>
      </c>
      <c r="B194" s="38" t="s">
        <v>877</v>
      </c>
      <c r="C194" s="43">
        <v>2100</v>
      </c>
      <c r="D194" s="39">
        <v>1575</v>
      </c>
      <c r="E194" s="14">
        <v>0.25</v>
      </c>
    </row>
    <row r="195" spans="1:5" x14ac:dyDescent="0.25">
      <c r="A195" s="44" t="s">
        <v>878</v>
      </c>
      <c r="B195" s="38" t="s">
        <v>879</v>
      </c>
      <c r="C195" s="43">
        <v>4590</v>
      </c>
      <c r="D195" s="39">
        <v>3442.5</v>
      </c>
      <c r="E195" s="14">
        <v>0.25</v>
      </c>
    </row>
    <row r="196" spans="1:5" x14ac:dyDescent="0.25">
      <c r="A196" s="44" t="s">
        <v>880</v>
      </c>
      <c r="B196" s="38" t="s">
        <v>881</v>
      </c>
      <c r="C196" s="43">
        <v>7140</v>
      </c>
      <c r="D196" s="39">
        <v>5355</v>
      </c>
      <c r="E196" s="14">
        <v>0.25</v>
      </c>
    </row>
    <row r="197" spans="1:5" x14ac:dyDescent="0.25">
      <c r="A197" s="44" t="s">
        <v>882</v>
      </c>
      <c r="B197" s="38" t="s">
        <v>883</v>
      </c>
      <c r="C197" s="43">
        <v>9450</v>
      </c>
      <c r="D197" s="39">
        <v>7087.5</v>
      </c>
      <c r="E197" s="14">
        <v>0.25</v>
      </c>
    </row>
    <row r="198" spans="1:5" x14ac:dyDescent="0.25">
      <c r="A198" s="44" t="s">
        <v>884</v>
      </c>
      <c r="B198" s="38" t="s">
        <v>885</v>
      </c>
      <c r="C198" s="43">
        <v>14700</v>
      </c>
      <c r="D198" s="39">
        <v>11025</v>
      </c>
      <c r="E198" s="14">
        <v>0.25</v>
      </c>
    </row>
    <row r="199" spans="1:5" x14ac:dyDescent="0.25">
      <c r="A199" s="44" t="s">
        <v>886</v>
      </c>
      <c r="B199" s="38" t="s">
        <v>887</v>
      </c>
      <c r="C199" s="43">
        <v>16200</v>
      </c>
      <c r="D199" s="39">
        <v>12150</v>
      </c>
      <c r="E199" s="14">
        <v>0.25</v>
      </c>
    </row>
    <row r="200" spans="1:5" x14ac:dyDescent="0.25">
      <c r="A200" s="44" t="s">
        <v>888</v>
      </c>
      <c r="B200" s="38" t="s">
        <v>889</v>
      </c>
      <c r="C200" s="43">
        <v>25200</v>
      </c>
      <c r="D200" s="39">
        <v>18900</v>
      </c>
      <c r="E200" s="14">
        <v>0.25</v>
      </c>
    </row>
    <row r="201" spans="1:5" x14ac:dyDescent="0.25">
      <c r="A201" s="44" t="s">
        <v>890</v>
      </c>
      <c r="B201" s="38" t="s">
        <v>891</v>
      </c>
      <c r="C201" s="43">
        <v>40500</v>
      </c>
      <c r="D201" s="39">
        <v>30375</v>
      </c>
      <c r="E201" s="14">
        <v>0.25</v>
      </c>
    </row>
    <row r="202" spans="1:5" x14ac:dyDescent="0.25">
      <c r="A202" s="44" t="s">
        <v>892</v>
      </c>
      <c r="B202" s="38" t="s">
        <v>893</v>
      </c>
      <c r="C202" s="43">
        <v>63000</v>
      </c>
      <c r="D202" s="39">
        <v>47250</v>
      </c>
      <c r="E202" s="14">
        <v>0.25</v>
      </c>
    </row>
    <row r="203" spans="1:5" x14ac:dyDescent="0.25">
      <c r="A203" s="44" t="s">
        <v>894</v>
      </c>
      <c r="B203" s="38" t="s">
        <v>895</v>
      </c>
      <c r="C203" s="43">
        <v>108000</v>
      </c>
      <c r="D203" s="39">
        <v>81000</v>
      </c>
      <c r="E203" s="14">
        <v>0.25</v>
      </c>
    </row>
    <row r="204" spans="1:5" x14ac:dyDescent="0.25">
      <c r="A204" s="44" t="s">
        <v>896</v>
      </c>
      <c r="B204" s="38" t="s">
        <v>897</v>
      </c>
      <c r="C204" s="43">
        <v>168000</v>
      </c>
      <c r="D204" s="39">
        <v>126000</v>
      </c>
      <c r="E204" s="14">
        <v>0.25</v>
      </c>
    </row>
    <row r="205" spans="1:5" x14ac:dyDescent="0.25">
      <c r="A205" s="44" t="s">
        <v>898</v>
      </c>
      <c r="B205" s="38" t="s">
        <v>899</v>
      </c>
      <c r="C205" s="43">
        <v>1350</v>
      </c>
      <c r="D205" s="39">
        <v>1012.5</v>
      </c>
      <c r="E205" s="14">
        <v>0.25</v>
      </c>
    </row>
    <row r="206" spans="1:5" x14ac:dyDescent="0.25">
      <c r="A206" s="44" t="s">
        <v>900</v>
      </c>
      <c r="B206" s="38" t="s">
        <v>901</v>
      </c>
      <c r="C206" s="43">
        <v>2100</v>
      </c>
      <c r="D206" s="39">
        <v>1575</v>
      </c>
      <c r="E206" s="14">
        <v>0.25</v>
      </c>
    </row>
    <row r="207" spans="1:5" x14ac:dyDescent="0.25">
      <c r="A207" s="44" t="s">
        <v>902</v>
      </c>
      <c r="B207" s="38" t="s">
        <v>903</v>
      </c>
      <c r="C207" s="43">
        <v>1147.5</v>
      </c>
      <c r="D207" s="39">
        <v>860.625</v>
      </c>
      <c r="E207" s="14">
        <v>0.25</v>
      </c>
    </row>
    <row r="208" spans="1:5" x14ac:dyDescent="0.25">
      <c r="A208" s="44" t="s">
        <v>904</v>
      </c>
      <c r="B208" s="38" t="s">
        <v>905</v>
      </c>
      <c r="C208" s="43">
        <v>1785</v>
      </c>
      <c r="D208" s="39">
        <v>1338.75</v>
      </c>
      <c r="E208" s="14">
        <v>0.25</v>
      </c>
    </row>
    <row r="209" spans="1:5" x14ac:dyDescent="0.25">
      <c r="A209" s="44" t="s">
        <v>906</v>
      </c>
      <c r="B209" s="38" t="s">
        <v>907</v>
      </c>
      <c r="C209" s="43">
        <v>945</v>
      </c>
      <c r="D209" s="39">
        <v>708.75</v>
      </c>
      <c r="E209" s="14">
        <v>0.25</v>
      </c>
    </row>
    <row r="210" spans="1:5" x14ac:dyDescent="0.25">
      <c r="A210" s="44" t="s">
        <v>908</v>
      </c>
      <c r="B210" s="38" t="s">
        <v>909</v>
      </c>
      <c r="C210" s="43">
        <v>1470</v>
      </c>
      <c r="D210" s="39">
        <v>1102.5</v>
      </c>
      <c r="E210" s="14">
        <v>0.25</v>
      </c>
    </row>
    <row r="211" spans="1:5" x14ac:dyDescent="0.25">
      <c r="A211" s="44" t="s">
        <v>910</v>
      </c>
      <c r="B211" s="38" t="s">
        <v>911</v>
      </c>
      <c r="C211" s="43">
        <v>810</v>
      </c>
      <c r="D211" s="39">
        <v>607.5</v>
      </c>
      <c r="E211" s="14">
        <v>0.25</v>
      </c>
    </row>
    <row r="212" spans="1:5" x14ac:dyDescent="0.25">
      <c r="A212" s="44" t="s">
        <v>912</v>
      </c>
      <c r="B212" s="38" t="s">
        <v>913</v>
      </c>
      <c r="C212" s="43">
        <v>1260</v>
      </c>
      <c r="D212" s="39">
        <v>945</v>
      </c>
      <c r="E212" s="14">
        <v>0.25</v>
      </c>
    </row>
    <row r="213" spans="1:5" x14ac:dyDescent="0.25">
      <c r="A213" s="44" t="s">
        <v>914</v>
      </c>
      <c r="B213" s="38" t="s">
        <v>915</v>
      </c>
      <c r="C213" s="43">
        <v>675</v>
      </c>
      <c r="D213" s="39">
        <v>506.25</v>
      </c>
      <c r="E213" s="14">
        <v>0.25</v>
      </c>
    </row>
    <row r="214" spans="1:5" x14ac:dyDescent="0.25">
      <c r="A214" s="44" t="s">
        <v>916</v>
      </c>
      <c r="B214" s="38" t="s">
        <v>917</v>
      </c>
      <c r="C214" s="43">
        <v>1050</v>
      </c>
      <c r="D214" s="39">
        <v>787.5</v>
      </c>
      <c r="E214" s="14">
        <v>0.25</v>
      </c>
    </row>
    <row r="215" spans="1:5" x14ac:dyDescent="0.25">
      <c r="A215" s="44" t="s">
        <v>918</v>
      </c>
      <c r="B215" s="38" t="s">
        <v>919</v>
      </c>
      <c r="C215" s="43">
        <v>540</v>
      </c>
      <c r="D215" s="39">
        <v>405</v>
      </c>
      <c r="E215" s="14">
        <v>0.25</v>
      </c>
    </row>
    <row r="216" spans="1:5" x14ac:dyDescent="0.25">
      <c r="A216" s="44" t="s">
        <v>920</v>
      </c>
      <c r="B216" s="38" t="s">
        <v>921</v>
      </c>
      <c r="C216" s="43">
        <v>840</v>
      </c>
      <c r="D216" s="39">
        <v>630</v>
      </c>
      <c r="E216" s="14">
        <v>0.25</v>
      </c>
    </row>
    <row r="217" spans="1:5" x14ac:dyDescent="0.25">
      <c r="A217" s="44" t="s">
        <v>922</v>
      </c>
      <c r="B217" s="38" t="s">
        <v>923</v>
      </c>
      <c r="C217" s="43">
        <v>900</v>
      </c>
      <c r="D217" s="39">
        <v>675</v>
      </c>
      <c r="E217" s="14">
        <v>0.25</v>
      </c>
    </row>
    <row r="218" spans="1:5" x14ac:dyDescent="0.25">
      <c r="A218" s="44" t="s">
        <v>924</v>
      </c>
      <c r="B218" s="38" t="s">
        <v>925</v>
      </c>
      <c r="C218" s="43">
        <v>1400</v>
      </c>
      <c r="D218" s="39">
        <v>1050</v>
      </c>
      <c r="E218" s="14">
        <v>0.25</v>
      </c>
    </row>
    <row r="219" spans="1:5" x14ac:dyDescent="0.25">
      <c r="A219" s="44" t="s">
        <v>926</v>
      </c>
      <c r="B219" s="38" t="s">
        <v>927</v>
      </c>
      <c r="C219" s="43">
        <v>720</v>
      </c>
      <c r="D219" s="39">
        <v>540</v>
      </c>
      <c r="E219" s="14">
        <v>0.25</v>
      </c>
    </row>
    <row r="220" spans="1:5" x14ac:dyDescent="0.25">
      <c r="A220" s="44" t="s">
        <v>928</v>
      </c>
      <c r="B220" s="38" t="s">
        <v>929</v>
      </c>
      <c r="C220" s="43">
        <v>1120</v>
      </c>
      <c r="D220" s="39">
        <v>840</v>
      </c>
      <c r="E220" s="14">
        <v>0.25</v>
      </c>
    </row>
    <row r="221" spans="1:5" x14ac:dyDescent="0.25">
      <c r="A221" s="44" t="s">
        <v>930</v>
      </c>
      <c r="B221" s="38" t="s">
        <v>931</v>
      </c>
      <c r="C221" s="43">
        <v>1440</v>
      </c>
      <c r="D221" s="39">
        <v>1080</v>
      </c>
      <c r="E221" s="14">
        <v>0.25</v>
      </c>
    </row>
    <row r="222" spans="1:5" x14ac:dyDescent="0.25">
      <c r="A222" s="44" t="s">
        <v>932</v>
      </c>
      <c r="B222" s="38" t="s">
        <v>933</v>
      </c>
      <c r="C222" s="43">
        <v>2240</v>
      </c>
      <c r="D222" s="39">
        <v>1680</v>
      </c>
      <c r="E222" s="14">
        <v>0.25</v>
      </c>
    </row>
    <row r="223" spans="1:5" x14ac:dyDescent="0.25">
      <c r="A223" s="44" t="s">
        <v>934</v>
      </c>
      <c r="B223" s="38" t="s">
        <v>935</v>
      </c>
      <c r="C223" s="43">
        <v>3240</v>
      </c>
      <c r="D223" s="39">
        <v>2430</v>
      </c>
      <c r="E223" s="14">
        <v>0.25</v>
      </c>
    </row>
    <row r="224" spans="1:5" x14ac:dyDescent="0.25">
      <c r="A224" s="44" t="s">
        <v>936</v>
      </c>
      <c r="B224" s="38" t="s">
        <v>937</v>
      </c>
      <c r="C224" s="43">
        <v>5040</v>
      </c>
      <c r="D224" s="39">
        <v>3780</v>
      </c>
      <c r="E224" s="14">
        <v>0.25</v>
      </c>
    </row>
    <row r="225" spans="1:5" x14ac:dyDescent="0.25">
      <c r="A225" s="44" t="s">
        <v>938</v>
      </c>
      <c r="B225" s="38" t="s">
        <v>939</v>
      </c>
      <c r="C225" s="43">
        <v>12240</v>
      </c>
      <c r="D225" s="39">
        <v>9180</v>
      </c>
      <c r="E225" s="14">
        <v>0.25</v>
      </c>
    </row>
    <row r="226" spans="1:5" x14ac:dyDescent="0.25">
      <c r="A226" s="44" t="s">
        <v>940</v>
      </c>
      <c r="B226" s="38" t="s">
        <v>941</v>
      </c>
      <c r="C226" s="43">
        <v>19040</v>
      </c>
      <c r="D226" s="39">
        <v>14280</v>
      </c>
      <c r="E226" s="14">
        <v>0.25</v>
      </c>
    </row>
    <row r="227" spans="1:5" x14ac:dyDescent="0.25">
      <c r="A227" s="44" t="s">
        <v>942</v>
      </c>
      <c r="B227" s="38" t="s">
        <v>943</v>
      </c>
      <c r="C227" s="43">
        <v>43200</v>
      </c>
      <c r="D227" s="39">
        <v>32400</v>
      </c>
      <c r="E227" s="14">
        <v>0.25</v>
      </c>
    </row>
    <row r="228" spans="1:5" x14ac:dyDescent="0.25">
      <c r="A228" s="44" t="s">
        <v>944</v>
      </c>
      <c r="B228" s="38" t="s">
        <v>945</v>
      </c>
      <c r="C228" s="43">
        <v>67200</v>
      </c>
      <c r="D228" s="39">
        <v>50400</v>
      </c>
      <c r="E228" s="14">
        <v>0.25</v>
      </c>
    </row>
    <row r="229" spans="1:5" x14ac:dyDescent="0.25">
      <c r="A229" s="44" t="s">
        <v>946</v>
      </c>
      <c r="B229" s="38" t="s">
        <v>947</v>
      </c>
      <c r="C229" s="43">
        <v>900</v>
      </c>
      <c r="D229" s="39">
        <v>675</v>
      </c>
      <c r="E229" s="14">
        <v>0.25</v>
      </c>
    </row>
    <row r="230" spans="1:5" x14ac:dyDescent="0.25">
      <c r="A230" s="44" t="s">
        <v>948</v>
      </c>
      <c r="B230" s="38" t="s">
        <v>949</v>
      </c>
      <c r="C230" s="43">
        <v>1400</v>
      </c>
      <c r="D230" s="39">
        <v>1050</v>
      </c>
      <c r="E230" s="14">
        <v>0.25</v>
      </c>
    </row>
    <row r="231" spans="1:5" x14ac:dyDescent="0.25">
      <c r="A231" s="44" t="s">
        <v>950</v>
      </c>
      <c r="B231" s="38" t="s">
        <v>951</v>
      </c>
      <c r="C231" s="43">
        <v>1350</v>
      </c>
      <c r="D231" s="39">
        <v>1012.5</v>
      </c>
      <c r="E231" s="14">
        <v>0.25</v>
      </c>
    </row>
    <row r="232" spans="1:5" x14ac:dyDescent="0.25">
      <c r="A232" s="44" t="s">
        <v>952</v>
      </c>
      <c r="B232" s="38" t="s">
        <v>953</v>
      </c>
      <c r="C232" s="43">
        <v>2100</v>
      </c>
      <c r="D232" s="39">
        <v>1575</v>
      </c>
      <c r="E232" s="14">
        <v>0.25</v>
      </c>
    </row>
    <row r="233" spans="1:5" x14ac:dyDescent="0.25">
      <c r="A233" s="44" t="s">
        <v>954</v>
      </c>
      <c r="B233" s="38" t="s">
        <v>955</v>
      </c>
      <c r="C233" s="43">
        <v>1800</v>
      </c>
      <c r="D233" s="39">
        <v>1350</v>
      </c>
      <c r="E233" s="14">
        <v>0.25</v>
      </c>
    </row>
    <row r="234" spans="1:5" x14ac:dyDescent="0.25">
      <c r="A234" s="44" t="s">
        <v>956</v>
      </c>
      <c r="B234" s="38" t="s">
        <v>957</v>
      </c>
      <c r="C234" s="43">
        <v>2800</v>
      </c>
      <c r="D234" s="39">
        <v>2100</v>
      </c>
      <c r="E234" s="14">
        <v>0.25</v>
      </c>
    </row>
    <row r="235" spans="1:5" x14ac:dyDescent="0.25">
      <c r="A235" s="44" t="s">
        <v>958</v>
      </c>
      <c r="B235" s="38" t="s">
        <v>959</v>
      </c>
      <c r="C235" s="43">
        <v>2700</v>
      </c>
      <c r="D235" s="39">
        <v>2025</v>
      </c>
      <c r="E235" s="14">
        <v>0.25</v>
      </c>
    </row>
    <row r="236" spans="1:5" x14ac:dyDescent="0.25">
      <c r="A236" s="44" t="s">
        <v>960</v>
      </c>
      <c r="B236" s="38" t="s">
        <v>961</v>
      </c>
      <c r="C236" s="43">
        <v>4200</v>
      </c>
      <c r="D236" s="39">
        <v>3150</v>
      </c>
      <c r="E236" s="14">
        <v>0.25</v>
      </c>
    </row>
    <row r="237" spans="1:5" x14ac:dyDescent="0.25">
      <c r="A237" s="44" t="s">
        <v>962</v>
      </c>
      <c r="B237" s="38" t="s">
        <v>963</v>
      </c>
      <c r="C237" s="43">
        <v>900</v>
      </c>
      <c r="D237" s="39">
        <v>675</v>
      </c>
      <c r="E237" s="14">
        <v>0.25</v>
      </c>
    </row>
    <row r="238" spans="1:5" x14ac:dyDescent="0.25">
      <c r="A238" s="44" t="s">
        <v>964</v>
      </c>
      <c r="B238" s="38" t="s">
        <v>965</v>
      </c>
      <c r="C238" s="43">
        <v>1400</v>
      </c>
      <c r="D238" s="39">
        <v>1050</v>
      </c>
      <c r="E238" s="14">
        <v>0.25</v>
      </c>
    </row>
    <row r="239" spans="1:5" x14ac:dyDescent="0.25">
      <c r="A239" s="44" t="s">
        <v>966</v>
      </c>
      <c r="B239" s="38" t="s">
        <v>967</v>
      </c>
      <c r="C239" s="43">
        <v>161.82</v>
      </c>
      <c r="D239" s="39">
        <v>121.36499999999999</v>
      </c>
      <c r="E239" s="14">
        <v>0.25</v>
      </c>
    </row>
    <row r="240" spans="1:5" x14ac:dyDescent="0.25">
      <c r="A240" s="44" t="s">
        <v>968</v>
      </c>
      <c r="B240" s="38" t="s">
        <v>969</v>
      </c>
      <c r="C240" s="43">
        <v>251.72</v>
      </c>
      <c r="D240" s="39">
        <v>188.79</v>
      </c>
      <c r="E240" s="14">
        <v>0.25</v>
      </c>
    </row>
    <row r="241" spans="1:5" x14ac:dyDescent="0.25">
      <c r="A241" s="44" t="s">
        <v>970</v>
      </c>
      <c r="B241" s="38" t="s">
        <v>971</v>
      </c>
      <c r="C241" s="43">
        <v>14400</v>
      </c>
      <c r="D241" s="39">
        <v>10800</v>
      </c>
      <c r="E241" s="14">
        <v>0.25</v>
      </c>
    </row>
    <row r="242" spans="1:5" x14ac:dyDescent="0.25">
      <c r="A242" s="44" t="s">
        <v>972</v>
      </c>
      <c r="B242" s="38" t="s">
        <v>973</v>
      </c>
      <c r="C242" s="43">
        <v>22400</v>
      </c>
      <c r="D242" s="39">
        <v>16800</v>
      </c>
      <c r="E242" s="14">
        <v>0.25</v>
      </c>
    </row>
    <row r="243" spans="1:5" x14ac:dyDescent="0.25">
      <c r="A243" s="44" t="s">
        <v>974</v>
      </c>
      <c r="B243" s="38" t="s">
        <v>975</v>
      </c>
      <c r="C243" s="43">
        <v>5831.82</v>
      </c>
      <c r="D243" s="39">
        <v>4373.8649999999998</v>
      </c>
      <c r="E243" s="14">
        <v>0.25</v>
      </c>
    </row>
    <row r="244" spans="1:5" x14ac:dyDescent="0.25">
      <c r="A244" s="44" t="s">
        <v>976</v>
      </c>
      <c r="B244" s="38" t="s">
        <v>977</v>
      </c>
      <c r="C244" s="43">
        <v>9071.7199999999993</v>
      </c>
      <c r="D244" s="39">
        <v>6803.7899999999991</v>
      </c>
      <c r="E244" s="14">
        <v>0.25</v>
      </c>
    </row>
    <row r="245" spans="1:5" x14ac:dyDescent="0.25">
      <c r="A245" s="44" t="s">
        <v>978</v>
      </c>
      <c r="B245" s="38" t="s">
        <v>979</v>
      </c>
      <c r="C245" s="43">
        <v>7343.82</v>
      </c>
      <c r="D245" s="39">
        <v>5507.8649999999998</v>
      </c>
      <c r="E245" s="14">
        <v>0.25</v>
      </c>
    </row>
    <row r="246" spans="1:5" x14ac:dyDescent="0.25">
      <c r="A246" s="44" t="s">
        <v>980</v>
      </c>
      <c r="B246" s="38" t="s">
        <v>981</v>
      </c>
      <c r="C246" s="43">
        <v>11423.72</v>
      </c>
      <c r="D246" s="39">
        <v>8567.7899999999991</v>
      </c>
      <c r="E246" s="14">
        <v>0.25</v>
      </c>
    </row>
    <row r="247" spans="1:5" x14ac:dyDescent="0.25">
      <c r="A247" s="44" t="s">
        <v>982</v>
      </c>
      <c r="B247" s="38" t="s">
        <v>983</v>
      </c>
      <c r="C247" s="43">
        <v>40823.82</v>
      </c>
      <c r="D247" s="39">
        <v>30617.864999999998</v>
      </c>
      <c r="E247" s="14">
        <v>0.25</v>
      </c>
    </row>
    <row r="248" spans="1:5" x14ac:dyDescent="0.25">
      <c r="A248" s="44" t="s">
        <v>984</v>
      </c>
      <c r="B248" s="38" t="s">
        <v>985</v>
      </c>
      <c r="C248" s="43">
        <v>63503.72</v>
      </c>
      <c r="D248" s="39">
        <v>47627.79</v>
      </c>
      <c r="E248" s="14">
        <v>0.25</v>
      </c>
    </row>
    <row r="249" spans="1:5" x14ac:dyDescent="0.25">
      <c r="A249" s="44" t="s">
        <v>986</v>
      </c>
      <c r="B249" s="38" t="s">
        <v>987</v>
      </c>
      <c r="C249" s="43">
        <v>809.82</v>
      </c>
      <c r="D249" s="39">
        <v>607.36500000000001</v>
      </c>
      <c r="E249" s="14">
        <v>0.25</v>
      </c>
    </row>
    <row r="250" spans="1:5" x14ac:dyDescent="0.25">
      <c r="A250" s="44" t="s">
        <v>988</v>
      </c>
      <c r="B250" s="38" t="s">
        <v>989</v>
      </c>
      <c r="C250" s="43">
        <v>1259.72</v>
      </c>
      <c r="D250" s="39">
        <v>944.79</v>
      </c>
      <c r="E250" s="14">
        <v>0.25</v>
      </c>
    </row>
    <row r="251" spans="1:5" x14ac:dyDescent="0.25">
      <c r="A251" s="44" t="s">
        <v>990</v>
      </c>
      <c r="B251" s="38" t="s">
        <v>991</v>
      </c>
      <c r="C251" s="43">
        <v>18377.82</v>
      </c>
      <c r="D251" s="39">
        <v>13783.365</v>
      </c>
      <c r="E251" s="14">
        <v>0.25</v>
      </c>
    </row>
    <row r="252" spans="1:5" x14ac:dyDescent="0.25">
      <c r="A252" s="44" t="s">
        <v>992</v>
      </c>
      <c r="B252" s="38" t="s">
        <v>993</v>
      </c>
      <c r="C252" s="43">
        <v>28587.72</v>
      </c>
      <c r="D252" s="39">
        <v>21440.79</v>
      </c>
      <c r="E252" s="14">
        <v>0.25</v>
      </c>
    </row>
    <row r="253" spans="1:5" x14ac:dyDescent="0.25">
      <c r="A253" s="44" t="s">
        <v>994</v>
      </c>
      <c r="B253" s="38" t="s">
        <v>995</v>
      </c>
      <c r="C253" s="43">
        <v>8280</v>
      </c>
      <c r="D253" s="39">
        <v>6210</v>
      </c>
      <c r="E253" s="14">
        <v>0.25</v>
      </c>
    </row>
    <row r="254" spans="1:5" x14ac:dyDescent="0.25">
      <c r="A254" s="44" t="s">
        <v>996</v>
      </c>
      <c r="B254" s="38" t="s">
        <v>997</v>
      </c>
      <c r="C254" s="43">
        <v>12880</v>
      </c>
      <c r="D254" s="39">
        <v>9660</v>
      </c>
      <c r="E254" s="14">
        <v>0.25</v>
      </c>
    </row>
    <row r="255" spans="1:5" x14ac:dyDescent="0.25">
      <c r="A255" s="44" t="s">
        <v>998</v>
      </c>
      <c r="B255" s="38" t="s">
        <v>999</v>
      </c>
      <c r="C255" s="43">
        <v>1457.82</v>
      </c>
      <c r="D255" s="39">
        <v>1093.365</v>
      </c>
      <c r="E255" s="14">
        <v>0.25</v>
      </c>
    </row>
    <row r="256" spans="1:5" x14ac:dyDescent="0.25">
      <c r="A256" s="44" t="s">
        <v>1000</v>
      </c>
      <c r="B256" s="38" t="s">
        <v>1001</v>
      </c>
      <c r="C256" s="43">
        <v>2267.7199999999998</v>
      </c>
      <c r="D256" s="39">
        <v>1700.79</v>
      </c>
      <c r="E256" s="14">
        <v>0.25</v>
      </c>
    </row>
    <row r="257" spans="1:5" x14ac:dyDescent="0.25">
      <c r="A257" s="44" t="s">
        <v>1002</v>
      </c>
      <c r="B257" s="38" t="s">
        <v>1003</v>
      </c>
      <c r="C257" s="43">
        <v>21239.82</v>
      </c>
      <c r="D257" s="39">
        <v>15929.865</v>
      </c>
      <c r="E257" s="14">
        <v>0.25</v>
      </c>
    </row>
    <row r="258" spans="1:5" x14ac:dyDescent="0.25">
      <c r="A258" s="44" t="s">
        <v>1004</v>
      </c>
      <c r="B258" s="38" t="s">
        <v>1005</v>
      </c>
      <c r="C258" s="43">
        <v>33039.72</v>
      </c>
      <c r="D258" s="39">
        <v>24779.79</v>
      </c>
      <c r="E258" s="14">
        <v>0.25</v>
      </c>
    </row>
    <row r="259" spans="1:5" x14ac:dyDescent="0.25">
      <c r="A259" s="44" t="s">
        <v>1006</v>
      </c>
      <c r="B259" s="38" t="s">
        <v>1007</v>
      </c>
      <c r="C259" s="43">
        <v>9900</v>
      </c>
      <c r="D259" s="39">
        <v>7425</v>
      </c>
      <c r="E259" s="14">
        <v>0.25</v>
      </c>
    </row>
    <row r="260" spans="1:5" x14ac:dyDescent="0.25">
      <c r="A260" s="44" t="s">
        <v>1008</v>
      </c>
      <c r="B260" s="38" t="s">
        <v>1009</v>
      </c>
      <c r="C260" s="43">
        <v>15400</v>
      </c>
      <c r="D260" s="39">
        <v>11550</v>
      </c>
      <c r="E260" s="14">
        <v>0.25</v>
      </c>
    </row>
    <row r="261" spans="1:5" x14ac:dyDescent="0.25">
      <c r="A261" s="44" t="s">
        <v>1010</v>
      </c>
      <c r="B261" s="38" t="s">
        <v>1011</v>
      </c>
      <c r="C261" s="43">
        <v>21887.82</v>
      </c>
      <c r="D261" s="39">
        <v>16415.864999999998</v>
      </c>
      <c r="E261" s="14">
        <v>0.25000000000000011</v>
      </c>
    </row>
    <row r="262" spans="1:5" x14ac:dyDescent="0.25">
      <c r="A262" s="44" t="s">
        <v>1012</v>
      </c>
      <c r="B262" s="38" t="s">
        <v>1013</v>
      </c>
      <c r="C262" s="43">
        <v>34047.72</v>
      </c>
      <c r="D262" s="39">
        <v>25535.79</v>
      </c>
      <c r="E262" s="14">
        <v>0.25</v>
      </c>
    </row>
    <row r="263" spans="1:5" x14ac:dyDescent="0.25">
      <c r="A263" s="44" t="s">
        <v>1014</v>
      </c>
      <c r="B263" s="38" t="s">
        <v>1015</v>
      </c>
      <c r="C263" s="43">
        <v>468</v>
      </c>
      <c r="D263" s="39">
        <v>351</v>
      </c>
      <c r="E263" s="14">
        <v>0.25</v>
      </c>
    </row>
    <row r="264" spans="1:5" x14ac:dyDescent="0.25">
      <c r="A264" s="44" t="s">
        <v>1016</v>
      </c>
      <c r="B264" s="38" t="s">
        <v>1017</v>
      </c>
      <c r="C264" s="43">
        <v>728</v>
      </c>
      <c r="D264" s="39">
        <v>546</v>
      </c>
      <c r="E264" s="14">
        <v>0.25</v>
      </c>
    </row>
    <row r="265" spans="1:5" x14ac:dyDescent="0.25">
      <c r="A265" s="44" t="s">
        <v>1018</v>
      </c>
      <c r="B265" s="38" t="s">
        <v>1019</v>
      </c>
      <c r="C265" s="43">
        <v>25721.82</v>
      </c>
      <c r="D265" s="39">
        <v>19291.364999999998</v>
      </c>
      <c r="E265" s="14">
        <v>0.25000000000000011</v>
      </c>
    </row>
    <row r="266" spans="1:5" x14ac:dyDescent="0.25">
      <c r="A266" s="44" t="s">
        <v>1020</v>
      </c>
      <c r="B266" s="38" t="s">
        <v>1021</v>
      </c>
      <c r="C266" s="43">
        <v>40011.72</v>
      </c>
      <c r="D266" s="39">
        <v>30008.79</v>
      </c>
      <c r="E266" s="14">
        <v>0.25</v>
      </c>
    </row>
    <row r="267" spans="1:5" x14ac:dyDescent="0.25">
      <c r="A267" s="44" t="s">
        <v>1022</v>
      </c>
      <c r="B267" s="38" t="s">
        <v>1023</v>
      </c>
      <c r="C267" s="43">
        <v>3239.82</v>
      </c>
      <c r="D267" s="39">
        <v>2429.8650000000002</v>
      </c>
      <c r="E267" s="14">
        <v>0.25</v>
      </c>
    </row>
    <row r="268" spans="1:5" x14ac:dyDescent="0.25">
      <c r="A268" s="44" t="s">
        <v>1024</v>
      </c>
      <c r="B268" s="38" t="s">
        <v>1025</v>
      </c>
      <c r="C268" s="43">
        <v>5039.72</v>
      </c>
      <c r="D268" s="39">
        <v>3779.79</v>
      </c>
      <c r="E268" s="14">
        <v>0.25</v>
      </c>
    </row>
    <row r="269" spans="1:5" x14ac:dyDescent="0.25">
      <c r="A269" s="44" t="s">
        <v>1026</v>
      </c>
      <c r="B269" s="38" t="s">
        <v>1027</v>
      </c>
      <c r="C269" s="43">
        <v>28583.82</v>
      </c>
      <c r="D269" s="39">
        <v>21437.864999999998</v>
      </c>
      <c r="E269" s="14">
        <v>0.25000000000000011</v>
      </c>
    </row>
    <row r="270" spans="1:5" x14ac:dyDescent="0.25">
      <c r="A270" s="44" t="s">
        <v>1028</v>
      </c>
      <c r="B270" s="38" t="s">
        <v>1029</v>
      </c>
      <c r="C270" s="43">
        <v>44463.72</v>
      </c>
      <c r="D270" s="39">
        <v>33347.79</v>
      </c>
      <c r="E270" s="14">
        <v>0.25</v>
      </c>
    </row>
    <row r="271" spans="1:5" x14ac:dyDescent="0.25">
      <c r="A271" s="44" t="s">
        <v>1030</v>
      </c>
      <c r="B271" s="38" t="s">
        <v>1031</v>
      </c>
      <c r="C271" s="43">
        <v>12600</v>
      </c>
      <c r="D271" s="39">
        <v>9450</v>
      </c>
      <c r="E271" s="14">
        <v>0.25</v>
      </c>
    </row>
    <row r="272" spans="1:5" x14ac:dyDescent="0.25">
      <c r="A272" s="44" t="s">
        <v>1032</v>
      </c>
      <c r="B272" s="38" t="s">
        <v>1033</v>
      </c>
      <c r="C272" s="43">
        <v>19600</v>
      </c>
      <c r="D272" s="39">
        <v>14700</v>
      </c>
      <c r="E272" s="14">
        <v>0.25</v>
      </c>
    </row>
    <row r="273" spans="1:5" x14ac:dyDescent="0.25">
      <c r="A273" s="44" t="s">
        <v>1034</v>
      </c>
      <c r="B273" s="38" t="s">
        <v>1035</v>
      </c>
      <c r="C273" s="43">
        <v>33677.82</v>
      </c>
      <c r="D273" s="39">
        <v>25258.364999999998</v>
      </c>
      <c r="E273" s="14">
        <v>0.25</v>
      </c>
    </row>
    <row r="274" spans="1:5" x14ac:dyDescent="0.25">
      <c r="A274" s="44" t="s">
        <v>1036</v>
      </c>
      <c r="B274" s="38" t="s">
        <v>1037</v>
      </c>
      <c r="C274" s="43">
        <v>52387.72</v>
      </c>
      <c r="D274" s="39">
        <v>39290.79</v>
      </c>
      <c r="E274" s="14">
        <v>0.25</v>
      </c>
    </row>
    <row r="275" spans="1:5" x14ac:dyDescent="0.25">
      <c r="A275" s="44" t="s">
        <v>1038</v>
      </c>
      <c r="B275" s="38" t="s">
        <v>1039</v>
      </c>
      <c r="C275" s="43">
        <v>35729.82</v>
      </c>
      <c r="D275" s="39">
        <v>26797.364999999998</v>
      </c>
      <c r="E275" s="14">
        <v>0.25</v>
      </c>
    </row>
    <row r="276" spans="1:5" x14ac:dyDescent="0.25">
      <c r="A276" s="44" t="s">
        <v>1040</v>
      </c>
      <c r="B276" s="38" t="s">
        <v>1041</v>
      </c>
      <c r="C276" s="43">
        <v>55579.72</v>
      </c>
      <c r="D276" s="39">
        <v>41684.79</v>
      </c>
      <c r="E276" s="14">
        <v>0.25</v>
      </c>
    </row>
    <row r="277" spans="1:5" x14ac:dyDescent="0.25">
      <c r="A277" s="44" t="s">
        <v>1042</v>
      </c>
      <c r="B277" s="38" t="s">
        <v>1043</v>
      </c>
      <c r="C277" s="43">
        <v>37763.82</v>
      </c>
      <c r="D277" s="39">
        <v>28322.864999999998</v>
      </c>
      <c r="E277" s="14">
        <v>0.25</v>
      </c>
    </row>
    <row r="278" spans="1:5" x14ac:dyDescent="0.25">
      <c r="A278" s="44" t="s">
        <v>1044</v>
      </c>
      <c r="B278" s="38" t="s">
        <v>1045</v>
      </c>
      <c r="C278" s="43">
        <v>58743.72</v>
      </c>
      <c r="D278" s="39">
        <v>44057.79</v>
      </c>
      <c r="E278" s="14">
        <v>0.25</v>
      </c>
    </row>
    <row r="279" spans="1:5" x14ac:dyDescent="0.25">
      <c r="A279" s="44" t="s">
        <v>1046</v>
      </c>
      <c r="B279" s="38" t="s">
        <v>1047</v>
      </c>
      <c r="C279" s="43">
        <v>306</v>
      </c>
      <c r="D279" s="39">
        <v>229.5</v>
      </c>
      <c r="E279" s="14">
        <v>0.25</v>
      </c>
    </row>
    <row r="280" spans="1:5" x14ac:dyDescent="0.25">
      <c r="A280" s="44" t="s">
        <v>1048</v>
      </c>
      <c r="B280" s="38" t="s">
        <v>1049</v>
      </c>
      <c r="C280" s="43">
        <v>476</v>
      </c>
      <c r="D280" s="39">
        <v>357</v>
      </c>
      <c r="E280" s="14">
        <v>0.25</v>
      </c>
    </row>
    <row r="281" spans="1:5" x14ac:dyDescent="0.25">
      <c r="A281" s="44" t="s">
        <v>1050</v>
      </c>
      <c r="B281" s="38" t="s">
        <v>1051</v>
      </c>
      <c r="C281" s="43">
        <v>342</v>
      </c>
      <c r="D281" s="39">
        <v>256.5</v>
      </c>
      <c r="E281" s="14">
        <v>0.25</v>
      </c>
    </row>
    <row r="282" spans="1:5" x14ac:dyDescent="0.25">
      <c r="A282" s="44" t="s">
        <v>1052</v>
      </c>
      <c r="B282" s="38" t="s">
        <v>1053</v>
      </c>
      <c r="C282" s="43">
        <v>532</v>
      </c>
      <c r="D282" s="39">
        <v>399</v>
      </c>
      <c r="E282" s="14">
        <v>0.25</v>
      </c>
    </row>
    <row r="283" spans="1:5" x14ac:dyDescent="0.25">
      <c r="A283" s="44" t="s">
        <v>1054</v>
      </c>
      <c r="B283" s="38" t="s">
        <v>1055</v>
      </c>
      <c r="C283" s="43">
        <v>648</v>
      </c>
      <c r="D283" s="39">
        <v>486</v>
      </c>
      <c r="E283" s="14">
        <v>0.25</v>
      </c>
    </row>
    <row r="284" spans="1:5" x14ac:dyDescent="0.25">
      <c r="A284" s="44" t="s">
        <v>1056</v>
      </c>
      <c r="B284" s="38" t="s">
        <v>1057</v>
      </c>
      <c r="C284" s="43">
        <v>1008</v>
      </c>
      <c r="D284" s="39">
        <v>756</v>
      </c>
      <c r="E284" s="14">
        <v>0.25</v>
      </c>
    </row>
    <row r="285" spans="1:5" x14ac:dyDescent="0.25">
      <c r="A285" s="44" t="s">
        <v>1058</v>
      </c>
      <c r="B285" s="38" t="s">
        <v>1059</v>
      </c>
      <c r="C285" s="43">
        <v>1512</v>
      </c>
      <c r="D285" s="39">
        <v>1134</v>
      </c>
      <c r="E285" s="14">
        <v>0.25</v>
      </c>
    </row>
    <row r="286" spans="1:5" x14ac:dyDescent="0.25">
      <c r="A286" s="44" t="s">
        <v>1060</v>
      </c>
      <c r="B286" s="38" t="s">
        <v>1061</v>
      </c>
      <c r="C286" s="43">
        <v>2352</v>
      </c>
      <c r="D286" s="39">
        <v>1764</v>
      </c>
      <c r="E286" s="14">
        <v>0.25</v>
      </c>
    </row>
    <row r="287" spans="1:5" x14ac:dyDescent="0.25">
      <c r="A287" s="44" t="s">
        <v>1062</v>
      </c>
      <c r="B287" s="38" t="s">
        <v>1063</v>
      </c>
      <c r="C287" s="43">
        <v>936</v>
      </c>
      <c r="D287" s="39">
        <v>702</v>
      </c>
      <c r="E287" s="14">
        <v>0.25</v>
      </c>
    </row>
    <row r="288" spans="1:5" x14ac:dyDescent="0.25">
      <c r="A288" s="44" t="s">
        <v>1064</v>
      </c>
      <c r="B288" s="38" t="s">
        <v>1065</v>
      </c>
      <c r="C288" s="43">
        <v>1456</v>
      </c>
      <c r="D288" s="39">
        <v>1092</v>
      </c>
      <c r="E288" s="14">
        <v>0.25</v>
      </c>
    </row>
    <row r="289" spans="1:5" x14ac:dyDescent="0.25">
      <c r="A289" s="44" t="s">
        <v>1066</v>
      </c>
      <c r="B289" s="38" t="s">
        <v>1067</v>
      </c>
      <c r="C289" s="43">
        <v>1782</v>
      </c>
      <c r="D289" s="39">
        <v>1336.5</v>
      </c>
      <c r="E289" s="14">
        <v>0.25</v>
      </c>
    </row>
    <row r="290" spans="1:5" x14ac:dyDescent="0.25">
      <c r="A290" s="44" t="s">
        <v>1068</v>
      </c>
      <c r="B290" s="38" t="s">
        <v>1069</v>
      </c>
      <c r="C290" s="43">
        <v>2772</v>
      </c>
      <c r="D290" s="39">
        <v>2079</v>
      </c>
      <c r="E290" s="14">
        <v>0.25</v>
      </c>
    </row>
    <row r="291" spans="1:5" x14ac:dyDescent="0.25">
      <c r="A291" s="44" t="s">
        <v>1070</v>
      </c>
      <c r="B291" s="38" t="s">
        <v>1071</v>
      </c>
      <c r="C291" s="43">
        <v>1620</v>
      </c>
      <c r="D291" s="39">
        <v>1215</v>
      </c>
      <c r="E291" s="14">
        <v>0.25</v>
      </c>
    </row>
    <row r="292" spans="1:5" x14ac:dyDescent="0.25">
      <c r="A292" s="44" t="s">
        <v>1072</v>
      </c>
      <c r="B292" s="38" t="s">
        <v>1073</v>
      </c>
      <c r="C292" s="43">
        <v>2520</v>
      </c>
      <c r="D292" s="39">
        <v>1890</v>
      </c>
      <c r="E292" s="14">
        <v>0.25</v>
      </c>
    </row>
    <row r="293" spans="1:5" x14ac:dyDescent="0.25">
      <c r="A293" s="44" t="s">
        <v>1074</v>
      </c>
      <c r="B293" s="38" t="s">
        <v>1075</v>
      </c>
      <c r="C293" s="43">
        <v>2700</v>
      </c>
      <c r="D293" s="39">
        <v>2025</v>
      </c>
      <c r="E293" s="14">
        <v>0.25</v>
      </c>
    </row>
    <row r="294" spans="1:5" x14ac:dyDescent="0.25">
      <c r="A294" s="44" t="s">
        <v>1076</v>
      </c>
      <c r="B294" s="38" t="s">
        <v>1077</v>
      </c>
      <c r="C294" s="43">
        <v>4200</v>
      </c>
      <c r="D294" s="39">
        <v>3150</v>
      </c>
      <c r="E294" s="14">
        <v>0.25</v>
      </c>
    </row>
    <row r="295" spans="1:5" x14ac:dyDescent="0.25">
      <c r="A295" s="44" t="s">
        <v>1078</v>
      </c>
      <c r="B295" s="38" t="s">
        <v>1079</v>
      </c>
      <c r="C295" s="43">
        <v>2592</v>
      </c>
      <c r="D295" s="39">
        <v>1944</v>
      </c>
      <c r="E295" s="14">
        <v>0.25</v>
      </c>
    </row>
    <row r="296" spans="1:5" x14ac:dyDescent="0.25">
      <c r="A296" s="44" t="s">
        <v>1080</v>
      </c>
      <c r="B296" s="38" t="s">
        <v>1081</v>
      </c>
      <c r="C296" s="43">
        <v>4032</v>
      </c>
      <c r="D296" s="39">
        <v>3024</v>
      </c>
      <c r="E296" s="14">
        <v>0.25</v>
      </c>
    </row>
    <row r="297" spans="1:5" x14ac:dyDescent="0.25">
      <c r="A297" s="44" t="s">
        <v>1082</v>
      </c>
      <c r="B297" s="38" t="s">
        <v>1083</v>
      </c>
      <c r="C297" s="43">
        <v>1800</v>
      </c>
      <c r="D297" s="39">
        <v>1350</v>
      </c>
      <c r="E297" s="14">
        <v>0.25</v>
      </c>
    </row>
    <row r="298" spans="1:5" x14ac:dyDescent="0.25">
      <c r="A298" s="44" t="s">
        <v>1084</v>
      </c>
      <c r="B298" s="38" t="s">
        <v>1085</v>
      </c>
      <c r="C298" s="43">
        <v>2800</v>
      </c>
      <c r="D298" s="39">
        <v>2100</v>
      </c>
      <c r="E298" s="14">
        <v>0.25</v>
      </c>
    </row>
    <row r="299" spans="1:5" x14ac:dyDescent="0.25">
      <c r="A299" s="44" t="s">
        <v>1086</v>
      </c>
      <c r="B299" s="38" t="s">
        <v>1087</v>
      </c>
      <c r="C299" s="43">
        <v>2160</v>
      </c>
      <c r="D299" s="39">
        <v>1620</v>
      </c>
      <c r="E299" s="14">
        <v>0.25</v>
      </c>
    </row>
    <row r="300" spans="1:5" x14ac:dyDescent="0.25">
      <c r="A300" s="44" t="s">
        <v>1088</v>
      </c>
      <c r="B300" s="38" t="s">
        <v>1089</v>
      </c>
      <c r="C300" s="43">
        <v>3360</v>
      </c>
      <c r="D300" s="39">
        <v>2520</v>
      </c>
      <c r="E300" s="14">
        <v>0.25</v>
      </c>
    </row>
    <row r="301" spans="1:5" x14ac:dyDescent="0.25">
      <c r="A301" s="44" t="s">
        <v>1090</v>
      </c>
      <c r="B301" s="38" t="s">
        <v>1091</v>
      </c>
      <c r="C301" s="43">
        <v>521.82000000000005</v>
      </c>
      <c r="D301" s="39">
        <v>391.36500000000001</v>
      </c>
      <c r="E301" s="14">
        <v>0.25</v>
      </c>
    </row>
    <row r="302" spans="1:5" x14ac:dyDescent="0.25">
      <c r="A302" s="44" t="s">
        <v>1092</v>
      </c>
      <c r="B302" s="38" t="s">
        <v>1093</v>
      </c>
      <c r="C302" s="43">
        <v>811.72</v>
      </c>
      <c r="D302" s="39">
        <v>608.79</v>
      </c>
      <c r="E302" s="14">
        <v>0.25000000000000011</v>
      </c>
    </row>
    <row r="303" spans="1:5" x14ac:dyDescent="0.25">
      <c r="A303" s="44" t="s">
        <v>1094</v>
      </c>
      <c r="B303" s="38" t="s">
        <v>1095</v>
      </c>
      <c r="C303" s="43">
        <v>1025.82</v>
      </c>
      <c r="D303" s="39">
        <v>769.36500000000001</v>
      </c>
      <c r="E303" s="14">
        <v>0.25</v>
      </c>
    </row>
    <row r="304" spans="1:5" x14ac:dyDescent="0.25">
      <c r="A304" s="44" t="s">
        <v>1096</v>
      </c>
      <c r="B304" s="38" t="s">
        <v>1097</v>
      </c>
      <c r="C304" s="43">
        <v>1595.72</v>
      </c>
      <c r="D304" s="39">
        <v>1196.79</v>
      </c>
      <c r="E304" s="14">
        <v>0.25</v>
      </c>
    </row>
    <row r="305" spans="1:5" x14ac:dyDescent="0.25">
      <c r="A305" s="44" t="s">
        <v>1098</v>
      </c>
      <c r="B305" s="38" t="s">
        <v>1099</v>
      </c>
      <c r="C305" s="43">
        <v>1440</v>
      </c>
      <c r="D305" s="39">
        <v>1080</v>
      </c>
      <c r="E305" s="14">
        <v>0.25</v>
      </c>
    </row>
    <row r="306" spans="1:5" x14ac:dyDescent="0.25">
      <c r="A306" s="44" t="s">
        <v>1100</v>
      </c>
      <c r="B306" s="38" t="s">
        <v>1101</v>
      </c>
      <c r="C306" s="43">
        <v>2240</v>
      </c>
      <c r="D306" s="39">
        <v>1680</v>
      </c>
      <c r="E306" s="14">
        <v>0.25</v>
      </c>
    </row>
    <row r="307" spans="1:5" x14ac:dyDescent="0.25">
      <c r="A307" s="44" t="s">
        <v>1102</v>
      </c>
      <c r="B307" s="38" t="s">
        <v>1103</v>
      </c>
      <c r="C307" s="43">
        <v>1350</v>
      </c>
      <c r="D307" s="39">
        <v>1012.5</v>
      </c>
      <c r="E307" s="14">
        <v>0.25</v>
      </c>
    </row>
    <row r="308" spans="1:5" x14ac:dyDescent="0.25">
      <c r="A308" s="44" t="s">
        <v>1104</v>
      </c>
      <c r="B308" s="38" t="s">
        <v>1105</v>
      </c>
      <c r="C308" s="43">
        <v>2100</v>
      </c>
      <c r="D308" s="39">
        <v>1575</v>
      </c>
      <c r="E308" s="14">
        <v>0.25</v>
      </c>
    </row>
    <row r="309" spans="1:5" x14ac:dyDescent="0.25">
      <c r="A309" s="44" t="s">
        <v>1106</v>
      </c>
      <c r="B309" s="38" t="s">
        <v>1107</v>
      </c>
      <c r="C309" s="43">
        <v>241127.82</v>
      </c>
      <c r="D309" s="39">
        <v>180845.86499999999</v>
      </c>
      <c r="E309" s="14">
        <v>0.25000000000000011</v>
      </c>
    </row>
    <row r="310" spans="1:5" x14ac:dyDescent="0.25">
      <c r="A310" s="44" t="s">
        <v>1108</v>
      </c>
      <c r="B310" s="38" t="s">
        <v>1109</v>
      </c>
      <c r="C310" s="43">
        <v>375087.72</v>
      </c>
      <c r="D310" s="39">
        <v>281315.78999999998</v>
      </c>
      <c r="E310" s="14">
        <v>0.25</v>
      </c>
    </row>
    <row r="311" spans="1:5" x14ac:dyDescent="0.25">
      <c r="A311" s="44" t="s">
        <v>1110</v>
      </c>
      <c r="B311" s="38" t="s">
        <v>1111</v>
      </c>
      <c r="C311" s="43">
        <v>179117.82</v>
      </c>
      <c r="D311" s="39">
        <v>134338.36499999999</v>
      </c>
      <c r="E311" s="14">
        <v>0.25000000000000011</v>
      </c>
    </row>
    <row r="312" spans="1:5" x14ac:dyDescent="0.25">
      <c r="A312" s="44" t="s">
        <v>1112</v>
      </c>
      <c r="B312" s="38" t="s">
        <v>1113</v>
      </c>
      <c r="C312" s="43">
        <v>278627.71999999997</v>
      </c>
      <c r="D312" s="39">
        <v>208970.78999999998</v>
      </c>
      <c r="E312" s="14">
        <v>0.25</v>
      </c>
    </row>
    <row r="313" spans="1:5" x14ac:dyDescent="0.25">
      <c r="A313" s="44" t="s">
        <v>1114</v>
      </c>
      <c r="B313" s="38" t="s">
        <v>1115</v>
      </c>
      <c r="C313" s="43">
        <v>192887.82</v>
      </c>
      <c r="D313" s="39">
        <v>144665.86499999999</v>
      </c>
      <c r="E313" s="14">
        <v>0.25000000000000011</v>
      </c>
    </row>
    <row r="314" spans="1:5" x14ac:dyDescent="0.25">
      <c r="A314" s="44" t="s">
        <v>1116</v>
      </c>
      <c r="B314" s="38" t="s">
        <v>1117</v>
      </c>
      <c r="C314" s="43">
        <v>300047.71999999997</v>
      </c>
      <c r="D314" s="39">
        <v>225035.78999999998</v>
      </c>
      <c r="E314" s="14">
        <v>0.25</v>
      </c>
    </row>
    <row r="315" spans="1:5" x14ac:dyDescent="0.25">
      <c r="A315" s="44" t="s">
        <v>1118</v>
      </c>
      <c r="B315" s="38" t="s">
        <v>1119</v>
      </c>
      <c r="C315" s="43">
        <v>206675.82</v>
      </c>
      <c r="D315" s="39">
        <v>155006.86499999999</v>
      </c>
      <c r="E315" s="14">
        <v>0.25000000000000011</v>
      </c>
    </row>
    <row r="316" spans="1:5" x14ac:dyDescent="0.25">
      <c r="A316" s="44" t="s">
        <v>1120</v>
      </c>
      <c r="B316" s="38" t="s">
        <v>1121</v>
      </c>
      <c r="C316" s="43">
        <v>321495.71999999997</v>
      </c>
      <c r="D316" s="39">
        <v>241121.78999999998</v>
      </c>
      <c r="E316" s="14">
        <v>0.25</v>
      </c>
    </row>
    <row r="317" spans="1:5" x14ac:dyDescent="0.25">
      <c r="A317" s="44" t="s">
        <v>1122</v>
      </c>
      <c r="B317" s="38" t="s">
        <v>1123</v>
      </c>
      <c r="C317" s="43">
        <v>220445.82</v>
      </c>
      <c r="D317" s="39">
        <v>165334.36499999999</v>
      </c>
      <c r="E317" s="14">
        <v>0.25000000000000011</v>
      </c>
    </row>
    <row r="318" spans="1:5" x14ac:dyDescent="0.25">
      <c r="A318" s="44" t="s">
        <v>1124</v>
      </c>
      <c r="B318" s="38" t="s">
        <v>1125</v>
      </c>
      <c r="C318" s="43">
        <v>342915.72</v>
      </c>
      <c r="D318" s="39">
        <v>257186.78999999998</v>
      </c>
      <c r="E318" s="14">
        <v>0.25</v>
      </c>
    </row>
    <row r="319" spans="1:5" x14ac:dyDescent="0.25">
      <c r="A319" s="44" t="s">
        <v>1126</v>
      </c>
      <c r="B319" s="38" t="s">
        <v>1127</v>
      </c>
      <c r="C319" s="43">
        <v>20663.82</v>
      </c>
      <c r="D319" s="39">
        <v>15497.865</v>
      </c>
      <c r="E319" s="14">
        <v>0.25</v>
      </c>
    </row>
    <row r="320" spans="1:5" x14ac:dyDescent="0.25">
      <c r="A320" s="44" t="s">
        <v>1128</v>
      </c>
      <c r="B320" s="38" t="s">
        <v>1129</v>
      </c>
      <c r="C320" s="43">
        <v>32143.72</v>
      </c>
      <c r="D320" s="39">
        <v>24107.79</v>
      </c>
      <c r="E320" s="14">
        <v>0.25</v>
      </c>
    </row>
    <row r="321" spans="1:5" x14ac:dyDescent="0.25">
      <c r="A321" s="44" t="s">
        <v>1130</v>
      </c>
      <c r="B321" s="38" t="s">
        <v>1131</v>
      </c>
      <c r="C321" s="43">
        <v>9089.82</v>
      </c>
      <c r="D321" s="39">
        <v>6817.3649999999998</v>
      </c>
      <c r="E321" s="14">
        <v>0.25</v>
      </c>
    </row>
    <row r="322" spans="1:5" x14ac:dyDescent="0.25">
      <c r="A322" s="44" t="s">
        <v>1132</v>
      </c>
      <c r="B322" s="38" t="s">
        <v>1133</v>
      </c>
      <c r="C322" s="43">
        <v>14139.72</v>
      </c>
      <c r="D322" s="39">
        <v>10604.789999999999</v>
      </c>
      <c r="E322" s="14">
        <v>0.25</v>
      </c>
    </row>
    <row r="323" spans="1:5" x14ac:dyDescent="0.25">
      <c r="A323" s="44" t="s">
        <v>1134</v>
      </c>
      <c r="B323" s="38" t="s">
        <v>1135</v>
      </c>
      <c r="C323" s="43">
        <v>10944</v>
      </c>
      <c r="D323" s="39">
        <v>8208</v>
      </c>
      <c r="E323" s="14">
        <v>0.25</v>
      </c>
    </row>
    <row r="324" spans="1:5" x14ac:dyDescent="0.25">
      <c r="A324" s="44" t="s">
        <v>1136</v>
      </c>
      <c r="B324" s="38" t="s">
        <v>1137</v>
      </c>
      <c r="C324" s="43">
        <v>17024</v>
      </c>
      <c r="D324" s="39">
        <v>12768</v>
      </c>
      <c r="E324" s="14">
        <v>0.25</v>
      </c>
    </row>
    <row r="325" spans="1:5" x14ac:dyDescent="0.25">
      <c r="A325" s="44" t="s">
        <v>1138</v>
      </c>
      <c r="B325" s="38" t="s">
        <v>1139</v>
      </c>
      <c r="C325" s="43">
        <v>1601.82</v>
      </c>
      <c r="D325" s="39">
        <v>1201.365</v>
      </c>
      <c r="E325" s="14">
        <v>0.25</v>
      </c>
    </row>
    <row r="326" spans="1:5" x14ac:dyDescent="0.25">
      <c r="A326" s="44" t="s">
        <v>1140</v>
      </c>
      <c r="B326" s="38" t="s">
        <v>1141</v>
      </c>
      <c r="C326" s="43">
        <v>2491.7199999999998</v>
      </c>
      <c r="D326" s="39">
        <v>1868.79</v>
      </c>
      <c r="E326" s="14">
        <v>0.25</v>
      </c>
    </row>
    <row r="327" spans="1:5" x14ac:dyDescent="0.25">
      <c r="A327" s="44" t="s">
        <v>1142</v>
      </c>
      <c r="B327" s="38" t="s">
        <v>1143</v>
      </c>
      <c r="C327" s="43">
        <v>24803.82</v>
      </c>
      <c r="D327" s="39">
        <v>18602.864999999998</v>
      </c>
      <c r="E327" s="14">
        <v>0.25000000000000011</v>
      </c>
    </row>
    <row r="328" spans="1:5" x14ac:dyDescent="0.25">
      <c r="A328" s="44" t="s">
        <v>1144</v>
      </c>
      <c r="B328" s="38" t="s">
        <v>1145</v>
      </c>
      <c r="C328" s="43">
        <v>38583.72</v>
      </c>
      <c r="D328" s="39">
        <v>28937.79</v>
      </c>
      <c r="E328" s="14">
        <v>0.25</v>
      </c>
    </row>
    <row r="329" spans="1:5" x14ac:dyDescent="0.25">
      <c r="A329" s="44" t="s">
        <v>1146</v>
      </c>
      <c r="B329" s="38" t="s">
        <v>1147</v>
      </c>
      <c r="C329" s="43">
        <v>12096</v>
      </c>
      <c r="D329" s="39">
        <v>9072</v>
      </c>
      <c r="E329" s="14">
        <v>0.25</v>
      </c>
    </row>
    <row r="330" spans="1:5" x14ac:dyDescent="0.25">
      <c r="A330" s="44" t="s">
        <v>1148</v>
      </c>
      <c r="B330" s="38" t="s">
        <v>1149</v>
      </c>
      <c r="C330" s="43">
        <v>18816</v>
      </c>
      <c r="D330" s="39">
        <v>14112</v>
      </c>
      <c r="E330" s="14">
        <v>0.25</v>
      </c>
    </row>
    <row r="331" spans="1:5" x14ac:dyDescent="0.25">
      <c r="A331" s="44" t="s">
        <v>1150</v>
      </c>
      <c r="B331" s="38" t="s">
        <v>1151</v>
      </c>
      <c r="C331" s="43">
        <v>2753.82</v>
      </c>
      <c r="D331" s="39">
        <v>2065.3650000000002</v>
      </c>
      <c r="E331" s="14">
        <v>0.25</v>
      </c>
    </row>
    <row r="332" spans="1:5" x14ac:dyDescent="0.25">
      <c r="A332" s="44" t="s">
        <v>1152</v>
      </c>
      <c r="B332" s="38" t="s">
        <v>1153</v>
      </c>
      <c r="C332" s="43">
        <v>4283.72</v>
      </c>
      <c r="D332" s="39">
        <v>3212.79</v>
      </c>
      <c r="E332" s="14">
        <v>0.25</v>
      </c>
    </row>
    <row r="333" spans="1:5" x14ac:dyDescent="0.25">
      <c r="A333" s="44" t="s">
        <v>1154</v>
      </c>
      <c r="B333" s="38" t="s">
        <v>1155</v>
      </c>
      <c r="C333" s="43">
        <v>28655.82</v>
      </c>
      <c r="D333" s="39">
        <v>21491.864999999998</v>
      </c>
      <c r="E333" s="14">
        <v>0.25000000000000011</v>
      </c>
    </row>
    <row r="334" spans="1:5" x14ac:dyDescent="0.25">
      <c r="A334" s="44" t="s">
        <v>1156</v>
      </c>
      <c r="B334" s="38" t="s">
        <v>1157</v>
      </c>
      <c r="C334" s="43">
        <v>44575.72</v>
      </c>
      <c r="D334" s="39">
        <v>33431.79</v>
      </c>
      <c r="E334" s="14">
        <v>0.25</v>
      </c>
    </row>
    <row r="335" spans="1:5" x14ac:dyDescent="0.25">
      <c r="A335" s="44" t="s">
        <v>1158</v>
      </c>
      <c r="B335" s="38" t="s">
        <v>1159</v>
      </c>
      <c r="C335" s="43">
        <v>14148</v>
      </c>
      <c r="D335" s="39">
        <v>10611</v>
      </c>
      <c r="E335" s="14">
        <v>0.25</v>
      </c>
    </row>
    <row r="336" spans="1:5" x14ac:dyDescent="0.25">
      <c r="A336" s="44" t="s">
        <v>1160</v>
      </c>
      <c r="B336" s="38" t="s">
        <v>1161</v>
      </c>
      <c r="C336" s="43">
        <v>22008</v>
      </c>
      <c r="D336" s="39">
        <v>16506</v>
      </c>
      <c r="E336" s="14">
        <v>0.25</v>
      </c>
    </row>
    <row r="337" spans="1:5" x14ac:dyDescent="0.25">
      <c r="A337" s="44" t="s">
        <v>1162</v>
      </c>
      <c r="B337" s="38" t="s">
        <v>1163</v>
      </c>
      <c r="C337" s="43">
        <v>31967.82</v>
      </c>
      <c r="D337" s="39">
        <v>23975.864999999998</v>
      </c>
      <c r="E337" s="14">
        <v>0.25000000000000011</v>
      </c>
    </row>
    <row r="338" spans="1:5" x14ac:dyDescent="0.25">
      <c r="A338" s="44" t="s">
        <v>1164</v>
      </c>
      <c r="B338" s="38" t="s">
        <v>1165</v>
      </c>
      <c r="C338" s="43">
        <v>49727.72</v>
      </c>
      <c r="D338" s="39">
        <v>37295.79</v>
      </c>
      <c r="E338" s="14">
        <v>0.25</v>
      </c>
    </row>
    <row r="339" spans="1:5" x14ac:dyDescent="0.25">
      <c r="A339" s="44" t="s">
        <v>1166</v>
      </c>
      <c r="B339" s="38" t="s">
        <v>1167</v>
      </c>
      <c r="C339" s="43">
        <v>34721.82</v>
      </c>
      <c r="D339" s="39">
        <v>26041.364999999998</v>
      </c>
      <c r="E339" s="14">
        <v>0.25</v>
      </c>
    </row>
    <row r="340" spans="1:5" x14ac:dyDescent="0.25">
      <c r="A340" s="44" t="s">
        <v>1168</v>
      </c>
      <c r="B340" s="38" t="s">
        <v>1169</v>
      </c>
      <c r="C340" s="43">
        <v>54011.72</v>
      </c>
      <c r="D340" s="39">
        <v>40508.79</v>
      </c>
      <c r="E340" s="14">
        <v>0.25</v>
      </c>
    </row>
    <row r="341" spans="1:5" x14ac:dyDescent="0.25">
      <c r="A341" s="44" t="s">
        <v>1170</v>
      </c>
      <c r="B341" s="38" t="s">
        <v>1171</v>
      </c>
      <c r="C341" s="43">
        <v>5507.82</v>
      </c>
      <c r="D341" s="39">
        <v>4130.8649999999998</v>
      </c>
      <c r="E341" s="14">
        <v>0.25</v>
      </c>
    </row>
    <row r="342" spans="1:5" x14ac:dyDescent="0.25">
      <c r="A342" s="44" t="s">
        <v>1172</v>
      </c>
      <c r="B342" s="38" t="s">
        <v>1173</v>
      </c>
      <c r="C342" s="43">
        <v>8567.7199999999993</v>
      </c>
      <c r="D342" s="39">
        <v>6425.7899999999991</v>
      </c>
      <c r="E342" s="14">
        <v>0.25</v>
      </c>
    </row>
    <row r="343" spans="1:5" x14ac:dyDescent="0.25">
      <c r="A343" s="44" t="s">
        <v>1174</v>
      </c>
      <c r="B343" s="38" t="s">
        <v>1175</v>
      </c>
      <c r="C343" s="43">
        <v>38573.82</v>
      </c>
      <c r="D343" s="39">
        <v>28930.364999999998</v>
      </c>
      <c r="E343" s="14">
        <v>0.25</v>
      </c>
    </row>
    <row r="344" spans="1:5" x14ac:dyDescent="0.25">
      <c r="A344" s="44" t="s">
        <v>1176</v>
      </c>
      <c r="B344" s="38" t="s">
        <v>1177</v>
      </c>
      <c r="C344" s="43">
        <v>60003.72</v>
      </c>
      <c r="D344" s="39">
        <v>45002.79</v>
      </c>
      <c r="E344" s="14">
        <v>0.25</v>
      </c>
    </row>
    <row r="345" spans="1:5" x14ac:dyDescent="0.25">
      <c r="A345" s="44" t="s">
        <v>1178</v>
      </c>
      <c r="B345" s="38" t="s">
        <v>1179</v>
      </c>
      <c r="C345" s="43">
        <v>17766</v>
      </c>
      <c r="D345" s="39">
        <v>13324.5</v>
      </c>
      <c r="E345" s="14">
        <v>0.25</v>
      </c>
    </row>
    <row r="346" spans="1:5" x14ac:dyDescent="0.25">
      <c r="A346" s="44" t="s">
        <v>1180</v>
      </c>
      <c r="B346" s="38" t="s">
        <v>1181</v>
      </c>
      <c r="C346" s="43">
        <v>27636</v>
      </c>
      <c r="D346" s="39">
        <v>20727</v>
      </c>
      <c r="E346" s="14">
        <v>0.25</v>
      </c>
    </row>
    <row r="347" spans="1:5" x14ac:dyDescent="0.25">
      <c r="A347" s="44" t="s">
        <v>1182</v>
      </c>
      <c r="B347" s="38" t="s">
        <v>1183</v>
      </c>
      <c r="C347" s="43">
        <v>45467.82</v>
      </c>
      <c r="D347" s="39">
        <v>34100.864999999998</v>
      </c>
      <c r="E347" s="14">
        <v>0.25</v>
      </c>
    </row>
    <row r="348" spans="1:5" x14ac:dyDescent="0.25">
      <c r="A348" s="44" t="s">
        <v>1184</v>
      </c>
      <c r="B348" s="38" t="s">
        <v>1185</v>
      </c>
      <c r="C348" s="43">
        <v>70727.72</v>
      </c>
      <c r="D348" s="39">
        <v>53045.79</v>
      </c>
      <c r="E348" s="14">
        <v>0.25</v>
      </c>
    </row>
    <row r="349" spans="1:5" x14ac:dyDescent="0.25">
      <c r="A349" s="44" t="s">
        <v>1186</v>
      </c>
      <c r="B349" s="38" t="s">
        <v>1187</v>
      </c>
      <c r="C349" s="43">
        <v>48221.82</v>
      </c>
      <c r="D349" s="39">
        <v>36166.364999999998</v>
      </c>
      <c r="E349" s="14">
        <v>0.25</v>
      </c>
    </row>
    <row r="350" spans="1:5" x14ac:dyDescent="0.25">
      <c r="A350" s="44" t="s">
        <v>1188</v>
      </c>
      <c r="B350" s="38" t="s">
        <v>1189</v>
      </c>
      <c r="C350" s="43">
        <v>75011.72</v>
      </c>
      <c r="D350" s="39">
        <v>56258.79</v>
      </c>
      <c r="E350" s="14">
        <v>0.25</v>
      </c>
    </row>
    <row r="351" spans="1:5" x14ac:dyDescent="0.25">
      <c r="A351" s="44" t="s">
        <v>1190</v>
      </c>
      <c r="B351" s="38" t="s">
        <v>1191</v>
      </c>
      <c r="C351" s="43">
        <v>50975.82</v>
      </c>
      <c r="D351" s="39">
        <v>38231.864999999998</v>
      </c>
      <c r="E351" s="14">
        <v>0.25</v>
      </c>
    </row>
    <row r="352" spans="1:5" x14ac:dyDescent="0.25">
      <c r="A352" s="44" t="s">
        <v>1192</v>
      </c>
      <c r="B352" s="38" t="s">
        <v>1193</v>
      </c>
      <c r="C352" s="43">
        <v>79295.72</v>
      </c>
      <c r="D352" s="39">
        <v>59471.79</v>
      </c>
      <c r="E352" s="14">
        <v>0.25</v>
      </c>
    </row>
    <row r="353" spans="1:5" x14ac:dyDescent="0.25">
      <c r="A353" s="44" t="s">
        <v>1194</v>
      </c>
      <c r="B353" s="38" t="s">
        <v>1195</v>
      </c>
      <c r="C353" s="43">
        <v>1115.82</v>
      </c>
      <c r="D353" s="39">
        <v>836.86500000000001</v>
      </c>
      <c r="E353" s="14">
        <v>0.25</v>
      </c>
    </row>
    <row r="354" spans="1:5" x14ac:dyDescent="0.25">
      <c r="A354" s="44" t="s">
        <v>1196</v>
      </c>
      <c r="B354" s="38" t="s">
        <v>1197</v>
      </c>
      <c r="C354" s="43">
        <v>1735.72</v>
      </c>
      <c r="D354" s="39">
        <v>1301.79</v>
      </c>
      <c r="E354" s="14">
        <v>0.25</v>
      </c>
    </row>
    <row r="355" spans="1:5" x14ac:dyDescent="0.25">
      <c r="A355" s="44" t="s">
        <v>1198</v>
      </c>
      <c r="B355" s="38" t="s">
        <v>1199</v>
      </c>
      <c r="C355" s="43">
        <v>1745.82</v>
      </c>
      <c r="D355" s="39">
        <v>1309.365</v>
      </c>
      <c r="E355" s="14">
        <v>0.25</v>
      </c>
    </row>
    <row r="356" spans="1:5" x14ac:dyDescent="0.25">
      <c r="A356" s="44" t="s">
        <v>1200</v>
      </c>
      <c r="B356" s="38" t="s">
        <v>1201</v>
      </c>
      <c r="C356" s="43">
        <v>2715.72</v>
      </c>
      <c r="D356" s="39">
        <v>2036.79</v>
      </c>
      <c r="E356" s="14">
        <v>0.25</v>
      </c>
    </row>
    <row r="357" spans="1:5" x14ac:dyDescent="0.25">
      <c r="A357" s="44" t="s">
        <v>1202</v>
      </c>
      <c r="B357" s="38" t="s">
        <v>1203</v>
      </c>
      <c r="C357" s="43">
        <v>55115.82</v>
      </c>
      <c r="D357" s="39">
        <v>41336.864999999998</v>
      </c>
      <c r="E357" s="14">
        <v>0.25</v>
      </c>
    </row>
    <row r="358" spans="1:5" x14ac:dyDescent="0.25">
      <c r="A358" s="44" t="s">
        <v>1204</v>
      </c>
      <c r="B358" s="38" t="s">
        <v>1205</v>
      </c>
      <c r="C358" s="43">
        <v>85735.72</v>
      </c>
      <c r="D358" s="39">
        <v>64301.79</v>
      </c>
      <c r="E358" s="14">
        <v>0.25</v>
      </c>
    </row>
    <row r="359" spans="1:5" x14ac:dyDescent="0.25">
      <c r="A359" s="44" t="s">
        <v>1206</v>
      </c>
      <c r="B359" s="38" t="s">
        <v>1207</v>
      </c>
      <c r="C359" s="43">
        <v>103337.82</v>
      </c>
      <c r="D359" s="39">
        <v>77503.365000000005</v>
      </c>
      <c r="E359" s="14">
        <v>0.25</v>
      </c>
    </row>
    <row r="360" spans="1:5" x14ac:dyDescent="0.25">
      <c r="A360" s="44" t="s">
        <v>1208</v>
      </c>
      <c r="B360" s="38" t="s">
        <v>1209</v>
      </c>
      <c r="C360" s="43">
        <v>160747.72</v>
      </c>
      <c r="D360" s="39">
        <v>120560.79000000001</v>
      </c>
      <c r="E360" s="14">
        <v>0.25</v>
      </c>
    </row>
    <row r="361" spans="1:5" x14ac:dyDescent="0.25">
      <c r="A361" s="44" t="s">
        <v>1210</v>
      </c>
      <c r="B361" s="38" t="s">
        <v>1211</v>
      </c>
      <c r="C361" s="43">
        <v>130895.82</v>
      </c>
      <c r="D361" s="39">
        <v>98171.865000000005</v>
      </c>
      <c r="E361" s="14">
        <v>0.25</v>
      </c>
    </row>
    <row r="362" spans="1:5" x14ac:dyDescent="0.25">
      <c r="A362" s="44" t="s">
        <v>1212</v>
      </c>
      <c r="B362" s="38" t="s">
        <v>1213</v>
      </c>
      <c r="C362" s="43">
        <v>203615.72</v>
      </c>
      <c r="D362" s="39">
        <v>152711.79</v>
      </c>
      <c r="E362" s="14">
        <v>0.25</v>
      </c>
    </row>
    <row r="363" spans="1:5" x14ac:dyDescent="0.25">
      <c r="A363" s="44" t="s">
        <v>1214</v>
      </c>
      <c r="B363" s="38" t="s">
        <v>1215</v>
      </c>
      <c r="C363" s="43">
        <v>151559.82</v>
      </c>
      <c r="D363" s="39">
        <v>113669.86500000001</v>
      </c>
      <c r="E363" s="14">
        <v>0.25</v>
      </c>
    </row>
    <row r="364" spans="1:5" x14ac:dyDescent="0.25">
      <c r="A364" s="44" t="s">
        <v>1216</v>
      </c>
      <c r="B364" s="38" t="s">
        <v>1217</v>
      </c>
      <c r="C364" s="43">
        <v>235759.72</v>
      </c>
      <c r="D364" s="39">
        <v>176819.79</v>
      </c>
      <c r="E364" s="14">
        <v>0.25</v>
      </c>
    </row>
    <row r="365" spans="1:5" x14ac:dyDescent="0.25">
      <c r="A365" s="44" t="s">
        <v>1218</v>
      </c>
      <c r="B365" s="38" t="s">
        <v>1219</v>
      </c>
      <c r="C365" s="43">
        <v>165347.82</v>
      </c>
      <c r="D365" s="39">
        <v>124010.86500000001</v>
      </c>
      <c r="E365" s="14">
        <v>0.25</v>
      </c>
    </row>
    <row r="366" spans="1:5" x14ac:dyDescent="0.25">
      <c r="A366" s="44" t="s">
        <v>1220</v>
      </c>
      <c r="B366" s="38" t="s">
        <v>1221</v>
      </c>
      <c r="C366" s="43">
        <v>257207.72</v>
      </c>
      <c r="D366" s="39">
        <v>192905.79</v>
      </c>
      <c r="E366" s="14">
        <v>0.25</v>
      </c>
    </row>
    <row r="367" spans="1:5" x14ac:dyDescent="0.25">
      <c r="A367" s="44" t="s">
        <v>1222</v>
      </c>
      <c r="B367" s="38" t="s">
        <v>1223</v>
      </c>
      <c r="C367" s="43">
        <v>720</v>
      </c>
      <c r="D367" s="39">
        <v>540</v>
      </c>
      <c r="E367" s="14">
        <v>0.25</v>
      </c>
    </row>
    <row r="368" spans="1:5" x14ac:dyDescent="0.25">
      <c r="A368" s="44" t="s">
        <v>1224</v>
      </c>
      <c r="B368" s="38" t="s">
        <v>1225</v>
      </c>
      <c r="C368" s="43">
        <v>1120</v>
      </c>
      <c r="D368" s="39">
        <v>840</v>
      </c>
      <c r="E368" s="14">
        <v>0.25</v>
      </c>
    </row>
    <row r="369" spans="1:5" x14ac:dyDescent="0.25">
      <c r="A369" s="44" t="s">
        <v>1226</v>
      </c>
      <c r="B369" s="38" t="s">
        <v>1227</v>
      </c>
      <c r="C369" s="43">
        <v>63</v>
      </c>
      <c r="D369" s="39">
        <v>47.25</v>
      </c>
      <c r="E369" s="14">
        <v>0.25</v>
      </c>
    </row>
    <row r="370" spans="1:5" x14ac:dyDescent="0.25">
      <c r="A370" s="44" t="s">
        <v>1228</v>
      </c>
      <c r="B370" s="38" t="s">
        <v>1229</v>
      </c>
      <c r="C370" s="43">
        <v>98</v>
      </c>
      <c r="D370" s="39">
        <v>73.5</v>
      </c>
      <c r="E370" s="14">
        <v>0.25</v>
      </c>
    </row>
    <row r="371" spans="1:5" x14ac:dyDescent="0.25">
      <c r="A371" s="44" t="s">
        <v>1230</v>
      </c>
      <c r="B371" s="38" t="s">
        <v>1231</v>
      </c>
      <c r="C371" s="43">
        <v>90</v>
      </c>
      <c r="D371" s="39">
        <v>67.5</v>
      </c>
      <c r="E371" s="14">
        <v>0.25</v>
      </c>
    </row>
    <row r="372" spans="1:5" x14ac:dyDescent="0.25">
      <c r="A372" s="44" t="s">
        <v>1232</v>
      </c>
      <c r="B372" s="38" t="s">
        <v>1233</v>
      </c>
      <c r="C372" s="43">
        <v>140</v>
      </c>
      <c r="D372" s="39">
        <v>105</v>
      </c>
      <c r="E372" s="14">
        <v>0.25</v>
      </c>
    </row>
    <row r="373" spans="1:5" x14ac:dyDescent="0.25">
      <c r="A373" s="44" t="s">
        <v>1234</v>
      </c>
      <c r="B373" s="38" t="s">
        <v>1235</v>
      </c>
      <c r="C373" s="43">
        <v>360</v>
      </c>
      <c r="D373" s="39">
        <v>270</v>
      </c>
      <c r="E373" s="14">
        <v>0.25</v>
      </c>
    </row>
    <row r="374" spans="1:5" x14ac:dyDescent="0.25">
      <c r="A374" s="44" t="s">
        <v>1236</v>
      </c>
      <c r="B374" s="38" t="s">
        <v>1237</v>
      </c>
      <c r="C374" s="43">
        <v>560</v>
      </c>
      <c r="D374" s="39">
        <v>420</v>
      </c>
      <c r="E374" s="14">
        <v>0.25</v>
      </c>
    </row>
    <row r="375" spans="1:5" x14ac:dyDescent="0.25">
      <c r="A375" s="44" t="s">
        <v>1238</v>
      </c>
      <c r="B375" s="38" t="s">
        <v>1239</v>
      </c>
      <c r="C375" s="43">
        <v>45000</v>
      </c>
      <c r="D375" s="39">
        <v>33750</v>
      </c>
      <c r="E375" s="14">
        <v>0.25</v>
      </c>
    </row>
    <row r="376" spans="1:5" x14ac:dyDescent="0.25">
      <c r="A376" s="44" t="s">
        <v>1240</v>
      </c>
      <c r="B376" s="38" t="s">
        <v>1241</v>
      </c>
      <c r="C376" s="43">
        <v>70000</v>
      </c>
      <c r="D376" s="39">
        <v>52500</v>
      </c>
      <c r="E376" s="14">
        <v>0.25</v>
      </c>
    </row>
    <row r="377" spans="1:5" x14ac:dyDescent="0.25">
      <c r="A377" s="44" t="s">
        <v>1242</v>
      </c>
      <c r="B377" s="38" t="s">
        <v>1243</v>
      </c>
      <c r="C377" s="43">
        <v>27</v>
      </c>
      <c r="D377" s="39">
        <v>20.25</v>
      </c>
      <c r="E377" s="14">
        <v>0.25</v>
      </c>
    </row>
    <row r="378" spans="1:5" x14ac:dyDescent="0.25">
      <c r="A378" s="44" t="s">
        <v>1244</v>
      </c>
      <c r="B378" s="38" t="s">
        <v>1245</v>
      </c>
      <c r="C378" s="43">
        <v>42</v>
      </c>
      <c r="D378" s="39">
        <v>31.5</v>
      </c>
      <c r="E378" s="14">
        <v>0.25</v>
      </c>
    </row>
    <row r="379" spans="1:5" x14ac:dyDescent="0.25">
      <c r="A379" s="44" t="s">
        <v>1246</v>
      </c>
      <c r="B379" s="38" t="s">
        <v>1247</v>
      </c>
      <c r="C379" s="43">
        <v>25.74</v>
      </c>
      <c r="D379" s="39">
        <v>19.305</v>
      </c>
      <c r="E379" s="14">
        <v>0.25</v>
      </c>
    </row>
    <row r="380" spans="1:5" x14ac:dyDescent="0.25">
      <c r="A380" s="44" t="s">
        <v>1248</v>
      </c>
      <c r="B380" s="38" t="s">
        <v>1249</v>
      </c>
      <c r="C380" s="43">
        <v>40.04</v>
      </c>
      <c r="D380" s="39">
        <v>30.03</v>
      </c>
      <c r="E380" s="14">
        <v>0.25</v>
      </c>
    </row>
    <row r="381" spans="1:5" x14ac:dyDescent="0.25">
      <c r="A381" s="44" t="s">
        <v>1250</v>
      </c>
      <c r="B381" s="38" t="s">
        <v>1251</v>
      </c>
      <c r="C381" s="43">
        <v>24.3</v>
      </c>
      <c r="D381" s="39">
        <v>18.225000000000001</v>
      </c>
      <c r="E381" s="14">
        <v>0.25</v>
      </c>
    </row>
    <row r="382" spans="1:5" x14ac:dyDescent="0.25">
      <c r="A382" s="44" t="s">
        <v>1252</v>
      </c>
      <c r="B382" s="38" t="s">
        <v>1253</v>
      </c>
      <c r="C382" s="43">
        <v>37.799999999999997</v>
      </c>
      <c r="D382" s="39">
        <v>28.349999999999998</v>
      </c>
      <c r="E382" s="14">
        <v>0.25</v>
      </c>
    </row>
    <row r="383" spans="1:5" x14ac:dyDescent="0.25">
      <c r="A383" s="44" t="s">
        <v>1254</v>
      </c>
      <c r="B383" s="38" t="s">
        <v>1255</v>
      </c>
      <c r="C383" s="43">
        <v>23.04</v>
      </c>
      <c r="D383" s="39">
        <v>17.28</v>
      </c>
      <c r="E383" s="14">
        <v>0.24999999999999989</v>
      </c>
    </row>
    <row r="384" spans="1:5" x14ac:dyDescent="0.25">
      <c r="A384" s="44" t="s">
        <v>1256</v>
      </c>
      <c r="B384" s="38" t="s">
        <v>1257</v>
      </c>
      <c r="C384" s="43">
        <v>35.840000000000003</v>
      </c>
      <c r="D384" s="39">
        <v>26.880000000000003</v>
      </c>
      <c r="E384" s="14">
        <v>0.25</v>
      </c>
    </row>
    <row r="385" spans="1:5" x14ac:dyDescent="0.25">
      <c r="A385" s="44" t="s">
        <v>1258</v>
      </c>
      <c r="B385" s="38" t="s">
        <v>1259</v>
      </c>
      <c r="C385" s="43">
        <v>21.6</v>
      </c>
      <c r="D385" s="39">
        <v>16.200000000000003</v>
      </c>
      <c r="E385" s="14">
        <v>0.24999999999999989</v>
      </c>
    </row>
    <row r="386" spans="1:5" x14ac:dyDescent="0.25">
      <c r="A386" s="44" t="s">
        <v>1260</v>
      </c>
      <c r="B386" s="38" t="s">
        <v>1261</v>
      </c>
      <c r="C386" s="43">
        <v>33.6</v>
      </c>
      <c r="D386" s="39">
        <v>25.200000000000003</v>
      </c>
      <c r="E386" s="14">
        <v>0.25</v>
      </c>
    </row>
    <row r="387" spans="1:5" x14ac:dyDescent="0.25">
      <c r="A387" s="44" t="s">
        <v>1262</v>
      </c>
      <c r="B387" s="38" t="s">
        <v>1263</v>
      </c>
      <c r="C387" s="43">
        <v>27</v>
      </c>
      <c r="D387" s="39">
        <v>20.25</v>
      </c>
      <c r="E387" s="14">
        <v>0.25</v>
      </c>
    </row>
    <row r="388" spans="1:5" x14ac:dyDescent="0.25">
      <c r="A388" s="44" t="s">
        <v>1264</v>
      </c>
      <c r="B388" s="38" t="s">
        <v>1265</v>
      </c>
      <c r="C388" s="43">
        <v>42</v>
      </c>
      <c r="D388" s="39">
        <v>31.5</v>
      </c>
      <c r="E388" s="14">
        <v>0.25</v>
      </c>
    </row>
    <row r="389" spans="1:5" x14ac:dyDescent="0.25">
      <c r="A389" s="44" t="s">
        <v>1266</v>
      </c>
      <c r="B389" s="38" t="s">
        <v>1267</v>
      </c>
      <c r="C389" s="43">
        <v>18.899999999999999</v>
      </c>
      <c r="D389" s="39">
        <v>14.174999999999999</v>
      </c>
      <c r="E389" s="14">
        <v>0.25</v>
      </c>
    </row>
    <row r="390" spans="1:5" x14ac:dyDescent="0.25">
      <c r="A390" s="44" t="s">
        <v>1268</v>
      </c>
      <c r="B390" s="38" t="s">
        <v>1269</v>
      </c>
      <c r="C390" s="43">
        <v>29.4</v>
      </c>
      <c r="D390" s="39">
        <v>22.049999999999997</v>
      </c>
      <c r="E390" s="14">
        <v>0.25000000000000011</v>
      </c>
    </row>
    <row r="391" spans="1:5" x14ac:dyDescent="0.25">
      <c r="A391" s="44" t="s">
        <v>1270</v>
      </c>
      <c r="B391" s="38" t="s">
        <v>1271</v>
      </c>
      <c r="C391" s="43">
        <v>6142.5</v>
      </c>
      <c r="D391" s="39">
        <v>4606.875</v>
      </c>
      <c r="E391" s="14">
        <v>0.25</v>
      </c>
    </row>
    <row r="392" spans="1:5" x14ac:dyDescent="0.25">
      <c r="A392" s="44" t="s">
        <v>1272</v>
      </c>
      <c r="B392" s="38" t="s">
        <v>1273</v>
      </c>
      <c r="C392" s="43">
        <v>9555</v>
      </c>
      <c r="D392" s="39">
        <v>7166.25</v>
      </c>
      <c r="E392" s="14">
        <v>0.25</v>
      </c>
    </row>
    <row r="393" spans="1:5" x14ac:dyDescent="0.25">
      <c r="A393" s="44" t="s">
        <v>1274</v>
      </c>
      <c r="B393" s="38" t="s">
        <v>1275</v>
      </c>
      <c r="C393" s="43">
        <v>87.48</v>
      </c>
      <c r="D393" s="39">
        <v>65.61</v>
      </c>
      <c r="E393" s="14">
        <v>0.25</v>
      </c>
    </row>
    <row r="394" spans="1:5" x14ac:dyDescent="0.25">
      <c r="A394" s="44" t="s">
        <v>1276</v>
      </c>
      <c r="B394" s="38" t="s">
        <v>1277</v>
      </c>
      <c r="C394" s="43">
        <v>136.08000000000001</v>
      </c>
      <c r="D394" s="39">
        <v>102.06</v>
      </c>
      <c r="E394" s="14">
        <v>0.25</v>
      </c>
    </row>
    <row r="395" spans="1:5" x14ac:dyDescent="0.25">
      <c r="A395" s="44" t="s">
        <v>1278</v>
      </c>
      <c r="B395" s="38" t="s">
        <v>1279</v>
      </c>
      <c r="C395" s="43">
        <v>129.6</v>
      </c>
      <c r="D395" s="39">
        <v>97.199999999999989</v>
      </c>
      <c r="E395" s="14">
        <v>0.25</v>
      </c>
    </row>
    <row r="396" spans="1:5" x14ac:dyDescent="0.25">
      <c r="A396" s="44" t="s">
        <v>1280</v>
      </c>
      <c r="B396" s="38" t="s">
        <v>1281</v>
      </c>
      <c r="C396" s="43">
        <v>201.6</v>
      </c>
      <c r="D396" s="39">
        <v>151.19999999999999</v>
      </c>
      <c r="E396" s="14">
        <v>0.25</v>
      </c>
    </row>
    <row r="397" spans="1:5" x14ac:dyDescent="0.25">
      <c r="A397" s="44" t="s">
        <v>1282</v>
      </c>
      <c r="B397" s="38" t="s">
        <v>1283</v>
      </c>
      <c r="C397" s="43">
        <v>8100</v>
      </c>
      <c r="D397" s="39">
        <v>6075</v>
      </c>
      <c r="E397" s="14">
        <v>0.25</v>
      </c>
    </row>
    <row r="398" spans="1:5" x14ac:dyDescent="0.25">
      <c r="A398" s="44" t="s">
        <v>1284</v>
      </c>
      <c r="B398" s="38" t="s">
        <v>1285</v>
      </c>
      <c r="C398" s="43">
        <v>12600</v>
      </c>
      <c r="D398" s="39">
        <v>9450</v>
      </c>
      <c r="E398" s="14">
        <v>0.25</v>
      </c>
    </row>
    <row r="399" spans="1:5" x14ac:dyDescent="0.25">
      <c r="A399" s="44" t="s">
        <v>1286</v>
      </c>
      <c r="B399" s="38" t="s">
        <v>1287</v>
      </c>
      <c r="C399" s="43">
        <v>126.72</v>
      </c>
      <c r="D399" s="39">
        <v>95.039999999999992</v>
      </c>
      <c r="E399" s="14">
        <v>0.25000000000000011</v>
      </c>
    </row>
    <row r="400" spans="1:5" x14ac:dyDescent="0.25">
      <c r="A400" s="44" t="s">
        <v>1288</v>
      </c>
      <c r="B400" s="38" t="s">
        <v>1289</v>
      </c>
      <c r="C400" s="43">
        <v>197.12</v>
      </c>
      <c r="D400" s="39">
        <v>147.84</v>
      </c>
      <c r="E400" s="14">
        <v>0.25</v>
      </c>
    </row>
    <row r="401" spans="1:5" x14ac:dyDescent="0.25">
      <c r="A401" s="44" t="s">
        <v>1290</v>
      </c>
      <c r="B401" s="38" t="s">
        <v>1291</v>
      </c>
      <c r="C401" s="43">
        <v>70.2</v>
      </c>
      <c r="D401" s="39">
        <v>52.650000000000006</v>
      </c>
      <c r="E401" s="14">
        <v>0.25</v>
      </c>
    </row>
    <row r="402" spans="1:5" x14ac:dyDescent="0.25">
      <c r="A402" s="44" t="s">
        <v>1292</v>
      </c>
      <c r="B402" s="38" t="s">
        <v>1293</v>
      </c>
      <c r="C402" s="43">
        <v>109.2</v>
      </c>
      <c r="D402" s="39">
        <v>81.900000000000006</v>
      </c>
      <c r="E402" s="14">
        <v>0.25</v>
      </c>
    </row>
    <row r="403" spans="1:5" x14ac:dyDescent="0.25">
      <c r="A403" s="44" t="s">
        <v>1294</v>
      </c>
      <c r="B403" s="38" t="s">
        <v>1295</v>
      </c>
      <c r="C403" s="43">
        <v>61.38</v>
      </c>
      <c r="D403" s="39">
        <v>46.035000000000004</v>
      </c>
      <c r="E403" s="14">
        <v>0.25</v>
      </c>
    </row>
    <row r="404" spans="1:5" x14ac:dyDescent="0.25">
      <c r="A404" s="44" t="s">
        <v>1296</v>
      </c>
      <c r="B404" s="38" t="s">
        <v>1297</v>
      </c>
      <c r="C404" s="43">
        <v>95.48</v>
      </c>
      <c r="D404" s="39">
        <v>71.61</v>
      </c>
      <c r="E404" s="14">
        <v>0.25</v>
      </c>
    </row>
    <row r="405" spans="1:5" x14ac:dyDescent="0.25">
      <c r="A405" s="44" t="s">
        <v>1298</v>
      </c>
      <c r="B405" s="38" t="s">
        <v>1299</v>
      </c>
      <c r="C405" s="43">
        <v>101.34</v>
      </c>
      <c r="D405" s="39">
        <v>76.004999999999995</v>
      </c>
      <c r="E405" s="14">
        <v>0.25000000000000011</v>
      </c>
    </row>
    <row r="406" spans="1:5" x14ac:dyDescent="0.25">
      <c r="A406" s="44" t="s">
        <v>1300</v>
      </c>
      <c r="B406" s="38" t="s">
        <v>1301</v>
      </c>
      <c r="C406" s="43">
        <v>157.63999999999999</v>
      </c>
      <c r="D406" s="39">
        <v>118.22999999999999</v>
      </c>
      <c r="E406" s="14">
        <v>0.25</v>
      </c>
    </row>
    <row r="407" spans="1:5" x14ac:dyDescent="0.25">
      <c r="A407" s="44" t="s">
        <v>1302</v>
      </c>
      <c r="B407" s="38" t="s">
        <v>1303</v>
      </c>
      <c r="C407" s="43">
        <v>49.14</v>
      </c>
      <c r="D407" s="39">
        <v>36.855000000000004</v>
      </c>
      <c r="E407" s="14">
        <v>0.24999999999999989</v>
      </c>
    </row>
    <row r="408" spans="1:5" x14ac:dyDescent="0.25">
      <c r="A408" s="44" t="s">
        <v>1304</v>
      </c>
      <c r="B408" s="38" t="s">
        <v>1305</v>
      </c>
      <c r="C408" s="43">
        <v>76.44</v>
      </c>
      <c r="D408" s="39">
        <v>57.33</v>
      </c>
      <c r="E408" s="14">
        <v>0.25</v>
      </c>
    </row>
    <row r="409" spans="1:5" x14ac:dyDescent="0.25">
      <c r="A409" s="44" t="s">
        <v>1306</v>
      </c>
      <c r="B409" s="38" t="s">
        <v>1307</v>
      </c>
      <c r="C409" s="43">
        <v>28.62</v>
      </c>
      <c r="D409" s="39">
        <v>21.465</v>
      </c>
      <c r="E409" s="14">
        <v>0.25</v>
      </c>
    </row>
    <row r="410" spans="1:5" x14ac:dyDescent="0.25">
      <c r="A410" s="44" t="s">
        <v>1308</v>
      </c>
      <c r="B410" s="38" t="s">
        <v>1309</v>
      </c>
      <c r="C410" s="43">
        <v>44.52</v>
      </c>
      <c r="D410" s="39">
        <v>33.39</v>
      </c>
      <c r="E410" s="14">
        <v>0.25</v>
      </c>
    </row>
    <row r="411" spans="1:5" x14ac:dyDescent="0.25">
      <c r="A411" s="44" t="s">
        <v>1310</v>
      </c>
      <c r="B411" s="38" t="s">
        <v>1311</v>
      </c>
      <c r="C411" s="43">
        <v>46.26</v>
      </c>
      <c r="D411" s="39">
        <v>34.695</v>
      </c>
      <c r="E411" s="14">
        <v>0.25</v>
      </c>
    </row>
    <row r="412" spans="1:5" x14ac:dyDescent="0.25">
      <c r="A412" s="44" t="s">
        <v>1312</v>
      </c>
      <c r="B412" s="38" t="s">
        <v>1313</v>
      </c>
      <c r="C412" s="43">
        <v>71.959999999999994</v>
      </c>
      <c r="D412" s="39">
        <v>53.97</v>
      </c>
      <c r="E412" s="14">
        <v>0.25</v>
      </c>
    </row>
    <row r="413" spans="1:5" x14ac:dyDescent="0.25">
      <c r="A413" s="44" t="s">
        <v>1314</v>
      </c>
      <c r="B413" s="38" t="s">
        <v>1315</v>
      </c>
      <c r="C413" s="43">
        <v>25.56</v>
      </c>
      <c r="D413" s="39">
        <v>19.169999999999998</v>
      </c>
      <c r="E413" s="14">
        <v>0.25</v>
      </c>
    </row>
    <row r="414" spans="1:5" x14ac:dyDescent="0.25">
      <c r="A414" s="44" t="s">
        <v>1316</v>
      </c>
      <c r="B414" s="38" t="s">
        <v>1317</v>
      </c>
      <c r="C414" s="43">
        <v>39.76</v>
      </c>
      <c r="D414" s="39">
        <v>29.82</v>
      </c>
      <c r="E414" s="14">
        <v>0.25</v>
      </c>
    </row>
    <row r="415" spans="1:5" x14ac:dyDescent="0.25">
      <c r="A415" s="44" t="s">
        <v>1318</v>
      </c>
      <c r="B415" s="38" t="s">
        <v>1319</v>
      </c>
      <c r="C415" s="43">
        <v>30.96</v>
      </c>
      <c r="D415" s="39">
        <v>23.22</v>
      </c>
      <c r="E415" s="14">
        <v>0.25000000000000011</v>
      </c>
    </row>
    <row r="416" spans="1:5" x14ac:dyDescent="0.25">
      <c r="A416" s="44" t="s">
        <v>1320</v>
      </c>
      <c r="B416" s="38" t="s">
        <v>1321</v>
      </c>
      <c r="C416" s="43">
        <v>48.16</v>
      </c>
      <c r="D416" s="39">
        <v>36.119999999999997</v>
      </c>
      <c r="E416" s="14">
        <v>0.25</v>
      </c>
    </row>
    <row r="417" spans="1:5" x14ac:dyDescent="0.25">
      <c r="A417" s="44" t="s">
        <v>1322</v>
      </c>
      <c r="B417" s="38" t="s">
        <v>1323</v>
      </c>
      <c r="C417" s="43">
        <v>94.5</v>
      </c>
      <c r="D417" s="39">
        <v>70.875</v>
      </c>
      <c r="E417" s="14">
        <v>0.25</v>
      </c>
    </row>
    <row r="418" spans="1:5" x14ac:dyDescent="0.25">
      <c r="A418" s="44" t="s">
        <v>1324</v>
      </c>
      <c r="B418" s="38" t="s">
        <v>1325</v>
      </c>
      <c r="C418" s="43">
        <v>147</v>
      </c>
      <c r="D418" s="39">
        <v>110.25</v>
      </c>
      <c r="E418" s="14">
        <v>0.25</v>
      </c>
    </row>
    <row r="419" spans="1:5" x14ac:dyDescent="0.25">
      <c r="A419" s="44" t="s">
        <v>1326</v>
      </c>
      <c r="B419" s="38" t="s">
        <v>1327</v>
      </c>
      <c r="C419" s="43">
        <v>189</v>
      </c>
      <c r="D419" s="39">
        <v>141.75</v>
      </c>
      <c r="E419" s="14">
        <v>0.25</v>
      </c>
    </row>
    <row r="420" spans="1:5" x14ac:dyDescent="0.25">
      <c r="A420" s="44" t="s">
        <v>1328</v>
      </c>
      <c r="B420" s="38" t="s">
        <v>1329</v>
      </c>
      <c r="C420" s="43">
        <v>294</v>
      </c>
      <c r="D420" s="39">
        <v>220.5</v>
      </c>
      <c r="E420" s="14">
        <v>0.25</v>
      </c>
    </row>
    <row r="421" spans="1:5" x14ac:dyDescent="0.25">
      <c r="A421" s="44" t="s">
        <v>1330</v>
      </c>
      <c r="B421" s="38" t="s">
        <v>1331</v>
      </c>
      <c r="C421" s="43">
        <v>118.98</v>
      </c>
      <c r="D421" s="39">
        <v>89.234999999999999</v>
      </c>
      <c r="E421" s="14">
        <v>0.25</v>
      </c>
    </row>
    <row r="422" spans="1:5" x14ac:dyDescent="0.25">
      <c r="A422" s="44" t="s">
        <v>1332</v>
      </c>
      <c r="B422" s="38" t="s">
        <v>1333</v>
      </c>
      <c r="C422" s="43">
        <v>185.08</v>
      </c>
      <c r="D422" s="39">
        <v>138.81</v>
      </c>
      <c r="E422" s="14">
        <v>0.25</v>
      </c>
    </row>
    <row r="423" spans="1:5" x14ac:dyDescent="0.25">
      <c r="A423" s="44" t="s">
        <v>1334</v>
      </c>
      <c r="B423" s="38" t="s">
        <v>1335</v>
      </c>
      <c r="C423" s="43">
        <v>70.02</v>
      </c>
      <c r="D423" s="39">
        <v>52.515000000000001</v>
      </c>
      <c r="E423" s="14">
        <v>0.25</v>
      </c>
    </row>
    <row r="424" spans="1:5" x14ac:dyDescent="0.25">
      <c r="A424" s="44" t="s">
        <v>1336</v>
      </c>
      <c r="B424" s="38" t="s">
        <v>1337</v>
      </c>
      <c r="C424" s="43">
        <v>108.92</v>
      </c>
      <c r="D424" s="39">
        <v>81.69</v>
      </c>
      <c r="E424" s="14">
        <v>0.25</v>
      </c>
    </row>
    <row r="425" spans="1:5" x14ac:dyDescent="0.25">
      <c r="A425" s="44" t="s">
        <v>1338</v>
      </c>
      <c r="B425" s="38" t="s">
        <v>1339</v>
      </c>
      <c r="C425" s="43">
        <v>88.92</v>
      </c>
      <c r="D425" s="39">
        <v>66.69</v>
      </c>
      <c r="E425" s="14">
        <v>0.25</v>
      </c>
    </row>
    <row r="426" spans="1:5" x14ac:dyDescent="0.25">
      <c r="A426" s="44" t="s">
        <v>1340</v>
      </c>
      <c r="B426" s="38" t="s">
        <v>1341</v>
      </c>
      <c r="C426" s="43">
        <v>138.32</v>
      </c>
      <c r="D426" s="39">
        <v>103.74</v>
      </c>
      <c r="E426" s="14">
        <v>0.25</v>
      </c>
    </row>
    <row r="427" spans="1:5" x14ac:dyDescent="0.25">
      <c r="A427" s="44" t="s">
        <v>1342</v>
      </c>
      <c r="B427" s="38" t="s">
        <v>1343</v>
      </c>
      <c r="C427" s="43">
        <v>62.46</v>
      </c>
      <c r="D427" s="39">
        <v>46.844999999999999</v>
      </c>
      <c r="E427" s="14">
        <v>0.25</v>
      </c>
    </row>
    <row r="428" spans="1:5" x14ac:dyDescent="0.25">
      <c r="A428" s="44" t="s">
        <v>1344</v>
      </c>
      <c r="B428" s="38" t="s">
        <v>1345</v>
      </c>
      <c r="C428" s="43">
        <v>97.16</v>
      </c>
      <c r="D428" s="39">
        <v>72.87</v>
      </c>
      <c r="E428" s="14">
        <v>0.24999999999999989</v>
      </c>
    </row>
    <row r="429" spans="1:5" x14ac:dyDescent="0.25">
      <c r="A429" s="44" t="s">
        <v>1346</v>
      </c>
      <c r="B429" s="38" t="s">
        <v>1347</v>
      </c>
      <c r="C429" s="43">
        <v>104.04</v>
      </c>
      <c r="D429" s="39">
        <v>78.03</v>
      </c>
      <c r="E429" s="14">
        <v>0.25</v>
      </c>
    </row>
    <row r="430" spans="1:5" x14ac:dyDescent="0.25">
      <c r="A430" s="44" t="s">
        <v>1348</v>
      </c>
      <c r="B430" s="38" t="s">
        <v>1349</v>
      </c>
      <c r="C430" s="43">
        <v>161.84</v>
      </c>
      <c r="D430" s="39">
        <v>121.38</v>
      </c>
      <c r="E430" s="14">
        <v>0.25</v>
      </c>
    </row>
    <row r="431" spans="1:5" x14ac:dyDescent="0.25">
      <c r="A431" s="44" t="s">
        <v>1350</v>
      </c>
      <c r="B431" s="38" t="s">
        <v>1351</v>
      </c>
      <c r="C431" s="43">
        <v>151.19999999999999</v>
      </c>
      <c r="D431" s="39">
        <v>113.39999999999999</v>
      </c>
      <c r="E431" s="14">
        <v>0.25</v>
      </c>
    </row>
    <row r="432" spans="1:5" x14ac:dyDescent="0.25">
      <c r="A432" s="44" t="s">
        <v>1352</v>
      </c>
      <c r="B432" s="38" t="s">
        <v>1353</v>
      </c>
      <c r="C432" s="43">
        <v>235.2</v>
      </c>
      <c r="D432" s="39">
        <v>176.39999999999998</v>
      </c>
      <c r="E432" s="14">
        <v>0.25000000000000011</v>
      </c>
    </row>
    <row r="433" spans="1:5" x14ac:dyDescent="0.25">
      <c r="A433" s="44" t="s">
        <v>1354</v>
      </c>
      <c r="B433" s="38" t="s">
        <v>1355</v>
      </c>
      <c r="C433" s="43">
        <v>75.599999999999994</v>
      </c>
      <c r="D433" s="39">
        <v>56.699999999999996</v>
      </c>
      <c r="E433" s="14">
        <v>0.25</v>
      </c>
    </row>
    <row r="434" spans="1:5" x14ac:dyDescent="0.25">
      <c r="A434" s="44" t="s">
        <v>1356</v>
      </c>
      <c r="B434" s="38" t="s">
        <v>1357</v>
      </c>
      <c r="C434" s="43">
        <v>117.6</v>
      </c>
      <c r="D434" s="39">
        <v>88.199999999999989</v>
      </c>
      <c r="E434" s="14">
        <v>0.25000000000000011</v>
      </c>
    </row>
    <row r="435" spans="1:5" x14ac:dyDescent="0.25">
      <c r="A435" s="44" t="s">
        <v>1358</v>
      </c>
      <c r="B435" s="38" t="s">
        <v>1359</v>
      </c>
      <c r="C435" s="43">
        <v>42.66</v>
      </c>
      <c r="D435" s="39">
        <v>31.994999999999997</v>
      </c>
      <c r="E435" s="14">
        <v>0.25</v>
      </c>
    </row>
    <row r="436" spans="1:5" x14ac:dyDescent="0.25">
      <c r="A436" s="44" t="s">
        <v>1360</v>
      </c>
      <c r="B436" s="38" t="s">
        <v>1361</v>
      </c>
      <c r="C436" s="43">
        <v>66.36</v>
      </c>
      <c r="D436" s="39">
        <v>49.769999999999996</v>
      </c>
      <c r="E436" s="14">
        <v>0.25</v>
      </c>
    </row>
    <row r="437" spans="1:5" x14ac:dyDescent="0.25">
      <c r="A437" s="44" t="s">
        <v>1362</v>
      </c>
      <c r="B437" s="38" t="s">
        <v>1363</v>
      </c>
      <c r="C437" s="43">
        <v>49.86</v>
      </c>
      <c r="D437" s="39">
        <v>37.394999999999996</v>
      </c>
      <c r="E437" s="14">
        <v>0.25000000000000011</v>
      </c>
    </row>
    <row r="438" spans="1:5" x14ac:dyDescent="0.25">
      <c r="A438" s="44" t="s">
        <v>1364</v>
      </c>
      <c r="B438" s="38" t="s">
        <v>1365</v>
      </c>
      <c r="C438" s="43">
        <v>77.56</v>
      </c>
      <c r="D438" s="39">
        <v>58.17</v>
      </c>
      <c r="E438" s="14">
        <v>0.25</v>
      </c>
    </row>
    <row r="439" spans="1:5" x14ac:dyDescent="0.25">
      <c r="A439" s="44" t="s">
        <v>1366</v>
      </c>
      <c r="B439" s="38" t="s">
        <v>1367</v>
      </c>
      <c r="C439" s="43">
        <v>62.46</v>
      </c>
      <c r="D439" s="39">
        <v>46.844999999999999</v>
      </c>
      <c r="E439" s="14">
        <v>0.25</v>
      </c>
    </row>
    <row r="440" spans="1:5" x14ac:dyDescent="0.25">
      <c r="A440" s="44" t="s">
        <v>1368</v>
      </c>
      <c r="B440" s="38" t="s">
        <v>1369</v>
      </c>
      <c r="C440" s="43">
        <v>97.16</v>
      </c>
      <c r="D440" s="39">
        <v>72.87</v>
      </c>
      <c r="E440" s="14">
        <v>0.24999999999999989</v>
      </c>
    </row>
    <row r="441" spans="1:5" x14ac:dyDescent="0.25">
      <c r="A441" s="44" t="s">
        <v>1370</v>
      </c>
      <c r="B441" s="38" t="s">
        <v>1371</v>
      </c>
      <c r="C441" s="43">
        <v>48.78</v>
      </c>
      <c r="D441" s="39">
        <v>36.585000000000001</v>
      </c>
      <c r="E441" s="14">
        <v>0.25</v>
      </c>
    </row>
    <row r="442" spans="1:5" x14ac:dyDescent="0.25">
      <c r="A442" s="44" t="s">
        <v>1372</v>
      </c>
      <c r="B442" s="38" t="s">
        <v>1373</v>
      </c>
      <c r="C442" s="43">
        <v>75.88</v>
      </c>
      <c r="D442" s="39">
        <v>56.91</v>
      </c>
      <c r="E442" s="14">
        <v>0.25</v>
      </c>
    </row>
    <row r="443" spans="1:5" x14ac:dyDescent="0.25">
      <c r="A443" s="44" t="s">
        <v>1374</v>
      </c>
      <c r="B443" s="38" t="s">
        <v>1375</v>
      </c>
      <c r="C443" s="43">
        <v>36.9</v>
      </c>
      <c r="D443" s="39">
        <v>27.674999999999997</v>
      </c>
      <c r="E443" s="14">
        <v>0.25</v>
      </c>
    </row>
    <row r="444" spans="1:5" x14ac:dyDescent="0.25">
      <c r="A444" s="44" t="s">
        <v>1376</v>
      </c>
      <c r="B444" s="38" t="s">
        <v>1377</v>
      </c>
      <c r="C444" s="43">
        <v>57.4</v>
      </c>
      <c r="D444" s="39">
        <v>43.05</v>
      </c>
      <c r="E444" s="14">
        <v>0.25</v>
      </c>
    </row>
    <row r="445" spans="1:5" x14ac:dyDescent="0.25">
      <c r="A445" s="44" t="s">
        <v>1378</v>
      </c>
      <c r="B445" s="38" t="s">
        <v>1379</v>
      </c>
      <c r="C445" s="43">
        <v>45.36</v>
      </c>
      <c r="D445" s="39">
        <v>34.019999999999996</v>
      </c>
      <c r="E445" s="14">
        <v>0.25000000000000011</v>
      </c>
    </row>
    <row r="446" spans="1:5" x14ac:dyDescent="0.25">
      <c r="A446" s="44" t="s">
        <v>1380</v>
      </c>
      <c r="B446" s="38" t="s">
        <v>1381</v>
      </c>
      <c r="C446" s="43">
        <v>70.56</v>
      </c>
      <c r="D446" s="39">
        <v>52.92</v>
      </c>
      <c r="E446" s="14">
        <v>0.25</v>
      </c>
    </row>
    <row r="447" spans="1:5" x14ac:dyDescent="0.25">
      <c r="A447" s="44" t="s">
        <v>1382</v>
      </c>
      <c r="B447" s="38" t="s">
        <v>1383</v>
      </c>
      <c r="C447" s="43">
        <v>41.4</v>
      </c>
      <c r="D447" s="39">
        <v>31.049999999999997</v>
      </c>
      <c r="E447" s="14">
        <v>0.25</v>
      </c>
    </row>
    <row r="448" spans="1:5" x14ac:dyDescent="0.25">
      <c r="A448" s="44" t="s">
        <v>1384</v>
      </c>
      <c r="B448" s="38" t="s">
        <v>1385</v>
      </c>
      <c r="C448" s="43">
        <v>64.400000000000006</v>
      </c>
      <c r="D448" s="39">
        <v>48.300000000000004</v>
      </c>
      <c r="E448" s="14">
        <v>0.25</v>
      </c>
    </row>
    <row r="449" spans="1:5" x14ac:dyDescent="0.25">
      <c r="A449" s="44" t="s">
        <v>1386</v>
      </c>
      <c r="B449" s="38" t="s">
        <v>1387</v>
      </c>
      <c r="C449" s="43">
        <v>42.66</v>
      </c>
      <c r="D449" s="39">
        <v>31.994999999999997</v>
      </c>
      <c r="E449" s="14">
        <v>0.25</v>
      </c>
    </row>
    <row r="450" spans="1:5" x14ac:dyDescent="0.25">
      <c r="A450" s="44" t="s">
        <v>1388</v>
      </c>
      <c r="B450" s="38" t="s">
        <v>1389</v>
      </c>
      <c r="C450" s="43">
        <v>66.36</v>
      </c>
      <c r="D450" s="39">
        <v>49.769999999999996</v>
      </c>
      <c r="E450" s="14">
        <v>0.25</v>
      </c>
    </row>
    <row r="451" spans="1:5" x14ac:dyDescent="0.25">
      <c r="A451" s="44" t="s">
        <v>1390</v>
      </c>
      <c r="B451" s="38" t="s">
        <v>1391</v>
      </c>
      <c r="C451" s="43">
        <v>44.64</v>
      </c>
      <c r="D451" s="39">
        <v>33.480000000000004</v>
      </c>
      <c r="E451" s="14">
        <v>0.24999999999999989</v>
      </c>
    </row>
    <row r="452" spans="1:5" x14ac:dyDescent="0.25">
      <c r="A452" s="44" t="s">
        <v>1392</v>
      </c>
      <c r="B452" s="38" t="s">
        <v>1393</v>
      </c>
      <c r="C452" s="43">
        <v>69.44</v>
      </c>
      <c r="D452" s="39">
        <v>52.08</v>
      </c>
      <c r="E452" s="14">
        <v>0.25</v>
      </c>
    </row>
    <row r="453" spans="1:5" x14ac:dyDescent="0.25">
      <c r="A453" s="44" t="s">
        <v>1394</v>
      </c>
      <c r="B453" s="38" t="s">
        <v>1395</v>
      </c>
      <c r="C453" s="43">
        <v>123.3</v>
      </c>
      <c r="D453" s="39">
        <v>92.474999999999994</v>
      </c>
      <c r="E453" s="14">
        <v>0.25</v>
      </c>
    </row>
    <row r="454" spans="1:5" x14ac:dyDescent="0.25">
      <c r="A454" s="44" t="s">
        <v>1396</v>
      </c>
      <c r="B454" s="38" t="s">
        <v>1397</v>
      </c>
      <c r="C454" s="43">
        <v>191.8</v>
      </c>
      <c r="D454" s="39">
        <v>143.85000000000002</v>
      </c>
      <c r="E454" s="14">
        <v>0.24999999999999989</v>
      </c>
    </row>
    <row r="455" spans="1:5" x14ac:dyDescent="0.25">
      <c r="A455" s="44" t="s">
        <v>1398</v>
      </c>
      <c r="B455" s="38" t="s">
        <v>1399</v>
      </c>
      <c r="C455" s="43">
        <v>9000</v>
      </c>
      <c r="D455" s="39">
        <v>6750</v>
      </c>
      <c r="E455" s="14">
        <v>0.25</v>
      </c>
    </row>
    <row r="456" spans="1:5" x14ac:dyDescent="0.25">
      <c r="A456" s="44" t="s">
        <v>1400</v>
      </c>
      <c r="B456" s="38" t="s">
        <v>1401</v>
      </c>
      <c r="C456" s="43">
        <v>14000</v>
      </c>
      <c r="D456" s="39">
        <v>10500</v>
      </c>
      <c r="E456" s="14">
        <v>0.25</v>
      </c>
    </row>
    <row r="457" spans="1:5" x14ac:dyDescent="0.25">
      <c r="A457" s="44" t="s">
        <v>1402</v>
      </c>
      <c r="B457" s="38" t="s">
        <v>1403</v>
      </c>
      <c r="C457" s="43">
        <v>4.8600000000000003</v>
      </c>
      <c r="D457" s="39">
        <v>3.6450000000000005</v>
      </c>
      <c r="E457" s="14">
        <v>0.25</v>
      </c>
    </row>
    <row r="458" spans="1:5" x14ac:dyDescent="0.25">
      <c r="A458" s="44" t="s">
        <v>1404</v>
      </c>
      <c r="B458" s="38" t="s">
        <v>1405</v>
      </c>
      <c r="C458" s="43">
        <v>7.56</v>
      </c>
      <c r="D458" s="39">
        <v>5.67</v>
      </c>
      <c r="E458" s="14">
        <v>0.25</v>
      </c>
    </row>
    <row r="459" spans="1:5" x14ac:dyDescent="0.25">
      <c r="A459" s="44" t="s">
        <v>1406</v>
      </c>
      <c r="B459" s="38" t="s">
        <v>1407</v>
      </c>
      <c r="C459" s="43">
        <v>4.5</v>
      </c>
      <c r="D459" s="39">
        <v>3.375</v>
      </c>
      <c r="E459" s="14">
        <v>0.25</v>
      </c>
    </row>
    <row r="460" spans="1:5" x14ac:dyDescent="0.25">
      <c r="A460" s="44" t="s">
        <v>1408</v>
      </c>
      <c r="B460" s="38" t="s">
        <v>1409</v>
      </c>
      <c r="C460" s="43">
        <v>7</v>
      </c>
      <c r="D460" s="39">
        <v>5.25</v>
      </c>
      <c r="E460" s="14">
        <v>0.25</v>
      </c>
    </row>
    <row r="461" spans="1:5" x14ac:dyDescent="0.25">
      <c r="A461" s="44" t="s">
        <v>1410</v>
      </c>
      <c r="B461" s="38" t="s">
        <v>1411</v>
      </c>
      <c r="C461" s="43">
        <v>4.32</v>
      </c>
      <c r="D461" s="39">
        <v>3.24</v>
      </c>
      <c r="E461" s="14">
        <v>0.25</v>
      </c>
    </row>
    <row r="462" spans="1:5" x14ac:dyDescent="0.25">
      <c r="A462" s="44" t="s">
        <v>1412</v>
      </c>
      <c r="B462" s="38" t="s">
        <v>1413</v>
      </c>
      <c r="C462" s="43">
        <v>6.72</v>
      </c>
      <c r="D462" s="39">
        <v>5.04</v>
      </c>
      <c r="E462" s="14">
        <v>0.25</v>
      </c>
    </row>
    <row r="463" spans="1:5" x14ac:dyDescent="0.25">
      <c r="A463" s="44" t="s">
        <v>1414</v>
      </c>
      <c r="B463" s="38" t="s">
        <v>1415</v>
      </c>
      <c r="C463" s="43">
        <v>4.1399999999999997</v>
      </c>
      <c r="D463" s="39">
        <v>3.1049999999999995</v>
      </c>
      <c r="E463" s="14">
        <v>0.25</v>
      </c>
    </row>
    <row r="464" spans="1:5" x14ac:dyDescent="0.25">
      <c r="A464" s="44" t="s">
        <v>1416</v>
      </c>
      <c r="B464" s="38" t="s">
        <v>1417</v>
      </c>
      <c r="C464" s="43">
        <v>6.44</v>
      </c>
      <c r="D464" s="39">
        <v>4.83</v>
      </c>
      <c r="E464" s="14">
        <v>0.25</v>
      </c>
    </row>
    <row r="465" spans="1:5" x14ac:dyDescent="0.25">
      <c r="A465" s="44" t="s">
        <v>1418</v>
      </c>
      <c r="B465" s="38" t="s">
        <v>1419</v>
      </c>
      <c r="C465" s="43">
        <v>3.78</v>
      </c>
      <c r="D465" s="39">
        <v>2.835</v>
      </c>
      <c r="E465" s="14">
        <v>0.25</v>
      </c>
    </row>
    <row r="466" spans="1:5" x14ac:dyDescent="0.25">
      <c r="A466" s="44" t="s">
        <v>1420</v>
      </c>
      <c r="B466" s="38" t="s">
        <v>1421</v>
      </c>
      <c r="C466" s="43">
        <v>5.88</v>
      </c>
      <c r="D466" s="39">
        <v>4.41</v>
      </c>
      <c r="E466" s="14">
        <v>0.25</v>
      </c>
    </row>
    <row r="467" spans="1:5" x14ac:dyDescent="0.25">
      <c r="A467" s="44" t="s">
        <v>1422</v>
      </c>
      <c r="B467" s="38" t="s">
        <v>1423</v>
      </c>
      <c r="C467" s="43">
        <v>4.32</v>
      </c>
      <c r="D467" s="39">
        <v>3.24</v>
      </c>
      <c r="E467" s="14">
        <v>0.25</v>
      </c>
    </row>
    <row r="468" spans="1:5" x14ac:dyDescent="0.25">
      <c r="A468" s="44" t="s">
        <v>1424</v>
      </c>
      <c r="B468" s="38" t="s">
        <v>1425</v>
      </c>
      <c r="C468" s="43">
        <v>6.72</v>
      </c>
      <c r="D468" s="39">
        <v>5.04</v>
      </c>
      <c r="E468" s="14">
        <v>0.25</v>
      </c>
    </row>
    <row r="469" spans="1:5" x14ac:dyDescent="0.25">
      <c r="A469" s="44" t="s">
        <v>1426</v>
      </c>
      <c r="B469" s="38" t="s">
        <v>1427</v>
      </c>
      <c r="C469" s="43">
        <v>4.1399999999999997</v>
      </c>
      <c r="D469" s="39">
        <v>3.1049999999999995</v>
      </c>
      <c r="E469" s="14">
        <v>0.25</v>
      </c>
    </row>
    <row r="470" spans="1:5" x14ac:dyDescent="0.25">
      <c r="A470" s="44" t="s">
        <v>1428</v>
      </c>
      <c r="B470" s="38" t="s">
        <v>1429</v>
      </c>
      <c r="C470" s="43">
        <v>6.44</v>
      </c>
      <c r="D470" s="39">
        <v>4.83</v>
      </c>
      <c r="E470" s="14">
        <v>0.25</v>
      </c>
    </row>
    <row r="471" spans="1:5" x14ac:dyDescent="0.25">
      <c r="A471" s="44" t="s">
        <v>1430</v>
      </c>
      <c r="B471" s="38" t="s">
        <v>1431</v>
      </c>
      <c r="C471" s="43">
        <v>3.78</v>
      </c>
      <c r="D471" s="39">
        <v>2.835</v>
      </c>
      <c r="E471" s="14">
        <v>0.25</v>
      </c>
    </row>
    <row r="472" spans="1:5" x14ac:dyDescent="0.25">
      <c r="A472" s="44" t="s">
        <v>1432</v>
      </c>
      <c r="B472" s="38" t="s">
        <v>1433</v>
      </c>
      <c r="C472" s="43">
        <v>5.88</v>
      </c>
      <c r="D472" s="39">
        <v>4.41</v>
      </c>
      <c r="E472" s="14">
        <v>0.25</v>
      </c>
    </row>
    <row r="473" spans="1:5" x14ac:dyDescent="0.25">
      <c r="A473" s="44" t="s">
        <v>1434</v>
      </c>
      <c r="B473" s="38" t="s">
        <v>1435</v>
      </c>
      <c r="C473" s="43">
        <v>2.16</v>
      </c>
      <c r="D473" s="39">
        <v>1.62</v>
      </c>
      <c r="E473" s="14">
        <v>0.25</v>
      </c>
    </row>
    <row r="474" spans="1:5" x14ac:dyDescent="0.25">
      <c r="A474" s="44" t="s">
        <v>1436</v>
      </c>
      <c r="B474" s="38" t="s">
        <v>1437</v>
      </c>
      <c r="C474" s="43">
        <v>3.36</v>
      </c>
      <c r="D474" s="39">
        <v>2.52</v>
      </c>
      <c r="E474" s="14">
        <v>0.25</v>
      </c>
    </row>
    <row r="475" spans="1:5" x14ac:dyDescent="0.25">
      <c r="A475" s="44" t="s">
        <v>1438</v>
      </c>
      <c r="B475" s="38" t="s">
        <v>1439</v>
      </c>
      <c r="C475" s="43">
        <v>1.98</v>
      </c>
      <c r="D475" s="39">
        <v>1.4849999999999999</v>
      </c>
      <c r="E475" s="14">
        <v>0.25000000000000011</v>
      </c>
    </row>
    <row r="476" spans="1:5" x14ac:dyDescent="0.25">
      <c r="A476" s="44" t="s">
        <v>1440</v>
      </c>
      <c r="B476" s="38" t="s">
        <v>1441</v>
      </c>
      <c r="C476" s="43">
        <v>3.08</v>
      </c>
      <c r="D476" s="39">
        <v>2.31</v>
      </c>
      <c r="E476" s="14">
        <v>0.25</v>
      </c>
    </row>
    <row r="477" spans="1:5" x14ac:dyDescent="0.25">
      <c r="A477" s="44" t="s">
        <v>1442</v>
      </c>
      <c r="B477" s="38" t="s">
        <v>1443</v>
      </c>
      <c r="C477" s="43">
        <v>1.98</v>
      </c>
      <c r="D477" s="39">
        <v>1.4849999999999999</v>
      </c>
      <c r="E477" s="14">
        <v>0.25000000000000011</v>
      </c>
    </row>
    <row r="478" spans="1:5" x14ac:dyDescent="0.25">
      <c r="A478" s="44" t="s">
        <v>1444</v>
      </c>
      <c r="B478" s="38" t="s">
        <v>1445</v>
      </c>
      <c r="C478" s="43">
        <v>3.08</v>
      </c>
      <c r="D478" s="39">
        <v>2.31</v>
      </c>
      <c r="E478" s="14">
        <v>0.25</v>
      </c>
    </row>
    <row r="479" spans="1:5" x14ac:dyDescent="0.25">
      <c r="A479" s="44" t="s">
        <v>1446</v>
      </c>
      <c r="B479" s="38" t="s">
        <v>1447</v>
      </c>
      <c r="C479" s="43">
        <v>2.34</v>
      </c>
      <c r="D479" s="39">
        <v>1.7549999999999999</v>
      </c>
      <c r="E479" s="14">
        <v>0.25</v>
      </c>
    </row>
    <row r="480" spans="1:5" x14ac:dyDescent="0.25">
      <c r="A480" s="44" t="s">
        <v>1448</v>
      </c>
      <c r="B480" s="38" t="s">
        <v>1449</v>
      </c>
      <c r="C480" s="43">
        <v>3.64</v>
      </c>
      <c r="D480" s="39">
        <v>2.73</v>
      </c>
      <c r="E480" s="14">
        <v>0.25</v>
      </c>
    </row>
    <row r="481" spans="1:5" x14ac:dyDescent="0.25">
      <c r="A481" s="44" t="s">
        <v>1450</v>
      </c>
      <c r="B481" s="38" t="s">
        <v>1451</v>
      </c>
      <c r="C481" s="43">
        <v>1.62</v>
      </c>
      <c r="D481" s="39">
        <v>1.2150000000000001</v>
      </c>
      <c r="E481" s="14">
        <v>0.25</v>
      </c>
    </row>
    <row r="482" spans="1:5" x14ac:dyDescent="0.25">
      <c r="A482" s="44" t="s">
        <v>1452</v>
      </c>
      <c r="B482" s="38" t="s">
        <v>1453</v>
      </c>
      <c r="C482" s="43">
        <v>2.52</v>
      </c>
      <c r="D482" s="39">
        <v>1.8900000000000001</v>
      </c>
      <c r="E482" s="14">
        <v>0.25</v>
      </c>
    </row>
    <row r="483" spans="1:5" x14ac:dyDescent="0.25">
      <c r="A483" s="44" t="s">
        <v>1454</v>
      </c>
      <c r="B483" s="38" t="s">
        <v>1455</v>
      </c>
      <c r="C483" s="43">
        <v>2.34</v>
      </c>
      <c r="D483" s="39">
        <v>1.7549999999999999</v>
      </c>
      <c r="E483" s="14">
        <v>0.25</v>
      </c>
    </row>
    <row r="484" spans="1:5" x14ac:dyDescent="0.25">
      <c r="A484" s="44" t="s">
        <v>1456</v>
      </c>
      <c r="B484" s="38" t="s">
        <v>1457</v>
      </c>
      <c r="C484" s="43">
        <v>3.64</v>
      </c>
      <c r="D484" s="39">
        <v>2.73</v>
      </c>
      <c r="E484" s="14">
        <v>0.25</v>
      </c>
    </row>
    <row r="485" spans="1:5" x14ac:dyDescent="0.25">
      <c r="A485" s="44" t="s">
        <v>1458</v>
      </c>
      <c r="B485" s="38" t="s">
        <v>1459</v>
      </c>
      <c r="C485" s="43">
        <v>2.34</v>
      </c>
      <c r="D485" s="39">
        <v>1.7549999999999999</v>
      </c>
      <c r="E485" s="14">
        <v>0.25</v>
      </c>
    </row>
    <row r="486" spans="1:5" x14ac:dyDescent="0.25">
      <c r="A486" s="44" t="s">
        <v>1460</v>
      </c>
      <c r="B486" s="38" t="s">
        <v>1461</v>
      </c>
      <c r="C486" s="43">
        <v>3.64</v>
      </c>
      <c r="D486" s="39">
        <v>2.73</v>
      </c>
      <c r="E486" s="14">
        <v>0.25</v>
      </c>
    </row>
    <row r="487" spans="1:5" x14ac:dyDescent="0.25">
      <c r="A487" s="44" t="s">
        <v>1462</v>
      </c>
      <c r="B487" s="38" t="s">
        <v>1463</v>
      </c>
      <c r="C487" s="43">
        <v>1.62</v>
      </c>
      <c r="D487" s="39">
        <v>1.2150000000000001</v>
      </c>
      <c r="E487" s="14">
        <v>0.25</v>
      </c>
    </row>
    <row r="488" spans="1:5" x14ac:dyDescent="0.25">
      <c r="A488" s="44" t="s">
        <v>1464</v>
      </c>
      <c r="B488" s="38" t="s">
        <v>1465</v>
      </c>
      <c r="C488" s="43">
        <v>2.52</v>
      </c>
      <c r="D488" s="39">
        <v>1.8900000000000001</v>
      </c>
      <c r="E488" s="14">
        <v>0.25</v>
      </c>
    </row>
    <row r="489" spans="1:5" x14ac:dyDescent="0.25">
      <c r="A489" s="44" t="s">
        <v>1466</v>
      </c>
      <c r="B489" s="38" t="s">
        <v>1467</v>
      </c>
      <c r="C489" s="43">
        <v>2.34</v>
      </c>
      <c r="D489" s="39">
        <v>1.7549999999999999</v>
      </c>
      <c r="E489" s="14">
        <v>0.25</v>
      </c>
    </row>
    <row r="490" spans="1:5" x14ac:dyDescent="0.25">
      <c r="A490" s="44" t="s">
        <v>1468</v>
      </c>
      <c r="B490" s="38" t="s">
        <v>1469</v>
      </c>
      <c r="C490" s="43">
        <v>3.64</v>
      </c>
      <c r="D490" s="39">
        <v>2.73</v>
      </c>
      <c r="E490" s="14">
        <v>0.25</v>
      </c>
    </row>
    <row r="491" spans="1:5" x14ac:dyDescent="0.25">
      <c r="A491" s="44" t="s">
        <v>1470</v>
      </c>
      <c r="B491" s="38" t="s">
        <v>1471</v>
      </c>
      <c r="C491" s="43">
        <v>2.16</v>
      </c>
      <c r="D491" s="39">
        <v>1.62</v>
      </c>
      <c r="E491" s="14">
        <v>0.25</v>
      </c>
    </row>
    <row r="492" spans="1:5" x14ac:dyDescent="0.25">
      <c r="A492" s="44" t="s">
        <v>1472</v>
      </c>
      <c r="B492" s="38" t="s">
        <v>1473</v>
      </c>
      <c r="C492" s="43">
        <v>3.36</v>
      </c>
      <c r="D492" s="39">
        <v>2.52</v>
      </c>
      <c r="E492" s="14">
        <v>0.25</v>
      </c>
    </row>
    <row r="493" spans="1:5" x14ac:dyDescent="0.25">
      <c r="A493" s="44" t="s">
        <v>1474</v>
      </c>
      <c r="B493" s="38" t="s">
        <v>1475</v>
      </c>
      <c r="C493" s="43">
        <v>1.98</v>
      </c>
      <c r="D493" s="39">
        <v>1.4849999999999999</v>
      </c>
      <c r="E493" s="14">
        <v>0.25000000000000011</v>
      </c>
    </row>
    <row r="494" spans="1:5" x14ac:dyDescent="0.25">
      <c r="A494" s="44" t="s">
        <v>1476</v>
      </c>
      <c r="B494" s="38" t="s">
        <v>1477</v>
      </c>
      <c r="C494" s="43">
        <v>3.08</v>
      </c>
      <c r="D494" s="39">
        <v>2.31</v>
      </c>
      <c r="E494" s="14">
        <v>0.25</v>
      </c>
    </row>
    <row r="495" spans="1:5" x14ac:dyDescent="0.25">
      <c r="A495" s="44" t="s">
        <v>1478</v>
      </c>
      <c r="B495" s="38" t="s">
        <v>1479</v>
      </c>
      <c r="C495" s="43">
        <v>1.98</v>
      </c>
      <c r="D495" s="39">
        <v>1.4849999999999999</v>
      </c>
      <c r="E495" s="14">
        <v>0.25000000000000011</v>
      </c>
    </row>
    <row r="496" spans="1:5" x14ac:dyDescent="0.25">
      <c r="A496" s="44" t="s">
        <v>1480</v>
      </c>
      <c r="B496" s="38" t="s">
        <v>1481</v>
      </c>
      <c r="C496" s="43">
        <v>3.08</v>
      </c>
      <c r="D496" s="39">
        <v>2.31</v>
      </c>
      <c r="E496" s="14">
        <v>0.25</v>
      </c>
    </row>
    <row r="497" spans="1:5" x14ac:dyDescent="0.25">
      <c r="A497" s="44" t="s">
        <v>1482</v>
      </c>
      <c r="B497" s="38" t="s">
        <v>1483</v>
      </c>
      <c r="C497" s="43">
        <v>3.42</v>
      </c>
      <c r="D497" s="39">
        <v>2.5649999999999999</v>
      </c>
      <c r="E497" s="14">
        <v>0.25</v>
      </c>
    </row>
    <row r="498" spans="1:5" x14ac:dyDescent="0.25">
      <c r="A498" s="44" t="s">
        <v>1484</v>
      </c>
      <c r="B498" s="38" t="s">
        <v>1485</v>
      </c>
      <c r="C498" s="43">
        <v>5.32</v>
      </c>
      <c r="D498" s="39">
        <v>3.99</v>
      </c>
      <c r="E498" s="14">
        <v>0.25</v>
      </c>
    </row>
    <row r="499" spans="1:5" x14ac:dyDescent="0.25">
      <c r="A499" s="44" t="s">
        <v>1486</v>
      </c>
      <c r="B499" s="38" t="s">
        <v>1487</v>
      </c>
      <c r="C499" s="43">
        <v>4.5</v>
      </c>
      <c r="D499" s="39">
        <v>3.375</v>
      </c>
      <c r="E499" s="14">
        <v>0.25</v>
      </c>
    </row>
    <row r="500" spans="1:5" x14ac:dyDescent="0.25">
      <c r="A500" s="44" t="s">
        <v>1488</v>
      </c>
      <c r="B500" s="38" t="s">
        <v>1489</v>
      </c>
      <c r="C500" s="43">
        <v>7</v>
      </c>
      <c r="D500" s="39">
        <v>5.25</v>
      </c>
      <c r="E500" s="14">
        <v>0.25</v>
      </c>
    </row>
    <row r="501" spans="1:5" x14ac:dyDescent="0.25">
      <c r="A501" s="44" t="s">
        <v>1490</v>
      </c>
      <c r="B501" s="38" t="s">
        <v>1491</v>
      </c>
      <c r="C501" s="43">
        <v>4.8600000000000003</v>
      </c>
      <c r="D501" s="39">
        <v>3.6450000000000005</v>
      </c>
      <c r="E501" s="14">
        <v>0.25</v>
      </c>
    </row>
    <row r="502" spans="1:5" x14ac:dyDescent="0.25">
      <c r="A502" s="44" t="s">
        <v>1492</v>
      </c>
      <c r="B502" s="38" t="s">
        <v>1493</v>
      </c>
      <c r="C502" s="43">
        <v>7.56</v>
      </c>
      <c r="D502" s="39">
        <v>5.67</v>
      </c>
      <c r="E502" s="14">
        <v>0.25</v>
      </c>
    </row>
    <row r="503" spans="1:5" x14ac:dyDescent="0.25">
      <c r="A503" s="44" t="s">
        <v>1494</v>
      </c>
      <c r="B503" s="38" t="s">
        <v>1495</v>
      </c>
      <c r="C503" s="43">
        <v>3.42</v>
      </c>
      <c r="D503" s="39">
        <v>2.5649999999999999</v>
      </c>
      <c r="E503" s="14">
        <v>0.25</v>
      </c>
    </row>
    <row r="504" spans="1:5" x14ac:dyDescent="0.25">
      <c r="A504" s="44" t="s">
        <v>1496</v>
      </c>
      <c r="B504" s="38" t="s">
        <v>1497</v>
      </c>
      <c r="C504" s="43">
        <v>5.32</v>
      </c>
      <c r="D504" s="39">
        <v>3.99</v>
      </c>
      <c r="E504" s="14">
        <v>0.25</v>
      </c>
    </row>
    <row r="505" spans="1:5" x14ac:dyDescent="0.25">
      <c r="A505" s="44" t="s">
        <v>1498</v>
      </c>
      <c r="B505" s="38" t="s">
        <v>1499</v>
      </c>
      <c r="C505" s="43">
        <v>33.840000000000003</v>
      </c>
      <c r="D505" s="39">
        <v>25.380000000000003</v>
      </c>
      <c r="E505" s="14">
        <v>0.25</v>
      </c>
    </row>
    <row r="506" spans="1:5" x14ac:dyDescent="0.25">
      <c r="A506" s="44" t="s">
        <v>1500</v>
      </c>
      <c r="B506" s="38" t="s">
        <v>1501</v>
      </c>
      <c r="C506" s="43">
        <v>52.64</v>
      </c>
      <c r="D506" s="39">
        <v>39.480000000000004</v>
      </c>
      <c r="E506" s="14">
        <v>0.24999999999999989</v>
      </c>
    </row>
    <row r="507" spans="1:5" x14ac:dyDescent="0.25">
      <c r="A507" s="44" t="s">
        <v>1502</v>
      </c>
      <c r="B507" s="38" t="s">
        <v>1503</v>
      </c>
      <c r="C507" s="43">
        <v>4500</v>
      </c>
      <c r="D507" s="39">
        <v>3375</v>
      </c>
      <c r="E507" s="14">
        <v>0.25</v>
      </c>
    </row>
    <row r="508" spans="1:5" x14ac:dyDescent="0.25">
      <c r="A508" s="44" t="s">
        <v>1504</v>
      </c>
      <c r="B508" s="38" t="s">
        <v>1505</v>
      </c>
      <c r="C508" s="43">
        <v>7000</v>
      </c>
      <c r="D508" s="39">
        <v>5250</v>
      </c>
      <c r="E508" s="14">
        <v>0.25</v>
      </c>
    </row>
    <row r="509" spans="1:5" x14ac:dyDescent="0.25">
      <c r="A509" s="44" t="s">
        <v>1506</v>
      </c>
      <c r="B509" s="38" t="s">
        <v>1507</v>
      </c>
      <c r="C509" s="43">
        <v>1275.8399999999999</v>
      </c>
      <c r="D509" s="39">
        <v>956.87999999999988</v>
      </c>
      <c r="E509" s="14">
        <v>0.25</v>
      </c>
    </row>
    <row r="510" spans="1:5" x14ac:dyDescent="0.25">
      <c r="A510" s="44" t="s">
        <v>1508</v>
      </c>
      <c r="B510" s="38" t="s">
        <v>1509</v>
      </c>
      <c r="C510" s="43">
        <v>1984.64</v>
      </c>
      <c r="D510" s="39">
        <v>1488.48</v>
      </c>
      <c r="E510" s="14">
        <v>0.25</v>
      </c>
    </row>
    <row r="511" spans="1:5" x14ac:dyDescent="0.25">
      <c r="A511" s="44" t="s">
        <v>1510</v>
      </c>
      <c r="B511" s="38" t="s">
        <v>1511</v>
      </c>
      <c r="C511" s="43">
        <v>52.92</v>
      </c>
      <c r="D511" s="39">
        <v>39.69</v>
      </c>
      <c r="E511" s="14">
        <v>0.25000000000000011</v>
      </c>
    </row>
    <row r="512" spans="1:5" x14ac:dyDescent="0.25">
      <c r="A512" s="44" t="s">
        <v>1512</v>
      </c>
      <c r="B512" s="38" t="s">
        <v>1513</v>
      </c>
      <c r="C512" s="43">
        <v>82.32</v>
      </c>
      <c r="D512" s="39">
        <v>61.739999999999995</v>
      </c>
      <c r="E512" s="14">
        <v>0.25</v>
      </c>
    </row>
    <row r="513" spans="1:5" x14ac:dyDescent="0.25">
      <c r="A513" s="44" t="s">
        <v>1514</v>
      </c>
      <c r="B513" s="38" t="s">
        <v>1515</v>
      </c>
      <c r="C513" s="43">
        <v>9</v>
      </c>
      <c r="D513" s="39">
        <v>6.75</v>
      </c>
      <c r="E513" s="14">
        <v>0.25</v>
      </c>
    </row>
    <row r="514" spans="1:5" x14ac:dyDescent="0.25">
      <c r="A514" s="44" t="s">
        <v>1516</v>
      </c>
      <c r="B514" s="38" t="s">
        <v>1517</v>
      </c>
      <c r="C514" s="43">
        <v>14</v>
      </c>
      <c r="D514" s="39">
        <v>10.5</v>
      </c>
      <c r="E514" s="14">
        <v>0.25</v>
      </c>
    </row>
    <row r="515" spans="1:5" x14ac:dyDescent="0.25">
      <c r="A515" s="44" t="s">
        <v>1518</v>
      </c>
      <c r="B515" s="38" t="s">
        <v>1519</v>
      </c>
      <c r="C515" s="43">
        <v>21.42</v>
      </c>
      <c r="D515" s="39">
        <v>16.065000000000001</v>
      </c>
      <c r="E515" s="14">
        <v>0.25</v>
      </c>
    </row>
    <row r="516" spans="1:5" x14ac:dyDescent="0.25">
      <c r="A516" s="44" t="s">
        <v>1520</v>
      </c>
      <c r="B516" s="38" t="s">
        <v>1521</v>
      </c>
      <c r="C516" s="43">
        <v>33.32</v>
      </c>
      <c r="D516" s="39">
        <v>24.990000000000002</v>
      </c>
      <c r="E516" s="14">
        <v>0.25</v>
      </c>
    </row>
    <row r="517" spans="1:5" x14ac:dyDescent="0.25">
      <c r="A517" s="44" t="s">
        <v>1522</v>
      </c>
      <c r="B517" s="38" t="s">
        <v>1523</v>
      </c>
      <c r="C517" s="43">
        <v>68.58</v>
      </c>
      <c r="D517" s="39">
        <v>51.435000000000002</v>
      </c>
      <c r="E517" s="14">
        <v>0.25</v>
      </c>
    </row>
    <row r="518" spans="1:5" x14ac:dyDescent="0.25">
      <c r="A518" s="44" t="s">
        <v>1524</v>
      </c>
      <c r="B518" s="38" t="s">
        <v>1525</v>
      </c>
      <c r="C518" s="43">
        <v>106.68</v>
      </c>
      <c r="D518" s="39">
        <v>80.010000000000005</v>
      </c>
      <c r="E518" s="14">
        <v>0.25</v>
      </c>
    </row>
    <row r="519" spans="1:5" x14ac:dyDescent="0.25">
      <c r="A519" s="44" t="s">
        <v>1526</v>
      </c>
      <c r="B519" s="38" t="s">
        <v>1527</v>
      </c>
      <c r="C519" s="43">
        <v>12.42</v>
      </c>
      <c r="D519" s="39">
        <v>9.3149999999999995</v>
      </c>
      <c r="E519" s="14">
        <v>0.25</v>
      </c>
    </row>
    <row r="520" spans="1:5" x14ac:dyDescent="0.25">
      <c r="A520" s="44" t="s">
        <v>1528</v>
      </c>
      <c r="B520" s="38" t="s">
        <v>1529</v>
      </c>
      <c r="C520" s="43">
        <v>19.32</v>
      </c>
      <c r="D520" s="39">
        <v>14.49</v>
      </c>
      <c r="E520" s="14">
        <v>0.25</v>
      </c>
    </row>
    <row r="521" spans="1:5" x14ac:dyDescent="0.25">
      <c r="A521" s="44" t="s">
        <v>1530</v>
      </c>
      <c r="B521" s="38" t="s">
        <v>1531</v>
      </c>
      <c r="C521" s="43">
        <v>12.42</v>
      </c>
      <c r="D521" s="39">
        <v>9.3149999999999995</v>
      </c>
      <c r="E521" s="14">
        <v>0.25</v>
      </c>
    </row>
    <row r="522" spans="1:5" x14ac:dyDescent="0.25">
      <c r="A522" s="44" t="s">
        <v>1532</v>
      </c>
      <c r="B522" s="38" t="s">
        <v>1533</v>
      </c>
      <c r="C522" s="43">
        <v>19.32</v>
      </c>
      <c r="D522" s="39">
        <v>14.49</v>
      </c>
      <c r="E522" s="14">
        <v>0.25</v>
      </c>
    </row>
    <row r="523" spans="1:5" x14ac:dyDescent="0.25">
      <c r="A523" s="44" t="s">
        <v>1534</v>
      </c>
      <c r="B523" s="38" t="s">
        <v>1535</v>
      </c>
      <c r="C523" s="43">
        <v>48.42</v>
      </c>
      <c r="D523" s="39">
        <v>36.314999999999998</v>
      </c>
      <c r="E523" s="14">
        <v>0.25000000000000011</v>
      </c>
    </row>
    <row r="524" spans="1:5" x14ac:dyDescent="0.25">
      <c r="A524" s="44" t="s">
        <v>1536</v>
      </c>
      <c r="B524" s="38" t="s">
        <v>1537</v>
      </c>
      <c r="C524" s="43">
        <v>75.319999999999993</v>
      </c>
      <c r="D524" s="39">
        <v>56.489999999999995</v>
      </c>
      <c r="E524" s="14">
        <v>0.25</v>
      </c>
    </row>
    <row r="525" spans="1:5" x14ac:dyDescent="0.25">
      <c r="A525" s="44" t="s">
        <v>1538</v>
      </c>
      <c r="B525" s="38" t="s">
        <v>1539</v>
      </c>
      <c r="C525" s="43">
        <v>7.92</v>
      </c>
      <c r="D525" s="39">
        <v>5.9399999999999995</v>
      </c>
      <c r="E525" s="14">
        <v>0.25000000000000011</v>
      </c>
    </row>
    <row r="526" spans="1:5" x14ac:dyDescent="0.25">
      <c r="A526" s="44" t="s">
        <v>1540</v>
      </c>
      <c r="B526" s="38" t="s">
        <v>1541</v>
      </c>
      <c r="C526" s="43">
        <v>12.32</v>
      </c>
      <c r="D526" s="39">
        <v>9.24</v>
      </c>
      <c r="E526" s="14">
        <v>0.25</v>
      </c>
    </row>
    <row r="527" spans="1:5" x14ac:dyDescent="0.25">
      <c r="A527" s="44" t="s">
        <v>1542</v>
      </c>
      <c r="B527" s="38" t="s">
        <v>1543</v>
      </c>
      <c r="C527" s="43">
        <v>11.34</v>
      </c>
      <c r="D527" s="39">
        <v>8.504999999999999</v>
      </c>
      <c r="E527" s="14">
        <v>0.25000000000000011</v>
      </c>
    </row>
    <row r="528" spans="1:5" x14ac:dyDescent="0.25">
      <c r="A528" s="44" t="s">
        <v>1544</v>
      </c>
      <c r="B528" s="38" t="s">
        <v>1545</v>
      </c>
      <c r="C528" s="43">
        <v>17.64</v>
      </c>
      <c r="D528" s="39">
        <v>13.23</v>
      </c>
      <c r="E528" s="14">
        <v>0.25</v>
      </c>
    </row>
    <row r="529" spans="1:5" x14ac:dyDescent="0.25">
      <c r="A529" s="44" t="s">
        <v>1546</v>
      </c>
      <c r="B529" s="38" t="s">
        <v>1547</v>
      </c>
      <c r="C529" s="43">
        <v>43.92</v>
      </c>
      <c r="D529" s="39">
        <v>32.94</v>
      </c>
      <c r="E529" s="14">
        <v>0.25000000000000011</v>
      </c>
    </row>
    <row r="530" spans="1:5" x14ac:dyDescent="0.25">
      <c r="A530" s="44" t="s">
        <v>1548</v>
      </c>
      <c r="B530" s="38" t="s">
        <v>1549</v>
      </c>
      <c r="C530" s="43">
        <v>68.319999999999993</v>
      </c>
      <c r="D530" s="39">
        <v>51.239999999999995</v>
      </c>
      <c r="E530" s="14">
        <v>0.25</v>
      </c>
    </row>
    <row r="531" spans="1:5" x14ac:dyDescent="0.25">
      <c r="A531" s="44" t="s">
        <v>1550</v>
      </c>
      <c r="B531" s="38" t="s">
        <v>1551</v>
      </c>
      <c r="C531" s="43">
        <v>6.84</v>
      </c>
      <c r="D531" s="39">
        <v>5.13</v>
      </c>
      <c r="E531" s="14">
        <v>0.25</v>
      </c>
    </row>
    <row r="532" spans="1:5" x14ac:dyDescent="0.25">
      <c r="A532" s="44" t="s">
        <v>1552</v>
      </c>
      <c r="B532" s="38" t="s">
        <v>1553</v>
      </c>
      <c r="C532" s="43">
        <v>10.64</v>
      </c>
      <c r="D532" s="39">
        <v>7.98</v>
      </c>
      <c r="E532" s="14">
        <v>0.25</v>
      </c>
    </row>
    <row r="533" spans="1:5" x14ac:dyDescent="0.25">
      <c r="A533" s="44" t="s">
        <v>1554</v>
      </c>
      <c r="B533" s="38" t="s">
        <v>1555</v>
      </c>
      <c r="C533" s="43">
        <v>18</v>
      </c>
      <c r="D533" s="39">
        <v>13.5</v>
      </c>
      <c r="E533" s="14">
        <v>0.25</v>
      </c>
    </row>
    <row r="534" spans="1:5" x14ac:dyDescent="0.25">
      <c r="A534" s="44" t="s">
        <v>1556</v>
      </c>
      <c r="B534" s="38" t="s">
        <v>1557</v>
      </c>
      <c r="C534" s="43">
        <v>28</v>
      </c>
      <c r="D534" s="39">
        <v>21</v>
      </c>
      <c r="E534" s="14">
        <v>0.25</v>
      </c>
    </row>
    <row r="535" spans="1:5" x14ac:dyDescent="0.25">
      <c r="A535" s="44" t="s">
        <v>1558</v>
      </c>
      <c r="B535" s="38" t="s">
        <v>1559</v>
      </c>
      <c r="C535" s="43">
        <v>57.42</v>
      </c>
      <c r="D535" s="39">
        <v>43.064999999999998</v>
      </c>
      <c r="E535" s="14">
        <v>0.25000000000000011</v>
      </c>
    </row>
    <row r="536" spans="1:5" x14ac:dyDescent="0.25">
      <c r="A536" s="44" t="s">
        <v>1560</v>
      </c>
      <c r="B536" s="38" t="s">
        <v>1561</v>
      </c>
      <c r="C536" s="43">
        <v>89.32</v>
      </c>
      <c r="D536" s="39">
        <v>66.989999999999995</v>
      </c>
      <c r="E536" s="14">
        <v>0.25</v>
      </c>
    </row>
    <row r="537" spans="1:5" x14ac:dyDescent="0.25">
      <c r="A537" s="44" t="s">
        <v>1562</v>
      </c>
      <c r="B537" s="38" t="s">
        <v>1563</v>
      </c>
      <c r="C537" s="43">
        <v>11.34</v>
      </c>
      <c r="D537" s="39">
        <v>8.504999999999999</v>
      </c>
      <c r="E537" s="14">
        <v>0.25000000000000011</v>
      </c>
    </row>
    <row r="538" spans="1:5" x14ac:dyDescent="0.25">
      <c r="A538" s="44" t="s">
        <v>1564</v>
      </c>
      <c r="B538" s="38" t="s">
        <v>1565</v>
      </c>
      <c r="C538" s="43">
        <v>17.64</v>
      </c>
      <c r="D538" s="39">
        <v>13.23</v>
      </c>
      <c r="E538" s="14">
        <v>0.25</v>
      </c>
    </row>
    <row r="539" spans="1:5" x14ac:dyDescent="0.25">
      <c r="A539" s="44" t="s">
        <v>1566</v>
      </c>
      <c r="B539" s="38" t="s">
        <v>1567</v>
      </c>
      <c r="C539" s="43">
        <v>4500</v>
      </c>
      <c r="D539" s="39">
        <v>3375</v>
      </c>
      <c r="E539" s="14">
        <v>0.25</v>
      </c>
    </row>
    <row r="540" spans="1:5" x14ac:dyDescent="0.25">
      <c r="A540" s="44" t="s">
        <v>1568</v>
      </c>
      <c r="B540" s="38" t="s">
        <v>1569</v>
      </c>
      <c r="C540" s="43">
        <v>7000</v>
      </c>
      <c r="D540" s="39">
        <v>5250</v>
      </c>
      <c r="E540" s="14">
        <v>0.25</v>
      </c>
    </row>
    <row r="541" spans="1:5" x14ac:dyDescent="0.25">
      <c r="A541" s="44" t="s">
        <v>1570</v>
      </c>
      <c r="B541" s="38" t="s">
        <v>1571</v>
      </c>
      <c r="C541" s="43">
        <v>36000</v>
      </c>
      <c r="D541" s="39">
        <v>27000</v>
      </c>
      <c r="E541" s="14">
        <v>0.25</v>
      </c>
    </row>
    <row r="542" spans="1:5" x14ac:dyDescent="0.25">
      <c r="A542" s="44" t="s">
        <v>1572</v>
      </c>
      <c r="B542" s="38" t="s">
        <v>1573</v>
      </c>
      <c r="C542" s="43">
        <v>56000</v>
      </c>
      <c r="D542" s="39">
        <v>42000</v>
      </c>
      <c r="E542" s="14">
        <v>0.25</v>
      </c>
    </row>
    <row r="543" spans="1:5" x14ac:dyDescent="0.25">
      <c r="A543" s="44" t="s">
        <v>1574</v>
      </c>
      <c r="B543" s="38" t="s">
        <v>1575</v>
      </c>
      <c r="C543" s="43">
        <v>21375</v>
      </c>
      <c r="D543" s="39">
        <v>16031.25</v>
      </c>
      <c r="E543" s="14">
        <v>0.25</v>
      </c>
    </row>
    <row r="544" spans="1:5" x14ac:dyDescent="0.25">
      <c r="A544" s="44" t="s">
        <v>1576</v>
      </c>
      <c r="B544" s="38" t="s">
        <v>1577</v>
      </c>
      <c r="C544" s="43">
        <v>33250</v>
      </c>
      <c r="D544" s="39">
        <v>24937.5</v>
      </c>
      <c r="E544" s="14">
        <v>0.25</v>
      </c>
    </row>
    <row r="545" spans="1:5" x14ac:dyDescent="0.25">
      <c r="A545" s="44" t="s">
        <v>1578</v>
      </c>
      <c r="B545" s="38" t="s">
        <v>1579</v>
      </c>
      <c r="C545" s="43">
        <v>630</v>
      </c>
      <c r="D545" s="39">
        <v>472.5</v>
      </c>
      <c r="E545" s="14">
        <v>0.25</v>
      </c>
    </row>
    <row r="546" spans="1:5" x14ac:dyDescent="0.25">
      <c r="A546" s="44" t="s">
        <v>1580</v>
      </c>
      <c r="B546" s="38" t="s">
        <v>1581</v>
      </c>
      <c r="C546" s="43">
        <v>980</v>
      </c>
      <c r="D546" s="39">
        <v>735</v>
      </c>
      <c r="E546" s="14">
        <v>0.25</v>
      </c>
    </row>
    <row r="547" spans="1:5" x14ac:dyDescent="0.25">
      <c r="A547" s="44" t="s">
        <v>1582</v>
      </c>
      <c r="B547" s="38" t="s">
        <v>1583</v>
      </c>
      <c r="C547" s="43">
        <v>225</v>
      </c>
      <c r="D547" s="39">
        <v>168.75</v>
      </c>
      <c r="E547" s="14">
        <v>0.25</v>
      </c>
    </row>
    <row r="548" spans="1:5" x14ac:dyDescent="0.25">
      <c r="A548" s="44" t="s">
        <v>1584</v>
      </c>
      <c r="B548" s="38" t="s">
        <v>1585</v>
      </c>
      <c r="C548" s="43">
        <v>350</v>
      </c>
      <c r="D548" s="39">
        <v>262.5</v>
      </c>
      <c r="E548" s="14">
        <v>0.25</v>
      </c>
    </row>
    <row r="549" spans="1:5" x14ac:dyDescent="0.25">
      <c r="A549" s="44" t="s">
        <v>1586</v>
      </c>
      <c r="B549" s="38" t="s">
        <v>1587</v>
      </c>
      <c r="C549" s="43">
        <v>1080</v>
      </c>
      <c r="D549" s="39">
        <v>810</v>
      </c>
      <c r="E549" s="14">
        <v>0.25</v>
      </c>
    </row>
    <row r="550" spans="1:5" x14ac:dyDescent="0.25">
      <c r="A550" s="44" t="s">
        <v>1588</v>
      </c>
      <c r="B550" s="38" t="s">
        <v>1589</v>
      </c>
      <c r="C550" s="43">
        <v>1680</v>
      </c>
      <c r="D550" s="39">
        <v>1260</v>
      </c>
      <c r="E550" s="14">
        <v>0.25</v>
      </c>
    </row>
    <row r="551" spans="1:5" x14ac:dyDescent="0.25">
      <c r="A551" s="44" t="s">
        <v>1590</v>
      </c>
      <c r="B551" s="38" t="s">
        <v>1591</v>
      </c>
      <c r="C551" s="43">
        <v>180</v>
      </c>
      <c r="D551" s="39">
        <v>135</v>
      </c>
      <c r="E551" s="14">
        <v>0.25</v>
      </c>
    </row>
    <row r="552" spans="1:5" x14ac:dyDescent="0.25">
      <c r="A552" s="44" t="s">
        <v>1592</v>
      </c>
      <c r="B552" s="38" t="s">
        <v>1593</v>
      </c>
      <c r="C552" s="43">
        <v>280</v>
      </c>
      <c r="D552" s="39">
        <v>210</v>
      </c>
      <c r="E552" s="14">
        <v>0.25</v>
      </c>
    </row>
    <row r="553" spans="1:5" x14ac:dyDescent="0.25">
      <c r="A553" s="44" t="s">
        <v>1594</v>
      </c>
      <c r="B553" s="38" t="s">
        <v>1595</v>
      </c>
      <c r="C553" s="43">
        <v>225</v>
      </c>
      <c r="D553" s="39">
        <v>168.75</v>
      </c>
      <c r="E553" s="14">
        <v>0.25</v>
      </c>
    </row>
    <row r="554" spans="1:5" x14ac:dyDescent="0.25">
      <c r="A554" s="44" t="s">
        <v>1596</v>
      </c>
      <c r="B554" s="38" t="s">
        <v>1597</v>
      </c>
      <c r="C554" s="43">
        <v>350</v>
      </c>
      <c r="D554" s="39">
        <v>262.5</v>
      </c>
      <c r="E554" s="14">
        <v>0.25</v>
      </c>
    </row>
    <row r="555" spans="1:5" x14ac:dyDescent="0.25">
      <c r="A555" s="44" t="s">
        <v>1598</v>
      </c>
      <c r="B555" s="38" t="s">
        <v>1599</v>
      </c>
      <c r="C555" s="43">
        <v>1872</v>
      </c>
      <c r="D555" s="39">
        <v>1404</v>
      </c>
      <c r="E555" s="14">
        <v>0.25</v>
      </c>
    </row>
    <row r="556" spans="1:5" x14ac:dyDescent="0.25">
      <c r="A556" s="44" t="s">
        <v>1600</v>
      </c>
      <c r="B556" s="38" t="s">
        <v>1601</v>
      </c>
      <c r="C556" s="43">
        <v>2912</v>
      </c>
      <c r="D556" s="39">
        <v>2184</v>
      </c>
      <c r="E556" s="14">
        <v>0.25</v>
      </c>
    </row>
    <row r="557" spans="1:5" x14ac:dyDescent="0.25">
      <c r="A557" s="44" t="s">
        <v>1602</v>
      </c>
      <c r="B557" s="38" t="s">
        <v>1603</v>
      </c>
      <c r="C557" s="43">
        <v>2286</v>
      </c>
      <c r="D557" s="39">
        <v>1714.5</v>
      </c>
      <c r="E557" s="14">
        <v>0.25</v>
      </c>
    </row>
    <row r="558" spans="1:5" x14ac:dyDescent="0.25">
      <c r="A558" s="44" t="s">
        <v>1604</v>
      </c>
      <c r="B558" s="38" t="s">
        <v>1605</v>
      </c>
      <c r="C558" s="43">
        <v>3556</v>
      </c>
      <c r="D558" s="39">
        <v>2667</v>
      </c>
      <c r="E558" s="14">
        <v>0.25</v>
      </c>
    </row>
    <row r="559" spans="1:5" x14ac:dyDescent="0.25">
      <c r="A559" s="44" t="s">
        <v>1606</v>
      </c>
      <c r="B559" s="38" t="s">
        <v>1607</v>
      </c>
      <c r="C559" s="43">
        <v>13716</v>
      </c>
      <c r="D559" s="39">
        <v>10287</v>
      </c>
      <c r="E559" s="14">
        <v>0.25</v>
      </c>
    </row>
    <row r="560" spans="1:5" x14ac:dyDescent="0.25">
      <c r="A560" s="44" t="s">
        <v>1608</v>
      </c>
      <c r="B560" s="38" t="s">
        <v>1609</v>
      </c>
      <c r="C560" s="43">
        <v>21336</v>
      </c>
      <c r="D560" s="39">
        <v>16002</v>
      </c>
      <c r="E560" s="14">
        <v>0.25</v>
      </c>
    </row>
    <row r="561" spans="1:5" x14ac:dyDescent="0.25">
      <c r="A561" s="44" t="s">
        <v>1610</v>
      </c>
      <c r="B561" s="38" t="s">
        <v>1611</v>
      </c>
      <c r="C561" s="43">
        <v>504</v>
      </c>
      <c r="D561" s="39">
        <v>378</v>
      </c>
      <c r="E561" s="14">
        <v>0.25</v>
      </c>
    </row>
    <row r="562" spans="1:5" x14ac:dyDescent="0.25">
      <c r="A562" s="44" t="s">
        <v>1612</v>
      </c>
      <c r="B562" s="38" t="s">
        <v>1613</v>
      </c>
      <c r="C562" s="43">
        <v>784</v>
      </c>
      <c r="D562" s="39">
        <v>588</v>
      </c>
      <c r="E562" s="14">
        <v>0.25</v>
      </c>
    </row>
    <row r="563" spans="1:5" x14ac:dyDescent="0.25">
      <c r="A563" s="44" t="s">
        <v>1614</v>
      </c>
      <c r="B563" s="38" t="s">
        <v>1615</v>
      </c>
      <c r="C563" s="43">
        <v>504</v>
      </c>
      <c r="D563" s="39">
        <v>378</v>
      </c>
      <c r="E563" s="14">
        <v>0.25</v>
      </c>
    </row>
    <row r="564" spans="1:5" x14ac:dyDescent="0.25">
      <c r="A564" s="44" t="s">
        <v>1616</v>
      </c>
      <c r="B564" s="38" t="s">
        <v>1617</v>
      </c>
      <c r="C564" s="43">
        <v>784</v>
      </c>
      <c r="D564" s="39">
        <v>588</v>
      </c>
      <c r="E564" s="14">
        <v>0.25</v>
      </c>
    </row>
    <row r="565" spans="1:5" x14ac:dyDescent="0.25">
      <c r="A565" s="44" t="s">
        <v>1618</v>
      </c>
      <c r="B565" s="38" t="s">
        <v>1619</v>
      </c>
      <c r="C565" s="43">
        <v>2052</v>
      </c>
      <c r="D565" s="39">
        <v>1539</v>
      </c>
      <c r="E565" s="14">
        <v>0.25</v>
      </c>
    </row>
    <row r="566" spans="1:5" x14ac:dyDescent="0.25">
      <c r="A566" s="44" t="s">
        <v>1620</v>
      </c>
      <c r="B566" s="38" t="s">
        <v>1621</v>
      </c>
      <c r="C566" s="43">
        <v>3192</v>
      </c>
      <c r="D566" s="39">
        <v>2394</v>
      </c>
      <c r="E566" s="14">
        <v>0.25</v>
      </c>
    </row>
    <row r="567" spans="1:5" x14ac:dyDescent="0.25">
      <c r="A567" s="44" t="s">
        <v>1622</v>
      </c>
      <c r="B567" s="38" t="s">
        <v>1623</v>
      </c>
      <c r="C567" s="43">
        <v>450</v>
      </c>
      <c r="D567" s="39">
        <v>337.5</v>
      </c>
      <c r="E567" s="14">
        <v>0.25</v>
      </c>
    </row>
    <row r="568" spans="1:5" x14ac:dyDescent="0.25">
      <c r="A568" s="44" t="s">
        <v>1624</v>
      </c>
      <c r="B568" s="38" t="s">
        <v>1625</v>
      </c>
      <c r="C568" s="43">
        <v>700</v>
      </c>
      <c r="D568" s="39">
        <v>525</v>
      </c>
      <c r="E568" s="14">
        <v>0.25</v>
      </c>
    </row>
    <row r="569" spans="1:5" x14ac:dyDescent="0.25">
      <c r="A569" s="44" t="s">
        <v>1626</v>
      </c>
      <c r="B569" s="38" t="s">
        <v>1627</v>
      </c>
      <c r="C569" s="43">
        <v>2700</v>
      </c>
      <c r="D569" s="39">
        <v>2025</v>
      </c>
      <c r="E569" s="14">
        <v>0.25</v>
      </c>
    </row>
    <row r="570" spans="1:5" x14ac:dyDescent="0.25">
      <c r="A570" s="44" t="s">
        <v>1628</v>
      </c>
      <c r="B570" s="38" t="s">
        <v>1629</v>
      </c>
      <c r="C570" s="43">
        <v>4200</v>
      </c>
      <c r="D570" s="39">
        <v>3150</v>
      </c>
      <c r="E570" s="14">
        <v>0.25</v>
      </c>
    </row>
    <row r="571" spans="1:5" x14ac:dyDescent="0.25">
      <c r="A571" s="44" t="s">
        <v>1630</v>
      </c>
      <c r="B571" s="38" t="s">
        <v>1631</v>
      </c>
      <c r="C571" s="43">
        <v>900</v>
      </c>
      <c r="D571" s="39">
        <v>675</v>
      </c>
      <c r="E571" s="14">
        <v>0.25</v>
      </c>
    </row>
    <row r="572" spans="1:5" x14ac:dyDescent="0.25">
      <c r="A572" s="44" t="s">
        <v>1632</v>
      </c>
      <c r="B572" s="38" t="s">
        <v>1633</v>
      </c>
      <c r="C572" s="43">
        <v>1400</v>
      </c>
      <c r="D572" s="39">
        <v>1050</v>
      </c>
      <c r="E572" s="14">
        <v>0.25</v>
      </c>
    </row>
    <row r="573" spans="1:5" x14ac:dyDescent="0.25">
      <c r="A573" s="44" t="s">
        <v>1634</v>
      </c>
      <c r="B573" s="38" t="s">
        <v>1635</v>
      </c>
      <c r="C573" s="43">
        <v>900</v>
      </c>
      <c r="D573" s="39">
        <v>675</v>
      </c>
      <c r="E573" s="14">
        <v>0.25</v>
      </c>
    </row>
    <row r="574" spans="1:5" x14ac:dyDescent="0.25">
      <c r="A574" s="44" t="s">
        <v>1636</v>
      </c>
      <c r="B574" s="38" t="s">
        <v>1637</v>
      </c>
      <c r="C574" s="43">
        <v>1400</v>
      </c>
      <c r="D574" s="39">
        <v>1050</v>
      </c>
      <c r="E574" s="14">
        <v>0.25</v>
      </c>
    </row>
    <row r="575" spans="1:5" x14ac:dyDescent="0.25">
      <c r="A575" s="44" t="s">
        <v>1638</v>
      </c>
      <c r="B575" s="38" t="s">
        <v>1639</v>
      </c>
      <c r="C575" s="43">
        <v>900</v>
      </c>
      <c r="D575" s="39">
        <v>675</v>
      </c>
      <c r="E575" s="14">
        <v>0.25</v>
      </c>
    </row>
    <row r="576" spans="1:5" x14ac:dyDescent="0.25">
      <c r="A576" s="44" t="s">
        <v>1640</v>
      </c>
      <c r="B576" s="38" t="s">
        <v>1641</v>
      </c>
      <c r="C576" s="43">
        <v>1400</v>
      </c>
      <c r="D576" s="39">
        <v>1050</v>
      </c>
      <c r="E576" s="14">
        <v>0.25</v>
      </c>
    </row>
    <row r="577" spans="1:5" x14ac:dyDescent="0.25">
      <c r="A577" s="44" t="s">
        <v>1642</v>
      </c>
      <c r="B577" s="38" t="s">
        <v>1643</v>
      </c>
      <c r="C577" s="43">
        <v>900</v>
      </c>
      <c r="D577" s="39">
        <v>675</v>
      </c>
      <c r="E577" s="14">
        <v>0.25</v>
      </c>
    </row>
    <row r="578" spans="1:5" x14ac:dyDescent="0.25">
      <c r="A578" s="44" t="s">
        <v>1644</v>
      </c>
      <c r="B578" s="38" t="s">
        <v>1645</v>
      </c>
      <c r="C578" s="43">
        <v>1400</v>
      </c>
      <c r="D578" s="39">
        <v>1050</v>
      </c>
      <c r="E578" s="14">
        <v>0.25</v>
      </c>
    </row>
    <row r="579" spans="1:5" x14ac:dyDescent="0.25">
      <c r="A579" s="44" t="s">
        <v>1646</v>
      </c>
      <c r="B579" s="38" t="s">
        <v>1647</v>
      </c>
      <c r="C579" s="43">
        <v>1800</v>
      </c>
      <c r="D579" s="39">
        <v>1350</v>
      </c>
      <c r="E579" s="14">
        <v>0.25</v>
      </c>
    </row>
    <row r="580" spans="1:5" x14ac:dyDescent="0.25">
      <c r="A580" s="44" t="s">
        <v>1648</v>
      </c>
      <c r="B580" s="38" t="s">
        <v>1649</v>
      </c>
      <c r="C580" s="43">
        <v>2800</v>
      </c>
      <c r="D580" s="39">
        <v>2100</v>
      </c>
      <c r="E580" s="14">
        <v>0.25</v>
      </c>
    </row>
    <row r="581" spans="1:5" x14ac:dyDescent="0.25">
      <c r="A581" s="44" t="s">
        <v>1650</v>
      </c>
      <c r="B581" s="38" t="s">
        <v>1651</v>
      </c>
      <c r="C581" s="43">
        <v>900</v>
      </c>
      <c r="D581" s="39">
        <v>675</v>
      </c>
      <c r="E581" s="14">
        <v>0.25</v>
      </c>
    </row>
    <row r="582" spans="1:5" x14ac:dyDescent="0.25">
      <c r="A582" s="44" t="s">
        <v>1652</v>
      </c>
      <c r="B582" s="38" t="s">
        <v>1653</v>
      </c>
      <c r="C582" s="43">
        <v>1400</v>
      </c>
      <c r="D582" s="39">
        <v>1050</v>
      </c>
      <c r="E582" s="14">
        <v>0.25</v>
      </c>
    </row>
    <row r="583" spans="1:5" x14ac:dyDescent="0.25">
      <c r="A583" s="44" t="s">
        <v>1654</v>
      </c>
      <c r="B583" s="38" t="s">
        <v>1655</v>
      </c>
      <c r="C583" s="43">
        <v>7560</v>
      </c>
      <c r="D583" s="39">
        <v>5670</v>
      </c>
      <c r="E583" s="14">
        <v>0.25</v>
      </c>
    </row>
    <row r="584" spans="1:5" x14ac:dyDescent="0.25">
      <c r="A584" s="44" t="s">
        <v>1656</v>
      </c>
      <c r="B584" s="38" t="s">
        <v>1657</v>
      </c>
      <c r="C584" s="43">
        <v>11760</v>
      </c>
      <c r="D584" s="39">
        <v>8820</v>
      </c>
      <c r="E584" s="14">
        <v>0.25</v>
      </c>
    </row>
    <row r="585" spans="1:5" x14ac:dyDescent="0.25">
      <c r="A585" s="44" t="s">
        <v>1658</v>
      </c>
      <c r="B585" s="38" t="s">
        <v>1659</v>
      </c>
      <c r="C585" s="43">
        <v>13860</v>
      </c>
      <c r="D585" s="39">
        <v>10395</v>
      </c>
      <c r="E585" s="14">
        <v>0.25</v>
      </c>
    </row>
    <row r="586" spans="1:5" x14ac:dyDescent="0.25">
      <c r="A586" s="44" t="s">
        <v>1660</v>
      </c>
      <c r="B586" s="38" t="s">
        <v>1661</v>
      </c>
      <c r="C586" s="43">
        <v>21560</v>
      </c>
      <c r="D586" s="39">
        <v>16170</v>
      </c>
      <c r="E586" s="14">
        <v>0.25</v>
      </c>
    </row>
    <row r="587" spans="1:5" x14ac:dyDescent="0.25">
      <c r="A587" s="44" t="s">
        <v>1662</v>
      </c>
      <c r="B587" s="38" t="s">
        <v>1663</v>
      </c>
      <c r="C587" s="43">
        <v>450</v>
      </c>
      <c r="D587" s="39">
        <v>337.5</v>
      </c>
      <c r="E587" s="14">
        <v>0.25</v>
      </c>
    </row>
    <row r="588" spans="1:5" x14ac:dyDescent="0.25">
      <c r="A588" s="44" t="s">
        <v>1664</v>
      </c>
      <c r="B588" s="38" t="s">
        <v>1665</v>
      </c>
      <c r="C588" s="43">
        <v>700</v>
      </c>
      <c r="D588" s="39">
        <v>525</v>
      </c>
      <c r="E588" s="14">
        <v>0.25</v>
      </c>
    </row>
    <row r="589" spans="1:5" x14ac:dyDescent="0.25">
      <c r="A589" s="44" t="s">
        <v>1666</v>
      </c>
      <c r="B589" s="38" t="s">
        <v>1667</v>
      </c>
      <c r="C589" s="43">
        <v>1080</v>
      </c>
      <c r="D589" s="39">
        <v>810</v>
      </c>
      <c r="E589" s="14">
        <v>0.25</v>
      </c>
    </row>
    <row r="590" spans="1:5" x14ac:dyDescent="0.25">
      <c r="A590" s="44" t="s">
        <v>1668</v>
      </c>
      <c r="B590" s="38" t="s">
        <v>1669</v>
      </c>
      <c r="C590" s="43">
        <v>1680</v>
      </c>
      <c r="D590" s="39">
        <v>1260</v>
      </c>
      <c r="E590" s="14">
        <v>0.25</v>
      </c>
    </row>
    <row r="591" spans="1:5" x14ac:dyDescent="0.25">
      <c r="A591" s="44" t="s">
        <v>1670</v>
      </c>
      <c r="B591" s="38" t="s">
        <v>1671</v>
      </c>
      <c r="C591" s="43">
        <v>5400</v>
      </c>
      <c r="D591" s="39">
        <v>4050</v>
      </c>
      <c r="E591" s="14">
        <v>0.25</v>
      </c>
    </row>
    <row r="592" spans="1:5" x14ac:dyDescent="0.25">
      <c r="A592" s="44" t="s">
        <v>1672</v>
      </c>
      <c r="B592" s="38" t="s">
        <v>1673</v>
      </c>
      <c r="C592" s="43">
        <v>8400</v>
      </c>
      <c r="D592" s="39">
        <v>6300</v>
      </c>
      <c r="E592" s="14">
        <v>0.25</v>
      </c>
    </row>
    <row r="593" spans="1:5" x14ac:dyDescent="0.25">
      <c r="A593" s="44" t="s">
        <v>1674</v>
      </c>
      <c r="B593" s="38" t="s">
        <v>1675</v>
      </c>
      <c r="C593" s="43">
        <v>5544</v>
      </c>
      <c r="D593" s="39">
        <v>4158</v>
      </c>
      <c r="E593" s="14">
        <v>0.25</v>
      </c>
    </row>
    <row r="594" spans="1:5" x14ac:dyDescent="0.25">
      <c r="A594" s="44" t="s">
        <v>1676</v>
      </c>
      <c r="B594" s="38" t="s">
        <v>1677</v>
      </c>
      <c r="C594" s="43">
        <v>8624</v>
      </c>
      <c r="D594" s="39">
        <v>6468</v>
      </c>
      <c r="E594" s="14">
        <v>0.25</v>
      </c>
    </row>
    <row r="595" spans="1:5" x14ac:dyDescent="0.25">
      <c r="A595" s="44" t="s">
        <v>1678</v>
      </c>
      <c r="B595" s="38" t="s">
        <v>1679</v>
      </c>
      <c r="C595" s="43">
        <v>3024</v>
      </c>
      <c r="D595" s="39">
        <v>2268</v>
      </c>
      <c r="E595" s="14">
        <v>0.25</v>
      </c>
    </row>
    <row r="596" spans="1:5" x14ac:dyDescent="0.25">
      <c r="A596" s="44" t="s">
        <v>1680</v>
      </c>
      <c r="B596" s="38" t="s">
        <v>1681</v>
      </c>
      <c r="C596" s="43">
        <v>4704</v>
      </c>
      <c r="D596" s="39">
        <v>3528</v>
      </c>
      <c r="E596" s="14">
        <v>0.25</v>
      </c>
    </row>
    <row r="597" spans="1:5" x14ac:dyDescent="0.25">
      <c r="A597" s="44" t="s">
        <v>1682</v>
      </c>
      <c r="B597" s="38" t="s">
        <v>1683</v>
      </c>
      <c r="C597" s="43">
        <v>180</v>
      </c>
      <c r="D597" s="39">
        <v>135</v>
      </c>
      <c r="E597" s="14">
        <v>0.25</v>
      </c>
    </row>
    <row r="598" spans="1:5" x14ac:dyDescent="0.25">
      <c r="A598" s="44" t="s">
        <v>1684</v>
      </c>
      <c r="B598" s="38" t="s">
        <v>1685</v>
      </c>
      <c r="C598" s="43">
        <v>280</v>
      </c>
      <c r="D598" s="39">
        <v>210</v>
      </c>
      <c r="E598" s="14">
        <v>0.25</v>
      </c>
    </row>
    <row r="599" spans="1:5" x14ac:dyDescent="0.25">
      <c r="A599" s="44" t="s">
        <v>1686</v>
      </c>
      <c r="B599" s="38" t="s">
        <v>1687</v>
      </c>
      <c r="C599" s="43">
        <v>432</v>
      </c>
      <c r="D599" s="39">
        <v>324</v>
      </c>
      <c r="E599" s="14">
        <v>0.25</v>
      </c>
    </row>
    <row r="600" spans="1:5" x14ac:dyDescent="0.25">
      <c r="A600" s="44" t="s">
        <v>1688</v>
      </c>
      <c r="B600" s="38" t="s">
        <v>1689</v>
      </c>
      <c r="C600" s="43">
        <v>672</v>
      </c>
      <c r="D600" s="39">
        <v>504</v>
      </c>
      <c r="E600" s="14">
        <v>0.25</v>
      </c>
    </row>
    <row r="601" spans="1:5" x14ac:dyDescent="0.25">
      <c r="A601" s="44" t="s">
        <v>1690</v>
      </c>
      <c r="B601" s="38" t="s">
        <v>1691</v>
      </c>
      <c r="C601" s="43">
        <v>539.1</v>
      </c>
      <c r="D601" s="39">
        <v>404.32500000000005</v>
      </c>
      <c r="E601" s="14">
        <v>0.25</v>
      </c>
    </row>
    <row r="602" spans="1:5" x14ac:dyDescent="0.25">
      <c r="A602" s="44" t="s">
        <v>1692</v>
      </c>
      <c r="B602" s="38" t="s">
        <v>1693</v>
      </c>
      <c r="C602" s="43">
        <v>838.6</v>
      </c>
      <c r="D602" s="39">
        <v>628.95000000000005</v>
      </c>
      <c r="E602" s="14">
        <v>0.25</v>
      </c>
    </row>
    <row r="603" spans="1:5" x14ac:dyDescent="0.25">
      <c r="A603" s="44" t="s">
        <v>1694</v>
      </c>
      <c r="B603" s="38" t="s">
        <v>1695</v>
      </c>
      <c r="C603" s="43">
        <v>89.1</v>
      </c>
      <c r="D603" s="39">
        <v>66.824999999999989</v>
      </c>
      <c r="E603" s="14">
        <v>0.25000000000000011</v>
      </c>
    </row>
    <row r="604" spans="1:5" x14ac:dyDescent="0.25">
      <c r="A604" s="44" t="s">
        <v>1696</v>
      </c>
      <c r="B604" s="38" t="s">
        <v>1697</v>
      </c>
      <c r="C604" s="43">
        <v>138.6</v>
      </c>
      <c r="D604" s="39">
        <v>103.94999999999999</v>
      </c>
      <c r="E604" s="14">
        <v>0.25</v>
      </c>
    </row>
    <row r="605" spans="1:5" x14ac:dyDescent="0.25">
      <c r="A605" s="44" t="s">
        <v>1698</v>
      </c>
      <c r="B605" s="38" t="s">
        <v>1699</v>
      </c>
      <c r="C605" s="43">
        <v>179.1</v>
      </c>
      <c r="D605" s="39">
        <v>134.32499999999999</v>
      </c>
      <c r="E605" s="14">
        <v>0.25</v>
      </c>
    </row>
    <row r="606" spans="1:5" x14ac:dyDescent="0.25">
      <c r="A606" s="44" t="s">
        <v>1700</v>
      </c>
      <c r="B606" s="38" t="s">
        <v>1701</v>
      </c>
      <c r="C606" s="43">
        <v>278.60000000000002</v>
      </c>
      <c r="D606" s="39">
        <v>208.95000000000002</v>
      </c>
      <c r="E606" s="14">
        <v>0.25</v>
      </c>
    </row>
    <row r="607" spans="1:5" x14ac:dyDescent="0.25">
      <c r="A607" s="44" t="s">
        <v>1702</v>
      </c>
      <c r="B607" s="38" t="s">
        <v>1703</v>
      </c>
      <c r="C607" s="43">
        <v>305.10000000000002</v>
      </c>
      <c r="D607" s="39">
        <v>228.82500000000002</v>
      </c>
      <c r="E607" s="14">
        <v>0.25</v>
      </c>
    </row>
    <row r="608" spans="1:5" x14ac:dyDescent="0.25">
      <c r="A608" s="44" t="s">
        <v>1704</v>
      </c>
      <c r="B608" s="38" t="s">
        <v>1705</v>
      </c>
      <c r="C608" s="43">
        <v>474.6</v>
      </c>
      <c r="D608" s="39">
        <v>355.95000000000005</v>
      </c>
      <c r="E608" s="14">
        <v>0.24999999999999989</v>
      </c>
    </row>
    <row r="609" spans="1:5" x14ac:dyDescent="0.25">
      <c r="A609" s="44" t="s">
        <v>1706</v>
      </c>
      <c r="B609" s="38" t="s">
        <v>1707</v>
      </c>
      <c r="C609" s="43">
        <v>557.1</v>
      </c>
      <c r="D609" s="39">
        <v>417.82500000000005</v>
      </c>
      <c r="E609" s="14">
        <v>0.25</v>
      </c>
    </row>
    <row r="610" spans="1:5" x14ac:dyDescent="0.25">
      <c r="A610" s="44" t="s">
        <v>1708</v>
      </c>
      <c r="B610" s="38" t="s">
        <v>1709</v>
      </c>
      <c r="C610" s="43">
        <v>866.6</v>
      </c>
      <c r="D610" s="39">
        <v>649.95000000000005</v>
      </c>
      <c r="E610" s="14">
        <v>0.25</v>
      </c>
    </row>
    <row r="611" spans="1:5" x14ac:dyDescent="0.25">
      <c r="A611" s="44" t="s">
        <v>1710</v>
      </c>
      <c r="B611" s="38" t="s">
        <v>1711</v>
      </c>
      <c r="C611" s="43">
        <v>1350</v>
      </c>
      <c r="D611" s="39">
        <v>1012.5</v>
      </c>
      <c r="E611" s="14">
        <v>0.25</v>
      </c>
    </row>
    <row r="612" spans="1:5" x14ac:dyDescent="0.25">
      <c r="A612" s="44" t="s">
        <v>1712</v>
      </c>
      <c r="B612" s="38" t="s">
        <v>1713</v>
      </c>
      <c r="C612" s="43">
        <v>2100</v>
      </c>
      <c r="D612" s="39">
        <v>1575</v>
      </c>
      <c r="E612" s="14">
        <v>0.25</v>
      </c>
    </row>
    <row r="613" spans="1:5" x14ac:dyDescent="0.25">
      <c r="A613" s="44" t="s">
        <v>1714</v>
      </c>
      <c r="B613" s="38" t="s">
        <v>1715</v>
      </c>
      <c r="C613" s="43">
        <v>230.94</v>
      </c>
      <c r="D613" s="39">
        <v>173.20499999999998</v>
      </c>
      <c r="E613" s="14">
        <v>0.25000000000000011</v>
      </c>
    </row>
    <row r="614" spans="1:5" x14ac:dyDescent="0.25">
      <c r="A614" s="44" t="s">
        <v>1716</v>
      </c>
      <c r="B614" s="38" t="s">
        <v>1717</v>
      </c>
      <c r="C614" s="43">
        <v>359.24</v>
      </c>
      <c r="D614" s="39">
        <v>269.43</v>
      </c>
      <c r="E614" s="14">
        <v>0.25</v>
      </c>
    </row>
    <row r="615" spans="1:5" x14ac:dyDescent="0.25">
      <c r="A615" s="44" t="s">
        <v>1718</v>
      </c>
      <c r="B615" s="38" t="s">
        <v>1719</v>
      </c>
      <c r="C615" s="43">
        <v>693</v>
      </c>
      <c r="D615" s="39">
        <v>519.75</v>
      </c>
      <c r="E615" s="14">
        <v>0.25</v>
      </c>
    </row>
    <row r="616" spans="1:5" x14ac:dyDescent="0.25">
      <c r="A616" s="44" t="s">
        <v>1720</v>
      </c>
      <c r="B616" s="38" t="s">
        <v>1721</v>
      </c>
      <c r="C616" s="43">
        <v>1078</v>
      </c>
      <c r="D616" s="39">
        <v>808.5</v>
      </c>
      <c r="E616" s="14">
        <v>0.25</v>
      </c>
    </row>
    <row r="617" spans="1:5" x14ac:dyDescent="0.25">
      <c r="A617" s="44" t="s">
        <v>1722</v>
      </c>
      <c r="B617" s="38" t="s">
        <v>1723</v>
      </c>
      <c r="C617" s="43">
        <v>290.33999999999997</v>
      </c>
      <c r="D617" s="39">
        <v>217.755</v>
      </c>
      <c r="E617" s="14">
        <v>0.25</v>
      </c>
    </row>
    <row r="618" spans="1:5" x14ac:dyDescent="0.25">
      <c r="A618" s="44" t="s">
        <v>1724</v>
      </c>
      <c r="B618" s="38" t="s">
        <v>1725</v>
      </c>
      <c r="C618" s="43">
        <v>451.64</v>
      </c>
      <c r="D618" s="39">
        <v>338.73</v>
      </c>
      <c r="E618" s="14">
        <v>0.24999999999999989</v>
      </c>
    </row>
    <row r="619" spans="1:5" x14ac:dyDescent="0.25">
      <c r="A619" s="44" t="s">
        <v>1726</v>
      </c>
      <c r="B619" s="38" t="s">
        <v>1727</v>
      </c>
      <c r="C619" s="43">
        <v>871.2</v>
      </c>
      <c r="D619" s="39">
        <v>653.40000000000009</v>
      </c>
      <c r="E619" s="14">
        <v>0.24999999999999989</v>
      </c>
    </row>
    <row r="620" spans="1:5" x14ac:dyDescent="0.25">
      <c r="A620" s="44" t="s">
        <v>1728</v>
      </c>
      <c r="B620" s="38" t="s">
        <v>1729</v>
      </c>
      <c r="C620" s="43">
        <v>1355.2</v>
      </c>
      <c r="D620" s="39">
        <v>1016.4000000000001</v>
      </c>
      <c r="E620" s="14">
        <v>0.25</v>
      </c>
    </row>
    <row r="621" spans="1:5" x14ac:dyDescent="0.25">
      <c r="A621" s="44" t="s">
        <v>1730</v>
      </c>
      <c r="B621" s="38" t="s">
        <v>1731</v>
      </c>
      <c r="C621" s="43">
        <v>82.44</v>
      </c>
      <c r="D621" s="39">
        <v>61.83</v>
      </c>
      <c r="E621" s="14">
        <v>0.25</v>
      </c>
    </row>
    <row r="622" spans="1:5" x14ac:dyDescent="0.25">
      <c r="A622" s="44" t="s">
        <v>1732</v>
      </c>
      <c r="B622" s="38" t="s">
        <v>1733</v>
      </c>
      <c r="C622" s="43">
        <v>128.24</v>
      </c>
      <c r="D622" s="39">
        <v>96.18</v>
      </c>
      <c r="E622" s="14">
        <v>0.25</v>
      </c>
    </row>
    <row r="623" spans="1:5" x14ac:dyDescent="0.25">
      <c r="A623" s="44" t="s">
        <v>1734</v>
      </c>
      <c r="B623" s="38" t="s">
        <v>1735</v>
      </c>
      <c r="C623" s="43">
        <v>247.5</v>
      </c>
      <c r="D623" s="39">
        <v>185.625</v>
      </c>
      <c r="E623" s="14">
        <v>0.25</v>
      </c>
    </row>
    <row r="624" spans="1:5" x14ac:dyDescent="0.25">
      <c r="A624" s="44" t="s">
        <v>1736</v>
      </c>
      <c r="B624" s="38" t="s">
        <v>1737</v>
      </c>
      <c r="C624" s="43">
        <v>385</v>
      </c>
      <c r="D624" s="39">
        <v>288.75</v>
      </c>
      <c r="E624" s="14">
        <v>0.25</v>
      </c>
    </row>
    <row r="625" spans="1:5" x14ac:dyDescent="0.25">
      <c r="A625" s="44" t="s">
        <v>1738</v>
      </c>
      <c r="B625" s="38" t="s">
        <v>1739</v>
      </c>
      <c r="C625" s="43">
        <v>15840</v>
      </c>
      <c r="D625" s="39">
        <v>11880</v>
      </c>
      <c r="E625" s="14">
        <v>0.25</v>
      </c>
    </row>
    <row r="626" spans="1:5" x14ac:dyDescent="0.25">
      <c r="A626" s="44" t="s">
        <v>1740</v>
      </c>
      <c r="B626" s="38" t="s">
        <v>1741</v>
      </c>
      <c r="C626" s="43">
        <v>1800</v>
      </c>
      <c r="D626" s="39">
        <v>1350</v>
      </c>
      <c r="E626" s="14">
        <v>0.25</v>
      </c>
    </row>
    <row r="627" spans="1:5" x14ac:dyDescent="0.25">
      <c r="A627" s="44" t="s">
        <v>1742</v>
      </c>
      <c r="B627" s="38" t="s">
        <v>1743</v>
      </c>
      <c r="C627" s="43">
        <v>414</v>
      </c>
      <c r="D627" s="39">
        <v>310.5</v>
      </c>
      <c r="E627" s="14">
        <v>0.25</v>
      </c>
    </row>
    <row r="628" spans="1:5" x14ac:dyDescent="0.25">
      <c r="A628" s="44" t="s">
        <v>1744</v>
      </c>
      <c r="B628" s="38" t="s">
        <v>1745</v>
      </c>
      <c r="C628" s="43">
        <v>2880</v>
      </c>
      <c r="D628" s="39">
        <v>2160</v>
      </c>
      <c r="E628" s="14">
        <v>0.25</v>
      </c>
    </row>
    <row r="629" spans="1:5" x14ac:dyDescent="0.25">
      <c r="A629" s="44" t="s">
        <v>1746</v>
      </c>
      <c r="B629" s="38" t="s">
        <v>1747</v>
      </c>
      <c r="C629" s="43">
        <v>450</v>
      </c>
      <c r="D629" s="39">
        <v>337.5</v>
      </c>
      <c r="E629" s="14">
        <v>0.25</v>
      </c>
    </row>
    <row r="630" spans="1:5" x14ac:dyDescent="0.25">
      <c r="A630" s="44" t="s">
        <v>1748</v>
      </c>
      <c r="B630" s="38" t="s">
        <v>1749</v>
      </c>
      <c r="C630" s="43">
        <v>180</v>
      </c>
      <c r="D630" s="39">
        <v>135</v>
      </c>
      <c r="E630" s="14">
        <v>0.25</v>
      </c>
    </row>
    <row r="631" spans="1:5" x14ac:dyDescent="0.25">
      <c r="A631" s="44" t="s">
        <v>1750</v>
      </c>
      <c r="B631" s="38" t="s">
        <v>1751</v>
      </c>
      <c r="C631" s="43">
        <v>1080</v>
      </c>
      <c r="D631" s="39">
        <v>810</v>
      </c>
      <c r="E631" s="14">
        <v>0.25</v>
      </c>
    </row>
    <row r="632" spans="1:5" x14ac:dyDescent="0.25">
      <c r="A632" s="44" t="s">
        <v>1752</v>
      </c>
      <c r="B632" s="38" t="s">
        <v>1753</v>
      </c>
      <c r="C632" s="43">
        <v>630</v>
      </c>
      <c r="D632" s="39">
        <v>472.5</v>
      </c>
      <c r="E632" s="14">
        <v>0.25</v>
      </c>
    </row>
    <row r="633" spans="1:5" x14ac:dyDescent="0.25">
      <c r="A633" s="44" t="s">
        <v>1754</v>
      </c>
      <c r="B633" s="38" t="s">
        <v>1755</v>
      </c>
      <c r="C633" s="43">
        <v>432</v>
      </c>
      <c r="D633" s="39">
        <v>324</v>
      </c>
      <c r="E633" s="14">
        <v>0.25</v>
      </c>
    </row>
    <row r="634" spans="1:5" x14ac:dyDescent="0.25">
      <c r="A634" s="44" t="s">
        <v>1756</v>
      </c>
      <c r="B634" s="38" t="s">
        <v>1757</v>
      </c>
      <c r="C634" s="43">
        <v>1872</v>
      </c>
      <c r="D634" s="39">
        <v>1404</v>
      </c>
      <c r="E634" s="14">
        <v>0.25</v>
      </c>
    </row>
    <row r="635" spans="1:5" x14ac:dyDescent="0.25">
      <c r="A635" s="44" t="s">
        <v>1758</v>
      </c>
      <c r="B635" s="38" t="s">
        <v>1759</v>
      </c>
      <c r="C635" s="43">
        <v>2340</v>
      </c>
      <c r="D635" s="39">
        <v>1755</v>
      </c>
      <c r="E635" s="14">
        <v>0.25</v>
      </c>
    </row>
    <row r="636" spans="1:5" x14ac:dyDescent="0.25">
      <c r="A636" s="44" t="s">
        <v>1760</v>
      </c>
      <c r="B636" s="38" t="s">
        <v>1761</v>
      </c>
      <c r="C636" s="43">
        <v>5148</v>
      </c>
      <c r="D636" s="39">
        <v>3861</v>
      </c>
      <c r="E636" s="14">
        <v>0.25</v>
      </c>
    </row>
    <row r="637" spans="1:5" x14ac:dyDescent="0.25">
      <c r="A637" s="44" t="s">
        <v>1762</v>
      </c>
      <c r="B637" s="38" t="s">
        <v>1763</v>
      </c>
      <c r="C637" s="43">
        <v>10494</v>
      </c>
      <c r="D637" s="39">
        <v>7870.5</v>
      </c>
      <c r="E637" s="14">
        <v>0.25</v>
      </c>
    </row>
    <row r="638" spans="1:5" x14ac:dyDescent="0.25">
      <c r="A638" s="44" t="s">
        <v>1764</v>
      </c>
      <c r="B638" s="38" t="s">
        <v>1765</v>
      </c>
      <c r="C638" s="43">
        <v>2952</v>
      </c>
      <c r="D638" s="39">
        <v>2214</v>
      </c>
      <c r="E638" s="14">
        <v>0.25</v>
      </c>
    </row>
    <row r="639" spans="1:5" x14ac:dyDescent="0.25">
      <c r="A639" s="44" t="s">
        <v>1766</v>
      </c>
      <c r="B639" s="38" t="s">
        <v>1767</v>
      </c>
      <c r="C639" s="43">
        <v>216</v>
      </c>
      <c r="D639" s="39">
        <v>162</v>
      </c>
      <c r="E639" s="14">
        <v>0.25</v>
      </c>
    </row>
    <row r="640" spans="1:5" x14ac:dyDescent="0.25">
      <c r="A640" s="44" t="s">
        <v>1768</v>
      </c>
      <c r="B640" s="38" t="s">
        <v>1769</v>
      </c>
      <c r="C640" s="43">
        <v>450</v>
      </c>
      <c r="D640" s="39">
        <v>337.5</v>
      </c>
      <c r="E640" s="14">
        <v>0.25</v>
      </c>
    </row>
    <row r="641" spans="1:5" x14ac:dyDescent="0.25">
      <c r="A641" s="44" t="s">
        <v>1770</v>
      </c>
      <c r="B641" s="38" t="s">
        <v>1771</v>
      </c>
      <c r="C641" s="43">
        <v>1350</v>
      </c>
      <c r="D641" s="39">
        <v>1012.5</v>
      </c>
      <c r="E641" s="14">
        <v>0.25</v>
      </c>
    </row>
    <row r="642" spans="1:5" x14ac:dyDescent="0.25">
      <c r="A642" s="44" t="s">
        <v>1772</v>
      </c>
      <c r="B642" s="38" t="s">
        <v>1773</v>
      </c>
      <c r="C642" s="43">
        <v>2700</v>
      </c>
      <c r="D642" s="39">
        <v>2025</v>
      </c>
      <c r="E642" s="14">
        <v>0.25</v>
      </c>
    </row>
    <row r="643" spans="1:5" x14ac:dyDescent="0.25">
      <c r="A643" s="44" t="s">
        <v>1774</v>
      </c>
      <c r="B643" s="38" t="s">
        <v>1775</v>
      </c>
      <c r="C643" s="43">
        <v>2700</v>
      </c>
      <c r="D643" s="39">
        <v>2025</v>
      </c>
      <c r="E643" s="14">
        <v>0.25</v>
      </c>
    </row>
    <row r="644" spans="1:5" x14ac:dyDescent="0.25">
      <c r="A644" s="44" t="s">
        <v>1776</v>
      </c>
      <c r="B644" s="38" t="s">
        <v>1777</v>
      </c>
      <c r="C644" s="43">
        <v>90</v>
      </c>
      <c r="D644" s="39">
        <v>67.5</v>
      </c>
      <c r="E644" s="14">
        <v>0.25</v>
      </c>
    </row>
    <row r="645" spans="1:5" x14ac:dyDescent="0.25">
      <c r="A645" s="44" t="s">
        <v>1778</v>
      </c>
      <c r="B645" s="38" t="s">
        <v>1779</v>
      </c>
      <c r="C645" s="43">
        <v>225</v>
      </c>
      <c r="D645" s="39">
        <v>168.75</v>
      </c>
      <c r="E645" s="14">
        <v>0.25</v>
      </c>
    </row>
    <row r="646" spans="1:5" x14ac:dyDescent="0.25">
      <c r="A646" s="44" t="s">
        <v>1780</v>
      </c>
      <c r="B646" s="38" t="s">
        <v>1781</v>
      </c>
      <c r="C646" s="43">
        <v>180</v>
      </c>
      <c r="D646" s="39">
        <v>135</v>
      </c>
      <c r="E646" s="14">
        <v>0.25</v>
      </c>
    </row>
    <row r="647" spans="1:5" x14ac:dyDescent="0.25">
      <c r="A647" s="44" t="s">
        <v>1782</v>
      </c>
      <c r="B647" s="38" t="s">
        <v>1783</v>
      </c>
      <c r="C647" s="43">
        <v>468</v>
      </c>
      <c r="D647" s="39">
        <v>351</v>
      </c>
      <c r="E647" s="14">
        <v>0.25</v>
      </c>
    </row>
    <row r="648" spans="1:5" x14ac:dyDescent="0.25">
      <c r="A648" s="44" t="s">
        <v>1784</v>
      </c>
      <c r="B648" s="38" t="s">
        <v>1785</v>
      </c>
      <c r="C648" s="43">
        <v>792</v>
      </c>
      <c r="D648" s="39">
        <v>594</v>
      </c>
      <c r="E648" s="14">
        <v>0.25</v>
      </c>
    </row>
    <row r="649" spans="1:5" x14ac:dyDescent="0.25">
      <c r="A649" s="44" t="s">
        <v>1786</v>
      </c>
      <c r="B649" s="38" t="s">
        <v>1787</v>
      </c>
      <c r="C649" s="43">
        <v>6408</v>
      </c>
      <c r="D649" s="39">
        <v>4806</v>
      </c>
      <c r="E649" s="14">
        <v>0.25</v>
      </c>
    </row>
    <row r="650" spans="1:5" x14ac:dyDescent="0.25">
      <c r="A650" s="44" t="s">
        <v>1788</v>
      </c>
      <c r="B650" s="38" t="s">
        <v>1789</v>
      </c>
      <c r="C650" s="43">
        <v>45000</v>
      </c>
      <c r="D650" s="39">
        <v>33750</v>
      </c>
      <c r="E650" s="14">
        <v>0.25</v>
      </c>
    </row>
    <row r="651" spans="1:5" x14ac:dyDescent="0.25">
      <c r="A651" s="44" t="s">
        <v>1790</v>
      </c>
      <c r="B651" s="38" t="s">
        <v>1791</v>
      </c>
      <c r="C651" s="43">
        <v>900</v>
      </c>
      <c r="D651" s="39">
        <v>675</v>
      </c>
      <c r="E651" s="14">
        <v>0.25</v>
      </c>
    </row>
    <row r="652" spans="1:5" x14ac:dyDescent="0.25">
      <c r="A652" s="44" t="s">
        <v>1792</v>
      </c>
      <c r="B652" s="38" t="s">
        <v>1793</v>
      </c>
      <c r="C652" s="43">
        <v>900</v>
      </c>
      <c r="D652" s="39">
        <v>675</v>
      </c>
      <c r="E652" s="14">
        <v>0.25</v>
      </c>
    </row>
    <row r="653" spans="1:5" x14ac:dyDescent="0.25">
      <c r="A653" s="44" t="s">
        <v>1794</v>
      </c>
      <c r="B653" s="38" t="s">
        <v>1795</v>
      </c>
      <c r="C653" s="43">
        <v>900</v>
      </c>
      <c r="D653" s="39">
        <v>675</v>
      </c>
      <c r="E653" s="14">
        <v>0.25</v>
      </c>
    </row>
    <row r="654" spans="1:5" x14ac:dyDescent="0.25">
      <c r="A654" s="44" t="s">
        <v>1796</v>
      </c>
      <c r="B654" s="38" t="s">
        <v>1797</v>
      </c>
      <c r="C654" s="43">
        <v>900</v>
      </c>
      <c r="D654" s="39">
        <v>675</v>
      </c>
      <c r="E654" s="14">
        <v>0.25</v>
      </c>
    </row>
    <row r="655" spans="1:5" x14ac:dyDescent="0.25">
      <c r="A655" s="44" t="s">
        <v>1798</v>
      </c>
      <c r="B655" s="38" t="s">
        <v>1799</v>
      </c>
      <c r="C655" s="43">
        <v>900</v>
      </c>
      <c r="D655" s="39">
        <v>675</v>
      </c>
      <c r="E655" s="14">
        <v>0.25</v>
      </c>
    </row>
    <row r="656" spans="1:5" x14ac:dyDescent="0.25">
      <c r="A656" s="44" t="s">
        <v>1800</v>
      </c>
      <c r="B656" s="38" t="s">
        <v>1801</v>
      </c>
      <c r="C656" s="43">
        <v>900</v>
      </c>
      <c r="D656" s="39">
        <v>675</v>
      </c>
      <c r="E656" s="14">
        <v>0.25</v>
      </c>
    </row>
    <row r="657" spans="1:5" x14ac:dyDescent="0.25">
      <c r="A657" s="44" t="s">
        <v>1802</v>
      </c>
      <c r="B657" s="38" t="s">
        <v>1803</v>
      </c>
      <c r="C657" s="43">
        <v>900</v>
      </c>
      <c r="D657" s="39">
        <v>675</v>
      </c>
      <c r="E657" s="14">
        <v>0.25</v>
      </c>
    </row>
    <row r="658" spans="1:5" x14ac:dyDescent="0.25">
      <c r="A658" s="44" t="s">
        <v>1804</v>
      </c>
      <c r="B658" s="38" t="s">
        <v>1805</v>
      </c>
      <c r="C658" s="43">
        <v>1800</v>
      </c>
      <c r="D658" s="39">
        <v>1350</v>
      </c>
      <c r="E658" s="14">
        <v>0.25</v>
      </c>
    </row>
    <row r="659" spans="1:5" x14ac:dyDescent="0.25">
      <c r="A659" s="44" t="s">
        <v>1806</v>
      </c>
      <c r="B659" s="38" t="s">
        <v>1807</v>
      </c>
      <c r="C659" s="43">
        <v>540</v>
      </c>
      <c r="D659" s="39">
        <v>405</v>
      </c>
      <c r="E659" s="14">
        <v>0.25</v>
      </c>
    </row>
    <row r="660" spans="1:5" x14ac:dyDescent="0.25">
      <c r="A660" s="44" t="s">
        <v>1808</v>
      </c>
      <c r="B660" s="38" t="s">
        <v>1809</v>
      </c>
      <c r="C660" s="43">
        <v>3661.02</v>
      </c>
      <c r="D660" s="39">
        <v>2745.7649999999999</v>
      </c>
      <c r="E660" s="14">
        <v>0.25</v>
      </c>
    </row>
    <row r="661" spans="1:5" x14ac:dyDescent="0.25">
      <c r="A661" s="44" t="s">
        <v>1810</v>
      </c>
      <c r="B661" s="38" t="s">
        <v>1811</v>
      </c>
      <c r="C661" s="43">
        <v>7627.1399999999994</v>
      </c>
      <c r="D661" s="39">
        <v>5720.3549999999996</v>
      </c>
      <c r="E661" s="14">
        <v>0.25</v>
      </c>
    </row>
    <row r="662" spans="1:5" x14ac:dyDescent="0.25">
      <c r="A662" s="44" t="s">
        <v>1812</v>
      </c>
      <c r="B662" s="38" t="s">
        <v>1813</v>
      </c>
      <c r="C662" s="43">
        <v>5232.24</v>
      </c>
      <c r="D662" s="39">
        <v>3924.18</v>
      </c>
      <c r="E662" s="14">
        <v>0.25</v>
      </c>
    </row>
    <row r="663" spans="1:5" x14ac:dyDescent="0.25">
      <c r="A663" s="44" t="s">
        <v>1814</v>
      </c>
      <c r="B663" s="38" t="s">
        <v>1815</v>
      </c>
      <c r="C663" s="43">
        <v>3671.8199999999997</v>
      </c>
      <c r="D663" s="39">
        <v>2753.8649999999998</v>
      </c>
      <c r="E663" s="14">
        <v>0.25</v>
      </c>
    </row>
    <row r="664" spans="1:5" x14ac:dyDescent="0.25">
      <c r="A664" s="44" t="s">
        <v>1816</v>
      </c>
      <c r="B664" s="38" t="s">
        <v>1817</v>
      </c>
      <c r="C664" s="43">
        <v>504</v>
      </c>
      <c r="D664" s="39">
        <v>378</v>
      </c>
      <c r="E664" s="14">
        <v>0.25</v>
      </c>
    </row>
    <row r="665" spans="1:5" x14ac:dyDescent="0.25">
      <c r="A665" s="44" t="s">
        <v>1818</v>
      </c>
      <c r="B665" s="38" t="s">
        <v>1819</v>
      </c>
      <c r="C665" s="43">
        <v>504</v>
      </c>
      <c r="D665" s="39">
        <v>378</v>
      </c>
      <c r="E665" s="14">
        <v>0.25</v>
      </c>
    </row>
    <row r="666" spans="1:5" x14ac:dyDescent="0.25">
      <c r="A666" s="44" t="s">
        <v>1820</v>
      </c>
      <c r="B666" s="38" t="s">
        <v>1821</v>
      </c>
      <c r="C666" s="43">
        <v>288</v>
      </c>
      <c r="D666" s="39">
        <v>216</v>
      </c>
      <c r="E666" s="14">
        <v>0.25</v>
      </c>
    </row>
    <row r="667" spans="1:5" x14ac:dyDescent="0.25">
      <c r="A667" s="44" t="s">
        <v>1822</v>
      </c>
      <c r="B667" s="38" t="s">
        <v>1823</v>
      </c>
      <c r="C667" s="43">
        <v>2340</v>
      </c>
      <c r="D667" s="39">
        <v>1755</v>
      </c>
      <c r="E667" s="14">
        <v>0.25</v>
      </c>
    </row>
    <row r="668" spans="1:5" x14ac:dyDescent="0.25">
      <c r="A668" s="44" t="s">
        <v>1824</v>
      </c>
      <c r="B668" s="38" t="s">
        <v>1825</v>
      </c>
      <c r="C668" s="43">
        <v>16380</v>
      </c>
      <c r="D668" s="39">
        <v>12285</v>
      </c>
      <c r="E668" s="14">
        <v>0.25</v>
      </c>
    </row>
    <row r="669" spans="1:5" x14ac:dyDescent="0.25">
      <c r="A669" s="44" t="s">
        <v>1826</v>
      </c>
      <c r="B669" s="38" t="s">
        <v>1827</v>
      </c>
      <c r="C669" s="43">
        <v>360</v>
      </c>
      <c r="D669" s="39">
        <v>270</v>
      </c>
      <c r="E669" s="14">
        <v>0.25</v>
      </c>
    </row>
    <row r="670" spans="1:5" x14ac:dyDescent="0.25">
      <c r="A670" s="44" t="s">
        <v>1828</v>
      </c>
      <c r="B670" s="38" t="s">
        <v>1829</v>
      </c>
      <c r="C670" s="43">
        <v>2862</v>
      </c>
      <c r="D670" s="39">
        <v>2146.5</v>
      </c>
      <c r="E670" s="14">
        <v>0.25</v>
      </c>
    </row>
    <row r="671" spans="1:5" x14ac:dyDescent="0.25">
      <c r="A671" s="44" t="s">
        <v>1830</v>
      </c>
      <c r="B671" s="38" t="s">
        <v>1831</v>
      </c>
      <c r="C671" s="43">
        <v>19980</v>
      </c>
      <c r="D671" s="39">
        <v>14985</v>
      </c>
      <c r="E671" s="14">
        <v>0.25</v>
      </c>
    </row>
    <row r="672" spans="1:5" x14ac:dyDescent="0.25">
      <c r="A672" s="44" t="s">
        <v>1832</v>
      </c>
      <c r="B672" s="38" t="s">
        <v>1833</v>
      </c>
      <c r="C672" s="43">
        <v>630</v>
      </c>
      <c r="D672" s="39">
        <v>472.5</v>
      </c>
      <c r="E672" s="14">
        <v>0.25</v>
      </c>
    </row>
    <row r="673" spans="1:5" x14ac:dyDescent="0.25">
      <c r="A673" s="44" t="s">
        <v>1834</v>
      </c>
      <c r="B673" s="38" t="s">
        <v>1835</v>
      </c>
      <c r="C673" s="43">
        <v>5130</v>
      </c>
      <c r="D673" s="39">
        <v>3847.5</v>
      </c>
      <c r="E673" s="14">
        <v>0.25</v>
      </c>
    </row>
    <row r="674" spans="1:5" x14ac:dyDescent="0.25">
      <c r="A674" s="44" t="s">
        <v>1836</v>
      </c>
      <c r="B674" s="38" t="s">
        <v>1837</v>
      </c>
      <c r="C674" s="43">
        <v>36000</v>
      </c>
      <c r="D674" s="39">
        <v>27000</v>
      </c>
      <c r="E674" s="14">
        <v>0.25</v>
      </c>
    </row>
    <row r="675" spans="1:5" x14ac:dyDescent="0.25">
      <c r="A675" s="44" t="s">
        <v>1838</v>
      </c>
      <c r="B675" s="38" t="s">
        <v>1839</v>
      </c>
      <c r="C675" s="43">
        <v>630</v>
      </c>
      <c r="D675" s="39">
        <v>472.5</v>
      </c>
      <c r="E675" s="14">
        <v>0.25</v>
      </c>
    </row>
    <row r="676" spans="1:5" x14ac:dyDescent="0.25">
      <c r="A676" s="44" t="s">
        <v>1840</v>
      </c>
      <c r="B676" s="38" t="s">
        <v>1841</v>
      </c>
      <c r="C676" s="43">
        <v>288</v>
      </c>
      <c r="D676" s="39">
        <v>216</v>
      </c>
      <c r="E676" s="14">
        <v>0.25</v>
      </c>
    </row>
    <row r="677" spans="1:5" x14ac:dyDescent="0.25">
      <c r="A677" s="44" t="s">
        <v>1842</v>
      </c>
      <c r="B677" s="38" t="s">
        <v>1843</v>
      </c>
      <c r="C677" s="43">
        <v>2340</v>
      </c>
      <c r="D677" s="39">
        <v>1755</v>
      </c>
      <c r="E677" s="14">
        <v>0.25</v>
      </c>
    </row>
    <row r="678" spans="1:5" x14ac:dyDescent="0.25">
      <c r="A678" s="44" t="s">
        <v>1844</v>
      </c>
      <c r="B678" s="38" t="s">
        <v>1845</v>
      </c>
      <c r="C678" s="43">
        <v>16380</v>
      </c>
      <c r="D678" s="39">
        <v>12285</v>
      </c>
      <c r="E678" s="14">
        <v>0.25</v>
      </c>
    </row>
    <row r="679" spans="1:5" x14ac:dyDescent="0.25">
      <c r="A679" s="44" t="s">
        <v>1846</v>
      </c>
      <c r="B679" s="38" t="s">
        <v>1847</v>
      </c>
      <c r="C679" s="43">
        <v>360</v>
      </c>
      <c r="D679" s="39">
        <v>270</v>
      </c>
      <c r="E679" s="14">
        <v>0.25</v>
      </c>
    </row>
    <row r="680" spans="1:5" x14ac:dyDescent="0.25">
      <c r="A680" s="44" t="s">
        <v>1848</v>
      </c>
      <c r="B680" s="38" t="s">
        <v>1849</v>
      </c>
      <c r="C680" s="43">
        <v>2862</v>
      </c>
      <c r="D680" s="39">
        <v>2146.5</v>
      </c>
      <c r="E680" s="14">
        <v>0.25</v>
      </c>
    </row>
    <row r="681" spans="1:5" x14ac:dyDescent="0.25">
      <c r="A681" s="44" t="s">
        <v>1850</v>
      </c>
      <c r="B681" s="38" t="s">
        <v>1851</v>
      </c>
      <c r="C681" s="43">
        <v>19980</v>
      </c>
      <c r="D681" s="39">
        <v>14985</v>
      </c>
      <c r="E681" s="14">
        <v>0.25</v>
      </c>
    </row>
    <row r="682" spans="1:5" x14ac:dyDescent="0.25">
      <c r="A682" s="44" t="s">
        <v>1852</v>
      </c>
      <c r="B682" s="38" t="s">
        <v>1853</v>
      </c>
      <c r="C682" s="43">
        <v>630</v>
      </c>
      <c r="D682" s="39">
        <v>472.5</v>
      </c>
      <c r="E682" s="14">
        <v>0.25</v>
      </c>
    </row>
    <row r="683" spans="1:5" x14ac:dyDescent="0.25">
      <c r="A683" s="44" t="s">
        <v>1854</v>
      </c>
      <c r="B683" s="38" t="s">
        <v>1855</v>
      </c>
      <c r="C683" s="43">
        <v>5130</v>
      </c>
      <c r="D683" s="39">
        <v>3847.5</v>
      </c>
      <c r="E683" s="14">
        <v>0.25</v>
      </c>
    </row>
    <row r="684" spans="1:5" x14ac:dyDescent="0.25">
      <c r="A684" s="44" t="s">
        <v>1856</v>
      </c>
      <c r="B684" s="38" t="s">
        <v>1857</v>
      </c>
      <c r="C684" s="43">
        <v>36000</v>
      </c>
      <c r="D684" s="39">
        <v>27000</v>
      </c>
      <c r="E684" s="14">
        <v>0.25</v>
      </c>
    </row>
    <row r="685" spans="1:5" x14ac:dyDescent="0.25">
      <c r="A685" s="44" t="s">
        <v>1858</v>
      </c>
      <c r="B685" s="38" t="s">
        <v>1859</v>
      </c>
      <c r="C685" s="43">
        <v>2610</v>
      </c>
      <c r="D685" s="39">
        <v>1957.5</v>
      </c>
      <c r="E685" s="14">
        <v>0.25</v>
      </c>
    </row>
    <row r="686" spans="1:5" x14ac:dyDescent="0.25">
      <c r="A686" s="44" t="s">
        <v>1860</v>
      </c>
      <c r="B686" s="38" t="s">
        <v>1861</v>
      </c>
      <c r="C686" s="43">
        <v>2610</v>
      </c>
      <c r="D686" s="39">
        <v>1957.5</v>
      </c>
      <c r="E686" s="14">
        <v>0.25</v>
      </c>
    </row>
    <row r="687" spans="1:5" x14ac:dyDescent="0.25">
      <c r="A687" s="44" t="s">
        <v>1862</v>
      </c>
      <c r="B687" s="38" t="s">
        <v>1863</v>
      </c>
      <c r="C687" s="43">
        <v>2052</v>
      </c>
      <c r="D687" s="39">
        <v>1539</v>
      </c>
      <c r="E687" s="14">
        <v>0.25</v>
      </c>
    </row>
    <row r="688" spans="1:5" x14ac:dyDescent="0.25">
      <c r="A688" s="44" t="s">
        <v>1864</v>
      </c>
      <c r="B688" s="38" t="s">
        <v>1865</v>
      </c>
      <c r="C688" s="43">
        <v>2286</v>
      </c>
      <c r="D688" s="39">
        <v>1714.5</v>
      </c>
      <c r="E688" s="14">
        <v>0.25</v>
      </c>
    </row>
    <row r="689" spans="1:5" x14ac:dyDescent="0.25">
      <c r="A689" s="44" t="s">
        <v>1866</v>
      </c>
      <c r="B689" s="38" t="s">
        <v>1867</v>
      </c>
      <c r="C689" s="43">
        <v>4158</v>
      </c>
      <c r="D689" s="39">
        <v>3118.5</v>
      </c>
      <c r="E689" s="14">
        <v>0.25</v>
      </c>
    </row>
    <row r="690" spans="1:5" x14ac:dyDescent="0.25">
      <c r="A690" s="44" t="s">
        <v>1868</v>
      </c>
      <c r="B690" s="38" t="s">
        <v>1869</v>
      </c>
      <c r="C690" s="43">
        <v>6858</v>
      </c>
      <c r="D690" s="39">
        <v>5143.5</v>
      </c>
      <c r="E690" s="14">
        <v>0.25</v>
      </c>
    </row>
    <row r="691" spans="1:5" x14ac:dyDescent="0.25">
      <c r="A691" s="44" t="s">
        <v>1870</v>
      </c>
      <c r="B691" s="38" t="s">
        <v>1871</v>
      </c>
      <c r="C691" s="43">
        <v>13716</v>
      </c>
      <c r="D691" s="39">
        <v>10287</v>
      </c>
      <c r="E691" s="14">
        <v>0.25</v>
      </c>
    </row>
    <row r="692" spans="1:5" x14ac:dyDescent="0.25">
      <c r="A692" s="44" t="s">
        <v>1872</v>
      </c>
      <c r="B692" s="38" t="s">
        <v>1873</v>
      </c>
      <c r="C692" s="43">
        <v>225</v>
      </c>
      <c r="D692" s="39">
        <v>168.75</v>
      </c>
      <c r="E692" s="14">
        <v>0.25</v>
      </c>
    </row>
    <row r="693" spans="1:5" x14ac:dyDescent="0.25">
      <c r="A693" s="44" t="s">
        <v>1874</v>
      </c>
      <c r="B693" s="38" t="s">
        <v>1875</v>
      </c>
      <c r="C693" s="43">
        <v>342</v>
      </c>
      <c r="D693" s="39">
        <v>256.5</v>
      </c>
      <c r="E693" s="14">
        <v>0.25</v>
      </c>
    </row>
    <row r="694" spans="1:5" x14ac:dyDescent="0.25">
      <c r="A694" s="44" t="s">
        <v>1876</v>
      </c>
      <c r="B694" s="38" t="s">
        <v>1877</v>
      </c>
      <c r="C694" s="43">
        <v>504</v>
      </c>
      <c r="D694" s="39">
        <v>378</v>
      </c>
      <c r="E694" s="14">
        <v>0.25</v>
      </c>
    </row>
    <row r="695" spans="1:5" x14ac:dyDescent="0.25">
      <c r="A695" s="44" t="s">
        <v>1878</v>
      </c>
      <c r="B695" s="38" t="s">
        <v>1879</v>
      </c>
      <c r="C695" s="43">
        <v>954</v>
      </c>
      <c r="D695" s="39">
        <v>715.5</v>
      </c>
      <c r="E695" s="14">
        <v>0.25</v>
      </c>
    </row>
    <row r="696" spans="1:5" x14ac:dyDescent="0.25">
      <c r="A696" s="44" t="s">
        <v>1880</v>
      </c>
      <c r="B696" s="38" t="s">
        <v>1881</v>
      </c>
      <c r="C696" s="43">
        <v>1872</v>
      </c>
      <c r="D696" s="39">
        <v>1404</v>
      </c>
      <c r="E696" s="14">
        <v>0.25</v>
      </c>
    </row>
    <row r="697" spans="1:5" x14ac:dyDescent="0.25">
      <c r="A697" s="44" t="s">
        <v>1882</v>
      </c>
      <c r="B697" s="38" t="s">
        <v>1883</v>
      </c>
      <c r="C697" s="43">
        <v>450</v>
      </c>
      <c r="D697" s="39">
        <v>337.5</v>
      </c>
      <c r="E697" s="14">
        <v>0.25</v>
      </c>
    </row>
    <row r="698" spans="1:5" x14ac:dyDescent="0.25">
      <c r="A698" s="44" t="s">
        <v>1884</v>
      </c>
      <c r="B698" s="38" t="s">
        <v>1885</v>
      </c>
      <c r="C698" s="43">
        <v>2286</v>
      </c>
      <c r="D698" s="39">
        <v>1714.5</v>
      </c>
      <c r="E698" s="14">
        <v>0.25</v>
      </c>
    </row>
    <row r="699" spans="1:5" x14ac:dyDescent="0.25">
      <c r="A699" s="44" t="s">
        <v>1886</v>
      </c>
      <c r="B699" s="38" t="s">
        <v>1887</v>
      </c>
      <c r="C699" s="43">
        <v>4158</v>
      </c>
      <c r="D699" s="39">
        <v>3118.5</v>
      </c>
      <c r="E699" s="14">
        <v>0.25</v>
      </c>
    </row>
    <row r="700" spans="1:5" x14ac:dyDescent="0.25">
      <c r="A700" s="44" t="s">
        <v>1888</v>
      </c>
      <c r="B700" s="38" t="s">
        <v>1889</v>
      </c>
      <c r="C700" s="43">
        <v>6858</v>
      </c>
      <c r="D700" s="39">
        <v>5143.5</v>
      </c>
      <c r="E700" s="14">
        <v>0.25</v>
      </c>
    </row>
    <row r="701" spans="1:5" x14ac:dyDescent="0.25">
      <c r="A701" s="44" t="s">
        <v>1890</v>
      </c>
      <c r="B701" s="38" t="s">
        <v>1891</v>
      </c>
      <c r="C701" s="43">
        <v>13716</v>
      </c>
      <c r="D701" s="39">
        <v>10287</v>
      </c>
      <c r="E701" s="14">
        <v>0.25</v>
      </c>
    </row>
    <row r="702" spans="1:5" x14ac:dyDescent="0.25">
      <c r="A702" s="44" t="s">
        <v>1892</v>
      </c>
      <c r="B702" s="38" t="s">
        <v>1893</v>
      </c>
      <c r="C702" s="43">
        <v>225</v>
      </c>
      <c r="D702" s="39">
        <v>168.75</v>
      </c>
      <c r="E702" s="14">
        <v>0.25</v>
      </c>
    </row>
    <row r="703" spans="1:5" x14ac:dyDescent="0.25">
      <c r="A703" s="44" t="s">
        <v>1894</v>
      </c>
      <c r="B703" s="38" t="s">
        <v>1895</v>
      </c>
      <c r="C703" s="43">
        <v>342</v>
      </c>
      <c r="D703" s="39">
        <v>256.5</v>
      </c>
      <c r="E703" s="14">
        <v>0.25</v>
      </c>
    </row>
    <row r="704" spans="1:5" x14ac:dyDescent="0.25">
      <c r="A704" s="44" t="s">
        <v>1896</v>
      </c>
      <c r="B704" s="38" t="s">
        <v>1897</v>
      </c>
      <c r="C704" s="43">
        <v>504</v>
      </c>
      <c r="D704" s="39">
        <v>378</v>
      </c>
      <c r="E704" s="14">
        <v>0.25</v>
      </c>
    </row>
    <row r="705" spans="1:5" x14ac:dyDescent="0.25">
      <c r="A705" s="44" t="s">
        <v>1898</v>
      </c>
      <c r="B705" s="38" t="s">
        <v>1899</v>
      </c>
      <c r="C705" s="43">
        <v>954</v>
      </c>
      <c r="D705" s="39">
        <v>715.5</v>
      </c>
      <c r="E705" s="14">
        <v>0.25</v>
      </c>
    </row>
    <row r="706" spans="1:5" x14ac:dyDescent="0.25">
      <c r="A706" s="44" t="s">
        <v>1900</v>
      </c>
      <c r="B706" s="38" t="s">
        <v>1901</v>
      </c>
      <c r="C706" s="43">
        <v>1872</v>
      </c>
      <c r="D706" s="39">
        <v>1404</v>
      </c>
      <c r="E706" s="14">
        <v>0.25</v>
      </c>
    </row>
    <row r="707" spans="1:5" x14ac:dyDescent="0.25">
      <c r="A707" s="44" t="s">
        <v>1902</v>
      </c>
      <c r="B707" s="38" t="s">
        <v>1903</v>
      </c>
      <c r="C707" s="43">
        <v>2286</v>
      </c>
      <c r="D707" s="39">
        <v>1714.5</v>
      </c>
      <c r="E707" s="14">
        <v>0.25</v>
      </c>
    </row>
    <row r="708" spans="1:5" x14ac:dyDescent="0.25">
      <c r="A708" s="44" t="s">
        <v>1904</v>
      </c>
      <c r="B708" s="38" t="s">
        <v>1905</v>
      </c>
      <c r="C708" s="43">
        <v>4158</v>
      </c>
      <c r="D708" s="39">
        <v>3118.5</v>
      </c>
      <c r="E708" s="14">
        <v>0.25</v>
      </c>
    </row>
    <row r="709" spans="1:5" x14ac:dyDescent="0.25">
      <c r="A709" s="44" t="s">
        <v>1906</v>
      </c>
      <c r="B709" s="38" t="s">
        <v>1907</v>
      </c>
      <c r="C709" s="43">
        <v>6858</v>
      </c>
      <c r="D709" s="39">
        <v>5143.5</v>
      </c>
      <c r="E709" s="14">
        <v>0.25</v>
      </c>
    </row>
    <row r="710" spans="1:5" x14ac:dyDescent="0.25">
      <c r="A710" s="44" t="s">
        <v>1908</v>
      </c>
      <c r="B710" s="38" t="s">
        <v>1909</v>
      </c>
      <c r="C710" s="43">
        <v>13716</v>
      </c>
      <c r="D710" s="39">
        <v>10287</v>
      </c>
      <c r="E710" s="14">
        <v>0.25</v>
      </c>
    </row>
    <row r="711" spans="1:5" x14ac:dyDescent="0.25">
      <c r="A711" s="44" t="s">
        <v>1910</v>
      </c>
      <c r="B711" s="38" t="s">
        <v>1911</v>
      </c>
      <c r="C711" s="43">
        <v>225</v>
      </c>
      <c r="D711" s="39">
        <v>168.75</v>
      </c>
      <c r="E711" s="14">
        <v>0.25</v>
      </c>
    </row>
    <row r="712" spans="1:5" x14ac:dyDescent="0.25">
      <c r="A712" s="44" t="s">
        <v>1912</v>
      </c>
      <c r="B712" s="38" t="s">
        <v>1913</v>
      </c>
      <c r="C712" s="43">
        <v>342</v>
      </c>
      <c r="D712" s="39">
        <v>256.5</v>
      </c>
      <c r="E712" s="14">
        <v>0.25</v>
      </c>
    </row>
    <row r="713" spans="1:5" x14ac:dyDescent="0.25">
      <c r="A713" s="44" t="s">
        <v>1914</v>
      </c>
      <c r="B713" s="38" t="s">
        <v>1915</v>
      </c>
      <c r="C713" s="43">
        <v>504</v>
      </c>
      <c r="D713" s="39">
        <v>378</v>
      </c>
      <c r="E713" s="14">
        <v>0.25</v>
      </c>
    </row>
    <row r="714" spans="1:5" x14ac:dyDescent="0.25">
      <c r="A714" s="44" t="s">
        <v>1916</v>
      </c>
      <c r="B714" s="38" t="s">
        <v>1917</v>
      </c>
      <c r="C714" s="43">
        <v>954</v>
      </c>
      <c r="D714" s="39">
        <v>715.5</v>
      </c>
      <c r="E714" s="14">
        <v>0.25</v>
      </c>
    </row>
    <row r="715" spans="1:5" x14ac:dyDescent="0.25">
      <c r="A715" s="44" t="s">
        <v>1918</v>
      </c>
      <c r="B715" s="38" t="s">
        <v>1919</v>
      </c>
      <c r="C715" s="43">
        <v>1872</v>
      </c>
      <c r="D715" s="39">
        <v>1404</v>
      </c>
      <c r="E715" s="14">
        <v>0.25</v>
      </c>
    </row>
    <row r="716" spans="1:5" x14ac:dyDescent="0.25">
      <c r="A716" s="44" t="s">
        <v>1920</v>
      </c>
      <c r="B716" s="38" t="s">
        <v>1921</v>
      </c>
      <c r="C716" s="43">
        <v>2160</v>
      </c>
      <c r="D716" s="39">
        <v>1620</v>
      </c>
      <c r="E716" s="14">
        <v>0.25</v>
      </c>
    </row>
    <row r="717" spans="1:5" x14ac:dyDescent="0.25">
      <c r="A717" s="44" t="s">
        <v>1922</v>
      </c>
      <c r="B717" s="38" t="s">
        <v>1923</v>
      </c>
      <c r="C717" s="43">
        <v>7560</v>
      </c>
      <c r="D717" s="39">
        <v>5670</v>
      </c>
      <c r="E717" s="14">
        <v>0.25</v>
      </c>
    </row>
    <row r="718" spans="1:5" x14ac:dyDescent="0.25">
      <c r="A718" s="44" t="s">
        <v>1924</v>
      </c>
      <c r="B718" s="38" t="s">
        <v>1925</v>
      </c>
      <c r="C718" s="43">
        <v>247.5</v>
      </c>
      <c r="D718" s="39">
        <v>185.625</v>
      </c>
      <c r="E718" s="14">
        <v>0.25</v>
      </c>
    </row>
    <row r="719" spans="1:5" x14ac:dyDescent="0.25">
      <c r="A719" s="44" t="s">
        <v>1926</v>
      </c>
      <c r="B719" s="38" t="s">
        <v>1927</v>
      </c>
      <c r="C719" s="43">
        <v>2079</v>
      </c>
      <c r="D719" s="39">
        <v>1559.25</v>
      </c>
      <c r="E719" s="14">
        <v>0.25</v>
      </c>
    </row>
    <row r="720" spans="1:5" x14ac:dyDescent="0.25">
      <c r="A720" s="44" t="s">
        <v>1928</v>
      </c>
      <c r="B720" s="38" t="s">
        <v>1929</v>
      </c>
      <c r="C720" s="43">
        <v>14400</v>
      </c>
      <c r="D720" s="39">
        <v>10800</v>
      </c>
      <c r="E720" s="14">
        <v>0.25</v>
      </c>
    </row>
    <row r="721" spans="1:5" x14ac:dyDescent="0.25">
      <c r="A721" s="44" t="s">
        <v>1930</v>
      </c>
      <c r="B721" s="38" t="s">
        <v>1931</v>
      </c>
      <c r="C721" s="43">
        <v>288</v>
      </c>
      <c r="D721" s="39">
        <v>216</v>
      </c>
      <c r="E721" s="14">
        <v>0.25</v>
      </c>
    </row>
    <row r="722" spans="1:5" x14ac:dyDescent="0.25">
      <c r="A722" s="44" t="s">
        <v>1932</v>
      </c>
      <c r="B722" s="38" t="s">
        <v>1933</v>
      </c>
      <c r="C722" s="43">
        <v>2250</v>
      </c>
      <c r="D722" s="39">
        <v>1687.5</v>
      </c>
      <c r="E722" s="14">
        <v>0.25</v>
      </c>
    </row>
    <row r="723" spans="1:5" x14ac:dyDescent="0.25">
      <c r="A723" s="44" t="s">
        <v>1934</v>
      </c>
      <c r="B723" s="38" t="s">
        <v>1935</v>
      </c>
      <c r="C723" s="43">
        <v>288</v>
      </c>
      <c r="D723" s="39">
        <v>216</v>
      </c>
      <c r="E723" s="14">
        <v>0.25</v>
      </c>
    </row>
    <row r="724" spans="1:5" x14ac:dyDescent="0.25">
      <c r="A724" s="44" t="s">
        <v>1936</v>
      </c>
      <c r="B724" s="38" t="s">
        <v>1937</v>
      </c>
      <c r="C724" s="43">
        <v>486</v>
      </c>
      <c r="D724" s="39">
        <v>364.5</v>
      </c>
      <c r="E724" s="14">
        <v>0.25</v>
      </c>
    </row>
    <row r="725" spans="1:5" x14ac:dyDescent="0.25">
      <c r="A725" s="44" t="s">
        <v>1938</v>
      </c>
      <c r="B725" s="38" t="s">
        <v>1939</v>
      </c>
      <c r="C725" s="43">
        <v>2970</v>
      </c>
      <c r="D725" s="39">
        <v>2227.5</v>
      </c>
      <c r="E725" s="14">
        <v>0.25</v>
      </c>
    </row>
    <row r="726" spans="1:5" x14ac:dyDescent="0.25">
      <c r="A726" s="44" t="s">
        <v>1940</v>
      </c>
      <c r="B726" s="38" t="s">
        <v>1941</v>
      </c>
      <c r="C726" s="43">
        <v>792</v>
      </c>
      <c r="D726" s="39">
        <v>594</v>
      </c>
      <c r="E726" s="14">
        <v>0.25</v>
      </c>
    </row>
    <row r="727" spans="1:5" x14ac:dyDescent="0.25">
      <c r="A727" s="44" t="s">
        <v>1942</v>
      </c>
      <c r="B727" s="38" t="s">
        <v>1943</v>
      </c>
      <c r="C727" s="43">
        <v>792</v>
      </c>
      <c r="D727" s="39">
        <v>594</v>
      </c>
      <c r="E727" s="14">
        <v>0.25</v>
      </c>
    </row>
    <row r="728" spans="1:5" x14ac:dyDescent="0.25">
      <c r="A728" s="44" t="s">
        <v>1944</v>
      </c>
      <c r="B728" s="38" t="s">
        <v>1945</v>
      </c>
      <c r="C728" s="43">
        <v>234</v>
      </c>
      <c r="D728" s="39">
        <v>175.5</v>
      </c>
      <c r="E728" s="14">
        <v>0.25</v>
      </c>
    </row>
    <row r="729" spans="1:5" x14ac:dyDescent="0.25">
      <c r="A729" s="44" t="s">
        <v>1946</v>
      </c>
      <c r="B729" s="38" t="s">
        <v>1947</v>
      </c>
      <c r="C729" s="43">
        <v>486</v>
      </c>
      <c r="D729" s="39">
        <v>364.5</v>
      </c>
      <c r="E729" s="14">
        <v>0.25</v>
      </c>
    </row>
    <row r="730" spans="1:5" x14ac:dyDescent="0.25">
      <c r="A730" s="44" t="s">
        <v>1948</v>
      </c>
      <c r="B730" s="38" t="s">
        <v>1949</v>
      </c>
      <c r="C730" s="43">
        <v>990</v>
      </c>
      <c r="D730" s="39">
        <v>742.5</v>
      </c>
      <c r="E730" s="14">
        <v>0.25</v>
      </c>
    </row>
    <row r="731" spans="1:5" x14ac:dyDescent="0.25">
      <c r="A731" s="44" t="s">
        <v>1950</v>
      </c>
      <c r="B731" s="38" t="s">
        <v>1951</v>
      </c>
      <c r="C731" s="43">
        <v>1980</v>
      </c>
      <c r="D731" s="39">
        <v>1485</v>
      </c>
      <c r="E731" s="14">
        <v>0.25</v>
      </c>
    </row>
    <row r="732" spans="1:5" x14ac:dyDescent="0.25">
      <c r="A732" s="44" t="s">
        <v>1952</v>
      </c>
      <c r="B732" s="38" t="s">
        <v>1953</v>
      </c>
      <c r="C732" s="43">
        <v>288</v>
      </c>
      <c r="D732" s="39">
        <v>216</v>
      </c>
      <c r="E732" s="14">
        <v>0.25</v>
      </c>
    </row>
    <row r="733" spans="1:5" x14ac:dyDescent="0.25">
      <c r="A733" s="44" t="s">
        <v>1954</v>
      </c>
      <c r="B733" s="38" t="s">
        <v>1955</v>
      </c>
      <c r="C733" s="43">
        <v>49.5</v>
      </c>
      <c r="D733" s="39">
        <v>37.125</v>
      </c>
      <c r="E733" s="14">
        <v>0.25</v>
      </c>
    </row>
    <row r="734" spans="1:5" x14ac:dyDescent="0.25">
      <c r="A734" s="44" t="s">
        <v>1956</v>
      </c>
      <c r="B734" s="38" t="s">
        <v>1957</v>
      </c>
      <c r="C734" s="43">
        <v>990</v>
      </c>
      <c r="D734" s="39">
        <v>742.5</v>
      </c>
      <c r="E734" s="14">
        <v>0.25</v>
      </c>
    </row>
    <row r="735" spans="1:5" x14ac:dyDescent="0.25">
      <c r="A735" s="44" t="s">
        <v>1958</v>
      </c>
      <c r="B735" s="38" t="s">
        <v>1959</v>
      </c>
      <c r="C735" s="43">
        <v>2376</v>
      </c>
      <c r="D735" s="39">
        <v>1782</v>
      </c>
      <c r="E735" s="14">
        <v>0.25</v>
      </c>
    </row>
    <row r="736" spans="1:5" x14ac:dyDescent="0.25">
      <c r="A736" s="44" t="s">
        <v>1960</v>
      </c>
      <c r="B736" s="38" t="s">
        <v>1961</v>
      </c>
      <c r="C736" s="43">
        <v>810</v>
      </c>
      <c r="D736" s="39">
        <v>607.5</v>
      </c>
      <c r="E736" s="14">
        <v>0.25</v>
      </c>
    </row>
    <row r="737" spans="1:5" x14ac:dyDescent="0.25">
      <c r="A737" s="44" t="s">
        <v>1962</v>
      </c>
      <c r="B737" s="38" t="s">
        <v>1963</v>
      </c>
      <c r="C737" s="43">
        <v>180</v>
      </c>
      <c r="D737" s="39">
        <v>135</v>
      </c>
      <c r="E737" s="14">
        <v>0.25</v>
      </c>
    </row>
    <row r="738" spans="1:5" x14ac:dyDescent="0.25">
      <c r="A738" s="44" t="s">
        <v>1964</v>
      </c>
      <c r="B738" s="38" t="s">
        <v>1965</v>
      </c>
      <c r="C738" s="43">
        <v>990</v>
      </c>
      <c r="D738" s="39">
        <v>742.5</v>
      </c>
      <c r="E738" s="14">
        <v>0.25</v>
      </c>
    </row>
    <row r="739" spans="1:5" x14ac:dyDescent="0.25">
      <c r="A739" s="44" t="s">
        <v>1966</v>
      </c>
      <c r="B739" s="38" t="s">
        <v>1967</v>
      </c>
      <c r="C739" s="43">
        <v>2160</v>
      </c>
      <c r="D739" s="39">
        <v>1620</v>
      </c>
      <c r="E739" s="14">
        <v>0.25</v>
      </c>
    </row>
    <row r="740" spans="1:5" x14ac:dyDescent="0.25">
      <c r="A740" s="44" t="s">
        <v>1968</v>
      </c>
      <c r="B740" s="38" t="s">
        <v>1969</v>
      </c>
      <c r="C740" s="43">
        <v>4050</v>
      </c>
      <c r="D740" s="39">
        <v>3037.5</v>
      </c>
      <c r="E740" s="14">
        <v>0.25</v>
      </c>
    </row>
    <row r="741" spans="1:5" x14ac:dyDescent="0.25">
      <c r="A741" s="44" t="s">
        <v>1970</v>
      </c>
      <c r="B741" s="38" t="s">
        <v>1971</v>
      </c>
      <c r="C741" s="43">
        <v>6300</v>
      </c>
      <c r="D741" s="39">
        <v>4725</v>
      </c>
      <c r="E741" s="14">
        <v>0.25</v>
      </c>
    </row>
    <row r="742" spans="1:5" x14ac:dyDescent="0.25">
      <c r="A742" s="44" t="s">
        <v>1972</v>
      </c>
      <c r="B742" s="38" t="s">
        <v>1973</v>
      </c>
      <c r="C742" s="43">
        <v>1800</v>
      </c>
      <c r="D742" s="39">
        <v>1350</v>
      </c>
      <c r="E742" s="14">
        <v>0.25</v>
      </c>
    </row>
    <row r="743" spans="1:5" x14ac:dyDescent="0.25">
      <c r="A743" s="44" t="s">
        <v>1974</v>
      </c>
      <c r="B743" s="38" t="s">
        <v>1975</v>
      </c>
      <c r="C743" s="43">
        <v>900</v>
      </c>
      <c r="D743" s="39">
        <v>675</v>
      </c>
      <c r="E743" s="14">
        <v>0.25</v>
      </c>
    </row>
    <row r="744" spans="1:5" x14ac:dyDescent="0.25">
      <c r="A744" s="44" t="s">
        <v>1976</v>
      </c>
      <c r="B744" s="38" t="s">
        <v>1977</v>
      </c>
      <c r="C744" s="43">
        <v>396</v>
      </c>
      <c r="D744" s="39">
        <v>297</v>
      </c>
      <c r="E744" s="14">
        <v>0.25</v>
      </c>
    </row>
    <row r="745" spans="1:5" x14ac:dyDescent="0.25">
      <c r="A745" s="44" t="s">
        <v>1978</v>
      </c>
      <c r="B745" s="38" t="s">
        <v>1979</v>
      </c>
      <c r="C745" s="43">
        <v>306</v>
      </c>
      <c r="D745" s="39">
        <v>229.5</v>
      </c>
      <c r="E745" s="14">
        <v>0.25</v>
      </c>
    </row>
    <row r="746" spans="1:5" x14ac:dyDescent="0.25">
      <c r="A746" s="44" t="s">
        <v>1980</v>
      </c>
      <c r="B746" s="38" t="s">
        <v>1981</v>
      </c>
      <c r="C746" s="43">
        <v>1782</v>
      </c>
      <c r="D746" s="39">
        <v>1336.5</v>
      </c>
      <c r="E746" s="14">
        <v>0.25</v>
      </c>
    </row>
    <row r="747" spans="1:5" x14ac:dyDescent="0.25">
      <c r="A747" s="44" t="s">
        <v>1982</v>
      </c>
      <c r="B747" s="38" t="s">
        <v>1983</v>
      </c>
      <c r="C747" s="43">
        <v>4.5</v>
      </c>
      <c r="D747" s="39">
        <v>3.375</v>
      </c>
      <c r="E747" s="14">
        <v>0.25</v>
      </c>
    </row>
    <row r="748" spans="1:5" x14ac:dyDescent="0.25">
      <c r="A748" s="44" t="s">
        <v>1984</v>
      </c>
      <c r="B748" s="38" t="s">
        <v>1985</v>
      </c>
      <c r="C748" s="43">
        <v>99</v>
      </c>
      <c r="D748" s="39">
        <v>74.25</v>
      </c>
      <c r="E748" s="14">
        <v>0.25</v>
      </c>
    </row>
    <row r="749" spans="1:5" x14ac:dyDescent="0.25">
      <c r="A749" s="44" t="s">
        <v>1986</v>
      </c>
      <c r="B749" s="38" t="s">
        <v>1987</v>
      </c>
      <c r="C749" s="43">
        <v>99</v>
      </c>
      <c r="D749" s="39">
        <v>74.25</v>
      </c>
      <c r="E749" s="14">
        <v>0.25</v>
      </c>
    </row>
    <row r="750" spans="1:5" x14ac:dyDescent="0.25">
      <c r="A750" s="44" t="s">
        <v>1988</v>
      </c>
      <c r="B750" s="38" t="s">
        <v>1989</v>
      </c>
      <c r="C750" s="43">
        <v>792</v>
      </c>
      <c r="D750" s="39">
        <v>594</v>
      </c>
      <c r="E750" s="14">
        <v>0.25</v>
      </c>
    </row>
    <row r="751" spans="1:5" x14ac:dyDescent="0.25">
      <c r="A751" s="44" t="s">
        <v>1990</v>
      </c>
      <c r="B751" s="38" t="s">
        <v>1991</v>
      </c>
      <c r="C751" s="43">
        <v>90</v>
      </c>
      <c r="D751" s="39">
        <v>67.5</v>
      </c>
      <c r="E751" s="14">
        <v>0.25</v>
      </c>
    </row>
    <row r="752" spans="1:5" x14ac:dyDescent="0.25">
      <c r="A752" s="44" t="s">
        <v>1992</v>
      </c>
      <c r="B752" s="38" t="s">
        <v>1993</v>
      </c>
      <c r="C752" s="43">
        <v>360</v>
      </c>
      <c r="D752" s="39">
        <v>270</v>
      </c>
      <c r="E752" s="14">
        <v>0.25</v>
      </c>
    </row>
    <row r="753" spans="1:5" x14ac:dyDescent="0.25">
      <c r="A753" s="44" t="s">
        <v>1994</v>
      </c>
      <c r="B753" s="38" t="s">
        <v>1995</v>
      </c>
      <c r="C753" s="43">
        <v>1080</v>
      </c>
      <c r="D753" s="39">
        <v>810</v>
      </c>
      <c r="E753" s="14">
        <v>0.25</v>
      </c>
    </row>
    <row r="754" spans="1:5" x14ac:dyDescent="0.25">
      <c r="A754" s="44" t="s">
        <v>1996</v>
      </c>
      <c r="B754" s="38" t="s">
        <v>1997</v>
      </c>
      <c r="C754" s="43">
        <v>1710</v>
      </c>
      <c r="D754" s="39">
        <v>1282.5</v>
      </c>
      <c r="E754" s="14">
        <v>0.25</v>
      </c>
    </row>
    <row r="755" spans="1:5" x14ac:dyDescent="0.25">
      <c r="A755" s="44" t="s">
        <v>1998</v>
      </c>
      <c r="B755" s="38" t="s">
        <v>1999</v>
      </c>
      <c r="C755" s="43">
        <v>1584</v>
      </c>
      <c r="D755" s="39">
        <v>1188</v>
      </c>
      <c r="E755" s="14">
        <v>0.25</v>
      </c>
    </row>
    <row r="756" spans="1:5" x14ac:dyDescent="0.25">
      <c r="A756" s="44" t="s">
        <v>2000</v>
      </c>
      <c r="B756" s="38" t="s">
        <v>2001</v>
      </c>
      <c r="C756" s="43">
        <v>1980</v>
      </c>
      <c r="D756" s="39">
        <v>1485</v>
      </c>
      <c r="E756" s="14">
        <v>0.25</v>
      </c>
    </row>
    <row r="757" spans="1:5" x14ac:dyDescent="0.25">
      <c r="A757" s="44" t="s">
        <v>2002</v>
      </c>
      <c r="B757" s="38" t="s">
        <v>2003</v>
      </c>
      <c r="C757" s="43">
        <v>486</v>
      </c>
      <c r="D757" s="39">
        <v>364.5</v>
      </c>
      <c r="E757" s="14">
        <v>0.25</v>
      </c>
    </row>
    <row r="758" spans="1:5" x14ac:dyDescent="0.25">
      <c r="A758" s="44" t="s">
        <v>2004</v>
      </c>
      <c r="B758" s="38" t="s">
        <v>2005</v>
      </c>
      <c r="C758" s="43">
        <v>792</v>
      </c>
      <c r="D758" s="39">
        <v>594</v>
      </c>
      <c r="E758" s="14">
        <v>0.25</v>
      </c>
    </row>
    <row r="759" spans="1:5" x14ac:dyDescent="0.25">
      <c r="A759" s="44" t="s">
        <v>2006</v>
      </c>
      <c r="B759" s="38" t="s">
        <v>2007</v>
      </c>
      <c r="C759" s="43">
        <v>990</v>
      </c>
      <c r="D759" s="39">
        <v>742.5</v>
      </c>
      <c r="E759" s="14">
        <v>0.25</v>
      </c>
    </row>
    <row r="760" spans="1:5" x14ac:dyDescent="0.25">
      <c r="A760" s="44" t="s">
        <v>2008</v>
      </c>
      <c r="B760" s="38" t="s">
        <v>2009</v>
      </c>
      <c r="C760" s="43">
        <v>1584</v>
      </c>
      <c r="D760" s="39">
        <v>1188</v>
      </c>
      <c r="E760" s="14">
        <v>0.25</v>
      </c>
    </row>
    <row r="761" spans="1:5" x14ac:dyDescent="0.25">
      <c r="A761" s="44" t="s">
        <v>2010</v>
      </c>
      <c r="B761" s="38" t="s">
        <v>2011</v>
      </c>
      <c r="C761" s="43">
        <v>1584</v>
      </c>
      <c r="D761" s="39">
        <v>1188</v>
      </c>
      <c r="E761" s="14">
        <v>0.25</v>
      </c>
    </row>
    <row r="762" spans="1:5" x14ac:dyDescent="0.25">
      <c r="A762" s="44" t="s">
        <v>2012</v>
      </c>
      <c r="B762" s="38" t="s">
        <v>2013</v>
      </c>
      <c r="C762" s="43">
        <v>3168</v>
      </c>
      <c r="D762" s="39">
        <v>2376</v>
      </c>
      <c r="E762" s="14">
        <v>0.25</v>
      </c>
    </row>
    <row r="763" spans="1:5" x14ac:dyDescent="0.25">
      <c r="A763" s="44" t="s">
        <v>2014</v>
      </c>
      <c r="B763" s="38" t="s">
        <v>2015</v>
      </c>
      <c r="C763" s="43">
        <v>4752</v>
      </c>
      <c r="D763" s="39">
        <v>3564</v>
      </c>
      <c r="E763" s="14">
        <v>0.25</v>
      </c>
    </row>
    <row r="764" spans="1:5" x14ac:dyDescent="0.25">
      <c r="A764" s="44" t="s">
        <v>2016</v>
      </c>
      <c r="B764" s="38" t="s">
        <v>2017</v>
      </c>
      <c r="C764" s="43">
        <v>6336</v>
      </c>
      <c r="D764" s="39">
        <v>4752</v>
      </c>
      <c r="E764" s="14">
        <v>0.25</v>
      </c>
    </row>
    <row r="765" spans="1:5" x14ac:dyDescent="0.25">
      <c r="A765" s="44" t="s">
        <v>2018</v>
      </c>
      <c r="B765" s="38" t="s">
        <v>2019</v>
      </c>
      <c r="C765" s="43">
        <v>7920</v>
      </c>
      <c r="D765" s="39">
        <v>5940</v>
      </c>
      <c r="E765" s="14">
        <v>0.25</v>
      </c>
    </row>
    <row r="766" spans="1:5" x14ac:dyDescent="0.25">
      <c r="A766" s="44" t="s">
        <v>2020</v>
      </c>
      <c r="B766" s="38" t="s">
        <v>2021</v>
      </c>
      <c r="C766" s="43">
        <v>9504</v>
      </c>
      <c r="D766" s="39">
        <v>7128</v>
      </c>
      <c r="E766" s="14">
        <v>0.25</v>
      </c>
    </row>
    <row r="767" spans="1:5" x14ac:dyDescent="0.25">
      <c r="A767" s="44" t="s">
        <v>2022</v>
      </c>
      <c r="B767" s="38" t="s">
        <v>2023</v>
      </c>
      <c r="C767" s="43">
        <v>11088</v>
      </c>
      <c r="D767" s="39">
        <v>8316</v>
      </c>
      <c r="E767" s="14">
        <v>0.25</v>
      </c>
    </row>
    <row r="768" spans="1:5" x14ac:dyDescent="0.25">
      <c r="A768" s="44" t="s">
        <v>2024</v>
      </c>
      <c r="B768" s="38" t="s">
        <v>2025</v>
      </c>
      <c r="C768" s="43">
        <v>12672</v>
      </c>
      <c r="D768" s="39">
        <v>9504</v>
      </c>
      <c r="E768" s="14">
        <v>0.25</v>
      </c>
    </row>
    <row r="769" spans="1:5" x14ac:dyDescent="0.25">
      <c r="A769" s="44" t="s">
        <v>2026</v>
      </c>
      <c r="B769" s="38" t="s">
        <v>2027</v>
      </c>
      <c r="C769" s="43">
        <v>14256</v>
      </c>
      <c r="D769" s="39">
        <v>10692</v>
      </c>
      <c r="E769" s="14">
        <v>0.25</v>
      </c>
    </row>
    <row r="770" spans="1:5" x14ac:dyDescent="0.25">
      <c r="A770" s="44" t="s">
        <v>2028</v>
      </c>
      <c r="B770" s="38" t="s">
        <v>2029</v>
      </c>
      <c r="C770" s="43">
        <v>15840</v>
      </c>
      <c r="D770" s="39">
        <v>11880</v>
      </c>
      <c r="E770" s="14">
        <v>0.25</v>
      </c>
    </row>
    <row r="771" spans="1:5" x14ac:dyDescent="0.25">
      <c r="A771" s="44" t="s">
        <v>2030</v>
      </c>
      <c r="B771" s="38" t="s">
        <v>2031</v>
      </c>
      <c r="C771" s="43">
        <v>198</v>
      </c>
      <c r="D771" s="39">
        <v>148.5</v>
      </c>
      <c r="E771" s="14">
        <v>0.25</v>
      </c>
    </row>
    <row r="772" spans="1:5" x14ac:dyDescent="0.25">
      <c r="A772" s="44" t="s">
        <v>2032</v>
      </c>
      <c r="B772" s="38" t="s">
        <v>2033</v>
      </c>
      <c r="C772" s="43">
        <v>2178</v>
      </c>
      <c r="D772" s="39">
        <v>1633.5</v>
      </c>
      <c r="E772" s="14">
        <v>0.25</v>
      </c>
    </row>
    <row r="773" spans="1:5" x14ac:dyDescent="0.25">
      <c r="A773" s="44" t="s">
        <v>2034</v>
      </c>
      <c r="B773" s="38" t="s">
        <v>2035</v>
      </c>
      <c r="C773" s="43">
        <v>3960</v>
      </c>
      <c r="D773" s="39">
        <v>2970</v>
      </c>
      <c r="E773" s="14">
        <v>0.25</v>
      </c>
    </row>
    <row r="774" spans="1:5" x14ac:dyDescent="0.25">
      <c r="A774" s="44" t="s">
        <v>2036</v>
      </c>
      <c r="B774" s="38" t="s">
        <v>2037</v>
      </c>
      <c r="C774" s="43">
        <v>6534</v>
      </c>
      <c r="D774" s="39">
        <v>4900.5</v>
      </c>
      <c r="E774" s="14">
        <v>0.25</v>
      </c>
    </row>
    <row r="775" spans="1:5" x14ac:dyDescent="0.25">
      <c r="A775" s="44" t="s">
        <v>2038</v>
      </c>
      <c r="B775" s="38" t="s">
        <v>2039</v>
      </c>
      <c r="C775" s="43">
        <v>13068</v>
      </c>
      <c r="D775" s="39">
        <v>9801</v>
      </c>
      <c r="E775" s="14">
        <v>0.25</v>
      </c>
    </row>
    <row r="776" spans="1:5" x14ac:dyDescent="0.25">
      <c r="A776" s="44" t="s">
        <v>2040</v>
      </c>
      <c r="B776" s="38" t="s">
        <v>2041</v>
      </c>
      <c r="C776" s="43">
        <v>23562</v>
      </c>
      <c r="D776" s="39">
        <v>17671.5</v>
      </c>
      <c r="E776" s="14">
        <v>0.25</v>
      </c>
    </row>
    <row r="777" spans="1:5" x14ac:dyDescent="0.25">
      <c r="A777" s="44" t="s">
        <v>2042</v>
      </c>
      <c r="B777" s="38" t="s">
        <v>2043</v>
      </c>
      <c r="C777" s="43">
        <v>990</v>
      </c>
      <c r="D777" s="39">
        <v>742.5</v>
      </c>
      <c r="E777" s="14">
        <v>0.25</v>
      </c>
    </row>
    <row r="778" spans="1:5" x14ac:dyDescent="0.25">
      <c r="A778" s="44" t="s">
        <v>2044</v>
      </c>
      <c r="B778" s="38" t="s">
        <v>2045</v>
      </c>
      <c r="C778" s="43">
        <v>486</v>
      </c>
      <c r="D778" s="39">
        <v>364.5</v>
      </c>
      <c r="E778" s="14">
        <v>0.25</v>
      </c>
    </row>
    <row r="779" spans="1:5" x14ac:dyDescent="0.25">
      <c r="A779" s="44" t="s">
        <v>2046</v>
      </c>
      <c r="B779" s="38" t="s">
        <v>2047</v>
      </c>
      <c r="C779" s="43">
        <v>1080</v>
      </c>
      <c r="D779" s="39">
        <v>810</v>
      </c>
      <c r="E779" s="14">
        <v>0.25</v>
      </c>
    </row>
    <row r="780" spans="1:5" x14ac:dyDescent="0.25">
      <c r="A780" s="44" t="s">
        <v>2048</v>
      </c>
      <c r="B780" s="38" t="s">
        <v>2049</v>
      </c>
      <c r="C780" s="43">
        <v>1980</v>
      </c>
      <c r="D780" s="39">
        <v>1485</v>
      </c>
      <c r="E780" s="14">
        <v>0.25</v>
      </c>
    </row>
    <row r="781" spans="1:5" x14ac:dyDescent="0.25">
      <c r="A781" s="44" t="s">
        <v>2050</v>
      </c>
      <c r="B781" s="38" t="s">
        <v>2051</v>
      </c>
      <c r="C781" s="43">
        <v>3258</v>
      </c>
      <c r="D781" s="39">
        <v>2443.5</v>
      </c>
      <c r="E781" s="14">
        <v>0.25</v>
      </c>
    </row>
    <row r="782" spans="1:5" x14ac:dyDescent="0.25">
      <c r="A782" s="44" t="s">
        <v>2052</v>
      </c>
      <c r="B782" s="38" t="s">
        <v>2053</v>
      </c>
      <c r="C782" s="43">
        <v>6534</v>
      </c>
      <c r="D782" s="39">
        <v>4900.5</v>
      </c>
      <c r="E782" s="14">
        <v>0.25</v>
      </c>
    </row>
    <row r="783" spans="1:5" x14ac:dyDescent="0.25">
      <c r="A783" s="44" t="s">
        <v>2054</v>
      </c>
      <c r="B783" s="38" t="s">
        <v>2055</v>
      </c>
      <c r="C783" s="43">
        <v>3600</v>
      </c>
      <c r="D783" s="39">
        <v>2700</v>
      </c>
      <c r="E783" s="14">
        <v>0.25</v>
      </c>
    </row>
    <row r="784" spans="1:5" x14ac:dyDescent="0.25">
      <c r="A784" s="44" t="s">
        <v>2056</v>
      </c>
      <c r="B784" s="38" t="s">
        <v>2057</v>
      </c>
      <c r="C784" s="43">
        <v>5940</v>
      </c>
      <c r="D784" s="39">
        <v>4455</v>
      </c>
      <c r="E784" s="14">
        <v>0.25</v>
      </c>
    </row>
    <row r="785" spans="1:5" x14ac:dyDescent="0.25">
      <c r="A785" s="44" t="s">
        <v>2058</v>
      </c>
      <c r="B785" s="38" t="s">
        <v>2059</v>
      </c>
      <c r="C785" s="43">
        <v>10440</v>
      </c>
      <c r="D785" s="39">
        <v>7830</v>
      </c>
      <c r="E785" s="14">
        <v>0.25</v>
      </c>
    </row>
    <row r="786" spans="1:5" x14ac:dyDescent="0.25">
      <c r="A786" s="44" t="s">
        <v>2060</v>
      </c>
      <c r="B786" s="38" t="s">
        <v>2061</v>
      </c>
      <c r="C786" s="43">
        <v>22320</v>
      </c>
      <c r="D786" s="39">
        <v>16740</v>
      </c>
      <c r="E786" s="14">
        <v>0.25</v>
      </c>
    </row>
    <row r="787" spans="1:5" x14ac:dyDescent="0.25">
      <c r="A787" s="44" t="s">
        <v>2062</v>
      </c>
      <c r="B787" s="38" t="s">
        <v>2063</v>
      </c>
      <c r="C787" s="43">
        <v>1350</v>
      </c>
      <c r="D787" s="39">
        <v>1012.5</v>
      </c>
      <c r="E787" s="14">
        <v>0.25</v>
      </c>
    </row>
    <row r="788" spans="1:5" x14ac:dyDescent="0.25">
      <c r="A788" s="44" t="s">
        <v>2064</v>
      </c>
      <c r="B788" s="38" t="s">
        <v>2065</v>
      </c>
      <c r="C788" s="43">
        <v>90</v>
      </c>
      <c r="D788" s="39">
        <v>67.5</v>
      </c>
      <c r="E788" s="14">
        <v>0.25</v>
      </c>
    </row>
    <row r="789" spans="1:5" x14ac:dyDescent="0.25">
      <c r="A789" s="44" t="s">
        <v>2066</v>
      </c>
      <c r="B789" s="38" t="s">
        <v>2067</v>
      </c>
      <c r="C789" s="43">
        <v>432</v>
      </c>
      <c r="D789" s="39">
        <v>324</v>
      </c>
      <c r="E789" s="14">
        <v>0.25</v>
      </c>
    </row>
    <row r="790" spans="1:5" x14ac:dyDescent="0.25">
      <c r="A790" s="44" t="s">
        <v>2068</v>
      </c>
      <c r="B790" s="38" t="s">
        <v>2069</v>
      </c>
      <c r="C790" s="43">
        <v>1512</v>
      </c>
      <c r="D790" s="39">
        <v>1134</v>
      </c>
      <c r="E790" s="14">
        <v>0.25</v>
      </c>
    </row>
    <row r="791" spans="1:5" x14ac:dyDescent="0.25">
      <c r="A791" s="44" t="s">
        <v>2070</v>
      </c>
      <c r="B791" s="38" t="s">
        <v>2071</v>
      </c>
      <c r="C791" s="43">
        <v>180</v>
      </c>
      <c r="D791" s="39">
        <v>135</v>
      </c>
      <c r="E791" s="14">
        <v>0.25</v>
      </c>
    </row>
    <row r="792" spans="1:5" x14ac:dyDescent="0.25">
      <c r="A792" s="44" t="s">
        <v>2072</v>
      </c>
      <c r="B792" s="38" t="s">
        <v>2073</v>
      </c>
      <c r="C792" s="43">
        <v>864</v>
      </c>
      <c r="D792" s="39">
        <v>648</v>
      </c>
      <c r="E792" s="14">
        <v>0.25</v>
      </c>
    </row>
    <row r="793" spans="1:5" x14ac:dyDescent="0.25">
      <c r="A793" s="44" t="s">
        <v>2074</v>
      </c>
      <c r="B793" s="38" t="s">
        <v>2075</v>
      </c>
      <c r="C793" s="43">
        <v>3024</v>
      </c>
      <c r="D793" s="39">
        <v>2268</v>
      </c>
      <c r="E793" s="14">
        <v>0.25</v>
      </c>
    </row>
    <row r="794" spans="1:5" x14ac:dyDescent="0.25">
      <c r="A794" s="44" t="s">
        <v>2076</v>
      </c>
      <c r="B794" s="38" t="s">
        <v>2077</v>
      </c>
      <c r="C794" s="43">
        <v>539.1</v>
      </c>
      <c r="D794" s="39">
        <v>404.32500000000005</v>
      </c>
      <c r="E794" s="14">
        <v>0.25</v>
      </c>
    </row>
    <row r="795" spans="1:5" x14ac:dyDescent="0.25">
      <c r="A795" s="44" t="s">
        <v>2078</v>
      </c>
      <c r="B795" s="38" t="s">
        <v>2079</v>
      </c>
      <c r="C795" s="43">
        <v>89.1</v>
      </c>
      <c r="D795" s="39">
        <v>66.824999999999989</v>
      </c>
      <c r="E795" s="14">
        <v>0.25000000000000011</v>
      </c>
    </row>
    <row r="796" spans="1:5" x14ac:dyDescent="0.25">
      <c r="A796" s="44" t="s">
        <v>2080</v>
      </c>
      <c r="B796" s="38" t="s">
        <v>2081</v>
      </c>
      <c r="C796" s="43">
        <v>179.1</v>
      </c>
      <c r="D796" s="39">
        <v>134.32499999999999</v>
      </c>
      <c r="E796" s="14">
        <v>0.25</v>
      </c>
    </row>
    <row r="797" spans="1:5" x14ac:dyDescent="0.25">
      <c r="A797" s="44" t="s">
        <v>2082</v>
      </c>
      <c r="B797" s="38" t="s">
        <v>2083</v>
      </c>
      <c r="C797" s="43">
        <v>305.09999999999997</v>
      </c>
      <c r="D797" s="39">
        <v>228.82499999999999</v>
      </c>
      <c r="E797" s="14">
        <v>0.25</v>
      </c>
    </row>
    <row r="798" spans="1:5" x14ac:dyDescent="0.25">
      <c r="A798" s="44" t="s">
        <v>2084</v>
      </c>
      <c r="B798" s="38" t="s">
        <v>2085</v>
      </c>
      <c r="C798" s="43">
        <v>557.1</v>
      </c>
      <c r="D798" s="39">
        <v>417.82500000000005</v>
      </c>
      <c r="E798" s="14">
        <v>0.25</v>
      </c>
    </row>
    <row r="799" spans="1:5" x14ac:dyDescent="0.25">
      <c r="A799" s="44" t="s">
        <v>2086</v>
      </c>
      <c r="B799" s="38" t="s">
        <v>2087</v>
      </c>
      <c r="C799" s="43">
        <v>3360.0000000000005</v>
      </c>
      <c r="D799" s="39">
        <v>2520.0000000000005</v>
      </c>
      <c r="E799" s="14">
        <v>0.25</v>
      </c>
    </row>
    <row r="800" spans="1:5" x14ac:dyDescent="0.25">
      <c r="A800" s="44" t="s">
        <v>2088</v>
      </c>
      <c r="B800" s="38" t="s">
        <v>2089</v>
      </c>
      <c r="C800" s="43">
        <v>11760.000000000002</v>
      </c>
      <c r="D800" s="39">
        <v>8820.0000000000018</v>
      </c>
      <c r="E800" s="14">
        <v>0.25</v>
      </c>
    </row>
    <row r="801" spans="1:5" x14ac:dyDescent="0.25">
      <c r="A801" s="44" t="s">
        <v>2090</v>
      </c>
      <c r="B801" s="38" t="s">
        <v>2091</v>
      </c>
      <c r="C801" s="43">
        <v>385.00000000000006</v>
      </c>
      <c r="D801" s="39">
        <v>288.75000000000006</v>
      </c>
      <c r="E801" s="14">
        <v>0.25</v>
      </c>
    </row>
    <row r="802" spans="1:5" x14ac:dyDescent="0.25">
      <c r="A802" s="44" t="s">
        <v>2092</v>
      </c>
      <c r="B802" s="38" t="s">
        <v>2093</v>
      </c>
      <c r="C802" s="43">
        <v>3234.0000000000005</v>
      </c>
      <c r="D802" s="39">
        <v>2425.5000000000005</v>
      </c>
      <c r="E802" s="14">
        <v>0.25</v>
      </c>
    </row>
    <row r="803" spans="1:5" x14ac:dyDescent="0.25">
      <c r="A803" s="44" t="s">
        <v>2094</v>
      </c>
      <c r="B803" s="38" t="s">
        <v>2095</v>
      </c>
      <c r="C803" s="43">
        <v>22400.000000000004</v>
      </c>
      <c r="D803" s="39">
        <v>16800.000000000004</v>
      </c>
      <c r="E803" s="14">
        <v>0.25</v>
      </c>
    </row>
    <row r="804" spans="1:5" x14ac:dyDescent="0.25">
      <c r="A804" s="44" t="s">
        <v>2096</v>
      </c>
      <c r="B804" s="38" t="s">
        <v>2097</v>
      </c>
      <c r="C804" s="43">
        <v>448.00000000000006</v>
      </c>
      <c r="D804" s="39">
        <v>336.00000000000006</v>
      </c>
      <c r="E804" s="14">
        <v>0.25</v>
      </c>
    </row>
    <row r="805" spans="1:5" x14ac:dyDescent="0.25">
      <c r="A805" s="44" t="s">
        <v>2098</v>
      </c>
      <c r="B805" s="38" t="s">
        <v>2099</v>
      </c>
      <c r="C805" s="43">
        <v>3500.0000000000005</v>
      </c>
      <c r="D805" s="39">
        <v>2625.0000000000005</v>
      </c>
      <c r="E805" s="14">
        <v>0.25</v>
      </c>
    </row>
    <row r="806" spans="1:5" x14ac:dyDescent="0.25">
      <c r="A806" s="44" t="s">
        <v>2100</v>
      </c>
      <c r="B806" s="38" t="s">
        <v>2101</v>
      </c>
      <c r="C806" s="43">
        <v>24640.000000000004</v>
      </c>
      <c r="D806" s="39">
        <v>18480.000000000004</v>
      </c>
      <c r="E806" s="14">
        <v>0.25</v>
      </c>
    </row>
    <row r="807" spans="1:5" x14ac:dyDescent="0.25">
      <c r="A807" s="44" t="s">
        <v>2102</v>
      </c>
      <c r="B807" s="38" t="s">
        <v>2103</v>
      </c>
      <c r="C807" s="43">
        <v>2800.0000000000005</v>
      </c>
      <c r="D807" s="39">
        <v>2100.0000000000005</v>
      </c>
      <c r="E807" s="14">
        <v>0.25</v>
      </c>
    </row>
    <row r="808" spans="1:5" x14ac:dyDescent="0.25">
      <c r="A808" s="44" t="s">
        <v>2104</v>
      </c>
      <c r="B808" s="38" t="s">
        <v>2105</v>
      </c>
      <c r="C808" s="43">
        <v>644.00000000000011</v>
      </c>
      <c r="D808" s="39">
        <v>483.00000000000011</v>
      </c>
      <c r="E808" s="14">
        <v>0.25</v>
      </c>
    </row>
    <row r="809" spans="1:5" x14ac:dyDescent="0.25">
      <c r="A809" s="44" t="s">
        <v>2106</v>
      </c>
      <c r="B809" s="38" t="s">
        <v>2107</v>
      </c>
      <c r="C809" s="43">
        <v>4480</v>
      </c>
      <c r="D809" s="39">
        <v>3360</v>
      </c>
      <c r="E809" s="14">
        <v>0.25</v>
      </c>
    </row>
    <row r="810" spans="1:5" x14ac:dyDescent="0.25">
      <c r="A810" s="44" t="s">
        <v>2108</v>
      </c>
      <c r="B810" s="38" t="s">
        <v>2109</v>
      </c>
      <c r="C810" s="43">
        <v>700.00000000000011</v>
      </c>
      <c r="D810" s="39">
        <v>525.00000000000011</v>
      </c>
      <c r="E810" s="14">
        <v>0.25</v>
      </c>
    </row>
    <row r="811" spans="1:5" x14ac:dyDescent="0.25">
      <c r="A811" s="44" t="s">
        <v>2110</v>
      </c>
      <c r="B811" s="38" t="s">
        <v>2111</v>
      </c>
      <c r="C811" s="43">
        <v>280</v>
      </c>
      <c r="D811" s="39">
        <v>210</v>
      </c>
      <c r="E811" s="14">
        <v>0.25</v>
      </c>
    </row>
    <row r="812" spans="1:5" x14ac:dyDescent="0.25">
      <c r="A812" s="44" t="s">
        <v>2112</v>
      </c>
      <c r="B812" s="38" t="s">
        <v>2113</v>
      </c>
      <c r="C812" s="43">
        <v>1680.0000000000002</v>
      </c>
      <c r="D812" s="39">
        <v>1260.0000000000002</v>
      </c>
      <c r="E812" s="14">
        <v>0.25</v>
      </c>
    </row>
    <row r="813" spans="1:5" x14ac:dyDescent="0.25">
      <c r="A813" s="44" t="s">
        <v>2114</v>
      </c>
      <c r="B813" s="38" t="s">
        <v>2115</v>
      </c>
      <c r="C813" s="43">
        <v>980.00000000000011</v>
      </c>
      <c r="D813" s="39">
        <v>735.00000000000011</v>
      </c>
      <c r="E813" s="14">
        <v>0.25</v>
      </c>
    </row>
    <row r="814" spans="1:5" x14ac:dyDescent="0.25">
      <c r="A814" s="44" t="s">
        <v>2116</v>
      </c>
      <c r="B814" s="38" t="s">
        <v>2117</v>
      </c>
      <c r="C814" s="43">
        <v>672.00000000000011</v>
      </c>
      <c r="D814" s="39">
        <v>504.00000000000011</v>
      </c>
      <c r="E814" s="14">
        <v>0.25</v>
      </c>
    </row>
    <row r="815" spans="1:5" x14ac:dyDescent="0.25">
      <c r="A815" s="44" t="s">
        <v>2118</v>
      </c>
      <c r="B815" s="38" t="s">
        <v>2119</v>
      </c>
      <c r="C815" s="43">
        <v>2912.0000000000005</v>
      </c>
      <c r="D815" s="39">
        <v>2184.0000000000005</v>
      </c>
      <c r="E815" s="14">
        <v>0.25</v>
      </c>
    </row>
    <row r="816" spans="1:5" x14ac:dyDescent="0.25">
      <c r="A816" s="44" t="s">
        <v>2120</v>
      </c>
      <c r="B816" s="38" t="s">
        <v>2121</v>
      </c>
      <c r="C816" s="43">
        <v>3640.0000000000005</v>
      </c>
      <c r="D816" s="39">
        <v>2730.0000000000005</v>
      </c>
      <c r="E816" s="14">
        <v>0.25</v>
      </c>
    </row>
    <row r="817" spans="1:5" x14ac:dyDescent="0.25">
      <c r="A817" s="44" t="s">
        <v>2122</v>
      </c>
      <c r="B817" s="38" t="s">
        <v>2123</v>
      </c>
      <c r="C817" s="43">
        <v>8008.0000000000009</v>
      </c>
      <c r="D817" s="39">
        <v>6006.0000000000009</v>
      </c>
      <c r="E817" s="14">
        <v>0.25</v>
      </c>
    </row>
    <row r="818" spans="1:5" x14ac:dyDescent="0.25">
      <c r="A818" s="44" t="s">
        <v>2124</v>
      </c>
      <c r="B818" s="38" t="s">
        <v>2125</v>
      </c>
      <c r="C818" s="43">
        <v>16324.000000000002</v>
      </c>
      <c r="D818" s="39">
        <v>12243.000000000002</v>
      </c>
      <c r="E818" s="14">
        <v>0.25</v>
      </c>
    </row>
    <row r="819" spans="1:5" x14ac:dyDescent="0.25">
      <c r="A819" s="44" t="s">
        <v>2126</v>
      </c>
      <c r="B819" s="38" t="s">
        <v>2127</v>
      </c>
      <c r="C819" s="43">
        <v>4592</v>
      </c>
      <c r="D819" s="39">
        <v>3444</v>
      </c>
      <c r="E819" s="14">
        <v>0.25</v>
      </c>
    </row>
    <row r="820" spans="1:5" x14ac:dyDescent="0.25">
      <c r="A820" s="44" t="s">
        <v>2128</v>
      </c>
      <c r="B820" s="38" t="s">
        <v>2129</v>
      </c>
      <c r="C820" s="43">
        <v>336.00000000000006</v>
      </c>
      <c r="D820" s="39">
        <v>252.00000000000006</v>
      </c>
      <c r="E820" s="14">
        <v>0.25</v>
      </c>
    </row>
    <row r="821" spans="1:5" x14ac:dyDescent="0.25">
      <c r="A821" s="44" t="s">
        <v>2130</v>
      </c>
      <c r="B821" s="38" t="s">
        <v>2131</v>
      </c>
      <c r="C821" s="43">
        <v>700.00000000000011</v>
      </c>
      <c r="D821" s="39">
        <v>525.00000000000011</v>
      </c>
      <c r="E821" s="14">
        <v>0.25</v>
      </c>
    </row>
    <row r="822" spans="1:5" x14ac:dyDescent="0.25">
      <c r="A822" s="44" t="s">
        <v>2132</v>
      </c>
      <c r="B822" s="38" t="s">
        <v>2133</v>
      </c>
      <c r="C822" s="43">
        <v>2100</v>
      </c>
      <c r="D822" s="39">
        <v>1575</v>
      </c>
      <c r="E822" s="14">
        <v>0.25</v>
      </c>
    </row>
    <row r="823" spans="1:5" x14ac:dyDescent="0.25">
      <c r="A823" s="44" t="s">
        <v>2134</v>
      </c>
      <c r="B823" s="38" t="s">
        <v>2135</v>
      </c>
      <c r="C823" s="43">
        <v>4200</v>
      </c>
      <c r="D823" s="39">
        <v>3150</v>
      </c>
      <c r="E823" s="14">
        <v>0.25</v>
      </c>
    </row>
    <row r="824" spans="1:5" x14ac:dyDescent="0.25">
      <c r="A824" s="44" t="s">
        <v>2136</v>
      </c>
      <c r="B824" s="38" t="s">
        <v>2137</v>
      </c>
      <c r="C824" s="43">
        <v>4200</v>
      </c>
      <c r="D824" s="39">
        <v>3150</v>
      </c>
      <c r="E824" s="14">
        <v>0.25</v>
      </c>
    </row>
    <row r="825" spans="1:5" x14ac:dyDescent="0.25">
      <c r="A825" s="44" t="s">
        <v>2138</v>
      </c>
      <c r="B825" s="38" t="s">
        <v>2139</v>
      </c>
      <c r="C825" s="43">
        <v>140</v>
      </c>
      <c r="D825" s="39">
        <v>105</v>
      </c>
      <c r="E825" s="14">
        <v>0.25</v>
      </c>
    </row>
    <row r="826" spans="1:5" x14ac:dyDescent="0.25">
      <c r="A826" s="44" t="s">
        <v>2140</v>
      </c>
      <c r="B826" s="38" t="s">
        <v>2141</v>
      </c>
      <c r="C826" s="43">
        <v>350.00000000000006</v>
      </c>
      <c r="D826" s="39">
        <v>262.50000000000006</v>
      </c>
      <c r="E826" s="14">
        <v>0.25</v>
      </c>
    </row>
    <row r="827" spans="1:5" x14ac:dyDescent="0.25">
      <c r="A827" s="44" t="s">
        <v>2142</v>
      </c>
      <c r="B827" s="38" t="s">
        <v>2143</v>
      </c>
      <c r="C827" s="43">
        <v>280</v>
      </c>
      <c r="D827" s="39">
        <v>210</v>
      </c>
      <c r="E827" s="14">
        <v>0.25</v>
      </c>
    </row>
    <row r="828" spans="1:5" x14ac:dyDescent="0.25">
      <c r="A828" s="44" t="s">
        <v>2144</v>
      </c>
      <c r="B828" s="38" t="s">
        <v>2145</v>
      </c>
      <c r="C828" s="43">
        <v>728.00000000000011</v>
      </c>
      <c r="D828" s="39">
        <v>546.00000000000011</v>
      </c>
      <c r="E828" s="14">
        <v>0.25</v>
      </c>
    </row>
    <row r="829" spans="1:5" x14ac:dyDescent="0.25">
      <c r="A829" s="44" t="s">
        <v>2146</v>
      </c>
      <c r="B829" s="38" t="s">
        <v>2147</v>
      </c>
      <c r="C829" s="43">
        <v>1232.0000000000002</v>
      </c>
      <c r="D829" s="39">
        <v>924.00000000000023</v>
      </c>
      <c r="E829" s="14">
        <v>0.25</v>
      </c>
    </row>
    <row r="830" spans="1:5" x14ac:dyDescent="0.25">
      <c r="A830" s="44" t="s">
        <v>2148</v>
      </c>
      <c r="B830" s="38" t="s">
        <v>2149</v>
      </c>
      <c r="C830" s="43">
        <v>9968.0000000000018</v>
      </c>
      <c r="D830" s="39">
        <v>7476.0000000000018</v>
      </c>
      <c r="E830" s="14">
        <v>0.25</v>
      </c>
    </row>
    <row r="831" spans="1:5" x14ac:dyDescent="0.25">
      <c r="A831" s="44" t="s">
        <v>2150</v>
      </c>
      <c r="B831" s="38" t="s">
        <v>2151</v>
      </c>
      <c r="C831" s="43">
        <v>70000</v>
      </c>
      <c r="D831" s="39">
        <v>52500</v>
      </c>
      <c r="E831" s="14">
        <v>0.25</v>
      </c>
    </row>
    <row r="832" spans="1:5" x14ac:dyDescent="0.25">
      <c r="A832" s="44" t="s">
        <v>2152</v>
      </c>
      <c r="B832" s="38" t="s">
        <v>2153</v>
      </c>
      <c r="C832" s="43">
        <v>1400.0000000000002</v>
      </c>
      <c r="D832" s="39">
        <v>1050.0000000000002</v>
      </c>
      <c r="E832" s="14">
        <v>0.25</v>
      </c>
    </row>
    <row r="833" spans="1:5" x14ac:dyDescent="0.25">
      <c r="A833" s="44" t="s">
        <v>2154</v>
      </c>
      <c r="B833" s="38" t="s">
        <v>2155</v>
      </c>
      <c r="C833" s="43">
        <v>1400.0000000000002</v>
      </c>
      <c r="D833" s="39">
        <v>1050.0000000000002</v>
      </c>
      <c r="E833" s="14">
        <v>0.25</v>
      </c>
    </row>
    <row r="834" spans="1:5" x14ac:dyDescent="0.25">
      <c r="A834" s="44" t="s">
        <v>2156</v>
      </c>
      <c r="B834" s="38" t="s">
        <v>2157</v>
      </c>
      <c r="C834" s="43">
        <v>1400.0000000000002</v>
      </c>
      <c r="D834" s="39">
        <v>1050.0000000000002</v>
      </c>
      <c r="E834" s="14">
        <v>0.25</v>
      </c>
    </row>
    <row r="835" spans="1:5" x14ac:dyDescent="0.25">
      <c r="A835" s="44" t="s">
        <v>2158</v>
      </c>
      <c r="B835" s="38" t="s">
        <v>2159</v>
      </c>
      <c r="C835" s="43">
        <v>1400.0000000000002</v>
      </c>
      <c r="D835" s="39">
        <v>1050.0000000000002</v>
      </c>
      <c r="E835" s="14">
        <v>0.25</v>
      </c>
    </row>
    <row r="836" spans="1:5" x14ac:dyDescent="0.25">
      <c r="A836" s="44" t="s">
        <v>2160</v>
      </c>
      <c r="B836" s="38" t="s">
        <v>2161</v>
      </c>
      <c r="C836" s="43">
        <v>1400.0000000000002</v>
      </c>
      <c r="D836" s="39">
        <v>1050.0000000000002</v>
      </c>
      <c r="E836" s="14">
        <v>0.25</v>
      </c>
    </row>
    <row r="837" spans="1:5" x14ac:dyDescent="0.25">
      <c r="A837" s="44" t="s">
        <v>2162</v>
      </c>
      <c r="B837" s="38" t="s">
        <v>2163</v>
      </c>
      <c r="C837" s="43">
        <v>1400.0000000000002</v>
      </c>
      <c r="D837" s="39">
        <v>1050.0000000000002</v>
      </c>
      <c r="E837" s="14">
        <v>0.25</v>
      </c>
    </row>
    <row r="838" spans="1:5" x14ac:dyDescent="0.25">
      <c r="A838" s="44" t="s">
        <v>2164</v>
      </c>
      <c r="B838" s="38" t="s">
        <v>2165</v>
      </c>
      <c r="C838" s="43">
        <v>1400.0000000000002</v>
      </c>
      <c r="D838" s="39">
        <v>1050.0000000000002</v>
      </c>
      <c r="E838" s="14">
        <v>0.25</v>
      </c>
    </row>
    <row r="839" spans="1:5" x14ac:dyDescent="0.25">
      <c r="A839" s="44" t="s">
        <v>2166</v>
      </c>
      <c r="B839" s="38" t="s">
        <v>2167</v>
      </c>
      <c r="C839" s="43">
        <v>2800.0000000000005</v>
      </c>
      <c r="D839" s="39">
        <v>2100.0000000000005</v>
      </c>
      <c r="E839" s="14">
        <v>0.25</v>
      </c>
    </row>
    <row r="840" spans="1:5" x14ac:dyDescent="0.25">
      <c r="A840" s="44" t="s">
        <v>2168</v>
      </c>
      <c r="B840" s="38" t="s">
        <v>2169</v>
      </c>
      <c r="C840" s="43">
        <v>840.00000000000011</v>
      </c>
      <c r="D840" s="39">
        <v>630.00000000000011</v>
      </c>
      <c r="E840" s="14">
        <v>0.25</v>
      </c>
    </row>
    <row r="841" spans="1:5" x14ac:dyDescent="0.25">
      <c r="A841" s="44" t="s">
        <v>2170</v>
      </c>
      <c r="B841" s="38" t="s">
        <v>2171</v>
      </c>
      <c r="C841" s="43">
        <v>5694.920000000001</v>
      </c>
      <c r="D841" s="39">
        <v>4271.1900000000005</v>
      </c>
      <c r="E841" s="14">
        <v>0.25</v>
      </c>
    </row>
    <row r="842" spans="1:5" x14ac:dyDescent="0.25">
      <c r="A842" s="44" t="s">
        <v>2172</v>
      </c>
      <c r="B842" s="38" t="s">
        <v>2173</v>
      </c>
      <c r="C842" s="43">
        <v>11864.44</v>
      </c>
      <c r="D842" s="39">
        <v>8898.33</v>
      </c>
      <c r="E842" s="14">
        <v>0.25</v>
      </c>
    </row>
    <row r="843" spans="1:5" x14ac:dyDescent="0.25">
      <c r="A843" s="44" t="s">
        <v>2174</v>
      </c>
      <c r="B843" s="38" t="s">
        <v>2175</v>
      </c>
      <c r="C843" s="43">
        <v>8139.0400000000009</v>
      </c>
      <c r="D843" s="39">
        <v>6104.2800000000007</v>
      </c>
      <c r="E843" s="14">
        <v>0.25</v>
      </c>
    </row>
    <row r="844" spans="1:5" x14ac:dyDescent="0.25">
      <c r="A844" s="44" t="s">
        <v>2176</v>
      </c>
      <c r="B844" s="38" t="s">
        <v>2177</v>
      </c>
      <c r="C844" s="43">
        <v>5711.72</v>
      </c>
      <c r="D844" s="39">
        <v>4283.79</v>
      </c>
      <c r="E844" s="14">
        <v>0.25</v>
      </c>
    </row>
    <row r="845" spans="1:5" x14ac:dyDescent="0.25">
      <c r="A845" s="44" t="s">
        <v>2178</v>
      </c>
      <c r="B845" s="38" t="s">
        <v>2179</v>
      </c>
      <c r="C845" s="43">
        <v>784.00000000000011</v>
      </c>
      <c r="D845" s="39">
        <v>588.00000000000011</v>
      </c>
      <c r="E845" s="14">
        <v>0.25</v>
      </c>
    </row>
    <row r="846" spans="1:5" x14ac:dyDescent="0.25">
      <c r="A846" s="44" t="s">
        <v>2180</v>
      </c>
      <c r="B846" s="38" t="s">
        <v>2181</v>
      </c>
      <c r="C846" s="43">
        <v>784.00000000000011</v>
      </c>
      <c r="D846" s="39">
        <v>588.00000000000011</v>
      </c>
      <c r="E846" s="14">
        <v>0.25</v>
      </c>
    </row>
    <row r="847" spans="1:5" x14ac:dyDescent="0.25">
      <c r="A847" s="44" t="s">
        <v>2182</v>
      </c>
      <c r="B847" s="38" t="s">
        <v>2183</v>
      </c>
      <c r="C847" s="43">
        <v>448.00000000000006</v>
      </c>
      <c r="D847" s="39">
        <v>336.00000000000006</v>
      </c>
      <c r="E847" s="14">
        <v>0.25</v>
      </c>
    </row>
    <row r="848" spans="1:5" x14ac:dyDescent="0.25">
      <c r="A848" s="44" t="s">
        <v>2184</v>
      </c>
      <c r="B848" s="38" t="s">
        <v>2185</v>
      </c>
      <c r="C848" s="43">
        <v>3640.0000000000005</v>
      </c>
      <c r="D848" s="39">
        <v>2730.0000000000005</v>
      </c>
      <c r="E848" s="14">
        <v>0.25</v>
      </c>
    </row>
    <row r="849" spans="1:5" x14ac:dyDescent="0.25">
      <c r="A849" s="44" t="s">
        <v>2186</v>
      </c>
      <c r="B849" s="38" t="s">
        <v>2187</v>
      </c>
      <c r="C849" s="43">
        <v>25480.000000000004</v>
      </c>
      <c r="D849" s="39">
        <v>19110.000000000004</v>
      </c>
      <c r="E849" s="14">
        <v>0.25</v>
      </c>
    </row>
    <row r="850" spans="1:5" x14ac:dyDescent="0.25">
      <c r="A850" s="44" t="s">
        <v>2188</v>
      </c>
      <c r="B850" s="38" t="s">
        <v>2189</v>
      </c>
      <c r="C850" s="43">
        <v>560</v>
      </c>
      <c r="D850" s="39">
        <v>420</v>
      </c>
      <c r="E850" s="14">
        <v>0.25</v>
      </c>
    </row>
    <row r="851" spans="1:5" x14ac:dyDescent="0.25">
      <c r="A851" s="44" t="s">
        <v>2190</v>
      </c>
      <c r="B851" s="38" t="s">
        <v>2191</v>
      </c>
      <c r="C851" s="43">
        <v>4452</v>
      </c>
      <c r="D851" s="39">
        <v>3339</v>
      </c>
      <c r="E851" s="14">
        <v>0.25</v>
      </c>
    </row>
    <row r="852" spans="1:5" x14ac:dyDescent="0.25">
      <c r="A852" s="44" t="s">
        <v>2192</v>
      </c>
      <c r="B852" s="38" t="s">
        <v>2193</v>
      </c>
      <c r="C852" s="43">
        <v>31080.000000000004</v>
      </c>
      <c r="D852" s="39">
        <v>23310.000000000004</v>
      </c>
      <c r="E852" s="14">
        <v>0.25</v>
      </c>
    </row>
    <row r="853" spans="1:5" x14ac:dyDescent="0.25">
      <c r="A853" s="44" t="s">
        <v>2194</v>
      </c>
      <c r="B853" s="38" t="s">
        <v>2195</v>
      </c>
      <c r="C853" s="43">
        <v>980.00000000000011</v>
      </c>
      <c r="D853" s="39">
        <v>735.00000000000011</v>
      </c>
      <c r="E853" s="14">
        <v>0.25</v>
      </c>
    </row>
    <row r="854" spans="1:5" x14ac:dyDescent="0.25">
      <c r="A854" s="44" t="s">
        <v>2196</v>
      </c>
      <c r="B854" s="38" t="s">
        <v>2197</v>
      </c>
      <c r="C854" s="43">
        <v>7980.0000000000009</v>
      </c>
      <c r="D854" s="39">
        <v>5985.0000000000009</v>
      </c>
      <c r="E854" s="14">
        <v>0.25</v>
      </c>
    </row>
    <row r="855" spans="1:5" x14ac:dyDescent="0.25">
      <c r="A855" s="44" t="s">
        <v>2198</v>
      </c>
      <c r="B855" s="38" t="s">
        <v>2199</v>
      </c>
      <c r="C855" s="43">
        <v>56000.000000000007</v>
      </c>
      <c r="D855" s="39">
        <v>42000.000000000007</v>
      </c>
      <c r="E855" s="14">
        <v>0.25</v>
      </c>
    </row>
    <row r="856" spans="1:5" x14ac:dyDescent="0.25">
      <c r="A856" s="44" t="s">
        <v>2200</v>
      </c>
      <c r="B856" s="38" t="s">
        <v>2201</v>
      </c>
      <c r="C856" s="43">
        <v>980.00000000000011</v>
      </c>
      <c r="D856" s="39">
        <v>735.00000000000011</v>
      </c>
      <c r="E856" s="14">
        <v>0.25</v>
      </c>
    </row>
    <row r="857" spans="1:5" x14ac:dyDescent="0.25">
      <c r="A857" s="44" t="s">
        <v>2202</v>
      </c>
      <c r="B857" s="38" t="s">
        <v>2203</v>
      </c>
      <c r="C857" s="43">
        <v>448.00000000000006</v>
      </c>
      <c r="D857" s="39">
        <v>336.00000000000006</v>
      </c>
      <c r="E857" s="14">
        <v>0.25</v>
      </c>
    </row>
    <row r="858" spans="1:5" x14ac:dyDescent="0.25">
      <c r="A858" s="44" t="s">
        <v>2204</v>
      </c>
      <c r="B858" s="38" t="s">
        <v>2205</v>
      </c>
      <c r="C858" s="43">
        <v>3640.0000000000005</v>
      </c>
      <c r="D858" s="39">
        <v>2730.0000000000005</v>
      </c>
      <c r="E858" s="14">
        <v>0.25</v>
      </c>
    </row>
    <row r="859" spans="1:5" x14ac:dyDescent="0.25">
      <c r="A859" s="44" t="s">
        <v>2206</v>
      </c>
      <c r="B859" s="38" t="s">
        <v>2207</v>
      </c>
      <c r="C859" s="43">
        <v>25480.000000000004</v>
      </c>
      <c r="D859" s="39">
        <v>19110.000000000004</v>
      </c>
      <c r="E859" s="14">
        <v>0.25</v>
      </c>
    </row>
    <row r="860" spans="1:5" x14ac:dyDescent="0.25">
      <c r="A860" s="44" t="s">
        <v>2208</v>
      </c>
      <c r="B860" s="38" t="s">
        <v>2209</v>
      </c>
      <c r="C860" s="43">
        <v>560</v>
      </c>
      <c r="D860" s="39">
        <v>420</v>
      </c>
      <c r="E860" s="14">
        <v>0.25</v>
      </c>
    </row>
    <row r="861" spans="1:5" x14ac:dyDescent="0.25">
      <c r="A861" s="44" t="s">
        <v>2210</v>
      </c>
      <c r="B861" s="38" t="s">
        <v>2211</v>
      </c>
      <c r="C861" s="43">
        <v>4452</v>
      </c>
      <c r="D861" s="39">
        <v>3339</v>
      </c>
      <c r="E861" s="14">
        <v>0.25</v>
      </c>
    </row>
    <row r="862" spans="1:5" x14ac:dyDescent="0.25">
      <c r="A862" s="44" t="s">
        <v>2212</v>
      </c>
      <c r="B862" s="38" t="s">
        <v>2213</v>
      </c>
      <c r="C862" s="43">
        <v>31080.000000000004</v>
      </c>
      <c r="D862" s="39">
        <v>23310.000000000004</v>
      </c>
      <c r="E862" s="14">
        <v>0.25</v>
      </c>
    </row>
    <row r="863" spans="1:5" x14ac:dyDescent="0.25">
      <c r="A863" s="44" t="s">
        <v>2214</v>
      </c>
      <c r="B863" s="38" t="s">
        <v>2215</v>
      </c>
      <c r="C863" s="43">
        <v>980.00000000000011</v>
      </c>
      <c r="D863" s="39">
        <v>735.00000000000011</v>
      </c>
      <c r="E863" s="14">
        <v>0.25</v>
      </c>
    </row>
    <row r="864" spans="1:5" x14ac:dyDescent="0.25">
      <c r="A864" s="44" t="s">
        <v>2216</v>
      </c>
      <c r="B864" s="38" t="s">
        <v>2217</v>
      </c>
      <c r="C864" s="43">
        <v>7980.0000000000009</v>
      </c>
      <c r="D864" s="39">
        <v>5985.0000000000009</v>
      </c>
      <c r="E864" s="14">
        <v>0.25</v>
      </c>
    </row>
    <row r="865" spans="1:5" x14ac:dyDescent="0.25">
      <c r="A865" s="44" t="s">
        <v>2218</v>
      </c>
      <c r="B865" s="38" t="s">
        <v>2219</v>
      </c>
      <c r="C865" s="43">
        <v>56000.000000000007</v>
      </c>
      <c r="D865" s="39">
        <v>42000.000000000007</v>
      </c>
      <c r="E865" s="14">
        <v>0.25</v>
      </c>
    </row>
    <row r="866" spans="1:5" x14ac:dyDescent="0.25">
      <c r="A866" s="44" t="s">
        <v>2220</v>
      </c>
      <c r="B866" s="38" t="s">
        <v>2221</v>
      </c>
      <c r="C866" s="43">
        <v>4060.0000000000005</v>
      </c>
      <c r="D866" s="39">
        <v>3045.0000000000005</v>
      </c>
      <c r="E866" s="14">
        <v>0.25</v>
      </c>
    </row>
    <row r="867" spans="1:5" x14ac:dyDescent="0.25">
      <c r="A867" s="44" t="s">
        <v>2222</v>
      </c>
      <c r="B867" s="38" t="s">
        <v>2223</v>
      </c>
      <c r="C867" s="43">
        <v>4060.0000000000005</v>
      </c>
      <c r="D867" s="39">
        <v>3045.0000000000005</v>
      </c>
      <c r="E867" s="14">
        <v>0.25</v>
      </c>
    </row>
    <row r="868" spans="1:5" x14ac:dyDescent="0.25">
      <c r="A868" s="44" t="s">
        <v>2224</v>
      </c>
      <c r="B868" s="38" t="s">
        <v>2225</v>
      </c>
      <c r="C868" s="43">
        <v>3192.0000000000005</v>
      </c>
      <c r="D868" s="39">
        <v>2394.0000000000005</v>
      </c>
      <c r="E868" s="14">
        <v>0.25</v>
      </c>
    </row>
    <row r="869" spans="1:5" x14ac:dyDescent="0.25">
      <c r="A869" s="44" t="s">
        <v>2226</v>
      </c>
      <c r="B869" s="38" t="s">
        <v>2227</v>
      </c>
      <c r="C869" s="43">
        <v>3556.0000000000005</v>
      </c>
      <c r="D869" s="39">
        <v>2667.0000000000005</v>
      </c>
      <c r="E869" s="14">
        <v>0.25</v>
      </c>
    </row>
    <row r="870" spans="1:5" x14ac:dyDescent="0.25">
      <c r="A870" s="44" t="s">
        <v>2228</v>
      </c>
      <c r="B870" s="38" t="s">
        <v>2229</v>
      </c>
      <c r="C870" s="43">
        <v>6468.0000000000009</v>
      </c>
      <c r="D870" s="39">
        <v>4851.0000000000009</v>
      </c>
      <c r="E870" s="14">
        <v>0.25</v>
      </c>
    </row>
    <row r="871" spans="1:5" x14ac:dyDescent="0.25">
      <c r="A871" s="44" t="s">
        <v>2230</v>
      </c>
      <c r="B871" s="38" t="s">
        <v>2231</v>
      </c>
      <c r="C871" s="43">
        <v>10668.000000000002</v>
      </c>
      <c r="D871" s="39">
        <v>8001.0000000000018</v>
      </c>
      <c r="E871" s="14">
        <v>0.25</v>
      </c>
    </row>
    <row r="872" spans="1:5" x14ac:dyDescent="0.25">
      <c r="A872" s="44" t="s">
        <v>2232</v>
      </c>
      <c r="B872" s="38" t="s">
        <v>2233</v>
      </c>
      <c r="C872" s="43">
        <v>21336.000000000004</v>
      </c>
      <c r="D872" s="39">
        <v>16002.000000000004</v>
      </c>
      <c r="E872" s="14">
        <v>0.25</v>
      </c>
    </row>
    <row r="873" spans="1:5" x14ac:dyDescent="0.25">
      <c r="A873" s="44" t="s">
        <v>2234</v>
      </c>
      <c r="B873" s="38" t="s">
        <v>2235</v>
      </c>
      <c r="C873" s="43">
        <v>350.00000000000006</v>
      </c>
      <c r="D873" s="39">
        <v>262.50000000000006</v>
      </c>
      <c r="E873" s="14">
        <v>0.25</v>
      </c>
    </row>
    <row r="874" spans="1:5" x14ac:dyDescent="0.25">
      <c r="A874" s="44" t="s">
        <v>2236</v>
      </c>
      <c r="B874" s="38" t="s">
        <v>2237</v>
      </c>
      <c r="C874" s="43">
        <v>532</v>
      </c>
      <c r="D874" s="39">
        <v>399</v>
      </c>
      <c r="E874" s="14">
        <v>0.25</v>
      </c>
    </row>
    <row r="875" spans="1:5" x14ac:dyDescent="0.25">
      <c r="A875" s="44" t="s">
        <v>2238</v>
      </c>
      <c r="B875" s="38" t="s">
        <v>2239</v>
      </c>
      <c r="C875" s="43">
        <v>784.00000000000011</v>
      </c>
      <c r="D875" s="39">
        <v>588.00000000000011</v>
      </c>
      <c r="E875" s="14">
        <v>0.25</v>
      </c>
    </row>
    <row r="876" spans="1:5" x14ac:dyDescent="0.25">
      <c r="A876" s="44" t="s">
        <v>2240</v>
      </c>
      <c r="B876" s="38" t="s">
        <v>2241</v>
      </c>
      <c r="C876" s="43">
        <v>1484.0000000000002</v>
      </c>
      <c r="D876" s="39">
        <v>1113.0000000000002</v>
      </c>
      <c r="E876" s="14">
        <v>0.25</v>
      </c>
    </row>
    <row r="877" spans="1:5" x14ac:dyDescent="0.25">
      <c r="A877" s="44" t="s">
        <v>2242</v>
      </c>
      <c r="B877" s="38" t="s">
        <v>2243</v>
      </c>
      <c r="C877" s="43">
        <v>2912.0000000000005</v>
      </c>
      <c r="D877" s="39">
        <v>2184.0000000000005</v>
      </c>
      <c r="E877" s="14">
        <v>0.25</v>
      </c>
    </row>
    <row r="878" spans="1:5" x14ac:dyDescent="0.25">
      <c r="A878" s="44" t="s">
        <v>2244</v>
      </c>
      <c r="B878" s="38" t="s">
        <v>2245</v>
      </c>
      <c r="C878" s="43">
        <v>700.00000000000011</v>
      </c>
      <c r="D878" s="39">
        <v>525.00000000000011</v>
      </c>
      <c r="E878" s="14">
        <v>0.25</v>
      </c>
    </row>
    <row r="879" spans="1:5" x14ac:dyDescent="0.25">
      <c r="A879" s="44" t="s">
        <v>2246</v>
      </c>
      <c r="B879" s="38" t="s">
        <v>2247</v>
      </c>
      <c r="C879" s="43">
        <v>3556.0000000000005</v>
      </c>
      <c r="D879" s="39">
        <v>2667.0000000000005</v>
      </c>
      <c r="E879" s="14">
        <v>0.25</v>
      </c>
    </row>
    <row r="880" spans="1:5" x14ac:dyDescent="0.25">
      <c r="A880" s="44" t="s">
        <v>2248</v>
      </c>
      <c r="B880" s="38" t="s">
        <v>2249</v>
      </c>
      <c r="C880" s="43">
        <v>6468.0000000000009</v>
      </c>
      <c r="D880" s="39">
        <v>4851.0000000000009</v>
      </c>
      <c r="E880" s="14">
        <v>0.25</v>
      </c>
    </row>
    <row r="881" spans="1:5" x14ac:dyDescent="0.25">
      <c r="A881" s="44" t="s">
        <v>2250</v>
      </c>
      <c r="B881" s="38" t="s">
        <v>2251</v>
      </c>
      <c r="C881" s="43">
        <v>10668.000000000002</v>
      </c>
      <c r="D881" s="39">
        <v>8001.0000000000018</v>
      </c>
      <c r="E881" s="14">
        <v>0.25</v>
      </c>
    </row>
    <row r="882" spans="1:5" x14ac:dyDescent="0.25">
      <c r="A882" s="44" t="s">
        <v>2252</v>
      </c>
      <c r="B882" s="38" t="s">
        <v>2253</v>
      </c>
      <c r="C882" s="43">
        <v>21336.000000000004</v>
      </c>
      <c r="D882" s="39">
        <v>16002.000000000004</v>
      </c>
      <c r="E882" s="14">
        <v>0.25</v>
      </c>
    </row>
    <row r="883" spans="1:5" x14ac:dyDescent="0.25">
      <c r="A883" s="44" t="s">
        <v>2254</v>
      </c>
      <c r="B883" s="38" t="s">
        <v>2255</v>
      </c>
      <c r="C883" s="43">
        <v>350.00000000000006</v>
      </c>
      <c r="D883" s="39">
        <v>262.50000000000006</v>
      </c>
      <c r="E883" s="14">
        <v>0.25</v>
      </c>
    </row>
    <row r="884" spans="1:5" x14ac:dyDescent="0.25">
      <c r="A884" s="44" t="s">
        <v>2256</v>
      </c>
      <c r="B884" s="38" t="s">
        <v>2257</v>
      </c>
      <c r="C884" s="43">
        <v>532</v>
      </c>
      <c r="D884" s="39">
        <v>399</v>
      </c>
      <c r="E884" s="14">
        <v>0.25</v>
      </c>
    </row>
    <row r="885" spans="1:5" x14ac:dyDescent="0.25">
      <c r="A885" s="44" t="s">
        <v>2258</v>
      </c>
      <c r="B885" s="38" t="s">
        <v>2259</v>
      </c>
      <c r="C885" s="43">
        <v>784.00000000000011</v>
      </c>
      <c r="D885" s="39">
        <v>588.00000000000011</v>
      </c>
      <c r="E885" s="14">
        <v>0.25</v>
      </c>
    </row>
    <row r="886" spans="1:5" x14ac:dyDescent="0.25">
      <c r="A886" s="44" t="s">
        <v>2260</v>
      </c>
      <c r="B886" s="38" t="s">
        <v>2261</v>
      </c>
      <c r="C886" s="43">
        <v>1484.0000000000002</v>
      </c>
      <c r="D886" s="39">
        <v>1113.0000000000002</v>
      </c>
      <c r="E886" s="14">
        <v>0.25</v>
      </c>
    </row>
    <row r="887" spans="1:5" x14ac:dyDescent="0.25">
      <c r="A887" s="44" t="s">
        <v>2262</v>
      </c>
      <c r="B887" s="38" t="s">
        <v>2263</v>
      </c>
      <c r="C887" s="43">
        <v>2912.0000000000005</v>
      </c>
      <c r="D887" s="39">
        <v>2184.0000000000005</v>
      </c>
      <c r="E887" s="14">
        <v>0.25</v>
      </c>
    </row>
    <row r="888" spans="1:5" x14ac:dyDescent="0.25">
      <c r="A888" s="44" t="s">
        <v>2264</v>
      </c>
      <c r="B888" s="38" t="s">
        <v>2265</v>
      </c>
      <c r="C888" s="43">
        <v>3556.0000000000005</v>
      </c>
      <c r="D888" s="39">
        <v>2667.0000000000005</v>
      </c>
      <c r="E888" s="14">
        <v>0.25</v>
      </c>
    </row>
    <row r="889" spans="1:5" x14ac:dyDescent="0.25">
      <c r="A889" s="44" t="s">
        <v>2266</v>
      </c>
      <c r="B889" s="38" t="s">
        <v>2267</v>
      </c>
      <c r="C889" s="43">
        <v>6468.0000000000009</v>
      </c>
      <c r="D889" s="39">
        <v>4851.0000000000009</v>
      </c>
      <c r="E889" s="14">
        <v>0.25</v>
      </c>
    </row>
    <row r="890" spans="1:5" x14ac:dyDescent="0.25">
      <c r="A890" s="44" t="s">
        <v>2268</v>
      </c>
      <c r="B890" s="38" t="s">
        <v>2269</v>
      </c>
      <c r="C890" s="43">
        <v>10668.000000000002</v>
      </c>
      <c r="D890" s="39">
        <v>8001.0000000000018</v>
      </c>
      <c r="E890" s="14">
        <v>0.25</v>
      </c>
    </row>
    <row r="891" spans="1:5" x14ac:dyDescent="0.25">
      <c r="A891" s="44" t="s">
        <v>2270</v>
      </c>
      <c r="B891" s="38" t="s">
        <v>2271</v>
      </c>
      <c r="C891" s="43">
        <v>21336.000000000004</v>
      </c>
      <c r="D891" s="39">
        <v>16002.000000000004</v>
      </c>
      <c r="E891" s="14">
        <v>0.25</v>
      </c>
    </row>
    <row r="892" spans="1:5" x14ac:dyDescent="0.25">
      <c r="A892" s="44" t="s">
        <v>2272</v>
      </c>
      <c r="B892" s="38" t="s">
        <v>2273</v>
      </c>
      <c r="C892" s="43">
        <v>350.00000000000006</v>
      </c>
      <c r="D892" s="39">
        <v>262.50000000000006</v>
      </c>
      <c r="E892" s="14">
        <v>0.25</v>
      </c>
    </row>
    <row r="893" spans="1:5" x14ac:dyDescent="0.25">
      <c r="A893" s="44" t="s">
        <v>2274</v>
      </c>
      <c r="B893" s="38" t="s">
        <v>2275</v>
      </c>
      <c r="C893" s="43">
        <v>532</v>
      </c>
      <c r="D893" s="39">
        <v>399</v>
      </c>
      <c r="E893" s="14">
        <v>0.25</v>
      </c>
    </row>
    <row r="894" spans="1:5" x14ac:dyDescent="0.25">
      <c r="A894" s="44" t="s">
        <v>2276</v>
      </c>
      <c r="B894" s="38" t="s">
        <v>2277</v>
      </c>
      <c r="C894" s="43">
        <v>784.00000000000011</v>
      </c>
      <c r="D894" s="39">
        <v>588.00000000000011</v>
      </c>
      <c r="E894" s="14">
        <v>0.25</v>
      </c>
    </row>
    <row r="895" spans="1:5" x14ac:dyDescent="0.25">
      <c r="A895" s="44" t="s">
        <v>2278</v>
      </c>
      <c r="B895" s="38" t="s">
        <v>2279</v>
      </c>
      <c r="C895" s="43">
        <v>1484.0000000000002</v>
      </c>
      <c r="D895" s="39">
        <v>1113.0000000000002</v>
      </c>
      <c r="E895" s="14">
        <v>0.25</v>
      </c>
    </row>
    <row r="896" spans="1:5" x14ac:dyDescent="0.25">
      <c r="A896" s="44" t="s">
        <v>2280</v>
      </c>
      <c r="B896" s="38" t="s">
        <v>2281</v>
      </c>
      <c r="C896" s="43">
        <v>2912.0000000000005</v>
      </c>
      <c r="D896" s="39">
        <v>2184.0000000000005</v>
      </c>
      <c r="E896" s="14">
        <v>0.25</v>
      </c>
    </row>
    <row r="897" spans="1:5" x14ac:dyDescent="0.25">
      <c r="A897" s="44" t="s">
        <v>2282</v>
      </c>
      <c r="B897" s="38" t="s">
        <v>2283</v>
      </c>
      <c r="C897" s="43">
        <v>3080.0000000000005</v>
      </c>
      <c r="D897" s="39">
        <v>2310.0000000000005</v>
      </c>
      <c r="E897" s="14">
        <v>0.25</v>
      </c>
    </row>
    <row r="898" spans="1:5" x14ac:dyDescent="0.25">
      <c r="A898" s="44" t="s">
        <v>2284</v>
      </c>
      <c r="B898" s="38" t="s">
        <v>2285</v>
      </c>
      <c r="C898" s="43">
        <v>6160.0000000000009</v>
      </c>
      <c r="D898" s="39">
        <v>4620.0000000000009</v>
      </c>
      <c r="E898" s="14">
        <v>0.25</v>
      </c>
    </row>
    <row r="899" spans="1:5" x14ac:dyDescent="0.25">
      <c r="A899" s="44" t="s">
        <v>2286</v>
      </c>
      <c r="B899" s="38" t="s">
        <v>2287</v>
      </c>
      <c r="C899" s="43">
        <v>12320.000000000002</v>
      </c>
      <c r="D899" s="39">
        <v>9240.0000000000018</v>
      </c>
      <c r="E899" s="14">
        <v>0.25</v>
      </c>
    </row>
    <row r="900" spans="1:5" x14ac:dyDescent="0.25">
      <c r="A900" s="44" t="s">
        <v>2288</v>
      </c>
      <c r="B900" s="38" t="s">
        <v>2289</v>
      </c>
      <c r="C900" s="43">
        <v>24640.000000000004</v>
      </c>
      <c r="D900" s="39">
        <v>18480.000000000004</v>
      </c>
      <c r="E900" s="14">
        <v>0.25</v>
      </c>
    </row>
    <row r="901" spans="1:5" x14ac:dyDescent="0.25">
      <c r="A901" s="44" t="s">
        <v>2290</v>
      </c>
      <c r="B901" s="38" t="s">
        <v>2291</v>
      </c>
      <c r="C901" s="43">
        <v>36960</v>
      </c>
      <c r="D901" s="39">
        <v>27720</v>
      </c>
      <c r="E901" s="14">
        <v>0.25</v>
      </c>
    </row>
    <row r="902" spans="1:5" x14ac:dyDescent="0.25">
      <c r="A902" s="44" t="s">
        <v>2292</v>
      </c>
      <c r="B902" s="38" t="s">
        <v>2293</v>
      </c>
      <c r="C902" s="43">
        <v>1400.0000000000002</v>
      </c>
      <c r="D902" s="39">
        <v>1050.0000000000002</v>
      </c>
      <c r="E902" s="14">
        <v>0.25</v>
      </c>
    </row>
    <row r="903" spans="1:5" x14ac:dyDescent="0.25">
      <c r="A903" s="44" t="s">
        <v>2294</v>
      </c>
      <c r="B903" s="38" t="s">
        <v>2295</v>
      </c>
      <c r="C903" s="43">
        <v>2800.0000000000005</v>
      </c>
      <c r="D903" s="39">
        <v>2100.0000000000005</v>
      </c>
      <c r="E903" s="14">
        <v>0.25</v>
      </c>
    </row>
    <row r="904" spans="1:5" x14ac:dyDescent="0.25">
      <c r="A904" s="44" t="s">
        <v>2296</v>
      </c>
      <c r="B904" s="38" t="s">
        <v>2297</v>
      </c>
      <c r="C904" s="43">
        <v>4200</v>
      </c>
      <c r="D904" s="39">
        <v>3150</v>
      </c>
      <c r="E904" s="14">
        <v>0.25</v>
      </c>
    </row>
    <row r="905" spans="1:5" x14ac:dyDescent="0.25">
      <c r="A905" s="44" t="s">
        <v>2298</v>
      </c>
      <c r="B905" s="38" t="s">
        <v>2299</v>
      </c>
      <c r="C905" s="43">
        <v>3080.0000000000005</v>
      </c>
      <c r="D905" s="39">
        <v>2310.0000000000005</v>
      </c>
      <c r="E905" s="14">
        <v>0.25</v>
      </c>
    </row>
    <row r="906" spans="1:5" x14ac:dyDescent="0.25">
      <c r="A906" s="44" t="s">
        <v>2300</v>
      </c>
      <c r="B906" s="38" t="s">
        <v>2301</v>
      </c>
      <c r="C906" s="43">
        <v>1232.0000000000002</v>
      </c>
      <c r="D906" s="39">
        <v>924.00000000000023</v>
      </c>
      <c r="E906" s="14">
        <v>0.25</v>
      </c>
    </row>
    <row r="907" spans="1:5" x14ac:dyDescent="0.25">
      <c r="A907" s="44" t="s">
        <v>2302</v>
      </c>
      <c r="B907" s="38" t="s">
        <v>2303</v>
      </c>
      <c r="C907" s="43">
        <v>5040.0000000000009</v>
      </c>
      <c r="D907" s="39">
        <v>3780.0000000000009</v>
      </c>
      <c r="E907" s="14">
        <v>0.25</v>
      </c>
    </row>
    <row r="908" spans="1:5" x14ac:dyDescent="0.25">
      <c r="A908" s="44" t="s">
        <v>2304</v>
      </c>
      <c r="B908" s="38" t="s">
        <v>2305</v>
      </c>
      <c r="C908" s="43">
        <v>1232.0000000000002</v>
      </c>
      <c r="D908" s="39">
        <v>924.00000000000023</v>
      </c>
      <c r="E908" s="14">
        <v>0.25</v>
      </c>
    </row>
    <row r="909" spans="1:5" x14ac:dyDescent="0.25">
      <c r="A909" s="44" t="s">
        <v>2306</v>
      </c>
      <c r="B909" s="38" t="s">
        <v>2307</v>
      </c>
      <c r="C909" s="43">
        <v>504.00000000000006</v>
      </c>
      <c r="D909" s="39">
        <v>378.00000000000006</v>
      </c>
      <c r="E909" s="14">
        <v>0.25</v>
      </c>
    </row>
    <row r="910" spans="1:5" x14ac:dyDescent="0.25">
      <c r="A910" s="44" t="s">
        <v>2308</v>
      </c>
      <c r="B910" s="38" t="s">
        <v>2309</v>
      </c>
      <c r="C910" s="43">
        <v>336.00000000000006</v>
      </c>
      <c r="D910" s="39">
        <v>252.00000000000006</v>
      </c>
      <c r="E910" s="14">
        <v>0.25</v>
      </c>
    </row>
    <row r="911" spans="1:5" x14ac:dyDescent="0.25">
      <c r="A911" s="44" t="s">
        <v>2310</v>
      </c>
      <c r="B911" s="38" t="s">
        <v>2311</v>
      </c>
      <c r="C911" s="43">
        <v>756.00000000000011</v>
      </c>
      <c r="D911" s="39">
        <v>567.00000000000011</v>
      </c>
      <c r="E911" s="14">
        <v>0.25</v>
      </c>
    </row>
    <row r="912" spans="1:5" x14ac:dyDescent="0.25">
      <c r="A912" s="44" t="s">
        <v>2312</v>
      </c>
      <c r="B912" s="38" t="s">
        <v>2313</v>
      </c>
      <c r="C912" s="43">
        <v>448.00000000000006</v>
      </c>
      <c r="D912" s="39">
        <v>336.00000000000006</v>
      </c>
      <c r="E912" s="14">
        <v>0.25</v>
      </c>
    </row>
    <row r="913" spans="1:5" x14ac:dyDescent="0.25">
      <c r="A913" s="44" t="s">
        <v>2314</v>
      </c>
      <c r="B913" s="38" t="s">
        <v>2315</v>
      </c>
      <c r="C913" s="43">
        <v>756.00000000000011</v>
      </c>
      <c r="D913" s="39">
        <v>567.00000000000011</v>
      </c>
      <c r="E913" s="14">
        <v>0.25</v>
      </c>
    </row>
    <row r="914" spans="1:5" x14ac:dyDescent="0.25">
      <c r="A914" s="44" t="s">
        <v>2316</v>
      </c>
      <c r="B914" s="38" t="s">
        <v>2317</v>
      </c>
      <c r="C914" s="43">
        <v>4620</v>
      </c>
      <c r="D914" s="39">
        <v>3465</v>
      </c>
      <c r="E914" s="14">
        <v>0.25</v>
      </c>
    </row>
    <row r="915" spans="1:5" x14ac:dyDescent="0.25">
      <c r="A915" s="44" t="s">
        <v>2318</v>
      </c>
      <c r="B915" s="38" t="s">
        <v>2319</v>
      </c>
      <c r="C915" s="43">
        <v>1232.0000000000002</v>
      </c>
      <c r="D915" s="39">
        <v>924.00000000000023</v>
      </c>
      <c r="E915" s="14">
        <v>0.25</v>
      </c>
    </row>
    <row r="916" spans="1:5" x14ac:dyDescent="0.25">
      <c r="A916" s="44" t="s">
        <v>2320</v>
      </c>
      <c r="B916" s="38" t="s">
        <v>2321</v>
      </c>
      <c r="C916" s="43">
        <v>1232.0000000000002</v>
      </c>
      <c r="D916" s="39">
        <v>924.00000000000023</v>
      </c>
      <c r="E916" s="14">
        <v>0.25</v>
      </c>
    </row>
    <row r="917" spans="1:5" x14ac:dyDescent="0.25">
      <c r="A917" s="44" t="s">
        <v>2322</v>
      </c>
      <c r="B917" s="38" t="s">
        <v>2323</v>
      </c>
      <c r="C917" s="43">
        <v>364.00000000000006</v>
      </c>
      <c r="D917" s="39">
        <v>273.00000000000006</v>
      </c>
      <c r="E917" s="14">
        <v>0.25</v>
      </c>
    </row>
    <row r="918" spans="1:5" x14ac:dyDescent="0.25">
      <c r="A918" s="44" t="s">
        <v>2324</v>
      </c>
      <c r="B918" s="38" t="s">
        <v>2325</v>
      </c>
      <c r="C918" s="43">
        <v>756.00000000000011</v>
      </c>
      <c r="D918" s="39">
        <v>567.00000000000011</v>
      </c>
      <c r="E918" s="14">
        <v>0.25</v>
      </c>
    </row>
    <row r="919" spans="1:5" x14ac:dyDescent="0.25">
      <c r="A919" s="44" t="s">
        <v>2326</v>
      </c>
      <c r="B919" s="38" t="s">
        <v>2327</v>
      </c>
      <c r="C919" s="43">
        <v>1540.0000000000002</v>
      </c>
      <c r="D919" s="39">
        <v>1155.0000000000002</v>
      </c>
      <c r="E919" s="14">
        <v>0.25</v>
      </c>
    </row>
    <row r="920" spans="1:5" x14ac:dyDescent="0.25">
      <c r="A920" s="44" t="s">
        <v>2328</v>
      </c>
      <c r="B920" s="38" t="s">
        <v>2329</v>
      </c>
      <c r="C920" s="43">
        <v>3080.0000000000005</v>
      </c>
      <c r="D920" s="39">
        <v>2310.0000000000005</v>
      </c>
      <c r="E920" s="14">
        <v>0.25</v>
      </c>
    </row>
    <row r="921" spans="1:5" x14ac:dyDescent="0.25">
      <c r="A921" s="44" t="s">
        <v>2330</v>
      </c>
      <c r="B921" s="38" t="s">
        <v>2331</v>
      </c>
      <c r="C921" s="43">
        <v>448.00000000000006</v>
      </c>
      <c r="D921" s="39">
        <v>336.00000000000006</v>
      </c>
      <c r="E921" s="14">
        <v>0.25</v>
      </c>
    </row>
    <row r="922" spans="1:5" x14ac:dyDescent="0.25">
      <c r="A922" s="44" t="s">
        <v>2332</v>
      </c>
      <c r="B922" s="38" t="s">
        <v>2333</v>
      </c>
      <c r="C922" s="43">
        <v>77.000000000000014</v>
      </c>
      <c r="D922" s="39">
        <v>57.750000000000014</v>
      </c>
      <c r="E922" s="14">
        <v>0.25</v>
      </c>
    </row>
    <row r="923" spans="1:5" x14ac:dyDescent="0.25">
      <c r="A923" s="44" t="s">
        <v>2334</v>
      </c>
      <c r="B923" s="38" t="s">
        <v>2335</v>
      </c>
      <c r="C923" s="43">
        <v>1540.0000000000002</v>
      </c>
      <c r="D923" s="39">
        <v>1155.0000000000002</v>
      </c>
      <c r="E923" s="14">
        <v>0.25</v>
      </c>
    </row>
    <row r="924" spans="1:5" x14ac:dyDescent="0.25">
      <c r="A924" s="44" t="s">
        <v>2336</v>
      </c>
      <c r="B924" s="38" t="s">
        <v>2337</v>
      </c>
      <c r="C924" s="43">
        <v>3696.0000000000005</v>
      </c>
      <c r="D924" s="39">
        <v>2772.0000000000005</v>
      </c>
      <c r="E924" s="14">
        <v>0.25</v>
      </c>
    </row>
    <row r="925" spans="1:5" x14ac:dyDescent="0.25">
      <c r="A925" s="44" t="s">
        <v>2338</v>
      </c>
      <c r="B925" s="38" t="s">
        <v>2339</v>
      </c>
      <c r="C925" s="43">
        <v>1260.0000000000002</v>
      </c>
      <c r="D925" s="39">
        <v>945.00000000000023</v>
      </c>
      <c r="E925" s="14">
        <v>0.25</v>
      </c>
    </row>
    <row r="926" spans="1:5" x14ac:dyDescent="0.25">
      <c r="A926" s="44" t="s">
        <v>2340</v>
      </c>
      <c r="B926" s="38" t="s">
        <v>2341</v>
      </c>
      <c r="C926" s="43">
        <v>280</v>
      </c>
      <c r="D926" s="39">
        <v>210</v>
      </c>
      <c r="E926" s="14">
        <v>0.25</v>
      </c>
    </row>
    <row r="927" spans="1:5" x14ac:dyDescent="0.25">
      <c r="A927" s="44" t="s">
        <v>2342</v>
      </c>
      <c r="B927" s="38" t="s">
        <v>2343</v>
      </c>
      <c r="C927" s="43">
        <v>1540.0000000000002</v>
      </c>
      <c r="D927" s="39">
        <v>1155.0000000000002</v>
      </c>
      <c r="E927" s="14">
        <v>0.25</v>
      </c>
    </row>
    <row r="928" spans="1:5" x14ac:dyDescent="0.25">
      <c r="A928" s="44" t="s">
        <v>2344</v>
      </c>
      <c r="B928" s="38" t="s">
        <v>2345</v>
      </c>
      <c r="C928" s="43">
        <v>3360.0000000000005</v>
      </c>
      <c r="D928" s="39">
        <v>2520.0000000000005</v>
      </c>
      <c r="E928" s="14">
        <v>0.25</v>
      </c>
    </row>
    <row r="929" spans="1:5" x14ac:dyDescent="0.25">
      <c r="A929" s="44" t="s">
        <v>2346</v>
      </c>
      <c r="B929" s="38" t="s">
        <v>2347</v>
      </c>
      <c r="C929" s="43">
        <v>6300.0000000000009</v>
      </c>
      <c r="D929" s="39">
        <v>4725.0000000000009</v>
      </c>
      <c r="E929" s="14">
        <v>0.25</v>
      </c>
    </row>
    <row r="930" spans="1:5" x14ac:dyDescent="0.25">
      <c r="A930" s="44" t="s">
        <v>2348</v>
      </c>
      <c r="B930" s="38" t="s">
        <v>2349</v>
      </c>
      <c r="C930" s="43">
        <v>9800.0000000000018</v>
      </c>
      <c r="D930" s="39">
        <v>7350.0000000000018</v>
      </c>
      <c r="E930" s="14">
        <v>0.25</v>
      </c>
    </row>
    <row r="931" spans="1:5" x14ac:dyDescent="0.25">
      <c r="A931" s="44" t="s">
        <v>2350</v>
      </c>
      <c r="B931" s="38" t="s">
        <v>2351</v>
      </c>
      <c r="C931" s="43">
        <v>2800.0000000000005</v>
      </c>
      <c r="D931" s="39">
        <v>2100.0000000000005</v>
      </c>
      <c r="E931" s="14">
        <v>0.25</v>
      </c>
    </row>
    <row r="932" spans="1:5" x14ac:dyDescent="0.25">
      <c r="A932" s="44" t="s">
        <v>2352</v>
      </c>
      <c r="B932" s="38" t="s">
        <v>2353</v>
      </c>
      <c r="C932" s="43">
        <v>1400.0000000000002</v>
      </c>
      <c r="D932" s="39">
        <v>1050.0000000000002</v>
      </c>
      <c r="E932" s="14">
        <v>0.25</v>
      </c>
    </row>
    <row r="933" spans="1:5" x14ac:dyDescent="0.25">
      <c r="A933" s="44" t="s">
        <v>2354</v>
      </c>
      <c r="B933" s="38" t="s">
        <v>2355</v>
      </c>
      <c r="C933" s="43">
        <v>616.00000000000011</v>
      </c>
      <c r="D933" s="39">
        <v>462.00000000000011</v>
      </c>
      <c r="E933" s="14">
        <v>0.25</v>
      </c>
    </row>
    <row r="934" spans="1:5" x14ac:dyDescent="0.25">
      <c r="A934" s="44" t="s">
        <v>2356</v>
      </c>
      <c r="B934" s="38" t="s">
        <v>2357</v>
      </c>
      <c r="C934" s="43">
        <v>476.00000000000006</v>
      </c>
      <c r="D934" s="39">
        <v>357.00000000000006</v>
      </c>
      <c r="E934" s="14">
        <v>0.25</v>
      </c>
    </row>
    <row r="935" spans="1:5" x14ac:dyDescent="0.25">
      <c r="A935" s="44" t="s">
        <v>2358</v>
      </c>
      <c r="B935" s="38" t="s">
        <v>2359</v>
      </c>
      <c r="C935" s="43">
        <v>2772.0000000000005</v>
      </c>
      <c r="D935" s="39">
        <v>2079.0000000000005</v>
      </c>
      <c r="E935" s="14">
        <v>0.25</v>
      </c>
    </row>
    <row r="936" spans="1:5" x14ac:dyDescent="0.25">
      <c r="A936" s="44" t="s">
        <v>2360</v>
      </c>
      <c r="B936" s="38" t="s">
        <v>2361</v>
      </c>
      <c r="C936" s="43">
        <v>7.0000000000000009</v>
      </c>
      <c r="D936" s="39">
        <v>5.2500000000000009</v>
      </c>
      <c r="E936" s="14">
        <v>0.25</v>
      </c>
    </row>
    <row r="937" spans="1:5" x14ac:dyDescent="0.25">
      <c r="A937" s="44" t="s">
        <v>2362</v>
      </c>
      <c r="B937" s="38" t="s">
        <v>2363</v>
      </c>
      <c r="C937" s="43">
        <v>154.00000000000003</v>
      </c>
      <c r="D937" s="39">
        <v>115.50000000000003</v>
      </c>
      <c r="E937" s="14">
        <v>0.25</v>
      </c>
    </row>
    <row r="938" spans="1:5" x14ac:dyDescent="0.25">
      <c r="A938" s="44" t="s">
        <v>2364</v>
      </c>
      <c r="B938" s="38" t="s">
        <v>2365</v>
      </c>
      <c r="C938" s="43">
        <v>154.00000000000003</v>
      </c>
      <c r="D938" s="39">
        <v>115.50000000000003</v>
      </c>
      <c r="E938" s="14">
        <v>0.25</v>
      </c>
    </row>
    <row r="939" spans="1:5" x14ac:dyDescent="0.25">
      <c r="A939" s="44" t="s">
        <v>2366</v>
      </c>
      <c r="B939" s="38" t="s">
        <v>2367</v>
      </c>
      <c r="C939" s="43">
        <v>1232.0000000000002</v>
      </c>
      <c r="D939" s="39">
        <v>924.00000000000023</v>
      </c>
      <c r="E939" s="14">
        <v>0.25</v>
      </c>
    </row>
    <row r="940" spans="1:5" x14ac:dyDescent="0.25">
      <c r="A940" s="44" t="s">
        <v>2368</v>
      </c>
      <c r="B940" s="38" t="s">
        <v>2369</v>
      </c>
      <c r="C940" s="43">
        <v>140</v>
      </c>
      <c r="D940" s="39">
        <v>105</v>
      </c>
      <c r="E940" s="14">
        <v>0.25</v>
      </c>
    </row>
    <row r="941" spans="1:5" x14ac:dyDescent="0.25">
      <c r="A941" s="44" t="s">
        <v>2370</v>
      </c>
      <c r="B941" s="38" t="s">
        <v>2371</v>
      </c>
      <c r="C941" s="43">
        <v>560</v>
      </c>
      <c r="D941" s="39">
        <v>420</v>
      </c>
      <c r="E941" s="14">
        <v>0.25</v>
      </c>
    </row>
    <row r="942" spans="1:5" x14ac:dyDescent="0.25">
      <c r="A942" s="44" t="s">
        <v>2372</v>
      </c>
      <c r="B942" s="38" t="s">
        <v>2373</v>
      </c>
      <c r="C942" s="43">
        <v>1680.0000000000002</v>
      </c>
      <c r="D942" s="39">
        <v>1260.0000000000002</v>
      </c>
      <c r="E942" s="14">
        <v>0.25</v>
      </c>
    </row>
    <row r="943" spans="1:5" x14ac:dyDescent="0.25">
      <c r="A943" s="44" t="s">
        <v>2374</v>
      </c>
      <c r="B943" s="38" t="s">
        <v>2375</v>
      </c>
      <c r="C943" s="43">
        <v>2660.0000000000005</v>
      </c>
      <c r="D943" s="39">
        <v>1995.0000000000005</v>
      </c>
      <c r="E943" s="14">
        <v>0.25</v>
      </c>
    </row>
    <row r="944" spans="1:5" x14ac:dyDescent="0.25">
      <c r="A944" s="44" t="s">
        <v>2376</v>
      </c>
      <c r="B944" s="38" t="s">
        <v>2377</v>
      </c>
      <c r="C944" s="43">
        <v>2464.0000000000005</v>
      </c>
      <c r="D944" s="39">
        <v>1848.0000000000005</v>
      </c>
      <c r="E944" s="14">
        <v>0.25</v>
      </c>
    </row>
    <row r="945" spans="1:5" x14ac:dyDescent="0.25">
      <c r="A945" s="44" t="s">
        <v>2378</v>
      </c>
      <c r="B945" s="38" t="s">
        <v>2379</v>
      </c>
      <c r="C945" s="43">
        <v>3080.0000000000005</v>
      </c>
      <c r="D945" s="39">
        <v>2310.0000000000005</v>
      </c>
      <c r="E945" s="14">
        <v>0.25</v>
      </c>
    </row>
    <row r="946" spans="1:5" x14ac:dyDescent="0.25">
      <c r="A946" s="44" t="s">
        <v>2380</v>
      </c>
      <c r="B946" s="38" t="s">
        <v>2381</v>
      </c>
      <c r="C946" s="43">
        <v>756.00000000000011</v>
      </c>
      <c r="D946" s="39">
        <v>567.00000000000011</v>
      </c>
      <c r="E946" s="14">
        <v>0.25</v>
      </c>
    </row>
    <row r="947" spans="1:5" x14ac:dyDescent="0.25">
      <c r="A947" s="44" t="s">
        <v>2382</v>
      </c>
      <c r="B947" s="38" t="s">
        <v>2383</v>
      </c>
      <c r="C947" s="43">
        <v>1232.0000000000002</v>
      </c>
      <c r="D947" s="39">
        <v>924.00000000000023</v>
      </c>
      <c r="E947" s="14">
        <v>0.25</v>
      </c>
    </row>
    <row r="948" spans="1:5" x14ac:dyDescent="0.25">
      <c r="A948" s="44" t="s">
        <v>2384</v>
      </c>
      <c r="B948" s="38" t="s">
        <v>2385</v>
      </c>
      <c r="C948" s="43">
        <v>1540.0000000000002</v>
      </c>
      <c r="D948" s="39">
        <v>1155.0000000000002</v>
      </c>
      <c r="E948" s="14">
        <v>0.25</v>
      </c>
    </row>
    <row r="949" spans="1:5" x14ac:dyDescent="0.25">
      <c r="A949" s="44" t="s">
        <v>2386</v>
      </c>
      <c r="B949" s="38" t="s">
        <v>2387</v>
      </c>
      <c r="C949" s="43">
        <v>2464.0000000000005</v>
      </c>
      <c r="D949" s="39">
        <v>1848.0000000000005</v>
      </c>
      <c r="E949" s="14">
        <v>0.25</v>
      </c>
    </row>
    <row r="950" spans="1:5" x14ac:dyDescent="0.25">
      <c r="A950" s="44" t="s">
        <v>2388</v>
      </c>
      <c r="B950" s="38" t="s">
        <v>2389</v>
      </c>
      <c r="C950" s="43">
        <v>2464.0000000000005</v>
      </c>
      <c r="D950" s="39">
        <v>1848.0000000000005</v>
      </c>
      <c r="E950" s="14">
        <v>0.25</v>
      </c>
    </row>
    <row r="951" spans="1:5" x14ac:dyDescent="0.25">
      <c r="A951" s="44" t="s">
        <v>2390</v>
      </c>
      <c r="B951" s="38" t="s">
        <v>2391</v>
      </c>
      <c r="C951" s="43">
        <v>4928.0000000000009</v>
      </c>
      <c r="D951" s="39">
        <v>3696.0000000000009</v>
      </c>
      <c r="E951" s="14">
        <v>0.25</v>
      </c>
    </row>
    <row r="952" spans="1:5" x14ac:dyDescent="0.25">
      <c r="A952" s="44" t="s">
        <v>2392</v>
      </c>
      <c r="B952" s="38" t="s">
        <v>2393</v>
      </c>
      <c r="C952" s="43">
        <v>7392.0000000000009</v>
      </c>
      <c r="D952" s="39">
        <v>5544.0000000000009</v>
      </c>
      <c r="E952" s="14">
        <v>0.25</v>
      </c>
    </row>
    <row r="953" spans="1:5" x14ac:dyDescent="0.25">
      <c r="A953" s="44" t="s">
        <v>2394</v>
      </c>
      <c r="B953" s="38" t="s">
        <v>2395</v>
      </c>
      <c r="C953" s="43">
        <v>9856.0000000000018</v>
      </c>
      <c r="D953" s="39">
        <v>7392.0000000000018</v>
      </c>
      <c r="E953" s="14">
        <v>0.25</v>
      </c>
    </row>
    <row r="954" spans="1:5" x14ac:dyDescent="0.25">
      <c r="A954" s="44" t="s">
        <v>2396</v>
      </c>
      <c r="B954" s="38" t="s">
        <v>2397</v>
      </c>
      <c r="C954" s="43">
        <v>12320.000000000002</v>
      </c>
      <c r="D954" s="39">
        <v>9240.0000000000018</v>
      </c>
      <c r="E954" s="14">
        <v>0.25</v>
      </c>
    </row>
    <row r="955" spans="1:5" x14ac:dyDescent="0.25">
      <c r="A955" s="44" t="s">
        <v>2398</v>
      </c>
      <c r="B955" s="38" t="s">
        <v>2399</v>
      </c>
      <c r="C955" s="43">
        <v>14784.000000000002</v>
      </c>
      <c r="D955" s="39">
        <v>11088.000000000002</v>
      </c>
      <c r="E955" s="14">
        <v>0.25</v>
      </c>
    </row>
    <row r="956" spans="1:5" x14ac:dyDescent="0.25">
      <c r="A956" s="44" t="s">
        <v>2400</v>
      </c>
      <c r="B956" s="38" t="s">
        <v>2401</v>
      </c>
      <c r="C956" s="43">
        <v>17248</v>
      </c>
      <c r="D956" s="39">
        <v>12936</v>
      </c>
      <c r="E956" s="14">
        <v>0.25</v>
      </c>
    </row>
    <row r="957" spans="1:5" x14ac:dyDescent="0.25">
      <c r="A957" s="44" t="s">
        <v>2402</v>
      </c>
      <c r="B957" s="38" t="s">
        <v>2403</v>
      </c>
      <c r="C957" s="43">
        <v>19712.000000000004</v>
      </c>
      <c r="D957" s="39">
        <v>14784.000000000004</v>
      </c>
      <c r="E957" s="14">
        <v>0.25</v>
      </c>
    </row>
    <row r="958" spans="1:5" x14ac:dyDescent="0.25">
      <c r="A958" s="44" t="s">
        <v>2404</v>
      </c>
      <c r="B958" s="38" t="s">
        <v>2405</v>
      </c>
      <c r="C958" s="43">
        <v>22176.000000000004</v>
      </c>
      <c r="D958" s="39">
        <v>16632.000000000004</v>
      </c>
      <c r="E958" s="14">
        <v>0.25</v>
      </c>
    </row>
    <row r="959" spans="1:5" x14ac:dyDescent="0.25">
      <c r="A959" s="44" t="s">
        <v>2406</v>
      </c>
      <c r="B959" s="38" t="s">
        <v>2407</v>
      </c>
      <c r="C959" s="43">
        <v>24640.000000000004</v>
      </c>
      <c r="D959" s="39">
        <v>18480.000000000004</v>
      </c>
      <c r="E959" s="14">
        <v>0.25</v>
      </c>
    </row>
    <row r="960" spans="1:5" x14ac:dyDescent="0.25">
      <c r="A960" s="44" t="s">
        <v>2408</v>
      </c>
      <c r="B960" s="38" t="s">
        <v>2409</v>
      </c>
      <c r="C960" s="43">
        <v>308.00000000000006</v>
      </c>
      <c r="D960" s="39">
        <v>231.00000000000006</v>
      </c>
      <c r="E960" s="14">
        <v>0.25</v>
      </c>
    </row>
    <row r="961" spans="1:5" x14ac:dyDescent="0.25">
      <c r="A961" s="44" t="s">
        <v>2410</v>
      </c>
      <c r="B961" s="38" t="s">
        <v>2411</v>
      </c>
      <c r="C961" s="43">
        <v>3388.0000000000005</v>
      </c>
      <c r="D961" s="39">
        <v>2541.0000000000005</v>
      </c>
      <c r="E961" s="14">
        <v>0.25</v>
      </c>
    </row>
    <row r="962" spans="1:5" x14ac:dyDescent="0.25">
      <c r="A962" s="44" t="s">
        <v>2412</v>
      </c>
      <c r="B962" s="38" t="s">
        <v>2413</v>
      </c>
      <c r="C962" s="43">
        <v>6160.0000000000009</v>
      </c>
      <c r="D962" s="39">
        <v>4620.0000000000009</v>
      </c>
      <c r="E962" s="14">
        <v>0.25</v>
      </c>
    </row>
    <row r="963" spans="1:5" x14ac:dyDescent="0.25">
      <c r="A963" s="44" t="s">
        <v>2414</v>
      </c>
      <c r="B963" s="38" t="s">
        <v>2415</v>
      </c>
      <c r="C963" s="43">
        <v>10164.000000000002</v>
      </c>
      <c r="D963" s="39">
        <v>7623.0000000000018</v>
      </c>
      <c r="E963" s="14">
        <v>0.25</v>
      </c>
    </row>
    <row r="964" spans="1:5" x14ac:dyDescent="0.25">
      <c r="A964" s="44" t="s">
        <v>2416</v>
      </c>
      <c r="B964" s="38" t="s">
        <v>2417</v>
      </c>
      <c r="C964" s="43">
        <v>20328.000000000004</v>
      </c>
      <c r="D964" s="39">
        <v>15246.000000000004</v>
      </c>
      <c r="E964" s="14">
        <v>0.25</v>
      </c>
    </row>
    <row r="965" spans="1:5" x14ac:dyDescent="0.25">
      <c r="A965" s="44" t="s">
        <v>2418</v>
      </c>
      <c r="B965" s="38" t="s">
        <v>2419</v>
      </c>
      <c r="C965" s="43">
        <v>36652</v>
      </c>
      <c r="D965" s="39">
        <v>27489</v>
      </c>
      <c r="E965" s="14">
        <v>0.25</v>
      </c>
    </row>
    <row r="966" spans="1:5" x14ac:dyDescent="0.25">
      <c r="A966" s="44" t="s">
        <v>2420</v>
      </c>
      <c r="B966" s="38" t="s">
        <v>2421</v>
      </c>
      <c r="C966" s="43">
        <v>1540.0000000000002</v>
      </c>
      <c r="D966" s="39">
        <v>1155.0000000000002</v>
      </c>
      <c r="E966" s="14">
        <v>0.25</v>
      </c>
    </row>
    <row r="967" spans="1:5" x14ac:dyDescent="0.25">
      <c r="A967" s="44" t="s">
        <v>2422</v>
      </c>
      <c r="B967" s="38" t="s">
        <v>2423</v>
      </c>
      <c r="C967" s="43">
        <v>756.00000000000011</v>
      </c>
      <c r="D967" s="39">
        <v>567.00000000000011</v>
      </c>
      <c r="E967" s="14">
        <v>0.25</v>
      </c>
    </row>
    <row r="968" spans="1:5" x14ac:dyDescent="0.25">
      <c r="A968" s="44" t="s">
        <v>2424</v>
      </c>
      <c r="B968" s="38" t="s">
        <v>2425</v>
      </c>
      <c r="C968" s="43">
        <v>1680.0000000000002</v>
      </c>
      <c r="D968" s="39">
        <v>1260.0000000000002</v>
      </c>
      <c r="E968" s="14">
        <v>0.25</v>
      </c>
    </row>
    <row r="969" spans="1:5" x14ac:dyDescent="0.25">
      <c r="A969" s="44" t="s">
        <v>2426</v>
      </c>
      <c r="B969" s="38" t="s">
        <v>2427</v>
      </c>
      <c r="C969" s="43">
        <v>3080.0000000000005</v>
      </c>
      <c r="D969" s="39">
        <v>2310.0000000000005</v>
      </c>
      <c r="E969" s="14">
        <v>0.25</v>
      </c>
    </row>
    <row r="970" spans="1:5" x14ac:dyDescent="0.25">
      <c r="A970" s="44" t="s">
        <v>2428</v>
      </c>
      <c r="B970" s="38" t="s">
        <v>2429</v>
      </c>
      <c r="C970" s="43">
        <v>5068.0000000000009</v>
      </c>
      <c r="D970" s="39">
        <v>3801.0000000000009</v>
      </c>
      <c r="E970" s="14">
        <v>0.25</v>
      </c>
    </row>
    <row r="971" spans="1:5" x14ac:dyDescent="0.25">
      <c r="A971" s="44" t="s">
        <v>2430</v>
      </c>
      <c r="B971" s="38" t="s">
        <v>2431</v>
      </c>
      <c r="C971" s="43">
        <v>10164.000000000002</v>
      </c>
      <c r="D971" s="39">
        <v>7623.0000000000018</v>
      </c>
      <c r="E971" s="14">
        <v>0.25</v>
      </c>
    </row>
    <row r="972" spans="1:5" x14ac:dyDescent="0.25">
      <c r="A972" s="44" t="s">
        <v>2432</v>
      </c>
      <c r="B972" s="38" t="s">
        <v>2433</v>
      </c>
      <c r="C972" s="43">
        <v>5600.0000000000009</v>
      </c>
      <c r="D972" s="39">
        <v>4200.0000000000009</v>
      </c>
      <c r="E972" s="14">
        <v>0.25</v>
      </c>
    </row>
    <row r="973" spans="1:5" x14ac:dyDescent="0.25">
      <c r="A973" s="44" t="s">
        <v>2434</v>
      </c>
      <c r="B973" s="38" t="s">
        <v>2435</v>
      </c>
      <c r="C973" s="43">
        <v>9240</v>
      </c>
      <c r="D973" s="39">
        <v>6930</v>
      </c>
      <c r="E973" s="14">
        <v>0.25</v>
      </c>
    </row>
    <row r="974" spans="1:5" x14ac:dyDescent="0.25">
      <c r="A974" s="44" t="s">
        <v>2436</v>
      </c>
      <c r="B974" s="38" t="s">
        <v>2437</v>
      </c>
      <c r="C974" s="43">
        <v>16240.000000000002</v>
      </c>
      <c r="D974" s="39">
        <v>12180.000000000002</v>
      </c>
      <c r="E974" s="14">
        <v>0.25</v>
      </c>
    </row>
    <row r="975" spans="1:5" x14ac:dyDescent="0.25">
      <c r="A975" s="44" t="s">
        <v>2438</v>
      </c>
      <c r="B975" s="38" t="s">
        <v>2439</v>
      </c>
      <c r="C975" s="43">
        <v>34720</v>
      </c>
      <c r="D975" s="39">
        <v>26040</v>
      </c>
      <c r="E975" s="14">
        <v>0.25</v>
      </c>
    </row>
    <row r="976" spans="1:5" x14ac:dyDescent="0.25">
      <c r="A976" s="44" t="s">
        <v>2440</v>
      </c>
      <c r="B976" s="38" t="s">
        <v>2441</v>
      </c>
      <c r="C976" s="43">
        <v>2100</v>
      </c>
      <c r="D976" s="39">
        <v>1575</v>
      </c>
      <c r="E976" s="14">
        <v>0.25</v>
      </c>
    </row>
    <row r="977" spans="1:5" x14ac:dyDescent="0.25">
      <c r="A977" s="44" t="s">
        <v>2442</v>
      </c>
      <c r="B977" s="38" t="s">
        <v>2443</v>
      </c>
      <c r="C977" s="43">
        <v>140</v>
      </c>
      <c r="D977" s="39">
        <v>105</v>
      </c>
      <c r="E977" s="14">
        <v>0.25</v>
      </c>
    </row>
    <row r="978" spans="1:5" x14ac:dyDescent="0.25">
      <c r="A978" s="44" t="s">
        <v>2444</v>
      </c>
      <c r="B978" s="38" t="s">
        <v>2445</v>
      </c>
      <c r="C978" s="43">
        <v>672.00000000000011</v>
      </c>
      <c r="D978" s="39">
        <v>504.00000000000011</v>
      </c>
      <c r="E978" s="14">
        <v>0.25</v>
      </c>
    </row>
    <row r="979" spans="1:5" x14ac:dyDescent="0.25">
      <c r="A979" s="44" t="s">
        <v>2446</v>
      </c>
      <c r="B979" s="38" t="s">
        <v>2447</v>
      </c>
      <c r="C979" s="43">
        <v>2352</v>
      </c>
      <c r="D979" s="39">
        <v>1764</v>
      </c>
      <c r="E979" s="14">
        <v>0.25</v>
      </c>
    </row>
    <row r="980" spans="1:5" x14ac:dyDescent="0.25">
      <c r="A980" s="44" t="s">
        <v>2448</v>
      </c>
      <c r="B980" s="38" t="s">
        <v>2449</v>
      </c>
      <c r="C980" s="43">
        <v>280</v>
      </c>
      <c r="D980" s="39">
        <v>210</v>
      </c>
      <c r="E980" s="14">
        <v>0.25</v>
      </c>
    </row>
    <row r="981" spans="1:5" x14ac:dyDescent="0.25">
      <c r="A981" s="44" t="s">
        <v>2450</v>
      </c>
      <c r="B981" s="38" t="s">
        <v>2451</v>
      </c>
      <c r="C981" s="43">
        <v>1344.0000000000002</v>
      </c>
      <c r="D981" s="39">
        <v>1008.0000000000002</v>
      </c>
      <c r="E981" s="14">
        <v>0.25</v>
      </c>
    </row>
    <row r="982" spans="1:5" x14ac:dyDescent="0.25">
      <c r="A982" s="44" t="s">
        <v>2452</v>
      </c>
      <c r="B982" s="38" t="s">
        <v>2453</v>
      </c>
      <c r="C982" s="43">
        <v>4704</v>
      </c>
      <c r="D982" s="39">
        <v>3528</v>
      </c>
      <c r="E982" s="14">
        <v>0.25</v>
      </c>
    </row>
    <row r="983" spans="1:5" x14ac:dyDescent="0.25">
      <c r="A983" s="44" t="s">
        <v>2454</v>
      </c>
      <c r="B983" s="38" t="s">
        <v>2455</v>
      </c>
      <c r="C983" s="43">
        <v>1980</v>
      </c>
      <c r="D983" s="39">
        <v>1485</v>
      </c>
      <c r="E983" s="14">
        <v>0.25</v>
      </c>
    </row>
    <row r="984" spans="1:5" x14ac:dyDescent="0.25">
      <c r="A984" s="44" t="s">
        <v>2456</v>
      </c>
      <c r="B984" s="38" t="s">
        <v>2457</v>
      </c>
      <c r="C984" s="43">
        <v>3960</v>
      </c>
      <c r="D984" s="39">
        <v>2970</v>
      </c>
      <c r="E984" s="14">
        <v>0.25</v>
      </c>
    </row>
    <row r="985" spans="1:5" x14ac:dyDescent="0.25">
      <c r="A985" s="44" t="s">
        <v>2458</v>
      </c>
      <c r="B985" s="38" t="s">
        <v>2459</v>
      </c>
      <c r="C985" s="43">
        <v>7920</v>
      </c>
      <c r="D985" s="39">
        <v>5940</v>
      </c>
      <c r="E985" s="14">
        <v>0.25</v>
      </c>
    </row>
    <row r="986" spans="1:5" x14ac:dyDescent="0.25">
      <c r="A986" s="44" t="s">
        <v>2460</v>
      </c>
      <c r="B986" s="38" t="s">
        <v>2461</v>
      </c>
      <c r="C986" s="43">
        <v>15840</v>
      </c>
      <c r="D986" s="39">
        <v>11880</v>
      </c>
      <c r="E986" s="14">
        <v>0.25</v>
      </c>
    </row>
    <row r="987" spans="1:5" x14ac:dyDescent="0.25">
      <c r="A987" s="44" t="s">
        <v>2462</v>
      </c>
      <c r="B987" s="38" t="s">
        <v>2463</v>
      </c>
      <c r="C987" s="43">
        <v>23760</v>
      </c>
      <c r="D987" s="39">
        <v>17820</v>
      </c>
      <c r="E987" s="14">
        <v>0.25</v>
      </c>
    </row>
    <row r="988" spans="1:5" x14ac:dyDescent="0.25">
      <c r="A988" s="44" t="s">
        <v>2464</v>
      </c>
      <c r="B988" s="38" t="s">
        <v>2465</v>
      </c>
      <c r="C988" s="43">
        <v>900</v>
      </c>
      <c r="D988" s="39">
        <v>675</v>
      </c>
      <c r="E988" s="14">
        <v>0.25</v>
      </c>
    </row>
    <row r="989" spans="1:5" x14ac:dyDescent="0.25">
      <c r="A989" s="44" t="s">
        <v>2466</v>
      </c>
      <c r="B989" s="38" t="s">
        <v>2467</v>
      </c>
      <c r="C989" s="43">
        <v>1800</v>
      </c>
      <c r="D989" s="39">
        <v>1350</v>
      </c>
      <c r="E989" s="14">
        <v>0.25</v>
      </c>
    </row>
    <row r="990" spans="1:5" x14ac:dyDescent="0.25">
      <c r="A990" s="44" t="s">
        <v>2468</v>
      </c>
      <c r="B990" s="38" t="s">
        <v>2469</v>
      </c>
      <c r="C990" s="43">
        <v>2700</v>
      </c>
      <c r="D990" s="39">
        <v>2025</v>
      </c>
      <c r="E990" s="14">
        <v>0.25</v>
      </c>
    </row>
    <row r="991" spans="1:5" x14ac:dyDescent="0.25">
      <c r="A991" s="44" t="s">
        <v>2470</v>
      </c>
      <c r="B991" s="38" t="s">
        <v>2471</v>
      </c>
      <c r="C991" s="43">
        <v>1980</v>
      </c>
      <c r="D991" s="39">
        <v>1485</v>
      </c>
      <c r="E991" s="14">
        <v>0.25</v>
      </c>
    </row>
    <row r="992" spans="1:5" x14ac:dyDescent="0.25">
      <c r="A992" s="44" t="s">
        <v>2472</v>
      </c>
      <c r="B992" s="38" t="s">
        <v>2473</v>
      </c>
      <c r="C992" s="43">
        <v>792</v>
      </c>
      <c r="D992" s="39">
        <v>594</v>
      </c>
      <c r="E992" s="14">
        <v>0.25</v>
      </c>
    </row>
    <row r="993" spans="1:5" x14ac:dyDescent="0.25">
      <c r="A993" s="44" t="s">
        <v>2474</v>
      </c>
      <c r="B993" s="38" t="s">
        <v>2475</v>
      </c>
      <c r="C993" s="43">
        <v>3240</v>
      </c>
      <c r="D993" s="39">
        <v>2430</v>
      </c>
      <c r="E993" s="14">
        <v>0.25</v>
      </c>
    </row>
    <row r="994" spans="1:5" x14ac:dyDescent="0.25">
      <c r="A994" s="44" t="s">
        <v>2476</v>
      </c>
      <c r="B994" s="38" t="s">
        <v>2477</v>
      </c>
      <c r="C994" s="43">
        <v>792</v>
      </c>
      <c r="D994" s="39">
        <v>594</v>
      </c>
      <c r="E994" s="14">
        <v>0.25</v>
      </c>
    </row>
    <row r="995" spans="1:5" x14ac:dyDescent="0.25">
      <c r="A995" s="44" t="s">
        <v>2478</v>
      </c>
      <c r="B995" s="38" t="s">
        <v>2479</v>
      </c>
      <c r="C995" s="43">
        <v>324</v>
      </c>
      <c r="D995" s="39">
        <v>243</v>
      </c>
      <c r="E995" s="14">
        <v>0.25</v>
      </c>
    </row>
    <row r="996" spans="1:5" x14ac:dyDescent="0.25">
      <c r="A996" s="44" t="s">
        <v>2480</v>
      </c>
      <c r="B996" s="38" t="s">
        <v>2481</v>
      </c>
      <c r="C996" s="43">
        <v>216</v>
      </c>
      <c r="D996" s="39">
        <v>162</v>
      </c>
      <c r="E996" s="14">
        <v>0.25</v>
      </c>
    </row>
    <row r="997" spans="1:5" x14ac:dyDescent="0.25">
      <c r="A997" s="44" t="s">
        <v>2482</v>
      </c>
      <c r="B997" s="38" t="s">
        <v>2483</v>
      </c>
      <c r="C997" s="43">
        <v>486</v>
      </c>
      <c r="D997" s="39">
        <v>364.5</v>
      </c>
      <c r="E997" s="14">
        <v>0.25</v>
      </c>
    </row>
    <row r="998" spans="1:5" x14ac:dyDescent="0.25">
      <c r="A998" s="44" t="s">
        <v>2484</v>
      </c>
      <c r="B998" s="38" t="s">
        <v>2485</v>
      </c>
      <c r="C998" s="43">
        <v>22.32</v>
      </c>
      <c r="D998" s="39">
        <v>16.740000000000002</v>
      </c>
      <c r="E998" s="14">
        <v>0.24999999999999989</v>
      </c>
    </row>
    <row r="999" spans="1:5" x14ac:dyDescent="0.25">
      <c r="A999" s="44" t="s">
        <v>2486</v>
      </c>
      <c r="B999" s="38" t="s">
        <v>2487</v>
      </c>
      <c r="C999" s="43">
        <v>34.72</v>
      </c>
      <c r="D999" s="39">
        <v>26.04</v>
      </c>
      <c r="E999" s="14">
        <v>0.25</v>
      </c>
    </row>
    <row r="1000" spans="1:5" x14ac:dyDescent="0.25">
      <c r="A1000" s="44" t="s">
        <v>2488</v>
      </c>
      <c r="B1000" s="38" t="s">
        <v>2489</v>
      </c>
      <c r="C1000" s="43">
        <v>44.82</v>
      </c>
      <c r="D1000" s="39">
        <v>33.615000000000002</v>
      </c>
      <c r="E1000" s="14">
        <v>0.25</v>
      </c>
    </row>
    <row r="1001" spans="1:5" x14ac:dyDescent="0.25">
      <c r="A1001" s="44" t="s">
        <v>2490</v>
      </c>
      <c r="B1001" s="38" t="s">
        <v>2491</v>
      </c>
      <c r="C1001" s="43">
        <v>69.72</v>
      </c>
      <c r="D1001" s="39">
        <v>52.29</v>
      </c>
      <c r="E1001" s="14">
        <v>0.25</v>
      </c>
    </row>
    <row r="1002" spans="1:5" x14ac:dyDescent="0.25">
      <c r="A1002" s="44" t="s">
        <v>2492</v>
      </c>
      <c r="B1002" s="38" t="s">
        <v>2493</v>
      </c>
      <c r="C1002" s="43">
        <v>28.26</v>
      </c>
      <c r="D1002" s="39">
        <v>21.195</v>
      </c>
      <c r="E1002" s="14">
        <v>0.25</v>
      </c>
    </row>
    <row r="1003" spans="1:5" x14ac:dyDescent="0.25">
      <c r="A1003" s="44" t="s">
        <v>2494</v>
      </c>
      <c r="B1003" s="38" t="s">
        <v>2495</v>
      </c>
      <c r="C1003" s="43">
        <v>43.96</v>
      </c>
      <c r="D1003" s="39">
        <v>32.97</v>
      </c>
      <c r="E1003" s="14">
        <v>0.25</v>
      </c>
    </row>
    <row r="1004" spans="1:5" x14ac:dyDescent="0.25">
      <c r="A1004" s="44" t="s">
        <v>2496</v>
      </c>
      <c r="B1004" s="38" t="s">
        <v>2497</v>
      </c>
      <c r="C1004" s="43">
        <v>16.559999999999999</v>
      </c>
      <c r="D1004" s="39">
        <v>12.419999999999998</v>
      </c>
      <c r="E1004" s="14">
        <v>0.25</v>
      </c>
    </row>
    <row r="1005" spans="1:5" x14ac:dyDescent="0.25">
      <c r="A1005" s="44" t="s">
        <v>2498</v>
      </c>
      <c r="B1005" s="38" t="s">
        <v>2499</v>
      </c>
      <c r="C1005" s="43">
        <v>25.76</v>
      </c>
      <c r="D1005" s="39">
        <v>19.32</v>
      </c>
      <c r="E1005" s="14">
        <v>0.25</v>
      </c>
    </row>
    <row r="1006" spans="1:5" x14ac:dyDescent="0.25">
      <c r="A1006" s="44" t="s">
        <v>2500</v>
      </c>
      <c r="B1006" s="38" t="s">
        <v>2501</v>
      </c>
      <c r="C1006" s="43">
        <v>21.06</v>
      </c>
      <c r="D1006" s="39">
        <v>15.794999999999998</v>
      </c>
      <c r="E1006" s="14">
        <v>0.25</v>
      </c>
    </row>
    <row r="1007" spans="1:5" x14ac:dyDescent="0.25">
      <c r="A1007" s="44" t="s">
        <v>2502</v>
      </c>
      <c r="B1007" s="38" t="s">
        <v>2503</v>
      </c>
      <c r="C1007" s="43">
        <v>32.76</v>
      </c>
      <c r="D1007" s="39">
        <v>24.57</v>
      </c>
      <c r="E1007" s="14">
        <v>0.25</v>
      </c>
    </row>
    <row r="1008" spans="1:5" x14ac:dyDescent="0.25">
      <c r="A1008" s="44" t="s">
        <v>2504</v>
      </c>
      <c r="B1008" s="38" t="s">
        <v>2505</v>
      </c>
      <c r="C1008" s="43">
        <v>14.76</v>
      </c>
      <c r="D1008" s="39">
        <v>11.07</v>
      </c>
      <c r="E1008" s="14">
        <v>0.25</v>
      </c>
    </row>
    <row r="1009" spans="1:5" x14ac:dyDescent="0.25">
      <c r="A1009" s="44" t="s">
        <v>2506</v>
      </c>
      <c r="B1009" s="38" t="s">
        <v>2507</v>
      </c>
      <c r="C1009" s="43">
        <v>22.96</v>
      </c>
      <c r="D1009" s="39">
        <v>17.22</v>
      </c>
      <c r="E1009" s="14">
        <v>0.25000000000000011</v>
      </c>
    </row>
    <row r="1010" spans="1:5" x14ac:dyDescent="0.25">
      <c r="A1010" s="44" t="s">
        <v>2508</v>
      </c>
      <c r="B1010" s="38" t="s">
        <v>2509</v>
      </c>
      <c r="C1010" s="43">
        <v>24.66</v>
      </c>
      <c r="D1010" s="39">
        <v>18.495000000000001</v>
      </c>
      <c r="E1010" s="14">
        <v>0.25</v>
      </c>
    </row>
    <row r="1011" spans="1:5" x14ac:dyDescent="0.25">
      <c r="A1011" s="44" t="s">
        <v>2510</v>
      </c>
      <c r="B1011" s="38" t="s">
        <v>2511</v>
      </c>
      <c r="C1011" s="43">
        <v>38.36</v>
      </c>
      <c r="D1011" s="39">
        <v>28.77</v>
      </c>
      <c r="E1011" s="14">
        <v>0.25</v>
      </c>
    </row>
    <row r="1012" spans="1:5" x14ac:dyDescent="0.25">
      <c r="A1012" s="44" t="s">
        <v>2512</v>
      </c>
      <c r="B1012" s="38" t="s">
        <v>2513</v>
      </c>
      <c r="C1012" s="43">
        <v>35.82</v>
      </c>
      <c r="D1012" s="39">
        <v>26.865000000000002</v>
      </c>
      <c r="E1012" s="14">
        <v>0.25</v>
      </c>
    </row>
    <row r="1013" spans="1:5" x14ac:dyDescent="0.25">
      <c r="A1013" s="44" t="s">
        <v>2514</v>
      </c>
      <c r="B1013" s="38" t="s">
        <v>2515</v>
      </c>
      <c r="C1013" s="43">
        <v>55.72</v>
      </c>
      <c r="D1013" s="39">
        <v>41.79</v>
      </c>
      <c r="E1013" s="14">
        <v>0.25</v>
      </c>
    </row>
    <row r="1014" spans="1:5" x14ac:dyDescent="0.25">
      <c r="A1014" s="44" t="s">
        <v>2516</v>
      </c>
      <c r="B1014" s="38" t="s">
        <v>2517</v>
      </c>
      <c r="C1014" s="43">
        <v>18</v>
      </c>
      <c r="D1014" s="39">
        <v>13.5</v>
      </c>
      <c r="E1014" s="14">
        <v>0.25</v>
      </c>
    </row>
    <row r="1015" spans="1:5" x14ac:dyDescent="0.25">
      <c r="A1015" s="44" t="s">
        <v>2518</v>
      </c>
      <c r="B1015" s="38" t="s">
        <v>2519</v>
      </c>
      <c r="C1015" s="43">
        <v>28</v>
      </c>
      <c r="D1015" s="39">
        <v>21</v>
      </c>
      <c r="E1015" s="14">
        <v>0.25</v>
      </c>
    </row>
    <row r="1016" spans="1:5" x14ac:dyDescent="0.25">
      <c r="A1016" s="44" t="s">
        <v>2520</v>
      </c>
      <c r="B1016" s="38" t="s">
        <v>2521</v>
      </c>
      <c r="C1016" s="43">
        <v>16.920000000000002</v>
      </c>
      <c r="D1016" s="39">
        <v>12.690000000000001</v>
      </c>
      <c r="E1016" s="14">
        <v>0.25</v>
      </c>
    </row>
    <row r="1017" spans="1:5" x14ac:dyDescent="0.25">
      <c r="A1017" s="44" t="s">
        <v>2522</v>
      </c>
      <c r="B1017" s="38" t="s">
        <v>2523</v>
      </c>
      <c r="C1017" s="43">
        <v>26.32</v>
      </c>
      <c r="D1017" s="39">
        <v>19.740000000000002</v>
      </c>
      <c r="E1017" s="14">
        <v>0.24999999999999989</v>
      </c>
    </row>
    <row r="1018" spans="1:5" x14ac:dyDescent="0.25">
      <c r="A1018" s="44" t="s">
        <v>2524</v>
      </c>
      <c r="B1018" s="38" t="s">
        <v>2525</v>
      </c>
      <c r="C1018" s="43">
        <v>21.24</v>
      </c>
      <c r="D1018" s="39">
        <v>15.93</v>
      </c>
      <c r="E1018" s="14">
        <v>0.25</v>
      </c>
    </row>
    <row r="1019" spans="1:5" x14ac:dyDescent="0.25">
      <c r="A1019" s="44" t="s">
        <v>2526</v>
      </c>
      <c r="B1019" s="38" t="s">
        <v>2527</v>
      </c>
      <c r="C1019" s="43">
        <v>33.04</v>
      </c>
      <c r="D1019" s="39">
        <v>24.78</v>
      </c>
      <c r="E1019" s="14">
        <v>0.25</v>
      </c>
    </row>
    <row r="1020" spans="1:5" x14ac:dyDescent="0.25">
      <c r="A1020" s="44" t="s">
        <v>2528</v>
      </c>
      <c r="B1020" s="38" t="s">
        <v>2529</v>
      </c>
      <c r="C1020" s="43">
        <v>12.42</v>
      </c>
      <c r="D1020" s="39">
        <v>9.3149999999999995</v>
      </c>
      <c r="E1020" s="14">
        <v>0.25</v>
      </c>
    </row>
    <row r="1021" spans="1:5" x14ac:dyDescent="0.25">
      <c r="A1021" s="44" t="s">
        <v>2530</v>
      </c>
      <c r="B1021" s="38" t="s">
        <v>2531</v>
      </c>
      <c r="C1021" s="43">
        <v>19.32</v>
      </c>
      <c r="D1021" s="39">
        <v>14.49</v>
      </c>
      <c r="E1021" s="14">
        <v>0.25</v>
      </c>
    </row>
    <row r="1022" spans="1:5" x14ac:dyDescent="0.25">
      <c r="A1022" s="44" t="s">
        <v>2532</v>
      </c>
      <c r="B1022" s="38" t="s">
        <v>2533</v>
      </c>
      <c r="C1022" s="43">
        <v>15.84</v>
      </c>
      <c r="D1022" s="39">
        <v>11.879999999999999</v>
      </c>
      <c r="E1022" s="14">
        <v>0.25000000000000011</v>
      </c>
    </row>
    <row r="1023" spans="1:5" x14ac:dyDescent="0.25">
      <c r="A1023" s="44" t="s">
        <v>2534</v>
      </c>
      <c r="B1023" s="38" t="s">
        <v>2535</v>
      </c>
      <c r="C1023" s="43">
        <v>24.64</v>
      </c>
      <c r="D1023" s="39">
        <v>18.48</v>
      </c>
      <c r="E1023" s="14">
        <v>0.25</v>
      </c>
    </row>
    <row r="1024" spans="1:5" x14ac:dyDescent="0.25">
      <c r="A1024" s="44" t="s">
        <v>2536</v>
      </c>
      <c r="B1024" s="38" t="s">
        <v>2537</v>
      </c>
      <c r="C1024" s="43">
        <v>11.16</v>
      </c>
      <c r="D1024" s="39">
        <v>8.370000000000001</v>
      </c>
      <c r="E1024" s="14">
        <v>0.24999999999999989</v>
      </c>
    </row>
    <row r="1025" spans="1:5" x14ac:dyDescent="0.25">
      <c r="A1025" s="44" t="s">
        <v>2538</v>
      </c>
      <c r="B1025" s="38" t="s">
        <v>2539</v>
      </c>
      <c r="C1025" s="43">
        <v>17.36</v>
      </c>
      <c r="D1025" s="39">
        <v>13.02</v>
      </c>
      <c r="E1025" s="14">
        <v>0.25</v>
      </c>
    </row>
    <row r="1026" spans="1:5" x14ac:dyDescent="0.25">
      <c r="A1026" s="44" t="s">
        <v>2540</v>
      </c>
      <c r="B1026" s="38" t="s">
        <v>2541</v>
      </c>
      <c r="C1026" s="43">
        <v>18.54</v>
      </c>
      <c r="D1026" s="39">
        <v>13.904999999999999</v>
      </c>
      <c r="E1026" s="14">
        <v>0.25</v>
      </c>
    </row>
    <row r="1027" spans="1:5" x14ac:dyDescent="0.25">
      <c r="A1027" s="44" t="s">
        <v>2542</v>
      </c>
      <c r="B1027" s="38" t="s">
        <v>2543</v>
      </c>
      <c r="C1027" s="43">
        <v>28.84</v>
      </c>
      <c r="D1027" s="39">
        <v>21.63</v>
      </c>
      <c r="E1027" s="14">
        <v>0.25</v>
      </c>
    </row>
    <row r="1028" spans="1:5" x14ac:dyDescent="0.25">
      <c r="A1028" s="44" t="s">
        <v>2544</v>
      </c>
      <c r="B1028" s="38" t="s">
        <v>2545</v>
      </c>
      <c r="C1028" s="43">
        <v>27</v>
      </c>
      <c r="D1028" s="39">
        <v>20.25</v>
      </c>
      <c r="E1028" s="14">
        <v>0.25</v>
      </c>
    </row>
    <row r="1029" spans="1:5" x14ac:dyDescent="0.25">
      <c r="A1029" s="44" t="s">
        <v>2546</v>
      </c>
      <c r="B1029" s="38" t="s">
        <v>2547</v>
      </c>
      <c r="C1029" s="43">
        <v>42</v>
      </c>
      <c r="D1029" s="39">
        <v>31.5</v>
      </c>
      <c r="E1029" s="14">
        <v>0.25</v>
      </c>
    </row>
    <row r="1030" spans="1:5" x14ac:dyDescent="0.25">
      <c r="A1030" s="44" t="s">
        <v>2548</v>
      </c>
      <c r="B1030" s="38" t="s">
        <v>2549</v>
      </c>
      <c r="C1030" s="43">
        <v>13.5</v>
      </c>
      <c r="D1030" s="39">
        <v>10.125</v>
      </c>
      <c r="E1030" s="14">
        <v>0.25</v>
      </c>
    </row>
    <row r="1031" spans="1:5" x14ac:dyDescent="0.25">
      <c r="A1031" s="44" t="s">
        <v>2550</v>
      </c>
      <c r="B1031" s="38" t="s">
        <v>2551</v>
      </c>
      <c r="C1031" s="43">
        <v>21</v>
      </c>
      <c r="D1031" s="39">
        <v>15.75</v>
      </c>
      <c r="E1031" s="14">
        <v>0.25</v>
      </c>
    </row>
    <row r="1032" spans="1:5" x14ac:dyDescent="0.25">
      <c r="A1032" s="44" t="s">
        <v>2552</v>
      </c>
      <c r="B1032" s="38" t="s">
        <v>2553</v>
      </c>
      <c r="C1032" s="43">
        <v>36</v>
      </c>
      <c r="D1032" s="39">
        <v>27</v>
      </c>
      <c r="E1032" s="14">
        <v>0.25</v>
      </c>
    </row>
    <row r="1033" spans="1:5" x14ac:dyDescent="0.25">
      <c r="A1033" s="44" t="s">
        <v>2554</v>
      </c>
      <c r="B1033" s="38" t="s">
        <v>2555</v>
      </c>
      <c r="C1033" s="43">
        <v>56</v>
      </c>
      <c r="D1033" s="39">
        <v>42</v>
      </c>
      <c r="E1033" s="14">
        <v>0.25</v>
      </c>
    </row>
    <row r="1034" spans="1:5" x14ac:dyDescent="0.25">
      <c r="A1034" s="44" t="s">
        <v>2556</v>
      </c>
      <c r="B1034" s="38" t="s">
        <v>2557</v>
      </c>
      <c r="C1034" s="43">
        <v>27</v>
      </c>
      <c r="D1034" s="39">
        <v>20.25</v>
      </c>
      <c r="E1034" s="14">
        <v>0.25</v>
      </c>
    </row>
    <row r="1035" spans="1:5" x14ac:dyDescent="0.25">
      <c r="A1035" s="44" t="s">
        <v>2558</v>
      </c>
      <c r="B1035" s="38" t="s">
        <v>2559</v>
      </c>
      <c r="C1035" s="43">
        <v>42</v>
      </c>
      <c r="D1035" s="39">
        <v>31.5</v>
      </c>
      <c r="E1035" s="14">
        <v>0.25</v>
      </c>
    </row>
    <row r="1036" spans="1:5" x14ac:dyDescent="0.25">
      <c r="A1036" s="44" t="s">
        <v>2560</v>
      </c>
      <c r="B1036" s="38" t="s">
        <v>2561</v>
      </c>
      <c r="C1036" s="43">
        <v>13.5</v>
      </c>
      <c r="D1036" s="39">
        <v>10.125</v>
      </c>
      <c r="E1036" s="14">
        <v>0.25</v>
      </c>
    </row>
    <row r="1037" spans="1:5" x14ac:dyDescent="0.25">
      <c r="A1037" s="44" t="s">
        <v>2562</v>
      </c>
      <c r="B1037" s="38" t="s">
        <v>2563</v>
      </c>
      <c r="C1037" s="43">
        <v>21</v>
      </c>
      <c r="D1037" s="39">
        <v>15.75</v>
      </c>
      <c r="E1037" s="14">
        <v>0.25</v>
      </c>
    </row>
    <row r="1038" spans="1:5" x14ac:dyDescent="0.25">
      <c r="A1038" s="44" t="s">
        <v>2564</v>
      </c>
      <c r="B1038" s="38" t="s">
        <v>2565</v>
      </c>
      <c r="C1038" s="43">
        <v>13.5</v>
      </c>
      <c r="D1038" s="39">
        <v>10.125</v>
      </c>
      <c r="E1038" s="14">
        <v>0.25</v>
      </c>
    </row>
    <row r="1039" spans="1:5" x14ac:dyDescent="0.25">
      <c r="A1039" s="44" t="s">
        <v>2566</v>
      </c>
      <c r="B1039" s="38" t="s">
        <v>2567</v>
      </c>
      <c r="C1039" s="43">
        <v>21</v>
      </c>
      <c r="D1039" s="39">
        <v>15.75</v>
      </c>
      <c r="E1039" s="14">
        <v>0.25</v>
      </c>
    </row>
    <row r="1040" spans="1:5" x14ac:dyDescent="0.25">
      <c r="A1040" s="44" t="s">
        <v>2568</v>
      </c>
      <c r="B1040" s="38" t="s">
        <v>2569</v>
      </c>
      <c r="C1040" s="43">
        <v>13.5</v>
      </c>
      <c r="D1040" s="39">
        <v>10.125</v>
      </c>
      <c r="E1040" s="14">
        <v>0.25</v>
      </c>
    </row>
    <row r="1041" spans="1:5" x14ac:dyDescent="0.25">
      <c r="A1041" s="44" t="s">
        <v>2570</v>
      </c>
      <c r="B1041" s="38" t="s">
        <v>2571</v>
      </c>
      <c r="C1041" s="43">
        <v>21</v>
      </c>
      <c r="D1041" s="39">
        <v>15.75</v>
      </c>
      <c r="E1041" s="14">
        <v>0.25</v>
      </c>
    </row>
    <row r="1042" spans="1:5" x14ac:dyDescent="0.25">
      <c r="A1042" s="44" t="s">
        <v>2572</v>
      </c>
      <c r="B1042" s="38" t="s">
        <v>2573</v>
      </c>
      <c r="C1042" s="43">
        <v>900</v>
      </c>
      <c r="D1042" s="39">
        <v>675</v>
      </c>
      <c r="E1042" s="14">
        <v>0.25</v>
      </c>
    </row>
    <row r="1043" spans="1:5" x14ac:dyDescent="0.25">
      <c r="A1043" s="44" t="s">
        <v>2574</v>
      </c>
      <c r="B1043" s="38" t="s">
        <v>2575</v>
      </c>
      <c r="C1043" s="43">
        <v>1400</v>
      </c>
      <c r="D1043" s="39">
        <v>1050</v>
      </c>
      <c r="E1043" s="14">
        <v>0.25</v>
      </c>
    </row>
    <row r="1044" spans="1:5" x14ac:dyDescent="0.25">
      <c r="A1044" s="44" t="s">
        <v>2576</v>
      </c>
      <c r="B1044" s="38" t="s">
        <v>2577</v>
      </c>
      <c r="C1044" s="43">
        <v>72</v>
      </c>
      <c r="D1044" s="39">
        <v>54</v>
      </c>
      <c r="E1044" s="14">
        <v>0.25</v>
      </c>
    </row>
    <row r="1045" spans="1:5" x14ac:dyDescent="0.25">
      <c r="A1045" s="44" t="s">
        <v>2578</v>
      </c>
      <c r="B1045" s="38" t="s">
        <v>2579</v>
      </c>
      <c r="C1045" s="43">
        <v>112</v>
      </c>
      <c r="D1045" s="39">
        <v>84</v>
      </c>
      <c r="E1045" s="14">
        <v>0.25</v>
      </c>
    </row>
    <row r="1046" spans="1:5" x14ac:dyDescent="0.25">
      <c r="A1046" s="44" t="s">
        <v>2580</v>
      </c>
      <c r="B1046" s="38" t="s">
        <v>2581</v>
      </c>
      <c r="C1046" s="43">
        <v>135</v>
      </c>
      <c r="D1046" s="39">
        <v>101.25</v>
      </c>
      <c r="E1046" s="14">
        <v>0.25</v>
      </c>
    </row>
    <row r="1047" spans="1:5" x14ac:dyDescent="0.25">
      <c r="A1047" s="44" t="s">
        <v>2582</v>
      </c>
      <c r="B1047" s="38" t="s">
        <v>2583</v>
      </c>
      <c r="C1047" s="43">
        <v>210</v>
      </c>
      <c r="D1047" s="39">
        <v>157.5</v>
      </c>
      <c r="E1047" s="14">
        <v>0.25</v>
      </c>
    </row>
    <row r="1048" spans="1:5" x14ac:dyDescent="0.25">
      <c r="A1048" s="44" t="s">
        <v>2584</v>
      </c>
      <c r="B1048" s="38" t="s">
        <v>2585</v>
      </c>
      <c r="C1048" s="43">
        <v>4500</v>
      </c>
      <c r="D1048" s="39">
        <v>3375</v>
      </c>
      <c r="E1048" s="14">
        <v>0.25</v>
      </c>
    </row>
    <row r="1049" spans="1:5" x14ac:dyDescent="0.25">
      <c r="A1049" s="44" t="s">
        <v>2586</v>
      </c>
      <c r="B1049" s="38" t="s">
        <v>2587</v>
      </c>
      <c r="C1049" s="43">
        <v>7000</v>
      </c>
      <c r="D1049" s="39">
        <v>5250</v>
      </c>
      <c r="E1049" s="14">
        <v>0.25</v>
      </c>
    </row>
    <row r="1050" spans="1:5" x14ac:dyDescent="0.25">
      <c r="A1050" s="44" t="s">
        <v>2588</v>
      </c>
      <c r="B1050" s="38" t="s">
        <v>2589</v>
      </c>
      <c r="C1050" s="43">
        <v>144</v>
      </c>
      <c r="D1050" s="39">
        <v>108</v>
      </c>
      <c r="E1050" s="14">
        <v>0.25</v>
      </c>
    </row>
    <row r="1051" spans="1:5" x14ac:dyDescent="0.25">
      <c r="A1051" s="44" t="s">
        <v>2590</v>
      </c>
      <c r="B1051" s="38" t="s">
        <v>2591</v>
      </c>
      <c r="C1051" s="43">
        <v>224</v>
      </c>
      <c r="D1051" s="39">
        <v>168</v>
      </c>
      <c r="E1051" s="14">
        <v>0.25</v>
      </c>
    </row>
    <row r="1052" spans="1:5" x14ac:dyDescent="0.25">
      <c r="A1052" s="44" t="s">
        <v>2592</v>
      </c>
      <c r="B1052" s="38" t="s">
        <v>2593</v>
      </c>
      <c r="C1052" s="43">
        <v>72</v>
      </c>
      <c r="D1052" s="39">
        <v>54</v>
      </c>
      <c r="E1052" s="14">
        <v>0.25</v>
      </c>
    </row>
    <row r="1053" spans="1:5" x14ac:dyDescent="0.25">
      <c r="A1053" s="44" t="s">
        <v>2594</v>
      </c>
      <c r="B1053" s="38" t="s">
        <v>2595</v>
      </c>
      <c r="C1053" s="43">
        <v>112</v>
      </c>
      <c r="D1053" s="39">
        <v>84</v>
      </c>
      <c r="E1053" s="14">
        <v>0.25</v>
      </c>
    </row>
    <row r="1054" spans="1:5" x14ac:dyDescent="0.25">
      <c r="A1054" s="44" t="s">
        <v>2596</v>
      </c>
      <c r="B1054" s="38" t="s">
        <v>2597</v>
      </c>
      <c r="C1054" s="43">
        <v>90.72</v>
      </c>
      <c r="D1054" s="39">
        <v>68.039999999999992</v>
      </c>
      <c r="E1054" s="14">
        <v>0.25000000000000011</v>
      </c>
    </row>
    <row r="1055" spans="1:5" x14ac:dyDescent="0.25">
      <c r="A1055" s="44" t="s">
        <v>2598</v>
      </c>
      <c r="B1055" s="38" t="s">
        <v>2599</v>
      </c>
      <c r="C1055" s="43">
        <v>141.12</v>
      </c>
      <c r="D1055" s="39">
        <v>105.84</v>
      </c>
      <c r="E1055" s="14">
        <v>0.25</v>
      </c>
    </row>
    <row r="1056" spans="1:5" x14ac:dyDescent="0.25">
      <c r="A1056" s="44" t="s">
        <v>2600</v>
      </c>
      <c r="B1056" s="38" t="s">
        <v>2601</v>
      </c>
      <c r="C1056" s="43">
        <v>53.28</v>
      </c>
      <c r="D1056" s="39">
        <v>39.96</v>
      </c>
      <c r="E1056" s="14">
        <v>0.25</v>
      </c>
    </row>
    <row r="1057" spans="1:5" x14ac:dyDescent="0.25">
      <c r="A1057" s="44" t="s">
        <v>2602</v>
      </c>
      <c r="B1057" s="38" t="s">
        <v>2603</v>
      </c>
      <c r="C1057" s="43">
        <v>82.88</v>
      </c>
      <c r="D1057" s="39">
        <v>62.16</v>
      </c>
      <c r="E1057" s="14">
        <v>0.25</v>
      </c>
    </row>
    <row r="1058" spans="1:5" x14ac:dyDescent="0.25">
      <c r="A1058" s="44" t="s">
        <v>2604</v>
      </c>
      <c r="B1058" s="38" t="s">
        <v>2605</v>
      </c>
      <c r="C1058" s="43">
        <v>67.680000000000007</v>
      </c>
      <c r="D1058" s="39">
        <v>50.760000000000005</v>
      </c>
      <c r="E1058" s="14">
        <v>0.25</v>
      </c>
    </row>
    <row r="1059" spans="1:5" x14ac:dyDescent="0.25">
      <c r="A1059" s="44" t="s">
        <v>2606</v>
      </c>
      <c r="B1059" s="38" t="s">
        <v>2607</v>
      </c>
      <c r="C1059" s="43">
        <v>105.28</v>
      </c>
      <c r="D1059" s="39">
        <v>78.960000000000008</v>
      </c>
      <c r="E1059" s="14">
        <v>0.24999999999999989</v>
      </c>
    </row>
    <row r="1060" spans="1:5" x14ac:dyDescent="0.25">
      <c r="A1060" s="44" t="s">
        <v>2608</v>
      </c>
      <c r="B1060" s="38" t="s">
        <v>2609</v>
      </c>
      <c r="C1060" s="43">
        <v>47.52</v>
      </c>
      <c r="D1060" s="39">
        <v>35.64</v>
      </c>
      <c r="E1060" s="14">
        <v>0.25</v>
      </c>
    </row>
    <row r="1061" spans="1:5" x14ac:dyDescent="0.25">
      <c r="A1061" s="44" t="s">
        <v>2610</v>
      </c>
      <c r="B1061" s="38" t="s">
        <v>2611</v>
      </c>
      <c r="C1061" s="43">
        <v>73.92</v>
      </c>
      <c r="D1061" s="39">
        <v>55.44</v>
      </c>
      <c r="E1061" s="14">
        <v>0.25</v>
      </c>
    </row>
    <row r="1062" spans="1:5" x14ac:dyDescent="0.25">
      <c r="A1062" s="44" t="s">
        <v>2612</v>
      </c>
      <c r="B1062" s="38" t="s">
        <v>2613</v>
      </c>
      <c r="C1062" s="43">
        <v>79.2</v>
      </c>
      <c r="D1062" s="39">
        <v>59.400000000000006</v>
      </c>
      <c r="E1062" s="14">
        <v>0.25</v>
      </c>
    </row>
    <row r="1063" spans="1:5" x14ac:dyDescent="0.25">
      <c r="A1063" s="44" t="s">
        <v>2614</v>
      </c>
      <c r="B1063" s="38" t="s">
        <v>2615</v>
      </c>
      <c r="C1063" s="43">
        <v>123.2</v>
      </c>
      <c r="D1063" s="39">
        <v>92.4</v>
      </c>
      <c r="E1063" s="14">
        <v>0.25</v>
      </c>
    </row>
    <row r="1064" spans="1:5" x14ac:dyDescent="0.25">
      <c r="A1064" s="44" t="s">
        <v>2616</v>
      </c>
      <c r="B1064" s="38" t="s">
        <v>2617</v>
      </c>
      <c r="C1064" s="43">
        <v>115.2</v>
      </c>
      <c r="D1064" s="39">
        <v>86.4</v>
      </c>
      <c r="E1064" s="14">
        <v>0.25</v>
      </c>
    </row>
    <row r="1065" spans="1:5" x14ac:dyDescent="0.25">
      <c r="A1065" s="44" t="s">
        <v>2618</v>
      </c>
      <c r="B1065" s="38" t="s">
        <v>2619</v>
      </c>
      <c r="C1065" s="43">
        <v>179.2</v>
      </c>
      <c r="D1065" s="39">
        <v>134.39999999999998</v>
      </c>
      <c r="E1065" s="14">
        <v>0.25000000000000011</v>
      </c>
    </row>
    <row r="1066" spans="1:5" x14ac:dyDescent="0.25">
      <c r="A1066" s="44" t="s">
        <v>2620</v>
      </c>
      <c r="B1066" s="38" t="s">
        <v>2621</v>
      </c>
      <c r="C1066" s="43">
        <v>57.6</v>
      </c>
      <c r="D1066" s="39">
        <v>43.2</v>
      </c>
      <c r="E1066" s="14">
        <v>0.25</v>
      </c>
    </row>
    <row r="1067" spans="1:5" x14ac:dyDescent="0.25">
      <c r="A1067" s="44" t="s">
        <v>2622</v>
      </c>
      <c r="B1067" s="38" t="s">
        <v>2623</v>
      </c>
      <c r="C1067" s="43">
        <v>89.6</v>
      </c>
      <c r="D1067" s="39">
        <v>67.199999999999989</v>
      </c>
      <c r="E1067" s="14">
        <v>0.25000000000000011</v>
      </c>
    </row>
    <row r="1068" spans="1:5" x14ac:dyDescent="0.25">
      <c r="A1068" s="44" t="s">
        <v>2624</v>
      </c>
      <c r="B1068" s="38" t="s">
        <v>2625</v>
      </c>
      <c r="C1068" s="43">
        <v>1800</v>
      </c>
      <c r="D1068" s="39">
        <v>1350</v>
      </c>
      <c r="E1068" s="14">
        <v>0.25</v>
      </c>
    </row>
    <row r="1069" spans="1:5" x14ac:dyDescent="0.25">
      <c r="A1069" s="44" t="s">
        <v>2626</v>
      </c>
      <c r="B1069" s="38" t="s">
        <v>2627</v>
      </c>
      <c r="C1069" s="43">
        <v>2800</v>
      </c>
      <c r="D1069" s="39">
        <v>2100</v>
      </c>
      <c r="E1069" s="14">
        <v>0.25</v>
      </c>
    </row>
    <row r="1070" spans="1:5" x14ac:dyDescent="0.25">
      <c r="A1070" s="44" t="s">
        <v>2628</v>
      </c>
      <c r="B1070" s="38" t="s">
        <v>2629</v>
      </c>
      <c r="C1070" s="43">
        <v>18</v>
      </c>
      <c r="D1070" s="39">
        <v>13.5</v>
      </c>
      <c r="E1070" s="14">
        <v>0.25</v>
      </c>
    </row>
    <row r="1071" spans="1:5" x14ac:dyDescent="0.25">
      <c r="A1071" s="44" t="s">
        <v>2630</v>
      </c>
      <c r="B1071" s="38" t="s">
        <v>2631</v>
      </c>
      <c r="C1071" s="43">
        <v>28</v>
      </c>
      <c r="D1071" s="39">
        <v>21</v>
      </c>
      <c r="E1071" s="14">
        <v>0.25</v>
      </c>
    </row>
    <row r="1072" spans="1:5" x14ac:dyDescent="0.25">
      <c r="A1072" s="44" t="s">
        <v>2632</v>
      </c>
      <c r="B1072" s="38" t="s">
        <v>2633</v>
      </c>
      <c r="C1072" s="43">
        <v>9</v>
      </c>
      <c r="D1072" s="39">
        <v>6.75</v>
      </c>
      <c r="E1072" s="14">
        <v>0.25</v>
      </c>
    </row>
    <row r="1073" spans="1:5" x14ac:dyDescent="0.25">
      <c r="A1073" s="44" t="s">
        <v>2634</v>
      </c>
      <c r="B1073" s="38" t="s">
        <v>2635</v>
      </c>
      <c r="C1073" s="43">
        <v>14</v>
      </c>
      <c r="D1073" s="39">
        <v>10.5</v>
      </c>
      <c r="E1073" s="14">
        <v>0.25</v>
      </c>
    </row>
    <row r="1074" spans="1:5" x14ac:dyDescent="0.25">
      <c r="A1074" s="44" t="s">
        <v>2636</v>
      </c>
      <c r="B1074" s="38" t="s">
        <v>2637</v>
      </c>
      <c r="C1074" s="43">
        <v>11.34</v>
      </c>
      <c r="D1074" s="39">
        <v>8.504999999999999</v>
      </c>
      <c r="E1074" s="14">
        <v>0.25000000000000011</v>
      </c>
    </row>
    <row r="1075" spans="1:5" x14ac:dyDescent="0.25">
      <c r="A1075" s="44" t="s">
        <v>2638</v>
      </c>
      <c r="B1075" s="38" t="s">
        <v>2639</v>
      </c>
      <c r="C1075" s="43">
        <v>17.64</v>
      </c>
      <c r="D1075" s="39">
        <v>13.23</v>
      </c>
      <c r="E1075" s="14">
        <v>0.25</v>
      </c>
    </row>
    <row r="1076" spans="1:5" x14ac:dyDescent="0.25">
      <c r="A1076" s="44" t="s">
        <v>2640</v>
      </c>
      <c r="B1076" s="38" t="s">
        <v>2641</v>
      </c>
      <c r="C1076" s="43">
        <v>6.66</v>
      </c>
      <c r="D1076" s="39">
        <v>4.9950000000000001</v>
      </c>
      <c r="E1076" s="14">
        <v>0.25</v>
      </c>
    </row>
    <row r="1077" spans="1:5" x14ac:dyDescent="0.25">
      <c r="A1077" s="44" t="s">
        <v>2642</v>
      </c>
      <c r="B1077" s="38" t="s">
        <v>2643</v>
      </c>
      <c r="C1077" s="43">
        <v>10.36</v>
      </c>
      <c r="D1077" s="39">
        <v>7.77</v>
      </c>
      <c r="E1077" s="14">
        <v>0.25</v>
      </c>
    </row>
    <row r="1078" spans="1:5" x14ac:dyDescent="0.25">
      <c r="A1078" s="44" t="s">
        <v>2644</v>
      </c>
      <c r="B1078" s="38" t="s">
        <v>2645</v>
      </c>
      <c r="C1078" s="43">
        <v>8.4600000000000009</v>
      </c>
      <c r="D1078" s="39">
        <v>6.3450000000000006</v>
      </c>
      <c r="E1078" s="14">
        <v>0.25</v>
      </c>
    </row>
    <row r="1079" spans="1:5" x14ac:dyDescent="0.25">
      <c r="A1079" s="44" t="s">
        <v>2646</v>
      </c>
      <c r="B1079" s="38" t="s">
        <v>2647</v>
      </c>
      <c r="C1079" s="43">
        <v>13.16</v>
      </c>
      <c r="D1079" s="39">
        <v>9.870000000000001</v>
      </c>
      <c r="E1079" s="14">
        <v>0.24999999999999989</v>
      </c>
    </row>
    <row r="1080" spans="1:5" x14ac:dyDescent="0.25">
      <c r="A1080" s="44" t="s">
        <v>2648</v>
      </c>
      <c r="B1080" s="38" t="s">
        <v>2649</v>
      </c>
      <c r="C1080" s="43">
        <v>5.94</v>
      </c>
      <c r="D1080" s="39">
        <v>4.4550000000000001</v>
      </c>
      <c r="E1080" s="14">
        <v>0.25</v>
      </c>
    </row>
    <row r="1081" spans="1:5" x14ac:dyDescent="0.25">
      <c r="A1081" s="44" t="s">
        <v>2650</v>
      </c>
      <c r="B1081" s="38" t="s">
        <v>2651</v>
      </c>
      <c r="C1081" s="43">
        <v>9.24</v>
      </c>
      <c r="D1081" s="39">
        <v>6.93</v>
      </c>
      <c r="E1081" s="14">
        <v>0.25</v>
      </c>
    </row>
    <row r="1082" spans="1:5" x14ac:dyDescent="0.25">
      <c r="A1082" s="44" t="s">
        <v>2652</v>
      </c>
      <c r="B1082" s="38" t="s">
        <v>2653</v>
      </c>
      <c r="C1082" s="43">
        <v>9.9</v>
      </c>
      <c r="D1082" s="39">
        <v>7.4250000000000007</v>
      </c>
      <c r="E1082" s="14">
        <v>0.25</v>
      </c>
    </row>
    <row r="1083" spans="1:5" x14ac:dyDescent="0.25">
      <c r="A1083" s="44" t="s">
        <v>2654</v>
      </c>
      <c r="B1083" s="38" t="s">
        <v>2655</v>
      </c>
      <c r="C1083" s="43">
        <v>15.4</v>
      </c>
      <c r="D1083" s="39">
        <v>11.55</v>
      </c>
      <c r="E1083" s="14">
        <v>0.25</v>
      </c>
    </row>
    <row r="1084" spans="1:5" x14ac:dyDescent="0.25">
      <c r="A1084" s="44" t="s">
        <v>2656</v>
      </c>
      <c r="B1084" s="38" t="s">
        <v>2657</v>
      </c>
      <c r="C1084" s="43">
        <v>14.4</v>
      </c>
      <c r="D1084" s="39">
        <v>10.8</v>
      </c>
      <c r="E1084" s="14">
        <v>0.25</v>
      </c>
    </row>
    <row r="1085" spans="1:5" x14ac:dyDescent="0.25">
      <c r="A1085" s="44" t="s">
        <v>2658</v>
      </c>
      <c r="B1085" s="38" t="s">
        <v>2659</v>
      </c>
      <c r="C1085" s="43">
        <v>22.4</v>
      </c>
      <c r="D1085" s="39">
        <v>16.799999999999997</v>
      </c>
      <c r="E1085" s="14">
        <v>0.25000000000000011</v>
      </c>
    </row>
    <row r="1086" spans="1:5" x14ac:dyDescent="0.25">
      <c r="A1086" s="44" t="s">
        <v>2660</v>
      </c>
      <c r="B1086" s="38" t="s">
        <v>2661</v>
      </c>
      <c r="C1086" s="43">
        <v>7.2</v>
      </c>
      <c r="D1086" s="39">
        <v>5.4</v>
      </c>
      <c r="E1086" s="14">
        <v>0.25</v>
      </c>
    </row>
    <row r="1087" spans="1:5" x14ac:dyDescent="0.25">
      <c r="A1087" s="44" t="s">
        <v>2662</v>
      </c>
      <c r="B1087" s="38" t="s">
        <v>2663</v>
      </c>
      <c r="C1087" s="43">
        <v>11.2</v>
      </c>
      <c r="D1087" s="39">
        <v>8.3999999999999986</v>
      </c>
      <c r="E1087" s="14">
        <v>0.25000000000000011</v>
      </c>
    </row>
    <row r="1088" spans="1:5" x14ac:dyDescent="0.25">
      <c r="A1088" s="44" t="s">
        <v>2664</v>
      </c>
      <c r="B1088" s="38" t="s">
        <v>2665</v>
      </c>
      <c r="C1088" s="43">
        <v>99</v>
      </c>
      <c r="D1088" s="39">
        <v>74.25</v>
      </c>
      <c r="E1088" s="14">
        <v>0.25</v>
      </c>
    </row>
    <row r="1089" spans="1:5" x14ac:dyDescent="0.25">
      <c r="A1089" s="44" t="s">
        <v>2666</v>
      </c>
      <c r="B1089" s="38" t="s">
        <v>2667</v>
      </c>
      <c r="C1089" s="43">
        <v>154</v>
      </c>
      <c r="D1089" s="39">
        <v>115.5</v>
      </c>
      <c r="E1089" s="14">
        <v>0.25</v>
      </c>
    </row>
    <row r="1090" spans="1:5" x14ac:dyDescent="0.25">
      <c r="A1090" s="44" t="s">
        <v>2668</v>
      </c>
      <c r="B1090" s="38" t="s">
        <v>2669</v>
      </c>
      <c r="C1090" s="43">
        <v>49.5</v>
      </c>
      <c r="D1090" s="39">
        <v>37.125</v>
      </c>
      <c r="E1090" s="14">
        <v>0.25</v>
      </c>
    </row>
    <row r="1091" spans="1:5" x14ac:dyDescent="0.25">
      <c r="A1091" s="44" t="s">
        <v>2670</v>
      </c>
      <c r="B1091" s="38" t="s">
        <v>2671</v>
      </c>
      <c r="C1091" s="43">
        <v>77</v>
      </c>
      <c r="D1091" s="39">
        <v>57.75</v>
      </c>
      <c r="E1091" s="14">
        <v>0.25</v>
      </c>
    </row>
    <row r="1092" spans="1:5" x14ac:dyDescent="0.25">
      <c r="A1092" s="44" t="s">
        <v>2672</v>
      </c>
      <c r="B1092" s="38" t="s">
        <v>2673</v>
      </c>
      <c r="C1092" s="43">
        <v>62.46</v>
      </c>
      <c r="D1092" s="39">
        <v>46.844999999999999</v>
      </c>
      <c r="E1092" s="14">
        <v>0.25</v>
      </c>
    </row>
    <row r="1093" spans="1:5" x14ac:dyDescent="0.25">
      <c r="A1093" s="44" t="s">
        <v>2674</v>
      </c>
      <c r="B1093" s="38" t="s">
        <v>2675</v>
      </c>
      <c r="C1093" s="43">
        <v>97.16</v>
      </c>
      <c r="D1093" s="39">
        <v>72.87</v>
      </c>
      <c r="E1093" s="14">
        <v>0.24999999999999989</v>
      </c>
    </row>
    <row r="1094" spans="1:5" x14ac:dyDescent="0.25">
      <c r="A1094" s="44" t="s">
        <v>2676</v>
      </c>
      <c r="B1094" s="38" t="s">
        <v>2677</v>
      </c>
      <c r="C1094" s="43">
        <v>36.72</v>
      </c>
      <c r="D1094" s="39">
        <v>27.54</v>
      </c>
      <c r="E1094" s="14">
        <v>0.25</v>
      </c>
    </row>
    <row r="1095" spans="1:5" x14ac:dyDescent="0.25">
      <c r="A1095" s="44" t="s">
        <v>2678</v>
      </c>
      <c r="B1095" s="38" t="s">
        <v>2679</v>
      </c>
      <c r="C1095" s="43">
        <v>57.12</v>
      </c>
      <c r="D1095" s="39">
        <v>42.839999999999996</v>
      </c>
      <c r="E1095" s="14">
        <v>0.25</v>
      </c>
    </row>
    <row r="1096" spans="1:5" x14ac:dyDescent="0.25">
      <c r="A1096" s="44" t="s">
        <v>2680</v>
      </c>
      <c r="B1096" s="38" t="s">
        <v>2681</v>
      </c>
      <c r="C1096" s="43">
        <v>46.62</v>
      </c>
      <c r="D1096" s="39">
        <v>34.964999999999996</v>
      </c>
      <c r="E1096" s="14">
        <v>0.25</v>
      </c>
    </row>
    <row r="1097" spans="1:5" x14ac:dyDescent="0.25">
      <c r="A1097" s="44" t="s">
        <v>2682</v>
      </c>
      <c r="B1097" s="38" t="s">
        <v>2683</v>
      </c>
      <c r="C1097" s="43">
        <v>72.52</v>
      </c>
      <c r="D1097" s="39">
        <v>54.39</v>
      </c>
      <c r="E1097" s="14">
        <v>0.25</v>
      </c>
    </row>
    <row r="1098" spans="1:5" x14ac:dyDescent="0.25">
      <c r="A1098" s="44" t="s">
        <v>2684</v>
      </c>
      <c r="B1098" s="38" t="s">
        <v>2685</v>
      </c>
      <c r="C1098" s="43">
        <v>32.76</v>
      </c>
      <c r="D1098" s="39">
        <v>24.57</v>
      </c>
      <c r="E1098" s="14">
        <v>0.25</v>
      </c>
    </row>
    <row r="1099" spans="1:5" x14ac:dyDescent="0.25">
      <c r="A1099" s="44" t="s">
        <v>2686</v>
      </c>
      <c r="B1099" s="38" t="s">
        <v>2687</v>
      </c>
      <c r="C1099" s="43">
        <v>50.96</v>
      </c>
      <c r="D1099" s="39">
        <v>38.22</v>
      </c>
      <c r="E1099" s="14">
        <v>0.25</v>
      </c>
    </row>
    <row r="1100" spans="1:5" x14ac:dyDescent="0.25">
      <c r="A1100" s="44" t="s">
        <v>2688</v>
      </c>
      <c r="B1100" s="38" t="s">
        <v>2689</v>
      </c>
      <c r="C1100" s="43">
        <v>54.54</v>
      </c>
      <c r="D1100" s="39">
        <v>40.905000000000001</v>
      </c>
      <c r="E1100" s="14">
        <v>0.25</v>
      </c>
    </row>
    <row r="1101" spans="1:5" x14ac:dyDescent="0.25">
      <c r="A1101" s="44" t="s">
        <v>2690</v>
      </c>
      <c r="B1101" s="38" t="s">
        <v>2691</v>
      </c>
      <c r="C1101" s="43">
        <v>84.84</v>
      </c>
      <c r="D1101" s="39">
        <v>63.63</v>
      </c>
      <c r="E1101" s="14">
        <v>0.25</v>
      </c>
    </row>
    <row r="1102" spans="1:5" x14ac:dyDescent="0.25">
      <c r="A1102" s="44" t="s">
        <v>2692</v>
      </c>
      <c r="B1102" s="38" t="s">
        <v>2693</v>
      </c>
      <c r="C1102" s="43">
        <v>79.2</v>
      </c>
      <c r="D1102" s="39">
        <v>59.400000000000006</v>
      </c>
      <c r="E1102" s="14">
        <v>0.25</v>
      </c>
    </row>
    <row r="1103" spans="1:5" x14ac:dyDescent="0.25">
      <c r="A1103" s="44" t="s">
        <v>2694</v>
      </c>
      <c r="B1103" s="38" t="s">
        <v>2695</v>
      </c>
      <c r="C1103" s="43">
        <v>123.2</v>
      </c>
      <c r="D1103" s="39">
        <v>92.4</v>
      </c>
      <c r="E1103" s="14">
        <v>0.25</v>
      </c>
    </row>
    <row r="1104" spans="1:5" x14ac:dyDescent="0.25">
      <c r="A1104" s="44" t="s">
        <v>2696</v>
      </c>
      <c r="B1104" s="38" t="s">
        <v>2697</v>
      </c>
      <c r="C1104" s="43">
        <v>39.6</v>
      </c>
      <c r="D1104" s="39">
        <v>29.700000000000003</v>
      </c>
      <c r="E1104" s="14">
        <v>0.25</v>
      </c>
    </row>
    <row r="1105" spans="1:5" x14ac:dyDescent="0.25">
      <c r="A1105" s="44" t="s">
        <v>2698</v>
      </c>
      <c r="B1105" s="38" t="s">
        <v>2699</v>
      </c>
      <c r="C1105" s="43">
        <v>61.6</v>
      </c>
      <c r="D1105" s="39">
        <v>46.2</v>
      </c>
      <c r="E1105" s="14">
        <v>0.25</v>
      </c>
    </row>
    <row r="1106" spans="1:5" x14ac:dyDescent="0.25">
      <c r="A1106" s="44" t="s">
        <v>2700</v>
      </c>
      <c r="B1106" s="38" t="s">
        <v>2701</v>
      </c>
      <c r="C1106" s="43">
        <v>22.5</v>
      </c>
      <c r="D1106" s="39">
        <v>16.875</v>
      </c>
      <c r="E1106" s="14">
        <v>0.25</v>
      </c>
    </row>
    <row r="1107" spans="1:5" x14ac:dyDescent="0.25">
      <c r="A1107" s="44" t="s">
        <v>2702</v>
      </c>
      <c r="B1107" s="38" t="s">
        <v>2703</v>
      </c>
      <c r="C1107" s="43">
        <v>35</v>
      </c>
      <c r="D1107" s="39">
        <v>26.25</v>
      </c>
      <c r="E1107" s="14">
        <v>0.25</v>
      </c>
    </row>
    <row r="1108" spans="1:5" x14ac:dyDescent="0.25">
      <c r="A1108" s="44" t="s">
        <v>2704</v>
      </c>
      <c r="B1108" s="38" t="s">
        <v>2705</v>
      </c>
      <c r="C1108" s="43">
        <v>45</v>
      </c>
      <c r="D1108" s="39">
        <v>33.75</v>
      </c>
      <c r="E1108" s="14">
        <v>0.25</v>
      </c>
    </row>
    <row r="1109" spans="1:5" x14ac:dyDescent="0.25">
      <c r="A1109" s="44" t="s">
        <v>2706</v>
      </c>
      <c r="B1109" s="38" t="s">
        <v>2707</v>
      </c>
      <c r="C1109" s="43">
        <v>70</v>
      </c>
      <c r="D1109" s="39">
        <v>52.5</v>
      </c>
      <c r="E1109" s="14">
        <v>0.25</v>
      </c>
    </row>
    <row r="1110" spans="1:5" x14ac:dyDescent="0.25">
      <c r="A1110" s="44" t="s">
        <v>2708</v>
      </c>
      <c r="B1110" s="38" t="s">
        <v>2709</v>
      </c>
      <c r="C1110" s="43">
        <v>28.44</v>
      </c>
      <c r="D1110" s="39">
        <v>21.330000000000002</v>
      </c>
      <c r="E1110" s="14">
        <v>0.25</v>
      </c>
    </row>
    <row r="1111" spans="1:5" x14ac:dyDescent="0.25">
      <c r="A1111" s="44" t="s">
        <v>2710</v>
      </c>
      <c r="B1111" s="38" t="s">
        <v>2711</v>
      </c>
      <c r="C1111" s="43">
        <v>44.24</v>
      </c>
      <c r="D1111" s="39">
        <v>33.18</v>
      </c>
      <c r="E1111" s="14">
        <v>0.25</v>
      </c>
    </row>
    <row r="1112" spans="1:5" x14ac:dyDescent="0.25">
      <c r="A1112" s="44" t="s">
        <v>2712</v>
      </c>
      <c r="B1112" s="38" t="s">
        <v>2713</v>
      </c>
      <c r="C1112" s="43">
        <v>16.739999999999998</v>
      </c>
      <c r="D1112" s="39">
        <v>12.555</v>
      </c>
      <c r="E1112" s="14">
        <v>0.25</v>
      </c>
    </row>
    <row r="1113" spans="1:5" x14ac:dyDescent="0.25">
      <c r="A1113" s="44" t="s">
        <v>2714</v>
      </c>
      <c r="B1113" s="38" t="s">
        <v>2715</v>
      </c>
      <c r="C1113" s="43">
        <v>26.04</v>
      </c>
      <c r="D1113" s="39">
        <v>19.53</v>
      </c>
      <c r="E1113" s="14">
        <v>0.24999999999999989</v>
      </c>
    </row>
    <row r="1114" spans="1:5" x14ac:dyDescent="0.25">
      <c r="A1114" s="44" t="s">
        <v>2716</v>
      </c>
      <c r="B1114" s="38" t="s">
        <v>2717</v>
      </c>
      <c r="C1114" s="43">
        <v>21.24</v>
      </c>
      <c r="D1114" s="39">
        <v>15.93</v>
      </c>
      <c r="E1114" s="14">
        <v>0.25</v>
      </c>
    </row>
    <row r="1115" spans="1:5" x14ac:dyDescent="0.25">
      <c r="A1115" s="44" t="s">
        <v>2718</v>
      </c>
      <c r="B1115" s="38" t="s">
        <v>2719</v>
      </c>
      <c r="C1115" s="43">
        <v>33.04</v>
      </c>
      <c r="D1115" s="39">
        <v>24.78</v>
      </c>
      <c r="E1115" s="14">
        <v>0.25</v>
      </c>
    </row>
    <row r="1116" spans="1:5" x14ac:dyDescent="0.25">
      <c r="A1116" s="44" t="s">
        <v>2720</v>
      </c>
      <c r="B1116" s="38" t="s">
        <v>2721</v>
      </c>
      <c r="C1116" s="43">
        <v>14.94</v>
      </c>
      <c r="D1116" s="39">
        <v>11.205</v>
      </c>
      <c r="E1116" s="14">
        <v>0.25</v>
      </c>
    </row>
    <row r="1117" spans="1:5" x14ac:dyDescent="0.25">
      <c r="A1117" s="44" t="s">
        <v>2722</v>
      </c>
      <c r="B1117" s="38" t="s">
        <v>2723</v>
      </c>
      <c r="C1117" s="43">
        <v>23.24</v>
      </c>
      <c r="D1117" s="39">
        <v>17.43</v>
      </c>
      <c r="E1117" s="14">
        <v>0.25</v>
      </c>
    </row>
    <row r="1118" spans="1:5" x14ac:dyDescent="0.25">
      <c r="A1118" s="44" t="s">
        <v>2724</v>
      </c>
      <c r="B1118" s="38" t="s">
        <v>2725</v>
      </c>
      <c r="C1118" s="43">
        <v>24.84</v>
      </c>
      <c r="D1118" s="39">
        <v>18.63</v>
      </c>
      <c r="E1118" s="14">
        <v>0.25</v>
      </c>
    </row>
    <row r="1119" spans="1:5" x14ac:dyDescent="0.25">
      <c r="A1119" s="44" t="s">
        <v>2726</v>
      </c>
      <c r="B1119" s="38" t="s">
        <v>2727</v>
      </c>
      <c r="C1119" s="43">
        <v>38.64</v>
      </c>
      <c r="D1119" s="39">
        <v>28.98</v>
      </c>
      <c r="E1119" s="14">
        <v>0.25</v>
      </c>
    </row>
    <row r="1120" spans="1:5" x14ac:dyDescent="0.25">
      <c r="A1120" s="44" t="s">
        <v>2728</v>
      </c>
      <c r="B1120" s="38" t="s">
        <v>2729</v>
      </c>
      <c r="C1120" s="43">
        <v>36</v>
      </c>
      <c r="D1120" s="39">
        <v>27</v>
      </c>
      <c r="E1120" s="14">
        <v>0.25</v>
      </c>
    </row>
    <row r="1121" spans="1:5" x14ac:dyDescent="0.25">
      <c r="A1121" s="44" t="s">
        <v>2730</v>
      </c>
      <c r="B1121" s="38" t="s">
        <v>2731</v>
      </c>
      <c r="C1121" s="43">
        <v>56</v>
      </c>
      <c r="D1121" s="39">
        <v>42</v>
      </c>
      <c r="E1121" s="14">
        <v>0.25</v>
      </c>
    </row>
    <row r="1122" spans="1:5" x14ac:dyDescent="0.25">
      <c r="A1122" s="44" t="s">
        <v>2732</v>
      </c>
      <c r="B1122" s="38" t="s">
        <v>2733</v>
      </c>
      <c r="C1122" s="43">
        <v>18</v>
      </c>
      <c r="D1122" s="39">
        <v>13.5</v>
      </c>
      <c r="E1122" s="14">
        <v>0.25</v>
      </c>
    </row>
    <row r="1123" spans="1:5" x14ac:dyDescent="0.25">
      <c r="A1123" s="44" t="s">
        <v>2734</v>
      </c>
      <c r="B1123" s="38" t="s">
        <v>2735</v>
      </c>
      <c r="C1123" s="43">
        <v>28</v>
      </c>
      <c r="D1123" s="39">
        <v>21</v>
      </c>
      <c r="E1123" s="14">
        <v>0.25</v>
      </c>
    </row>
    <row r="1124" spans="1:5" x14ac:dyDescent="0.25">
      <c r="A1124" s="44" t="s">
        <v>2736</v>
      </c>
      <c r="B1124" s="38" t="s">
        <v>2737</v>
      </c>
      <c r="C1124" s="43">
        <v>4500</v>
      </c>
      <c r="D1124" s="39">
        <v>3375</v>
      </c>
      <c r="E1124" s="14">
        <v>0.25</v>
      </c>
    </row>
    <row r="1125" spans="1:5" x14ac:dyDescent="0.25">
      <c r="A1125" s="44" t="s">
        <v>2738</v>
      </c>
      <c r="B1125" s="38" t="s">
        <v>2739</v>
      </c>
      <c r="C1125" s="43">
        <v>7000</v>
      </c>
      <c r="D1125" s="39">
        <v>5250</v>
      </c>
      <c r="E1125" s="14">
        <v>0.25</v>
      </c>
    </row>
    <row r="1126" spans="1:5" x14ac:dyDescent="0.25">
      <c r="A1126" s="44" t="s">
        <v>2740</v>
      </c>
      <c r="B1126" s="38" t="s">
        <v>2741</v>
      </c>
      <c r="C1126" s="43">
        <v>46.8</v>
      </c>
      <c r="D1126" s="39">
        <v>35.099999999999994</v>
      </c>
      <c r="E1126" s="14">
        <v>0.25000000000000011</v>
      </c>
    </row>
    <row r="1127" spans="1:5" x14ac:dyDescent="0.25">
      <c r="A1127" s="44" t="s">
        <v>2742</v>
      </c>
      <c r="B1127" s="38" t="s">
        <v>2743</v>
      </c>
      <c r="C1127" s="43">
        <v>72.8</v>
      </c>
      <c r="D1127" s="39">
        <v>54.599999999999994</v>
      </c>
      <c r="E1127" s="14">
        <v>0.25</v>
      </c>
    </row>
    <row r="1128" spans="1:5" x14ac:dyDescent="0.25">
      <c r="A1128" s="44" t="s">
        <v>2744</v>
      </c>
      <c r="B1128" s="38" t="s">
        <v>2745</v>
      </c>
      <c r="C1128" s="43">
        <v>270</v>
      </c>
      <c r="D1128" s="39">
        <v>202.5</v>
      </c>
      <c r="E1128" s="14">
        <v>0.25</v>
      </c>
    </row>
    <row r="1129" spans="1:5" x14ac:dyDescent="0.25">
      <c r="A1129" s="44" t="s">
        <v>2746</v>
      </c>
      <c r="B1129" s="38" t="s">
        <v>2747</v>
      </c>
      <c r="C1129" s="43">
        <v>420</v>
      </c>
      <c r="D1129" s="39">
        <v>315</v>
      </c>
      <c r="E1129" s="14">
        <v>0.25</v>
      </c>
    </row>
    <row r="1130" spans="1:5" x14ac:dyDescent="0.25">
      <c r="A1130" s="44" t="s">
        <v>2748</v>
      </c>
      <c r="B1130" s="38" t="s">
        <v>2749</v>
      </c>
      <c r="C1130" s="43">
        <v>324</v>
      </c>
      <c r="D1130" s="39">
        <v>243</v>
      </c>
      <c r="E1130" s="14">
        <v>0.25</v>
      </c>
    </row>
    <row r="1131" spans="1:5" x14ac:dyDescent="0.25">
      <c r="A1131" s="44" t="s">
        <v>2750</v>
      </c>
      <c r="B1131" s="38" t="s">
        <v>2751</v>
      </c>
      <c r="C1131" s="43">
        <v>504</v>
      </c>
      <c r="D1131" s="39">
        <v>378</v>
      </c>
      <c r="E1131" s="14">
        <v>0.25</v>
      </c>
    </row>
    <row r="1132" spans="1:5" x14ac:dyDescent="0.25">
      <c r="A1132" s="44" t="s">
        <v>2752</v>
      </c>
      <c r="B1132" s="38" t="s">
        <v>2753</v>
      </c>
      <c r="C1132" s="43">
        <v>1224</v>
      </c>
      <c r="D1132" s="39">
        <v>918</v>
      </c>
      <c r="E1132" s="14">
        <v>0.25</v>
      </c>
    </row>
    <row r="1133" spans="1:5" x14ac:dyDescent="0.25">
      <c r="A1133" s="44" t="s">
        <v>2754</v>
      </c>
      <c r="B1133" s="38" t="s">
        <v>2755</v>
      </c>
      <c r="C1133" s="43">
        <v>1904</v>
      </c>
      <c r="D1133" s="39">
        <v>1428</v>
      </c>
      <c r="E1133" s="14">
        <v>0.25</v>
      </c>
    </row>
    <row r="1134" spans="1:5" x14ac:dyDescent="0.25">
      <c r="A1134" s="44" t="s">
        <v>2756</v>
      </c>
      <c r="B1134" s="38" t="s">
        <v>2757</v>
      </c>
      <c r="C1134" s="43">
        <v>1350</v>
      </c>
      <c r="D1134" s="39">
        <v>1012.5</v>
      </c>
      <c r="E1134" s="14">
        <v>0.25</v>
      </c>
    </row>
    <row r="1135" spans="1:5" x14ac:dyDescent="0.25">
      <c r="A1135" s="44" t="s">
        <v>2758</v>
      </c>
      <c r="B1135" s="38" t="s">
        <v>2759</v>
      </c>
      <c r="C1135" s="43">
        <v>2100</v>
      </c>
      <c r="D1135" s="39">
        <v>1575</v>
      </c>
      <c r="E1135" s="14">
        <v>0.25</v>
      </c>
    </row>
    <row r="1136" spans="1:5" x14ac:dyDescent="0.25">
      <c r="A1136" s="44" t="s">
        <v>2760</v>
      </c>
      <c r="B1136" s="38" t="s">
        <v>2761</v>
      </c>
      <c r="C1136" s="43">
        <v>148.5</v>
      </c>
      <c r="D1136" s="39">
        <v>111.375</v>
      </c>
      <c r="E1136" s="14">
        <v>0.25</v>
      </c>
    </row>
    <row r="1137" spans="1:5" x14ac:dyDescent="0.25">
      <c r="A1137" s="44" t="s">
        <v>2762</v>
      </c>
      <c r="B1137" s="38" t="s">
        <v>2763</v>
      </c>
      <c r="C1137" s="43">
        <v>231</v>
      </c>
      <c r="D1137" s="39">
        <v>173.25</v>
      </c>
      <c r="E1137" s="14">
        <v>0.25</v>
      </c>
    </row>
    <row r="1138" spans="1:5" x14ac:dyDescent="0.25">
      <c r="A1138" s="44" t="s">
        <v>2764</v>
      </c>
      <c r="B1138" s="38" t="s">
        <v>2765</v>
      </c>
      <c r="C1138" s="43">
        <v>64.8</v>
      </c>
      <c r="D1138" s="39">
        <v>48.599999999999994</v>
      </c>
      <c r="E1138" s="14">
        <v>0.25</v>
      </c>
    </row>
    <row r="1139" spans="1:5" x14ac:dyDescent="0.25">
      <c r="A1139" s="44" t="s">
        <v>2766</v>
      </c>
      <c r="B1139" s="38" t="s">
        <v>2767</v>
      </c>
      <c r="C1139" s="43">
        <v>100.8</v>
      </c>
      <c r="D1139" s="39">
        <v>75.599999999999994</v>
      </c>
      <c r="E1139" s="14">
        <v>0.25</v>
      </c>
    </row>
    <row r="1140" spans="1:5" x14ac:dyDescent="0.25">
      <c r="A1140" s="44" t="s">
        <v>2768</v>
      </c>
      <c r="B1140" s="38" t="s">
        <v>2769</v>
      </c>
      <c r="C1140" s="43">
        <v>180</v>
      </c>
      <c r="D1140" s="39">
        <v>135</v>
      </c>
      <c r="E1140" s="14">
        <v>0.25</v>
      </c>
    </row>
    <row r="1141" spans="1:5" x14ac:dyDescent="0.25">
      <c r="A1141" s="44" t="s">
        <v>2770</v>
      </c>
      <c r="B1141" s="38" t="s">
        <v>2771</v>
      </c>
      <c r="C1141" s="43">
        <v>280</v>
      </c>
      <c r="D1141" s="39">
        <v>210</v>
      </c>
      <c r="E1141" s="14">
        <v>0.25</v>
      </c>
    </row>
    <row r="1142" spans="1:5" x14ac:dyDescent="0.25">
      <c r="A1142" s="44" t="s">
        <v>2772</v>
      </c>
      <c r="B1142" s="38" t="s">
        <v>2773</v>
      </c>
      <c r="C1142" s="43">
        <v>3600</v>
      </c>
      <c r="D1142" s="39">
        <v>2700</v>
      </c>
      <c r="E1142" s="14">
        <v>0.25</v>
      </c>
    </row>
    <row r="1143" spans="1:5" x14ac:dyDescent="0.25">
      <c r="A1143" s="44" t="s">
        <v>2774</v>
      </c>
      <c r="B1143" s="38" t="s">
        <v>2775</v>
      </c>
      <c r="C1143" s="43">
        <v>5600</v>
      </c>
      <c r="D1143" s="39">
        <v>4200</v>
      </c>
      <c r="E1143" s="14">
        <v>0.25</v>
      </c>
    </row>
    <row r="1144" spans="1:5" x14ac:dyDescent="0.25">
      <c r="A1144" s="44" t="s">
        <v>2776</v>
      </c>
      <c r="B1144" s="38" t="s">
        <v>2777</v>
      </c>
      <c r="C1144" s="43">
        <v>1800</v>
      </c>
      <c r="D1144" s="39">
        <v>1350</v>
      </c>
      <c r="E1144" s="14">
        <v>0.25</v>
      </c>
    </row>
    <row r="1145" spans="1:5" x14ac:dyDescent="0.25">
      <c r="A1145" s="44" t="s">
        <v>2778</v>
      </c>
      <c r="B1145" s="38" t="s">
        <v>2779</v>
      </c>
      <c r="C1145" s="43">
        <v>2800</v>
      </c>
      <c r="D1145" s="39">
        <v>2100</v>
      </c>
      <c r="E1145" s="14">
        <v>0.25</v>
      </c>
    </row>
    <row r="1146" spans="1:5" x14ac:dyDescent="0.25">
      <c r="A1146" s="44" t="s">
        <v>2780</v>
      </c>
      <c r="B1146" s="38" t="s">
        <v>2781</v>
      </c>
      <c r="C1146" s="43">
        <v>1800</v>
      </c>
      <c r="D1146" s="39">
        <v>1350</v>
      </c>
      <c r="E1146" s="14">
        <v>0.25</v>
      </c>
    </row>
    <row r="1147" spans="1:5" x14ac:dyDescent="0.25">
      <c r="A1147" s="44" t="s">
        <v>2782</v>
      </c>
      <c r="B1147" s="38" t="s">
        <v>2783</v>
      </c>
      <c r="C1147" s="43">
        <v>2800</v>
      </c>
      <c r="D1147" s="39">
        <v>2100</v>
      </c>
      <c r="E1147" s="14">
        <v>0.25</v>
      </c>
    </row>
    <row r="1148" spans="1:5" x14ac:dyDescent="0.25">
      <c r="A1148" s="44" t="s">
        <v>2784</v>
      </c>
      <c r="B1148" s="38" t="s">
        <v>2785</v>
      </c>
      <c r="C1148" s="43">
        <v>900</v>
      </c>
      <c r="D1148" s="39">
        <v>675</v>
      </c>
      <c r="E1148" s="14">
        <v>0.25</v>
      </c>
    </row>
    <row r="1149" spans="1:5" x14ac:dyDescent="0.25">
      <c r="A1149" s="44" t="s">
        <v>2786</v>
      </c>
      <c r="B1149" s="38" t="s">
        <v>2787</v>
      </c>
      <c r="C1149" s="43">
        <v>1400</v>
      </c>
      <c r="D1149" s="39">
        <v>1050</v>
      </c>
      <c r="E1149" s="14">
        <v>0.25</v>
      </c>
    </row>
    <row r="1150" spans="1:5" x14ac:dyDescent="0.25">
      <c r="A1150" s="44" t="s">
        <v>2788</v>
      </c>
      <c r="B1150" s="38" t="s">
        <v>2789</v>
      </c>
      <c r="C1150" s="43">
        <v>16200</v>
      </c>
      <c r="D1150" s="39">
        <v>12150</v>
      </c>
      <c r="E1150" s="14">
        <v>0.25</v>
      </c>
    </row>
    <row r="1151" spans="1:5" x14ac:dyDescent="0.25">
      <c r="A1151" s="44" t="s">
        <v>2790</v>
      </c>
      <c r="B1151" s="38" t="s">
        <v>2791</v>
      </c>
      <c r="C1151" s="43">
        <v>25200</v>
      </c>
      <c r="D1151" s="39">
        <v>18900</v>
      </c>
      <c r="E1151" s="14">
        <v>0.25</v>
      </c>
    </row>
    <row r="1152" spans="1:5" x14ac:dyDescent="0.25">
      <c r="A1152" s="44" t="s">
        <v>2792</v>
      </c>
      <c r="B1152" s="38" t="s">
        <v>2793</v>
      </c>
      <c r="C1152" s="43">
        <v>16200</v>
      </c>
      <c r="D1152" s="39">
        <v>12150</v>
      </c>
      <c r="E1152" s="14">
        <v>0.25</v>
      </c>
    </row>
    <row r="1153" spans="1:5" x14ac:dyDescent="0.25">
      <c r="A1153" s="44" t="s">
        <v>2794</v>
      </c>
      <c r="B1153" s="38" t="s">
        <v>2795</v>
      </c>
      <c r="C1153" s="43">
        <v>25200</v>
      </c>
      <c r="D1153" s="39">
        <v>18900</v>
      </c>
      <c r="E1153" s="14">
        <v>0.25</v>
      </c>
    </row>
    <row r="1154" spans="1:5" x14ac:dyDescent="0.25">
      <c r="A1154" s="44" t="s">
        <v>2796</v>
      </c>
      <c r="B1154" s="38" t="s">
        <v>2797</v>
      </c>
      <c r="C1154" s="43">
        <v>16200</v>
      </c>
      <c r="D1154" s="39">
        <v>12150</v>
      </c>
      <c r="E1154" s="14">
        <v>0.25</v>
      </c>
    </row>
    <row r="1155" spans="1:5" x14ac:dyDescent="0.25">
      <c r="A1155" s="44" t="s">
        <v>2798</v>
      </c>
      <c r="B1155" s="38" t="s">
        <v>2799</v>
      </c>
      <c r="C1155" s="43">
        <v>25200</v>
      </c>
      <c r="D1155" s="39">
        <v>18900</v>
      </c>
      <c r="E1155" s="14">
        <v>0.25</v>
      </c>
    </row>
    <row r="1156" spans="1:5" x14ac:dyDescent="0.25">
      <c r="A1156" s="44" t="s">
        <v>2800</v>
      </c>
      <c r="B1156" s="38" t="s">
        <v>2801</v>
      </c>
      <c r="C1156" s="43">
        <v>16200</v>
      </c>
      <c r="D1156" s="39">
        <v>12150</v>
      </c>
      <c r="E1156" s="14">
        <v>0.25</v>
      </c>
    </row>
    <row r="1157" spans="1:5" x14ac:dyDescent="0.25">
      <c r="A1157" s="44" t="s">
        <v>2802</v>
      </c>
      <c r="B1157" s="38" t="s">
        <v>2803</v>
      </c>
      <c r="C1157" s="43">
        <v>25200</v>
      </c>
      <c r="D1157" s="39">
        <v>18900</v>
      </c>
      <c r="E1157" s="14">
        <v>0.25</v>
      </c>
    </row>
    <row r="1158" spans="1:5" x14ac:dyDescent="0.25">
      <c r="A1158" s="44" t="s">
        <v>2804</v>
      </c>
      <c r="B1158" s="38" t="s">
        <v>2805</v>
      </c>
      <c r="C1158" s="43">
        <v>3600</v>
      </c>
      <c r="D1158" s="39">
        <v>2700</v>
      </c>
      <c r="E1158" s="14">
        <v>0.25</v>
      </c>
    </row>
    <row r="1159" spans="1:5" x14ac:dyDescent="0.25">
      <c r="A1159" s="44" t="s">
        <v>2806</v>
      </c>
      <c r="B1159" s="38" t="s">
        <v>2807</v>
      </c>
      <c r="C1159" s="43">
        <v>5600</v>
      </c>
      <c r="D1159" s="39">
        <v>4200</v>
      </c>
      <c r="E1159" s="14">
        <v>0.25</v>
      </c>
    </row>
    <row r="1160" spans="1:5" x14ac:dyDescent="0.25">
      <c r="A1160" s="44" t="s">
        <v>2808</v>
      </c>
      <c r="B1160" s="38" t="s">
        <v>2809</v>
      </c>
      <c r="C1160" s="43">
        <v>1012.5</v>
      </c>
      <c r="D1160" s="39">
        <v>759.375</v>
      </c>
      <c r="E1160" s="14">
        <v>0.25</v>
      </c>
    </row>
    <row r="1161" spans="1:5" x14ac:dyDescent="0.25">
      <c r="A1161" s="44" t="s">
        <v>2810</v>
      </c>
      <c r="B1161" s="38" t="s">
        <v>2811</v>
      </c>
      <c r="C1161" s="43">
        <v>1575</v>
      </c>
      <c r="D1161" s="39">
        <v>1181.25</v>
      </c>
      <c r="E1161" s="14">
        <v>0.25</v>
      </c>
    </row>
    <row r="1162" spans="1:5" x14ac:dyDescent="0.25">
      <c r="A1162" s="44" t="s">
        <v>2812</v>
      </c>
      <c r="B1162" s="38" t="s">
        <v>2813</v>
      </c>
      <c r="C1162" s="43">
        <v>2025</v>
      </c>
      <c r="D1162" s="39">
        <v>1518.75</v>
      </c>
      <c r="E1162" s="14">
        <v>0.25</v>
      </c>
    </row>
    <row r="1163" spans="1:5" x14ac:dyDescent="0.25">
      <c r="A1163" s="44" t="s">
        <v>2814</v>
      </c>
      <c r="B1163" s="38" t="s">
        <v>2815</v>
      </c>
      <c r="C1163" s="43">
        <v>3150</v>
      </c>
      <c r="D1163" s="39">
        <v>2362.5</v>
      </c>
      <c r="E1163" s="14">
        <v>0.25</v>
      </c>
    </row>
    <row r="1164" spans="1:5" x14ac:dyDescent="0.25">
      <c r="A1164" s="44" t="s">
        <v>2816</v>
      </c>
      <c r="B1164" s="38" t="s">
        <v>2817</v>
      </c>
      <c r="C1164" s="43">
        <v>450</v>
      </c>
      <c r="D1164" s="39">
        <v>337.5</v>
      </c>
      <c r="E1164" s="14">
        <v>0.25</v>
      </c>
    </row>
    <row r="1165" spans="1:5" x14ac:dyDescent="0.25">
      <c r="A1165" s="44" t="s">
        <v>2818</v>
      </c>
      <c r="B1165" s="38" t="s">
        <v>2819</v>
      </c>
      <c r="C1165" s="43">
        <v>700</v>
      </c>
      <c r="D1165" s="39">
        <v>525</v>
      </c>
      <c r="E1165" s="14">
        <v>0.25</v>
      </c>
    </row>
    <row r="1166" spans="1:5" x14ac:dyDescent="0.25">
      <c r="A1166" s="44" t="s">
        <v>2820</v>
      </c>
      <c r="B1166" s="38" t="s">
        <v>2821</v>
      </c>
      <c r="C1166" s="43">
        <v>4500</v>
      </c>
      <c r="D1166" s="39">
        <v>3375</v>
      </c>
      <c r="E1166" s="14">
        <v>0.25</v>
      </c>
    </row>
    <row r="1167" spans="1:5" x14ac:dyDescent="0.25">
      <c r="A1167" s="44" t="s">
        <v>2822</v>
      </c>
      <c r="B1167" s="38" t="s">
        <v>2823</v>
      </c>
      <c r="C1167" s="43">
        <v>7000</v>
      </c>
      <c r="D1167" s="39">
        <v>5250</v>
      </c>
      <c r="E1167" s="14">
        <v>0.25</v>
      </c>
    </row>
    <row r="1168" spans="1:5" x14ac:dyDescent="0.25">
      <c r="A1168" s="44" t="s">
        <v>2824</v>
      </c>
      <c r="B1168" s="38" t="s">
        <v>2825</v>
      </c>
      <c r="C1168" s="43">
        <v>4500</v>
      </c>
      <c r="D1168" s="39">
        <v>3375</v>
      </c>
      <c r="E1168" s="14">
        <v>0.25</v>
      </c>
    </row>
    <row r="1169" spans="1:5" x14ac:dyDescent="0.25">
      <c r="A1169" s="44" t="s">
        <v>2826</v>
      </c>
      <c r="B1169" s="38" t="s">
        <v>2827</v>
      </c>
      <c r="C1169" s="43">
        <v>7000</v>
      </c>
      <c r="D1169" s="39">
        <v>5250</v>
      </c>
      <c r="E1169" s="14">
        <v>0.25</v>
      </c>
    </row>
    <row r="1170" spans="1:5" x14ac:dyDescent="0.25">
      <c r="A1170" s="44" t="s">
        <v>2828</v>
      </c>
      <c r="B1170" s="38" t="s">
        <v>2829</v>
      </c>
      <c r="C1170" s="43">
        <v>30.6</v>
      </c>
      <c r="D1170" s="39">
        <v>22.950000000000003</v>
      </c>
      <c r="E1170" s="14">
        <v>0.24999999999999989</v>
      </c>
    </row>
    <row r="1171" spans="1:5" x14ac:dyDescent="0.25">
      <c r="A1171" s="44" t="s">
        <v>2830</v>
      </c>
      <c r="B1171" s="38" t="s">
        <v>2831</v>
      </c>
      <c r="C1171" s="43">
        <v>47.6</v>
      </c>
      <c r="D1171" s="39">
        <v>35.700000000000003</v>
      </c>
      <c r="E1171" s="14">
        <v>0.25</v>
      </c>
    </row>
    <row r="1172" spans="1:5" x14ac:dyDescent="0.25">
      <c r="A1172" s="44" t="s">
        <v>2832</v>
      </c>
      <c r="B1172" s="38" t="s">
        <v>2833</v>
      </c>
      <c r="C1172" s="43">
        <v>61.2</v>
      </c>
      <c r="D1172" s="39">
        <v>45.900000000000006</v>
      </c>
      <c r="E1172" s="14">
        <v>0.24999999999999989</v>
      </c>
    </row>
    <row r="1173" spans="1:5" x14ac:dyDescent="0.25">
      <c r="A1173" s="44" t="s">
        <v>2834</v>
      </c>
      <c r="B1173" s="38" t="s">
        <v>2835</v>
      </c>
      <c r="C1173" s="43">
        <v>95.2</v>
      </c>
      <c r="D1173" s="39">
        <v>71.400000000000006</v>
      </c>
      <c r="E1173" s="14">
        <v>0.25</v>
      </c>
    </row>
    <row r="1174" spans="1:5" x14ac:dyDescent="0.25">
      <c r="A1174" s="44" t="s">
        <v>2836</v>
      </c>
      <c r="B1174" s="38" t="s">
        <v>2837</v>
      </c>
      <c r="C1174" s="43">
        <v>38.520000000000003</v>
      </c>
      <c r="D1174" s="39">
        <v>28.89</v>
      </c>
      <c r="E1174" s="14">
        <v>0.25</v>
      </c>
    </row>
    <row r="1175" spans="1:5" x14ac:dyDescent="0.25">
      <c r="A1175" s="44" t="s">
        <v>2838</v>
      </c>
      <c r="B1175" s="38" t="s">
        <v>2839</v>
      </c>
      <c r="C1175" s="43">
        <v>59.92</v>
      </c>
      <c r="D1175" s="39">
        <v>44.94</v>
      </c>
      <c r="E1175" s="14">
        <v>0.25000000000000011</v>
      </c>
    </row>
    <row r="1176" spans="1:5" x14ac:dyDescent="0.25">
      <c r="A1176" s="44" t="s">
        <v>2840</v>
      </c>
      <c r="B1176" s="38" t="s">
        <v>2841</v>
      </c>
      <c r="C1176" s="43">
        <v>22.68</v>
      </c>
      <c r="D1176" s="39">
        <v>17.009999999999998</v>
      </c>
      <c r="E1176" s="14">
        <v>0.25000000000000011</v>
      </c>
    </row>
    <row r="1177" spans="1:5" x14ac:dyDescent="0.25">
      <c r="A1177" s="44" t="s">
        <v>2842</v>
      </c>
      <c r="B1177" s="38" t="s">
        <v>2843</v>
      </c>
      <c r="C1177" s="43">
        <v>35.28</v>
      </c>
      <c r="D1177" s="39">
        <v>26.46</v>
      </c>
      <c r="E1177" s="14">
        <v>0.25</v>
      </c>
    </row>
    <row r="1178" spans="1:5" x14ac:dyDescent="0.25">
      <c r="A1178" s="44" t="s">
        <v>2844</v>
      </c>
      <c r="B1178" s="38" t="s">
        <v>2845</v>
      </c>
      <c r="C1178" s="43">
        <v>28.8</v>
      </c>
      <c r="D1178" s="39">
        <v>21.6</v>
      </c>
      <c r="E1178" s="14">
        <v>0.25</v>
      </c>
    </row>
    <row r="1179" spans="1:5" x14ac:dyDescent="0.25">
      <c r="A1179" s="44" t="s">
        <v>2846</v>
      </c>
      <c r="B1179" s="38" t="s">
        <v>2847</v>
      </c>
      <c r="C1179" s="43">
        <v>44.8</v>
      </c>
      <c r="D1179" s="39">
        <v>33.599999999999994</v>
      </c>
      <c r="E1179" s="14">
        <v>0.25000000000000011</v>
      </c>
    </row>
    <row r="1180" spans="1:5" x14ac:dyDescent="0.25">
      <c r="A1180" s="44" t="s">
        <v>2848</v>
      </c>
      <c r="B1180" s="38" t="s">
        <v>2849</v>
      </c>
      <c r="C1180" s="43">
        <v>20.16</v>
      </c>
      <c r="D1180" s="39">
        <v>15.120000000000001</v>
      </c>
      <c r="E1180" s="14">
        <v>0.25</v>
      </c>
    </row>
    <row r="1181" spans="1:5" x14ac:dyDescent="0.25">
      <c r="A1181" s="44" t="s">
        <v>2850</v>
      </c>
      <c r="B1181" s="38" t="s">
        <v>2851</v>
      </c>
      <c r="C1181" s="43">
        <v>31.36</v>
      </c>
      <c r="D1181" s="39">
        <v>23.52</v>
      </c>
      <c r="E1181" s="14">
        <v>0.25</v>
      </c>
    </row>
    <row r="1182" spans="1:5" x14ac:dyDescent="0.25">
      <c r="A1182" s="44" t="s">
        <v>2852</v>
      </c>
      <c r="B1182" s="38" t="s">
        <v>2853</v>
      </c>
      <c r="C1182" s="43">
        <v>33.659999999999997</v>
      </c>
      <c r="D1182" s="39">
        <v>25.244999999999997</v>
      </c>
      <c r="E1182" s="14">
        <v>0.25</v>
      </c>
    </row>
    <row r="1183" spans="1:5" x14ac:dyDescent="0.25">
      <c r="A1183" s="44" t="s">
        <v>2854</v>
      </c>
      <c r="B1183" s="38" t="s">
        <v>2855</v>
      </c>
      <c r="C1183" s="43">
        <v>52.36</v>
      </c>
      <c r="D1183" s="39">
        <v>39.269999999999996</v>
      </c>
      <c r="E1183" s="14">
        <v>0.25000000000000011</v>
      </c>
    </row>
    <row r="1184" spans="1:5" x14ac:dyDescent="0.25">
      <c r="A1184" s="44" t="s">
        <v>2856</v>
      </c>
      <c r="B1184" s="38" t="s">
        <v>2857</v>
      </c>
      <c r="C1184" s="43">
        <v>48.96</v>
      </c>
      <c r="D1184" s="39">
        <v>36.72</v>
      </c>
      <c r="E1184" s="14">
        <v>0.25</v>
      </c>
    </row>
    <row r="1185" spans="1:5" x14ac:dyDescent="0.25">
      <c r="A1185" s="44" t="s">
        <v>2858</v>
      </c>
      <c r="B1185" s="38" t="s">
        <v>2859</v>
      </c>
      <c r="C1185" s="43">
        <v>76.16</v>
      </c>
      <c r="D1185" s="39">
        <v>57.12</v>
      </c>
      <c r="E1185" s="14">
        <v>0.25</v>
      </c>
    </row>
    <row r="1186" spans="1:5" x14ac:dyDescent="0.25">
      <c r="A1186" s="44" t="s">
        <v>2860</v>
      </c>
      <c r="B1186" s="38" t="s">
        <v>2861</v>
      </c>
      <c r="C1186" s="43">
        <v>24.48</v>
      </c>
      <c r="D1186" s="39">
        <v>18.36</v>
      </c>
      <c r="E1186" s="14">
        <v>0.25</v>
      </c>
    </row>
    <row r="1187" spans="1:5" x14ac:dyDescent="0.25">
      <c r="A1187" s="44" t="s">
        <v>2862</v>
      </c>
      <c r="B1187" s="38" t="s">
        <v>2863</v>
      </c>
      <c r="C1187" s="43">
        <v>38.08</v>
      </c>
      <c r="D1187" s="39">
        <v>28.56</v>
      </c>
      <c r="E1187" s="14">
        <v>0.25</v>
      </c>
    </row>
    <row r="1188" spans="1:5" x14ac:dyDescent="0.25">
      <c r="A1188" s="44" t="s">
        <v>2864</v>
      </c>
      <c r="B1188" s="38" t="s">
        <v>2865</v>
      </c>
      <c r="C1188" s="43">
        <v>1350</v>
      </c>
      <c r="D1188" s="39">
        <v>1012.5</v>
      </c>
      <c r="E1188" s="14">
        <v>0.25</v>
      </c>
    </row>
    <row r="1189" spans="1:5" x14ac:dyDescent="0.25">
      <c r="A1189" s="44" t="s">
        <v>2866</v>
      </c>
      <c r="B1189" s="38" t="s">
        <v>2867</v>
      </c>
      <c r="C1189" s="43">
        <v>2100</v>
      </c>
      <c r="D1189" s="39">
        <v>1575</v>
      </c>
      <c r="E1189" s="14">
        <v>0.25</v>
      </c>
    </row>
    <row r="1190" spans="1:5" x14ac:dyDescent="0.25">
      <c r="A1190" s="44" t="s">
        <v>2868</v>
      </c>
      <c r="B1190" s="38" t="s">
        <v>2869</v>
      </c>
      <c r="C1190" s="43">
        <v>4500</v>
      </c>
      <c r="D1190" s="39">
        <v>3375</v>
      </c>
      <c r="E1190" s="14">
        <v>0.25</v>
      </c>
    </row>
    <row r="1191" spans="1:5" x14ac:dyDescent="0.25">
      <c r="A1191" s="44" t="s">
        <v>2870</v>
      </c>
      <c r="B1191" s="38" t="s">
        <v>2871</v>
      </c>
      <c r="C1191" s="43">
        <v>7000</v>
      </c>
      <c r="D1191" s="39">
        <v>5250</v>
      </c>
      <c r="E1191" s="14">
        <v>0.25</v>
      </c>
    </row>
    <row r="1192" spans="1:5" x14ac:dyDescent="0.25">
      <c r="A1192" s="44" t="s">
        <v>2872</v>
      </c>
      <c r="B1192" s="38" t="s">
        <v>2873</v>
      </c>
      <c r="C1192" s="43">
        <v>15750</v>
      </c>
      <c r="D1192" s="39">
        <v>11812.5</v>
      </c>
      <c r="E1192" s="14">
        <v>0.25</v>
      </c>
    </row>
    <row r="1193" spans="1:5" x14ac:dyDescent="0.25">
      <c r="A1193" s="44" t="s">
        <v>2874</v>
      </c>
      <c r="B1193" s="38" t="s">
        <v>2875</v>
      </c>
      <c r="C1193" s="43">
        <v>24500</v>
      </c>
      <c r="D1193" s="39">
        <v>18375</v>
      </c>
      <c r="E1193" s="14">
        <v>0.25</v>
      </c>
    </row>
    <row r="1194" spans="1:5" x14ac:dyDescent="0.25">
      <c r="A1194" s="44" t="s">
        <v>2876</v>
      </c>
      <c r="B1194" s="38" t="s">
        <v>2877</v>
      </c>
      <c r="C1194" s="43">
        <v>3600</v>
      </c>
      <c r="D1194" s="39">
        <v>2700</v>
      </c>
      <c r="E1194" s="14">
        <v>0.25</v>
      </c>
    </row>
    <row r="1195" spans="1:5" x14ac:dyDescent="0.25">
      <c r="A1195" s="44" t="s">
        <v>2878</v>
      </c>
      <c r="B1195" s="38" t="s">
        <v>2879</v>
      </c>
      <c r="C1195" s="43">
        <v>5600</v>
      </c>
      <c r="D1195" s="39">
        <v>4200</v>
      </c>
      <c r="E1195" s="14">
        <v>0.25</v>
      </c>
    </row>
    <row r="1196" spans="1:5" x14ac:dyDescent="0.25">
      <c r="A1196" s="44" t="s">
        <v>2880</v>
      </c>
      <c r="B1196" s="38" t="s">
        <v>2881</v>
      </c>
      <c r="C1196" s="43">
        <v>720</v>
      </c>
      <c r="D1196" s="39">
        <v>540</v>
      </c>
      <c r="E1196" s="14">
        <v>0.25</v>
      </c>
    </row>
    <row r="1197" spans="1:5" x14ac:dyDescent="0.25">
      <c r="A1197" s="44" t="s">
        <v>2882</v>
      </c>
      <c r="B1197" s="38" t="s">
        <v>2883</v>
      </c>
      <c r="C1197" s="43">
        <v>1120</v>
      </c>
      <c r="D1197" s="39">
        <v>840</v>
      </c>
      <c r="E1197" s="14">
        <v>0.25</v>
      </c>
    </row>
    <row r="1198" spans="1:5" x14ac:dyDescent="0.25">
      <c r="A1198" s="44" t="s">
        <v>2884</v>
      </c>
      <c r="B1198" s="38" t="s">
        <v>2885</v>
      </c>
      <c r="C1198" s="43">
        <v>18000</v>
      </c>
      <c r="D1198" s="39">
        <v>13500</v>
      </c>
      <c r="E1198" s="14">
        <v>0.25</v>
      </c>
    </row>
    <row r="1199" spans="1:5" x14ac:dyDescent="0.25">
      <c r="A1199" s="44" t="s">
        <v>2886</v>
      </c>
      <c r="B1199" s="38" t="s">
        <v>2887</v>
      </c>
      <c r="C1199" s="43">
        <v>28000</v>
      </c>
      <c r="D1199" s="39">
        <v>21000</v>
      </c>
      <c r="E1199" s="14">
        <v>0.25</v>
      </c>
    </row>
    <row r="1200" spans="1:5" x14ac:dyDescent="0.25">
      <c r="A1200" s="44" t="s">
        <v>2888</v>
      </c>
      <c r="B1200" s="38" t="s">
        <v>2889</v>
      </c>
      <c r="C1200" s="43">
        <v>1800</v>
      </c>
      <c r="D1200" s="39">
        <v>1350</v>
      </c>
      <c r="E1200" s="14">
        <v>0.25</v>
      </c>
    </row>
    <row r="1201" spans="1:5" x14ac:dyDescent="0.25">
      <c r="A1201" s="44" t="s">
        <v>2890</v>
      </c>
      <c r="B1201" s="38" t="s">
        <v>2891</v>
      </c>
      <c r="C1201" s="43">
        <v>2800</v>
      </c>
      <c r="D1201" s="39">
        <v>2100</v>
      </c>
      <c r="E1201" s="14">
        <v>0.25</v>
      </c>
    </row>
    <row r="1202" spans="1:5" x14ac:dyDescent="0.25">
      <c r="A1202" s="44" t="s">
        <v>2892</v>
      </c>
      <c r="B1202" s="38" t="s">
        <v>2893</v>
      </c>
      <c r="C1202" s="43">
        <v>3600</v>
      </c>
      <c r="D1202" s="39">
        <v>2700</v>
      </c>
      <c r="E1202" s="14">
        <v>0.25</v>
      </c>
    </row>
    <row r="1203" spans="1:5" x14ac:dyDescent="0.25">
      <c r="A1203" s="44" t="s">
        <v>2894</v>
      </c>
      <c r="B1203" s="38" t="s">
        <v>2895</v>
      </c>
      <c r="C1203" s="43">
        <v>5600</v>
      </c>
      <c r="D1203" s="39">
        <v>4200</v>
      </c>
      <c r="E1203" s="14">
        <v>0.25</v>
      </c>
    </row>
    <row r="1204" spans="1:5" x14ac:dyDescent="0.25">
      <c r="A1204" s="44" t="s">
        <v>2896</v>
      </c>
      <c r="B1204" s="38" t="s">
        <v>2897</v>
      </c>
      <c r="C1204" s="43">
        <v>17100</v>
      </c>
      <c r="D1204" s="39">
        <v>12825</v>
      </c>
      <c r="E1204" s="14">
        <v>0.25</v>
      </c>
    </row>
    <row r="1205" spans="1:5" x14ac:dyDescent="0.25">
      <c r="A1205" s="44" t="s">
        <v>2898</v>
      </c>
      <c r="B1205" s="38" t="s">
        <v>2899</v>
      </c>
      <c r="C1205" s="43">
        <v>26600</v>
      </c>
      <c r="D1205" s="39">
        <v>19950</v>
      </c>
      <c r="E1205" s="14">
        <v>0.25</v>
      </c>
    </row>
    <row r="1206" spans="1:5" x14ac:dyDescent="0.25">
      <c r="A1206" s="44" t="s">
        <v>2900</v>
      </c>
      <c r="B1206" s="38" t="s">
        <v>2901</v>
      </c>
      <c r="C1206" s="43">
        <v>6300</v>
      </c>
      <c r="D1206" s="39">
        <v>4725</v>
      </c>
      <c r="E1206" s="14">
        <v>0.25</v>
      </c>
    </row>
    <row r="1207" spans="1:5" x14ac:dyDescent="0.25">
      <c r="A1207" s="44" t="s">
        <v>2902</v>
      </c>
      <c r="B1207" s="38" t="s">
        <v>2903</v>
      </c>
      <c r="C1207" s="43">
        <v>9800</v>
      </c>
      <c r="D1207" s="39">
        <v>7350</v>
      </c>
      <c r="E1207" s="14">
        <v>0.25</v>
      </c>
    </row>
    <row r="1208" spans="1:5" x14ac:dyDescent="0.25">
      <c r="A1208" s="44" t="s">
        <v>2904</v>
      </c>
      <c r="B1208" s="38" t="s">
        <v>2905</v>
      </c>
      <c r="C1208" s="43">
        <v>7200</v>
      </c>
      <c r="D1208" s="39">
        <v>5400</v>
      </c>
      <c r="E1208" s="14">
        <v>0.25</v>
      </c>
    </row>
    <row r="1209" spans="1:5" x14ac:dyDescent="0.25">
      <c r="A1209" s="44" t="s">
        <v>2906</v>
      </c>
      <c r="B1209" s="38" t="s">
        <v>2907</v>
      </c>
      <c r="C1209" s="43">
        <v>11200</v>
      </c>
      <c r="D1209" s="39">
        <v>8400</v>
      </c>
      <c r="E1209" s="14">
        <v>0.25</v>
      </c>
    </row>
    <row r="1210" spans="1:5" x14ac:dyDescent="0.25">
      <c r="A1210" s="44" t="s">
        <v>2908</v>
      </c>
      <c r="B1210" s="38" t="s">
        <v>2909</v>
      </c>
      <c r="C1210" s="43">
        <v>13500</v>
      </c>
      <c r="D1210" s="39">
        <v>10125</v>
      </c>
      <c r="E1210" s="14">
        <v>0.25</v>
      </c>
    </row>
    <row r="1211" spans="1:5" x14ac:dyDescent="0.25">
      <c r="A1211" s="44" t="s">
        <v>2910</v>
      </c>
      <c r="B1211" s="38" t="s">
        <v>2911</v>
      </c>
      <c r="C1211" s="43">
        <v>21000</v>
      </c>
      <c r="D1211" s="39">
        <v>15750</v>
      </c>
      <c r="E1211" s="14">
        <v>0.25</v>
      </c>
    </row>
    <row r="1212" spans="1:5" x14ac:dyDescent="0.25">
      <c r="A1212" s="44" t="s">
        <v>2912</v>
      </c>
      <c r="B1212" s="38" t="s">
        <v>2913</v>
      </c>
      <c r="C1212" s="43">
        <v>18000</v>
      </c>
      <c r="D1212" s="39">
        <v>13500</v>
      </c>
      <c r="E1212" s="14">
        <v>0.25</v>
      </c>
    </row>
    <row r="1213" spans="1:5" x14ac:dyDescent="0.25">
      <c r="A1213" s="44" t="s">
        <v>2914</v>
      </c>
      <c r="B1213" s="38" t="s">
        <v>2915</v>
      </c>
      <c r="C1213" s="43">
        <v>28000</v>
      </c>
      <c r="D1213" s="39">
        <v>21000</v>
      </c>
      <c r="E1213" s="14">
        <v>0.25</v>
      </c>
    </row>
    <row r="1214" spans="1:5" x14ac:dyDescent="0.25">
      <c r="A1214" s="44" t="s">
        <v>2916</v>
      </c>
      <c r="B1214" s="38" t="s">
        <v>2917</v>
      </c>
      <c r="C1214" s="43">
        <v>7200</v>
      </c>
      <c r="D1214" s="39">
        <v>5400</v>
      </c>
      <c r="E1214" s="14">
        <v>0.25</v>
      </c>
    </row>
    <row r="1215" spans="1:5" x14ac:dyDescent="0.25">
      <c r="A1215" s="44" t="s">
        <v>2918</v>
      </c>
      <c r="B1215" s="38" t="s">
        <v>2919</v>
      </c>
      <c r="C1215" s="43">
        <v>11200</v>
      </c>
      <c r="D1215" s="39">
        <v>8400</v>
      </c>
      <c r="E1215" s="14">
        <v>0.25</v>
      </c>
    </row>
    <row r="1216" spans="1:5" x14ac:dyDescent="0.25">
      <c r="A1216" s="44" t="s">
        <v>2920</v>
      </c>
      <c r="B1216" s="38" t="s">
        <v>2921</v>
      </c>
      <c r="C1216" s="43">
        <v>3600</v>
      </c>
      <c r="D1216" s="39">
        <v>2700</v>
      </c>
      <c r="E1216" s="14">
        <v>0.25</v>
      </c>
    </row>
    <row r="1217" spans="1:5" x14ac:dyDescent="0.25">
      <c r="A1217" s="44" t="s">
        <v>2922</v>
      </c>
      <c r="B1217" s="38" t="s">
        <v>2923</v>
      </c>
      <c r="C1217" s="43">
        <v>5600</v>
      </c>
      <c r="D1217" s="39">
        <v>4200</v>
      </c>
      <c r="E1217" s="14">
        <v>0.25</v>
      </c>
    </row>
    <row r="1218" spans="1:5" x14ac:dyDescent="0.25">
      <c r="A1218" s="44" t="s">
        <v>2924</v>
      </c>
      <c r="B1218" s="38" t="s">
        <v>2925</v>
      </c>
      <c r="C1218" s="43">
        <v>1350</v>
      </c>
      <c r="D1218" s="39">
        <v>1012.5</v>
      </c>
      <c r="E1218" s="14">
        <v>0.25</v>
      </c>
    </row>
    <row r="1219" spans="1:5" x14ac:dyDescent="0.25">
      <c r="A1219" s="44" t="s">
        <v>2926</v>
      </c>
      <c r="B1219" s="38" t="s">
        <v>2927</v>
      </c>
      <c r="C1219" s="43">
        <v>2100</v>
      </c>
      <c r="D1219" s="39">
        <v>1575</v>
      </c>
      <c r="E1219" s="14">
        <v>0.25</v>
      </c>
    </row>
    <row r="1220" spans="1:5" x14ac:dyDescent="0.25">
      <c r="A1220" s="44" t="s">
        <v>2928</v>
      </c>
      <c r="B1220" s="38" t="s">
        <v>2929</v>
      </c>
      <c r="C1220" s="43">
        <v>540</v>
      </c>
      <c r="D1220" s="39">
        <v>405</v>
      </c>
      <c r="E1220" s="14">
        <v>0.25</v>
      </c>
    </row>
    <row r="1221" spans="1:5" x14ac:dyDescent="0.25">
      <c r="A1221" s="44" t="s">
        <v>2930</v>
      </c>
      <c r="B1221" s="38" t="s">
        <v>2931</v>
      </c>
      <c r="C1221" s="43">
        <v>840</v>
      </c>
      <c r="D1221" s="39">
        <v>630</v>
      </c>
      <c r="E1221" s="14">
        <v>0.25</v>
      </c>
    </row>
    <row r="1222" spans="1:5" x14ac:dyDescent="0.25">
      <c r="A1222" s="44" t="s">
        <v>2932</v>
      </c>
      <c r="B1222" s="38" t="s">
        <v>2933</v>
      </c>
      <c r="C1222" s="43">
        <v>270</v>
      </c>
      <c r="D1222" s="39">
        <v>202.5</v>
      </c>
      <c r="E1222" s="14">
        <v>0.25</v>
      </c>
    </row>
    <row r="1223" spans="1:5" x14ac:dyDescent="0.25">
      <c r="A1223" s="44" t="s">
        <v>2934</v>
      </c>
      <c r="B1223" s="38" t="s">
        <v>2935</v>
      </c>
      <c r="C1223" s="43">
        <v>420</v>
      </c>
      <c r="D1223" s="39">
        <v>315</v>
      </c>
      <c r="E1223" s="14">
        <v>0.25</v>
      </c>
    </row>
    <row r="1224" spans="1:5" x14ac:dyDescent="0.25">
      <c r="A1224" s="44" t="s">
        <v>2936</v>
      </c>
      <c r="B1224" s="38" t="s">
        <v>2937</v>
      </c>
      <c r="C1224" s="43">
        <v>36000</v>
      </c>
      <c r="D1224" s="39">
        <v>27000</v>
      </c>
      <c r="E1224" s="14">
        <v>0.25</v>
      </c>
    </row>
    <row r="1225" spans="1:5" x14ac:dyDescent="0.25">
      <c r="A1225" s="44" t="s">
        <v>2938</v>
      </c>
      <c r="B1225" s="38" t="s">
        <v>2939</v>
      </c>
      <c r="C1225" s="43">
        <v>56000</v>
      </c>
      <c r="D1225" s="39">
        <v>42000</v>
      </c>
      <c r="E1225" s="14">
        <v>0.25</v>
      </c>
    </row>
    <row r="1226" spans="1:5" x14ac:dyDescent="0.25">
      <c r="A1226" s="44" t="s">
        <v>2940</v>
      </c>
      <c r="B1226" s="38" t="s">
        <v>2941</v>
      </c>
      <c r="C1226" s="43">
        <v>14400</v>
      </c>
      <c r="D1226" s="39">
        <v>10800</v>
      </c>
      <c r="E1226" s="14">
        <v>0.25</v>
      </c>
    </row>
    <row r="1227" spans="1:5" x14ac:dyDescent="0.25">
      <c r="A1227" s="44" t="s">
        <v>2942</v>
      </c>
      <c r="B1227" s="38" t="s">
        <v>2943</v>
      </c>
      <c r="C1227" s="43">
        <v>22400</v>
      </c>
      <c r="D1227" s="39">
        <v>16800</v>
      </c>
      <c r="E1227" s="14">
        <v>0.25</v>
      </c>
    </row>
    <row r="1228" spans="1:5" x14ac:dyDescent="0.25">
      <c r="A1228" s="44" t="s">
        <v>2944</v>
      </c>
      <c r="B1228" s="38" t="s">
        <v>2945</v>
      </c>
      <c r="C1228" s="43">
        <v>7200</v>
      </c>
      <c r="D1228" s="39">
        <v>5400</v>
      </c>
      <c r="E1228" s="14">
        <v>0.25</v>
      </c>
    </row>
    <row r="1229" spans="1:5" x14ac:dyDescent="0.25">
      <c r="A1229" s="44" t="s">
        <v>2946</v>
      </c>
      <c r="B1229" s="38" t="s">
        <v>2947</v>
      </c>
      <c r="C1229" s="43">
        <v>11200</v>
      </c>
      <c r="D1229" s="39">
        <v>8400</v>
      </c>
      <c r="E1229" s="14">
        <v>0.25</v>
      </c>
    </row>
    <row r="1230" spans="1:5" x14ac:dyDescent="0.25">
      <c r="A1230" s="44" t="s">
        <v>2948</v>
      </c>
      <c r="B1230" s="38" t="s">
        <v>2949</v>
      </c>
      <c r="C1230" s="43">
        <v>4500</v>
      </c>
      <c r="D1230" s="39">
        <v>3375</v>
      </c>
      <c r="E1230" s="14">
        <v>0.25</v>
      </c>
    </row>
    <row r="1231" spans="1:5" x14ac:dyDescent="0.25">
      <c r="A1231" s="44" t="s">
        <v>2950</v>
      </c>
      <c r="B1231" s="38" t="s">
        <v>2951</v>
      </c>
      <c r="C1231" s="43">
        <v>7000</v>
      </c>
      <c r="D1231" s="39">
        <v>5250</v>
      </c>
      <c r="E1231" s="14">
        <v>0.25</v>
      </c>
    </row>
    <row r="1232" spans="1:5" x14ac:dyDescent="0.25">
      <c r="A1232" s="44" t="s">
        <v>2952</v>
      </c>
      <c r="B1232" s="38" t="s">
        <v>2953</v>
      </c>
      <c r="C1232" s="43">
        <v>1800</v>
      </c>
      <c r="D1232" s="39">
        <v>1350</v>
      </c>
      <c r="E1232" s="14">
        <v>0.25</v>
      </c>
    </row>
    <row r="1233" spans="1:5" x14ac:dyDescent="0.25">
      <c r="A1233" s="44" t="s">
        <v>2954</v>
      </c>
      <c r="B1233" s="38" t="s">
        <v>2955</v>
      </c>
      <c r="C1233" s="43">
        <v>2800</v>
      </c>
      <c r="D1233" s="39">
        <v>2100</v>
      </c>
      <c r="E1233" s="14">
        <v>0.25</v>
      </c>
    </row>
    <row r="1234" spans="1:5" x14ac:dyDescent="0.25">
      <c r="A1234" s="44" t="s">
        <v>2956</v>
      </c>
      <c r="B1234" s="38" t="s">
        <v>2957</v>
      </c>
      <c r="C1234" s="43">
        <v>900</v>
      </c>
      <c r="D1234" s="39">
        <v>675</v>
      </c>
      <c r="E1234" s="14">
        <v>0.25</v>
      </c>
    </row>
    <row r="1235" spans="1:5" x14ac:dyDescent="0.25">
      <c r="A1235" s="44" t="s">
        <v>2958</v>
      </c>
      <c r="B1235" s="38" t="s">
        <v>2959</v>
      </c>
      <c r="C1235" s="43">
        <v>1400</v>
      </c>
      <c r="D1235" s="39">
        <v>1050</v>
      </c>
      <c r="E1235" s="14">
        <v>0.25</v>
      </c>
    </row>
    <row r="1236" spans="1:5" x14ac:dyDescent="0.25">
      <c r="A1236" s="44" t="s">
        <v>2960</v>
      </c>
      <c r="B1236" s="38" t="s">
        <v>2961</v>
      </c>
      <c r="C1236" s="43">
        <v>11250</v>
      </c>
      <c r="D1236" s="39">
        <v>8437.5</v>
      </c>
      <c r="E1236" s="14">
        <v>0.25</v>
      </c>
    </row>
    <row r="1237" spans="1:5" x14ac:dyDescent="0.25">
      <c r="A1237" s="44" t="s">
        <v>2962</v>
      </c>
      <c r="B1237" s="38" t="s">
        <v>2963</v>
      </c>
      <c r="C1237" s="43">
        <v>17500</v>
      </c>
      <c r="D1237" s="39">
        <v>13125</v>
      </c>
      <c r="E1237" s="14">
        <v>0.25</v>
      </c>
    </row>
    <row r="1238" spans="1:5" x14ac:dyDescent="0.25">
      <c r="A1238" s="44" t="s">
        <v>2964</v>
      </c>
      <c r="B1238" s="38" t="s">
        <v>2965</v>
      </c>
      <c r="C1238" s="43">
        <v>9000</v>
      </c>
      <c r="D1238" s="39">
        <v>6750</v>
      </c>
      <c r="E1238" s="14">
        <v>0.25</v>
      </c>
    </row>
    <row r="1239" spans="1:5" x14ac:dyDescent="0.25">
      <c r="A1239" s="44" t="s">
        <v>2966</v>
      </c>
      <c r="B1239" s="38" t="s">
        <v>2967</v>
      </c>
      <c r="C1239" s="43">
        <v>14000</v>
      </c>
      <c r="D1239" s="39">
        <v>10500</v>
      </c>
      <c r="E1239" s="14">
        <v>0.25</v>
      </c>
    </row>
    <row r="1240" spans="1:5" x14ac:dyDescent="0.25">
      <c r="A1240" s="44" t="s">
        <v>2968</v>
      </c>
      <c r="B1240" s="38" t="s">
        <v>2969</v>
      </c>
      <c r="C1240" s="43">
        <v>4500</v>
      </c>
      <c r="D1240" s="39">
        <v>3375</v>
      </c>
      <c r="E1240" s="14">
        <v>0.25</v>
      </c>
    </row>
    <row r="1241" spans="1:5" x14ac:dyDescent="0.25">
      <c r="A1241" s="44" t="s">
        <v>2970</v>
      </c>
      <c r="B1241" s="38" t="s">
        <v>2971</v>
      </c>
      <c r="C1241" s="43">
        <v>7000</v>
      </c>
      <c r="D1241" s="39">
        <v>5250</v>
      </c>
      <c r="E1241" s="14">
        <v>0.25</v>
      </c>
    </row>
    <row r="1242" spans="1:5" x14ac:dyDescent="0.25">
      <c r="A1242" s="44" t="s">
        <v>2972</v>
      </c>
      <c r="B1242" s="38" t="s">
        <v>2973</v>
      </c>
      <c r="C1242" s="43">
        <v>22500</v>
      </c>
      <c r="D1242" s="39">
        <v>16875</v>
      </c>
      <c r="E1242" s="14">
        <v>0.25</v>
      </c>
    </row>
    <row r="1243" spans="1:5" x14ac:dyDescent="0.25">
      <c r="A1243" s="44" t="s">
        <v>2974</v>
      </c>
      <c r="B1243" s="38" t="s">
        <v>2975</v>
      </c>
      <c r="C1243" s="43">
        <v>35000</v>
      </c>
      <c r="D1243" s="39">
        <v>26250</v>
      </c>
      <c r="E1243" s="14">
        <v>0.25</v>
      </c>
    </row>
    <row r="1244" spans="1:5" x14ac:dyDescent="0.25">
      <c r="A1244" s="44" t="s">
        <v>2976</v>
      </c>
      <c r="B1244" s="38" t="s">
        <v>2977</v>
      </c>
      <c r="C1244" s="43">
        <v>16200</v>
      </c>
      <c r="D1244" s="39">
        <v>12150</v>
      </c>
      <c r="E1244" s="14">
        <v>0.25</v>
      </c>
    </row>
    <row r="1245" spans="1:5" x14ac:dyDescent="0.25">
      <c r="A1245" s="44" t="s">
        <v>2978</v>
      </c>
      <c r="B1245" s="38" t="s">
        <v>2979</v>
      </c>
      <c r="C1245" s="43">
        <v>25200</v>
      </c>
      <c r="D1245" s="39">
        <v>18900</v>
      </c>
      <c r="E1245" s="14">
        <v>0.25</v>
      </c>
    </row>
    <row r="1246" spans="1:5" x14ac:dyDescent="0.25">
      <c r="A1246" s="44" t="s">
        <v>2980</v>
      </c>
      <c r="B1246" s="38" t="s">
        <v>2981</v>
      </c>
      <c r="C1246" s="43">
        <v>12960</v>
      </c>
      <c r="D1246" s="39">
        <v>9720</v>
      </c>
      <c r="E1246" s="14">
        <v>0.25</v>
      </c>
    </row>
    <row r="1247" spans="1:5" x14ac:dyDescent="0.25">
      <c r="A1247" s="44" t="s">
        <v>2982</v>
      </c>
      <c r="B1247" s="38" t="s">
        <v>2983</v>
      </c>
      <c r="C1247" s="43">
        <v>20160</v>
      </c>
      <c r="D1247" s="39">
        <v>15120</v>
      </c>
      <c r="E1247" s="14">
        <v>0.25</v>
      </c>
    </row>
    <row r="1248" spans="1:5" x14ac:dyDescent="0.25">
      <c r="A1248" s="44" t="s">
        <v>2984</v>
      </c>
      <c r="B1248" s="38" t="s">
        <v>2985</v>
      </c>
      <c r="C1248" s="43">
        <v>32400</v>
      </c>
      <c r="D1248" s="39">
        <v>24300</v>
      </c>
      <c r="E1248" s="14">
        <v>0.25</v>
      </c>
    </row>
    <row r="1249" spans="1:5" x14ac:dyDescent="0.25">
      <c r="A1249" s="44" t="s">
        <v>2986</v>
      </c>
      <c r="B1249" s="38" t="s">
        <v>2987</v>
      </c>
      <c r="C1249" s="43">
        <v>50400</v>
      </c>
      <c r="D1249" s="39">
        <v>37800</v>
      </c>
      <c r="E1249" s="14">
        <v>0.25</v>
      </c>
    </row>
    <row r="1250" spans="1:5" x14ac:dyDescent="0.25">
      <c r="A1250" s="44" t="s">
        <v>2988</v>
      </c>
      <c r="B1250" s="38" t="s">
        <v>2989</v>
      </c>
      <c r="C1250" s="43">
        <v>6480</v>
      </c>
      <c r="D1250" s="39">
        <v>4860</v>
      </c>
      <c r="E1250" s="14">
        <v>0.25</v>
      </c>
    </row>
    <row r="1251" spans="1:5" x14ac:dyDescent="0.25">
      <c r="A1251" s="44" t="s">
        <v>2990</v>
      </c>
      <c r="B1251" s="38" t="s">
        <v>2991</v>
      </c>
      <c r="C1251" s="43">
        <v>10080</v>
      </c>
      <c r="D1251" s="39">
        <v>7560</v>
      </c>
      <c r="E1251" s="14">
        <v>0.25</v>
      </c>
    </row>
    <row r="1252" spans="1:5" x14ac:dyDescent="0.25">
      <c r="A1252" s="44" t="s">
        <v>2992</v>
      </c>
      <c r="B1252" s="38" t="s">
        <v>2993</v>
      </c>
      <c r="C1252" s="43">
        <v>1350</v>
      </c>
      <c r="D1252" s="39">
        <v>1012.5</v>
      </c>
      <c r="E1252" s="14">
        <v>0.25</v>
      </c>
    </row>
    <row r="1253" spans="1:5" x14ac:dyDescent="0.25">
      <c r="A1253" s="44" t="s">
        <v>2994</v>
      </c>
      <c r="B1253" s="38" t="s">
        <v>2995</v>
      </c>
      <c r="C1253" s="43">
        <v>2100</v>
      </c>
      <c r="D1253" s="39">
        <v>1575</v>
      </c>
      <c r="E1253" s="14">
        <v>0.25</v>
      </c>
    </row>
    <row r="1254" spans="1:5" x14ac:dyDescent="0.25">
      <c r="A1254" s="44" t="s">
        <v>2996</v>
      </c>
      <c r="B1254" s="38" t="s">
        <v>2997</v>
      </c>
      <c r="C1254" s="43">
        <v>1350</v>
      </c>
      <c r="D1254" s="39">
        <v>1012.5</v>
      </c>
      <c r="E1254" s="14">
        <v>0.25</v>
      </c>
    </row>
    <row r="1255" spans="1:5" x14ac:dyDescent="0.25">
      <c r="A1255" s="44" t="s">
        <v>2998</v>
      </c>
      <c r="B1255" s="38" t="s">
        <v>2999</v>
      </c>
      <c r="C1255" s="43">
        <v>2100</v>
      </c>
      <c r="D1255" s="39">
        <v>1575</v>
      </c>
      <c r="E1255" s="14">
        <v>0.25</v>
      </c>
    </row>
    <row r="1256" spans="1:5" x14ac:dyDescent="0.25">
      <c r="A1256" s="44" t="s">
        <v>3000</v>
      </c>
      <c r="B1256" s="38" t="s">
        <v>3001</v>
      </c>
      <c r="C1256" s="43">
        <v>1350</v>
      </c>
      <c r="D1256" s="39">
        <v>1012.5</v>
      </c>
      <c r="E1256" s="14">
        <v>0.25</v>
      </c>
    </row>
    <row r="1257" spans="1:5" x14ac:dyDescent="0.25">
      <c r="A1257" s="44" t="s">
        <v>3002</v>
      </c>
      <c r="B1257" s="38" t="s">
        <v>3003</v>
      </c>
      <c r="C1257" s="43">
        <v>2100</v>
      </c>
      <c r="D1257" s="39">
        <v>1575</v>
      </c>
      <c r="E1257" s="14">
        <v>0.25</v>
      </c>
    </row>
    <row r="1258" spans="1:5" x14ac:dyDescent="0.25">
      <c r="A1258" s="44" t="s">
        <v>3004</v>
      </c>
      <c r="B1258" s="38" t="s">
        <v>3005</v>
      </c>
      <c r="C1258" s="43">
        <v>2700</v>
      </c>
      <c r="D1258" s="39">
        <v>2025</v>
      </c>
      <c r="E1258" s="14">
        <v>0.25</v>
      </c>
    </row>
    <row r="1259" spans="1:5" x14ac:dyDescent="0.25">
      <c r="A1259" s="44" t="s">
        <v>3006</v>
      </c>
      <c r="B1259" s="38" t="s">
        <v>3007</v>
      </c>
      <c r="C1259" s="43">
        <v>4200</v>
      </c>
      <c r="D1259" s="39">
        <v>3150</v>
      </c>
      <c r="E1259" s="14">
        <v>0.25</v>
      </c>
    </row>
    <row r="1260" spans="1:5" x14ac:dyDescent="0.25">
      <c r="A1260" s="44" t="s">
        <v>3008</v>
      </c>
      <c r="B1260" s="38" t="s">
        <v>3009</v>
      </c>
      <c r="C1260" s="43">
        <v>1080</v>
      </c>
      <c r="D1260" s="39">
        <v>810</v>
      </c>
      <c r="E1260" s="14">
        <v>0.25</v>
      </c>
    </row>
    <row r="1261" spans="1:5" x14ac:dyDescent="0.25">
      <c r="A1261" s="44" t="s">
        <v>3010</v>
      </c>
      <c r="B1261" s="38" t="s">
        <v>3011</v>
      </c>
      <c r="C1261" s="43">
        <v>1680</v>
      </c>
      <c r="D1261" s="39">
        <v>1260</v>
      </c>
      <c r="E1261" s="14">
        <v>0.25</v>
      </c>
    </row>
    <row r="1262" spans="1:5" x14ac:dyDescent="0.25">
      <c r="A1262" s="44" t="s">
        <v>3012</v>
      </c>
      <c r="B1262" s="38" t="s">
        <v>3013</v>
      </c>
      <c r="C1262" s="43">
        <v>540</v>
      </c>
      <c r="D1262" s="39">
        <v>405</v>
      </c>
      <c r="E1262" s="14">
        <v>0.25</v>
      </c>
    </row>
    <row r="1263" spans="1:5" x14ac:dyDescent="0.25">
      <c r="A1263" s="44" t="s">
        <v>3014</v>
      </c>
      <c r="B1263" s="38" t="s">
        <v>3015</v>
      </c>
      <c r="C1263" s="43">
        <v>840</v>
      </c>
      <c r="D1263" s="39">
        <v>630</v>
      </c>
      <c r="E1263" s="14">
        <v>0.25</v>
      </c>
    </row>
    <row r="1264" spans="1:5" x14ac:dyDescent="0.25">
      <c r="A1264" s="44" t="s">
        <v>3016</v>
      </c>
      <c r="B1264" s="38" t="s">
        <v>3017</v>
      </c>
      <c r="C1264" s="43">
        <v>4500</v>
      </c>
      <c r="D1264" s="39">
        <v>3375</v>
      </c>
      <c r="E1264" s="14">
        <v>0.25</v>
      </c>
    </row>
    <row r="1265" spans="1:5" x14ac:dyDescent="0.25">
      <c r="A1265" s="44" t="s">
        <v>3018</v>
      </c>
      <c r="B1265" s="38" t="s">
        <v>3019</v>
      </c>
      <c r="C1265" s="43">
        <v>7000</v>
      </c>
      <c r="D1265" s="39">
        <v>5250</v>
      </c>
      <c r="E1265" s="14">
        <v>0.25</v>
      </c>
    </row>
    <row r="1266" spans="1:5" x14ac:dyDescent="0.25">
      <c r="A1266" s="44" t="s">
        <v>3020</v>
      </c>
      <c r="B1266" s="38" t="s">
        <v>3021</v>
      </c>
      <c r="C1266" s="43">
        <v>1800</v>
      </c>
      <c r="D1266" s="39">
        <v>1350</v>
      </c>
      <c r="E1266" s="14">
        <v>0.25</v>
      </c>
    </row>
    <row r="1267" spans="1:5" x14ac:dyDescent="0.25">
      <c r="A1267" s="44" t="s">
        <v>3022</v>
      </c>
      <c r="B1267" s="38" t="s">
        <v>3023</v>
      </c>
      <c r="C1267" s="43">
        <v>2800</v>
      </c>
      <c r="D1267" s="39">
        <v>2100</v>
      </c>
      <c r="E1267" s="14">
        <v>0.25</v>
      </c>
    </row>
    <row r="1268" spans="1:5" x14ac:dyDescent="0.25">
      <c r="A1268" s="44" t="s">
        <v>3024</v>
      </c>
      <c r="B1268" s="38" t="s">
        <v>3025</v>
      </c>
      <c r="C1268" s="43">
        <v>900</v>
      </c>
      <c r="D1268" s="39">
        <v>675</v>
      </c>
      <c r="E1268" s="14">
        <v>0.25</v>
      </c>
    </row>
    <row r="1269" spans="1:5" x14ac:dyDescent="0.25">
      <c r="A1269" s="44" t="s">
        <v>3026</v>
      </c>
      <c r="B1269" s="38" t="s">
        <v>3027</v>
      </c>
      <c r="C1269" s="43">
        <v>1400</v>
      </c>
      <c r="D1269" s="39">
        <v>1050</v>
      </c>
      <c r="E1269" s="14">
        <v>0.25</v>
      </c>
    </row>
    <row r="1270" spans="1:5" x14ac:dyDescent="0.25">
      <c r="A1270" s="44" t="s">
        <v>3028</v>
      </c>
      <c r="B1270" s="38" t="s">
        <v>3029</v>
      </c>
      <c r="C1270" s="43">
        <v>108</v>
      </c>
      <c r="D1270" s="39">
        <v>81</v>
      </c>
      <c r="E1270" s="14">
        <v>0.25</v>
      </c>
    </row>
    <row r="1271" spans="1:5" x14ac:dyDescent="0.25">
      <c r="A1271" s="44" t="s">
        <v>3030</v>
      </c>
      <c r="B1271" s="38" t="s">
        <v>3031</v>
      </c>
      <c r="C1271" s="43">
        <v>168</v>
      </c>
      <c r="D1271" s="39">
        <v>126</v>
      </c>
      <c r="E1271" s="14">
        <v>0.25</v>
      </c>
    </row>
    <row r="1272" spans="1:5" x14ac:dyDescent="0.25">
      <c r="A1272" s="44" t="s">
        <v>3032</v>
      </c>
      <c r="B1272" s="38" t="s">
        <v>3033</v>
      </c>
      <c r="C1272" s="43">
        <v>43.2</v>
      </c>
      <c r="D1272" s="39">
        <v>32.400000000000006</v>
      </c>
      <c r="E1272" s="14">
        <v>0.24999999999999989</v>
      </c>
    </row>
    <row r="1273" spans="1:5" x14ac:dyDescent="0.25">
      <c r="A1273" s="44" t="s">
        <v>3034</v>
      </c>
      <c r="B1273" s="38" t="s">
        <v>3035</v>
      </c>
      <c r="C1273" s="43">
        <v>67.2</v>
      </c>
      <c r="D1273" s="39">
        <v>50.400000000000006</v>
      </c>
      <c r="E1273" s="14">
        <v>0.25</v>
      </c>
    </row>
    <row r="1274" spans="1:5" x14ac:dyDescent="0.25">
      <c r="A1274" s="44" t="s">
        <v>3036</v>
      </c>
      <c r="B1274" s="38" t="s">
        <v>3037</v>
      </c>
      <c r="C1274" s="43">
        <v>21.6</v>
      </c>
      <c r="D1274" s="39">
        <v>16.200000000000003</v>
      </c>
      <c r="E1274" s="14">
        <v>0.24999999999999989</v>
      </c>
    </row>
    <row r="1275" spans="1:5" x14ac:dyDescent="0.25">
      <c r="A1275" s="44" t="s">
        <v>3038</v>
      </c>
      <c r="B1275" s="38" t="s">
        <v>3039</v>
      </c>
      <c r="C1275" s="43">
        <v>33.6</v>
      </c>
      <c r="D1275" s="39">
        <v>25.200000000000003</v>
      </c>
      <c r="E1275" s="14">
        <v>0.25</v>
      </c>
    </row>
    <row r="1276" spans="1:5" x14ac:dyDescent="0.25">
      <c r="A1276" s="44" t="s">
        <v>3040</v>
      </c>
      <c r="B1276" s="38" t="s">
        <v>3041</v>
      </c>
      <c r="C1276" s="43">
        <v>9000</v>
      </c>
      <c r="D1276" s="39">
        <v>6750</v>
      </c>
      <c r="E1276" s="14">
        <v>0.25</v>
      </c>
    </row>
    <row r="1277" spans="1:5" x14ac:dyDescent="0.25">
      <c r="A1277" s="44" t="s">
        <v>3042</v>
      </c>
      <c r="B1277" s="38" t="s">
        <v>3043</v>
      </c>
      <c r="C1277" s="43">
        <v>14000</v>
      </c>
      <c r="D1277" s="39">
        <v>10500</v>
      </c>
      <c r="E1277" s="14">
        <v>0.25</v>
      </c>
    </row>
    <row r="1278" spans="1:5" x14ac:dyDescent="0.25">
      <c r="A1278" s="44" t="s">
        <v>3044</v>
      </c>
      <c r="B1278" s="38" t="s">
        <v>3045</v>
      </c>
      <c r="C1278" s="43">
        <v>3600</v>
      </c>
      <c r="D1278" s="39">
        <v>2700</v>
      </c>
      <c r="E1278" s="14">
        <v>0.25</v>
      </c>
    </row>
    <row r="1279" spans="1:5" x14ac:dyDescent="0.25">
      <c r="A1279" s="44" t="s">
        <v>3046</v>
      </c>
      <c r="B1279" s="38" t="s">
        <v>3047</v>
      </c>
      <c r="C1279" s="43">
        <v>5600</v>
      </c>
      <c r="D1279" s="39">
        <v>4200</v>
      </c>
      <c r="E1279" s="14">
        <v>0.25</v>
      </c>
    </row>
    <row r="1280" spans="1:5" x14ac:dyDescent="0.25">
      <c r="A1280" s="44" t="s">
        <v>3048</v>
      </c>
      <c r="B1280" s="38" t="s">
        <v>3049</v>
      </c>
      <c r="C1280" s="43">
        <v>1800</v>
      </c>
      <c r="D1280" s="39">
        <v>1350</v>
      </c>
      <c r="E1280" s="14">
        <v>0.25</v>
      </c>
    </row>
    <row r="1281" spans="1:5" x14ac:dyDescent="0.25">
      <c r="A1281" s="44" t="s">
        <v>3050</v>
      </c>
      <c r="B1281" s="38" t="s">
        <v>3051</v>
      </c>
      <c r="C1281" s="43">
        <v>2800</v>
      </c>
      <c r="D1281" s="39">
        <v>2100</v>
      </c>
      <c r="E1281" s="14">
        <v>0.25</v>
      </c>
    </row>
    <row r="1282" spans="1:5" x14ac:dyDescent="0.25">
      <c r="A1282" s="44" t="s">
        <v>3052</v>
      </c>
      <c r="B1282" s="38" t="s">
        <v>3053</v>
      </c>
      <c r="C1282" s="43">
        <v>270</v>
      </c>
      <c r="D1282" s="39">
        <v>202.5</v>
      </c>
      <c r="E1282" s="14">
        <v>0.25</v>
      </c>
    </row>
    <row r="1283" spans="1:5" x14ac:dyDescent="0.25">
      <c r="A1283" s="44" t="s">
        <v>3054</v>
      </c>
      <c r="B1283" s="38" t="s">
        <v>3055</v>
      </c>
      <c r="C1283" s="43">
        <v>420</v>
      </c>
      <c r="D1283" s="39">
        <v>315</v>
      </c>
      <c r="E1283" s="14">
        <v>0.25</v>
      </c>
    </row>
    <row r="1284" spans="1:5" x14ac:dyDescent="0.25">
      <c r="A1284" s="44" t="s">
        <v>3056</v>
      </c>
      <c r="B1284" s="38" t="s">
        <v>3057</v>
      </c>
      <c r="C1284" s="43">
        <v>108</v>
      </c>
      <c r="D1284" s="39">
        <v>81</v>
      </c>
      <c r="E1284" s="14">
        <v>0.25</v>
      </c>
    </row>
    <row r="1285" spans="1:5" x14ac:dyDescent="0.25">
      <c r="A1285" s="44" t="s">
        <v>3058</v>
      </c>
      <c r="B1285" s="38" t="s">
        <v>3059</v>
      </c>
      <c r="C1285" s="43">
        <v>168</v>
      </c>
      <c r="D1285" s="39">
        <v>126</v>
      </c>
      <c r="E1285" s="14">
        <v>0.25</v>
      </c>
    </row>
    <row r="1286" spans="1:5" x14ac:dyDescent="0.25">
      <c r="A1286" s="44" t="s">
        <v>3060</v>
      </c>
      <c r="B1286" s="38" t="s">
        <v>3061</v>
      </c>
      <c r="C1286" s="43">
        <v>54</v>
      </c>
      <c r="D1286" s="39">
        <v>40.5</v>
      </c>
      <c r="E1286" s="14">
        <v>0.25</v>
      </c>
    </row>
    <row r="1287" spans="1:5" x14ac:dyDescent="0.25">
      <c r="A1287" s="44" t="s">
        <v>3062</v>
      </c>
      <c r="B1287" s="38" t="s">
        <v>3063</v>
      </c>
      <c r="C1287" s="43">
        <v>84</v>
      </c>
      <c r="D1287" s="39">
        <v>63</v>
      </c>
      <c r="E1287" s="14">
        <v>0.25</v>
      </c>
    </row>
    <row r="1288" spans="1:5" x14ac:dyDescent="0.25">
      <c r="A1288" s="44" t="s">
        <v>3064</v>
      </c>
      <c r="B1288" s="38" t="s">
        <v>3065</v>
      </c>
      <c r="C1288" s="43">
        <v>2700</v>
      </c>
      <c r="D1288" s="39">
        <v>2025</v>
      </c>
      <c r="E1288" s="14">
        <v>0.25</v>
      </c>
    </row>
    <row r="1289" spans="1:5" x14ac:dyDescent="0.25">
      <c r="A1289" s="44" t="s">
        <v>3066</v>
      </c>
      <c r="B1289" s="38" t="s">
        <v>3067</v>
      </c>
      <c r="C1289" s="43">
        <v>4200</v>
      </c>
      <c r="D1289" s="39">
        <v>3150</v>
      </c>
      <c r="E1289" s="14">
        <v>0.25</v>
      </c>
    </row>
    <row r="1290" spans="1:5" x14ac:dyDescent="0.25">
      <c r="A1290" s="44" t="s">
        <v>3068</v>
      </c>
      <c r="B1290" s="38" t="s">
        <v>3069</v>
      </c>
      <c r="C1290" s="43">
        <v>1800</v>
      </c>
      <c r="D1290" s="39">
        <v>1350</v>
      </c>
      <c r="E1290" s="14">
        <v>0.25</v>
      </c>
    </row>
    <row r="1291" spans="1:5" x14ac:dyDescent="0.25">
      <c r="A1291" s="44" t="s">
        <v>3070</v>
      </c>
      <c r="B1291" s="38" t="s">
        <v>3071</v>
      </c>
      <c r="C1291" s="43">
        <v>2800</v>
      </c>
      <c r="D1291" s="39">
        <v>2100</v>
      </c>
      <c r="E1291" s="14">
        <v>0.25</v>
      </c>
    </row>
    <row r="1292" spans="1:5" x14ac:dyDescent="0.25">
      <c r="A1292" s="44" t="s">
        <v>3072</v>
      </c>
      <c r="B1292" s="38" t="s">
        <v>3073</v>
      </c>
      <c r="C1292" s="43">
        <v>1800</v>
      </c>
      <c r="D1292" s="39">
        <v>1350</v>
      </c>
      <c r="E1292" s="14">
        <v>0.25</v>
      </c>
    </row>
    <row r="1293" spans="1:5" x14ac:dyDescent="0.25">
      <c r="A1293" s="44" t="s">
        <v>3074</v>
      </c>
      <c r="B1293" s="38" t="s">
        <v>3075</v>
      </c>
      <c r="C1293" s="43">
        <v>2800</v>
      </c>
      <c r="D1293" s="39">
        <v>2100</v>
      </c>
      <c r="E1293" s="14">
        <v>0.25</v>
      </c>
    </row>
    <row r="1294" spans="1:5" x14ac:dyDescent="0.25">
      <c r="A1294" s="44" t="s">
        <v>3076</v>
      </c>
      <c r="B1294" s="38" t="s">
        <v>3077</v>
      </c>
      <c r="C1294" s="43">
        <v>2700</v>
      </c>
      <c r="D1294" s="39">
        <v>2025</v>
      </c>
      <c r="E1294" s="14">
        <v>0.25</v>
      </c>
    </row>
    <row r="1295" spans="1:5" x14ac:dyDescent="0.25">
      <c r="A1295" s="44" t="s">
        <v>3078</v>
      </c>
      <c r="B1295" s="38" t="s">
        <v>3079</v>
      </c>
      <c r="C1295" s="43">
        <v>4200</v>
      </c>
      <c r="D1295" s="39">
        <v>3150</v>
      </c>
      <c r="E1295" s="14">
        <v>0.25</v>
      </c>
    </row>
    <row r="1296" spans="1:5" x14ac:dyDescent="0.25">
      <c r="A1296" s="44" t="s">
        <v>3080</v>
      </c>
      <c r="B1296" s="38" t="s">
        <v>3081</v>
      </c>
      <c r="C1296" s="43">
        <v>1800</v>
      </c>
      <c r="D1296" s="39">
        <v>1350</v>
      </c>
      <c r="E1296" s="14">
        <v>0.25</v>
      </c>
    </row>
    <row r="1297" spans="1:5" x14ac:dyDescent="0.25">
      <c r="A1297" s="44" t="s">
        <v>3082</v>
      </c>
      <c r="B1297" s="38" t="s">
        <v>3083</v>
      </c>
      <c r="C1297" s="43">
        <v>2800</v>
      </c>
      <c r="D1297" s="39">
        <v>2100</v>
      </c>
      <c r="E1297" s="14">
        <v>0.25</v>
      </c>
    </row>
    <row r="1298" spans="1:5" x14ac:dyDescent="0.25">
      <c r="A1298" s="44" t="s">
        <v>3084</v>
      </c>
      <c r="B1298" s="38" t="s">
        <v>3085</v>
      </c>
      <c r="C1298" s="43">
        <v>2700</v>
      </c>
      <c r="D1298" s="39">
        <v>2025</v>
      </c>
      <c r="E1298" s="14">
        <v>0.25</v>
      </c>
    </row>
    <row r="1299" spans="1:5" x14ac:dyDescent="0.25">
      <c r="A1299" s="44" t="s">
        <v>3086</v>
      </c>
      <c r="B1299" s="38" t="s">
        <v>3087</v>
      </c>
      <c r="C1299" s="43">
        <v>4200</v>
      </c>
      <c r="D1299" s="39">
        <v>3150</v>
      </c>
      <c r="E1299" s="14">
        <v>0.25</v>
      </c>
    </row>
    <row r="1300" spans="1:5" x14ac:dyDescent="0.25">
      <c r="A1300" s="44" t="s">
        <v>3088</v>
      </c>
      <c r="B1300" s="38" t="s">
        <v>3089</v>
      </c>
      <c r="C1300" s="43">
        <v>1800</v>
      </c>
      <c r="D1300" s="39">
        <v>1350</v>
      </c>
      <c r="E1300" s="14">
        <v>0.25</v>
      </c>
    </row>
    <row r="1301" spans="1:5" x14ac:dyDescent="0.25">
      <c r="A1301" s="44" t="s">
        <v>3090</v>
      </c>
      <c r="B1301" s="38" t="s">
        <v>3091</v>
      </c>
      <c r="C1301" s="43">
        <v>2800</v>
      </c>
      <c r="D1301" s="39">
        <v>2100</v>
      </c>
      <c r="E1301" s="14">
        <v>0.25</v>
      </c>
    </row>
    <row r="1302" spans="1:5" x14ac:dyDescent="0.25">
      <c r="A1302" s="44" t="s">
        <v>3092</v>
      </c>
      <c r="B1302" s="38" t="s">
        <v>3093</v>
      </c>
      <c r="C1302" s="43">
        <v>2700</v>
      </c>
      <c r="D1302" s="39">
        <v>2025</v>
      </c>
      <c r="E1302" s="14">
        <v>0.25</v>
      </c>
    </row>
    <row r="1303" spans="1:5" x14ac:dyDescent="0.25">
      <c r="A1303" s="44" t="s">
        <v>3094</v>
      </c>
      <c r="B1303" s="38" t="s">
        <v>3095</v>
      </c>
      <c r="C1303" s="43">
        <v>4200</v>
      </c>
      <c r="D1303" s="39">
        <v>3150</v>
      </c>
      <c r="E1303" s="14">
        <v>0.25</v>
      </c>
    </row>
    <row r="1304" spans="1:5" x14ac:dyDescent="0.25">
      <c r="A1304" s="44" t="s">
        <v>3096</v>
      </c>
      <c r="B1304" s="38" t="s">
        <v>3097</v>
      </c>
      <c r="C1304" s="43">
        <v>1800</v>
      </c>
      <c r="D1304" s="39">
        <v>1350</v>
      </c>
      <c r="E1304" s="14">
        <v>0.25</v>
      </c>
    </row>
    <row r="1305" spans="1:5" x14ac:dyDescent="0.25">
      <c r="A1305" s="44" t="s">
        <v>3098</v>
      </c>
      <c r="B1305" s="38" t="s">
        <v>3099</v>
      </c>
      <c r="C1305" s="43">
        <v>2800</v>
      </c>
      <c r="D1305" s="39">
        <v>2100</v>
      </c>
      <c r="E1305" s="14">
        <v>0.25</v>
      </c>
    </row>
    <row r="1306" spans="1:5" x14ac:dyDescent="0.25">
      <c r="A1306" s="44" t="s">
        <v>3100</v>
      </c>
      <c r="B1306" s="38" t="s">
        <v>3101</v>
      </c>
      <c r="C1306" s="43">
        <v>2700</v>
      </c>
      <c r="D1306" s="39">
        <v>2025</v>
      </c>
      <c r="E1306" s="14">
        <v>0.25</v>
      </c>
    </row>
    <row r="1307" spans="1:5" x14ac:dyDescent="0.25">
      <c r="A1307" s="44" t="s">
        <v>3102</v>
      </c>
      <c r="B1307" s="38" t="s">
        <v>3103</v>
      </c>
      <c r="C1307" s="43">
        <v>4200</v>
      </c>
      <c r="D1307" s="39">
        <v>3150</v>
      </c>
      <c r="E1307" s="14">
        <v>0.25</v>
      </c>
    </row>
    <row r="1308" spans="1:5" x14ac:dyDescent="0.25">
      <c r="A1308" s="44" t="s">
        <v>3104</v>
      </c>
      <c r="B1308" s="38" t="s">
        <v>3105</v>
      </c>
      <c r="C1308" s="43">
        <v>1800</v>
      </c>
      <c r="D1308" s="39">
        <v>1350</v>
      </c>
      <c r="E1308" s="14">
        <v>0.25</v>
      </c>
    </row>
    <row r="1309" spans="1:5" x14ac:dyDescent="0.25">
      <c r="A1309" s="44" t="s">
        <v>3106</v>
      </c>
      <c r="B1309" s="38" t="s">
        <v>3107</v>
      </c>
      <c r="C1309" s="43">
        <v>2800</v>
      </c>
      <c r="D1309" s="39">
        <v>2100</v>
      </c>
      <c r="E1309" s="14">
        <v>0.25</v>
      </c>
    </row>
    <row r="1310" spans="1:5" x14ac:dyDescent="0.25">
      <c r="A1310" s="44" t="s">
        <v>3108</v>
      </c>
      <c r="B1310" s="38" t="s">
        <v>3109</v>
      </c>
      <c r="C1310" s="43">
        <v>5400</v>
      </c>
      <c r="D1310" s="39">
        <v>4050</v>
      </c>
      <c r="E1310" s="14">
        <v>0.25</v>
      </c>
    </row>
    <row r="1311" spans="1:5" x14ac:dyDescent="0.25">
      <c r="A1311" s="44" t="s">
        <v>3110</v>
      </c>
      <c r="B1311" s="38" t="s">
        <v>3111</v>
      </c>
      <c r="C1311" s="43">
        <v>8400</v>
      </c>
      <c r="D1311" s="39">
        <v>6300</v>
      </c>
      <c r="E1311" s="14">
        <v>0.25</v>
      </c>
    </row>
    <row r="1312" spans="1:5" x14ac:dyDescent="0.25">
      <c r="A1312" s="44" t="s">
        <v>3112</v>
      </c>
      <c r="B1312" s="38" t="s">
        <v>3113</v>
      </c>
      <c r="C1312" s="43">
        <v>3600</v>
      </c>
      <c r="D1312" s="39">
        <v>2700</v>
      </c>
      <c r="E1312" s="14">
        <v>0.25</v>
      </c>
    </row>
    <row r="1313" spans="1:5" x14ac:dyDescent="0.25">
      <c r="A1313" s="44" t="s">
        <v>3114</v>
      </c>
      <c r="B1313" s="38" t="s">
        <v>3115</v>
      </c>
      <c r="C1313" s="43">
        <v>5600</v>
      </c>
      <c r="D1313" s="39">
        <v>4200</v>
      </c>
      <c r="E1313" s="14">
        <v>0.25</v>
      </c>
    </row>
    <row r="1314" spans="1:5" x14ac:dyDescent="0.25">
      <c r="A1314" s="44" t="s">
        <v>3116</v>
      </c>
      <c r="B1314" s="38" t="s">
        <v>3117</v>
      </c>
      <c r="C1314" s="43">
        <v>10.08</v>
      </c>
      <c r="D1314" s="39">
        <v>7.5600000000000005</v>
      </c>
      <c r="E1314" s="14">
        <v>0.25</v>
      </c>
    </row>
    <row r="1315" spans="1:5" x14ac:dyDescent="0.25">
      <c r="A1315" s="44" t="s">
        <v>3118</v>
      </c>
      <c r="B1315" s="38" t="s">
        <v>3119</v>
      </c>
      <c r="C1315" s="43">
        <v>15.68</v>
      </c>
      <c r="D1315" s="39">
        <v>11.76</v>
      </c>
      <c r="E1315" s="14">
        <v>0.25</v>
      </c>
    </row>
    <row r="1316" spans="1:5" x14ac:dyDescent="0.25">
      <c r="A1316" s="44" t="s">
        <v>3120</v>
      </c>
      <c r="B1316" s="38" t="s">
        <v>3121</v>
      </c>
      <c r="C1316" s="43">
        <v>20.16</v>
      </c>
      <c r="D1316" s="39">
        <v>15.120000000000001</v>
      </c>
      <c r="E1316" s="14">
        <v>0.25</v>
      </c>
    </row>
    <row r="1317" spans="1:5" x14ac:dyDescent="0.25">
      <c r="A1317" s="44" t="s">
        <v>3122</v>
      </c>
      <c r="B1317" s="38" t="s">
        <v>3123</v>
      </c>
      <c r="C1317" s="43">
        <v>31.36</v>
      </c>
      <c r="D1317" s="39">
        <v>23.52</v>
      </c>
      <c r="E1317" s="14">
        <v>0.25</v>
      </c>
    </row>
    <row r="1318" spans="1:5" x14ac:dyDescent="0.25">
      <c r="A1318" s="44" t="s">
        <v>3124</v>
      </c>
      <c r="B1318" s="38" t="s">
        <v>3125</v>
      </c>
      <c r="C1318" s="43">
        <v>12.78</v>
      </c>
      <c r="D1318" s="39">
        <v>9.5849999999999991</v>
      </c>
      <c r="E1318" s="14">
        <v>0.25</v>
      </c>
    </row>
    <row r="1319" spans="1:5" x14ac:dyDescent="0.25">
      <c r="A1319" s="44" t="s">
        <v>3126</v>
      </c>
      <c r="B1319" s="38" t="s">
        <v>3127</v>
      </c>
      <c r="C1319" s="43">
        <v>19.88</v>
      </c>
      <c r="D1319" s="39">
        <v>14.91</v>
      </c>
      <c r="E1319" s="14">
        <v>0.25</v>
      </c>
    </row>
    <row r="1320" spans="1:5" x14ac:dyDescent="0.25">
      <c r="A1320" s="44" t="s">
        <v>3128</v>
      </c>
      <c r="B1320" s="38" t="s">
        <v>3129</v>
      </c>
      <c r="C1320" s="43">
        <v>7.38</v>
      </c>
      <c r="D1320" s="39">
        <v>5.5350000000000001</v>
      </c>
      <c r="E1320" s="14">
        <v>0.25</v>
      </c>
    </row>
    <row r="1321" spans="1:5" x14ac:dyDescent="0.25">
      <c r="A1321" s="44" t="s">
        <v>3130</v>
      </c>
      <c r="B1321" s="38" t="s">
        <v>3131</v>
      </c>
      <c r="C1321" s="43">
        <v>11.48</v>
      </c>
      <c r="D1321" s="39">
        <v>8.61</v>
      </c>
      <c r="E1321" s="14">
        <v>0.25000000000000011</v>
      </c>
    </row>
    <row r="1322" spans="1:5" x14ac:dyDescent="0.25">
      <c r="A1322" s="44" t="s">
        <v>3132</v>
      </c>
      <c r="B1322" s="38" t="s">
        <v>3133</v>
      </c>
      <c r="C1322" s="43">
        <v>9.5399999999999991</v>
      </c>
      <c r="D1322" s="39">
        <v>7.1549999999999994</v>
      </c>
      <c r="E1322" s="14">
        <v>0.25</v>
      </c>
    </row>
    <row r="1323" spans="1:5" x14ac:dyDescent="0.25">
      <c r="A1323" s="44" t="s">
        <v>3134</v>
      </c>
      <c r="B1323" s="38" t="s">
        <v>3135</v>
      </c>
      <c r="C1323" s="43">
        <v>14.84</v>
      </c>
      <c r="D1323" s="39">
        <v>11.129999999999999</v>
      </c>
      <c r="E1323" s="14">
        <v>0.25000000000000011</v>
      </c>
    </row>
    <row r="1324" spans="1:5" x14ac:dyDescent="0.25">
      <c r="A1324" s="44" t="s">
        <v>3136</v>
      </c>
      <c r="B1324" s="38" t="s">
        <v>3137</v>
      </c>
      <c r="C1324" s="43">
        <v>6.66</v>
      </c>
      <c r="D1324" s="39">
        <v>4.9950000000000001</v>
      </c>
      <c r="E1324" s="14">
        <v>0.25</v>
      </c>
    </row>
    <row r="1325" spans="1:5" x14ac:dyDescent="0.25">
      <c r="A1325" s="44" t="s">
        <v>3138</v>
      </c>
      <c r="B1325" s="38" t="s">
        <v>3139</v>
      </c>
      <c r="C1325" s="43">
        <v>10.36</v>
      </c>
      <c r="D1325" s="39">
        <v>7.77</v>
      </c>
      <c r="E1325" s="14">
        <v>0.25</v>
      </c>
    </row>
    <row r="1326" spans="1:5" x14ac:dyDescent="0.25">
      <c r="A1326" s="44" t="s">
        <v>3140</v>
      </c>
      <c r="B1326" s="38" t="s">
        <v>3141</v>
      </c>
      <c r="C1326" s="43">
        <v>11.16</v>
      </c>
      <c r="D1326" s="39">
        <v>8.370000000000001</v>
      </c>
      <c r="E1326" s="14">
        <v>0.24999999999999989</v>
      </c>
    </row>
    <row r="1327" spans="1:5" x14ac:dyDescent="0.25">
      <c r="A1327" s="44" t="s">
        <v>3142</v>
      </c>
      <c r="B1327" s="38" t="s">
        <v>3143</v>
      </c>
      <c r="C1327" s="43">
        <v>17.36</v>
      </c>
      <c r="D1327" s="39">
        <v>13.02</v>
      </c>
      <c r="E1327" s="14">
        <v>0.25</v>
      </c>
    </row>
    <row r="1328" spans="1:5" x14ac:dyDescent="0.25">
      <c r="A1328" s="44" t="s">
        <v>3144</v>
      </c>
      <c r="B1328" s="38" t="s">
        <v>3145</v>
      </c>
      <c r="C1328" s="43">
        <v>16.2</v>
      </c>
      <c r="D1328" s="39">
        <v>12.149999999999999</v>
      </c>
      <c r="E1328" s="14">
        <v>0.25</v>
      </c>
    </row>
    <row r="1329" spans="1:5" x14ac:dyDescent="0.25">
      <c r="A1329" s="44" t="s">
        <v>3146</v>
      </c>
      <c r="B1329" s="38" t="s">
        <v>3147</v>
      </c>
      <c r="C1329" s="43">
        <v>25.2</v>
      </c>
      <c r="D1329" s="39">
        <v>18.899999999999999</v>
      </c>
      <c r="E1329" s="14">
        <v>0.25</v>
      </c>
    </row>
    <row r="1330" spans="1:5" x14ac:dyDescent="0.25">
      <c r="A1330" s="44" t="s">
        <v>3148</v>
      </c>
      <c r="B1330" s="38" t="s">
        <v>3149</v>
      </c>
      <c r="C1330" s="43">
        <v>8.1</v>
      </c>
      <c r="D1330" s="39">
        <v>6.0749999999999993</v>
      </c>
      <c r="E1330" s="14">
        <v>0.25</v>
      </c>
    </row>
    <row r="1331" spans="1:5" x14ac:dyDescent="0.25">
      <c r="A1331" s="44" t="s">
        <v>3150</v>
      </c>
      <c r="B1331" s="38" t="s">
        <v>3151</v>
      </c>
      <c r="C1331" s="43">
        <v>12.6</v>
      </c>
      <c r="D1331" s="39">
        <v>9.4499999999999993</v>
      </c>
      <c r="E1331" s="14">
        <v>0.25</v>
      </c>
    </row>
    <row r="1332" spans="1:5" x14ac:dyDescent="0.25">
      <c r="A1332" s="44" t="s">
        <v>3152</v>
      </c>
      <c r="B1332" s="38" t="s">
        <v>3153</v>
      </c>
      <c r="C1332" s="43">
        <v>23.4</v>
      </c>
      <c r="D1332" s="39">
        <v>17.549999999999997</v>
      </c>
      <c r="E1332" s="14">
        <v>0.25000000000000011</v>
      </c>
    </row>
    <row r="1333" spans="1:5" x14ac:dyDescent="0.25">
      <c r="A1333" s="44" t="s">
        <v>3154</v>
      </c>
      <c r="B1333" s="38" t="s">
        <v>3155</v>
      </c>
      <c r="C1333" s="43">
        <v>36.4</v>
      </c>
      <c r="D1333" s="39">
        <v>27.299999999999997</v>
      </c>
      <c r="E1333" s="14">
        <v>0.25</v>
      </c>
    </row>
    <row r="1334" spans="1:5" x14ac:dyDescent="0.25">
      <c r="A1334" s="44" t="s">
        <v>3156</v>
      </c>
      <c r="B1334" s="38" t="s">
        <v>3157</v>
      </c>
      <c r="C1334" s="43">
        <v>60.3</v>
      </c>
      <c r="D1334" s="39">
        <v>45.224999999999994</v>
      </c>
      <c r="E1334" s="14">
        <v>0.25000000000000011</v>
      </c>
    </row>
    <row r="1335" spans="1:5" x14ac:dyDescent="0.25">
      <c r="A1335" s="44" t="s">
        <v>3158</v>
      </c>
      <c r="B1335" s="38" t="s">
        <v>3159</v>
      </c>
      <c r="C1335" s="43">
        <v>93.8</v>
      </c>
      <c r="D1335" s="39">
        <v>70.349999999999994</v>
      </c>
      <c r="E1335" s="14">
        <v>0.25</v>
      </c>
    </row>
    <row r="1336" spans="1:5" x14ac:dyDescent="0.25">
      <c r="A1336" s="44" t="s">
        <v>3160</v>
      </c>
      <c r="B1336" s="38" t="s">
        <v>3161</v>
      </c>
      <c r="C1336" s="43">
        <v>33.479999999999997</v>
      </c>
      <c r="D1336" s="39">
        <v>25.11</v>
      </c>
      <c r="E1336" s="14">
        <v>0.25</v>
      </c>
    </row>
    <row r="1337" spans="1:5" x14ac:dyDescent="0.25">
      <c r="A1337" s="44" t="s">
        <v>3162</v>
      </c>
      <c r="B1337" s="38" t="s">
        <v>3163</v>
      </c>
      <c r="C1337" s="43">
        <v>52.08</v>
      </c>
      <c r="D1337" s="39">
        <v>39.06</v>
      </c>
      <c r="E1337" s="14">
        <v>0.24999999999999989</v>
      </c>
    </row>
    <row r="1338" spans="1:5" x14ac:dyDescent="0.25">
      <c r="A1338" s="44" t="s">
        <v>3164</v>
      </c>
      <c r="B1338" s="38" t="s">
        <v>3165</v>
      </c>
      <c r="C1338" s="43">
        <v>13.68</v>
      </c>
      <c r="D1338" s="39">
        <v>10.26</v>
      </c>
      <c r="E1338" s="14">
        <v>0.25</v>
      </c>
    </row>
    <row r="1339" spans="1:5" x14ac:dyDescent="0.25">
      <c r="A1339" s="44" t="s">
        <v>3166</v>
      </c>
      <c r="B1339" s="38" t="s">
        <v>3167</v>
      </c>
      <c r="C1339" s="43">
        <v>21.28</v>
      </c>
      <c r="D1339" s="39">
        <v>15.96</v>
      </c>
      <c r="E1339" s="14">
        <v>0.25</v>
      </c>
    </row>
    <row r="1340" spans="1:5" x14ac:dyDescent="0.25">
      <c r="A1340" s="44" t="s">
        <v>3168</v>
      </c>
      <c r="B1340" s="38" t="s">
        <v>3169</v>
      </c>
      <c r="C1340" s="43">
        <v>21.96</v>
      </c>
      <c r="D1340" s="39">
        <v>16.47</v>
      </c>
      <c r="E1340" s="14">
        <v>0.25000000000000011</v>
      </c>
    </row>
    <row r="1341" spans="1:5" x14ac:dyDescent="0.25">
      <c r="A1341" s="44" t="s">
        <v>3170</v>
      </c>
      <c r="B1341" s="38" t="s">
        <v>3171</v>
      </c>
      <c r="C1341" s="43">
        <v>34.159999999999997</v>
      </c>
      <c r="D1341" s="39">
        <v>25.619999999999997</v>
      </c>
      <c r="E1341" s="14">
        <v>0.25</v>
      </c>
    </row>
    <row r="1342" spans="1:5" x14ac:dyDescent="0.25">
      <c r="A1342" s="44" t="s">
        <v>3172</v>
      </c>
      <c r="B1342" s="38" t="s">
        <v>3173</v>
      </c>
      <c r="C1342" s="43">
        <v>12.24</v>
      </c>
      <c r="D1342" s="39">
        <v>9.18</v>
      </c>
      <c r="E1342" s="14">
        <v>0.25</v>
      </c>
    </row>
    <row r="1343" spans="1:5" x14ac:dyDescent="0.25">
      <c r="A1343" s="44" t="s">
        <v>3174</v>
      </c>
      <c r="B1343" s="38" t="s">
        <v>3175</v>
      </c>
      <c r="C1343" s="43">
        <v>19.04</v>
      </c>
      <c r="D1343" s="39">
        <v>14.28</v>
      </c>
      <c r="E1343" s="14">
        <v>0.25</v>
      </c>
    </row>
    <row r="1344" spans="1:5" x14ac:dyDescent="0.25">
      <c r="A1344" s="44" t="s">
        <v>3176</v>
      </c>
      <c r="B1344" s="38" t="s">
        <v>3177</v>
      </c>
      <c r="C1344" s="43">
        <v>29.16</v>
      </c>
      <c r="D1344" s="39">
        <v>21.87</v>
      </c>
      <c r="E1344" s="14">
        <v>0.25</v>
      </c>
    </row>
    <row r="1345" spans="1:5" x14ac:dyDescent="0.25">
      <c r="A1345" s="44" t="s">
        <v>3178</v>
      </c>
      <c r="B1345" s="38" t="s">
        <v>3179</v>
      </c>
      <c r="C1345" s="43">
        <v>45.36</v>
      </c>
      <c r="D1345" s="39">
        <v>34.019999999999996</v>
      </c>
      <c r="E1345" s="14">
        <v>0.25000000000000011</v>
      </c>
    </row>
    <row r="1346" spans="1:5" x14ac:dyDescent="0.25">
      <c r="A1346" s="44" t="s">
        <v>3180</v>
      </c>
      <c r="B1346" s="38" t="s">
        <v>3181</v>
      </c>
      <c r="C1346" s="43">
        <v>48.24</v>
      </c>
      <c r="D1346" s="39">
        <v>36.18</v>
      </c>
      <c r="E1346" s="14">
        <v>0.25</v>
      </c>
    </row>
    <row r="1347" spans="1:5" x14ac:dyDescent="0.25">
      <c r="A1347" s="44" t="s">
        <v>3182</v>
      </c>
      <c r="B1347" s="38" t="s">
        <v>3183</v>
      </c>
      <c r="C1347" s="43">
        <v>75.040000000000006</v>
      </c>
      <c r="D1347" s="39">
        <v>56.28</v>
      </c>
      <c r="E1347" s="14">
        <v>0.25</v>
      </c>
    </row>
    <row r="1348" spans="1:5" x14ac:dyDescent="0.25">
      <c r="A1348" s="44" t="s">
        <v>3184</v>
      </c>
      <c r="B1348" s="38" t="s">
        <v>3185</v>
      </c>
      <c r="C1348" s="43">
        <v>14.76</v>
      </c>
      <c r="D1348" s="39">
        <v>11.07</v>
      </c>
      <c r="E1348" s="14">
        <v>0.25</v>
      </c>
    </row>
    <row r="1349" spans="1:5" x14ac:dyDescent="0.25">
      <c r="A1349" s="44" t="s">
        <v>3186</v>
      </c>
      <c r="B1349" s="38" t="s">
        <v>3187</v>
      </c>
      <c r="C1349" s="43">
        <v>22.96</v>
      </c>
      <c r="D1349" s="39">
        <v>17.22</v>
      </c>
      <c r="E1349" s="14">
        <v>0.25000000000000011</v>
      </c>
    </row>
    <row r="1350" spans="1:5" x14ac:dyDescent="0.25">
      <c r="A1350" s="44" t="s">
        <v>3188</v>
      </c>
      <c r="B1350" s="38" t="s">
        <v>3189</v>
      </c>
      <c r="C1350" s="43">
        <v>45</v>
      </c>
      <c r="D1350" s="39">
        <v>33.75</v>
      </c>
      <c r="E1350" s="14">
        <v>0.25</v>
      </c>
    </row>
    <row r="1351" spans="1:5" x14ac:dyDescent="0.25">
      <c r="A1351" s="44" t="s">
        <v>3190</v>
      </c>
      <c r="B1351" s="38" t="s">
        <v>3191</v>
      </c>
      <c r="C1351" s="43">
        <v>70</v>
      </c>
      <c r="D1351" s="39">
        <v>52.5</v>
      </c>
      <c r="E1351" s="14">
        <v>0.25</v>
      </c>
    </row>
    <row r="1352" spans="1:5" x14ac:dyDescent="0.25">
      <c r="A1352" s="44" t="s">
        <v>3192</v>
      </c>
      <c r="B1352" s="38" t="s">
        <v>3193</v>
      </c>
      <c r="C1352" s="43">
        <v>90</v>
      </c>
      <c r="D1352" s="39">
        <v>67.5</v>
      </c>
      <c r="E1352" s="14">
        <v>0.25</v>
      </c>
    </row>
    <row r="1353" spans="1:5" x14ac:dyDescent="0.25">
      <c r="A1353" s="44" t="s">
        <v>3194</v>
      </c>
      <c r="B1353" s="38" t="s">
        <v>3195</v>
      </c>
      <c r="C1353" s="43">
        <v>140</v>
      </c>
      <c r="D1353" s="39">
        <v>105</v>
      </c>
      <c r="E1353" s="14">
        <v>0.25</v>
      </c>
    </row>
    <row r="1354" spans="1:5" x14ac:dyDescent="0.25">
      <c r="A1354" s="44" t="s">
        <v>3196</v>
      </c>
      <c r="B1354" s="38" t="s">
        <v>3197</v>
      </c>
      <c r="C1354" s="43">
        <v>56.7</v>
      </c>
      <c r="D1354" s="39">
        <v>42.525000000000006</v>
      </c>
      <c r="E1354" s="14">
        <v>0.24999999999999989</v>
      </c>
    </row>
    <row r="1355" spans="1:5" x14ac:dyDescent="0.25">
      <c r="A1355" s="44" t="s">
        <v>3198</v>
      </c>
      <c r="B1355" s="38" t="s">
        <v>3199</v>
      </c>
      <c r="C1355" s="43">
        <v>88.2</v>
      </c>
      <c r="D1355" s="39">
        <v>66.150000000000006</v>
      </c>
      <c r="E1355" s="14">
        <v>0.25</v>
      </c>
    </row>
    <row r="1356" spans="1:5" x14ac:dyDescent="0.25">
      <c r="A1356" s="44" t="s">
        <v>3200</v>
      </c>
      <c r="B1356" s="38" t="s">
        <v>3201</v>
      </c>
      <c r="C1356" s="43">
        <v>33.299999999999997</v>
      </c>
      <c r="D1356" s="39">
        <v>24.974999999999998</v>
      </c>
      <c r="E1356" s="14">
        <v>0.25</v>
      </c>
    </row>
    <row r="1357" spans="1:5" x14ac:dyDescent="0.25">
      <c r="A1357" s="44" t="s">
        <v>3202</v>
      </c>
      <c r="B1357" s="38" t="s">
        <v>3203</v>
      </c>
      <c r="C1357" s="43">
        <v>51.8</v>
      </c>
      <c r="D1357" s="39">
        <v>38.849999999999994</v>
      </c>
      <c r="E1357" s="14">
        <v>0.25000000000000011</v>
      </c>
    </row>
    <row r="1358" spans="1:5" x14ac:dyDescent="0.25">
      <c r="A1358" s="44" t="s">
        <v>3204</v>
      </c>
      <c r="B1358" s="38" t="s">
        <v>3205</v>
      </c>
      <c r="C1358" s="43">
        <v>42.3</v>
      </c>
      <c r="D1358" s="39">
        <v>31.724999999999998</v>
      </c>
      <c r="E1358" s="14">
        <v>0.25</v>
      </c>
    </row>
    <row r="1359" spans="1:5" x14ac:dyDescent="0.25">
      <c r="A1359" s="44" t="s">
        <v>3206</v>
      </c>
      <c r="B1359" s="38" t="s">
        <v>3207</v>
      </c>
      <c r="C1359" s="43">
        <v>65.8</v>
      </c>
      <c r="D1359" s="39">
        <v>49.349999999999994</v>
      </c>
      <c r="E1359" s="14">
        <v>0.25</v>
      </c>
    </row>
    <row r="1360" spans="1:5" x14ac:dyDescent="0.25">
      <c r="A1360" s="44" t="s">
        <v>3208</v>
      </c>
      <c r="B1360" s="38" t="s">
        <v>3209</v>
      </c>
      <c r="C1360" s="43">
        <v>29.7</v>
      </c>
      <c r="D1360" s="39">
        <v>22.274999999999999</v>
      </c>
      <c r="E1360" s="14">
        <v>0.25</v>
      </c>
    </row>
    <row r="1361" spans="1:5" x14ac:dyDescent="0.25">
      <c r="A1361" s="44" t="s">
        <v>3210</v>
      </c>
      <c r="B1361" s="38" t="s">
        <v>3211</v>
      </c>
      <c r="C1361" s="43">
        <v>46.2</v>
      </c>
      <c r="D1361" s="39">
        <v>34.650000000000006</v>
      </c>
      <c r="E1361" s="14">
        <v>0.24999999999999989</v>
      </c>
    </row>
    <row r="1362" spans="1:5" x14ac:dyDescent="0.25">
      <c r="A1362" s="44" t="s">
        <v>3212</v>
      </c>
      <c r="B1362" s="38" t="s">
        <v>3213</v>
      </c>
      <c r="C1362" s="43">
        <v>49.5</v>
      </c>
      <c r="D1362" s="39">
        <v>37.125</v>
      </c>
      <c r="E1362" s="14">
        <v>0.25</v>
      </c>
    </row>
    <row r="1363" spans="1:5" x14ac:dyDescent="0.25">
      <c r="A1363" s="44" t="s">
        <v>3214</v>
      </c>
      <c r="B1363" s="38" t="s">
        <v>3215</v>
      </c>
      <c r="C1363" s="43">
        <v>77</v>
      </c>
      <c r="D1363" s="39">
        <v>57.75</v>
      </c>
      <c r="E1363" s="14">
        <v>0.25</v>
      </c>
    </row>
    <row r="1364" spans="1:5" x14ac:dyDescent="0.25">
      <c r="A1364" s="44" t="s">
        <v>3216</v>
      </c>
      <c r="B1364" s="38" t="s">
        <v>3217</v>
      </c>
      <c r="C1364" s="43">
        <v>72</v>
      </c>
      <c r="D1364" s="39">
        <v>54</v>
      </c>
      <c r="E1364" s="14">
        <v>0.25</v>
      </c>
    </row>
    <row r="1365" spans="1:5" x14ac:dyDescent="0.25">
      <c r="A1365" s="44" t="s">
        <v>3218</v>
      </c>
      <c r="B1365" s="38" t="s">
        <v>3219</v>
      </c>
      <c r="C1365" s="43">
        <v>112</v>
      </c>
      <c r="D1365" s="39">
        <v>84</v>
      </c>
      <c r="E1365" s="14">
        <v>0.25</v>
      </c>
    </row>
    <row r="1366" spans="1:5" x14ac:dyDescent="0.25">
      <c r="A1366" s="44" t="s">
        <v>3220</v>
      </c>
      <c r="B1366" s="38" t="s">
        <v>3221</v>
      </c>
      <c r="C1366" s="43">
        <v>36</v>
      </c>
      <c r="D1366" s="39">
        <v>27</v>
      </c>
      <c r="E1366" s="14">
        <v>0.25</v>
      </c>
    </row>
    <row r="1367" spans="1:5" x14ac:dyDescent="0.25">
      <c r="A1367" s="44" t="s">
        <v>3222</v>
      </c>
      <c r="B1367" s="38" t="s">
        <v>3223</v>
      </c>
      <c r="C1367" s="43">
        <v>56</v>
      </c>
      <c r="D1367" s="39">
        <v>42</v>
      </c>
      <c r="E1367" s="14">
        <v>0.25</v>
      </c>
    </row>
    <row r="1368" spans="1:5" x14ac:dyDescent="0.25">
      <c r="A1368" s="44" t="s">
        <v>3224</v>
      </c>
      <c r="B1368" s="38" t="s">
        <v>3225</v>
      </c>
      <c r="C1368" s="43">
        <v>21.6</v>
      </c>
      <c r="D1368" s="39">
        <v>16.200000000000003</v>
      </c>
      <c r="E1368" s="14">
        <v>0.24999999999999989</v>
      </c>
    </row>
    <row r="1369" spans="1:5" x14ac:dyDescent="0.25">
      <c r="A1369" s="44" t="s">
        <v>3226</v>
      </c>
      <c r="B1369" s="38" t="s">
        <v>3227</v>
      </c>
      <c r="C1369" s="43">
        <v>33.6</v>
      </c>
      <c r="D1369" s="39">
        <v>25.200000000000003</v>
      </c>
      <c r="E1369" s="14">
        <v>0.25</v>
      </c>
    </row>
    <row r="1370" spans="1:5" x14ac:dyDescent="0.25">
      <c r="A1370" s="44" t="s">
        <v>3228</v>
      </c>
      <c r="B1370" s="38" t="s">
        <v>3229</v>
      </c>
      <c r="C1370" s="43">
        <v>29.7</v>
      </c>
      <c r="D1370" s="39">
        <v>22.274999999999999</v>
      </c>
      <c r="E1370" s="14">
        <v>0.25</v>
      </c>
    </row>
    <row r="1371" spans="1:5" x14ac:dyDescent="0.25">
      <c r="A1371" s="44" t="s">
        <v>3230</v>
      </c>
      <c r="B1371" s="38" t="s">
        <v>3231</v>
      </c>
      <c r="C1371" s="43">
        <v>46.2</v>
      </c>
      <c r="D1371" s="39">
        <v>34.650000000000006</v>
      </c>
      <c r="E1371" s="14">
        <v>0.24999999999999989</v>
      </c>
    </row>
    <row r="1372" spans="1:5" x14ac:dyDescent="0.25">
      <c r="A1372" s="44" t="s">
        <v>3232</v>
      </c>
      <c r="B1372" s="38" t="s">
        <v>3233</v>
      </c>
      <c r="C1372" s="43">
        <v>23.22</v>
      </c>
      <c r="D1372" s="39">
        <v>17.414999999999999</v>
      </c>
      <c r="E1372" s="14">
        <v>0.25</v>
      </c>
    </row>
    <row r="1373" spans="1:5" x14ac:dyDescent="0.25">
      <c r="A1373" s="44" t="s">
        <v>3234</v>
      </c>
      <c r="B1373" s="38" t="s">
        <v>3235</v>
      </c>
      <c r="C1373" s="43">
        <v>36.119999999999997</v>
      </c>
      <c r="D1373" s="39">
        <v>27.089999999999996</v>
      </c>
      <c r="E1373" s="14">
        <v>0.25</v>
      </c>
    </row>
    <row r="1374" spans="1:5" x14ac:dyDescent="0.25">
      <c r="A1374" s="44" t="s">
        <v>3236</v>
      </c>
      <c r="B1374" s="38" t="s">
        <v>3237</v>
      </c>
      <c r="C1374" s="43">
        <v>19.62</v>
      </c>
      <c r="D1374" s="39">
        <v>14.715</v>
      </c>
      <c r="E1374" s="14">
        <v>0.25</v>
      </c>
    </row>
    <row r="1375" spans="1:5" x14ac:dyDescent="0.25">
      <c r="A1375" s="44" t="s">
        <v>3238</v>
      </c>
      <c r="B1375" s="38" t="s">
        <v>3239</v>
      </c>
      <c r="C1375" s="43">
        <v>30.52</v>
      </c>
      <c r="D1375" s="39">
        <v>22.89</v>
      </c>
      <c r="E1375" s="14">
        <v>0.25</v>
      </c>
    </row>
    <row r="1376" spans="1:5" x14ac:dyDescent="0.25">
      <c r="A1376" s="44" t="s">
        <v>3240</v>
      </c>
      <c r="B1376" s="38" t="s">
        <v>3241</v>
      </c>
      <c r="C1376" s="43">
        <v>20.34</v>
      </c>
      <c r="D1376" s="39">
        <v>15.254999999999999</v>
      </c>
      <c r="E1376" s="14">
        <v>0.25</v>
      </c>
    </row>
    <row r="1377" spans="1:5" x14ac:dyDescent="0.25">
      <c r="A1377" s="44" t="s">
        <v>3242</v>
      </c>
      <c r="B1377" s="38" t="s">
        <v>3243</v>
      </c>
      <c r="C1377" s="43">
        <v>31.64</v>
      </c>
      <c r="D1377" s="39">
        <v>23.73</v>
      </c>
      <c r="E1377" s="14">
        <v>0.25</v>
      </c>
    </row>
    <row r="1378" spans="1:5" x14ac:dyDescent="0.25">
      <c r="A1378" s="44" t="s">
        <v>3244</v>
      </c>
      <c r="B1378" s="38" t="s">
        <v>3245</v>
      </c>
      <c r="C1378" s="43">
        <v>17.46</v>
      </c>
      <c r="D1378" s="39">
        <v>13.095000000000001</v>
      </c>
      <c r="E1378" s="14">
        <v>0.25</v>
      </c>
    </row>
    <row r="1379" spans="1:5" x14ac:dyDescent="0.25">
      <c r="A1379" s="44" t="s">
        <v>3246</v>
      </c>
      <c r="B1379" s="38" t="s">
        <v>3247</v>
      </c>
      <c r="C1379" s="43">
        <v>27.16</v>
      </c>
      <c r="D1379" s="39">
        <v>20.37</v>
      </c>
      <c r="E1379" s="14">
        <v>0.25</v>
      </c>
    </row>
    <row r="1380" spans="1:5" x14ac:dyDescent="0.25">
      <c r="A1380" s="44" t="s">
        <v>3248</v>
      </c>
      <c r="B1380" s="38" t="s">
        <v>3249</v>
      </c>
      <c r="C1380" s="43">
        <v>20.34</v>
      </c>
      <c r="D1380" s="39">
        <v>15.254999999999999</v>
      </c>
      <c r="E1380" s="14">
        <v>0.25</v>
      </c>
    </row>
    <row r="1381" spans="1:5" x14ac:dyDescent="0.25">
      <c r="A1381" s="44" t="s">
        <v>3250</v>
      </c>
      <c r="B1381" s="38" t="s">
        <v>3251</v>
      </c>
      <c r="C1381" s="43">
        <v>31.64</v>
      </c>
      <c r="D1381" s="39">
        <v>23.73</v>
      </c>
      <c r="E1381" s="14">
        <v>0.25</v>
      </c>
    </row>
    <row r="1382" spans="1:5" x14ac:dyDescent="0.25">
      <c r="A1382" s="44" t="s">
        <v>3252</v>
      </c>
      <c r="B1382" s="38" t="s">
        <v>3253</v>
      </c>
      <c r="C1382" s="43">
        <v>23.76</v>
      </c>
      <c r="D1382" s="39">
        <v>17.82</v>
      </c>
      <c r="E1382" s="14">
        <v>0.25</v>
      </c>
    </row>
    <row r="1383" spans="1:5" x14ac:dyDescent="0.25">
      <c r="A1383" s="44" t="s">
        <v>3254</v>
      </c>
      <c r="B1383" s="38" t="s">
        <v>3255</v>
      </c>
      <c r="C1383" s="43">
        <v>36.96</v>
      </c>
      <c r="D1383" s="39">
        <v>27.72</v>
      </c>
      <c r="E1383" s="14">
        <v>0.25</v>
      </c>
    </row>
    <row r="1384" spans="1:5" x14ac:dyDescent="0.25">
      <c r="A1384" s="44" t="s">
        <v>3256</v>
      </c>
      <c r="B1384" s="38" t="s">
        <v>3257</v>
      </c>
      <c r="C1384" s="43">
        <v>21.24</v>
      </c>
      <c r="D1384" s="39">
        <v>15.93</v>
      </c>
      <c r="E1384" s="14">
        <v>0.25</v>
      </c>
    </row>
    <row r="1385" spans="1:5" x14ac:dyDescent="0.25">
      <c r="A1385" s="44" t="s">
        <v>3258</v>
      </c>
      <c r="B1385" s="38" t="s">
        <v>3259</v>
      </c>
      <c r="C1385" s="43">
        <v>33.04</v>
      </c>
      <c r="D1385" s="39">
        <v>24.78</v>
      </c>
      <c r="E1385" s="14">
        <v>0.25</v>
      </c>
    </row>
    <row r="1386" spans="1:5" x14ac:dyDescent="0.25">
      <c r="A1386" s="44" t="s">
        <v>3260</v>
      </c>
      <c r="B1386" s="38" t="s">
        <v>3261</v>
      </c>
      <c r="C1386" s="43">
        <v>9.36</v>
      </c>
      <c r="D1386" s="39">
        <v>7.02</v>
      </c>
      <c r="E1386" s="14">
        <v>0.25</v>
      </c>
    </row>
    <row r="1387" spans="1:5" x14ac:dyDescent="0.25">
      <c r="A1387" s="44" t="s">
        <v>3262</v>
      </c>
      <c r="B1387" s="38" t="s">
        <v>3263</v>
      </c>
      <c r="C1387" s="43">
        <v>14.56</v>
      </c>
      <c r="D1387" s="39">
        <v>10.92</v>
      </c>
      <c r="E1387" s="14">
        <v>0.25</v>
      </c>
    </row>
    <row r="1388" spans="1:5" x14ac:dyDescent="0.25">
      <c r="A1388" s="44" t="s">
        <v>3264</v>
      </c>
      <c r="B1388" s="38" t="s">
        <v>3265</v>
      </c>
      <c r="C1388" s="43">
        <v>18.54</v>
      </c>
      <c r="D1388" s="39">
        <v>13.904999999999999</v>
      </c>
      <c r="E1388" s="14">
        <v>0.25</v>
      </c>
    </row>
    <row r="1389" spans="1:5" x14ac:dyDescent="0.25">
      <c r="A1389" s="44" t="s">
        <v>3266</v>
      </c>
      <c r="B1389" s="38" t="s">
        <v>3267</v>
      </c>
      <c r="C1389" s="43">
        <v>28.84</v>
      </c>
      <c r="D1389" s="39">
        <v>21.63</v>
      </c>
      <c r="E1389" s="14">
        <v>0.25</v>
      </c>
    </row>
    <row r="1390" spans="1:5" x14ac:dyDescent="0.25">
      <c r="A1390" s="44" t="s">
        <v>3268</v>
      </c>
      <c r="B1390" s="38" t="s">
        <v>3269</v>
      </c>
      <c r="C1390" s="43">
        <v>11.7</v>
      </c>
      <c r="D1390" s="39">
        <v>8.7749999999999986</v>
      </c>
      <c r="E1390" s="14">
        <v>0.25000000000000011</v>
      </c>
    </row>
    <row r="1391" spans="1:5" x14ac:dyDescent="0.25">
      <c r="A1391" s="44" t="s">
        <v>3270</v>
      </c>
      <c r="B1391" s="38" t="s">
        <v>3271</v>
      </c>
      <c r="C1391" s="43">
        <v>18.2</v>
      </c>
      <c r="D1391" s="39">
        <v>13.649999999999999</v>
      </c>
      <c r="E1391" s="14">
        <v>0.25</v>
      </c>
    </row>
    <row r="1392" spans="1:5" x14ac:dyDescent="0.25">
      <c r="A1392" s="44" t="s">
        <v>3272</v>
      </c>
      <c r="B1392" s="38" t="s">
        <v>3273</v>
      </c>
      <c r="C1392" s="43">
        <v>6.84</v>
      </c>
      <c r="D1392" s="39">
        <v>5.13</v>
      </c>
      <c r="E1392" s="14">
        <v>0.25</v>
      </c>
    </row>
    <row r="1393" spans="1:5" x14ac:dyDescent="0.25">
      <c r="A1393" s="44" t="s">
        <v>3274</v>
      </c>
      <c r="B1393" s="38" t="s">
        <v>3275</v>
      </c>
      <c r="C1393" s="43">
        <v>10.64</v>
      </c>
      <c r="D1393" s="39">
        <v>7.98</v>
      </c>
      <c r="E1393" s="14">
        <v>0.25</v>
      </c>
    </row>
    <row r="1394" spans="1:5" x14ac:dyDescent="0.25">
      <c r="A1394" s="44" t="s">
        <v>3276</v>
      </c>
      <c r="B1394" s="38" t="s">
        <v>3277</v>
      </c>
      <c r="C1394" s="43">
        <v>8.64</v>
      </c>
      <c r="D1394" s="39">
        <v>6.48</v>
      </c>
      <c r="E1394" s="14">
        <v>0.25</v>
      </c>
    </row>
    <row r="1395" spans="1:5" x14ac:dyDescent="0.25">
      <c r="A1395" s="44" t="s">
        <v>3278</v>
      </c>
      <c r="B1395" s="38" t="s">
        <v>3279</v>
      </c>
      <c r="C1395" s="43">
        <v>13.44</v>
      </c>
      <c r="D1395" s="39">
        <v>10.08</v>
      </c>
      <c r="E1395" s="14">
        <v>0.25</v>
      </c>
    </row>
    <row r="1396" spans="1:5" x14ac:dyDescent="0.25">
      <c r="A1396" s="44" t="s">
        <v>3280</v>
      </c>
      <c r="B1396" s="38" t="s">
        <v>3281</v>
      </c>
      <c r="C1396" s="43">
        <v>6.12</v>
      </c>
      <c r="D1396" s="39">
        <v>4.59</v>
      </c>
      <c r="E1396" s="14">
        <v>0.25</v>
      </c>
    </row>
    <row r="1397" spans="1:5" x14ac:dyDescent="0.25">
      <c r="A1397" s="44" t="s">
        <v>3282</v>
      </c>
      <c r="B1397" s="38" t="s">
        <v>3283</v>
      </c>
      <c r="C1397" s="43">
        <v>9.52</v>
      </c>
      <c r="D1397" s="39">
        <v>7.14</v>
      </c>
      <c r="E1397" s="14">
        <v>0.25</v>
      </c>
    </row>
    <row r="1398" spans="1:5" x14ac:dyDescent="0.25">
      <c r="A1398" s="44" t="s">
        <v>3284</v>
      </c>
      <c r="B1398" s="38" t="s">
        <v>3285</v>
      </c>
      <c r="C1398" s="43">
        <v>10.26</v>
      </c>
      <c r="D1398" s="39">
        <v>7.6950000000000003</v>
      </c>
      <c r="E1398" s="14">
        <v>0.25</v>
      </c>
    </row>
    <row r="1399" spans="1:5" x14ac:dyDescent="0.25">
      <c r="A1399" s="44" t="s">
        <v>3286</v>
      </c>
      <c r="B1399" s="38" t="s">
        <v>3287</v>
      </c>
      <c r="C1399" s="43">
        <v>15.96</v>
      </c>
      <c r="D1399" s="39">
        <v>11.97</v>
      </c>
      <c r="E1399" s="14">
        <v>0.25</v>
      </c>
    </row>
    <row r="1400" spans="1:5" x14ac:dyDescent="0.25">
      <c r="A1400" s="44" t="s">
        <v>3288</v>
      </c>
      <c r="B1400" s="38" t="s">
        <v>3289</v>
      </c>
      <c r="C1400" s="43">
        <v>14.76</v>
      </c>
      <c r="D1400" s="39">
        <v>11.07</v>
      </c>
      <c r="E1400" s="14">
        <v>0.25</v>
      </c>
    </row>
    <row r="1401" spans="1:5" x14ac:dyDescent="0.25">
      <c r="A1401" s="44" t="s">
        <v>3290</v>
      </c>
      <c r="B1401" s="38" t="s">
        <v>3291</v>
      </c>
      <c r="C1401" s="43">
        <v>22.96</v>
      </c>
      <c r="D1401" s="39">
        <v>17.22</v>
      </c>
      <c r="E1401" s="14">
        <v>0.25000000000000011</v>
      </c>
    </row>
    <row r="1402" spans="1:5" x14ac:dyDescent="0.25">
      <c r="A1402" s="44" t="s">
        <v>3292</v>
      </c>
      <c r="B1402" s="38" t="s">
        <v>3293</v>
      </c>
      <c r="C1402" s="43">
        <v>7.38</v>
      </c>
      <c r="D1402" s="39">
        <v>5.5350000000000001</v>
      </c>
      <c r="E1402" s="14">
        <v>0.25</v>
      </c>
    </row>
    <row r="1403" spans="1:5" x14ac:dyDescent="0.25">
      <c r="A1403" s="44" t="s">
        <v>3294</v>
      </c>
      <c r="B1403" s="38" t="s">
        <v>3295</v>
      </c>
      <c r="C1403" s="43">
        <v>11.48</v>
      </c>
      <c r="D1403" s="39">
        <v>8.61</v>
      </c>
      <c r="E1403" s="14">
        <v>0.25000000000000011</v>
      </c>
    </row>
    <row r="1404" spans="1:5" x14ac:dyDescent="0.25">
      <c r="A1404" s="44" t="s">
        <v>3296</v>
      </c>
      <c r="B1404" s="38" t="s">
        <v>3297</v>
      </c>
      <c r="C1404" s="43">
        <v>10.8</v>
      </c>
      <c r="D1404" s="39">
        <v>8.1000000000000014</v>
      </c>
      <c r="E1404" s="14">
        <v>0.24999999999999989</v>
      </c>
    </row>
    <row r="1405" spans="1:5" x14ac:dyDescent="0.25">
      <c r="A1405" s="44" t="s">
        <v>3298</v>
      </c>
      <c r="B1405" s="38" t="s">
        <v>3299</v>
      </c>
      <c r="C1405" s="43">
        <v>16.8</v>
      </c>
      <c r="D1405" s="39">
        <v>12.600000000000001</v>
      </c>
      <c r="E1405" s="14">
        <v>0.25</v>
      </c>
    </row>
    <row r="1406" spans="1:5" x14ac:dyDescent="0.25">
      <c r="A1406" s="44" t="s">
        <v>3300</v>
      </c>
      <c r="B1406" s="38" t="s">
        <v>3301</v>
      </c>
      <c r="C1406" s="43">
        <v>27.72</v>
      </c>
      <c r="D1406" s="39">
        <v>20.79</v>
      </c>
      <c r="E1406" s="14">
        <v>0.25</v>
      </c>
    </row>
    <row r="1407" spans="1:5" x14ac:dyDescent="0.25">
      <c r="A1407" s="44" t="s">
        <v>3302</v>
      </c>
      <c r="B1407" s="38" t="s">
        <v>3303</v>
      </c>
      <c r="C1407" s="43">
        <v>43.12</v>
      </c>
      <c r="D1407" s="39">
        <v>32.339999999999996</v>
      </c>
      <c r="E1407" s="14">
        <v>0.25</v>
      </c>
    </row>
    <row r="1408" spans="1:5" x14ac:dyDescent="0.25">
      <c r="A1408" s="44" t="s">
        <v>3304</v>
      </c>
      <c r="B1408" s="38" t="s">
        <v>3305</v>
      </c>
      <c r="C1408" s="43">
        <v>15.48</v>
      </c>
      <c r="D1408" s="39">
        <v>11.61</v>
      </c>
      <c r="E1408" s="14">
        <v>0.25000000000000011</v>
      </c>
    </row>
    <row r="1409" spans="1:5" x14ac:dyDescent="0.25">
      <c r="A1409" s="44" t="s">
        <v>3306</v>
      </c>
      <c r="B1409" s="38" t="s">
        <v>3307</v>
      </c>
      <c r="C1409" s="43">
        <v>24.08</v>
      </c>
      <c r="D1409" s="39">
        <v>18.059999999999999</v>
      </c>
      <c r="E1409" s="14">
        <v>0.25</v>
      </c>
    </row>
    <row r="1410" spans="1:5" x14ac:dyDescent="0.25">
      <c r="A1410" s="44" t="s">
        <v>3308</v>
      </c>
      <c r="B1410" s="38" t="s">
        <v>3309</v>
      </c>
      <c r="C1410" s="43">
        <v>6.3</v>
      </c>
      <c r="D1410" s="39">
        <v>4.7249999999999996</v>
      </c>
      <c r="E1410" s="14">
        <v>0.25</v>
      </c>
    </row>
    <row r="1411" spans="1:5" x14ac:dyDescent="0.25">
      <c r="A1411" s="44" t="s">
        <v>3310</v>
      </c>
      <c r="B1411" s="38" t="s">
        <v>3311</v>
      </c>
      <c r="C1411" s="43">
        <v>9.8000000000000007</v>
      </c>
      <c r="D1411" s="39">
        <v>7.3500000000000005</v>
      </c>
      <c r="E1411" s="14">
        <v>0.25</v>
      </c>
    </row>
    <row r="1412" spans="1:5" x14ac:dyDescent="0.25">
      <c r="A1412" s="44" t="s">
        <v>3312</v>
      </c>
      <c r="B1412" s="38" t="s">
        <v>3313</v>
      </c>
      <c r="C1412" s="43">
        <v>10.08</v>
      </c>
      <c r="D1412" s="39">
        <v>7.5600000000000005</v>
      </c>
      <c r="E1412" s="14">
        <v>0.25</v>
      </c>
    </row>
    <row r="1413" spans="1:5" x14ac:dyDescent="0.25">
      <c r="A1413" s="44" t="s">
        <v>3314</v>
      </c>
      <c r="B1413" s="38" t="s">
        <v>3315</v>
      </c>
      <c r="C1413" s="43">
        <v>15.68</v>
      </c>
      <c r="D1413" s="39">
        <v>11.76</v>
      </c>
      <c r="E1413" s="14">
        <v>0.25</v>
      </c>
    </row>
    <row r="1414" spans="1:5" x14ac:dyDescent="0.25">
      <c r="A1414" s="44" t="s">
        <v>3316</v>
      </c>
      <c r="B1414" s="38" t="s">
        <v>3317</v>
      </c>
      <c r="C1414" s="43">
        <v>5.58</v>
      </c>
      <c r="D1414" s="39">
        <v>4.1850000000000005</v>
      </c>
      <c r="E1414" s="14">
        <v>0.24999999999999989</v>
      </c>
    </row>
    <row r="1415" spans="1:5" x14ac:dyDescent="0.25">
      <c r="A1415" s="44" t="s">
        <v>3318</v>
      </c>
      <c r="B1415" s="38" t="s">
        <v>3319</v>
      </c>
      <c r="C1415" s="43">
        <v>8.68</v>
      </c>
      <c r="D1415" s="39">
        <v>6.51</v>
      </c>
      <c r="E1415" s="14">
        <v>0.25</v>
      </c>
    </row>
    <row r="1416" spans="1:5" x14ac:dyDescent="0.25">
      <c r="A1416" s="44" t="s">
        <v>3320</v>
      </c>
      <c r="B1416" s="38" t="s">
        <v>3321</v>
      </c>
      <c r="C1416" s="43">
        <v>13.5</v>
      </c>
      <c r="D1416" s="39">
        <v>10.125</v>
      </c>
      <c r="E1416" s="14">
        <v>0.25</v>
      </c>
    </row>
    <row r="1417" spans="1:5" x14ac:dyDescent="0.25">
      <c r="A1417" s="44" t="s">
        <v>3322</v>
      </c>
      <c r="B1417" s="38" t="s">
        <v>3323</v>
      </c>
      <c r="C1417" s="43">
        <v>21</v>
      </c>
      <c r="D1417" s="39">
        <v>15.75</v>
      </c>
      <c r="E1417" s="14">
        <v>0.25</v>
      </c>
    </row>
    <row r="1418" spans="1:5" x14ac:dyDescent="0.25">
      <c r="A1418" s="44" t="s">
        <v>3324</v>
      </c>
      <c r="B1418" s="38" t="s">
        <v>3325</v>
      </c>
      <c r="C1418" s="43">
        <v>22.14</v>
      </c>
      <c r="D1418" s="39">
        <v>16.605</v>
      </c>
      <c r="E1418" s="14">
        <v>0.25</v>
      </c>
    </row>
    <row r="1419" spans="1:5" x14ac:dyDescent="0.25">
      <c r="A1419" s="44" t="s">
        <v>3326</v>
      </c>
      <c r="B1419" s="38" t="s">
        <v>3327</v>
      </c>
      <c r="C1419" s="43">
        <v>34.44</v>
      </c>
      <c r="D1419" s="39">
        <v>25.83</v>
      </c>
      <c r="E1419" s="14">
        <v>0.25</v>
      </c>
    </row>
    <row r="1420" spans="1:5" x14ac:dyDescent="0.25">
      <c r="A1420" s="44" t="s">
        <v>3328</v>
      </c>
      <c r="B1420" s="38" t="s">
        <v>3329</v>
      </c>
      <c r="C1420" s="43">
        <v>6.84</v>
      </c>
      <c r="D1420" s="39">
        <v>5.13</v>
      </c>
      <c r="E1420" s="14">
        <v>0.25</v>
      </c>
    </row>
    <row r="1421" spans="1:5" x14ac:dyDescent="0.25">
      <c r="A1421" s="44" t="s">
        <v>3330</v>
      </c>
      <c r="B1421" s="38" t="s">
        <v>3331</v>
      </c>
      <c r="C1421" s="43">
        <v>10.64</v>
      </c>
      <c r="D1421" s="39">
        <v>7.98</v>
      </c>
      <c r="E1421" s="14">
        <v>0.25</v>
      </c>
    </row>
    <row r="1422" spans="1:5" x14ac:dyDescent="0.25">
      <c r="A1422" s="44" t="s">
        <v>3332</v>
      </c>
      <c r="B1422" s="38" t="s">
        <v>3333</v>
      </c>
      <c r="C1422" s="43">
        <v>13.68</v>
      </c>
      <c r="D1422" s="39">
        <v>10.26</v>
      </c>
      <c r="E1422" s="14">
        <v>0.25</v>
      </c>
    </row>
    <row r="1423" spans="1:5" x14ac:dyDescent="0.25">
      <c r="A1423" s="44" t="s">
        <v>3334</v>
      </c>
      <c r="B1423" s="38" t="s">
        <v>3335</v>
      </c>
      <c r="C1423" s="43">
        <v>21.28</v>
      </c>
      <c r="D1423" s="39">
        <v>15.96</v>
      </c>
      <c r="E1423" s="14">
        <v>0.25</v>
      </c>
    </row>
    <row r="1424" spans="1:5" x14ac:dyDescent="0.25">
      <c r="A1424" s="44" t="s">
        <v>3336</v>
      </c>
      <c r="B1424" s="38" t="s">
        <v>3337</v>
      </c>
      <c r="C1424" s="43">
        <v>10.62</v>
      </c>
      <c r="D1424" s="39">
        <v>7.9649999999999999</v>
      </c>
      <c r="E1424" s="14">
        <v>0.25</v>
      </c>
    </row>
    <row r="1425" spans="1:5" x14ac:dyDescent="0.25">
      <c r="A1425" s="44" t="s">
        <v>3338</v>
      </c>
      <c r="B1425" s="38" t="s">
        <v>3339</v>
      </c>
      <c r="C1425" s="43">
        <v>16.52</v>
      </c>
      <c r="D1425" s="39">
        <v>12.39</v>
      </c>
      <c r="E1425" s="14">
        <v>0.25</v>
      </c>
    </row>
    <row r="1426" spans="1:5" x14ac:dyDescent="0.25">
      <c r="A1426" s="44" t="s">
        <v>3340</v>
      </c>
      <c r="B1426" s="38" t="s">
        <v>3341</v>
      </c>
      <c r="C1426" s="43">
        <v>9</v>
      </c>
      <c r="D1426" s="39">
        <v>6.75</v>
      </c>
      <c r="E1426" s="14">
        <v>0.25</v>
      </c>
    </row>
    <row r="1427" spans="1:5" x14ac:dyDescent="0.25">
      <c r="A1427" s="44" t="s">
        <v>3342</v>
      </c>
      <c r="B1427" s="38" t="s">
        <v>3343</v>
      </c>
      <c r="C1427" s="43">
        <v>14</v>
      </c>
      <c r="D1427" s="39">
        <v>10.5</v>
      </c>
      <c r="E1427" s="14">
        <v>0.25</v>
      </c>
    </row>
    <row r="1428" spans="1:5" x14ac:dyDescent="0.25">
      <c r="A1428" s="44" t="s">
        <v>3344</v>
      </c>
      <c r="B1428" s="38" t="s">
        <v>3345</v>
      </c>
      <c r="C1428" s="43">
        <v>9.36</v>
      </c>
      <c r="D1428" s="39">
        <v>7.02</v>
      </c>
      <c r="E1428" s="14">
        <v>0.25</v>
      </c>
    </row>
    <row r="1429" spans="1:5" x14ac:dyDescent="0.25">
      <c r="A1429" s="44" t="s">
        <v>3346</v>
      </c>
      <c r="B1429" s="38" t="s">
        <v>3347</v>
      </c>
      <c r="C1429" s="43">
        <v>14.56</v>
      </c>
      <c r="D1429" s="39">
        <v>10.92</v>
      </c>
      <c r="E1429" s="14">
        <v>0.25</v>
      </c>
    </row>
    <row r="1430" spans="1:5" x14ac:dyDescent="0.25">
      <c r="A1430" s="44" t="s">
        <v>3348</v>
      </c>
      <c r="B1430" s="38" t="s">
        <v>3349</v>
      </c>
      <c r="C1430" s="43">
        <v>8.1</v>
      </c>
      <c r="D1430" s="39">
        <v>6.0749999999999993</v>
      </c>
      <c r="E1430" s="14">
        <v>0.25</v>
      </c>
    </row>
    <row r="1431" spans="1:5" x14ac:dyDescent="0.25">
      <c r="A1431" s="44" t="s">
        <v>3350</v>
      </c>
      <c r="B1431" s="38" t="s">
        <v>3351</v>
      </c>
      <c r="C1431" s="43">
        <v>12.6</v>
      </c>
      <c r="D1431" s="39">
        <v>9.4499999999999993</v>
      </c>
      <c r="E1431" s="14">
        <v>0.25</v>
      </c>
    </row>
    <row r="1432" spans="1:5" x14ac:dyDescent="0.25">
      <c r="A1432" s="44" t="s">
        <v>3352</v>
      </c>
      <c r="B1432" s="38" t="s">
        <v>3353</v>
      </c>
      <c r="C1432" s="43">
        <v>9.36</v>
      </c>
      <c r="D1432" s="39">
        <v>7.02</v>
      </c>
      <c r="E1432" s="14">
        <v>0.25</v>
      </c>
    </row>
    <row r="1433" spans="1:5" x14ac:dyDescent="0.25">
      <c r="A1433" s="44" t="s">
        <v>3354</v>
      </c>
      <c r="B1433" s="38" t="s">
        <v>3355</v>
      </c>
      <c r="C1433" s="43">
        <v>14.56</v>
      </c>
      <c r="D1433" s="39">
        <v>10.92</v>
      </c>
      <c r="E1433" s="14">
        <v>0.25</v>
      </c>
    </row>
    <row r="1434" spans="1:5" x14ac:dyDescent="0.25">
      <c r="A1434" s="44" t="s">
        <v>3356</v>
      </c>
      <c r="B1434" s="38" t="s">
        <v>3357</v>
      </c>
      <c r="C1434" s="43">
        <v>10.98</v>
      </c>
      <c r="D1434" s="39">
        <v>8.2349999999999994</v>
      </c>
      <c r="E1434" s="14">
        <v>0.25000000000000011</v>
      </c>
    </row>
    <row r="1435" spans="1:5" x14ac:dyDescent="0.25">
      <c r="A1435" s="44" t="s">
        <v>3358</v>
      </c>
      <c r="B1435" s="38" t="s">
        <v>3359</v>
      </c>
      <c r="C1435" s="43">
        <v>17.079999999999998</v>
      </c>
      <c r="D1435" s="39">
        <v>12.809999999999999</v>
      </c>
      <c r="E1435" s="14">
        <v>0.25</v>
      </c>
    </row>
    <row r="1436" spans="1:5" x14ac:dyDescent="0.25">
      <c r="A1436" s="44" t="s">
        <v>3360</v>
      </c>
      <c r="B1436" s="38" t="s">
        <v>3361</v>
      </c>
      <c r="C1436" s="43">
        <v>9.7200000000000006</v>
      </c>
      <c r="D1436" s="39">
        <v>7.2900000000000009</v>
      </c>
      <c r="E1436" s="14">
        <v>0.25</v>
      </c>
    </row>
    <row r="1437" spans="1:5" x14ac:dyDescent="0.25">
      <c r="A1437" s="44" t="s">
        <v>3362</v>
      </c>
      <c r="B1437" s="38" t="s">
        <v>3363</v>
      </c>
      <c r="C1437" s="43">
        <v>15.12</v>
      </c>
      <c r="D1437" s="39">
        <v>11.34</v>
      </c>
      <c r="E1437" s="14">
        <v>0.25</v>
      </c>
    </row>
    <row r="1438" spans="1:5" x14ac:dyDescent="0.25">
      <c r="A1438" s="44" t="s">
        <v>3364</v>
      </c>
      <c r="B1438" s="38" t="s">
        <v>3365</v>
      </c>
      <c r="C1438" s="43">
        <v>9.9</v>
      </c>
      <c r="D1438" s="39">
        <v>7.4250000000000007</v>
      </c>
      <c r="E1438" s="14">
        <v>0.25</v>
      </c>
    </row>
    <row r="1439" spans="1:5" x14ac:dyDescent="0.25">
      <c r="A1439" s="44" t="s">
        <v>3366</v>
      </c>
      <c r="B1439" s="38" t="s">
        <v>3367</v>
      </c>
      <c r="C1439" s="43">
        <v>15.4</v>
      </c>
      <c r="D1439" s="39">
        <v>11.55</v>
      </c>
      <c r="E1439" s="14">
        <v>0.25</v>
      </c>
    </row>
    <row r="1440" spans="1:5" x14ac:dyDescent="0.25">
      <c r="A1440" s="44" t="s">
        <v>3368</v>
      </c>
      <c r="B1440" s="38" t="s">
        <v>3369</v>
      </c>
      <c r="C1440" s="43">
        <v>1350</v>
      </c>
      <c r="D1440" s="39">
        <v>1012.5</v>
      </c>
      <c r="E1440" s="14">
        <v>0.25</v>
      </c>
    </row>
    <row r="1441" spans="1:5" x14ac:dyDescent="0.25">
      <c r="A1441" s="44" t="s">
        <v>3370</v>
      </c>
      <c r="B1441" s="38" t="s">
        <v>3371</v>
      </c>
      <c r="C1441" s="43">
        <v>2100</v>
      </c>
      <c r="D1441" s="39">
        <v>1575</v>
      </c>
      <c r="E1441" s="14">
        <v>0.25</v>
      </c>
    </row>
    <row r="1442" spans="1:5" x14ac:dyDescent="0.25">
      <c r="A1442" s="44" t="s">
        <v>3372</v>
      </c>
      <c r="B1442" s="38" t="s">
        <v>3373</v>
      </c>
      <c r="C1442" s="43">
        <v>1152</v>
      </c>
      <c r="D1442" s="39">
        <v>864</v>
      </c>
      <c r="E1442" s="14">
        <v>0.25</v>
      </c>
    </row>
    <row r="1443" spans="1:5" x14ac:dyDescent="0.25">
      <c r="A1443" s="44" t="s">
        <v>3374</v>
      </c>
      <c r="B1443" s="38" t="s">
        <v>3375</v>
      </c>
      <c r="C1443" s="43">
        <v>1792</v>
      </c>
      <c r="D1443" s="39">
        <v>1344</v>
      </c>
      <c r="E1443" s="14">
        <v>0.25</v>
      </c>
    </row>
    <row r="1444" spans="1:5" x14ac:dyDescent="0.25">
      <c r="A1444" s="44" t="s">
        <v>3376</v>
      </c>
      <c r="B1444" s="38" t="s">
        <v>3377</v>
      </c>
      <c r="C1444" s="43">
        <v>1854</v>
      </c>
      <c r="D1444" s="39">
        <v>1390.5</v>
      </c>
      <c r="E1444" s="14">
        <v>0.25</v>
      </c>
    </row>
    <row r="1445" spans="1:5" x14ac:dyDescent="0.25">
      <c r="A1445" s="44" t="s">
        <v>3378</v>
      </c>
      <c r="B1445" s="38" t="s">
        <v>3379</v>
      </c>
      <c r="C1445" s="43">
        <v>2884</v>
      </c>
      <c r="D1445" s="39">
        <v>2163</v>
      </c>
      <c r="E1445" s="14">
        <v>0.25</v>
      </c>
    </row>
    <row r="1446" spans="1:5" x14ac:dyDescent="0.25">
      <c r="A1446" s="44" t="s">
        <v>3380</v>
      </c>
      <c r="B1446" s="38" t="s">
        <v>3381</v>
      </c>
      <c r="C1446" s="43">
        <v>1152</v>
      </c>
      <c r="D1446" s="39">
        <v>864</v>
      </c>
      <c r="E1446" s="14">
        <v>0.25</v>
      </c>
    </row>
    <row r="1447" spans="1:5" x14ac:dyDescent="0.25">
      <c r="A1447" s="44" t="s">
        <v>3382</v>
      </c>
      <c r="B1447" s="38" t="s">
        <v>3383</v>
      </c>
      <c r="C1447" s="43">
        <v>1792</v>
      </c>
      <c r="D1447" s="39">
        <v>1344</v>
      </c>
      <c r="E1447" s="14">
        <v>0.25</v>
      </c>
    </row>
    <row r="1448" spans="1:5" x14ac:dyDescent="0.25">
      <c r="A1448" s="44" t="s">
        <v>3384</v>
      </c>
      <c r="B1448" s="38" t="s">
        <v>3385</v>
      </c>
      <c r="C1448" s="43">
        <v>2754</v>
      </c>
      <c r="D1448" s="39">
        <v>2065.5</v>
      </c>
      <c r="E1448" s="14">
        <v>0.25</v>
      </c>
    </row>
    <row r="1449" spans="1:5" x14ac:dyDescent="0.25">
      <c r="A1449" s="44" t="s">
        <v>3386</v>
      </c>
      <c r="B1449" s="38" t="s">
        <v>3387</v>
      </c>
      <c r="C1449" s="43">
        <v>4284</v>
      </c>
      <c r="D1449" s="39">
        <v>3213</v>
      </c>
      <c r="E1449" s="14">
        <v>0.25</v>
      </c>
    </row>
    <row r="1450" spans="1:5" x14ac:dyDescent="0.25">
      <c r="A1450" s="44" t="s">
        <v>3388</v>
      </c>
      <c r="B1450" s="38" t="s">
        <v>3389</v>
      </c>
      <c r="C1450" s="43">
        <v>2052</v>
      </c>
      <c r="D1450" s="39">
        <v>1539</v>
      </c>
      <c r="E1450" s="14">
        <v>0.25</v>
      </c>
    </row>
    <row r="1451" spans="1:5" x14ac:dyDescent="0.25">
      <c r="A1451" s="44" t="s">
        <v>3390</v>
      </c>
      <c r="B1451" s="38" t="s">
        <v>3391</v>
      </c>
      <c r="C1451" s="43">
        <v>3192</v>
      </c>
      <c r="D1451" s="39">
        <v>2394</v>
      </c>
      <c r="E1451" s="14">
        <v>0.25</v>
      </c>
    </row>
    <row r="1452" spans="1:5" x14ac:dyDescent="0.25">
      <c r="A1452" s="44" t="s">
        <v>3392</v>
      </c>
      <c r="B1452" s="38" t="s">
        <v>3393</v>
      </c>
      <c r="C1452" s="43">
        <v>3618</v>
      </c>
      <c r="D1452" s="39">
        <v>2713.5</v>
      </c>
      <c r="E1452" s="14">
        <v>0.25</v>
      </c>
    </row>
    <row r="1453" spans="1:5" x14ac:dyDescent="0.25">
      <c r="A1453" s="44" t="s">
        <v>3394</v>
      </c>
      <c r="B1453" s="38" t="s">
        <v>3395</v>
      </c>
      <c r="C1453" s="43">
        <v>5628</v>
      </c>
      <c r="D1453" s="39">
        <v>4221</v>
      </c>
      <c r="E1453" s="14">
        <v>0.25</v>
      </c>
    </row>
    <row r="1454" spans="1:5" x14ac:dyDescent="0.25">
      <c r="A1454" s="44" t="s">
        <v>3396</v>
      </c>
      <c r="B1454" s="38" t="s">
        <v>3397</v>
      </c>
      <c r="C1454" s="43">
        <v>3582</v>
      </c>
      <c r="D1454" s="39">
        <v>2686.5</v>
      </c>
      <c r="E1454" s="14">
        <v>0.25</v>
      </c>
    </row>
    <row r="1455" spans="1:5" x14ac:dyDescent="0.25">
      <c r="A1455" s="44" t="s">
        <v>3398</v>
      </c>
      <c r="B1455" s="38" t="s">
        <v>3399</v>
      </c>
      <c r="C1455" s="43">
        <v>5572</v>
      </c>
      <c r="D1455" s="39">
        <v>4179</v>
      </c>
      <c r="E1455" s="14">
        <v>0.25</v>
      </c>
    </row>
    <row r="1456" spans="1:5" x14ac:dyDescent="0.25">
      <c r="A1456" s="44" t="s">
        <v>3400</v>
      </c>
      <c r="B1456" s="38" t="s">
        <v>3401</v>
      </c>
      <c r="C1456" s="43">
        <v>2898</v>
      </c>
      <c r="D1456" s="39">
        <v>2173.5</v>
      </c>
      <c r="E1456" s="14">
        <v>0.25</v>
      </c>
    </row>
    <row r="1457" spans="1:5" x14ac:dyDescent="0.25">
      <c r="A1457" s="44" t="s">
        <v>3402</v>
      </c>
      <c r="B1457" s="38" t="s">
        <v>3403</v>
      </c>
      <c r="C1457" s="43">
        <v>4508</v>
      </c>
      <c r="D1457" s="39">
        <v>3381</v>
      </c>
      <c r="E1457" s="14">
        <v>0.25</v>
      </c>
    </row>
    <row r="1458" spans="1:5" x14ac:dyDescent="0.25">
      <c r="A1458" s="44" t="s">
        <v>3404</v>
      </c>
      <c r="B1458" s="38" t="s">
        <v>3405</v>
      </c>
      <c r="C1458" s="43">
        <v>5.4</v>
      </c>
      <c r="D1458" s="39">
        <v>4.0500000000000007</v>
      </c>
      <c r="E1458" s="14">
        <v>0.24999999999999989</v>
      </c>
    </row>
    <row r="1459" spans="1:5" x14ac:dyDescent="0.25">
      <c r="A1459" s="44" t="s">
        <v>3406</v>
      </c>
      <c r="B1459" s="38" t="s">
        <v>3407</v>
      </c>
      <c r="C1459" s="43">
        <v>8.4</v>
      </c>
      <c r="D1459" s="39">
        <v>6.3000000000000007</v>
      </c>
      <c r="E1459" s="14">
        <v>0.25</v>
      </c>
    </row>
    <row r="1460" spans="1:5" x14ac:dyDescent="0.25">
      <c r="A1460" s="44" t="s">
        <v>3408</v>
      </c>
      <c r="B1460" s="38" t="s">
        <v>3409</v>
      </c>
      <c r="C1460" s="43">
        <v>1853.82</v>
      </c>
      <c r="D1460" s="39">
        <v>1390.365</v>
      </c>
      <c r="E1460" s="14">
        <v>0.25</v>
      </c>
    </row>
    <row r="1461" spans="1:5" x14ac:dyDescent="0.25">
      <c r="A1461" s="44" t="s">
        <v>3410</v>
      </c>
      <c r="B1461" s="38" t="s">
        <v>3411</v>
      </c>
      <c r="C1461" s="43">
        <v>2883.72</v>
      </c>
      <c r="D1461" s="39">
        <v>2162.79</v>
      </c>
      <c r="E1461" s="14">
        <v>0.25</v>
      </c>
    </row>
    <row r="1462" spans="1:5" x14ac:dyDescent="0.25">
      <c r="A1462" s="44" t="s">
        <v>3412</v>
      </c>
      <c r="B1462" s="38" t="s">
        <v>3413</v>
      </c>
      <c r="C1462" s="43">
        <v>3185.82</v>
      </c>
      <c r="D1462" s="39">
        <v>2389.3650000000002</v>
      </c>
      <c r="E1462" s="14">
        <v>0.25</v>
      </c>
    </row>
    <row r="1463" spans="1:5" x14ac:dyDescent="0.25">
      <c r="A1463" s="44" t="s">
        <v>3414</v>
      </c>
      <c r="B1463" s="38" t="s">
        <v>3415</v>
      </c>
      <c r="C1463" s="43">
        <v>4955.72</v>
      </c>
      <c r="D1463" s="39">
        <v>3716.79</v>
      </c>
      <c r="E1463" s="14">
        <v>0.25</v>
      </c>
    </row>
    <row r="1464" spans="1:5" x14ac:dyDescent="0.25">
      <c r="A1464" s="44" t="s">
        <v>3416</v>
      </c>
      <c r="B1464" s="38" t="s">
        <v>3417</v>
      </c>
      <c r="C1464" s="43">
        <v>1133.82</v>
      </c>
      <c r="D1464" s="39">
        <v>850.36500000000001</v>
      </c>
      <c r="E1464" s="14">
        <v>0.25</v>
      </c>
    </row>
    <row r="1465" spans="1:5" x14ac:dyDescent="0.25">
      <c r="A1465" s="44" t="s">
        <v>3418</v>
      </c>
      <c r="B1465" s="38" t="s">
        <v>3419</v>
      </c>
      <c r="C1465" s="43">
        <v>1763.72</v>
      </c>
      <c r="D1465" s="39">
        <v>1322.79</v>
      </c>
      <c r="E1465" s="14">
        <v>0.25</v>
      </c>
    </row>
    <row r="1466" spans="1:5" x14ac:dyDescent="0.25">
      <c r="A1466" s="44" t="s">
        <v>3420</v>
      </c>
      <c r="B1466" s="38" t="s">
        <v>3421</v>
      </c>
      <c r="C1466" s="43">
        <v>6.84</v>
      </c>
      <c r="D1466" s="39">
        <v>5.13</v>
      </c>
      <c r="E1466" s="14">
        <v>0.25</v>
      </c>
    </row>
    <row r="1467" spans="1:5" x14ac:dyDescent="0.25">
      <c r="A1467" s="44" t="s">
        <v>3422</v>
      </c>
      <c r="B1467" s="38" t="s">
        <v>3423</v>
      </c>
      <c r="C1467" s="43">
        <v>10.64</v>
      </c>
      <c r="D1467" s="39">
        <v>7.98</v>
      </c>
      <c r="E1467" s="14">
        <v>0.25</v>
      </c>
    </row>
    <row r="1468" spans="1:5" x14ac:dyDescent="0.25">
      <c r="A1468" s="44" t="s">
        <v>3424</v>
      </c>
      <c r="B1468" s="38" t="s">
        <v>3425</v>
      </c>
      <c r="C1468" s="43">
        <v>13.5</v>
      </c>
      <c r="D1468" s="39">
        <v>10.125</v>
      </c>
      <c r="E1468" s="14">
        <v>0.25</v>
      </c>
    </row>
    <row r="1469" spans="1:5" x14ac:dyDescent="0.25">
      <c r="A1469" s="44" t="s">
        <v>3426</v>
      </c>
      <c r="B1469" s="38" t="s">
        <v>3427</v>
      </c>
      <c r="C1469" s="43">
        <v>21</v>
      </c>
      <c r="D1469" s="39">
        <v>15.75</v>
      </c>
      <c r="E1469" s="14">
        <v>0.25</v>
      </c>
    </row>
    <row r="1470" spans="1:5" x14ac:dyDescent="0.25">
      <c r="A1470" s="44" t="s">
        <v>3428</v>
      </c>
      <c r="B1470" s="38" t="s">
        <v>3429</v>
      </c>
      <c r="C1470" s="43">
        <v>8.4600000000000009</v>
      </c>
      <c r="D1470" s="39">
        <v>6.3450000000000006</v>
      </c>
      <c r="E1470" s="14">
        <v>0.25</v>
      </c>
    </row>
    <row r="1471" spans="1:5" x14ac:dyDescent="0.25">
      <c r="A1471" s="44" t="s">
        <v>3430</v>
      </c>
      <c r="B1471" s="38" t="s">
        <v>3431</v>
      </c>
      <c r="C1471" s="43">
        <v>13.16</v>
      </c>
      <c r="D1471" s="39">
        <v>9.870000000000001</v>
      </c>
      <c r="E1471" s="14">
        <v>0.24999999999999989</v>
      </c>
    </row>
    <row r="1472" spans="1:5" x14ac:dyDescent="0.25">
      <c r="A1472" s="44" t="s">
        <v>3432</v>
      </c>
      <c r="B1472" s="38" t="s">
        <v>3433</v>
      </c>
      <c r="C1472" s="43">
        <v>5.04</v>
      </c>
      <c r="D1472" s="39">
        <v>3.7800000000000002</v>
      </c>
      <c r="E1472" s="14">
        <v>0.25</v>
      </c>
    </row>
    <row r="1473" spans="1:5" x14ac:dyDescent="0.25">
      <c r="A1473" s="44" t="s">
        <v>3434</v>
      </c>
      <c r="B1473" s="38" t="s">
        <v>3435</v>
      </c>
      <c r="C1473" s="43">
        <v>7.84</v>
      </c>
      <c r="D1473" s="39">
        <v>5.88</v>
      </c>
      <c r="E1473" s="14">
        <v>0.25</v>
      </c>
    </row>
    <row r="1474" spans="1:5" x14ac:dyDescent="0.25">
      <c r="A1474" s="44" t="s">
        <v>3436</v>
      </c>
      <c r="B1474" s="38" t="s">
        <v>3437</v>
      </c>
      <c r="C1474" s="43">
        <v>6.3</v>
      </c>
      <c r="D1474" s="39">
        <v>4.7249999999999996</v>
      </c>
      <c r="E1474" s="14">
        <v>0.25</v>
      </c>
    </row>
    <row r="1475" spans="1:5" x14ac:dyDescent="0.25">
      <c r="A1475" s="44" t="s">
        <v>3438</v>
      </c>
      <c r="B1475" s="38" t="s">
        <v>3439</v>
      </c>
      <c r="C1475" s="43">
        <v>9.8000000000000007</v>
      </c>
      <c r="D1475" s="39">
        <v>7.3500000000000005</v>
      </c>
      <c r="E1475" s="14">
        <v>0.25</v>
      </c>
    </row>
    <row r="1476" spans="1:5" x14ac:dyDescent="0.25">
      <c r="A1476" s="44" t="s">
        <v>3440</v>
      </c>
      <c r="B1476" s="38" t="s">
        <v>3441</v>
      </c>
      <c r="C1476" s="43">
        <v>4.5</v>
      </c>
      <c r="D1476" s="39">
        <v>3.375</v>
      </c>
      <c r="E1476" s="14">
        <v>0.25</v>
      </c>
    </row>
    <row r="1477" spans="1:5" x14ac:dyDescent="0.25">
      <c r="A1477" s="44" t="s">
        <v>3442</v>
      </c>
      <c r="B1477" s="38" t="s">
        <v>3443</v>
      </c>
      <c r="C1477" s="43">
        <v>7</v>
      </c>
      <c r="D1477" s="39">
        <v>5.25</v>
      </c>
      <c r="E1477" s="14">
        <v>0.25</v>
      </c>
    </row>
    <row r="1478" spans="1:5" x14ac:dyDescent="0.25">
      <c r="A1478" s="44" t="s">
        <v>3444</v>
      </c>
      <c r="B1478" s="38" t="s">
        <v>3445</v>
      </c>
      <c r="C1478" s="43">
        <v>7.38</v>
      </c>
      <c r="D1478" s="39">
        <v>5.5350000000000001</v>
      </c>
      <c r="E1478" s="14">
        <v>0.25</v>
      </c>
    </row>
    <row r="1479" spans="1:5" x14ac:dyDescent="0.25">
      <c r="A1479" s="44" t="s">
        <v>3446</v>
      </c>
      <c r="B1479" s="38" t="s">
        <v>3447</v>
      </c>
      <c r="C1479" s="43">
        <v>11.48</v>
      </c>
      <c r="D1479" s="39">
        <v>8.61</v>
      </c>
      <c r="E1479" s="14">
        <v>0.25000000000000011</v>
      </c>
    </row>
    <row r="1480" spans="1:5" x14ac:dyDescent="0.25">
      <c r="A1480" s="44" t="s">
        <v>3448</v>
      </c>
      <c r="B1480" s="38" t="s">
        <v>3449</v>
      </c>
      <c r="C1480" s="43">
        <v>10.8</v>
      </c>
      <c r="D1480" s="39">
        <v>8.1000000000000014</v>
      </c>
      <c r="E1480" s="14">
        <v>0.24999999999999989</v>
      </c>
    </row>
    <row r="1481" spans="1:5" x14ac:dyDescent="0.25">
      <c r="A1481" s="44" t="s">
        <v>3450</v>
      </c>
      <c r="B1481" s="38" t="s">
        <v>3451</v>
      </c>
      <c r="C1481" s="43">
        <v>16.8</v>
      </c>
      <c r="D1481" s="39">
        <v>12.600000000000001</v>
      </c>
      <c r="E1481" s="14">
        <v>0.25</v>
      </c>
    </row>
    <row r="1482" spans="1:5" x14ac:dyDescent="0.25">
      <c r="A1482" s="44" t="s">
        <v>3452</v>
      </c>
      <c r="B1482" s="38" t="s">
        <v>3453</v>
      </c>
      <c r="C1482" s="43">
        <v>5.4</v>
      </c>
      <c r="D1482" s="39">
        <v>4.0500000000000007</v>
      </c>
      <c r="E1482" s="14">
        <v>0.24999999999999989</v>
      </c>
    </row>
    <row r="1483" spans="1:5" x14ac:dyDescent="0.25">
      <c r="A1483" s="44" t="s">
        <v>3454</v>
      </c>
      <c r="B1483" s="38" t="s">
        <v>3455</v>
      </c>
      <c r="C1483" s="43">
        <v>8.4</v>
      </c>
      <c r="D1483" s="39">
        <v>6.3000000000000007</v>
      </c>
      <c r="E1483" s="14">
        <v>0.25</v>
      </c>
    </row>
    <row r="1484" spans="1:5" x14ac:dyDescent="0.25">
      <c r="A1484" s="44" t="s">
        <v>3456</v>
      </c>
      <c r="B1484" s="38" t="s">
        <v>3457</v>
      </c>
      <c r="C1484" s="43">
        <v>20.7</v>
      </c>
      <c r="D1484" s="39">
        <v>15.524999999999999</v>
      </c>
      <c r="E1484" s="14">
        <v>0.25</v>
      </c>
    </row>
    <row r="1485" spans="1:5" x14ac:dyDescent="0.25">
      <c r="A1485" s="44" t="s">
        <v>3458</v>
      </c>
      <c r="B1485" s="38" t="s">
        <v>3459</v>
      </c>
      <c r="C1485" s="43">
        <v>32.200000000000003</v>
      </c>
      <c r="D1485" s="39">
        <v>24.150000000000002</v>
      </c>
      <c r="E1485" s="14">
        <v>0.25</v>
      </c>
    </row>
    <row r="1486" spans="1:5" x14ac:dyDescent="0.25">
      <c r="A1486" s="44" t="s">
        <v>3460</v>
      </c>
      <c r="B1486" s="38" t="s">
        <v>3461</v>
      </c>
      <c r="C1486" s="43">
        <v>41.4</v>
      </c>
      <c r="D1486" s="39">
        <v>31.049999999999997</v>
      </c>
      <c r="E1486" s="14">
        <v>0.25</v>
      </c>
    </row>
    <row r="1487" spans="1:5" x14ac:dyDescent="0.25">
      <c r="A1487" s="44" t="s">
        <v>3462</v>
      </c>
      <c r="B1487" s="38" t="s">
        <v>3463</v>
      </c>
      <c r="C1487" s="43">
        <v>64.400000000000006</v>
      </c>
      <c r="D1487" s="39">
        <v>48.300000000000004</v>
      </c>
      <c r="E1487" s="14">
        <v>0.25</v>
      </c>
    </row>
    <row r="1488" spans="1:5" x14ac:dyDescent="0.25">
      <c r="A1488" s="44" t="s">
        <v>3464</v>
      </c>
      <c r="B1488" s="38" t="s">
        <v>3465</v>
      </c>
      <c r="C1488" s="43">
        <v>26.1</v>
      </c>
      <c r="D1488" s="39">
        <v>19.575000000000003</v>
      </c>
      <c r="E1488" s="14">
        <v>0.24999999999999989</v>
      </c>
    </row>
    <row r="1489" spans="1:5" x14ac:dyDescent="0.25">
      <c r="A1489" s="44" t="s">
        <v>3466</v>
      </c>
      <c r="B1489" s="38" t="s">
        <v>3467</v>
      </c>
      <c r="C1489" s="43">
        <v>40.6</v>
      </c>
      <c r="D1489" s="39">
        <v>30.450000000000003</v>
      </c>
      <c r="E1489" s="14">
        <v>0.25</v>
      </c>
    </row>
    <row r="1490" spans="1:5" x14ac:dyDescent="0.25">
      <c r="A1490" s="44" t="s">
        <v>3468</v>
      </c>
      <c r="B1490" s="38" t="s">
        <v>3469</v>
      </c>
      <c r="C1490" s="43">
        <v>15.3</v>
      </c>
      <c r="D1490" s="39">
        <v>11.475000000000001</v>
      </c>
      <c r="E1490" s="14">
        <v>0.24999999999999989</v>
      </c>
    </row>
    <row r="1491" spans="1:5" x14ac:dyDescent="0.25">
      <c r="A1491" s="44" t="s">
        <v>3470</v>
      </c>
      <c r="B1491" s="38" t="s">
        <v>3471</v>
      </c>
      <c r="C1491" s="43">
        <v>23.8</v>
      </c>
      <c r="D1491" s="39">
        <v>17.850000000000001</v>
      </c>
      <c r="E1491" s="14">
        <v>0.25</v>
      </c>
    </row>
    <row r="1492" spans="1:5" x14ac:dyDescent="0.25">
      <c r="A1492" s="44" t="s">
        <v>3472</v>
      </c>
      <c r="B1492" s="38" t="s">
        <v>3473</v>
      </c>
      <c r="C1492" s="43">
        <v>19.440000000000001</v>
      </c>
      <c r="D1492" s="39">
        <v>14.580000000000002</v>
      </c>
      <c r="E1492" s="14">
        <v>0.25</v>
      </c>
    </row>
    <row r="1493" spans="1:5" x14ac:dyDescent="0.25">
      <c r="A1493" s="44" t="s">
        <v>3474</v>
      </c>
      <c r="B1493" s="38" t="s">
        <v>3475</v>
      </c>
      <c r="C1493" s="43">
        <v>30.24</v>
      </c>
      <c r="D1493" s="39">
        <v>22.68</v>
      </c>
      <c r="E1493" s="14">
        <v>0.25</v>
      </c>
    </row>
    <row r="1494" spans="1:5" x14ac:dyDescent="0.25">
      <c r="A1494" s="44" t="s">
        <v>3476</v>
      </c>
      <c r="B1494" s="38" t="s">
        <v>3477</v>
      </c>
      <c r="C1494" s="43">
        <v>13.68</v>
      </c>
      <c r="D1494" s="39">
        <v>10.26</v>
      </c>
      <c r="E1494" s="14">
        <v>0.25</v>
      </c>
    </row>
    <row r="1495" spans="1:5" x14ac:dyDescent="0.25">
      <c r="A1495" s="44" t="s">
        <v>3478</v>
      </c>
      <c r="B1495" s="38" t="s">
        <v>3479</v>
      </c>
      <c r="C1495" s="43">
        <v>21.28</v>
      </c>
      <c r="D1495" s="39">
        <v>15.96</v>
      </c>
      <c r="E1495" s="14">
        <v>0.25</v>
      </c>
    </row>
    <row r="1496" spans="1:5" x14ac:dyDescent="0.25">
      <c r="A1496" s="44" t="s">
        <v>3480</v>
      </c>
      <c r="B1496" s="38" t="s">
        <v>3481</v>
      </c>
      <c r="C1496" s="43">
        <v>22.86</v>
      </c>
      <c r="D1496" s="39">
        <v>17.145</v>
      </c>
      <c r="E1496" s="14">
        <v>0.25</v>
      </c>
    </row>
    <row r="1497" spans="1:5" x14ac:dyDescent="0.25">
      <c r="A1497" s="44" t="s">
        <v>3482</v>
      </c>
      <c r="B1497" s="38" t="s">
        <v>3483</v>
      </c>
      <c r="C1497" s="43">
        <v>35.56</v>
      </c>
      <c r="D1497" s="39">
        <v>26.67</v>
      </c>
      <c r="E1497" s="14">
        <v>0.25</v>
      </c>
    </row>
    <row r="1498" spans="1:5" x14ac:dyDescent="0.25">
      <c r="A1498" s="44" t="s">
        <v>3484</v>
      </c>
      <c r="B1498" s="38" t="s">
        <v>3485</v>
      </c>
      <c r="C1498" s="43">
        <v>33.119999999999997</v>
      </c>
      <c r="D1498" s="39">
        <v>24.839999999999996</v>
      </c>
      <c r="E1498" s="14">
        <v>0.25</v>
      </c>
    </row>
    <row r="1499" spans="1:5" x14ac:dyDescent="0.25">
      <c r="A1499" s="44" t="s">
        <v>3486</v>
      </c>
      <c r="B1499" s="38" t="s">
        <v>3487</v>
      </c>
      <c r="C1499" s="43">
        <v>51.52</v>
      </c>
      <c r="D1499" s="39">
        <v>38.64</v>
      </c>
      <c r="E1499" s="14">
        <v>0.25</v>
      </c>
    </row>
    <row r="1500" spans="1:5" x14ac:dyDescent="0.25">
      <c r="A1500" s="44" t="s">
        <v>3488</v>
      </c>
      <c r="B1500" s="38" t="s">
        <v>3489</v>
      </c>
      <c r="C1500" s="43">
        <v>16.559999999999999</v>
      </c>
      <c r="D1500" s="39">
        <v>12.419999999999998</v>
      </c>
      <c r="E1500" s="14">
        <v>0.25</v>
      </c>
    </row>
    <row r="1501" spans="1:5" x14ac:dyDescent="0.25">
      <c r="A1501" s="44" t="s">
        <v>3490</v>
      </c>
      <c r="B1501" s="38" t="s">
        <v>3491</v>
      </c>
      <c r="C1501" s="43">
        <v>25.76</v>
      </c>
      <c r="D1501" s="39">
        <v>19.32</v>
      </c>
      <c r="E1501" s="14">
        <v>0.25</v>
      </c>
    </row>
    <row r="1502" spans="1:5" x14ac:dyDescent="0.25">
      <c r="A1502" s="44" t="s">
        <v>3492</v>
      </c>
      <c r="B1502" s="38" t="s">
        <v>3493</v>
      </c>
      <c r="C1502" s="43">
        <v>900</v>
      </c>
      <c r="D1502" s="39">
        <v>675</v>
      </c>
      <c r="E1502" s="14">
        <v>0.25</v>
      </c>
    </row>
    <row r="1503" spans="1:5" x14ac:dyDescent="0.25">
      <c r="A1503" s="44" t="s">
        <v>3494</v>
      </c>
      <c r="B1503" s="38" t="s">
        <v>3495</v>
      </c>
      <c r="C1503" s="43">
        <v>1400</v>
      </c>
      <c r="D1503" s="39">
        <v>1050</v>
      </c>
      <c r="E1503" s="14">
        <v>0.25</v>
      </c>
    </row>
    <row r="1504" spans="1:5" x14ac:dyDescent="0.25">
      <c r="A1504" s="44" t="s">
        <v>3496</v>
      </c>
      <c r="B1504" s="38" t="s">
        <v>3497</v>
      </c>
      <c r="C1504" s="43">
        <v>900</v>
      </c>
      <c r="D1504" s="39">
        <v>675</v>
      </c>
      <c r="E1504" s="14">
        <v>0.25</v>
      </c>
    </row>
    <row r="1505" spans="1:5" x14ac:dyDescent="0.25">
      <c r="A1505" s="44" t="s">
        <v>3498</v>
      </c>
      <c r="B1505" s="38" t="s">
        <v>3499</v>
      </c>
      <c r="C1505" s="43">
        <v>1400</v>
      </c>
      <c r="D1505" s="39">
        <v>1050</v>
      </c>
      <c r="E1505" s="14">
        <v>0.25</v>
      </c>
    </row>
    <row r="1506" spans="1:5" x14ac:dyDescent="0.25">
      <c r="A1506" s="44" t="s">
        <v>3500</v>
      </c>
      <c r="B1506" s="38" t="s">
        <v>3501</v>
      </c>
      <c r="C1506" s="43">
        <v>4500</v>
      </c>
      <c r="D1506" s="39">
        <v>3375</v>
      </c>
      <c r="E1506" s="14">
        <v>0.25</v>
      </c>
    </row>
    <row r="1507" spans="1:5" x14ac:dyDescent="0.25">
      <c r="A1507" s="44" t="s">
        <v>3502</v>
      </c>
      <c r="B1507" s="38" t="s">
        <v>3503</v>
      </c>
      <c r="C1507" s="43">
        <v>7000</v>
      </c>
      <c r="D1507" s="39">
        <v>5250</v>
      </c>
      <c r="E1507" s="14">
        <v>0.25</v>
      </c>
    </row>
    <row r="1508" spans="1:5" x14ac:dyDescent="0.25">
      <c r="A1508" s="44" t="s">
        <v>3504</v>
      </c>
      <c r="B1508" s="38" t="s">
        <v>3505</v>
      </c>
      <c r="C1508" s="43">
        <v>450</v>
      </c>
      <c r="D1508" s="39">
        <v>337.5</v>
      </c>
      <c r="E1508" s="14">
        <v>0.25</v>
      </c>
    </row>
    <row r="1509" spans="1:5" x14ac:dyDescent="0.25">
      <c r="A1509" s="44" t="s">
        <v>3506</v>
      </c>
      <c r="B1509" s="38" t="s">
        <v>3507</v>
      </c>
      <c r="C1509" s="43">
        <v>700</v>
      </c>
      <c r="D1509" s="39">
        <v>525</v>
      </c>
      <c r="E1509" s="14">
        <v>0.25</v>
      </c>
    </row>
    <row r="1510" spans="1:5" x14ac:dyDescent="0.25">
      <c r="A1510" s="44" t="s">
        <v>3508</v>
      </c>
      <c r="B1510" s="38" t="s">
        <v>3509</v>
      </c>
      <c r="C1510" s="43">
        <v>450</v>
      </c>
      <c r="D1510" s="39">
        <v>337.5</v>
      </c>
      <c r="E1510" s="14">
        <v>0.25</v>
      </c>
    </row>
    <row r="1511" spans="1:5" x14ac:dyDescent="0.25">
      <c r="A1511" s="44" t="s">
        <v>3510</v>
      </c>
      <c r="B1511" s="38" t="s">
        <v>3511</v>
      </c>
      <c r="C1511" s="43">
        <v>700</v>
      </c>
      <c r="D1511" s="39">
        <v>525</v>
      </c>
      <c r="E1511" s="14">
        <v>0.25</v>
      </c>
    </row>
    <row r="1512" spans="1:5" x14ac:dyDescent="0.25">
      <c r="A1512" s="44" t="s">
        <v>3512</v>
      </c>
      <c r="B1512" s="38" t="s">
        <v>3513</v>
      </c>
      <c r="C1512" s="43">
        <v>1800</v>
      </c>
      <c r="D1512" s="39">
        <v>1350</v>
      </c>
      <c r="E1512" s="14">
        <v>0.25</v>
      </c>
    </row>
    <row r="1513" spans="1:5" x14ac:dyDescent="0.25">
      <c r="A1513" s="44" t="s">
        <v>3514</v>
      </c>
      <c r="B1513" s="38" t="s">
        <v>3515</v>
      </c>
      <c r="C1513" s="43">
        <v>2800</v>
      </c>
      <c r="D1513" s="39">
        <v>2100</v>
      </c>
      <c r="E1513" s="14">
        <v>0.25</v>
      </c>
    </row>
    <row r="1514" spans="1:5" x14ac:dyDescent="0.25">
      <c r="A1514" s="44" t="s">
        <v>3516</v>
      </c>
      <c r="B1514" s="38" t="s">
        <v>3517</v>
      </c>
      <c r="C1514" s="43">
        <v>900</v>
      </c>
      <c r="D1514" s="39">
        <v>675</v>
      </c>
      <c r="E1514" s="14">
        <v>0.25</v>
      </c>
    </row>
    <row r="1515" spans="1:5" x14ac:dyDescent="0.25">
      <c r="A1515" s="44" t="s">
        <v>3518</v>
      </c>
      <c r="B1515" s="38" t="s">
        <v>3519</v>
      </c>
      <c r="C1515" s="43">
        <v>1400</v>
      </c>
      <c r="D1515" s="39">
        <v>1050</v>
      </c>
      <c r="E1515" s="14">
        <v>0.25</v>
      </c>
    </row>
    <row r="1516" spans="1:5" x14ac:dyDescent="0.25">
      <c r="A1516" s="44" t="s">
        <v>3520</v>
      </c>
      <c r="B1516" s="38" t="s">
        <v>3521</v>
      </c>
      <c r="C1516" s="43">
        <v>1800</v>
      </c>
      <c r="D1516" s="39">
        <v>1350</v>
      </c>
      <c r="E1516" s="14">
        <v>0.25</v>
      </c>
    </row>
    <row r="1517" spans="1:5" x14ac:dyDescent="0.25">
      <c r="A1517" s="44" t="s">
        <v>3522</v>
      </c>
      <c r="B1517" s="38" t="s">
        <v>3523</v>
      </c>
      <c r="C1517" s="43">
        <v>2800</v>
      </c>
      <c r="D1517" s="39">
        <v>2100</v>
      </c>
      <c r="E1517" s="14">
        <v>0.25</v>
      </c>
    </row>
    <row r="1518" spans="1:5" x14ac:dyDescent="0.25">
      <c r="A1518" s="44" t="s">
        <v>3524</v>
      </c>
      <c r="B1518" s="38" t="s">
        <v>3525</v>
      </c>
      <c r="C1518" s="43">
        <v>900</v>
      </c>
      <c r="D1518" s="39">
        <v>675</v>
      </c>
      <c r="E1518" s="14">
        <v>0.25</v>
      </c>
    </row>
    <row r="1519" spans="1:5" x14ac:dyDescent="0.25">
      <c r="A1519" s="44" t="s">
        <v>3526</v>
      </c>
      <c r="B1519" s="38" t="s">
        <v>3527</v>
      </c>
      <c r="C1519" s="43">
        <v>1400</v>
      </c>
      <c r="D1519" s="39">
        <v>1050</v>
      </c>
      <c r="E1519" s="14">
        <v>0.25</v>
      </c>
    </row>
    <row r="1520" spans="1:5" x14ac:dyDescent="0.25">
      <c r="A1520" s="44" t="s">
        <v>3528</v>
      </c>
      <c r="B1520" s="38" t="s">
        <v>3529</v>
      </c>
      <c r="C1520" s="43">
        <v>2700</v>
      </c>
      <c r="D1520" s="39">
        <v>2025</v>
      </c>
      <c r="E1520" s="14">
        <v>0.25</v>
      </c>
    </row>
    <row r="1521" spans="1:5" x14ac:dyDescent="0.25">
      <c r="A1521" s="44" t="s">
        <v>3530</v>
      </c>
      <c r="B1521" s="38" t="s">
        <v>3531</v>
      </c>
      <c r="C1521" s="43">
        <v>4200</v>
      </c>
      <c r="D1521" s="39">
        <v>3150</v>
      </c>
      <c r="E1521" s="14">
        <v>0.25</v>
      </c>
    </row>
    <row r="1522" spans="1:5" x14ac:dyDescent="0.25">
      <c r="A1522" s="44" t="s">
        <v>3532</v>
      </c>
      <c r="B1522" s="38" t="s">
        <v>3533</v>
      </c>
      <c r="C1522" s="43">
        <v>5400</v>
      </c>
      <c r="D1522" s="39">
        <v>4050</v>
      </c>
      <c r="E1522" s="14">
        <v>0.25</v>
      </c>
    </row>
    <row r="1523" spans="1:5" x14ac:dyDescent="0.25">
      <c r="A1523" s="44" t="s">
        <v>3534</v>
      </c>
      <c r="B1523" s="38" t="s">
        <v>3535</v>
      </c>
      <c r="C1523" s="43">
        <v>8400</v>
      </c>
      <c r="D1523" s="39">
        <v>6300</v>
      </c>
      <c r="E1523" s="14">
        <v>0.25</v>
      </c>
    </row>
    <row r="1524" spans="1:5" x14ac:dyDescent="0.25">
      <c r="A1524" s="44" t="s">
        <v>3536</v>
      </c>
      <c r="B1524" s="38" t="s">
        <v>3537</v>
      </c>
      <c r="C1524" s="43">
        <v>1800</v>
      </c>
      <c r="D1524" s="39">
        <v>1350</v>
      </c>
      <c r="E1524" s="14">
        <v>0.25</v>
      </c>
    </row>
    <row r="1525" spans="1:5" x14ac:dyDescent="0.25">
      <c r="A1525" s="44" t="s">
        <v>3538</v>
      </c>
      <c r="B1525" s="38" t="s">
        <v>3539</v>
      </c>
      <c r="C1525" s="43">
        <v>2800</v>
      </c>
      <c r="D1525" s="39">
        <v>2100</v>
      </c>
      <c r="E1525" s="14">
        <v>0.25</v>
      </c>
    </row>
    <row r="1526" spans="1:5" x14ac:dyDescent="0.25">
      <c r="A1526" s="44" t="s">
        <v>3540</v>
      </c>
      <c r="B1526" s="38" t="s">
        <v>3541</v>
      </c>
      <c r="C1526" s="43">
        <v>1800</v>
      </c>
      <c r="D1526" s="39">
        <v>1350</v>
      </c>
      <c r="E1526" s="14">
        <v>0.25</v>
      </c>
    </row>
    <row r="1527" spans="1:5" x14ac:dyDescent="0.25">
      <c r="A1527" s="44" t="s">
        <v>3542</v>
      </c>
      <c r="B1527" s="38" t="s">
        <v>3543</v>
      </c>
      <c r="C1527" s="43">
        <v>2800</v>
      </c>
      <c r="D1527" s="39">
        <v>2100</v>
      </c>
      <c r="E1527" s="14">
        <v>0.25</v>
      </c>
    </row>
    <row r="1528" spans="1:5" x14ac:dyDescent="0.25">
      <c r="A1528" s="44" t="s">
        <v>3544</v>
      </c>
      <c r="B1528" s="38" t="s">
        <v>3545</v>
      </c>
      <c r="C1528" s="43">
        <v>900</v>
      </c>
      <c r="D1528" s="39">
        <v>675</v>
      </c>
      <c r="E1528" s="14">
        <v>0.25</v>
      </c>
    </row>
    <row r="1529" spans="1:5" x14ac:dyDescent="0.25">
      <c r="A1529" s="44" t="s">
        <v>3546</v>
      </c>
      <c r="B1529" s="38" t="s">
        <v>3547</v>
      </c>
      <c r="C1529" s="43">
        <v>1400</v>
      </c>
      <c r="D1529" s="39">
        <v>1050</v>
      </c>
      <c r="E1529" s="14">
        <v>0.25</v>
      </c>
    </row>
    <row r="1530" spans="1:5" x14ac:dyDescent="0.25">
      <c r="A1530" s="44" t="s">
        <v>3548</v>
      </c>
      <c r="B1530" s="38" t="s">
        <v>3549</v>
      </c>
      <c r="C1530" s="43">
        <v>2700</v>
      </c>
      <c r="D1530" s="39">
        <v>2025</v>
      </c>
      <c r="E1530" s="14">
        <v>0.25</v>
      </c>
    </row>
    <row r="1531" spans="1:5" x14ac:dyDescent="0.25">
      <c r="A1531" s="44" t="s">
        <v>3550</v>
      </c>
      <c r="B1531" s="38" t="s">
        <v>3551</v>
      </c>
      <c r="C1531" s="43">
        <v>4200</v>
      </c>
      <c r="D1531" s="39">
        <v>3150</v>
      </c>
      <c r="E1531" s="14">
        <v>0.25</v>
      </c>
    </row>
    <row r="1532" spans="1:5" x14ac:dyDescent="0.25">
      <c r="A1532" s="44" t="s">
        <v>3552</v>
      </c>
      <c r="B1532" s="38" t="s">
        <v>3553</v>
      </c>
      <c r="C1532" s="43">
        <v>3600</v>
      </c>
      <c r="D1532" s="39">
        <v>2700</v>
      </c>
      <c r="E1532" s="14">
        <v>0.25</v>
      </c>
    </row>
    <row r="1533" spans="1:5" x14ac:dyDescent="0.25">
      <c r="A1533" s="44" t="s">
        <v>3554</v>
      </c>
      <c r="B1533" s="38" t="s">
        <v>3555</v>
      </c>
      <c r="C1533" s="43">
        <v>5600</v>
      </c>
      <c r="D1533" s="39">
        <v>4200</v>
      </c>
      <c r="E1533" s="14">
        <v>0.25</v>
      </c>
    </row>
    <row r="1534" spans="1:5" x14ac:dyDescent="0.25">
      <c r="A1534" s="44" t="s">
        <v>3556</v>
      </c>
      <c r="B1534" s="38" t="s">
        <v>3557</v>
      </c>
      <c r="C1534" s="43">
        <v>7200</v>
      </c>
      <c r="D1534" s="39">
        <v>5400</v>
      </c>
      <c r="E1534" s="14">
        <v>0.25</v>
      </c>
    </row>
    <row r="1535" spans="1:5" x14ac:dyDescent="0.25">
      <c r="A1535" s="44" t="s">
        <v>3558</v>
      </c>
      <c r="B1535" s="38" t="s">
        <v>3559</v>
      </c>
      <c r="C1535" s="43">
        <v>11200</v>
      </c>
      <c r="D1535" s="39">
        <v>8400</v>
      </c>
      <c r="E1535" s="14">
        <v>0.25</v>
      </c>
    </row>
    <row r="1536" spans="1:5" x14ac:dyDescent="0.25">
      <c r="A1536" s="44" t="s">
        <v>3560</v>
      </c>
      <c r="B1536" s="38" t="s">
        <v>3561</v>
      </c>
      <c r="C1536" s="43">
        <v>2700</v>
      </c>
      <c r="D1536" s="39">
        <v>2025</v>
      </c>
      <c r="E1536" s="14">
        <v>0.25</v>
      </c>
    </row>
    <row r="1537" spans="1:5" x14ac:dyDescent="0.25">
      <c r="A1537" s="44" t="s">
        <v>3562</v>
      </c>
      <c r="B1537" s="38" t="s">
        <v>3563</v>
      </c>
      <c r="C1537" s="43">
        <v>4200</v>
      </c>
      <c r="D1537" s="39">
        <v>3150</v>
      </c>
      <c r="E1537" s="14">
        <v>0.25</v>
      </c>
    </row>
    <row r="1538" spans="1:5" x14ac:dyDescent="0.25">
      <c r="A1538" s="44" t="s">
        <v>3564</v>
      </c>
      <c r="B1538" s="38" t="s">
        <v>3565</v>
      </c>
      <c r="C1538" s="43">
        <v>2700</v>
      </c>
      <c r="D1538" s="39">
        <v>2025</v>
      </c>
      <c r="E1538" s="14">
        <v>0.25</v>
      </c>
    </row>
    <row r="1539" spans="1:5" x14ac:dyDescent="0.25">
      <c r="A1539" s="44" t="s">
        <v>3566</v>
      </c>
      <c r="B1539" s="38" t="s">
        <v>3567</v>
      </c>
      <c r="C1539" s="43">
        <v>4200</v>
      </c>
      <c r="D1539" s="39">
        <v>3150</v>
      </c>
      <c r="E1539" s="14">
        <v>0.25</v>
      </c>
    </row>
    <row r="1540" spans="1:5" x14ac:dyDescent="0.25">
      <c r="A1540" s="44" t="s">
        <v>3568</v>
      </c>
      <c r="B1540" s="38" t="s">
        <v>3569</v>
      </c>
      <c r="C1540" s="43">
        <v>9000</v>
      </c>
      <c r="D1540" s="39">
        <v>6750</v>
      </c>
      <c r="E1540" s="14">
        <v>0.25</v>
      </c>
    </row>
    <row r="1541" spans="1:5" x14ac:dyDescent="0.25">
      <c r="A1541" s="44" t="s">
        <v>3570</v>
      </c>
      <c r="B1541" s="38" t="s">
        <v>3571</v>
      </c>
      <c r="C1541" s="43">
        <v>14000</v>
      </c>
      <c r="D1541" s="39">
        <v>10500</v>
      </c>
      <c r="E1541" s="14">
        <v>0.25</v>
      </c>
    </row>
    <row r="1542" spans="1:5" x14ac:dyDescent="0.25">
      <c r="A1542" s="44" t="s">
        <v>3572</v>
      </c>
      <c r="B1542" s="38" t="s">
        <v>3573</v>
      </c>
      <c r="C1542" s="43">
        <v>900</v>
      </c>
      <c r="D1542" s="39">
        <v>675</v>
      </c>
      <c r="E1542" s="14">
        <v>0.25</v>
      </c>
    </row>
    <row r="1543" spans="1:5" x14ac:dyDescent="0.25">
      <c r="A1543" s="44" t="s">
        <v>3574</v>
      </c>
      <c r="B1543" s="38" t="s">
        <v>3575</v>
      </c>
      <c r="C1543" s="43">
        <v>1400</v>
      </c>
      <c r="D1543" s="39">
        <v>1050</v>
      </c>
      <c r="E1543" s="14">
        <v>0.25</v>
      </c>
    </row>
    <row r="1544" spans="1:5" x14ac:dyDescent="0.25">
      <c r="A1544" s="44" t="s">
        <v>3576</v>
      </c>
      <c r="B1544" s="38" t="s">
        <v>3577</v>
      </c>
      <c r="C1544" s="43">
        <v>900</v>
      </c>
      <c r="D1544" s="39">
        <v>675</v>
      </c>
      <c r="E1544" s="14">
        <v>0.25</v>
      </c>
    </row>
    <row r="1545" spans="1:5" x14ac:dyDescent="0.25">
      <c r="A1545" s="44" t="s">
        <v>3578</v>
      </c>
      <c r="B1545" s="38" t="s">
        <v>3579</v>
      </c>
      <c r="C1545" s="43">
        <v>1400</v>
      </c>
      <c r="D1545" s="39">
        <v>1050</v>
      </c>
      <c r="E1545" s="14">
        <v>0.25</v>
      </c>
    </row>
    <row r="1546" spans="1:5" x14ac:dyDescent="0.25">
      <c r="A1546" s="44" t="s">
        <v>3580</v>
      </c>
      <c r="B1546" s="38" t="s">
        <v>3581</v>
      </c>
      <c r="C1546" s="43">
        <v>2700</v>
      </c>
      <c r="D1546" s="39">
        <v>2025</v>
      </c>
      <c r="E1546" s="14">
        <v>0.25</v>
      </c>
    </row>
    <row r="1547" spans="1:5" x14ac:dyDescent="0.25">
      <c r="A1547" s="44" t="s">
        <v>3582</v>
      </c>
      <c r="B1547" s="38" t="s">
        <v>3583</v>
      </c>
      <c r="C1547" s="43">
        <v>4200</v>
      </c>
      <c r="D1547" s="39">
        <v>3150</v>
      </c>
      <c r="E1547" s="14">
        <v>0.25</v>
      </c>
    </row>
    <row r="1548" spans="1:5" x14ac:dyDescent="0.25">
      <c r="A1548" s="44" t="s">
        <v>3584</v>
      </c>
      <c r="B1548" s="38" t="s">
        <v>3585</v>
      </c>
      <c r="C1548" s="43">
        <v>900</v>
      </c>
      <c r="D1548" s="39">
        <v>675</v>
      </c>
      <c r="E1548" s="14">
        <v>0.25</v>
      </c>
    </row>
    <row r="1549" spans="1:5" x14ac:dyDescent="0.25">
      <c r="A1549" s="44" t="s">
        <v>3586</v>
      </c>
      <c r="B1549" s="38" t="s">
        <v>3587</v>
      </c>
      <c r="C1549" s="43">
        <v>1400</v>
      </c>
      <c r="D1549" s="39">
        <v>1050</v>
      </c>
      <c r="E1549" s="14">
        <v>0.25</v>
      </c>
    </row>
    <row r="1550" spans="1:5" x14ac:dyDescent="0.25">
      <c r="A1550" s="44" t="s">
        <v>3588</v>
      </c>
      <c r="B1550" s="38" t="s">
        <v>3589</v>
      </c>
      <c r="C1550" s="43">
        <v>2700</v>
      </c>
      <c r="D1550" s="39">
        <v>2025</v>
      </c>
      <c r="E1550" s="14">
        <v>0.25</v>
      </c>
    </row>
    <row r="1551" spans="1:5" x14ac:dyDescent="0.25">
      <c r="A1551" s="44" t="s">
        <v>3590</v>
      </c>
      <c r="B1551" s="38" t="s">
        <v>3591</v>
      </c>
      <c r="C1551" s="43">
        <v>4200</v>
      </c>
      <c r="D1551" s="39">
        <v>3150</v>
      </c>
      <c r="E1551" s="14">
        <v>0.25</v>
      </c>
    </row>
    <row r="1552" spans="1:5" x14ac:dyDescent="0.25">
      <c r="A1552" s="44" t="s">
        <v>3592</v>
      </c>
      <c r="B1552" s="38" t="s">
        <v>3593</v>
      </c>
      <c r="C1552" s="43">
        <v>3600</v>
      </c>
      <c r="D1552" s="39">
        <v>2700</v>
      </c>
      <c r="E1552" s="14">
        <v>0.25</v>
      </c>
    </row>
    <row r="1553" spans="1:5" x14ac:dyDescent="0.25">
      <c r="A1553" s="44" t="s">
        <v>3594</v>
      </c>
      <c r="B1553" s="38" t="s">
        <v>3595</v>
      </c>
      <c r="C1553" s="43">
        <v>5600</v>
      </c>
      <c r="D1553" s="39">
        <v>4200</v>
      </c>
      <c r="E1553" s="14">
        <v>0.25</v>
      </c>
    </row>
    <row r="1554" spans="1:5" x14ac:dyDescent="0.25">
      <c r="A1554" s="44" t="s">
        <v>3596</v>
      </c>
      <c r="B1554" s="38" t="s">
        <v>3597</v>
      </c>
      <c r="C1554" s="43">
        <v>1800</v>
      </c>
      <c r="D1554" s="39">
        <v>1350</v>
      </c>
      <c r="E1554" s="14">
        <v>0.25</v>
      </c>
    </row>
    <row r="1555" spans="1:5" x14ac:dyDescent="0.25">
      <c r="A1555" s="44" t="s">
        <v>3598</v>
      </c>
      <c r="B1555" s="38" t="s">
        <v>3599</v>
      </c>
      <c r="C1555" s="43">
        <v>2800</v>
      </c>
      <c r="D1555" s="39">
        <v>2100</v>
      </c>
      <c r="E1555" s="14">
        <v>0.25</v>
      </c>
    </row>
    <row r="1556" spans="1:5" x14ac:dyDescent="0.25">
      <c r="A1556" s="44" t="s">
        <v>3600</v>
      </c>
      <c r="B1556" s="38" t="s">
        <v>3601</v>
      </c>
      <c r="C1556" s="43">
        <v>1800</v>
      </c>
      <c r="D1556" s="39">
        <v>1350</v>
      </c>
      <c r="E1556" s="14">
        <v>0.25</v>
      </c>
    </row>
    <row r="1557" spans="1:5" x14ac:dyDescent="0.25">
      <c r="A1557" s="44" t="s">
        <v>3602</v>
      </c>
      <c r="B1557" s="38" t="s">
        <v>3603</v>
      </c>
      <c r="C1557" s="43">
        <v>2800</v>
      </c>
      <c r="D1557" s="39">
        <v>2100</v>
      </c>
      <c r="E1557" s="14">
        <v>0.25</v>
      </c>
    </row>
    <row r="1558" spans="1:5" x14ac:dyDescent="0.25">
      <c r="A1558" s="44" t="s">
        <v>3604</v>
      </c>
      <c r="B1558" s="38" t="s">
        <v>3605</v>
      </c>
      <c r="C1558" s="43">
        <v>2700</v>
      </c>
      <c r="D1558" s="39">
        <v>2025</v>
      </c>
      <c r="E1558" s="14">
        <v>0.25</v>
      </c>
    </row>
    <row r="1559" spans="1:5" x14ac:dyDescent="0.25">
      <c r="A1559" s="44" t="s">
        <v>3606</v>
      </c>
      <c r="B1559" s="38" t="s">
        <v>3607</v>
      </c>
      <c r="C1559" s="43">
        <v>4200</v>
      </c>
      <c r="D1559" s="39">
        <v>3150</v>
      </c>
      <c r="E1559" s="14">
        <v>0.25</v>
      </c>
    </row>
    <row r="1560" spans="1:5" x14ac:dyDescent="0.25">
      <c r="A1560" s="44" t="s">
        <v>3608</v>
      </c>
      <c r="B1560" s="38" t="s">
        <v>3609</v>
      </c>
      <c r="C1560" s="43">
        <v>900</v>
      </c>
      <c r="D1560" s="39">
        <v>675</v>
      </c>
      <c r="E1560" s="14">
        <v>0.25</v>
      </c>
    </row>
    <row r="1561" spans="1:5" x14ac:dyDescent="0.25">
      <c r="A1561" s="44" t="s">
        <v>3610</v>
      </c>
      <c r="B1561" s="38" t="s">
        <v>3611</v>
      </c>
      <c r="C1561" s="43">
        <v>1400</v>
      </c>
      <c r="D1561" s="39">
        <v>1050</v>
      </c>
      <c r="E1561" s="14">
        <v>0.25</v>
      </c>
    </row>
    <row r="1562" spans="1:5" x14ac:dyDescent="0.25">
      <c r="A1562" s="44" t="s">
        <v>3612</v>
      </c>
      <c r="B1562" s="38" t="s">
        <v>3613</v>
      </c>
      <c r="C1562" s="43">
        <v>1800</v>
      </c>
      <c r="D1562" s="39">
        <v>1350</v>
      </c>
      <c r="E1562" s="14">
        <v>0.25</v>
      </c>
    </row>
    <row r="1563" spans="1:5" x14ac:dyDescent="0.25">
      <c r="A1563" s="44" t="s">
        <v>3614</v>
      </c>
      <c r="B1563" s="38" t="s">
        <v>3615</v>
      </c>
      <c r="C1563" s="43">
        <v>2800</v>
      </c>
      <c r="D1563" s="39">
        <v>2100</v>
      </c>
      <c r="E1563" s="14">
        <v>0.25</v>
      </c>
    </row>
    <row r="1564" spans="1:5" x14ac:dyDescent="0.25">
      <c r="A1564" s="44" t="s">
        <v>3616</v>
      </c>
      <c r="B1564" s="38" t="s">
        <v>3617</v>
      </c>
      <c r="C1564" s="43">
        <v>7200</v>
      </c>
      <c r="D1564" s="39">
        <v>5400</v>
      </c>
      <c r="E1564" s="14">
        <v>0.25</v>
      </c>
    </row>
    <row r="1565" spans="1:5" x14ac:dyDescent="0.25">
      <c r="A1565" s="44" t="s">
        <v>3618</v>
      </c>
      <c r="B1565" s="38" t="s">
        <v>3619</v>
      </c>
      <c r="C1565" s="43">
        <v>11200</v>
      </c>
      <c r="D1565" s="39">
        <v>8400</v>
      </c>
      <c r="E1565" s="14">
        <v>0.25</v>
      </c>
    </row>
    <row r="1566" spans="1:5" x14ac:dyDescent="0.25">
      <c r="A1566" s="44" t="s">
        <v>3620</v>
      </c>
      <c r="B1566" s="38" t="s">
        <v>3621</v>
      </c>
      <c r="C1566" s="43">
        <v>5.4</v>
      </c>
      <c r="D1566" s="39">
        <v>4.0500000000000007</v>
      </c>
      <c r="E1566" s="14">
        <v>0.24999999999999989</v>
      </c>
    </row>
    <row r="1567" spans="1:5" x14ac:dyDescent="0.25">
      <c r="A1567" s="44" t="s">
        <v>3622</v>
      </c>
      <c r="B1567" s="38" t="s">
        <v>3623</v>
      </c>
      <c r="C1567" s="43">
        <v>8.4</v>
      </c>
      <c r="D1567" s="39">
        <v>6.3000000000000007</v>
      </c>
      <c r="E1567" s="14">
        <v>0.25</v>
      </c>
    </row>
    <row r="1568" spans="1:5" x14ac:dyDescent="0.25">
      <c r="A1568" s="44" t="s">
        <v>3624</v>
      </c>
      <c r="B1568" s="38" t="s">
        <v>3625</v>
      </c>
      <c r="C1568" s="43">
        <v>5.22</v>
      </c>
      <c r="D1568" s="39">
        <v>3.915</v>
      </c>
      <c r="E1568" s="14">
        <v>0.25</v>
      </c>
    </row>
    <row r="1569" spans="1:5" x14ac:dyDescent="0.25">
      <c r="A1569" s="44" t="s">
        <v>3626</v>
      </c>
      <c r="B1569" s="38" t="s">
        <v>3627</v>
      </c>
      <c r="C1569" s="43">
        <v>8.1199999999999992</v>
      </c>
      <c r="D1569" s="39">
        <v>6.09</v>
      </c>
      <c r="E1569" s="14">
        <v>0.25</v>
      </c>
    </row>
    <row r="1570" spans="1:5" x14ac:dyDescent="0.25">
      <c r="A1570" s="44" t="s">
        <v>3628</v>
      </c>
      <c r="B1570" s="38" t="s">
        <v>3629</v>
      </c>
      <c r="C1570" s="43">
        <v>4.5</v>
      </c>
      <c r="D1570" s="39">
        <v>3.375</v>
      </c>
      <c r="E1570" s="14">
        <v>0.25</v>
      </c>
    </row>
    <row r="1571" spans="1:5" x14ac:dyDescent="0.25">
      <c r="A1571" s="44" t="s">
        <v>3630</v>
      </c>
      <c r="B1571" s="38" t="s">
        <v>3631</v>
      </c>
      <c r="C1571" s="43">
        <v>7</v>
      </c>
      <c r="D1571" s="39">
        <v>5.25</v>
      </c>
      <c r="E1571" s="14">
        <v>0.25</v>
      </c>
    </row>
    <row r="1572" spans="1:5" x14ac:dyDescent="0.25">
      <c r="A1572" s="44" t="s">
        <v>3632</v>
      </c>
      <c r="B1572" s="38" t="s">
        <v>3633</v>
      </c>
      <c r="C1572" s="43">
        <v>5.22</v>
      </c>
      <c r="D1572" s="39">
        <v>3.915</v>
      </c>
      <c r="E1572" s="14">
        <v>0.25</v>
      </c>
    </row>
    <row r="1573" spans="1:5" x14ac:dyDescent="0.25">
      <c r="A1573" s="44" t="s">
        <v>3634</v>
      </c>
      <c r="B1573" s="38" t="s">
        <v>3635</v>
      </c>
      <c r="C1573" s="43">
        <v>8.1199999999999992</v>
      </c>
      <c r="D1573" s="39">
        <v>6.09</v>
      </c>
      <c r="E1573" s="14">
        <v>0.25</v>
      </c>
    </row>
    <row r="1574" spans="1:5" x14ac:dyDescent="0.25">
      <c r="A1574" s="44" t="s">
        <v>3636</v>
      </c>
      <c r="B1574" s="38" t="s">
        <v>3637</v>
      </c>
      <c r="C1574" s="43">
        <v>4.5</v>
      </c>
      <c r="D1574" s="39">
        <v>3.375</v>
      </c>
      <c r="E1574" s="14">
        <v>0.25</v>
      </c>
    </row>
    <row r="1575" spans="1:5" x14ac:dyDescent="0.25">
      <c r="A1575" s="44" t="s">
        <v>3638</v>
      </c>
      <c r="B1575" s="38" t="s">
        <v>3639</v>
      </c>
      <c r="C1575" s="43">
        <v>7</v>
      </c>
      <c r="D1575" s="39">
        <v>5.25</v>
      </c>
      <c r="E1575" s="14">
        <v>0.25</v>
      </c>
    </row>
    <row r="1576" spans="1:5" x14ac:dyDescent="0.25">
      <c r="A1576" s="44" t="s">
        <v>3640</v>
      </c>
      <c r="B1576" s="38" t="s">
        <v>3641</v>
      </c>
      <c r="C1576" s="43">
        <v>45</v>
      </c>
      <c r="D1576" s="39">
        <v>33.75</v>
      </c>
      <c r="E1576" s="14">
        <v>0.25</v>
      </c>
    </row>
    <row r="1577" spans="1:5" x14ac:dyDescent="0.25">
      <c r="A1577" s="44" t="s">
        <v>3642</v>
      </c>
      <c r="B1577" s="38" t="s">
        <v>3643</v>
      </c>
      <c r="C1577" s="43">
        <v>70</v>
      </c>
      <c r="D1577" s="39">
        <v>52.5</v>
      </c>
      <c r="E1577" s="14">
        <v>0.25</v>
      </c>
    </row>
    <row r="1578" spans="1:5" x14ac:dyDescent="0.25">
      <c r="A1578" s="44" t="s">
        <v>3644</v>
      </c>
      <c r="B1578" s="38" t="s">
        <v>3645</v>
      </c>
      <c r="C1578" s="43">
        <v>10.08</v>
      </c>
      <c r="D1578" s="39">
        <v>7.5600000000000005</v>
      </c>
      <c r="E1578" s="14">
        <v>0.25</v>
      </c>
    </row>
    <row r="1579" spans="1:5" x14ac:dyDescent="0.25">
      <c r="A1579" s="44" t="s">
        <v>3646</v>
      </c>
      <c r="B1579" s="38" t="s">
        <v>3647</v>
      </c>
      <c r="C1579" s="43">
        <v>15.68</v>
      </c>
      <c r="D1579" s="39">
        <v>11.76</v>
      </c>
      <c r="E1579" s="14">
        <v>0.25</v>
      </c>
    </row>
    <row r="1580" spans="1:5" x14ac:dyDescent="0.25">
      <c r="A1580" s="44" t="s">
        <v>3648</v>
      </c>
      <c r="B1580" s="38" t="s">
        <v>3649</v>
      </c>
      <c r="C1580" s="43">
        <v>9</v>
      </c>
      <c r="D1580" s="39">
        <v>6.75</v>
      </c>
      <c r="E1580" s="14">
        <v>0.25</v>
      </c>
    </row>
    <row r="1581" spans="1:5" x14ac:dyDescent="0.25">
      <c r="A1581" s="44" t="s">
        <v>3650</v>
      </c>
      <c r="B1581" s="38" t="s">
        <v>3651</v>
      </c>
      <c r="C1581" s="43">
        <v>14</v>
      </c>
      <c r="D1581" s="39">
        <v>10.5</v>
      </c>
      <c r="E1581" s="14">
        <v>0.25</v>
      </c>
    </row>
    <row r="1582" spans="1:5" x14ac:dyDescent="0.25">
      <c r="A1582" s="44" t="s">
        <v>3652</v>
      </c>
      <c r="B1582" s="38" t="s">
        <v>3653</v>
      </c>
      <c r="C1582" s="43">
        <v>7.02</v>
      </c>
      <c r="D1582" s="39">
        <v>5.2649999999999997</v>
      </c>
      <c r="E1582" s="14">
        <v>0.25</v>
      </c>
    </row>
    <row r="1583" spans="1:5" x14ac:dyDescent="0.25">
      <c r="A1583" s="44" t="s">
        <v>3654</v>
      </c>
      <c r="B1583" s="38" t="s">
        <v>3655</v>
      </c>
      <c r="C1583" s="43">
        <v>10.92</v>
      </c>
      <c r="D1583" s="39">
        <v>8.19</v>
      </c>
      <c r="E1583" s="14">
        <v>0.25</v>
      </c>
    </row>
    <row r="1584" spans="1:5" x14ac:dyDescent="0.25">
      <c r="A1584" s="44" t="s">
        <v>3656</v>
      </c>
      <c r="B1584" s="38" t="s">
        <v>3657</v>
      </c>
      <c r="C1584" s="43">
        <v>18.18</v>
      </c>
      <c r="D1584" s="39">
        <v>13.635</v>
      </c>
      <c r="E1584" s="14">
        <v>0.25</v>
      </c>
    </row>
    <row r="1585" spans="1:5" x14ac:dyDescent="0.25">
      <c r="A1585" s="44" t="s">
        <v>3658</v>
      </c>
      <c r="B1585" s="38" t="s">
        <v>3659</v>
      </c>
      <c r="C1585" s="43">
        <v>28.28</v>
      </c>
      <c r="D1585" s="39">
        <v>21.21</v>
      </c>
      <c r="E1585" s="14">
        <v>0.25</v>
      </c>
    </row>
    <row r="1586" spans="1:5" x14ac:dyDescent="0.25">
      <c r="A1586" s="44" t="s">
        <v>3660</v>
      </c>
      <c r="B1586" s="38" t="s">
        <v>3661</v>
      </c>
      <c r="C1586" s="43">
        <v>10.08</v>
      </c>
      <c r="D1586" s="39">
        <v>7.5600000000000005</v>
      </c>
      <c r="E1586" s="14">
        <v>0.25</v>
      </c>
    </row>
    <row r="1587" spans="1:5" x14ac:dyDescent="0.25">
      <c r="A1587" s="44" t="s">
        <v>3662</v>
      </c>
      <c r="B1587" s="38" t="s">
        <v>3663</v>
      </c>
      <c r="C1587" s="43">
        <v>15.68</v>
      </c>
      <c r="D1587" s="39">
        <v>11.76</v>
      </c>
      <c r="E1587" s="14">
        <v>0.25</v>
      </c>
    </row>
    <row r="1588" spans="1:5" x14ac:dyDescent="0.25">
      <c r="A1588" s="44" t="s">
        <v>3664</v>
      </c>
      <c r="B1588" s="38" t="s">
        <v>3665</v>
      </c>
      <c r="C1588" s="43">
        <v>4.1399999999999997</v>
      </c>
      <c r="D1588" s="39">
        <v>3.1049999999999995</v>
      </c>
      <c r="E1588" s="14">
        <v>0.25</v>
      </c>
    </row>
    <row r="1589" spans="1:5" x14ac:dyDescent="0.25">
      <c r="A1589" s="44" t="s">
        <v>3666</v>
      </c>
      <c r="B1589" s="38" t="s">
        <v>3667</v>
      </c>
      <c r="C1589" s="43">
        <v>6.44</v>
      </c>
      <c r="D1589" s="39">
        <v>4.83</v>
      </c>
      <c r="E1589" s="14">
        <v>0.25</v>
      </c>
    </row>
    <row r="1590" spans="1:5" x14ac:dyDescent="0.25">
      <c r="A1590" s="44" t="s">
        <v>3668</v>
      </c>
      <c r="B1590" s="38" t="s">
        <v>3669</v>
      </c>
      <c r="C1590" s="43">
        <v>6.66</v>
      </c>
      <c r="D1590" s="39">
        <v>4.9950000000000001</v>
      </c>
      <c r="E1590" s="14">
        <v>0.25</v>
      </c>
    </row>
    <row r="1591" spans="1:5" x14ac:dyDescent="0.25">
      <c r="A1591" s="44" t="s">
        <v>3670</v>
      </c>
      <c r="B1591" s="38" t="s">
        <v>3671</v>
      </c>
      <c r="C1591" s="43">
        <v>10.36</v>
      </c>
      <c r="D1591" s="39">
        <v>7.77</v>
      </c>
      <c r="E1591" s="14">
        <v>0.25</v>
      </c>
    </row>
    <row r="1592" spans="1:5" x14ac:dyDescent="0.25">
      <c r="A1592" s="44" t="s">
        <v>3672</v>
      </c>
      <c r="B1592" s="38" t="s">
        <v>3673</v>
      </c>
      <c r="C1592" s="43">
        <v>3.78</v>
      </c>
      <c r="D1592" s="39">
        <v>2.835</v>
      </c>
      <c r="E1592" s="14">
        <v>0.25</v>
      </c>
    </row>
    <row r="1593" spans="1:5" x14ac:dyDescent="0.25">
      <c r="A1593" s="44" t="s">
        <v>3674</v>
      </c>
      <c r="B1593" s="38" t="s">
        <v>3675</v>
      </c>
      <c r="C1593" s="43">
        <v>5.88</v>
      </c>
      <c r="D1593" s="39">
        <v>4.41</v>
      </c>
      <c r="E1593" s="14">
        <v>0.25</v>
      </c>
    </row>
    <row r="1594" spans="1:5" x14ac:dyDescent="0.25">
      <c r="A1594" s="44" t="s">
        <v>3676</v>
      </c>
      <c r="B1594" s="38" t="s">
        <v>3677</v>
      </c>
      <c r="C1594" s="43">
        <v>8.82</v>
      </c>
      <c r="D1594" s="39">
        <v>6.6150000000000002</v>
      </c>
      <c r="E1594" s="14">
        <v>0.25</v>
      </c>
    </row>
    <row r="1595" spans="1:5" x14ac:dyDescent="0.25">
      <c r="A1595" s="44" t="s">
        <v>3678</v>
      </c>
      <c r="B1595" s="38" t="s">
        <v>3679</v>
      </c>
      <c r="C1595" s="43">
        <v>13.72</v>
      </c>
      <c r="D1595" s="39">
        <v>10.290000000000001</v>
      </c>
      <c r="E1595" s="14">
        <v>0.25</v>
      </c>
    </row>
    <row r="1596" spans="1:5" x14ac:dyDescent="0.25">
      <c r="A1596" s="44" t="s">
        <v>3680</v>
      </c>
      <c r="B1596" s="38" t="s">
        <v>3681</v>
      </c>
      <c r="C1596" s="43">
        <v>14.4</v>
      </c>
      <c r="D1596" s="39">
        <v>10.8</v>
      </c>
      <c r="E1596" s="14">
        <v>0.25</v>
      </c>
    </row>
    <row r="1597" spans="1:5" x14ac:dyDescent="0.25">
      <c r="A1597" s="44" t="s">
        <v>3682</v>
      </c>
      <c r="B1597" s="38" t="s">
        <v>3683</v>
      </c>
      <c r="C1597" s="43">
        <v>22.4</v>
      </c>
      <c r="D1597" s="39">
        <v>16.799999999999997</v>
      </c>
      <c r="E1597" s="14">
        <v>0.25000000000000011</v>
      </c>
    </row>
    <row r="1598" spans="1:5" x14ac:dyDescent="0.25">
      <c r="A1598" s="44" t="s">
        <v>3684</v>
      </c>
      <c r="B1598" s="38" t="s">
        <v>3685</v>
      </c>
      <c r="C1598" s="43">
        <v>4.5</v>
      </c>
      <c r="D1598" s="39">
        <v>3.375</v>
      </c>
      <c r="E1598" s="14">
        <v>0.25</v>
      </c>
    </row>
    <row r="1599" spans="1:5" x14ac:dyDescent="0.25">
      <c r="A1599" s="44" t="s">
        <v>3686</v>
      </c>
      <c r="B1599" s="38" t="s">
        <v>3687</v>
      </c>
      <c r="C1599" s="43">
        <v>7</v>
      </c>
      <c r="D1599" s="39">
        <v>5.25</v>
      </c>
      <c r="E1599" s="14">
        <v>0.25</v>
      </c>
    </row>
    <row r="1600" spans="1:5" x14ac:dyDescent="0.25">
      <c r="A1600" s="44" t="s">
        <v>3688</v>
      </c>
      <c r="B1600" s="38" t="s">
        <v>3689</v>
      </c>
      <c r="C1600" s="43">
        <v>13.5</v>
      </c>
      <c r="D1600" s="39">
        <v>10.125</v>
      </c>
      <c r="E1600" s="14">
        <v>0.25</v>
      </c>
    </row>
    <row r="1601" spans="1:5" x14ac:dyDescent="0.25">
      <c r="A1601" s="44" t="s">
        <v>3690</v>
      </c>
      <c r="B1601" s="38" t="s">
        <v>3691</v>
      </c>
      <c r="C1601" s="43">
        <v>21</v>
      </c>
      <c r="D1601" s="39">
        <v>15.75</v>
      </c>
      <c r="E1601" s="14">
        <v>0.25</v>
      </c>
    </row>
    <row r="1602" spans="1:5" x14ac:dyDescent="0.25">
      <c r="A1602" s="44" t="s">
        <v>3692</v>
      </c>
      <c r="B1602" s="38" t="s">
        <v>3693</v>
      </c>
      <c r="C1602" s="43">
        <v>27</v>
      </c>
      <c r="D1602" s="39">
        <v>20.25</v>
      </c>
      <c r="E1602" s="14">
        <v>0.25</v>
      </c>
    </row>
    <row r="1603" spans="1:5" x14ac:dyDescent="0.25">
      <c r="A1603" s="44" t="s">
        <v>3694</v>
      </c>
      <c r="B1603" s="38" t="s">
        <v>3695</v>
      </c>
      <c r="C1603" s="43">
        <v>42</v>
      </c>
      <c r="D1603" s="39">
        <v>31.5</v>
      </c>
      <c r="E1603" s="14">
        <v>0.25</v>
      </c>
    </row>
    <row r="1604" spans="1:5" x14ac:dyDescent="0.25">
      <c r="A1604" s="44" t="s">
        <v>3696</v>
      </c>
      <c r="B1604" s="38" t="s">
        <v>3697</v>
      </c>
      <c r="C1604" s="43">
        <v>17.100000000000001</v>
      </c>
      <c r="D1604" s="39">
        <v>12.825000000000001</v>
      </c>
      <c r="E1604" s="14">
        <v>0.25</v>
      </c>
    </row>
    <row r="1605" spans="1:5" x14ac:dyDescent="0.25">
      <c r="A1605" s="44" t="s">
        <v>3698</v>
      </c>
      <c r="B1605" s="38" t="s">
        <v>3699</v>
      </c>
      <c r="C1605" s="43">
        <v>26.6</v>
      </c>
      <c r="D1605" s="39">
        <v>19.950000000000003</v>
      </c>
      <c r="E1605" s="14">
        <v>0.24999999999999989</v>
      </c>
    </row>
    <row r="1606" spans="1:5" x14ac:dyDescent="0.25">
      <c r="A1606" s="44" t="s">
        <v>3700</v>
      </c>
      <c r="B1606" s="38" t="s">
        <v>3701</v>
      </c>
      <c r="C1606" s="43">
        <v>12.78</v>
      </c>
      <c r="D1606" s="39">
        <v>9.5849999999999991</v>
      </c>
      <c r="E1606" s="14">
        <v>0.25</v>
      </c>
    </row>
    <row r="1607" spans="1:5" x14ac:dyDescent="0.25">
      <c r="A1607" s="44" t="s">
        <v>3702</v>
      </c>
      <c r="B1607" s="38" t="s">
        <v>3703</v>
      </c>
      <c r="C1607" s="43">
        <v>19.88</v>
      </c>
      <c r="D1607" s="39">
        <v>14.91</v>
      </c>
      <c r="E1607" s="14">
        <v>0.25</v>
      </c>
    </row>
    <row r="1608" spans="1:5" x14ac:dyDescent="0.25">
      <c r="A1608" s="44" t="s">
        <v>3704</v>
      </c>
      <c r="B1608" s="38" t="s">
        <v>3705</v>
      </c>
      <c r="C1608" s="43">
        <v>14.94</v>
      </c>
      <c r="D1608" s="39">
        <v>11.205</v>
      </c>
      <c r="E1608" s="14">
        <v>0.25</v>
      </c>
    </row>
    <row r="1609" spans="1:5" x14ac:dyDescent="0.25">
      <c r="A1609" s="44" t="s">
        <v>3706</v>
      </c>
      <c r="B1609" s="38" t="s">
        <v>3707</v>
      </c>
      <c r="C1609" s="43">
        <v>23.24</v>
      </c>
      <c r="D1609" s="39">
        <v>17.43</v>
      </c>
      <c r="E1609" s="14">
        <v>0.25</v>
      </c>
    </row>
    <row r="1610" spans="1:5" x14ac:dyDescent="0.25">
      <c r="A1610" s="44" t="s">
        <v>3708</v>
      </c>
      <c r="B1610" s="38" t="s">
        <v>3709</v>
      </c>
      <c r="C1610" s="43">
        <v>21.6</v>
      </c>
      <c r="D1610" s="39">
        <v>16.200000000000003</v>
      </c>
      <c r="E1610" s="14">
        <v>0.24999999999999989</v>
      </c>
    </row>
    <row r="1611" spans="1:5" x14ac:dyDescent="0.25">
      <c r="A1611" s="44" t="s">
        <v>3710</v>
      </c>
      <c r="B1611" s="38" t="s">
        <v>3711</v>
      </c>
      <c r="C1611" s="43">
        <v>33.6</v>
      </c>
      <c r="D1611" s="39">
        <v>25.200000000000003</v>
      </c>
      <c r="E1611" s="14">
        <v>0.25</v>
      </c>
    </row>
    <row r="1612" spans="1:5" x14ac:dyDescent="0.25">
      <c r="A1612" s="44" t="s">
        <v>3712</v>
      </c>
      <c r="B1612" s="38" t="s">
        <v>3713</v>
      </c>
      <c r="C1612" s="43">
        <v>10.8</v>
      </c>
      <c r="D1612" s="39">
        <v>8.1000000000000014</v>
      </c>
      <c r="E1612" s="14">
        <v>0.24999999999999989</v>
      </c>
    </row>
    <row r="1613" spans="1:5" x14ac:dyDescent="0.25">
      <c r="A1613" s="44" t="s">
        <v>3714</v>
      </c>
      <c r="B1613" s="38" t="s">
        <v>3715</v>
      </c>
      <c r="C1613" s="43">
        <v>16.8</v>
      </c>
      <c r="D1613" s="39">
        <v>12.600000000000001</v>
      </c>
      <c r="E1613" s="14">
        <v>0.25</v>
      </c>
    </row>
    <row r="1614" spans="1:5" x14ac:dyDescent="0.25">
      <c r="A1614" s="44" t="s">
        <v>3716</v>
      </c>
      <c r="B1614" s="38" t="s">
        <v>3717</v>
      </c>
      <c r="C1614" s="43">
        <v>6.48</v>
      </c>
      <c r="D1614" s="39">
        <v>4.8600000000000003</v>
      </c>
      <c r="E1614" s="14">
        <v>0.25</v>
      </c>
    </row>
    <row r="1615" spans="1:5" x14ac:dyDescent="0.25">
      <c r="A1615" s="44" t="s">
        <v>3718</v>
      </c>
      <c r="B1615" s="38" t="s">
        <v>3719</v>
      </c>
      <c r="C1615" s="43">
        <v>10.08</v>
      </c>
      <c r="D1615" s="39">
        <v>7.5600000000000005</v>
      </c>
      <c r="E1615" s="14">
        <v>0.25</v>
      </c>
    </row>
    <row r="1616" spans="1:5" x14ac:dyDescent="0.25">
      <c r="A1616" s="44" t="s">
        <v>3720</v>
      </c>
      <c r="B1616" s="38" t="s">
        <v>3721</v>
      </c>
      <c r="C1616" s="43">
        <v>9</v>
      </c>
      <c r="D1616" s="39">
        <v>6.75</v>
      </c>
      <c r="E1616" s="14">
        <v>0.25</v>
      </c>
    </row>
    <row r="1617" spans="1:5" x14ac:dyDescent="0.25">
      <c r="A1617" s="44" t="s">
        <v>3722</v>
      </c>
      <c r="B1617" s="38" t="s">
        <v>3723</v>
      </c>
      <c r="C1617" s="43">
        <v>14</v>
      </c>
      <c r="D1617" s="39">
        <v>10.5</v>
      </c>
      <c r="E1617" s="14">
        <v>0.25</v>
      </c>
    </row>
    <row r="1618" spans="1:5" x14ac:dyDescent="0.25">
      <c r="A1618" s="44" t="s">
        <v>3724</v>
      </c>
      <c r="B1618" s="38" t="s">
        <v>3725</v>
      </c>
      <c r="C1618" s="43">
        <v>7.02</v>
      </c>
      <c r="D1618" s="39">
        <v>5.2649999999999997</v>
      </c>
      <c r="E1618" s="14">
        <v>0.25</v>
      </c>
    </row>
    <row r="1619" spans="1:5" x14ac:dyDescent="0.25">
      <c r="A1619" s="44" t="s">
        <v>3726</v>
      </c>
      <c r="B1619" s="38" t="s">
        <v>3727</v>
      </c>
      <c r="C1619" s="43">
        <v>10.92</v>
      </c>
      <c r="D1619" s="39">
        <v>8.19</v>
      </c>
      <c r="E1619" s="14">
        <v>0.25</v>
      </c>
    </row>
    <row r="1620" spans="1:5" x14ac:dyDescent="0.25">
      <c r="A1620" s="44" t="s">
        <v>3728</v>
      </c>
      <c r="B1620" s="38" t="s">
        <v>3729</v>
      </c>
      <c r="C1620" s="43">
        <v>5.94</v>
      </c>
      <c r="D1620" s="39">
        <v>4.4550000000000001</v>
      </c>
      <c r="E1620" s="14">
        <v>0.25</v>
      </c>
    </row>
    <row r="1621" spans="1:5" x14ac:dyDescent="0.25">
      <c r="A1621" s="44" t="s">
        <v>3730</v>
      </c>
      <c r="B1621" s="38" t="s">
        <v>3731</v>
      </c>
      <c r="C1621" s="43">
        <v>9.24</v>
      </c>
      <c r="D1621" s="39">
        <v>6.93</v>
      </c>
      <c r="E1621" s="14">
        <v>0.25</v>
      </c>
    </row>
    <row r="1622" spans="1:5" x14ac:dyDescent="0.25">
      <c r="A1622" s="44" t="s">
        <v>3732</v>
      </c>
      <c r="B1622" s="38" t="s">
        <v>3733</v>
      </c>
      <c r="C1622" s="43">
        <v>5.4</v>
      </c>
      <c r="D1622" s="39">
        <v>4.0500000000000007</v>
      </c>
      <c r="E1622" s="14">
        <v>0.24999999999999989</v>
      </c>
    </row>
    <row r="1623" spans="1:5" x14ac:dyDescent="0.25">
      <c r="A1623" s="44" t="s">
        <v>3734</v>
      </c>
      <c r="B1623" s="38" t="s">
        <v>3735</v>
      </c>
      <c r="C1623" s="43">
        <v>8.4</v>
      </c>
      <c r="D1623" s="39">
        <v>6.3000000000000007</v>
      </c>
      <c r="E1623" s="14">
        <v>0.25</v>
      </c>
    </row>
    <row r="1624" spans="1:5" x14ac:dyDescent="0.25">
      <c r="A1624" s="44" t="s">
        <v>3736</v>
      </c>
      <c r="B1624" s="38" t="s">
        <v>3737</v>
      </c>
      <c r="C1624" s="43">
        <v>6.12</v>
      </c>
      <c r="D1624" s="39">
        <v>4.59</v>
      </c>
      <c r="E1624" s="14">
        <v>0.25</v>
      </c>
    </row>
    <row r="1625" spans="1:5" x14ac:dyDescent="0.25">
      <c r="A1625" s="44" t="s">
        <v>3738</v>
      </c>
      <c r="B1625" s="38" t="s">
        <v>3739</v>
      </c>
      <c r="C1625" s="43">
        <v>9.52</v>
      </c>
      <c r="D1625" s="39">
        <v>7.14</v>
      </c>
      <c r="E1625" s="14">
        <v>0.25</v>
      </c>
    </row>
    <row r="1626" spans="1:5" x14ac:dyDescent="0.25">
      <c r="A1626" s="44" t="s">
        <v>3740</v>
      </c>
      <c r="B1626" s="38" t="s">
        <v>3741</v>
      </c>
      <c r="C1626" s="43">
        <v>7.2</v>
      </c>
      <c r="D1626" s="39">
        <v>5.4</v>
      </c>
      <c r="E1626" s="14">
        <v>0.25</v>
      </c>
    </row>
    <row r="1627" spans="1:5" x14ac:dyDescent="0.25">
      <c r="A1627" s="44" t="s">
        <v>3742</v>
      </c>
      <c r="B1627" s="38" t="s">
        <v>3743</v>
      </c>
      <c r="C1627" s="43">
        <v>11.2</v>
      </c>
      <c r="D1627" s="39">
        <v>8.3999999999999986</v>
      </c>
      <c r="E1627" s="14">
        <v>0.25000000000000011</v>
      </c>
    </row>
    <row r="1628" spans="1:5" x14ac:dyDescent="0.25">
      <c r="A1628" s="44" t="s">
        <v>3744</v>
      </c>
      <c r="B1628" s="38" t="s">
        <v>3745</v>
      </c>
      <c r="C1628" s="43">
        <v>6.3</v>
      </c>
      <c r="D1628" s="39">
        <v>4.7249999999999996</v>
      </c>
      <c r="E1628" s="14">
        <v>0.25</v>
      </c>
    </row>
    <row r="1629" spans="1:5" x14ac:dyDescent="0.25">
      <c r="A1629" s="44" t="s">
        <v>3746</v>
      </c>
      <c r="B1629" s="38" t="s">
        <v>3747</v>
      </c>
      <c r="C1629" s="43">
        <v>9.8000000000000007</v>
      </c>
      <c r="D1629" s="39">
        <v>7.3500000000000005</v>
      </c>
      <c r="E1629" s="14">
        <v>0.25</v>
      </c>
    </row>
    <row r="1630" spans="1:5" x14ac:dyDescent="0.25">
      <c r="A1630" s="44" t="s">
        <v>3748</v>
      </c>
      <c r="B1630" s="38" t="s">
        <v>3749</v>
      </c>
      <c r="C1630" s="43">
        <v>6.12</v>
      </c>
      <c r="D1630" s="39">
        <v>4.59</v>
      </c>
      <c r="E1630" s="14">
        <v>0.25</v>
      </c>
    </row>
    <row r="1631" spans="1:5" x14ac:dyDescent="0.25">
      <c r="A1631" s="44" t="s">
        <v>3750</v>
      </c>
      <c r="B1631" s="38" t="s">
        <v>3751</v>
      </c>
      <c r="C1631" s="43">
        <v>9.52</v>
      </c>
      <c r="D1631" s="39">
        <v>7.14</v>
      </c>
      <c r="E1631" s="14">
        <v>0.25</v>
      </c>
    </row>
    <row r="1632" spans="1:5" x14ac:dyDescent="0.25">
      <c r="A1632" s="44" t="s">
        <v>3752</v>
      </c>
      <c r="B1632" s="38" t="s">
        <v>3753</v>
      </c>
      <c r="C1632" s="43">
        <v>9000</v>
      </c>
      <c r="D1632" s="39">
        <v>6750</v>
      </c>
      <c r="E1632" s="14">
        <v>0.25</v>
      </c>
    </row>
    <row r="1633" spans="1:5" x14ac:dyDescent="0.25">
      <c r="A1633" s="44" t="s">
        <v>3754</v>
      </c>
      <c r="B1633" s="38" t="s">
        <v>3755</v>
      </c>
      <c r="C1633" s="43">
        <v>14000</v>
      </c>
      <c r="D1633" s="39">
        <v>10500</v>
      </c>
      <c r="E1633" s="14">
        <v>0.25</v>
      </c>
    </row>
    <row r="1634" spans="1:5" x14ac:dyDescent="0.25">
      <c r="A1634" s="44" t="s">
        <v>3756</v>
      </c>
      <c r="B1634" s="38" t="s">
        <v>3757</v>
      </c>
      <c r="C1634" s="43">
        <v>9000</v>
      </c>
      <c r="D1634" s="39">
        <v>6750</v>
      </c>
      <c r="E1634" s="14">
        <v>0.25</v>
      </c>
    </row>
    <row r="1635" spans="1:5" x14ac:dyDescent="0.25">
      <c r="A1635" s="44" t="s">
        <v>3758</v>
      </c>
      <c r="B1635" s="38" t="s">
        <v>3759</v>
      </c>
      <c r="C1635" s="43">
        <v>14000</v>
      </c>
      <c r="D1635" s="39">
        <v>10500</v>
      </c>
      <c r="E1635" s="14">
        <v>0.25</v>
      </c>
    </row>
    <row r="1636" spans="1:5" x14ac:dyDescent="0.25">
      <c r="A1636" s="44" t="s">
        <v>3760</v>
      </c>
      <c r="B1636" s="38" t="s">
        <v>3761</v>
      </c>
      <c r="C1636" s="43">
        <v>10800</v>
      </c>
      <c r="D1636" s="39">
        <v>8100</v>
      </c>
      <c r="E1636" s="14">
        <v>0.25</v>
      </c>
    </row>
    <row r="1637" spans="1:5" x14ac:dyDescent="0.25">
      <c r="A1637" s="44" t="s">
        <v>3762</v>
      </c>
      <c r="B1637" s="38" t="s">
        <v>3763</v>
      </c>
      <c r="C1637" s="43">
        <v>16800</v>
      </c>
      <c r="D1637" s="39">
        <v>12600</v>
      </c>
      <c r="E1637" s="14">
        <v>0.25</v>
      </c>
    </row>
    <row r="1638" spans="1:5" x14ac:dyDescent="0.25">
      <c r="A1638" s="44" t="s">
        <v>3764</v>
      </c>
      <c r="B1638" s="38" t="s">
        <v>3765</v>
      </c>
      <c r="C1638" s="43">
        <v>7200</v>
      </c>
      <c r="D1638" s="39">
        <v>5400</v>
      </c>
      <c r="E1638" s="14">
        <v>0.25</v>
      </c>
    </row>
    <row r="1639" spans="1:5" x14ac:dyDescent="0.25">
      <c r="A1639" s="44" t="s">
        <v>3766</v>
      </c>
      <c r="B1639" s="38" t="s">
        <v>3767</v>
      </c>
      <c r="C1639" s="43">
        <v>11200</v>
      </c>
      <c r="D1639" s="39">
        <v>8400</v>
      </c>
      <c r="E1639" s="14">
        <v>0.25</v>
      </c>
    </row>
    <row r="1640" spans="1:5" x14ac:dyDescent="0.25">
      <c r="A1640" s="44" t="s">
        <v>3768</v>
      </c>
      <c r="B1640" s="38" t="s">
        <v>3769</v>
      </c>
      <c r="C1640" s="43">
        <v>27000</v>
      </c>
      <c r="D1640" s="39">
        <v>20250</v>
      </c>
      <c r="E1640" s="14">
        <v>0.25</v>
      </c>
    </row>
    <row r="1641" spans="1:5" x14ac:dyDescent="0.25">
      <c r="A1641" s="44" t="s">
        <v>3770</v>
      </c>
      <c r="B1641" s="38" t="s">
        <v>3771</v>
      </c>
      <c r="C1641" s="43">
        <v>42000</v>
      </c>
      <c r="D1641" s="39">
        <v>31500</v>
      </c>
      <c r="E1641" s="14">
        <v>0.25</v>
      </c>
    </row>
    <row r="1642" spans="1:5" x14ac:dyDescent="0.25">
      <c r="A1642" s="44" t="s">
        <v>3772</v>
      </c>
      <c r="B1642" s="38" t="s">
        <v>3773</v>
      </c>
      <c r="C1642" s="43">
        <v>673.92</v>
      </c>
      <c r="D1642" s="39">
        <v>505.43999999999994</v>
      </c>
      <c r="E1642" s="14">
        <v>0.25</v>
      </c>
    </row>
    <row r="1643" spans="1:5" x14ac:dyDescent="0.25">
      <c r="A1643" s="44" t="s">
        <v>3774</v>
      </c>
      <c r="B1643" s="38" t="s">
        <v>3775</v>
      </c>
      <c r="C1643" s="43">
        <v>1048.32</v>
      </c>
      <c r="D1643" s="39">
        <v>786.24</v>
      </c>
      <c r="E1643" s="14">
        <v>0.25</v>
      </c>
    </row>
    <row r="1644" spans="1:5" x14ac:dyDescent="0.25">
      <c r="A1644" s="44" t="s">
        <v>3776</v>
      </c>
      <c r="B1644" s="38" t="s">
        <v>3777</v>
      </c>
      <c r="C1644" s="43">
        <v>24.3</v>
      </c>
      <c r="D1644" s="39">
        <v>18.225000000000001</v>
      </c>
      <c r="E1644" s="14">
        <v>0.25</v>
      </c>
    </row>
    <row r="1645" spans="1:5" x14ac:dyDescent="0.25">
      <c r="A1645" s="44" t="s">
        <v>3778</v>
      </c>
      <c r="B1645" s="38" t="s">
        <v>3779</v>
      </c>
      <c r="C1645" s="43">
        <v>37.799999999999997</v>
      </c>
      <c r="D1645" s="39">
        <v>28.349999999999998</v>
      </c>
      <c r="E1645" s="14">
        <v>0.25</v>
      </c>
    </row>
    <row r="1646" spans="1:5" x14ac:dyDescent="0.25">
      <c r="A1646" s="44" t="s">
        <v>3780</v>
      </c>
      <c r="B1646" s="38" t="s">
        <v>3781</v>
      </c>
      <c r="C1646" s="43">
        <v>23.04</v>
      </c>
      <c r="D1646" s="39">
        <v>17.28</v>
      </c>
      <c r="E1646" s="14">
        <v>0.24999999999999989</v>
      </c>
    </row>
    <row r="1647" spans="1:5" x14ac:dyDescent="0.25">
      <c r="A1647" s="44" t="s">
        <v>3782</v>
      </c>
      <c r="B1647" s="38" t="s">
        <v>3783</v>
      </c>
      <c r="C1647" s="43">
        <v>35.840000000000003</v>
      </c>
      <c r="D1647" s="39">
        <v>26.880000000000003</v>
      </c>
      <c r="E1647" s="14">
        <v>0.25</v>
      </c>
    </row>
    <row r="1648" spans="1:5" x14ac:dyDescent="0.25">
      <c r="A1648" s="44" t="s">
        <v>3784</v>
      </c>
      <c r="B1648" s="38" t="s">
        <v>3785</v>
      </c>
      <c r="C1648" s="43">
        <v>21.6</v>
      </c>
      <c r="D1648" s="39">
        <v>16.200000000000003</v>
      </c>
      <c r="E1648" s="14">
        <v>0.24999999999999989</v>
      </c>
    </row>
    <row r="1649" spans="1:5" x14ac:dyDescent="0.25">
      <c r="A1649" s="44" t="s">
        <v>3786</v>
      </c>
      <c r="B1649" s="38" t="s">
        <v>3787</v>
      </c>
      <c r="C1649" s="43">
        <v>33.6</v>
      </c>
      <c r="D1649" s="39">
        <v>25.200000000000003</v>
      </c>
      <c r="E1649" s="14">
        <v>0.25</v>
      </c>
    </row>
    <row r="1650" spans="1:5" x14ac:dyDescent="0.25">
      <c r="A1650" s="44" t="s">
        <v>3788</v>
      </c>
      <c r="B1650" s="38" t="s">
        <v>3789</v>
      </c>
      <c r="C1650" s="43">
        <v>18.899999999999999</v>
      </c>
      <c r="D1650" s="39">
        <v>14.174999999999999</v>
      </c>
      <c r="E1650" s="14">
        <v>0.25</v>
      </c>
    </row>
    <row r="1651" spans="1:5" x14ac:dyDescent="0.25">
      <c r="A1651" s="44" t="s">
        <v>3790</v>
      </c>
      <c r="B1651" s="38" t="s">
        <v>3791</v>
      </c>
      <c r="C1651" s="43">
        <v>29.4</v>
      </c>
      <c r="D1651" s="39">
        <v>22.049999999999997</v>
      </c>
      <c r="E1651" s="14">
        <v>0.25000000000000011</v>
      </c>
    </row>
    <row r="1652" spans="1:5" x14ac:dyDescent="0.25">
      <c r="A1652" s="44" t="s">
        <v>3792</v>
      </c>
      <c r="B1652" s="38" t="s">
        <v>3793</v>
      </c>
      <c r="C1652" s="43">
        <v>25.74</v>
      </c>
      <c r="D1652" s="39">
        <v>19.305</v>
      </c>
      <c r="E1652" s="14">
        <v>0.25</v>
      </c>
    </row>
    <row r="1653" spans="1:5" x14ac:dyDescent="0.25">
      <c r="A1653" s="44" t="s">
        <v>3794</v>
      </c>
      <c r="B1653" s="38" t="s">
        <v>3795</v>
      </c>
      <c r="C1653" s="43">
        <v>40.04</v>
      </c>
      <c r="D1653" s="39">
        <v>30.03</v>
      </c>
      <c r="E1653" s="14">
        <v>0.25</v>
      </c>
    </row>
    <row r="1654" spans="1:5" x14ac:dyDescent="0.25">
      <c r="A1654" s="44" t="s">
        <v>3796</v>
      </c>
      <c r="B1654" s="38" t="s">
        <v>3797</v>
      </c>
      <c r="C1654" s="43">
        <v>12.24</v>
      </c>
      <c r="D1654" s="39">
        <v>9.18</v>
      </c>
      <c r="E1654" s="14">
        <v>0.25</v>
      </c>
    </row>
    <row r="1655" spans="1:5" x14ac:dyDescent="0.25">
      <c r="A1655" s="44" t="s">
        <v>3798</v>
      </c>
      <c r="B1655" s="38" t="s">
        <v>3799</v>
      </c>
      <c r="C1655" s="43">
        <v>19.04</v>
      </c>
      <c r="D1655" s="39">
        <v>14.28</v>
      </c>
      <c r="E1655" s="14">
        <v>0.25</v>
      </c>
    </row>
    <row r="1656" spans="1:5" x14ac:dyDescent="0.25">
      <c r="A1656" s="44" t="s">
        <v>3800</v>
      </c>
      <c r="B1656" s="38" t="s">
        <v>3801</v>
      </c>
      <c r="C1656" s="43">
        <v>11.52</v>
      </c>
      <c r="D1656" s="39">
        <v>8.64</v>
      </c>
      <c r="E1656" s="14">
        <v>0.24999999999999989</v>
      </c>
    </row>
    <row r="1657" spans="1:5" x14ac:dyDescent="0.25">
      <c r="A1657" s="44" t="s">
        <v>3802</v>
      </c>
      <c r="B1657" s="38" t="s">
        <v>3803</v>
      </c>
      <c r="C1657" s="43">
        <v>17.920000000000002</v>
      </c>
      <c r="D1657" s="39">
        <v>13.440000000000001</v>
      </c>
      <c r="E1657" s="14">
        <v>0.25</v>
      </c>
    </row>
    <row r="1658" spans="1:5" x14ac:dyDescent="0.25">
      <c r="A1658" s="44" t="s">
        <v>3804</v>
      </c>
      <c r="B1658" s="38" t="s">
        <v>3805</v>
      </c>
      <c r="C1658" s="43">
        <v>10.8</v>
      </c>
      <c r="D1658" s="39">
        <v>8.1000000000000014</v>
      </c>
      <c r="E1658" s="14">
        <v>0.24999999999999989</v>
      </c>
    </row>
    <row r="1659" spans="1:5" x14ac:dyDescent="0.25">
      <c r="A1659" s="44" t="s">
        <v>3806</v>
      </c>
      <c r="B1659" s="38" t="s">
        <v>3807</v>
      </c>
      <c r="C1659" s="43">
        <v>16.8</v>
      </c>
      <c r="D1659" s="39">
        <v>12.600000000000001</v>
      </c>
      <c r="E1659" s="14">
        <v>0.25</v>
      </c>
    </row>
    <row r="1660" spans="1:5" x14ac:dyDescent="0.25">
      <c r="A1660" s="44" t="s">
        <v>3808</v>
      </c>
      <c r="B1660" s="38" t="s">
        <v>3809</v>
      </c>
      <c r="C1660" s="43">
        <v>13.5</v>
      </c>
      <c r="D1660" s="39">
        <v>10.125</v>
      </c>
      <c r="E1660" s="14">
        <v>0.25</v>
      </c>
    </row>
    <row r="1661" spans="1:5" x14ac:dyDescent="0.25">
      <c r="A1661" s="44" t="s">
        <v>3810</v>
      </c>
      <c r="B1661" s="38" t="s">
        <v>3811</v>
      </c>
      <c r="C1661" s="43">
        <v>21</v>
      </c>
      <c r="D1661" s="39">
        <v>15.75</v>
      </c>
      <c r="E1661" s="14">
        <v>0.25</v>
      </c>
    </row>
    <row r="1662" spans="1:5" x14ac:dyDescent="0.25">
      <c r="A1662" s="44" t="s">
        <v>3812</v>
      </c>
      <c r="B1662" s="38" t="s">
        <v>3813</v>
      </c>
      <c r="C1662" s="43">
        <v>9.5399999999999991</v>
      </c>
      <c r="D1662" s="39">
        <v>7.1549999999999994</v>
      </c>
      <c r="E1662" s="14">
        <v>0.25</v>
      </c>
    </row>
    <row r="1663" spans="1:5" x14ac:dyDescent="0.25">
      <c r="A1663" s="44" t="s">
        <v>3814</v>
      </c>
      <c r="B1663" s="38" t="s">
        <v>3815</v>
      </c>
      <c r="C1663" s="43">
        <v>14.84</v>
      </c>
      <c r="D1663" s="39">
        <v>11.129999999999999</v>
      </c>
      <c r="E1663" s="14">
        <v>0.25000000000000011</v>
      </c>
    </row>
    <row r="1664" spans="1:5" x14ac:dyDescent="0.25">
      <c r="A1664" s="44" t="s">
        <v>3816</v>
      </c>
      <c r="B1664" s="38" t="s">
        <v>3817</v>
      </c>
      <c r="C1664" s="43">
        <v>12.78</v>
      </c>
      <c r="D1664" s="39">
        <v>9.5849999999999991</v>
      </c>
      <c r="E1664" s="14">
        <v>0.25</v>
      </c>
    </row>
    <row r="1665" spans="1:5" x14ac:dyDescent="0.25">
      <c r="A1665" s="44" t="s">
        <v>3818</v>
      </c>
      <c r="B1665" s="38" t="s">
        <v>3819</v>
      </c>
      <c r="C1665" s="43">
        <v>19.88</v>
      </c>
      <c r="D1665" s="39">
        <v>14.91</v>
      </c>
      <c r="E1665" s="14">
        <v>0.25</v>
      </c>
    </row>
    <row r="1666" spans="1:5" x14ac:dyDescent="0.25">
      <c r="A1666" s="44" t="s">
        <v>3820</v>
      </c>
      <c r="B1666" s="38" t="s">
        <v>3821</v>
      </c>
      <c r="C1666" s="43">
        <v>12.24</v>
      </c>
      <c r="D1666" s="39">
        <v>9.18</v>
      </c>
      <c r="E1666" s="14">
        <v>0.25</v>
      </c>
    </row>
    <row r="1667" spans="1:5" x14ac:dyDescent="0.25">
      <c r="A1667" s="44" t="s">
        <v>3822</v>
      </c>
      <c r="B1667" s="38" t="s">
        <v>3823</v>
      </c>
      <c r="C1667" s="43">
        <v>19.04</v>
      </c>
      <c r="D1667" s="39">
        <v>14.28</v>
      </c>
      <c r="E1667" s="14">
        <v>0.25</v>
      </c>
    </row>
    <row r="1668" spans="1:5" x14ac:dyDescent="0.25">
      <c r="A1668" s="44" t="s">
        <v>3824</v>
      </c>
      <c r="B1668" s="38" t="s">
        <v>3825</v>
      </c>
      <c r="C1668" s="43">
        <v>11.52</v>
      </c>
      <c r="D1668" s="39">
        <v>8.64</v>
      </c>
      <c r="E1668" s="14">
        <v>0.24999999999999989</v>
      </c>
    </row>
    <row r="1669" spans="1:5" x14ac:dyDescent="0.25">
      <c r="A1669" s="44" t="s">
        <v>3826</v>
      </c>
      <c r="B1669" s="38" t="s">
        <v>3827</v>
      </c>
      <c r="C1669" s="43">
        <v>17.920000000000002</v>
      </c>
      <c r="D1669" s="39">
        <v>13.440000000000001</v>
      </c>
      <c r="E1669" s="14">
        <v>0.25</v>
      </c>
    </row>
    <row r="1670" spans="1:5" x14ac:dyDescent="0.25">
      <c r="A1670" s="44" t="s">
        <v>3828</v>
      </c>
      <c r="B1670" s="38" t="s">
        <v>3829</v>
      </c>
      <c r="C1670" s="43">
        <v>10.8</v>
      </c>
      <c r="D1670" s="39">
        <v>8.1000000000000014</v>
      </c>
      <c r="E1670" s="14">
        <v>0.24999999999999989</v>
      </c>
    </row>
    <row r="1671" spans="1:5" x14ac:dyDescent="0.25">
      <c r="A1671" s="44" t="s">
        <v>3830</v>
      </c>
      <c r="B1671" s="38" t="s">
        <v>3831</v>
      </c>
      <c r="C1671" s="43">
        <v>16.8</v>
      </c>
      <c r="D1671" s="39">
        <v>12.600000000000001</v>
      </c>
      <c r="E1671" s="14">
        <v>0.25</v>
      </c>
    </row>
    <row r="1672" spans="1:5" x14ac:dyDescent="0.25">
      <c r="A1672" s="44" t="s">
        <v>3832</v>
      </c>
      <c r="B1672" s="38" t="s">
        <v>3833</v>
      </c>
      <c r="C1672" s="43">
        <v>13.5</v>
      </c>
      <c r="D1672" s="39">
        <v>10.125</v>
      </c>
      <c r="E1672" s="14">
        <v>0.25</v>
      </c>
    </row>
    <row r="1673" spans="1:5" x14ac:dyDescent="0.25">
      <c r="A1673" s="44" t="s">
        <v>3834</v>
      </c>
      <c r="B1673" s="38" t="s">
        <v>3835</v>
      </c>
      <c r="C1673" s="43">
        <v>21</v>
      </c>
      <c r="D1673" s="39">
        <v>15.75</v>
      </c>
      <c r="E1673" s="14">
        <v>0.25</v>
      </c>
    </row>
    <row r="1674" spans="1:5" x14ac:dyDescent="0.25">
      <c r="A1674" s="44" t="s">
        <v>3836</v>
      </c>
      <c r="B1674" s="38" t="s">
        <v>3837</v>
      </c>
      <c r="C1674" s="43">
        <v>9.5399999999999991</v>
      </c>
      <c r="D1674" s="39">
        <v>7.1549999999999994</v>
      </c>
      <c r="E1674" s="14">
        <v>0.25</v>
      </c>
    </row>
    <row r="1675" spans="1:5" x14ac:dyDescent="0.25">
      <c r="A1675" s="44" t="s">
        <v>3838</v>
      </c>
      <c r="B1675" s="38" t="s">
        <v>3839</v>
      </c>
      <c r="C1675" s="43">
        <v>14.84</v>
      </c>
      <c r="D1675" s="39">
        <v>11.129999999999999</v>
      </c>
      <c r="E1675" s="14">
        <v>0.25000000000000011</v>
      </c>
    </row>
    <row r="1676" spans="1:5" x14ac:dyDescent="0.25">
      <c r="A1676" s="44" t="s">
        <v>3840</v>
      </c>
      <c r="B1676" s="38" t="s">
        <v>3841</v>
      </c>
      <c r="C1676" s="43">
        <v>12.78</v>
      </c>
      <c r="D1676" s="39">
        <v>9.5849999999999991</v>
      </c>
      <c r="E1676" s="14">
        <v>0.25</v>
      </c>
    </row>
    <row r="1677" spans="1:5" x14ac:dyDescent="0.25">
      <c r="A1677" s="44" t="s">
        <v>3842</v>
      </c>
      <c r="B1677" s="38" t="s">
        <v>3843</v>
      </c>
      <c r="C1677" s="43">
        <v>19.88</v>
      </c>
      <c r="D1677" s="39">
        <v>14.91</v>
      </c>
      <c r="E1677" s="14">
        <v>0.25</v>
      </c>
    </row>
    <row r="1678" spans="1:5" x14ac:dyDescent="0.25">
      <c r="A1678" s="44" t="s">
        <v>3844</v>
      </c>
      <c r="B1678" s="38" t="s">
        <v>3845</v>
      </c>
      <c r="C1678" s="43">
        <v>674.1</v>
      </c>
      <c r="D1678" s="39">
        <v>505.57500000000005</v>
      </c>
      <c r="E1678" s="14">
        <v>0.25</v>
      </c>
    </row>
    <row r="1679" spans="1:5" x14ac:dyDescent="0.25">
      <c r="A1679" s="44" t="s">
        <v>3846</v>
      </c>
      <c r="B1679" s="38" t="s">
        <v>3847</v>
      </c>
      <c r="C1679" s="43">
        <v>1048.5999999999999</v>
      </c>
      <c r="D1679" s="39">
        <v>786.44999999999993</v>
      </c>
      <c r="E1679" s="14">
        <v>0.25</v>
      </c>
    </row>
    <row r="1680" spans="1:5" x14ac:dyDescent="0.25">
      <c r="A1680" s="44" t="s">
        <v>3848</v>
      </c>
      <c r="B1680" s="38" t="s">
        <v>3849</v>
      </c>
      <c r="C1680" s="43">
        <v>24.3</v>
      </c>
      <c r="D1680" s="39">
        <v>18.225000000000001</v>
      </c>
      <c r="E1680" s="14">
        <v>0.25</v>
      </c>
    </row>
    <row r="1681" spans="1:5" x14ac:dyDescent="0.25">
      <c r="A1681" s="44" t="s">
        <v>3850</v>
      </c>
      <c r="B1681" s="38" t="s">
        <v>3851</v>
      </c>
      <c r="C1681" s="43">
        <v>37.799999999999997</v>
      </c>
      <c r="D1681" s="39">
        <v>28.349999999999998</v>
      </c>
      <c r="E1681" s="14">
        <v>0.25</v>
      </c>
    </row>
    <row r="1682" spans="1:5" x14ac:dyDescent="0.25">
      <c r="A1682" s="44" t="s">
        <v>3852</v>
      </c>
      <c r="B1682" s="38" t="s">
        <v>3853</v>
      </c>
      <c r="C1682" s="43">
        <v>23.04</v>
      </c>
      <c r="D1682" s="39">
        <v>17.28</v>
      </c>
      <c r="E1682" s="14">
        <v>0.24999999999999989</v>
      </c>
    </row>
    <row r="1683" spans="1:5" x14ac:dyDescent="0.25">
      <c r="A1683" s="44" t="s">
        <v>3854</v>
      </c>
      <c r="B1683" s="38" t="s">
        <v>3855</v>
      </c>
      <c r="C1683" s="43">
        <v>35.840000000000003</v>
      </c>
      <c r="D1683" s="39">
        <v>26.880000000000003</v>
      </c>
      <c r="E1683" s="14">
        <v>0.25</v>
      </c>
    </row>
    <row r="1684" spans="1:5" x14ac:dyDescent="0.25">
      <c r="A1684" s="44" t="s">
        <v>3856</v>
      </c>
      <c r="B1684" s="38" t="s">
        <v>3857</v>
      </c>
      <c r="C1684" s="43">
        <v>21.6</v>
      </c>
      <c r="D1684" s="39">
        <v>16.200000000000003</v>
      </c>
      <c r="E1684" s="14">
        <v>0.24999999999999989</v>
      </c>
    </row>
    <row r="1685" spans="1:5" x14ac:dyDescent="0.25">
      <c r="A1685" s="44" t="s">
        <v>3858</v>
      </c>
      <c r="B1685" s="38" t="s">
        <v>3859</v>
      </c>
      <c r="C1685" s="43">
        <v>33.6</v>
      </c>
      <c r="D1685" s="39">
        <v>25.200000000000003</v>
      </c>
      <c r="E1685" s="14">
        <v>0.25</v>
      </c>
    </row>
    <row r="1686" spans="1:5" x14ac:dyDescent="0.25">
      <c r="A1686" s="44" t="s">
        <v>3860</v>
      </c>
      <c r="B1686" s="38" t="s">
        <v>3861</v>
      </c>
      <c r="C1686" s="43">
        <v>18.899999999999999</v>
      </c>
      <c r="D1686" s="39">
        <v>14.174999999999999</v>
      </c>
      <c r="E1686" s="14">
        <v>0.25</v>
      </c>
    </row>
    <row r="1687" spans="1:5" x14ac:dyDescent="0.25">
      <c r="A1687" s="44" t="s">
        <v>3862</v>
      </c>
      <c r="B1687" s="38" t="s">
        <v>3863</v>
      </c>
      <c r="C1687" s="43">
        <v>29.4</v>
      </c>
      <c r="D1687" s="39">
        <v>22.049999999999997</v>
      </c>
      <c r="E1687" s="14">
        <v>0.25000000000000011</v>
      </c>
    </row>
    <row r="1688" spans="1:5" x14ac:dyDescent="0.25">
      <c r="A1688" s="44" t="s">
        <v>3864</v>
      </c>
      <c r="B1688" s="38" t="s">
        <v>3865</v>
      </c>
      <c r="C1688" s="43">
        <v>25.74</v>
      </c>
      <c r="D1688" s="39">
        <v>19.305</v>
      </c>
      <c r="E1688" s="14">
        <v>0.25</v>
      </c>
    </row>
    <row r="1689" spans="1:5" x14ac:dyDescent="0.25">
      <c r="A1689" s="44" t="s">
        <v>3866</v>
      </c>
      <c r="B1689" s="38" t="s">
        <v>3867</v>
      </c>
      <c r="C1689" s="43">
        <v>40.04</v>
      </c>
      <c r="D1689" s="39">
        <v>30.03</v>
      </c>
      <c r="E1689" s="14">
        <v>0.25</v>
      </c>
    </row>
    <row r="1690" spans="1:5" x14ac:dyDescent="0.25">
      <c r="A1690" s="44" t="s">
        <v>3868</v>
      </c>
      <c r="B1690" s="38" t="s">
        <v>3869</v>
      </c>
      <c r="C1690" s="43">
        <v>27</v>
      </c>
      <c r="D1690" s="39">
        <v>20.25</v>
      </c>
      <c r="E1690" s="14">
        <v>0.25</v>
      </c>
    </row>
    <row r="1691" spans="1:5" x14ac:dyDescent="0.25">
      <c r="A1691" s="44" t="s">
        <v>3870</v>
      </c>
      <c r="B1691" s="38" t="s">
        <v>3871</v>
      </c>
      <c r="C1691" s="43">
        <v>42</v>
      </c>
      <c r="D1691" s="39">
        <v>31.5</v>
      </c>
      <c r="E1691" s="14">
        <v>0.25</v>
      </c>
    </row>
    <row r="1692" spans="1:5" x14ac:dyDescent="0.25">
      <c r="A1692" s="44" t="s">
        <v>3872</v>
      </c>
      <c r="B1692" s="38" t="s">
        <v>3873</v>
      </c>
      <c r="C1692" s="43">
        <v>12.24</v>
      </c>
      <c r="D1692" s="39">
        <v>9.18</v>
      </c>
      <c r="E1692" s="14">
        <v>0.25</v>
      </c>
    </row>
    <row r="1693" spans="1:5" x14ac:dyDescent="0.25">
      <c r="A1693" s="44" t="s">
        <v>3874</v>
      </c>
      <c r="B1693" s="38" t="s">
        <v>3875</v>
      </c>
      <c r="C1693" s="43">
        <v>19.04</v>
      </c>
      <c r="D1693" s="39">
        <v>14.28</v>
      </c>
      <c r="E1693" s="14">
        <v>0.25</v>
      </c>
    </row>
    <row r="1694" spans="1:5" x14ac:dyDescent="0.25">
      <c r="A1694" s="44" t="s">
        <v>3876</v>
      </c>
      <c r="B1694" s="38" t="s">
        <v>3877</v>
      </c>
      <c r="C1694" s="43">
        <v>11.52</v>
      </c>
      <c r="D1694" s="39">
        <v>8.64</v>
      </c>
      <c r="E1694" s="14">
        <v>0.24999999999999989</v>
      </c>
    </row>
    <row r="1695" spans="1:5" x14ac:dyDescent="0.25">
      <c r="A1695" s="44" t="s">
        <v>3878</v>
      </c>
      <c r="B1695" s="38" t="s">
        <v>3879</v>
      </c>
      <c r="C1695" s="43">
        <v>17.920000000000002</v>
      </c>
      <c r="D1695" s="39">
        <v>13.440000000000001</v>
      </c>
      <c r="E1695" s="14">
        <v>0.25</v>
      </c>
    </row>
    <row r="1696" spans="1:5" x14ac:dyDescent="0.25">
      <c r="A1696" s="44" t="s">
        <v>3880</v>
      </c>
      <c r="B1696" s="38" t="s">
        <v>3881</v>
      </c>
      <c r="C1696" s="43">
        <v>10.8</v>
      </c>
      <c r="D1696" s="39">
        <v>8.1000000000000014</v>
      </c>
      <c r="E1696" s="14">
        <v>0.24999999999999989</v>
      </c>
    </row>
    <row r="1697" spans="1:5" x14ac:dyDescent="0.25">
      <c r="A1697" s="44" t="s">
        <v>3882</v>
      </c>
      <c r="B1697" s="38" t="s">
        <v>3883</v>
      </c>
      <c r="C1697" s="43">
        <v>16.8</v>
      </c>
      <c r="D1697" s="39">
        <v>12.600000000000001</v>
      </c>
      <c r="E1697" s="14">
        <v>0.25</v>
      </c>
    </row>
    <row r="1698" spans="1:5" x14ac:dyDescent="0.25">
      <c r="A1698" s="44" t="s">
        <v>3884</v>
      </c>
      <c r="B1698" s="38" t="s">
        <v>3885</v>
      </c>
      <c r="C1698" s="43">
        <v>13.5</v>
      </c>
      <c r="D1698" s="39">
        <v>10.125</v>
      </c>
      <c r="E1698" s="14">
        <v>0.25</v>
      </c>
    </row>
    <row r="1699" spans="1:5" x14ac:dyDescent="0.25">
      <c r="A1699" s="44" t="s">
        <v>3886</v>
      </c>
      <c r="B1699" s="38" t="s">
        <v>3887</v>
      </c>
      <c r="C1699" s="43">
        <v>21</v>
      </c>
      <c r="D1699" s="39">
        <v>15.75</v>
      </c>
      <c r="E1699" s="14">
        <v>0.25</v>
      </c>
    </row>
    <row r="1700" spans="1:5" x14ac:dyDescent="0.25">
      <c r="A1700" s="44" t="s">
        <v>3888</v>
      </c>
      <c r="B1700" s="38" t="s">
        <v>3889</v>
      </c>
      <c r="C1700" s="43">
        <v>9.5399999999999991</v>
      </c>
      <c r="D1700" s="39">
        <v>7.1549999999999994</v>
      </c>
      <c r="E1700" s="14">
        <v>0.25</v>
      </c>
    </row>
    <row r="1701" spans="1:5" x14ac:dyDescent="0.25">
      <c r="A1701" s="44" t="s">
        <v>3890</v>
      </c>
      <c r="B1701" s="38" t="s">
        <v>3891</v>
      </c>
      <c r="C1701" s="43">
        <v>14.84</v>
      </c>
      <c r="D1701" s="39">
        <v>11.129999999999999</v>
      </c>
      <c r="E1701" s="14">
        <v>0.25000000000000011</v>
      </c>
    </row>
    <row r="1702" spans="1:5" x14ac:dyDescent="0.25">
      <c r="A1702" s="44" t="s">
        <v>3892</v>
      </c>
      <c r="B1702" s="38" t="s">
        <v>3893</v>
      </c>
      <c r="C1702" s="43">
        <v>12.78</v>
      </c>
      <c r="D1702" s="39">
        <v>9.5849999999999991</v>
      </c>
      <c r="E1702" s="14">
        <v>0.25</v>
      </c>
    </row>
    <row r="1703" spans="1:5" x14ac:dyDescent="0.25">
      <c r="A1703" s="44" t="s">
        <v>3894</v>
      </c>
      <c r="B1703" s="38" t="s">
        <v>3895</v>
      </c>
      <c r="C1703" s="43">
        <v>19.88</v>
      </c>
      <c r="D1703" s="39">
        <v>14.91</v>
      </c>
      <c r="E1703" s="14">
        <v>0.25</v>
      </c>
    </row>
    <row r="1704" spans="1:5" x14ac:dyDescent="0.25">
      <c r="A1704" s="44" t="s">
        <v>3896</v>
      </c>
      <c r="B1704" s="38" t="s">
        <v>3897</v>
      </c>
      <c r="C1704" s="43">
        <v>36</v>
      </c>
      <c r="D1704" s="39">
        <v>27</v>
      </c>
      <c r="E1704" s="14">
        <v>0.25</v>
      </c>
    </row>
    <row r="1705" spans="1:5" x14ac:dyDescent="0.25">
      <c r="A1705" s="44" t="s">
        <v>3898</v>
      </c>
      <c r="B1705" s="38" t="s">
        <v>3899</v>
      </c>
      <c r="C1705" s="43">
        <v>56</v>
      </c>
      <c r="D1705" s="39">
        <v>42</v>
      </c>
      <c r="E1705" s="14">
        <v>0.25</v>
      </c>
    </row>
    <row r="1706" spans="1:5" x14ac:dyDescent="0.25">
      <c r="A1706" s="44" t="s">
        <v>3900</v>
      </c>
      <c r="B1706" s="38" t="s">
        <v>3901</v>
      </c>
      <c r="C1706" s="43">
        <v>9000</v>
      </c>
      <c r="D1706" s="39">
        <v>6750</v>
      </c>
      <c r="E1706" s="14">
        <v>0.25</v>
      </c>
    </row>
    <row r="1707" spans="1:5" x14ac:dyDescent="0.25">
      <c r="A1707" s="44" t="s">
        <v>3902</v>
      </c>
      <c r="B1707" s="38" t="s">
        <v>3903</v>
      </c>
      <c r="C1707" s="43">
        <v>14000</v>
      </c>
      <c r="D1707" s="39">
        <v>10500</v>
      </c>
      <c r="E1707" s="14">
        <v>0.25</v>
      </c>
    </row>
    <row r="1708" spans="1:5" x14ac:dyDescent="0.25">
      <c r="A1708" s="44" t="s">
        <v>3904</v>
      </c>
      <c r="B1708" s="38" t="s">
        <v>3905</v>
      </c>
      <c r="C1708" s="43">
        <v>6300</v>
      </c>
      <c r="D1708" s="39">
        <v>4725</v>
      </c>
      <c r="E1708" s="14">
        <v>0.25</v>
      </c>
    </row>
    <row r="1709" spans="1:5" x14ac:dyDescent="0.25">
      <c r="A1709" s="44" t="s">
        <v>3906</v>
      </c>
      <c r="B1709" s="38" t="s">
        <v>3907</v>
      </c>
      <c r="C1709" s="43">
        <v>9800</v>
      </c>
      <c r="D1709" s="39">
        <v>7350</v>
      </c>
      <c r="E1709" s="14">
        <v>0.25</v>
      </c>
    </row>
    <row r="1710" spans="1:5" x14ac:dyDescent="0.25">
      <c r="A1710" s="44" t="s">
        <v>3908</v>
      </c>
      <c r="B1710" s="38" t="s">
        <v>3909</v>
      </c>
      <c r="C1710" s="43">
        <v>1800</v>
      </c>
      <c r="D1710" s="39">
        <v>1350</v>
      </c>
      <c r="E1710" s="14">
        <v>0.25</v>
      </c>
    </row>
    <row r="1711" spans="1:5" x14ac:dyDescent="0.25">
      <c r="A1711" s="44" t="s">
        <v>3910</v>
      </c>
      <c r="B1711" s="38" t="s">
        <v>3911</v>
      </c>
      <c r="C1711" s="43">
        <v>2800</v>
      </c>
      <c r="D1711" s="39">
        <v>2100</v>
      </c>
      <c r="E1711" s="14">
        <v>0.25</v>
      </c>
    </row>
    <row r="1712" spans="1:5" x14ac:dyDescent="0.25">
      <c r="A1712" s="44" t="s">
        <v>3912</v>
      </c>
      <c r="B1712" s="38" t="s">
        <v>3913</v>
      </c>
      <c r="C1712" s="43">
        <v>5.58</v>
      </c>
      <c r="D1712" s="39">
        <v>4.1850000000000005</v>
      </c>
      <c r="E1712" s="14">
        <v>0.24999999999999989</v>
      </c>
    </row>
    <row r="1713" spans="1:5" x14ac:dyDescent="0.25">
      <c r="A1713" s="44" t="s">
        <v>3914</v>
      </c>
      <c r="B1713" s="38" t="s">
        <v>3915</v>
      </c>
      <c r="C1713" s="43">
        <v>8.68</v>
      </c>
      <c r="D1713" s="39">
        <v>6.51</v>
      </c>
      <c r="E1713" s="14">
        <v>0.25</v>
      </c>
    </row>
    <row r="1714" spans="1:5" x14ac:dyDescent="0.25">
      <c r="A1714" s="44" t="s">
        <v>3916</v>
      </c>
      <c r="B1714" s="38" t="s">
        <v>3917</v>
      </c>
      <c r="C1714" s="43">
        <v>7.2</v>
      </c>
      <c r="D1714" s="39">
        <v>5.4</v>
      </c>
      <c r="E1714" s="14">
        <v>0.25</v>
      </c>
    </row>
    <row r="1715" spans="1:5" x14ac:dyDescent="0.25">
      <c r="A1715" s="44" t="s">
        <v>3918</v>
      </c>
      <c r="B1715" s="38" t="s">
        <v>3919</v>
      </c>
      <c r="C1715" s="43">
        <v>11.2</v>
      </c>
      <c r="D1715" s="39">
        <v>8.3999999999999986</v>
      </c>
      <c r="E1715" s="14">
        <v>0.25000000000000011</v>
      </c>
    </row>
    <row r="1716" spans="1:5" x14ac:dyDescent="0.25">
      <c r="A1716" s="44" t="s">
        <v>3920</v>
      </c>
      <c r="B1716" s="38" t="s">
        <v>3921</v>
      </c>
      <c r="C1716" s="43">
        <v>4.68</v>
      </c>
      <c r="D1716" s="39">
        <v>3.51</v>
      </c>
      <c r="E1716" s="14">
        <v>0.25</v>
      </c>
    </row>
    <row r="1717" spans="1:5" x14ac:dyDescent="0.25">
      <c r="A1717" s="44" t="s">
        <v>3922</v>
      </c>
      <c r="B1717" s="38" t="s">
        <v>3923</v>
      </c>
      <c r="C1717" s="43">
        <v>7.28</v>
      </c>
      <c r="D1717" s="39">
        <v>5.46</v>
      </c>
      <c r="E1717" s="14">
        <v>0.25</v>
      </c>
    </row>
    <row r="1718" spans="1:5" x14ac:dyDescent="0.25">
      <c r="A1718" s="44" t="s">
        <v>3924</v>
      </c>
      <c r="B1718" s="38" t="s">
        <v>3925</v>
      </c>
      <c r="C1718" s="43">
        <v>6.3</v>
      </c>
      <c r="D1718" s="39">
        <v>4.7249999999999996</v>
      </c>
      <c r="E1718" s="14">
        <v>0.25</v>
      </c>
    </row>
    <row r="1719" spans="1:5" x14ac:dyDescent="0.25">
      <c r="A1719" s="44" t="s">
        <v>3926</v>
      </c>
      <c r="B1719" s="38" t="s">
        <v>3927</v>
      </c>
      <c r="C1719" s="43">
        <v>9.8000000000000007</v>
      </c>
      <c r="D1719" s="39">
        <v>7.3500000000000005</v>
      </c>
      <c r="E1719" s="14">
        <v>0.25</v>
      </c>
    </row>
    <row r="1720" spans="1:5" x14ac:dyDescent="0.25">
      <c r="A1720" s="44" t="s">
        <v>3928</v>
      </c>
      <c r="B1720" s="38" t="s">
        <v>3929</v>
      </c>
      <c r="C1720" s="43">
        <v>12.78</v>
      </c>
      <c r="D1720" s="39">
        <v>9.5849999999999991</v>
      </c>
      <c r="E1720" s="14">
        <v>0.25</v>
      </c>
    </row>
    <row r="1721" spans="1:5" x14ac:dyDescent="0.25">
      <c r="A1721" s="44" t="s">
        <v>3930</v>
      </c>
      <c r="B1721" s="38" t="s">
        <v>3931</v>
      </c>
      <c r="C1721" s="43">
        <v>19.88</v>
      </c>
      <c r="D1721" s="39">
        <v>14.91</v>
      </c>
      <c r="E1721" s="14">
        <v>0.25</v>
      </c>
    </row>
    <row r="1722" spans="1:5" x14ac:dyDescent="0.25">
      <c r="A1722" s="44" t="s">
        <v>3932</v>
      </c>
      <c r="B1722" s="38" t="s">
        <v>3933</v>
      </c>
      <c r="C1722" s="43">
        <v>25.74</v>
      </c>
      <c r="D1722" s="39">
        <v>19.305</v>
      </c>
      <c r="E1722" s="14">
        <v>0.25</v>
      </c>
    </row>
    <row r="1723" spans="1:5" x14ac:dyDescent="0.25">
      <c r="A1723" s="44" t="s">
        <v>3934</v>
      </c>
      <c r="B1723" s="38" t="s">
        <v>3935</v>
      </c>
      <c r="C1723" s="43">
        <v>40.04</v>
      </c>
      <c r="D1723" s="39">
        <v>30.03</v>
      </c>
      <c r="E1723" s="14">
        <v>0.25</v>
      </c>
    </row>
    <row r="1724" spans="1:5" x14ac:dyDescent="0.25">
      <c r="A1724" s="44" t="s">
        <v>3936</v>
      </c>
      <c r="B1724" s="38" t="s">
        <v>3937</v>
      </c>
      <c r="C1724" s="43">
        <v>16.2</v>
      </c>
      <c r="D1724" s="39">
        <v>12.149999999999999</v>
      </c>
      <c r="E1724" s="14">
        <v>0.25</v>
      </c>
    </row>
    <row r="1725" spans="1:5" x14ac:dyDescent="0.25">
      <c r="A1725" s="44" t="s">
        <v>3938</v>
      </c>
      <c r="B1725" s="38" t="s">
        <v>3939</v>
      </c>
      <c r="C1725" s="43">
        <v>25.2</v>
      </c>
      <c r="D1725" s="39">
        <v>18.899999999999999</v>
      </c>
      <c r="E1725" s="14">
        <v>0.25</v>
      </c>
    </row>
    <row r="1726" spans="1:5" x14ac:dyDescent="0.25">
      <c r="A1726" s="44" t="s">
        <v>3940</v>
      </c>
      <c r="B1726" s="38" t="s">
        <v>3941</v>
      </c>
      <c r="C1726" s="43">
        <v>9.5399999999999991</v>
      </c>
      <c r="D1726" s="39">
        <v>7.1549999999999994</v>
      </c>
      <c r="E1726" s="14">
        <v>0.25</v>
      </c>
    </row>
    <row r="1727" spans="1:5" x14ac:dyDescent="0.25">
      <c r="A1727" s="44" t="s">
        <v>3942</v>
      </c>
      <c r="B1727" s="38" t="s">
        <v>3943</v>
      </c>
      <c r="C1727" s="43">
        <v>14.84</v>
      </c>
      <c r="D1727" s="39">
        <v>11.129999999999999</v>
      </c>
      <c r="E1727" s="14">
        <v>0.25000000000000011</v>
      </c>
    </row>
    <row r="1728" spans="1:5" x14ac:dyDescent="0.25">
      <c r="A1728" s="44" t="s">
        <v>3944</v>
      </c>
      <c r="B1728" s="38" t="s">
        <v>3945</v>
      </c>
      <c r="C1728" s="43">
        <v>12.06</v>
      </c>
      <c r="D1728" s="39">
        <v>9.0449999999999999</v>
      </c>
      <c r="E1728" s="14">
        <v>0.25</v>
      </c>
    </row>
    <row r="1729" spans="1:5" x14ac:dyDescent="0.25">
      <c r="A1729" s="44" t="s">
        <v>3946</v>
      </c>
      <c r="B1729" s="38" t="s">
        <v>3947</v>
      </c>
      <c r="C1729" s="43">
        <v>18.760000000000002</v>
      </c>
      <c r="D1729" s="39">
        <v>14.07</v>
      </c>
      <c r="E1729" s="14">
        <v>0.25</v>
      </c>
    </row>
    <row r="1730" spans="1:5" x14ac:dyDescent="0.25">
      <c r="A1730" s="44" t="s">
        <v>3948</v>
      </c>
      <c r="B1730" s="38" t="s">
        <v>3949</v>
      </c>
      <c r="C1730" s="43">
        <v>8.4600000000000009</v>
      </c>
      <c r="D1730" s="39">
        <v>6.3450000000000006</v>
      </c>
      <c r="E1730" s="14">
        <v>0.25</v>
      </c>
    </row>
    <row r="1731" spans="1:5" x14ac:dyDescent="0.25">
      <c r="A1731" s="44" t="s">
        <v>3950</v>
      </c>
      <c r="B1731" s="38" t="s">
        <v>3951</v>
      </c>
      <c r="C1731" s="43">
        <v>13.16</v>
      </c>
      <c r="D1731" s="39">
        <v>9.870000000000001</v>
      </c>
      <c r="E1731" s="14">
        <v>0.24999999999999989</v>
      </c>
    </row>
    <row r="1732" spans="1:5" x14ac:dyDescent="0.25">
      <c r="A1732" s="44" t="s">
        <v>3952</v>
      </c>
      <c r="B1732" s="38" t="s">
        <v>3953</v>
      </c>
      <c r="C1732" s="43">
        <v>14.04</v>
      </c>
      <c r="D1732" s="39">
        <v>10.53</v>
      </c>
      <c r="E1732" s="14">
        <v>0.25</v>
      </c>
    </row>
    <row r="1733" spans="1:5" x14ac:dyDescent="0.25">
      <c r="A1733" s="44" t="s">
        <v>3954</v>
      </c>
      <c r="B1733" s="38" t="s">
        <v>3955</v>
      </c>
      <c r="C1733" s="43">
        <v>21.84</v>
      </c>
      <c r="D1733" s="39">
        <v>16.38</v>
      </c>
      <c r="E1733" s="14">
        <v>0.25</v>
      </c>
    </row>
    <row r="1734" spans="1:5" x14ac:dyDescent="0.25">
      <c r="A1734" s="44" t="s">
        <v>3956</v>
      </c>
      <c r="B1734" s="38" t="s">
        <v>3957</v>
      </c>
      <c r="C1734" s="43">
        <v>20.52</v>
      </c>
      <c r="D1734" s="39">
        <v>15.39</v>
      </c>
      <c r="E1734" s="14">
        <v>0.25</v>
      </c>
    </row>
    <row r="1735" spans="1:5" x14ac:dyDescent="0.25">
      <c r="A1735" s="44" t="s">
        <v>3958</v>
      </c>
      <c r="B1735" s="38" t="s">
        <v>3959</v>
      </c>
      <c r="C1735" s="43">
        <v>31.92</v>
      </c>
      <c r="D1735" s="39">
        <v>23.94</v>
      </c>
      <c r="E1735" s="14">
        <v>0.25</v>
      </c>
    </row>
    <row r="1736" spans="1:5" x14ac:dyDescent="0.25">
      <c r="A1736" s="44" t="s">
        <v>3960</v>
      </c>
      <c r="B1736" s="38" t="s">
        <v>3961</v>
      </c>
      <c r="C1736" s="43">
        <v>10.26</v>
      </c>
      <c r="D1736" s="39">
        <v>7.6950000000000003</v>
      </c>
      <c r="E1736" s="14">
        <v>0.25</v>
      </c>
    </row>
    <row r="1737" spans="1:5" x14ac:dyDescent="0.25">
      <c r="A1737" s="44" t="s">
        <v>3962</v>
      </c>
      <c r="B1737" s="38" t="s">
        <v>3963</v>
      </c>
      <c r="C1737" s="43">
        <v>15.96</v>
      </c>
      <c r="D1737" s="39">
        <v>11.97</v>
      </c>
      <c r="E1737" s="14">
        <v>0.25</v>
      </c>
    </row>
    <row r="1738" spans="1:5" x14ac:dyDescent="0.25">
      <c r="A1738" s="44" t="s">
        <v>3964</v>
      </c>
      <c r="B1738" s="38" t="s">
        <v>3965</v>
      </c>
      <c r="C1738" s="43">
        <v>13.5</v>
      </c>
      <c r="D1738" s="39">
        <v>10.125</v>
      </c>
      <c r="E1738" s="14">
        <v>0.25</v>
      </c>
    </row>
    <row r="1739" spans="1:5" x14ac:dyDescent="0.25">
      <c r="A1739" s="44" t="s">
        <v>3966</v>
      </c>
      <c r="B1739" s="38" t="s">
        <v>3967</v>
      </c>
      <c r="C1739" s="43">
        <v>21</v>
      </c>
      <c r="D1739" s="39">
        <v>15.75</v>
      </c>
      <c r="E1739" s="14">
        <v>0.25</v>
      </c>
    </row>
    <row r="1740" spans="1:5" x14ac:dyDescent="0.25">
      <c r="A1740" s="44" t="s">
        <v>3968</v>
      </c>
      <c r="B1740" s="38" t="s">
        <v>3969</v>
      </c>
      <c r="C1740" s="43">
        <v>49500</v>
      </c>
      <c r="D1740" s="39">
        <v>37125</v>
      </c>
      <c r="E1740" s="14">
        <v>0.25</v>
      </c>
    </row>
    <row r="1741" spans="1:5" x14ac:dyDescent="0.25">
      <c r="A1741" s="44" t="s">
        <v>3970</v>
      </c>
      <c r="B1741" s="38" t="s">
        <v>3971</v>
      </c>
      <c r="C1741" s="43">
        <v>77000</v>
      </c>
      <c r="D1741" s="39">
        <v>57750</v>
      </c>
      <c r="E1741" s="14">
        <v>0.25</v>
      </c>
    </row>
    <row r="1742" spans="1:5" x14ac:dyDescent="0.25">
      <c r="A1742" s="44" t="s">
        <v>3972</v>
      </c>
      <c r="B1742" s="38" t="s">
        <v>3973</v>
      </c>
      <c r="C1742" s="43">
        <v>49500</v>
      </c>
      <c r="D1742" s="39">
        <v>37125</v>
      </c>
      <c r="E1742" s="14">
        <v>0.25</v>
      </c>
    </row>
    <row r="1743" spans="1:5" x14ac:dyDescent="0.25">
      <c r="A1743" s="44" t="s">
        <v>3974</v>
      </c>
      <c r="B1743" s="38" t="s">
        <v>3975</v>
      </c>
      <c r="C1743" s="43">
        <v>77000</v>
      </c>
      <c r="D1743" s="39">
        <v>57750</v>
      </c>
      <c r="E1743" s="14">
        <v>0.25</v>
      </c>
    </row>
    <row r="1744" spans="1:5" x14ac:dyDescent="0.25">
      <c r="A1744" s="44" t="s">
        <v>3976</v>
      </c>
      <c r="B1744" s="38" t="s">
        <v>3977</v>
      </c>
      <c r="C1744" s="43">
        <v>49500</v>
      </c>
      <c r="D1744" s="39">
        <v>37125</v>
      </c>
      <c r="E1744" s="14">
        <v>0.25</v>
      </c>
    </row>
    <row r="1745" spans="1:5" x14ac:dyDescent="0.25">
      <c r="A1745" s="44" t="s">
        <v>3978</v>
      </c>
      <c r="B1745" s="38" t="s">
        <v>3979</v>
      </c>
      <c r="C1745" s="43">
        <v>77000</v>
      </c>
      <c r="D1745" s="39">
        <v>57750</v>
      </c>
      <c r="E1745" s="14">
        <v>0.25</v>
      </c>
    </row>
    <row r="1746" spans="1:5" x14ac:dyDescent="0.25">
      <c r="A1746" s="44" t="s">
        <v>3980</v>
      </c>
      <c r="B1746" s="38" t="s">
        <v>3981</v>
      </c>
      <c r="C1746" s="43">
        <v>49500</v>
      </c>
      <c r="D1746" s="39">
        <v>37125</v>
      </c>
      <c r="E1746" s="14">
        <v>0.25</v>
      </c>
    </row>
    <row r="1747" spans="1:5" x14ac:dyDescent="0.25">
      <c r="A1747" s="44" t="s">
        <v>3982</v>
      </c>
      <c r="B1747" s="38" t="s">
        <v>3983</v>
      </c>
      <c r="C1747" s="43">
        <v>77000</v>
      </c>
      <c r="D1747" s="39">
        <v>57750</v>
      </c>
      <c r="E1747" s="14">
        <v>0.25</v>
      </c>
    </row>
    <row r="1748" spans="1:5" x14ac:dyDescent="0.25">
      <c r="A1748" s="44" t="s">
        <v>3984</v>
      </c>
      <c r="B1748" s="38" t="s">
        <v>3985</v>
      </c>
      <c r="C1748" s="43">
        <v>1800</v>
      </c>
      <c r="D1748" s="39">
        <v>1350</v>
      </c>
      <c r="E1748" s="14">
        <v>0.25</v>
      </c>
    </row>
    <row r="1749" spans="1:5" x14ac:dyDescent="0.25">
      <c r="A1749" s="44" t="s">
        <v>3986</v>
      </c>
      <c r="B1749" s="38" t="s">
        <v>3987</v>
      </c>
      <c r="C1749" s="43">
        <v>2800</v>
      </c>
      <c r="D1749" s="39">
        <v>2100</v>
      </c>
      <c r="E1749" s="14">
        <v>0.25</v>
      </c>
    </row>
    <row r="1750" spans="1:5" x14ac:dyDescent="0.25">
      <c r="A1750" s="44" t="s">
        <v>3988</v>
      </c>
      <c r="B1750" s="38" t="s">
        <v>3989</v>
      </c>
      <c r="C1750" s="43">
        <v>13.5</v>
      </c>
      <c r="D1750" s="39">
        <v>10.125</v>
      </c>
      <c r="E1750" s="14">
        <v>0.25</v>
      </c>
    </row>
    <row r="1751" spans="1:5" x14ac:dyDescent="0.25">
      <c r="A1751" s="44" t="s">
        <v>3990</v>
      </c>
      <c r="B1751" s="38" t="s">
        <v>3991</v>
      </c>
      <c r="C1751" s="43">
        <v>21</v>
      </c>
      <c r="D1751" s="39">
        <v>15.75</v>
      </c>
      <c r="E1751" s="14">
        <v>0.25</v>
      </c>
    </row>
    <row r="1752" spans="1:5" x14ac:dyDescent="0.25">
      <c r="A1752" s="44" t="s">
        <v>3992</v>
      </c>
      <c r="B1752" s="38" t="s">
        <v>3993</v>
      </c>
      <c r="C1752" s="43">
        <v>13500</v>
      </c>
      <c r="D1752" s="39">
        <v>10125</v>
      </c>
      <c r="E1752" s="14">
        <v>0.25</v>
      </c>
    </row>
    <row r="1753" spans="1:5" x14ac:dyDescent="0.25">
      <c r="A1753" s="44" t="s">
        <v>3994</v>
      </c>
      <c r="B1753" s="38" t="s">
        <v>3995</v>
      </c>
      <c r="C1753" s="43">
        <v>21000</v>
      </c>
      <c r="D1753" s="39">
        <v>15750</v>
      </c>
      <c r="E1753" s="14">
        <v>0.25</v>
      </c>
    </row>
    <row r="1754" spans="1:5" x14ac:dyDescent="0.25">
      <c r="A1754" s="44" t="s">
        <v>3996</v>
      </c>
      <c r="B1754" s="38" t="s">
        <v>3997</v>
      </c>
      <c r="C1754" s="43">
        <v>3600</v>
      </c>
      <c r="D1754" s="39">
        <v>2700</v>
      </c>
      <c r="E1754" s="14">
        <v>0.25</v>
      </c>
    </row>
    <row r="1755" spans="1:5" x14ac:dyDescent="0.25">
      <c r="A1755" s="44" t="s">
        <v>3998</v>
      </c>
      <c r="B1755" s="38" t="s">
        <v>3999</v>
      </c>
      <c r="C1755" s="43">
        <v>5600</v>
      </c>
      <c r="D1755" s="39">
        <v>4200</v>
      </c>
      <c r="E1755" s="14">
        <v>0.25</v>
      </c>
    </row>
    <row r="1756" spans="1:5" x14ac:dyDescent="0.25">
      <c r="A1756" s="44" t="s">
        <v>4000</v>
      </c>
      <c r="B1756" s="38" t="s">
        <v>4001</v>
      </c>
      <c r="C1756" s="43">
        <v>2340</v>
      </c>
      <c r="D1756" s="39">
        <v>1755</v>
      </c>
      <c r="E1756" s="14">
        <v>0.25</v>
      </c>
    </row>
    <row r="1757" spans="1:5" x14ac:dyDescent="0.25">
      <c r="A1757" s="44" t="s">
        <v>4002</v>
      </c>
      <c r="B1757" s="38" t="s">
        <v>4003</v>
      </c>
      <c r="C1757" s="43">
        <v>3640</v>
      </c>
      <c r="D1757" s="39">
        <v>2730</v>
      </c>
      <c r="E1757" s="14">
        <v>0.25</v>
      </c>
    </row>
    <row r="1758" spans="1:5" x14ac:dyDescent="0.25">
      <c r="A1758" s="44" t="s">
        <v>4004</v>
      </c>
      <c r="B1758" s="38" t="s">
        <v>4005</v>
      </c>
      <c r="C1758" s="43">
        <v>2340</v>
      </c>
      <c r="D1758" s="39">
        <v>1755</v>
      </c>
      <c r="E1758" s="14">
        <v>0.25</v>
      </c>
    </row>
    <row r="1759" spans="1:5" x14ac:dyDescent="0.25">
      <c r="A1759" s="44" t="s">
        <v>4006</v>
      </c>
      <c r="B1759" s="38" t="s">
        <v>4007</v>
      </c>
      <c r="C1759" s="43">
        <v>3640</v>
      </c>
      <c r="D1759" s="39">
        <v>2730</v>
      </c>
      <c r="E1759" s="14">
        <v>0.25</v>
      </c>
    </row>
    <row r="1760" spans="1:5" x14ac:dyDescent="0.25">
      <c r="A1760" s="44" t="s">
        <v>4008</v>
      </c>
      <c r="B1760" s="38" t="s">
        <v>4009</v>
      </c>
      <c r="C1760" s="43">
        <v>2925</v>
      </c>
      <c r="D1760" s="39">
        <v>2193.75</v>
      </c>
      <c r="E1760" s="14">
        <v>0.25</v>
      </c>
    </row>
    <row r="1761" spans="1:5" x14ac:dyDescent="0.25">
      <c r="A1761" s="44" t="s">
        <v>4010</v>
      </c>
      <c r="B1761" s="38" t="s">
        <v>4011</v>
      </c>
      <c r="C1761" s="43">
        <v>4550</v>
      </c>
      <c r="D1761" s="39">
        <v>3412.5</v>
      </c>
      <c r="E1761" s="14">
        <v>0.25</v>
      </c>
    </row>
    <row r="1762" spans="1:5" x14ac:dyDescent="0.25">
      <c r="A1762" s="44" t="s">
        <v>4012</v>
      </c>
      <c r="B1762" s="38" t="s">
        <v>4013</v>
      </c>
      <c r="C1762" s="43">
        <v>2925</v>
      </c>
      <c r="D1762" s="39">
        <v>2193.75</v>
      </c>
      <c r="E1762" s="14">
        <v>0.25</v>
      </c>
    </row>
    <row r="1763" spans="1:5" x14ac:dyDescent="0.25">
      <c r="A1763" s="44" t="s">
        <v>4014</v>
      </c>
      <c r="B1763" s="38" t="s">
        <v>4015</v>
      </c>
      <c r="C1763" s="43">
        <v>4550</v>
      </c>
      <c r="D1763" s="39">
        <v>3412.5</v>
      </c>
      <c r="E1763" s="14">
        <v>0.25</v>
      </c>
    </row>
    <row r="1764" spans="1:5" x14ac:dyDescent="0.25">
      <c r="A1764" s="44" t="s">
        <v>4016</v>
      </c>
      <c r="B1764" s="38" t="s">
        <v>4017</v>
      </c>
      <c r="C1764" s="43">
        <v>4477.5</v>
      </c>
      <c r="D1764" s="39">
        <v>3358.125</v>
      </c>
      <c r="E1764" s="14">
        <v>0.25</v>
      </c>
    </row>
    <row r="1765" spans="1:5" x14ac:dyDescent="0.25">
      <c r="A1765" s="44" t="s">
        <v>4018</v>
      </c>
      <c r="B1765" s="38" t="s">
        <v>4019</v>
      </c>
      <c r="C1765" s="43">
        <v>6965</v>
      </c>
      <c r="D1765" s="39">
        <v>5223.75</v>
      </c>
      <c r="E1765" s="14">
        <v>0.25</v>
      </c>
    </row>
    <row r="1766" spans="1:5" x14ac:dyDescent="0.25">
      <c r="A1766" s="44" t="s">
        <v>4020</v>
      </c>
      <c r="B1766" s="38" t="s">
        <v>4021</v>
      </c>
      <c r="C1766" s="43">
        <v>4477.5</v>
      </c>
      <c r="D1766" s="39">
        <v>3358.125</v>
      </c>
      <c r="E1766" s="14">
        <v>0.25</v>
      </c>
    </row>
    <row r="1767" spans="1:5" x14ac:dyDescent="0.25">
      <c r="A1767" s="44" t="s">
        <v>4022</v>
      </c>
      <c r="B1767" s="38" t="s">
        <v>4023</v>
      </c>
      <c r="C1767" s="43">
        <v>6965</v>
      </c>
      <c r="D1767" s="39">
        <v>5223.75</v>
      </c>
      <c r="E1767" s="14">
        <v>0.25</v>
      </c>
    </row>
    <row r="1768" spans="1:5" x14ac:dyDescent="0.25">
      <c r="A1768" s="44" t="s">
        <v>4024</v>
      </c>
      <c r="B1768" s="38" t="s">
        <v>4025</v>
      </c>
      <c r="C1768" s="43">
        <v>6435</v>
      </c>
      <c r="D1768" s="39">
        <v>4826.25</v>
      </c>
      <c r="E1768" s="14">
        <v>0.25</v>
      </c>
    </row>
    <row r="1769" spans="1:5" x14ac:dyDescent="0.25">
      <c r="A1769" s="44" t="s">
        <v>4026</v>
      </c>
      <c r="B1769" s="38" t="s">
        <v>4027</v>
      </c>
      <c r="C1769" s="43">
        <v>10010</v>
      </c>
      <c r="D1769" s="39">
        <v>7507.5</v>
      </c>
      <c r="E1769" s="14">
        <v>0.25</v>
      </c>
    </row>
    <row r="1770" spans="1:5" x14ac:dyDescent="0.25">
      <c r="A1770" s="44" t="s">
        <v>4028</v>
      </c>
      <c r="B1770" s="38" t="s">
        <v>4029</v>
      </c>
      <c r="C1770" s="43">
        <v>6435</v>
      </c>
      <c r="D1770" s="39">
        <v>4826.25</v>
      </c>
      <c r="E1770" s="14">
        <v>0.25</v>
      </c>
    </row>
    <row r="1771" spans="1:5" x14ac:dyDescent="0.25">
      <c r="A1771" s="44" t="s">
        <v>4030</v>
      </c>
      <c r="B1771" s="38" t="s">
        <v>4031</v>
      </c>
      <c r="C1771" s="43">
        <v>10010</v>
      </c>
      <c r="D1771" s="39">
        <v>7507.5</v>
      </c>
      <c r="E1771" s="14">
        <v>0.25</v>
      </c>
    </row>
    <row r="1772" spans="1:5" x14ac:dyDescent="0.25">
      <c r="A1772" s="44" t="s">
        <v>4032</v>
      </c>
      <c r="B1772" s="38" t="s">
        <v>4033</v>
      </c>
      <c r="C1772" s="43">
        <v>9967.5</v>
      </c>
      <c r="D1772" s="39">
        <v>7475.625</v>
      </c>
      <c r="E1772" s="14">
        <v>0.25</v>
      </c>
    </row>
    <row r="1773" spans="1:5" x14ac:dyDescent="0.25">
      <c r="A1773" s="44" t="s">
        <v>4034</v>
      </c>
      <c r="B1773" s="38" t="s">
        <v>4035</v>
      </c>
      <c r="C1773" s="43">
        <v>15505</v>
      </c>
      <c r="D1773" s="39">
        <v>11628.75</v>
      </c>
      <c r="E1773" s="14">
        <v>0.25</v>
      </c>
    </row>
    <row r="1774" spans="1:5" x14ac:dyDescent="0.25">
      <c r="A1774" s="44" t="s">
        <v>4036</v>
      </c>
      <c r="B1774" s="38" t="s">
        <v>4037</v>
      </c>
      <c r="C1774" s="43">
        <v>9967.5</v>
      </c>
      <c r="D1774" s="39">
        <v>7475.625</v>
      </c>
      <c r="E1774" s="14">
        <v>0.25</v>
      </c>
    </row>
    <row r="1775" spans="1:5" x14ac:dyDescent="0.25">
      <c r="A1775" s="44" t="s">
        <v>4038</v>
      </c>
      <c r="B1775" s="38" t="s">
        <v>4039</v>
      </c>
      <c r="C1775" s="43">
        <v>15505</v>
      </c>
      <c r="D1775" s="39">
        <v>11628.75</v>
      </c>
      <c r="E1775" s="14">
        <v>0.25</v>
      </c>
    </row>
    <row r="1776" spans="1:5" x14ac:dyDescent="0.25">
      <c r="A1776" s="44" t="s">
        <v>4040</v>
      </c>
      <c r="B1776" s="38" t="s">
        <v>4041</v>
      </c>
      <c r="C1776" s="43">
        <v>3690</v>
      </c>
      <c r="D1776" s="39">
        <v>2767.5</v>
      </c>
      <c r="E1776" s="14">
        <v>0.25</v>
      </c>
    </row>
    <row r="1777" spans="1:5" x14ac:dyDescent="0.25">
      <c r="A1777" s="44" t="s">
        <v>4042</v>
      </c>
      <c r="B1777" s="38" t="s">
        <v>4043</v>
      </c>
      <c r="C1777" s="43">
        <v>5740</v>
      </c>
      <c r="D1777" s="39">
        <v>4305</v>
      </c>
      <c r="E1777" s="14">
        <v>0.25</v>
      </c>
    </row>
    <row r="1778" spans="1:5" x14ac:dyDescent="0.25">
      <c r="A1778" s="44" t="s">
        <v>4044</v>
      </c>
      <c r="B1778" s="38" t="s">
        <v>4045</v>
      </c>
      <c r="C1778" s="43">
        <v>3690</v>
      </c>
      <c r="D1778" s="39">
        <v>2767.5</v>
      </c>
      <c r="E1778" s="14">
        <v>0.25</v>
      </c>
    </row>
    <row r="1779" spans="1:5" x14ac:dyDescent="0.25">
      <c r="A1779" s="44" t="s">
        <v>4046</v>
      </c>
      <c r="B1779" s="38" t="s">
        <v>4047</v>
      </c>
      <c r="C1779" s="43">
        <v>5740</v>
      </c>
      <c r="D1779" s="39">
        <v>4305</v>
      </c>
      <c r="E1779" s="14">
        <v>0.25</v>
      </c>
    </row>
    <row r="1780" spans="1:5" x14ac:dyDescent="0.25">
      <c r="A1780" s="44" t="s">
        <v>4048</v>
      </c>
      <c r="B1780" s="38" t="s">
        <v>4049</v>
      </c>
      <c r="C1780" s="43">
        <v>3690</v>
      </c>
      <c r="D1780" s="39">
        <v>2767.5</v>
      </c>
      <c r="E1780" s="14">
        <v>0.25</v>
      </c>
    </row>
    <row r="1781" spans="1:5" x14ac:dyDescent="0.25">
      <c r="A1781" s="44" t="s">
        <v>4050</v>
      </c>
      <c r="B1781" s="38" t="s">
        <v>4051</v>
      </c>
      <c r="C1781" s="43">
        <v>5740</v>
      </c>
      <c r="D1781" s="39">
        <v>4305</v>
      </c>
      <c r="E1781" s="14">
        <v>0.25</v>
      </c>
    </row>
    <row r="1782" spans="1:5" x14ac:dyDescent="0.25">
      <c r="A1782" s="44" t="s">
        <v>4052</v>
      </c>
      <c r="B1782" s="38" t="s">
        <v>4053</v>
      </c>
      <c r="C1782" s="43">
        <v>877.5</v>
      </c>
      <c r="D1782" s="39">
        <v>658.125</v>
      </c>
      <c r="E1782" s="14">
        <v>0.25</v>
      </c>
    </row>
    <row r="1783" spans="1:5" x14ac:dyDescent="0.25">
      <c r="A1783" s="44" t="s">
        <v>4054</v>
      </c>
      <c r="B1783" s="38" t="s">
        <v>4055</v>
      </c>
      <c r="C1783" s="43">
        <v>1365</v>
      </c>
      <c r="D1783" s="39">
        <v>1023.75</v>
      </c>
      <c r="E1783" s="14">
        <v>0.25</v>
      </c>
    </row>
    <row r="1784" spans="1:5" x14ac:dyDescent="0.25">
      <c r="A1784" s="44" t="s">
        <v>4056</v>
      </c>
      <c r="B1784" s="38" t="s">
        <v>4057</v>
      </c>
      <c r="C1784" s="43">
        <v>877.5</v>
      </c>
      <c r="D1784" s="39">
        <v>658.125</v>
      </c>
      <c r="E1784" s="14">
        <v>0.25</v>
      </c>
    </row>
    <row r="1785" spans="1:5" x14ac:dyDescent="0.25">
      <c r="A1785" s="44" t="s">
        <v>4058</v>
      </c>
      <c r="B1785" s="38" t="s">
        <v>4059</v>
      </c>
      <c r="C1785" s="43">
        <v>1365</v>
      </c>
      <c r="D1785" s="39">
        <v>1023.75</v>
      </c>
      <c r="E1785" s="14">
        <v>0.25</v>
      </c>
    </row>
    <row r="1786" spans="1:5" x14ac:dyDescent="0.25">
      <c r="A1786" s="44" t="s">
        <v>4060</v>
      </c>
      <c r="B1786" s="38" t="s">
        <v>4061</v>
      </c>
      <c r="C1786" s="43">
        <v>5400</v>
      </c>
      <c r="D1786" s="39">
        <v>4050</v>
      </c>
      <c r="E1786" s="14">
        <v>0.25</v>
      </c>
    </row>
    <row r="1787" spans="1:5" x14ac:dyDescent="0.25">
      <c r="A1787" s="44" t="s">
        <v>4062</v>
      </c>
      <c r="B1787" s="38" t="s">
        <v>4063</v>
      </c>
      <c r="C1787" s="43">
        <v>8400</v>
      </c>
      <c r="D1787" s="39">
        <v>6300</v>
      </c>
      <c r="E1787" s="14">
        <v>0.25</v>
      </c>
    </row>
    <row r="1788" spans="1:5" x14ac:dyDescent="0.25">
      <c r="A1788" s="44" t="s">
        <v>4064</v>
      </c>
      <c r="B1788" s="38" t="s">
        <v>4065</v>
      </c>
      <c r="C1788" s="43">
        <v>5400</v>
      </c>
      <c r="D1788" s="39">
        <v>4050</v>
      </c>
      <c r="E1788" s="14">
        <v>0.25</v>
      </c>
    </row>
    <row r="1789" spans="1:5" x14ac:dyDescent="0.25">
      <c r="A1789" s="44" t="s">
        <v>4066</v>
      </c>
      <c r="B1789" s="38" t="s">
        <v>4067</v>
      </c>
      <c r="C1789" s="43">
        <v>8400</v>
      </c>
      <c r="D1789" s="39">
        <v>6300</v>
      </c>
      <c r="E1789" s="14">
        <v>0.25</v>
      </c>
    </row>
    <row r="1790" spans="1:5" x14ac:dyDescent="0.25">
      <c r="A1790" s="44" t="s">
        <v>4068</v>
      </c>
      <c r="B1790" s="38" t="s">
        <v>4069</v>
      </c>
      <c r="C1790" s="43">
        <v>2700</v>
      </c>
      <c r="D1790" s="39">
        <v>2025</v>
      </c>
      <c r="E1790" s="14">
        <v>0.25</v>
      </c>
    </row>
    <row r="1791" spans="1:5" x14ac:dyDescent="0.25">
      <c r="A1791" s="44" t="s">
        <v>4070</v>
      </c>
      <c r="B1791" s="38" t="s">
        <v>4071</v>
      </c>
      <c r="C1791" s="43">
        <v>4200</v>
      </c>
      <c r="D1791" s="39">
        <v>3150</v>
      </c>
      <c r="E1791" s="14">
        <v>0.25</v>
      </c>
    </row>
    <row r="1792" spans="1:5" x14ac:dyDescent="0.25">
      <c r="A1792" s="44" t="s">
        <v>4072</v>
      </c>
      <c r="B1792" s="38" t="s">
        <v>4073</v>
      </c>
      <c r="C1792" s="43">
        <v>5400</v>
      </c>
      <c r="D1792" s="39">
        <v>4050</v>
      </c>
      <c r="E1792" s="14">
        <v>0.25</v>
      </c>
    </row>
    <row r="1793" spans="1:5" x14ac:dyDescent="0.25">
      <c r="A1793" s="44" t="s">
        <v>4074</v>
      </c>
      <c r="B1793" s="38" t="s">
        <v>4075</v>
      </c>
      <c r="C1793" s="43">
        <v>8400</v>
      </c>
      <c r="D1793" s="39">
        <v>6300</v>
      </c>
      <c r="E1793" s="14">
        <v>0.25</v>
      </c>
    </row>
    <row r="1794" spans="1:5" x14ac:dyDescent="0.25">
      <c r="A1794" s="44" t="s">
        <v>4076</v>
      </c>
      <c r="B1794" s="38" t="s">
        <v>4077</v>
      </c>
      <c r="C1794" s="43">
        <v>5400</v>
      </c>
      <c r="D1794" s="39">
        <v>4050</v>
      </c>
      <c r="E1794" s="14">
        <v>0.25</v>
      </c>
    </row>
    <row r="1795" spans="1:5" x14ac:dyDescent="0.25">
      <c r="A1795" s="44" t="s">
        <v>4078</v>
      </c>
      <c r="B1795" s="38" t="s">
        <v>4079</v>
      </c>
      <c r="C1795" s="43">
        <v>8400</v>
      </c>
      <c r="D1795" s="39">
        <v>6300</v>
      </c>
      <c r="E1795" s="14">
        <v>0.25</v>
      </c>
    </row>
    <row r="1796" spans="1:5" x14ac:dyDescent="0.25">
      <c r="A1796" s="44" t="s">
        <v>4080</v>
      </c>
      <c r="B1796" s="38" t="s">
        <v>4081</v>
      </c>
      <c r="C1796" s="43">
        <v>900</v>
      </c>
      <c r="D1796" s="39">
        <v>675</v>
      </c>
      <c r="E1796" s="14">
        <v>0.25</v>
      </c>
    </row>
    <row r="1797" spans="1:5" x14ac:dyDescent="0.25">
      <c r="A1797" s="44" t="s">
        <v>4082</v>
      </c>
      <c r="B1797" s="38" t="s">
        <v>4083</v>
      </c>
      <c r="C1797" s="43">
        <v>1400</v>
      </c>
      <c r="D1797" s="39">
        <v>1050</v>
      </c>
      <c r="E1797" s="14">
        <v>0.25</v>
      </c>
    </row>
    <row r="1798" spans="1:5" x14ac:dyDescent="0.25">
      <c r="A1798" s="44" t="s">
        <v>4084</v>
      </c>
      <c r="B1798" s="38" t="s">
        <v>4085</v>
      </c>
      <c r="C1798" s="43">
        <v>126</v>
      </c>
      <c r="D1798" s="39">
        <v>94.5</v>
      </c>
      <c r="E1798" s="14">
        <v>0.25</v>
      </c>
    </row>
    <row r="1799" spans="1:5" x14ac:dyDescent="0.25">
      <c r="A1799" s="44" t="s">
        <v>4086</v>
      </c>
      <c r="B1799" s="38" t="s">
        <v>4087</v>
      </c>
      <c r="C1799" s="43">
        <v>196</v>
      </c>
      <c r="D1799" s="39">
        <v>147</v>
      </c>
      <c r="E1799" s="14">
        <v>0.25</v>
      </c>
    </row>
    <row r="1800" spans="1:5" x14ac:dyDescent="0.25">
      <c r="A1800" s="44" t="s">
        <v>4088</v>
      </c>
      <c r="B1800" s="38" t="s">
        <v>4089</v>
      </c>
      <c r="C1800" s="43">
        <v>6300</v>
      </c>
      <c r="D1800" s="39">
        <v>4725</v>
      </c>
      <c r="E1800" s="14">
        <v>0.25</v>
      </c>
    </row>
    <row r="1801" spans="1:5" x14ac:dyDescent="0.25">
      <c r="A1801" s="44" t="s">
        <v>4090</v>
      </c>
      <c r="B1801" s="38" t="s">
        <v>4091</v>
      </c>
      <c r="C1801" s="43">
        <v>9800</v>
      </c>
      <c r="D1801" s="39">
        <v>7350</v>
      </c>
      <c r="E1801" s="14">
        <v>0.25</v>
      </c>
    </row>
    <row r="1802" spans="1:5" x14ac:dyDescent="0.25">
      <c r="A1802" s="44" t="s">
        <v>4092</v>
      </c>
      <c r="B1802" s="38" t="s">
        <v>4093</v>
      </c>
      <c r="C1802" s="43">
        <v>12600</v>
      </c>
      <c r="D1802" s="39">
        <v>9450</v>
      </c>
      <c r="E1802" s="14">
        <v>0.25</v>
      </c>
    </row>
    <row r="1803" spans="1:5" x14ac:dyDescent="0.25">
      <c r="A1803" s="44" t="s">
        <v>4094</v>
      </c>
      <c r="B1803" s="38" t="s">
        <v>4095</v>
      </c>
      <c r="C1803" s="43">
        <v>19600</v>
      </c>
      <c r="D1803" s="39">
        <v>14700</v>
      </c>
      <c r="E1803" s="14">
        <v>0.25</v>
      </c>
    </row>
    <row r="1804" spans="1:5" x14ac:dyDescent="0.25">
      <c r="A1804" s="44" t="s">
        <v>4096</v>
      </c>
      <c r="B1804" s="38" t="s">
        <v>4097</v>
      </c>
      <c r="C1804" s="43">
        <v>5400</v>
      </c>
      <c r="D1804" s="39">
        <v>4050</v>
      </c>
      <c r="E1804" s="14">
        <v>0.25</v>
      </c>
    </row>
    <row r="1805" spans="1:5" x14ac:dyDescent="0.25">
      <c r="A1805" s="44" t="s">
        <v>4098</v>
      </c>
      <c r="B1805" s="38" t="s">
        <v>4099</v>
      </c>
      <c r="C1805" s="43">
        <v>8400</v>
      </c>
      <c r="D1805" s="39">
        <v>6300</v>
      </c>
      <c r="E1805" s="14">
        <v>0.25</v>
      </c>
    </row>
    <row r="1806" spans="1:5" x14ac:dyDescent="0.25">
      <c r="A1806" s="44" t="s">
        <v>4100</v>
      </c>
      <c r="B1806" s="38" t="s">
        <v>4101</v>
      </c>
      <c r="C1806" s="43">
        <v>5400</v>
      </c>
      <c r="D1806" s="39">
        <v>4050</v>
      </c>
      <c r="E1806" s="14">
        <v>0.25</v>
      </c>
    </row>
    <row r="1807" spans="1:5" x14ac:dyDescent="0.25">
      <c r="A1807" s="44" t="s">
        <v>4102</v>
      </c>
      <c r="B1807" s="38" t="s">
        <v>4103</v>
      </c>
      <c r="C1807" s="43">
        <v>8400</v>
      </c>
      <c r="D1807" s="39">
        <v>6300</v>
      </c>
      <c r="E1807" s="14">
        <v>0.25</v>
      </c>
    </row>
    <row r="1808" spans="1:5" x14ac:dyDescent="0.25">
      <c r="A1808" s="44" t="s">
        <v>4104</v>
      </c>
      <c r="B1808" s="38" t="s">
        <v>4105</v>
      </c>
      <c r="C1808" s="43">
        <v>5400</v>
      </c>
      <c r="D1808" s="39">
        <v>4050</v>
      </c>
      <c r="E1808" s="14">
        <v>0.25</v>
      </c>
    </row>
    <row r="1809" spans="1:5" x14ac:dyDescent="0.25">
      <c r="A1809" s="44" t="s">
        <v>4106</v>
      </c>
      <c r="B1809" s="38" t="s">
        <v>4107</v>
      </c>
      <c r="C1809" s="43">
        <v>8400</v>
      </c>
      <c r="D1809" s="39">
        <v>6300</v>
      </c>
      <c r="E1809" s="14">
        <v>0.25</v>
      </c>
    </row>
    <row r="1810" spans="1:5" x14ac:dyDescent="0.25">
      <c r="A1810" s="44" t="s">
        <v>4108</v>
      </c>
      <c r="B1810" s="38" t="s">
        <v>4109</v>
      </c>
      <c r="C1810" s="43">
        <v>5400</v>
      </c>
      <c r="D1810" s="39">
        <v>4050</v>
      </c>
      <c r="E1810" s="14">
        <v>0.25</v>
      </c>
    </row>
    <row r="1811" spans="1:5" x14ac:dyDescent="0.25">
      <c r="A1811" s="44" t="s">
        <v>4110</v>
      </c>
      <c r="B1811" s="38" t="s">
        <v>4111</v>
      </c>
      <c r="C1811" s="43">
        <v>8400</v>
      </c>
      <c r="D1811" s="39">
        <v>6300</v>
      </c>
      <c r="E1811" s="14">
        <v>0.25</v>
      </c>
    </row>
    <row r="1812" spans="1:5" x14ac:dyDescent="0.25">
      <c r="A1812" s="44" t="s">
        <v>4112</v>
      </c>
      <c r="B1812" s="38" t="s">
        <v>4113</v>
      </c>
      <c r="C1812" s="43">
        <v>72</v>
      </c>
      <c r="D1812" s="39">
        <v>54</v>
      </c>
      <c r="E1812" s="14">
        <v>0.25</v>
      </c>
    </row>
    <row r="1813" spans="1:5" x14ac:dyDescent="0.25">
      <c r="A1813" s="44" t="s">
        <v>4114</v>
      </c>
      <c r="B1813" s="38" t="s">
        <v>4115</v>
      </c>
      <c r="C1813" s="43">
        <v>112</v>
      </c>
      <c r="D1813" s="39">
        <v>84</v>
      </c>
      <c r="E1813" s="14">
        <v>0.25</v>
      </c>
    </row>
    <row r="1814" spans="1:5" x14ac:dyDescent="0.25">
      <c r="A1814" s="44" t="s">
        <v>4116</v>
      </c>
      <c r="B1814" s="38" t="s">
        <v>4117</v>
      </c>
      <c r="C1814" s="43">
        <v>27000</v>
      </c>
      <c r="D1814" s="39">
        <v>20250</v>
      </c>
      <c r="E1814" s="14">
        <v>0.25</v>
      </c>
    </row>
    <row r="1815" spans="1:5" x14ac:dyDescent="0.25">
      <c r="A1815" s="44" t="s">
        <v>4118</v>
      </c>
      <c r="B1815" s="38" t="s">
        <v>4119</v>
      </c>
      <c r="C1815" s="43">
        <v>42000</v>
      </c>
      <c r="D1815" s="39">
        <v>31500</v>
      </c>
      <c r="E1815" s="14">
        <v>0.25</v>
      </c>
    </row>
    <row r="1816" spans="1:5" x14ac:dyDescent="0.25">
      <c r="A1816" s="44" t="s">
        <v>4120</v>
      </c>
      <c r="B1816" s="38" t="s">
        <v>4121</v>
      </c>
      <c r="C1816" s="43">
        <v>13500</v>
      </c>
      <c r="D1816" s="39">
        <v>10125</v>
      </c>
      <c r="E1816" s="14">
        <v>0.25</v>
      </c>
    </row>
    <row r="1817" spans="1:5" x14ac:dyDescent="0.25">
      <c r="A1817" s="44" t="s">
        <v>4122</v>
      </c>
      <c r="B1817" s="38" t="s">
        <v>4123</v>
      </c>
      <c r="C1817" s="43">
        <v>21000</v>
      </c>
      <c r="D1817" s="39">
        <v>15750</v>
      </c>
      <c r="E1817" s="14">
        <v>0.25</v>
      </c>
    </row>
    <row r="1818" spans="1:5" x14ac:dyDescent="0.25">
      <c r="A1818" s="44" t="s">
        <v>4124</v>
      </c>
      <c r="B1818" s="38" t="s">
        <v>4125</v>
      </c>
      <c r="C1818" s="43">
        <v>18000</v>
      </c>
      <c r="D1818" s="39">
        <v>13500</v>
      </c>
      <c r="E1818" s="14">
        <v>0.25</v>
      </c>
    </row>
    <row r="1819" spans="1:5" x14ac:dyDescent="0.25">
      <c r="A1819" s="44" t="s">
        <v>4126</v>
      </c>
      <c r="B1819" s="38" t="s">
        <v>4127</v>
      </c>
      <c r="C1819" s="43">
        <v>28000</v>
      </c>
      <c r="D1819" s="39">
        <v>21000</v>
      </c>
      <c r="E1819" s="14">
        <v>0.25</v>
      </c>
    </row>
    <row r="1820" spans="1:5" x14ac:dyDescent="0.25">
      <c r="A1820" s="44" t="s">
        <v>4128</v>
      </c>
      <c r="B1820" s="38" t="s">
        <v>4129</v>
      </c>
      <c r="C1820" s="43">
        <v>900</v>
      </c>
      <c r="D1820" s="39">
        <v>675</v>
      </c>
      <c r="E1820" s="14">
        <v>0.25</v>
      </c>
    </row>
    <row r="1821" spans="1:5" x14ac:dyDescent="0.25">
      <c r="A1821" s="44" t="s">
        <v>4130</v>
      </c>
      <c r="B1821" s="38" t="s">
        <v>4131</v>
      </c>
      <c r="C1821" s="43">
        <v>1400</v>
      </c>
      <c r="D1821" s="39">
        <v>1050</v>
      </c>
      <c r="E1821" s="14">
        <v>0.25</v>
      </c>
    </row>
    <row r="1822" spans="1:5" x14ac:dyDescent="0.25">
      <c r="A1822" s="44" t="s">
        <v>4132</v>
      </c>
      <c r="B1822" s="38" t="s">
        <v>4133</v>
      </c>
      <c r="C1822" s="43">
        <v>4500</v>
      </c>
      <c r="D1822" s="39">
        <v>3375</v>
      </c>
      <c r="E1822" s="14">
        <v>0.25</v>
      </c>
    </row>
    <row r="1823" spans="1:5" x14ac:dyDescent="0.25">
      <c r="A1823" s="44" t="s">
        <v>4134</v>
      </c>
      <c r="B1823" s="38" t="s">
        <v>4135</v>
      </c>
      <c r="C1823" s="43">
        <v>7000</v>
      </c>
      <c r="D1823" s="39">
        <v>5250</v>
      </c>
      <c r="E1823" s="14">
        <v>0.25</v>
      </c>
    </row>
    <row r="1824" spans="1:5" x14ac:dyDescent="0.25">
      <c r="A1824" s="44" t="s">
        <v>4136</v>
      </c>
      <c r="B1824" s="38" t="s">
        <v>4137</v>
      </c>
      <c r="C1824" s="43">
        <v>4.68</v>
      </c>
      <c r="D1824" s="39">
        <v>3.51</v>
      </c>
      <c r="E1824" s="14">
        <v>0.25</v>
      </c>
    </row>
    <row r="1825" spans="1:5" x14ac:dyDescent="0.25">
      <c r="A1825" s="44" t="s">
        <v>4138</v>
      </c>
      <c r="B1825" s="38" t="s">
        <v>4139</v>
      </c>
      <c r="C1825" s="43">
        <v>7.28</v>
      </c>
      <c r="D1825" s="39">
        <v>5.46</v>
      </c>
      <c r="E1825" s="14">
        <v>0.25</v>
      </c>
    </row>
    <row r="1826" spans="1:5" x14ac:dyDescent="0.25">
      <c r="A1826" s="44" t="s">
        <v>4140</v>
      </c>
      <c r="B1826" s="38" t="s">
        <v>4141</v>
      </c>
      <c r="C1826" s="43">
        <v>4.1399999999999997</v>
      </c>
      <c r="D1826" s="39">
        <v>3.1049999999999995</v>
      </c>
      <c r="E1826" s="14">
        <v>0.25</v>
      </c>
    </row>
    <row r="1827" spans="1:5" x14ac:dyDescent="0.25">
      <c r="A1827" s="44" t="s">
        <v>4142</v>
      </c>
      <c r="B1827" s="38" t="s">
        <v>4143</v>
      </c>
      <c r="C1827" s="43">
        <v>6.44</v>
      </c>
      <c r="D1827" s="39">
        <v>4.83</v>
      </c>
      <c r="E1827" s="14">
        <v>0.25</v>
      </c>
    </row>
    <row r="1828" spans="1:5" x14ac:dyDescent="0.25">
      <c r="A1828" s="44" t="s">
        <v>4144</v>
      </c>
      <c r="B1828" s="38" t="s">
        <v>4145</v>
      </c>
      <c r="C1828" s="43">
        <v>900</v>
      </c>
      <c r="D1828" s="39">
        <v>675</v>
      </c>
      <c r="E1828" s="14">
        <v>0.25</v>
      </c>
    </row>
    <row r="1829" spans="1:5" x14ac:dyDescent="0.25">
      <c r="A1829" s="44" t="s">
        <v>4146</v>
      </c>
      <c r="B1829" s="38" t="s">
        <v>4147</v>
      </c>
      <c r="C1829" s="43">
        <v>1400</v>
      </c>
      <c r="D1829" s="39">
        <v>1050</v>
      </c>
      <c r="E1829" s="14">
        <v>0.25</v>
      </c>
    </row>
    <row r="1830" spans="1:5" x14ac:dyDescent="0.25">
      <c r="A1830" s="9" t="s">
        <v>4148</v>
      </c>
      <c r="B1830" s="45" t="s">
        <v>4149</v>
      </c>
      <c r="C1830" s="10">
        <v>442</v>
      </c>
      <c r="D1830" s="11">
        <v>362.44</v>
      </c>
      <c r="E1830" s="25">
        <v>0.18000000000000005</v>
      </c>
    </row>
    <row r="1831" spans="1:5" x14ac:dyDescent="0.25">
      <c r="A1831" s="44" t="s">
        <v>4150</v>
      </c>
      <c r="B1831" s="38" t="s">
        <v>4151</v>
      </c>
      <c r="C1831" s="43">
        <v>2140</v>
      </c>
      <c r="D1831" s="11">
        <v>1754.8</v>
      </c>
      <c r="E1831" s="25">
        <v>0.18000000000000005</v>
      </c>
    </row>
    <row r="1832" spans="1:5" x14ac:dyDescent="0.25">
      <c r="A1832" s="44" t="s">
        <v>4152</v>
      </c>
      <c r="B1832" s="38" t="s">
        <v>4153</v>
      </c>
      <c r="C1832" s="43">
        <v>8440</v>
      </c>
      <c r="D1832" s="11">
        <v>6920.8</v>
      </c>
      <c r="E1832" s="25">
        <v>0.17999999999999994</v>
      </c>
    </row>
    <row r="1833" spans="1:5" x14ac:dyDescent="0.25">
      <c r="A1833" s="44" t="s">
        <v>4154</v>
      </c>
      <c r="B1833" s="38" t="s">
        <v>4155</v>
      </c>
      <c r="C1833" s="43">
        <v>21000</v>
      </c>
      <c r="D1833" s="11">
        <v>17220</v>
      </c>
      <c r="E1833" s="25">
        <v>0.18000000000000005</v>
      </c>
    </row>
    <row r="1834" spans="1:5" x14ac:dyDescent="0.25">
      <c r="A1834" s="44" t="s">
        <v>4156</v>
      </c>
      <c r="B1834" s="38" t="s">
        <v>4157</v>
      </c>
      <c r="C1834" s="43">
        <v>185000</v>
      </c>
      <c r="D1834" s="11">
        <v>151700</v>
      </c>
      <c r="E1834" s="25">
        <v>0.18000000000000005</v>
      </c>
    </row>
    <row r="1835" spans="1:5" x14ac:dyDescent="0.25">
      <c r="A1835" s="44" t="s">
        <v>4158</v>
      </c>
      <c r="B1835" s="38" t="s">
        <v>4159</v>
      </c>
      <c r="C1835" s="43">
        <v>355000</v>
      </c>
      <c r="D1835" s="11">
        <v>291100</v>
      </c>
      <c r="E1835" s="25">
        <v>0.18000000000000005</v>
      </c>
    </row>
    <row r="1836" spans="1:5" x14ac:dyDescent="0.25">
      <c r="A1836" s="38" t="s">
        <v>4160</v>
      </c>
      <c r="B1836" s="38" t="s">
        <v>4161</v>
      </c>
      <c r="C1836" s="43">
        <v>320</v>
      </c>
      <c r="D1836" s="11">
        <v>262.39999999999998</v>
      </c>
      <c r="E1836" s="25">
        <v>0.18000000000000005</v>
      </c>
    </row>
    <row r="1837" spans="1:5" x14ac:dyDescent="0.25">
      <c r="A1837" s="44" t="s">
        <v>4162</v>
      </c>
      <c r="B1837" s="38" t="s">
        <v>4163</v>
      </c>
      <c r="C1837" s="43">
        <v>588</v>
      </c>
      <c r="D1837" s="11">
        <v>482.16</v>
      </c>
      <c r="E1837" s="25">
        <v>0.17999999999999994</v>
      </c>
    </row>
    <row r="1838" spans="1:5" x14ac:dyDescent="0.25">
      <c r="A1838" s="44" t="s">
        <v>4164</v>
      </c>
      <c r="B1838" s="38" t="s">
        <v>4165</v>
      </c>
      <c r="C1838" s="43">
        <v>878</v>
      </c>
      <c r="D1838" s="11">
        <v>719.96</v>
      </c>
      <c r="E1838" s="25">
        <v>0.17999999999999994</v>
      </c>
    </row>
    <row r="1839" spans="1:5" x14ac:dyDescent="0.25">
      <c r="A1839" s="44" t="s">
        <v>4166</v>
      </c>
      <c r="B1839" s="38" t="s">
        <v>4167</v>
      </c>
      <c r="C1839" s="43">
        <v>1648</v>
      </c>
      <c r="D1839" s="11">
        <v>1351.3600000000001</v>
      </c>
      <c r="E1839" s="25">
        <v>0.17999999999999994</v>
      </c>
    </row>
    <row r="1840" spans="1:5" x14ac:dyDescent="0.25">
      <c r="A1840" s="44" t="s">
        <v>4168</v>
      </c>
      <c r="B1840" s="38" t="s">
        <v>4169</v>
      </c>
      <c r="C1840" s="43">
        <v>4120</v>
      </c>
      <c r="D1840" s="11">
        <v>3378.4</v>
      </c>
      <c r="E1840" s="25">
        <v>0.17999999999999994</v>
      </c>
    </row>
    <row r="1841" spans="1:5" x14ac:dyDescent="0.25">
      <c r="A1841" s="44" t="s">
        <v>4170</v>
      </c>
      <c r="B1841" s="38" t="s">
        <v>4171</v>
      </c>
      <c r="C1841" s="43">
        <v>7400</v>
      </c>
      <c r="D1841" s="11">
        <v>6068</v>
      </c>
      <c r="E1841" s="25">
        <v>0.18000000000000005</v>
      </c>
    </row>
    <row r="1842" spans="1:5" x14ac:dyDescent="0.25">
      <c r="A1842" s="44" t="s">
        <v>4172</v>
      </c>
      <c r="B1842" s="38" t="s">
        <v>4173</v>
      </c>
      <c r="C1842" s="43">
        <v>44400</v>
      </c>
      <c r="D1842" s="11">
        <v>36408</v>
      </c>
      <c r="E1842" s="25">
        <v>0.18000000000000005</v>
      </c>
    </row>
    <row r="1843" spans="1:5" x14ac:dyDescent="0.25">
      <c r="A1843" s="44" t="s">
        <v>4174</v>
      </c>
      <c r="B1843" s="38" t="s">
        <v>4175</v>
      </c>
      <c r="C1843" s="43">
        <v>88800</v>
      </c>
      <c r="D1843" s="11">
        <v>72816</v>
      </c>
      <c r="E1843" s="25">
        <v>0.18000000000000005</v>
      </c>
    </row>
    <row r="1844" spans="1:5" x14ac:dyDescent="0.25">
      <c r="A1844" s="44" t="s">
        <v>4176</v>
      </c>
      <c r="B1844" s="38" t="s">
        <v>4177</v>
      </c>
      <c r="C1844" s="43">
        <v>6300</v>
      </c>
      <c r="D1844" s="11">
        <v>5166</v>
      </c>
      <c r="E1844" s="25">
        <v>0.18000000000000005</v>
      </c>
    </row>
    <row r="1845" spans="1:5" x14ac:dyDescent="0.25">
      <c r="A1845" s="44" t="s">
        <v>4178</v>
      </c>
      <c r="B1845" s="38" t="s">
        <v>4179</v>
      </c>
      <c r="C1845" s="43">
        <v>199</v>
      </c>
      <c r="D1845" s="11">
        <v>163.18</v>
      </c>
      <c r="E1845" s="25">
        <v>0.17999999999999994</v>
      </c>
    </row>
    <row r="1846" spans="1:5" x14ac:dyDescent="0.25">
      <c r="A1846" s="44" t="s">
        <v>4180</v>
      </c>
      <c r="B1846" s="38" t="s">
        <v>4181</v>
      </c>
      <c r="C1846" s="43">
        <v>350</v>
      </c>
      <c r="D1846" s="11">
        <v>287</v>
      </c>
      <c r="E1846" s="25">
        <v>0.18000000000000005</v>
      </c>
    </row>
    <row r="1847" spans="1:5" x14ac:dyDescent="0.25">
      <c r="A1847" s="44" t="s">
        <v>4182</v>
      </c>
      <c r="B1847" s="38" t="s">
        <v>4183</v>
      </c>
      <c r="C1847" s="43">
        <v>200</v>
      </c>
      <c r="D1847" s="11">
        <v>164</v>
      </c>
      <c r="E1847" s="25">
        <v>0.18000000000000005</v>
      </c>
    </row>
    <row r="1848" spans="1:5" x14ac:dyDescent="0.25">
      <c r="A1848" s="44" t="s">
        <v>4184</v>
      </c>
      <c r="B1848" s="38" t="s">
        <v>4185</v>
      </c>
      <c r="C1848" s="43">
        <v>100</v>
      </c>
      <c r="D1848" s="11">
        <v>82</v>
      </c>
      <c r="E1848" s="25">
        <v>0.18000000000000005</v>
      </c>
    </row>
    <row r="1849" spans="1:5" x14ac:dyDescent="0.25">
      <c r="A1849" s="44" t="s">
        <v>4186</v>
      </c>
      <c r="B1849" s="38" t="s">
        <v>4187</v>
      </c>
      <c r="C1849" s="43">
        <v>576</v>
      </c>
      <c r="D1849" s="11">
        <v>472.32</v>
      </c>
      <c r="E1849" s="25">
        <v>0.18000000000000005</v>
      </c>
    </row>
    <row r="1850" spans="1:5" x14ac:dyDescent="0.25">
      <c r="A1850" s="44" t="s">
        <v>4188</v>
      </c>
      <c r="B1850" s="38" t="s">
        <v>4189</v>
      </c>
      <c r="C1850" s="43">
        <v>5580</v>
      </c>
      <c r="D1850" s="11">
        <v>4575.6000000000004</v>
      </c>
      <c r="E1850" s="25">
        <v>0.17999999999999994</v>
      </c>
    </row>
    <row r="1851" spans="1:5" x14ac:dyDescent="0.25">
      <c r="A1851" s="44" t="s">
        <v>4190</v>
      </c>
      <c r="B1851" s="38" t="s">
        <v>4191</v>
      </c>
      <c r="C1851" s="43">
        <v>10980</v>
      </c>
      <c r="D1851" s="11">
        <v>9003.6</v>
      </c>
      <c r="E1851" s="25">
        <v>0.17999999999999994</v>
      </c>
    </row>
    <row r="1852" spans="1:5" x14ac:dyDescent="0.25">
      <c r="A1852" s="44" t="s">
        <v>4192</v>
      </c>
      <c r="B1852" s="38" t="s">
        <v>4193</v>
      </c>
      <c r="C1852" s="43">
        <v>52000</v>
      </c>
      <c r="D1852" s="11">
        <v>42640</v>
      </c>
      <c r="E1852" s="25">
        <v>0.18000000000000005</v>
      </c>
    </row>
    <row r="1853" spans="1:5" x14ac:dyDescent="0.25">
      <c r="A1853" s="44" t="s">
        <v>4194</v>
      </c>
      <c r="B1853" s="38" t="s">
        <v>4195</v>
      </c>
      <c r="C1853" s="43">
        <v>240500</v>
      </c>
      <c r="D1853" s="11">
        <v>197210</v>
      </c>
      <c r="E1853" s="25">
        <v>0.18000000000000005</v>
      </c>
    </row>
    <row r="1854" spans="1:5" x14ac:dyDescent="0.25">
      <c r="A1854" s="44" t="s">
        <v>4196</v>
      </c>
      <c r="B1854" s="38" t="s">
        <v>4197</v>
      </c>
      <c r="C1854" s="43">
        <v>766</v>
      </c>
      <c r="D1854" s="11">
        <v>628.12</v>
      </c>
      <c r="E1854" s="25">
        <v>0.18000000000000005</v>
      </c>
    </row>
    <row r="1855" spans="1:5" x14ac:dyDescent="0.25">
      <c r="A1855" s="44" t="s">
        <v>4198</v>
      </c>
      <c r="B1855" s="38" t="s">
        <v>4199</v>
      </c>
      <c r="C1855" s="43">
        <v>1142</v>
      </c>
      <c r="D1855" s="11">
        <v>936.44</v>
      </c>
      <c r="E1855" s="25">
        <v>0.17999999999999994</v>
      </c>
    </row>
    <row r="1856" spans="1:5" x14ac:dyDescent="0.25">
      <c r="A1856" s="44" t="s">
        <v>4200</v>
      </c>
      <c r="B1856" s="38" t="s">
        <v>4201</v>
      </c>
      <c r="C1856" s="43">
        <v>5360</v>
      </c>
      <c r="D1856" s="11">
        <v>4395.2</v>
      </c>
      <c r="E1856" s="25">
        <v>0.18000000000000005</v>
      </c>
    </row>
    <row r="1857" spans="1:5" x14ac:dyDescent="0.25">
      <c r="A1857" s="44" t="s">
        <v>4202</v>
      </c>
      <c r="B1857" s="38" t="s">
        <v>4203</v>
      </c>
      <c r="C1857" s="43">
        <v>9620</v>
      </c>
      <c r="D1857" s="11">
        <v>7888.4</v>
      </c>
      <c r="E1857" s="25">
        <v>0.18000000000000005</v>
      </c>
    </row>
    <row r="1858" spans="1:5" x14ac:dyDescent="0.25">
      <c r="A1858" s="44" t="s">
        <v>4204</v>
      </c>
      <c r="B1858" s="38" t="s">
        <v>4205</v>
      </c>
      <c r="C1858" s="43">
        <v>57720</v>
      </c>
      <c r="D1858" s="11">
        <v>47330.400000000001</v>
      </c>
      <c r="E1858" s="25">
        <v>0.17999999999999994</v>
      </c>
    </row>
    <row r="1859" spans="1:5" x14ac:dyDescent="0.25">
      <c r="A1859" s="44" t="s">
        <v>4206</v>
      </c>
      <c r="B1859" s="38" t="s">
        <v>4207</v>
      </c>
      <c r="C1859" s="43">
        <v>115440</v>
      </c>
      <c r="D1859" s="11">
        <v>94660.800000000003</v>
      </c>
      <c r="E1859" s="25">
        <v>0.17999999999999994</v>
      </c>
    </row>
    <row r="1860" spans="1:5" x14ac:dyDescent="0.25">
      <c r="A1860" s="44" t="s">
        <v>4208</v>
      </c>
      <c r="B1860" s="38" t="s">
        <v>4209</v>
      </c>
      <c r="C1860" s="43">
        <v>8200</v>
      </c>
      <c r="D1860" s="11">
        <v>6724</v>
      </c>
      <c r="E1860" s="25">
        <v>0.18000000000000005</v>
      </c>
    </row>
    <row r="1861" spans="1:5" x14ac:dyDescent="0.25">
      <c r="A1861" s="44" t="s">
        <v>4210</v>
      </c>
      <c r="B1861" s="38" t="s">
        <v>4211</v>
      </c>
      <c r="C1861" s="43">
        <v>200</v>
      </c>
      <c r="D1861" s="11">
        <v>164</v>
      </c>
      <c r="E1861" s="25">
        <v>0.18000000000000005</v>
      </c>
    </row>
    <row r="1862" spans="1:5" x14ac:dyDescent="0.25">
      <c r="A1862" s="44" t="s">
        <v>4212</v>
      </c>
      <c r="B1862" s="38" t="s">
        <v>4213</v>
      </c>
      <c r="C1862" s="43">
        <v>190</v>
      </c>
      <c r="D1862" s="11">
        <v>155.80000000000001</v>
      </c>
      <c r="E1862" s="25">
        <v>0.17999999999999994</v>
      </c>
    </row>
    <row r="1863" spans="1:5" x14ac:dyDescent="0.25">
      <c r="A1863" s="44" t="s">
        <v>4214</v>
      </c>
      <c r="B1863" s="38" t="s">
        <v>4215</v>
      </c>
      <c r="C1863" s="43">
        <v>1134</v>
      </c>
      <c r="D1863" s="11">
        <v>929.88</v>
      </c>
      <c r="E1863" s="25">
        <v>0.18000000000000005</v>
      </c>
    </row>
    <row r="1864" spans="1:5" x14ac:dyDescent="0.25">
      <c r="A1864" s="44" t="s">
        <v>4216</v>
      </c>
      <c r="B1864" s="38" t="s">
        <v>4217</v>
      </c>
      <c r="C1864" s="43">
        <v>810</v>
      </c>
      <c r="D1864" s="11">
        <v>664.2</v>
      </c>
      <c r="E1864" s="25">
        <v>0.17999999999999994</v>
      </c>
    </row>
    <row r="1865" spans="1:5" x14ac:dyDescent="0.25">
      <c r="A1865" s="44" t="s">
        <v>4218</v>
      </c>
      <c r="B1865" s="38" t="s">
        <v>4219</v>
      </c>
      <c r="C1865" s="43">
        <v>2040</v>
      </c>
      <c r="D1865" s="11">
        <v>1672.8</v>
      </c>
      <c r="E1865" s="25">
        <v>0.18000000000000005</v>
      </c>
    </row>
    <row r="1866" spans="1:5" x14ac:dyDescent="0.25">
      <c r="A1866" s="44" t="s">
        <v>4220</v>
      </c>
      <c r="B1866" s="38" t="s">
        <v>4221</v>
      </c>
      <c r="C1866" s="43">
        <v>2700</v>
      </c>
      <c r="D1866" s="11">
        <v>2214</v>
      </c>
      <c r="E1866" s="25">
        <v>0.18000000000000005</v>
      </c>
    </row>
    <row r="1867" spans="1:5" x14ac:dyDescent="0.25">
      <c r="A1867" s="44" t="s">
        <v>4222</v>
      </c>
      <c r="B1867" s="38" t="s">
        <v>4223</v>
      </c>
      <c r="C1867" s="43">
        <v>1216</v>
      </c>
      <c r="D1867" s="11">
        <v>997.12</v>
      </c>
      <c r="E1867" s="25">
        <v>0.18000000000000005</v>
      </c>
    </row>
    <row r="1868" spans="1:5" x14ac:dyDescent="0.25">
      <c r="A1868" s="44" t="s">
        <v>4224</v>
      </c>
      <c r="B1868" s="38" t="s">
        <v>4225</v>
      </c>
      <c r="C1868" s="43">
        <v>2220</v>
      </c>
      <c r="D1868" s="11">
        <v>1820.4</v>
      </c>
      <c r="E1868" s="25">
        <v>0.17999999999999994</v>
      </c>
    </row>
    <row r="1869" spans="1:5" x14ac:dyDescent="0.25">
      <c r="A1869" s="44" t="s">
        <v>4226</v>
      </c>
      <c r="B1869" s="38" t="s">
        <v>4227</v>
      </c>
      <c r="C1869" s="43">
        <v>4060</v>
      </c>
      <c r="D1869" s="11">
        <v>3329.2</v>
      </c>
      <c r="E1869" s="25">
        <v>0.18000000000000005</v>
      </c>
    </row>
    <row r="1870" spans="1:5" x14ac:dyDescent="0.25">
      <c r="A1870" s="44" t="s">
        <v>4228</v>
      </c>
      <c r="B1870" s="38" t="s">
        <v>4229</v>
      </c>
      <c r="C1870" s="43">
        <v>5260</v>
      </c>
      <c r="D1870" s="11">
        <v>4313.2</v>
      </c>
      <c r="E1870" s="25">
        <v>0.18000000000000005</v>
      </c>
    </row>
    <row r="1871" spans="1:5" x14ac:dyDescent="0.25">
      <c r="A1871" s="44" t="s">
        <v>4230</v>
      </c>
      <c r="B1871" s="38" t="s">
        <v>4231</v>
      </c>
      <c r="C1871" s="43">
        <v>650</v>
      </c>
      <c r="D1871" s="11">
        <v>533</v>
      </c>
      <c r="E1871" s="25">
        <v>0.18000000000000005</v>
      </c>
    </row>
    <row r="1872" spans="1:5" x14ac:dyDescent="0.25">
      <c r="A1872" s="44" t="s">
        <v>4232</v>
      </c>
      <c r="B1872" s="38" t="s">
        <v>4233</v>
      </c>
      <c r="C1872" s="43">
        <v>1194</v>
      </c>
      <c r="D1872" s="11">
        <v>979.08</v>
      </c>
      <c r="E1872" s="25">
        <v>0.17999999999999994</v>
      </c>
    </row>
    <row r="1873" spans="1:5" x14ac:dyDescent="0.25">
      <c r="A1873" s="44" t="s">
        <v>4234</v>
      </c>
      <c r="B1873" s="38" t="s">
        <v>4235</v>
      </c>
      <c r="C1873" s="43">
        <v>2840</v>
      </c>
      <c r="D1873" s="11">
        <v>2328.8000000000002</v>
      </c>
      <c r="E1873" s="25">
        <v>0.17999999999999994</v>
      </c>
    </row>
    <row r="1874" spans="1:5" x14ac:dyDescent="0.25">
      <c r="A1874" s="44" t="s">
        <v>4236</v>
      </c>
      <c r="B1874" s="38" t="s">
        <v>4237</v>
      </c>
      <c r="C1874" s="43">
        <v>4700</v>
      </c>
      <c r="D1874" s="11">
        <v>3854</v>
      </c>
      <c r="E1874" s="25">
        <v>0.18000000000000005</v>
      </c>
    </row>
    <row r="1875" spans="1:5" x14ac:dyDescent="0.25">
      <c r="A1875" s="44" t="s">
        <v>4238</v>
      </c>
      <c r="B1875" s="38" t="s">
        <v>4239</v>
      </c>
      <c r="C1875" s="43">
        <v>8520</v>
      </c>
      <c r="D1875" s="11">
        <v>6986.4</v>
      </c>
      <c r="E1875" s="25">
        <v>0.18000000000000005</v>
      </c>
    </row>
    <row r="1876" spans="1:5" x14ac:dyDescent="0.25">
      <c r="A1876" s="44" t="s">
        <v>4240</v>
      </c>
      <c r="B1876" s="38" t="s">
        <v>4241</v>
      </c>
      <c r="C1876" s="43">
        <v>17040</v>
      </c>
      <c r="D1876" s="11">
        <v>13972.8</v>
      </c>
      <c r="E1876" s="25">
        <v>0.18000000000000005</v>
      </c>
    </row>
    <row r="1877" spans="1:5" x14ac:dyDescent="0.25">
      <c r="A1877" s="44" t="s">
        <v>4242</v>
      </c>
      <c r="B1877" s="38" t="s">
        <v>4243</v>
      </c>
      <c r="C1877" s="43">
        <v>2140</v>
      </c>
      <c r="D1877" s="11">
        <v>1754.8</v>
      </c>
      <c r="E1877" s="25">
        <v>0.18000000000000005</v>
      </c>
    </row>
    <row r="1878" spans="1:5" x14ac:dyDescent="0.25">
      <c r="A1878" s="44" t="s">
        <v>4244</v>
      </c>
      <c r="B1878" s="38" t="s">
        <v>4245</v>
      </c>
      <c r="C1878" s="43">
        <v>5680</v>
      </c>
      <c r="D1878" s="11">
        <v>4657.6000000000004</v>
      </c>
      <c r="E1878" s="25">
        <v>0.17999999999999994</v>
      </c>
    </row>
    <row r="1879" spans="1:5" x14ac:dyDescent="0.25">
      <c r="A1879" s="44" t="s">
        <v>4246</v>
      </c>
      <c r="B1879" s="38" t="s">
        <v>4247</v>
      </c>
      <c r="C1879" s="43">
        <v>2400</v>
      </c>
      <c r="D1879" s="11">
        <v>1968</v>
      </c>
      <c r="E1879" s="25">
        <v>0.18000000000000005</v>
      </c>
    </row>
    <row r="1880" spans="1:5" x14ac:dyDescent="0.25">
      <c r="A1880" s="44" t="s">
        <v>4248</v>
      </c>
      <c r="B1880" s="38" t="s">
        <v>4249</v>
      </c>
      <c r="C1880" s="43">
        <v>4000</v>
      </c>
      <c r="D1880" s="11">
        <v>3280</v>
      </c>
      <c r="E1880" s="25">
        <v>0.18000000000000005</v>
      </c>
    </row>
    <row r="1881" spans="1:5" x14ac:dyDescent="0.25">
      <c r="A1881" s="44" t="s">
        <v>4250</v>
      </c>
      <c r="B1881" s="38" t="s">
        <v>4251</v>
      </c>
      <c r="C1881" s="43">
        <v>8000</v>
      </c>
      <c r="D1881" s="11">
        <v>6560</v>
      </c>
      <c r="E1881" s="25">
        <v>0.18000000000000005</v>
      </c>
    </row>
    <row r="1882" spans="1:5" x14ac:dyDescent="0.25">
      <c r="A1882" s="44" t="s">
        <v>4252</v>
      </c>
      <c r="B1882" s="38" t="s">
        <v>4253</v>
      </c>
      <c r="C1882" s="43">
        <v>16000</v>
      </c>
      <c r="D1882" s="11">
        <v>13120</v>
      </c>
      <c r="E1882" s="25">
        <v>0.18000000000000005</v>
      </c>
    </row>
    <row r="1883" spans="1:5" x14ac:dyDescent="0.25">
      <c r="A1883" s="44" t="s">
        <v>4254</v>
      </c>
      <c r="B1883" s="38" t="s">
        <v>4255</v>
      </c>
      <c r="C1883" s="43">
        <v>31800</v>
      </c>
      <c r="D1883" s="11">
        <v>26076</v>
      </c>
      <c r="E1883" s="25">
        <v>0.18000000000000005</v>
      </c>
    </row>
    <row r="1884" spans="1:5" x14ac:dyDescent="0.25">
      <c r="A1884" s="44" t="s">
        <v>4256</v>
      </c>
      <c r="B1884" s="38" t="s">
        <v>4257</v>
      </c>
      <c r="C1884" s="43">
        <v>73400</v>
      </c>
      <c r="D1884" s="11">
        <v>60188</v>
      </c>
      <c r="E1884" s="25">
        <v>0.18000000000000005</v>
      </c>
    </row>
    <row r="1885" spans="1:5" x14ac:dyDescent="0.25">
      <c r="A1885" s="44" t="s">
        <v>4258</v>
      </c>
      <c r="B1885" s="38" t="s">
        <v>4259</v>
      </c>
      <c r="C1885" s="43">
        <v>4600</v>
      </c>
      <c r="D1885" s="11">
        <v>3772</v>
      </c>
      <c r="E1885" s="25">
        <v>0.18000000000000005</v>
      </c>
    </row>
    <row r="1886" spans="1:5" x14ac:dyDescent="0.25">
      <c r="A1886" s="44" t="s">
        <v>4260</v>
      </c>
      <c r="B1886" s="38" t="s">
        <v>4261</v>
      </c>
      <c r="C1886" s="43">
        <v>17600</v>
      </c>
      <c r="D1886" s="11">
        <v>14432</v>
      </c>
      <c r="E1886" s="25">
        <v>0.18000000000000005</v>
      </c>
    </row>
    <row r="1887" spans="1:5" x14ac:dyDescent="0.25">
      <c r="A1887" s="44" t="s">
        <v>4262</v>
      </c>
      <c r="B1887" s="38" t="s">
        <v>4263</v>
      </c>
      <c r="C1887" s="43">
        <v>2700</v>
      </c>
      <c r="D1887" s="11">
        <v>2214</v>
      </c>
      <c r="E1887" s="25">
        <v>0.18000000000000005</v>
      </c>
    </row>
    <row r="1888" spans="1:5" x14ac:dyDescent="0.25">
      <c r="A1888" s="44" t="s">
        <v>4264</v>
      </c>
      <c r="B1888" s="38" t="s">
        <v>4265</v>
      </c>
      <c r="C1888" s="43">
        <v>3700</v>
      </c>
      <c r="D1888" s="11">
        <v>3034</v>
      </c>
      <c r="E1888" s="25">
        <v>0.18000000000000005</v>
      </c>
    </row>
    <row r="1889" spans="1:5" x14ac:dyDescent="0.25">
      <c r="A1889" s="44" t="s">
        <v>4266</v>
      </c>
      <c r="B1889" s="38" t="s">
        <v>4267</v>
      </c>
      <c r="C1889" s="43">
        <v>6200</v>
      </c>
      <c r="D1889" s="11">
        <v>5084</v>
      </c>
      <c r="E1889" s="25">
        <v>0.18000000000000005</v>
      </c>
    </row>
    <row r="1890" spans="1:5" x14ac:dyDescent="0.25">
      <c r="A1890" s="44" t="s">
        <v>4268</v>
      </c>
      <c r="B1890" s="38" t="s">
        <v>4269</v>
      </c>
      <c r="C1890" s="43">
        <v>7600</v>
      </c>
      <c r="D1890" s="11">
        <v>6232</v>
      </c>
      <c r="E1890" s="25">
        <v>0.18000000000000005</v>
      </c>
    </row>
    <row r="1891" spans="1:5" x14ac:dyDescent="0.25">
      <c r="A1891" s="44" t="s">
        <v>4270</v>
      </c>
      <c r="B1891" s="38" t="s">
        <v>4271</v>
      </c>
      <c r="C1891" s="43">
        <v>2200</v>
      </c>
      <c r="D1891" s="11">
        <v>1804</v>
      </c>
      <c r="E1891" s="25">
        <v>0.18000000000000005</v>
      </c>
    </row>
    <row r="1892" spans="1:5" x14ac:dyDescent="0.25">
      <c r="A1892" s="44" t="s">
        <v>4272</v>
      </c>
      <c r="B1892" s="38" t="s">
        <v>4273</v>
      </c>
      <c r="C1892" s="43">
        <v>3100</v>
      </c>
      <c r="D1892" s="11">
        <v>2542</v>
      </c>
      <c r="E1892" s="25">
        <v>0.18000000000000005</v>
      </c>
    </row>
    <row r="1893" spans="1:5" x14ac:dyDescent="0.25">
      <c r="A1893" s="44" t="s">
        <v>4274</v>
      </c>
      <c r="B1893" s="38" t="s">
        <v>4275</v>
      </c>
      <c r="C1893" s="43">
        <v>6100</v>
      </c>
      <c r="D1893" s="11">
        <v>5002</v>
      </c>
      <c r="E1893" s="25">
        <v>0.18000000000000005</v>
      </c>
    </row>
    <row r="1894" spans="1:5" x14ac:dyDescent="0.25">
      <c r="A1894" s="44" t="s">
        <v>4276</v>
      </c>
      <c r="B1894" s="38" t="s">
        <v>4277</v>
      </c>
      <c r="C1894" s="43">
        <v>1000</v>
      </c>
      <c r="D1894" s="11">
        <v>820</v>
      </c>
      <c r="E1894" s="25">
        <v>0.18000000000000005</v>
      </c>
    </row>
    <row r="1895" spans="1:5" x14ac:dyDescent="0.25">
      <c r="A1895" s="44" t="s">
        <v>4278</v>
      </c>
      <c r="B1895" s="38" t="s">
        <v>4279</v>
      </c>
      <c r="C1895" s="43">
        <v>3500</v>
      </c>
      <c r="D1895" s="11">
        <v>2870</v>
      </c>
      <c r="E1895" s="25">
        <v>0.18000000000000005</v>
      </c>
    </row>
    <row r="1896" spans="1:5" x14ac:dyDescent="0.25">
      <c r="A1896" s="44" t="s">
        <v>4280</v>
      </c>
      <c r="B1896" s="38" t="s">
        <v>4281</v>
      </c>
      <c r="C1896" s="43">
        <v>4900</v>
      </c>
      <c r="D1896" s="11">
        <v>4018</v>
      </c>
      <c r="E1896" s="25">
        <v>0.18000000000000005</v>
      </c>
    </row>
    <row r="1897" spans="1:5" x14ac:dyDescent="0.25">
      <c r="A1897" s="44" t="s">
        <v>4282</v>
      </c>
      <c r="B1897" s="38" t="s">
        <v>4283</v>
      </c>
      <c r="C1897" s="43">
        <v>2500</v>
      </c>
      <c r="D1897" s="11">
        <v>2050</v>
      </c>
      <c r="E1897" s="25">
        <v>0.18000000000000005</v>
      </c>
    </row>
    <row r="1898" spans="1:5" x14ac:dyDescent="0.25">
      <c r="A1898" s="44" t="s">
        <v>4284</v>
      </c>
      <c r="B1898" s="38" t="s">
        <v>4285</v>
      </c>
      <c r="C1898" s="43">
        <v>3900</v>
      </c>
      <c r="D1898" s="11">
        <v>3198</v>
      </c>
      <c r="E1898" s="25">
        <v>0.18000000000000005</v>
      </c>
    </row>
    <row r="1899" spans="1:5" x14ac:dyDescent="0.25">
      <c r="A1899" s="44" t="s">
        <v>4286</v>
      </c>
      <c r="B1899" s="38" t="s">
        <v>4287</v>
      </c>
      <c r="C1899" s="43">
        <v>3000</v>
      </c>
      <c r="D1899" s="11">
        <v>2460</v>
      </c>
      <c r="E1899" s="25">
        <v>0.18000000000000005</v>
      </c>
    </row>
    <row r="1900" spans="1:5" x14ac:dyDescent="0.25">
      <c r="A1900" s="44" t="s">
        <v>4288</v>
      </c>
      <c r="B1900" s="38" t="s">
        <v>4289</v>
      </c>
      <c r="C1900" s="43">
        <v>1400</v>
      </c>
      <c r="D1900" s="11">
        <v>1148</v>
      </c>
      <c r="E1900" s="25">
        <v>0.18000000000000005</v>
      </c>
    </row>
    <row r="1901" spans="1:5" x14ac:dyDescent="0.25">
      <c r="A1901" s="44" t="s">
        <v>4290</v>
      </c>
      <c r="B1901" s="38" t="s">
        <v>4291</v>
      </c>
      <c r="C1901" s="43">
        <v>290</v>
      </c>
      <c r="D1901" s="11">
        <v>237.8</v>
      </c>
      <c r="E1901" s="25">
        <v>0.17999999999999994</v>
      </c>
    </row>
    <row r="1902" spans="1:5" x14ac:dyDescent="0.25">
      <c r="A1902" s="44" t="s">
        <v>4292</v>
      </c>
      <c r="B1902" s="38" t="s">
        <v>4293</v>
      </c>
      <c r="C1902" s="43">
        <v>490</v>
      </c>
      <c r="D1902" s="11">
        <v>401.8</v>
      </c>
      <c r="E1902" s="25">
        <v>0.17999999999999994</v>
      </c>
    </row>
    <row r="1903" spans="1:5" x14ac:dyDescent="0.25">
      <c r="A1903" s="44" t="s">
        <v>4294</v>
      </c>
      <c r="B1903" s="38" t="s">
        <v>4295</v>
      </c>
      <c r="C1903" s="43">
        <v>145</v>
      </c>
      <c r="D1903" s="11">
        <v>118.9</v>
      </c>
      <c r="E1903" s="25">
        <v>0.17999999999999994</v>
      </c>
    </row>
    <row r="1904" spans="1:5" x14ac:dyDescent="0.25">
      <c r="A1904" s="44" t="s">
        <v>4296</v>
      </c>
      <c r="B1904" s="38" t="s">
        <v>4297</v>
      </c>
      <c r="C1904" s="43">
        <v>245</v>
      </c>
      <c r="D1904" s="11">
        <v>200.9</v>
      </c>
      <c r="E1904" s="25">
        <v>0.17999999999999994</v>
      </c>
    </row>
    <row r="1905" spans="1:5" x14ac:dyDescent="0.25">
      <c r="A1905" s="44" t="s">
        <v>4298</v>
      </c>
      <c r="B1905" s="38" t="s">
        <v>4299</v>
      </c>
      <c r="C1905" s="43">
        <v>380</v>
      </c>
      <c r="D1905" s="11">
        <v>311.60000000000002</v>
      </c>
      <c r="E1905" s="25">
        <v>0.17999999999999994</v>
      </c>
    </row>
    <row r="1906" spans="1:5" x14ac:dyDescent="0.25">
      <c r="A1906" s="44" t="s">
        <v>4300</v>
      </c>
      <c r="B1906" s="38" t="s">
        <v>4301</v>
      </c>
      <c r="C1906" s="43">
        <v>486</v>
      </c>
      <c r="D1906" s="11">
        <v>398.52</v>
      </c>
      <c r="E1906" s="25">
        <v>0.18000000000000005</v>
      </c>
    </row>
    <row r="1907" spans="1:5" x14ac:dyDescent="0.25">
      <c r="A1907" s="44" t="s">
        <v>4302</v>
      </c>
      <c r="B1907" s="38" t="s">
        <v>4303</v>
      </c>
      <c r="C1907" s="43">
        <v>1040</v>
      </c>
      <c r="D1907" s="11">
        <v>852.8</v>
      </c>
      <c r="E1907" s="25">
        <v>0.18000000000000005</v>
      </c>
    </row>
    <row r="1908" spans="1:5" x14ac:dyDescent="0.25">
      <c r="A1908" s="44" t="s">
        <v>4304</v>
      </c>
      <c r="B1908" s="38" t="s">
        <v>4305</v>
      </c>
      <c r="C1908" s="43">
        <v>2200</v>
      </c>
      <c r="D1908" s="11">
        <v>1804</v>
      </c>
      <c r="E1908" s="25">
        <v>0.18000000000000005</v>
      </c>
    </row>
    <row r="1909" spans="1:5" x14ac:dyDescent="0.25">
      <c r="A1909" s="44" t="s">
        <v>4306</v>
      </c>
      <c r="B1909" s="38" t="s">
        <v>4307</v>
      </c>
      <c r="C1909" s="43">
        <v>5300</v>
      </c>
      <c r="D1909" s="11">
        <v>4346</v>
      </c>
      <c r="E1909" s="25">
        <v>0.18000000000000005</v>
      </c>
    </row>
    <row r="1910" spans="1:5" x14ac:dyDescent="0.25">
      <c r="A1910" s="44" t="s">
        <v>4308</v>
      </c>
      <c r="B1910" s="38" t="s">
        <v>4309</v>
      </c>
      <c r="C1910" s="43">
        <v>9600</v>
      </c>
      <c r="D1910" s="11">
        <v>7872</v>
      </c>
      <c r="E1910" s="25">
        <v>0.18000000000000005</v>
      </c>
    </row>
    <row r="1911" spans="1:5" x14ac:dyDescent="0.25">
      <c r="A1911" s="44" t="s">
        <v>4310</v>
      </c>
      <c r="B1911" s="38" t="s">
        <v>4311</v>
      </c>
      <c r="C1911" s="43">
        <v>550</v>
      </c>
      <c r="D1911" s="11">
        <v>451</v>
      </c>
      <c r="E1911" s="25">
        <v>0.18000000000000005</v>
      </c>
    </row>
    <row r="1912" spans="1:5" x14ac:dyDescent="0.25">
      <c r="A1912" s="44" t="s">
        <v>4312</v>
      </c>
      <c r="B1912" s="38" t="s">
        <v>4313</v>
      </c>
      <c r="C1912" s="43">
        <v>1100</v>
      </c>
      <c r="D1912" s="11">
        <v>902</v>
      </c>
      <c r="E1912" s="25">
        <v>0.18000000000000005</v>
      </c>
    </row>
    <row r="1913" spans="1:5" x14ac:dyDescent="0.25">
      <c r="A1913" s="44" t="s">
        <v>4314</v>
      </c>
      <c r="B1913" s="38" t="s">
        <v>4315</v>
      </c>
      <c r="C1913" s="43">
        <v>220</v>
      </c>
      <c r="D1913" s="11">
        <v>180.4</v>
      </c>
      <c r="E1913" s="25">
        <v>0.17999999999999994</v>
      </c>
    </row>
    <row r="1914" spans="1:5" x14ac:dyDescent="0.25">
      <c r="A1914" s="44" t="s">
        <v>4316</v>
      </c>
      <c r="B1914" s="38" t="s">
        <v>4317</v>
      </c>
      <c r="C1914" s="43">
        <v>500</v>
      </c>
      <c r="D1914" s="11">
        <v>410</v>
      </c>
      <c r="E1914" s="25">
        <v>0.18000000000000005</v>
      </c>
    </row>
    <row r="1915" spans="1:5" x14ac:dyDescent="0.25">
      <c r="A1915" s="44" t="s">
        <v>4318</v>
      </c>
      <c r="B1915" s="38" t="s">
        <v>4319</v>
      </c>
      <c r="C1915" s="43">
        <v>940</v>
      </c>
      <c r="D1915" s="11">
        <v>770.8</v>
      </c>
      <c r="E1915" s="25">
        <v>0.18000000000000005</v>
      </c>
    </row>
    <row r="1916" spans="1:5" x14ac:dyDescent="0.25">
      <c r="A1916" s="44" t="s">
        <v>4320</v>
      </c>
      <c r="B1916" s="38" t="s">
        <v>4321</v>
      </c>
      <c r="C1916" s="43">
        <v>1580</v>
      </c>
      <c r="D1916" s="11">
        <v>1295.5999999999999</v>
      </c>
      <c r="E1916" s="25">
        <v>0.18000000000000005</v>
      </c>
    </row>
    <row r="1917" spans="1:5" x14ac:dyDescent="0.25">
      <c r="A1917" s="44" t="s">
        <v>4322</v>
      </c>
      <c r="B1917" s="38" t="s">
        <v>4323</v>
      </c>
      <c r="C1917" s="43">
        <v>2320</v>
      </c>
      <c r="D1917" s="11">
        <v>1902.4</v>
      </c>
      <c r="E1917" s="25">
        <v>0.17999999999999994</v>
      </c>
    </row>
    <row r="1918" spans="1:5" x14ac:dyDescent="0.25">
      <c r="A1918" s="44" t="s">
        <v>4324</v>
      </c>
      <c r="B1918" s="38" t="s">
        <v>4325</v>
      </c>
      <c r="C1918" s="43">
        <v>2940</v>
      </c>
      <c r="D1918" s="11">
        <v>2410.8000000000002</v>
      </c>
      <c r="E1918" s="25">
        <v>0.17999999999999994</v>
      </c>
    </row>
    <row r="1919" spans="1:5" x14ac:dyDescent="0.25">
      <c r="A1919" s="44" t="s">
        <v>4326</v>
      </c>
      <c r="B1919" s="38" t="s">
        <v>4327</v>
      </c>
      <c r="C1919" s="43">
        <v>4140</v>
      </c>
      <c r="D1919" s="11">
        <v>3394.8</v>
      </c>
      <c r="E1919" s="25">
        <v>0.17999999999999994</v>
      </c>
    </row>
    <row r="1920" spans="1:5" x14ac:dyDescent="0.25">
      <c r="A1920" s="44" t="s">
        <v>4328</v>
      </c>
      <c r="B1920" s="38" t="s">
        <v>4329</v>
      </c>
      <c r="C1920" s="43">
        <v>840</v>
      </c>
      <c r="D1920" s="11">
        <v>688.8</v>
      </c>
      <c r="E1920" s="25">
        <v>0.18000000000000005</v>
      </c>
    </row>
    <row r="1921" spans="1:5" x14ac:dyDescent="0.25">
      <c r="A1921" s="44" t="s">
        <v>4330</v>
      </c>
      <c r="B1921" s="38" t="s">
        <v>4331</v>
      </c>
      <c r="C1921" s="43">
        <v>8400</v>
      </c>
      <c r="D1921" s="11">
        <v>6888</v>
      </c>
      <c r="E1921" s="25">
        <v>0.18000000000000005</v>
      </c>
    </row>
    <row r="1922" spans="1:5" x14ac:dyDescent="0.25">
      <c r="A1922" s="44" t="s">
        <v>4332</v>
      </c>
      <c r="B1922" s="38" t="s">
        <v>4333</v>
      </c>
      <c r="C1922" s="43">
        <v>242</v>
      </c>
      <c r="D1922" s="11">
        <v>198.44</v>
      </c>
      <c r="E1922" s="25">
        <v>0.18000000000000005</v>
      </c>
    </row>
    <row r="1923" spans="1:5" x14ac:dyDescent="0.25">
      <c r="A1923" s="44" t="s">
        <v>4334</v>
      </c>
      <c r="B1923" s="38" t="s">
        <v>4335</v>
      </c>
      <c r="C1923" s="43">
        <v>240</v>
      </c>
      <c r="D1923" s="11">
        <v>196.8</v>
      </c>
      <c r="E1923" s="25">
        <v>0.17999999999999994</v>
      </c>
    </row>
    <row r="1924" spans="1:5" x14ac:dyDescent="0.25">
      <c r="A1924" s="44" t="s">
        <v>4336</v>
      </c>
      <c r="B1924" s="38" t="s">
        <v>4337</v>
      </c>
      <c r="C1924" s="43">
        <v>442</v>
      </c>
      <c r="D1924" s="11">
        <v>362.44</v>
      </c>
      <c r="E1924" s="25">
        <v>0.18000000000000005</v>
      </c>
    </row>
    <row r="1925" spans="1:5" x14ac:dyDescent="0.25">
      <c r="A1925" s="44" t="s">
        <v>4338</v>
      </c>
      <c r="B1925" s="38" t="s">
        <v>4339</v>
      </c>
      <c r="C1925" s="43">
        <v>1236</v>
      </c>
      <c r="D1925" s="11">
        <v>1013.52</v>
      </c>
      <c r="E1925" s="25">
        <v>0.18000000000000005</v>
      </c>
    </row>
    <row r="1926" spans="1:5" x14ac:dyDescent="0.25">
      <c r="A1926" s="44" t="s">
        <v>4340</v>
      </c>
      <c r="B1926" s="38" t="s">
        <v>4341</v>
      </c>
      <c r="C1926" s="43">
        <v>3100</v>
      </c>
      <c r="D1926" s="11">
        <v>2542</v>
      </c>
      <c r="E1926" s="25">
        <v>0.18000000000000005</v>
      </c>
    </row>
    <row r="1927" spans="1:5" x14ac:dyDescent="0.25">
      <c r="A1927" s="44" t="s">
        <v>4342</v>
      </c>
      <c r="B1927" s="38" t="s">
        <v>4343</v>
      </c>
      <c r="C1927" s="43">
        <v>11100</v>
      </c>
      <c r="D1927" s="11">
        <v>9102</v>
      </c>
      <c r="E1927" s="25">
        <v>0.18000000000000005</v>
      </c>
    </row>
    <row r="1928" spans="1:5" x14ac:dyDescent="0.25">
      <c r="A1928" s="44" t="s">
        <v>4344</v>
      </c>
      <c r="B1928" s="38" t="s">
        <v>4345</v>
      </c>
      <c r="C1928" s="43">
        <v>33300</v>
      </c>
      <c r="D1928" s="11">
        <v>27306</v>
      </c>
      <c r="E1928" s="25">
        <v>0.18000000000000005</v>
      </c>
    </row>
    <row r="1929" spans="1:5" x14ac:dyDescent="0.25">
      <c r="A1929" s="44" t="s">
        <v>4346</v>
      </c>
      <c r="B1929" s="38" t="s">
        <v>4347</v>
      </c>
      <c r="C1929" s="43">
        <v>4740</v>
      </c>
      <c r="D1929" s="11">
        <v>3886.8</v>
      </c>
      <c r="E1929" s="25">
        <v>0.17999999999999994</v>
      </c>
    </row>
    <row r="1930" spans="1:5" x14ac:dyDescent="0.25">
      <c r="A1930" s="44" t="s">
        <v>4348</v>
      </c>
      <c r="B1930" s="38" t="s">
        <v>4349</v>
      </c>
      <c r="C1930" s="43">
        <v>200</v>
      </c>
      <c r="D1930" s="11">
        <v>164</v>
      </c>
      <c r="E1930" s="25">
        <v>0.18000000000000005</v>
      </c>
    </row>
    <row r="1931" spans="1:5" x14ac:dyDescent="0.25">
      <c r="A1931" s="44" t="s">
        <v>4350</v>
      </c>
      <c r="B1931" s="38" t="s">
        <v>4351</v>
      </c>
      <c r="C1931" s="43">
        <v>698</v>
      </c>
      <c r="D1931" s="11">
        <v>572.36</v>
      </c>
      <c r="E1931" s="25">
        <v>0.17999999999999994</v>
      </c>
    </row>
    <row r="1932" spans="1:5" x14ac:dyDescent="0.25">
      <c r="A1932" s="44" t="s">
        <v>4352</v>
      </c>
      <c r="B1932" s="38" t="s">
        <v>4353</v>
      </c>
      <c r="C1932" s="43">
        <v>1096</v>
      </c>
      <c r="D1932" s="11">
        <v>898.72</v>
      </c>
      <c r="E1932" s="25">
        <v>0.17999999999999994</v>
      </c>
    </row>
    <row r="1933" spans="1:5" x14ac:dyDescent="0.25">
      <c r="A1933" s="44" t="s">
        <v>4354</v>
      </c>
      <c r="B1933" s="38" t="s">
        <v>4355</v>
      </c>
      <c r="C1933" s="43">
        <v>3120</v>
      </c>
      <c r="D1933" s="11">
        <v>2558.4</v>
      </c>
      <c r="E1933" s="25">
        <v>0.17999999999999994</v>
      </c>
    </row>
    <row r="1934" spans="1:5" x14ac:dyDescent="0.25">
      <c r="A1934" s="44" t="s">
        <v>4356</v>
      </c>
      <c r="B1934" s="38" t="s">
        <v>4357</v>
      </c>
      <c r="C1934" s="43">
        <v>5580</v>
      </c>
      <c r="D1934" s="11">
        <v>4575.6000000000004</v>
      </c>
      <c r="E1934" s="25">
        <v>0.17999999999999994</v>
      </c>
    </row>
    <row r="1935" spans="1:5" x14ac:dyDescent="0.25">
      <c r="A1935" s="44" t="s">
        <v>4358</v>
      </c>
      <c r="B1935" s="38" t="s">
        <v>4359</v>
      </c>
      <c r="C1935" s="43">
        <v>15740</v>
      </c>
      <c r="D1935" s="11">
        <v>12906.8</v>
      </c>
      <c r="E1935" s="25">
        <v>0.18000000000000005</v>
      </c>
    </row>
    <row r="1936" spans="1:5" x14ac:dyDescent="0.25">
      <c r="A1936" s="44" t="s">
        <v>4360</v>
      </c>
      <c r="B1936" s="38" t="s">
        <v>4361</v>
      </c>
      <c r="C1936" s="43">
        <v>32380</v>
      </c>
      <c r="D1936" s="11">
        <v>26551.599999999999</v>
      </c>
      <c r="E1936" s="25">
        <v>0.18000000000000005</v>
      </c>
    </row>
    <row r="1937" spans="1:5" x14ac:dyDescent="0.25">
      <c r="A1937" s="44" t="s">
        <v>4362</v>
      </c>
      <c r="B1937" s="38" t="s">
        <v>4363</v>
      </c>
      <c r="C1937" s="43">
        <v>86940</v>
      </c>
      <c r="D1937" s="11">
        <v>71290.8</v>
      </c>
      <c r="E1937" s="25">
        <v>0.17999999999999994</v>
      </c>
    </row>
    <row r="1938" spans="1:5" x14ac:dyDescent="0.25">
      <c r="A1938" s="44" t="s">
        <v>4364</v>
      </c>
      <c r="B1938" s="38" t="s">
        <v>4365</v>
      </c>
      <c r="C1938" s="43">
        <v>177540</v>
      </c>
      <c r="D1938" s="11">
        <v>145582.79999999999</v>
      </c>
      <c r="E1938" s="25">
        <v>0.18000000000000005</v>
      </c>
    </row>
    <row r="1939" spans="1:5" x14ac:dyDescent="0.25">
      <c r="A1939" s="44" t="s">
        <v>4366</v>
      </c>
      <c r="B1939" s="38" t="s">
        <v>4367</v>
      </c>
      <c r="C1939" s="43">
        <v>6100</v>
      </c>
      <c r="D1939" s="11">
        <v>5002</v>
      </c>
      <c r="E1939" s="25">
        <v>0.18000000000000005</v>
      </c>
    </row>
    <row r="1940" spans="1:5" x14ac:dyDescent="0.25">
      <c r="A1940" s="44" t="s">
        <v>4368</v>
      </c>
      <c r="B1940" s="38" t="s">
        <v>4369</v>
      </c>
      <c r="C1940" s="43">
        <v>10220</v>
      </c>
      <c r="D1940" s="11">
        <v>8380.4</v>
      </c>
      <c r="E1940" s="25">
        <v>0.18000000000000005</v>
      </c>
    </row>
    <row r="1941" spans="1:5" x14ac:dyDescent="0.25">
      <c r="A1941" s="44" t="s">
        <v>4370</v>
      </c>
      <c r="B1941" s="38" t="s">
        <v>4371</v>
      </c>
      <c r="C1941" s="43">
        <v>1600</v>
      </c>
      <c r="D1941" s="11">
        <v>1312</v>
      </c>
      <c r="E1941" s="25">
        <v>0.18000000000000005</v>
      </c>
    </row>
    <row r="1942" spans="1:5" x14ac:dyDescent="0.25">
      <c r="A1942" s="44" t="s">
        <v>4372</v>
      </c>
      <c r="B1942" s="38" t="s">
        <v>4373</v>
      </c>
      <c r="C1942" s="43">
        <v>2520</v>
      </c>
      <c r="D1942" s="11">
        <v>2066.4</v>
      </c>
      <c r="E1942" s="25">
        <v>0.17999999999999994</v>
      </c>
    </row>
    <row r="1943" spans="1:5" x14ac:dyDescent="0.25">
      <c r="A1943" s="44" t="s">
        <v>4374</v>
      </c>
      <c r="B1943" s="38" t="s">
        <v>4375</v>
      </c>
      <c r="C1943" s="43">
        <v>7160</v>
      </c>
      <c r="D1943" s="11">
        <v>5871.2</v>
      </c>
      <c r="E1943" s="25">
        <v>0.18000000000000005</v>
      </c>
    </row>
    <row r="1944" spans="1:5" x14ac:dyDescent="0.25">
      <c r="A1944" s="44" t="s">
        <v>4376</v>
      </c>
      <c r="B1944" s="38" t="s">
        <v>4377</v>
      </c>
      <c r="C1944" s="43">
        <v>12800</v>
      </c>
      <c r="D1944" s="11">
        <v>10496</v>
      </c>
      <c r="E1944" s="25">
        <v>0.18000000000000005</v>
      </c>
    </row>
    <row r="1945" spans="1:5" x14ac:dyDescent="0.25">
      <c r="A1945" s="44" t="s">
        <v>4378</v>
      </c>
      <c r="B1945" s="38" t="s">
        <v>4379</v>
      </c>
      <c r="C1945" s="43">
        <v>36080</v>
      </c>
      <c r="D1945" s="11">
        <v>29585.599999999999</v>
      </c>
      <c r="E1945" s="25">
        <v>0.18000000000000005</v>
      </c>
    </row>
    <row r="1946" spans="1:5" x14ac:dyDescent="0.25">
      <c r="A1946" s="44" t="s">
        <v>4380</v>
      </c>
      <c r="B1946" s="38" t="s">
        <v>4381</v>
      </c>
      <c r="C1946" s="43">
        <v>74260</v>
      </c>
      <c r="D1946" s="11">
        <v>60893.2</v>
      </c>
      <c r="E1946" s="25">
        <v>0.18000000000000005</v>
      </c>
    </row>
    <row r="1947" spans="1:5" x14ac:dyDescent="0.25">
      <c r="A1947" s="44" t="s">
        <v>4382</v>
      </c>
      <c r="B1947" s="38" t="s">
        <v>4383</v>
      </c>
      <c r="C1947" s="43">
        <v>199360</v>
      </c>
      <c r="D1947" s="11">
        <v>163475.20000000001</v>
      </c>
      <c r="E1947" s="25">
        <v>0.17999999999999994</v>
      </c>
    </row>
    <row r="1948" spans="1:5" x14ac:dyDescent="0.25">
      <c r="A1948" s="44" t="s">
        <v>4384</v>
      </c>
      <c r="B1948" s="38" t="s">
        <v>4385</v>
      </c>
      <c r="C1948" s="43">
        <v>407160</v>
      </c>
      <c r="D1948" s="11">
        <v>333871.2</v>
      </c>
      <c r="E1948" s="25">
        <v>0.17999999999999994</v>
      </c>
    </row>
    <row r="1949" spans="1:5" x14ac:dyDescent="0.25">
      <c r="A1949" s="44" t="s">
        <v>4386</v>
      </c>
      <c r="B1949" s="38" t="s">
        <v>4387</v>
      </c>
      <c r="C1949" s="43">
        <v>72880</v>
      </c>
      <c r="D1949" s="11">
        <v>59761.599999999999</v>
      </c>
      <c r="E1949" s="25">
        <v>0.18000000000000005</v>
      </c>
    </row>
    <row r="1950" spans="1:5" x14ac:dyDescent="0.25">
      <c r="A1950" s="44" t="s">
        <v>4388</v>
      </c>
      <c r="B1950" s="38" t="s">
        <v>4389</v>
      </c>
      <c r="C1950" s="43">
        <v>560</v>
      </c>
      <c r="D1950" s="11">
        <v>459.2</v>
      </c>
      <c r="E1950" s="25">
        <v>0.18000000000000005</v>
      </c>
    </row>
    <row r="1951" spans="1:5" x14ac:dyDescent="0.25">
      <c r="A1951" s="44" t="s">
        <v>4390</v>
      </c>
      <c r="B1951" s="38" t="s">
        <v>4391</v>
      </c>
      <c r="C1951" s="43">
        <v>882</v>
      </c>
      <c r="D1951" s="11">
        <v>723.24</v>
      </c>
      <c r="E1951" s="25">
        <v>0.17999999999999994</v>
      </c>
    </row>
    <row r="1952" spans="1:5" x14ac:dyDescent="0.25">
      <c r="A1952" s="44" t="s">
        <v>4392</v>
      </c>
      <c r="B1952" s="38" t="s">
        <v>4393</v>
      </c>
      <c r="C1952" s="43">
        <v>1380</v>
      </c>
      <c r="D1952" s="11">
        <v>1131.5999999999999</v>
      </c>
      <c r="E1952" s="25">
        <v>0.18000000000000005</v>
      </c>
    </row>
    <row r="1953" spans="1:5" x14ac:dyDescent="0.25">
      <c r="A1953" s="44" t="s">
        <v>4394</v>
      </c>
      <c r="B1953" s="38" t="s">
        <v>4395</v>
      </c>
      <c r="C1953" s="43">
        <v>2520</v>
      </c>
      <c r="D1953" s="11">
        <v>2066.4</v>
      </c>
      <c r="E1953" s="25">
        <v>0.17999999999999994</v>
      </c>
    </row>
    <row r="1954" spans="1:5" x14ac:dyDescent="0.25">
      <c r="A1954" s="44" t="s">
        <v>4396</v>
      </c>
      <c r="B1954" s="38" t="s">
        <v>4397</v>
      </c>
      <c r="C1954" s="43">
        <v>4480</v>
      </c>
      <c r="D1954" s="11">
        <v>3673.6</v>
      </c>
      <c r="E1954" s="25">
        <v>0.18000000000000005</v>
      </c>
    </row>
    <row r="1955" spans="1:5" x14ac:dyDescent="0.25">
      <c r="A1955" s="44" t="s">
        <v>4398</v>
      </c>
      <c r="B1955" s="38" t="s">
        <v>4399</v>
      </c>
      <c r="C1955" s="43">
        <v>12640</v>
      </c>
      <c r="D1955" s="11">
        <v>10364.799999999999</v>
      </c>
      <c r="E1955" s="25">
        <v>0.18000000000000005</v>
      </c>
    </row>
    <row r="1956" spans="1:5" x14ac:dyDescent="0.25">
      <c r="A1956" s="44" t="s">
        <v>4400</v>
      </c>
      <c r="B1956" s="38" t="s">
        <v>4401</v>
      </c>
      <c r="C1956" s="43">
        <v>26000</v>
      </c>
      <c r="D1956" s="11">
        <v>21320</v>
      </c>
      <c r="E1956" s="25">
        <v>0.18000000000000005</v>
      </c>
    </row>
    <row r="1957" spans="1:5" x14ac:dyDescent="0.25">
      <c r="A1957" s="44" t="s">
        <v>4402</v>
      </c>
      <c r="B1957" s="38" t="s">
        <v>4403</v>
      </c>
      <c r="C1957" s="43">
        <v>142520</v>
      </c>
      <c r="D1957" s="11">
        <v>116866.4</v>
      </c>
      <c r="E1957" s="25">
        <v>0.18000000000000005</v>
      </c>
    </row>
    <row r="1958" spans="1:5" x14ac:dyDescent="0.25">
      <c r="A1958" s="44" t="s">
        <v>4404</v>
      </c>
      <c r="B1958" s="38" t="s">
        <v>4405</v>
      </c>
      <c r="C1958" s="43">
        <v>223620</v>
      </c>
      <c r="D1958" s="11">
        <v>183368.4</v>
      </c>
      <c r="E1958" s="25">
        <v>0.18000000000000005</v>
      </c>
    </row>
    <row r="1959" spans="1:5" x14ac:dyDescent="0.25">
      <c r="A1959" s="44" t="s">
        <v>4406</v>
      </c>
      <c r="B1959" s="38" t="s">
        <v>4407</v>
      </c>
      <c r="C1959" s="43">
        <v>4900</v>
      </c>
      <c r="D1959" s="11">
        <v>4018</v>
      </c>
      <c r="E1959" s="25">
        <v>0.18000000000000005</v>
      </c>
    </row>
    <row r="1960" spans="1:5" x14ac:dyDescent="0.25">
      <c r="A1960" s="44" t="s">
        <v>4408</v>
      </c>
      <c r="B1960" s="38" t="s">
        <v>4409</v>
      </c>
      <c r="C1960" s="43">
        <v>8200</v>
      </c>
      <c r="D1960" s="11">
        <v>6724</v>
      </c>
      <c r="E1960" s="25">
        <v>0.18000000000000005</v>
      </c>
    </row>
    <row r="1961" spans="1:5" x14ac:dyDescent="0.25">
      <c r="A1961" s="44" t="s">
        <v>4410</v>
      </c>
      <c r="B1961" s="38" t="s">
        <v>4411</v>
      </c>
      <c r="C1961" s="43">
        <v>372</v>
      </c>
      <c r="D1961" s="11">
        <v>305.04000000000002</v>
      </c>
      <c r="E1961" s="25">
        <v>0.17999999999999994</v>
      </c>
    </row>
    <row r="1962" spans="1:5" x14ac:dyDescent="0.25">
      <c r="A1962" s="44" t="s">
        <v>4412</v>
      </c>
      <c r="B1962" s="38" t="s">
        <v>4413</v>
      </c>
      <c r="C1962" s="43">
        <v>584</v>
      </c>
      <c r="D1962" s="11">
        <v>478.88</v>
      </c>
      <c r="E1962" s="25">
        <v>0.18000000000000005</v>
      </c>
    </row>
    <row r="1963" spans="1:5" x14ac:dyDescent="0.25">
      <c r="A1963" s="44" t="s">
        <v>4414</v>
      </c>
      <c r="B1963" s="38" t="s">
        <v>4415</v>
      </c>
      <c r="C1963" s="43">
        <v>1662</v>
      </c>
      <c r="D1963" s="11">
        <v>1362.8400000000001</v>
      </c>
      <c r="E1963" s="25">
        <v>0.17999999999999994</v>
      </c>
    </row>
    <row r="1964" spans="1:5" x14ac:dyDescent="0.25">
      <c r="A1964" s="44" t="s">
        <v>4416</v>
      </c>
      <c r="B1964" s="38" t="s">
        <v>4417</v>
      </c>
      <c r="C1964" s="43">
        <v>2980</v>
      </c>
      <c r="D1964" s="11">
        <v>2443.6</v>
      </c>
      <c r="E1964" s="25">
        <v>0.18000000000000005</v>
      </c>
    </row>
    <row r="1965" spans="1:5" x14ac:dyDescent="0.25">
      <c r="A1965" s="44" t="s">
        <v>4418</v>
      </c>
      <c r="B1965" s="38" t="s">
        <v>4419</v>
      </c>
      <c r="C1965" s="43">
        <v>8400</v>
      </c>
      <c r="D1965" s="11">
        <v>6888</v>
      </c>
      <c r="E1965" s="25">
        <v>0.18000000000000005</v>
      </c>
    </row>
    <row r="1966" spans="1:5" x14ac:dyDescent="0.25">
      <c r="A1966" s="44" t="s">
        <v>4420</v>
      </c>
      <c r="B1966" s="38" t="s">
        <v>4421</v>
      </c>
      <c r="C1966" s="43">
        <v>17280</v>
      </c>
      <c r="D1966" s="11">
        <v>14169.6</v>
      </c>
      <c r="E1966" s="25">
        <v>0.17999999999999994</v>
      </c>
    </row>
    <row r="1967" spans="1:5" x14ac:dyDescent="0.25">
      <c r="A1967" s="44" t="s">
        <v>4422</v>
      </c>
      <c r="B1967" s="38" t="s">
        <v>4423</v>
      </c>
      <c r="C1967" s="43">
        <v>46380</v>
      </c>
      <c r="D1967" s="11">
        <v>38031.599999999999</v>
      </c>
      <c r="E1967" s="25">
        <v>0.18000000000000005</v>
      </c>
    </row>
    <row r="1968" spans="1:5" x14ac:dyDescent="0.25">
      <c r="A1968" s="44" t="s">
        <v>4424</v>
      </c>
      <c r="B1968" s="38" t="s">
        <v>4425</v>
      </c>
      <c r="C1968" s="43">
        <v>94700</v>
      </c>
      <c r="D1968" s="11">
        <v>77654</v>
      </c>
      <c r="E1968" s="25">
        <v>0.18000000000000005</v>
      </c>
    </row>
    <row r="1969" spans="1:5" x14ac:dyDescent="0.25">
      <c r="A1969" s="44" t="s">
        <v>4426</v>
      </c>
      <c r="B1969" s="38" t="s">
        <v>4427</v>
      </c>
      <c r="C1969" s="43">
        <v>3260</v>
      </c>
      <c r="D1969" s="11">
        <v>2673.2</v>
      </c>
      <c r="E1969" s="25">
        <v>0.18000000000000005</v>
      </c>
    </row>
    <row r="1970" spans="1:5" x14ac:dyDescent="0.25">
      <c r="A1970" s="44" t="s">
        <v>4428</v>
      </c>
      <c r="B1970" s="38" t="s">
        <v>4429</v>
      </c>
      <c r="C1970" s="43">
        <v>5460</v>
      </c>
      <c r="D1970" s="11">
        <v>4477.2</v>
      </c>
      <c r="E1970" s="25">
        <v>0.18000000000000005</v>
      </c>
    </row>
    <row r="1971" spans="1:5" x14ac:dyDescent="0.25">
      <c r="A1971" s="44" t="s">
        <v>4430</v>
      </c>
      <c r="B1971" s="38" t="s">
        <v>4431</v>
      </c>
      <c r="C1971" s="43">
        <v>14</v>
      </c>
      <c r="D1971" s="11">
        <v>11.48</v>
      </c>
      <c r="E1971" s="25">
        <v>0.17999999999999994</v>
      </c>
    </row>
    <row r="1972" spans="1:5" x14ac:dyDescent="0.25">
      <c r="A1972" s="44" t="s">
        <v>4432</v>
      </c>
      <c r="B1972" s="38" t="s">
        <v>4433</v>
      </c>
      <c r="C1972" s="43">
        <v>26</v>
      </c>
      <c r="D1972" s="11">
        <v>21.32</v>
      </c>
      <c r="E1972" s="25">
        <v>0.17999999999999994</v>
      </c>
    </row>
    <row r="1973" spans="1:5" x14ac:dyDescent="0.25">
      <c r="A1973" s="44" t="s">
        <v>4434</v>
      </c>
      <c r="B1973" s="38" t="s">
        <v>4435</v>
      </c>
      <c r="C1973" s="43">
        <v>130</v>
      </c>
      <c r="D1973" s="11">
        <v>106.6</v>
      </c>
      <c r="E1973" s="25">
        <v>0.18000000000000005</v>
      </c>
    </row>
    <row r="1974" spans="1:5" x14ac:dyDescent="0.25">
      <c r="A1974" s="44" t="s">
        <v>4436</v>
      </c>
      <c r="B1974" s="38" t="s">
        <v>4437</v>
      </c>
      <c r="C1974" s="43">
        <v>258</v>
      </c>
      <c r="D1974" s="11">
        <v>211.56</v>
      </c>
      <c r="E1974" s="25">
        <v>0.17999999999999994</v>
      </c>
    </row>
    <row r="1975" spans="1:5" x14ac:dyDescent="0.25">
      <c r="A1975" s="44" t="s">
        <v>4438</v>
      </c>
      <c r="B1975" s="38" t="s">
        <v>4439</v>
      </c>
      <c r="C1975" s="43">
        <v>860</v>
      </c>
      <c r="D1975" s="11">
        <v>705.2</v>
      </c>
      <c r="E1975" s="25">
        <v>0.17999999999999994</v>
      </c>
    </row>
    <row r="1976" spans="1:5" x14ac:dyDescent="0.25">
      <c r="A1976" s="44" t="s">
        <v>4440</v>
      </c>
      <c r="B1976" s="38" t="s">
        <v>4441</v>
      </c>
      <c r="C1976" s="43">
        <v>2160</v>
      </c>
      <c r="D1976" s="11">
        <v>1771.2</v>
      </c>
      <c r="E1976" s="25">
        <v>0.17999999999999994</v>
      </c>
    </row>
    <row r="1977" spans="1:5" x14ac:dyDescent="0.25">
      <c r="A1977" s="44" t="s">
        <v>4442</v>
      </c>
      <c r="B1977" s="38" t="s">
        <v>4443</v>
      </c>
      <c r="C1977" s="43">
        <v>8600</v>
      </c>
      <c r="D1977" s="11">
        <v>7052</v>
      </c>
      <c r="E1977" s="25">
        <v>0.18000000000000005</v>
      </c>
    </row>
    <row r="1978" spans="1:5" x14ac:dyDescent="0.25">
      <c r="A1978" s="44" t="s">
        <v>4444</v>
      </c>
      <c r="B1978" s="38" t="s">
        <v>4445</v>
      </c>
      <c r="C1978" s="43">
        <v>25780</v>
      </c>
      <c r="D1978" s="11">
        <v>21139.599999999999</v>
      </c>
      <c r="E1978" s="25">
        <v>0.18000000000000005</v>
      </c>
    </row>
    <row r="1979" spans="1:5" x14ac:dyDescent="0.25">
      <c r="A1979" s="44" t="s">
        <v>4446</v>
      </c>
      <c r="B1979" s="38" t="s">
        <v>4447</v>
      </c>
      <c r="C1979" s="43">
        <v>430</v>
      </c>
      <c r="D1979" s="11">
        <v>352.6</v>
      </c>
      <c r="E1979" s="25">
        <v>0.17999999999999994</v>
      </c>
    </row>
    <row r="1980" spans="1:5" x14ac:dyDescent="0.25">
      <c r="A1980" s="44" t="s">
        <v>4448</v>
      </c>
      <c r="B1980" s="38" t="s">
        <v>4449</v>
      </c>
      <c r="C1980" s="43">
        <v>860</v>
      </c>
      <c r="D1980" s="11">
        <v>705.2</v>
      </c>
      <c r="E1980" s="25">
        <v>0.17999999999999994</v>
      </c>
    </row>
    <row r="1981" spans="1:5" x14ac:dyDescent="0.25">
      <c r="A1981" s="44" t="s">
        <v>4450</v>
      </c>
      <c r="B1981" s="38" t="s">
        <v>4451</v>
      </c>
      <c r="C1981" s="43">
        <v>288</v>
      </c>
      <c r="D1981" s="11">
        <v>236.16</v>
      </c>
      <c r="E1981" s="25">
        <v>0.18000000000000005</v>
      </c>
    </row>
    <row r="1982" spans="1:5" x14ac:dyDescent="0.25">
      <c r="A1982" s="44" t="s">
        <v>4452</v>
      </c>
      <c r="B1982" s="38" t="s">
        <v>4453</v>
      </c>
      <c r="C1982" s="43">
        <v>454</v>
      </c>
      <c r="D1982" s="11">
        <v>372.28</v>
      </c>
      <c r="E1982" s="25">
        <v>0.18000000000000005</v>
      </c>
    </row>
    <row r="1983" spans="1:5" x14ac:dyDescent="0.25">
      <c r="A1983" s="44" t="s">
        <v>4454</v>
      </c>
      <c r="B1983" s="38" t="s">
        <v>4455</v>
      </c>
      <c r="C1983" s="43">
        <v>2320</v>
      </c>
      <c r="D1983" s="11">
        <v>1902.4</v>
      </c>
      <c r="E1983" s="25">
        <v>0.17999999999999994</v>
      </c>
    </row>
    <row r="1984" spans="1:5" x14ac:dyDescent="0.25">
      <c r="A1984" s="44" t="s">
        <v>4456</v>
      </c>
      <c r="B1984" s="38" t="s">
        <v>4457</v>
      </c>
      <c r="C1984" s="43">
        <v>3460</v>
      </c>
      <c r="D1984" s="11">
        <v>2837.2</v>
      </c>
      <c r="E1984" s="25">
        <v>0.18000000000000005</v>
      </c>
    </row>
    <row r="1985" spans="1:5" x14ac:dyDescent="0.25">
      <c r="A1985" s="44" t="s">
        <v>4458</v>
      </c>
      <c r="B1985" s="38" t="s">
        <v>4459</v>
      </c>
      <c r="C1985" s="43">
        <v>6500</v>
      </c>
      <c r="D1985" s="11">
        <v>5330</v>
      </c>
      <c r="E1985" s="25">
        <v>0.18000000000000005</v>
      </c>
    </row>
    <row r="1986" spans="1:5" x14ac:dyDescent="0.25">
      <c r="A1986" s="44" t="s">
        <v>4460</v>
      </c>
      <c r="B1986" s="38" t="s">
        <v>4461</v>
      </c>
      <c r="C1986" s="43">
        <v>13380</v>
      </c>
      <c r="D1986" s="11">
        <v>10971.6</v>
      </c>
      <c r="E1986" s="25">
        <v>0.17999999999999994</v>
      </c>
    </row>
    <row r="1987" spans="1:5" x14ac:dyDescent="0.25">
      <c r="A1987" s="44" t="s">
        <v>4462</v>
      </c>
      <c r="B1987" s="38" t="s">
        <v>4463</v>
      </c>
      <c r="C1987" s="43">
        <v>73300</v>
      </c>
      <c r="D1987" s="11">
        <v>60106</v>
      </c>
      <c r="E1987" s="25">
        <v>0.18000000000000005</v>
      </c>
    </row>
    <row r="1988" spans="1:5" x14ac:dyDescent="0.25">
      <c r="A1988" s="44" t="s">
        <v>4464</v>
      </c>
      <c r="B1988" s="38" t="s">
        <v>4465</v>
      </c>
      <c r="C1988" s="43">
        <v>115000</v>
      </c>
      <c r="D1988" s="11">
        <v>94300</v>
      </c>
      <c r="E1988" s="25">
        <v>0.18000000000000005</v>
      </c>
    </row>
    <row r="1989" spans="1:5" x14ac:dyDescent="0.25">
      <c r="A1989" s="44" t="s">
        <v>4466</v>
      </c>
      <c r="B1989" s="38" t="s">
        <v>4467</v>
      </c>
      <c r="C1989" s="43">
        <v>2520</v>
      </c>
      <c r="D1989" s="11">
        <v>2066.4</v>
      </c>
      <c r="E1989" s="25">
        <v>0.17999999999999994</v>
      </c>
    </row>
    <row r="1990" spans="1:5" x14ac:dyDescent="0.25">
      <c r="A1990" s="44" t="s">
        <v>4468</v>
      </c>
      <c r="B1990" s="38" t="s">
        <v>4469</v>
      </c>
      <c r="C1990" s="43">
        <v>4220</v>
      </c>
      <c r="D1990" s="11">
        <v>3460.4</v>
      </c>
      <c r="E1990" s="25">
        <v>0.17999999999999994</v>
      </c>
    </row>
    <row r="1991" spans="1:5" x14ac:dyDescent="0.25">
      <c r="A1991" s="44" t="s">
        <v>4470</v>
      </c>
      <c r="B1991" s="38" t="s">
        <v>4471</v>
      </c>
      <c r="C1991" s="43">
        <v>480</v>
      </c>
      <c r="D1991" s="11">
        <v>393.6</v>
      </c>
      <c r="E1991" s="25">
        <v>0.17999999999999994</v>
      </c>
    </row>
    <row r="1992" spans="1:5" x14ac:dyDescent="0.25">
      <c r="A1992" s="44" t="s">
        <v>4472</v>
      </c>
      <c r="B1992" s="38" t="s">
        <v>4473</v>
      </c>
      <c r="C1992" s="43">
        <v>756</v>
      </c>
      <c r="D1992" s="11">
        <v>619.92000000000007</v>
      </c>
      <c r="E1992" s="25">
        <v>0.17999999999999994</v>
      </c>
    </row>
    <row r="1993" spans="1:5" x14ac:dyDescent="0.25">
      <c r="A1993" s="44" t="s">
        <v>4474</v>
      </c>
      <c r="B1993" s="38" t="s">
        <v>4475</v>
      </c>
      <c r="C1993" s="43">
        <v>2160</v>
      </c>
      <c r="D1993" s="11">
        <v>1771.2</v>
      </c>
      <c r="E1993" s="25">
        <v>0.17999999999999994</v>
      </c>
    </row>
    <row r="1994" spans="1:5" x14ac:dyDescent="0.25">
      <c r="A1994" s="44" t="s">
        <v>4476</v>
      </c>
      <c r="B1994" s="38" t="s">
        <v>4477</v>
      </c>
      <c r="C1994" s="43">
        <v>3840</v>
      </c>
      <c r="D1994" s="11">
        <v>3148.8</v>
      </c>
      <c r="E1994" s="25">
        <v>0.17999999999999994</v>
      </c>
    </row>
    <row r="1995" spans="1:5" x14ac:dyDescent="0.25">
      <c r="A1995" s="44" t="s">
        <v>4478</v>
      </c>
      <c r="B1995" s="38" t="s">
        <v>4479</v>
      </c>
      <c r="C1995" s="43">
        <v>10840</v>
      </c>
      <c r="D1995" s="11">
        <v>8888.7999999999993</v>
      </c>
      <c r="E1995" s="25">
        <v>0.18000000000000005</v>
      </c>
    </row>
    <row r="1996" spans="1:5" x14ac:dyDescent="0.25">
      <c r="A1996" s="44" t="s">
        <v>4480</v>
      </c>
      <c r="B1996" s="38" t="s">
        <v>4481</v>
      </c>
      <c r="C1996" s="43">
        <v>22280</v>
      </c>
      <c r="D1996" s="11">
        <v>18269.599999999999</v>
      </c>
      <c r="E1996" s="25">
        <v>0.18000000000000005</v>
      </c>
    </row>
    <row r="1997" spans="1:5" x14ac:dyDescent="0.25">
      <c r="A1997" s="44" t="s">
        <v>4482</v>
      </c>
      <c r="B1997" s="38" t="s">
        <v>4483</v>
      </c>
      <c r="C1997" s="43">
        <v>59820</v>
      </c>
      <c r="D1997" s="11">
        <v>49052.4</v>
      </c>
      <c r="E1997" s="25">
        <v>0.17999999999999994</v>
      </c>
    </row>
    <row r="1998" spans="1:5" x14ac:dyDescent="0.25">
      <c r="A1998" s="44" t="s">
        <v>4484</v>
      </c>
      <c r="B1998" s="38" t="s">
        <v>4485</v>
      </c>
      <c r="C1998" s="43">
        <v>122160</v>
      </c>
      <c r="D1998" s="11">
        <v>100171.2</v>
      </c>
      <c r="E1998" s="25">
        <v>0.18000000000000005</v>
      </c>
    </row>
    <row r="1999" spans="1:5" x14ac:dyDescent="0.25">
      <c r="A1999" s="44" t="s">
        <v>4486</v>
      </c>
      <c r="B1999" s="38" t="s">
        <v>4487</v>
      </c>
      <c r="C1999" s="43">
        <v>4200</v>
      </c>
      <c r="D1999" s="11">
        <v>3444</v>
      </c>
      <c r="E1999" s="25">
        <v>0.18000000000000005</v>
      </c>
    </row>
    <row r="2000" spans="1:5" x14ac:dyDescent="0.25">
      <c r="A2000" s="44" t="s">
        <v>4488</v>
      </c>
      <c r="B2000" s="38" t="s">
        <v>4489</v>
      </c>
      <c r="C2000" s="43">
        <v>7040</v>
      </c>
      <c r="D2000" s="11">
        <v>5772.8</v>
      </c>
      <c r="E2000" s="25">
        <v>0.17999999999999994</v>
      </c>
    </row>
    <row r="2001" spans="1:5" x14ac:dyDescent="0.25">
      <c r="A2001" s="44" t="s">
        <v>4490</v>
      </c>
      <c r="B2001" s="38" t="s">
        <v>4491</v>
      </c>
      <c r="C2001" s="43">
        <v>320</v>
      </c>
      <c r="D2001" s="11">
        <v>262.39999999999998</v>
      </c>
      <c r="E2001" s="25">
        <v>0.18000000000000005</v>
      </c>
    </row>
    <row r="2002" spans="1:5" x14ac:dyDescent="0.25">
      <c r="A2002" s="44" t="s">
        <v>4492</v>
      </c>
      <c r="B2002" s="38" t="s">
        <v>4493</v>
      </c>
      <c r="C2002" s="43">
        <v>504</v>
      </c>
      <c r="D2002" s="11">
        <v>413.28</v>
      </c>
      <c r="E2002" s="25">
        <v>0.18000000000000005</v>
      </c>
    </row>
    <row r="2003" spans="1:5" x14ac:dyDescent="0.25">
      <c r="A2003" s="44" t="s">
        <v>4494</v>
      </c>
      <c r="B2003" s="38" t="s">
        <v>4495</v>
      </c>
      <c r="C2003" s="43">
        <v>1432</v>
      </c>
      <c r="D2003" s="11">
        <v>1174.24</v>
      </c>
      <c r="E2003" s="25">
        <v>0.18000000000000005</v>
      </c>
    </row>
    <row r="2004" spans="1:5" x14ac:dyDescent="0.25">
      <c r="A2004" s="44" t="s">
        <v>4496</v>
      </c>
      <c r="B2004" s="38" t="s">
        <v>4497</v>
      </c>
      <c r="C2004" s="43">
        <v>2560</v>
      </c>
      <c r="D2004" s="11">
        <v>2099.1999999999998</v>
      </c>
      <c r="E2004" s="25">
        <v>0.18000000000000005</v>
      </c>
    </row>
    <row r="2005" spans="1:5" x14ac:dyDescent="0.25">
      <c r="A2005" s="44" t="s">
        <v>4498</v>
      </c>
      <c r="B2005" s="38" t="s">
        <v>4499</v>
      </c>
      <c r="C2005" s="43">
        <v>7220</v>
      </c>
      <c r="D2005" s="11">
        <v>5920.4</v>
      </c>
      <c r="E2005" s="25">
        <v>0.18000000000000005</v>
      </c>
    </row>
    <row r="2006" spans="1:5" x14ac:dyDescent="0.25">
      <c r="A2006" s="44" t="s">
        <v>4500</v>
      </c>
      <c r="B2006" s="38" t="s">
        <v>4501</v>
      </c>
      <c r="C2006" s="43">
        <v>14860</v>
      </c>
      <c r="D2006" s="11">
        <v>12185.2</v>
      </c>
      <c r="E2006" s="25">
        <v>0.17999999999999994</v>
      </c>
    </row>
    <row r="2007" spans="1:5" x14ac:dyDescent="0.25">
      <c r="A2007" s="44" t="s">
        <v>4502</v>
      </c>
      <c r="B2007" s="38" t="s">
        <v>4503</v>
      </c>
      <c r="C2007" s="43">
        <v>39880</v>
      </c>
      <c r="D2007" s="11">
        <v>32701.599999999999</v>
      </c>
      <c r="E2007" s="25">
        <v>0.18000000000000005</v>
      </c>
    </row>
    <row r="2008" spans="1:5" x14ac:dyDescent="0.25">
      <c r="A2008" s="44" t="s">
        <v>4504</v>
      </c>
      <c r="B2008" s="38" t="s">
        <v>4505</v>
      </c>
      <c r="C2008" s="43">
        <v>81440</v>
      </c>
      <c r="D2008" s="11">
        <v>66780.800000000003</v>
      </c>
      <c r="E2008" s="25">
        <v>0.17999999999999994</v>
      </c>
    </row>
    <row r="2009" spans="1:5" x14ac:dyDescent="0.25">
      <c r="A2009" s="44" t="s">
        <v>4506</v>
      </c>
      <c r="B2009" s="38" t="s">
        <v>4507</v>
      </c>
      <c r="C2009" s="43">
        <v>2800</v>
      </c>
      <c r="D2009" s="11">
        <v>2296</v>
      </c>
      <c r="E2009" s="25">
        <v>0.18000000000000005</v>
      </c>
    </row>
    <row r="2010" spans="1:5" x14ac:dyDescent="0.25">
      <c r="A2010" s="44" t="s">
        <v>4508</v>
      </c>
      <c r="B2010" s="38" t="s">
        <v>4509</v>
      </c>
      <c r="C2010" s="43">
        <v>4700</v>
      </c>
      <c r="D2010" s="11">
        <v>3854</v>
      </c>
      <c r="E2010" s="25">
        <v>0.18000000000000005</v>
      </c>
    </row>
    <row r="2011" spans="1:5" x14ac:dyDescent="0.25">
      <c r="A2011" s="44" t="s">
        <v>4510</v>
      </c>
      <c r="B2011" s="38" t="s">
        <v>4511</v>
      </c>
      <c r="C2011" s="43">
        <v>522</v>
      </c>
      <c r="D2011" s="11">
        <v>428.04</v>
      </c>
      <c r="E2011" s="25">
        <v>0.17999999999999994</v>
      </c>
    </row>
    <row r="2012" spans="1:5" x14ac:dyDescent="0.25">
      <c r="A2012" s="44" t="s">
        <v>4512</v>
      </c>
      <c r="B2012" s="38" t="s">
        <v>4513</v>
      </c>
      <c r="C2012" s="43">
        <v>818</v>
      </c>
      <c r="D2012" s="11">
        <v>670.76</v>
      </c>
      <c r="E2012" s="25">
        <v>0.18000000000000005</v>
      </c>
    </row>
    <row r="2013" spans="1:5" x14ac:dyDescent="0.25">
      <c r="A2013" s="44" t="s">
        <v>4514</v>
      </c>
      <c r="B2013" s="38" t="s">
        <v>4515</v>
      </c>
      <c r="C2013" s="43">
        <v>2480</v>
      </c>
      <c r="D2013" s="11">
        <v>2033.6</v>
      </c>
      <c r="E2013" s="25">
        <v>0.18000000000000005</v>
      </c>
    </row>
    <row r="2014" spans="1:5" x14ac:dyDescent="0.25">
      <c r="A2014" s="44" t="s">
        <v>4516</v>
      </c>
      <c r="B2014" s="38" t="s">
        <v>4517</v>
      </c>
      <c r="C2014" s="43">
        <v>4180</v>
      </c>
      <c r="D2014" s="11">
        <v>3427.6</v>
      </c>
      <c r="E2014" s="25">
        <v>0.18000000000000005</v>
      </c>
    </row>
    <row r="2015" spans="1:5" x14ac:dyDescent="0.25">
      <c r="A2015" s="44" t="s">
        <v>4518</v>
      </c>
      <c r="B2015" s="38" t="s">
        <v>4519</v>
      </c>
      <c r="C2015" s="43">
        <v>11760</v>
      </c>
      <c r="D2015" s="11">
        <v>9643.2000000000007</v>
      </c>
      <c r="E2015" s="25">
        <v>0.17999999999999994</v>
      </c>
    </row>
    <row r="2016" spans="1:5" x14ac:dyDescent="0.25">
      <c r="A2016" s="44" t="s">
        <v>4520</v>
      </c>
      <c r="B2016" s="38" t="s">
        <v>4521</v>
      </c>
      <c r="C2016" s="43">
        <v>24180</v>
      </c>
      <c r="D2016" s="11">
        <v>19827.599999999999</v>
      </c>
      <c r="E2016" s="25">
        <v>0.18000000000000005</v>
      </c>
    </row>
    <row r="2017" spans="1:5" x14ac:dyDescent="0.25">
      <c r="A2017" s="44" t="s">
        <v>4522</v>
      </c>
      <c r="B2017" s="38" t="s">
        <v>4523</v>
      </c>
      <c r="C2017" s="43">
        <v>64920</v>
      </c>
      <c r="D2017" s="11">
        <v>53234.400000000001</v>
      </c>
      <c r="E2017" s="25">
        <v>0.17999999999999994</v>
      </c>
    </row>
    <row r="2018" spans="1:5" x14ac:dyDescent="0.25">
      <c r="A2018" s="44" t="s">
        <v>4524</v>
      </c>
      <c r="B2018" s="38" t="s">
        <v>4525</v>
      </c>
      <c r="C2018" s="43">
        <v>132560</v>
      </c>
      <c r="D2018" s="11">
        <v>108699.2</v>
      </c>
      <c r="E2018" s="25">
        <v>0.18000000000000005</v>
      </c>
    </row>
    <row r="2019" spans="1:5" x14ac:dyDescent="0.25">
      <c r="A2019" s="44" t="s">
        <v>4526</v>
      </c>
      <c r="B2019" s="38" t="s">
        <v>4527</v>
      </c>
      <c r="C2019" s="43">
        <v>4560</v>
      </c>
      <c r="D2019" s="11">
        <v>3739.2</v>
      </c>
      <c r="E2019" s="25">
        <v>0.18000000000000005</v>
      </c>
    </row>
    <row r="2020" spans="1:5" x14ac:dyDescent="0.25">
      <c r="A2020" s="44" t="s">
        <v>4528</v>
      </c>
      <c r="B2020" s="38" t="s">
        <v>4529</v>
      </c>
      <c r="C2020" s="43">
        <v>7620</v>
      </c>
      <c r="D2020" s="11">
        <v>6248.4</v>
      </c>
      <c r="E2020" s="25">
        <v>0.18000000000000005</v>
      </c>
    </row>
    <row r="2021" spans="1:5" x14ac:dyDescent="0.25">
      <c r="A2021" s="44" t="s">
        <v>4530</v>
      </c>
      <c r="B2021" s="38" t="s">
        <v>4531</v>
      </c>
      <c r="C2021" s="43">
        <v>8000</v>
      </c>
      <c r="D2021" s="11">
        <v>6560</v>
      </c>
      <c r="E2021" s="25">
        <v>0.18000000000000005</v>
      </c>
    </row>
    <row r="2022" spans="1:5" x14ac:dyDescent="0.25">
      <c r="A2022" s="44" t="s">
        <v>4532</v>
      </c>
      <c r="B2022" s="38" t="s">
        <v>4533</v>
      </c>
      <c r="C2022" s="43">
        <v>640</v>
      </c>
      <c r="D2022" s="11">
        <v>524.79999999999995</v>
      </c>
      <c r="E2022" s="25">
        <v>0.18000000000000005</v>
      </c>
    </row>
    <row r="2023" spans="1:5" x14ac:dyDescent="0.25">
      <c r="A2023" s="44" t="s">
        <v>4534</v>
      </c>
      <c r="B2023" s="38" t="s">
        <v>4535</v>
      </c>
      <c r="C2023" s="43">
        <v>1576</v>
      </c>
      <c r="D2023" s="11">
        <v>1292.32</v>
      </c>
      <c r="E2023" s="25">
        <v>0.18000000000000005</v>
      </c>
    </row>
    <row r="2024" spans="1:5" x14ac:dyDescent="0.25">
      <c r="A2024" s="44" t="s">
        <v>4536</v>
      </c>
      <c r="B2024" s="38" t="s">
        <v>4537</v>
      </c>
      <c r="C2024" s="43">
        <v>2864</v>
      </c>
      <c r="D2024" s="11">
        <v>2348.48</v>
      </c>
      <c r="E2024" s="25">
        <v>0.18000000000000005</v>
      </c>
    </row>
    <row r="2025" spans="1:5" x14ac:dyDescent="0.25">
      <c r="A2025" s="44" t="s">
        <v>4538</v>
      </c>
      <c r="B2025" s="38" t="s">
        <v>4539</v>
      </c>
      <c r="C2025" s="43">
        <v>7680</v>
      </c>
      <c r="D2025" s="11">
        <v>6297.6</v>
      </c>
      <c r="E2025" s="25">
        <v>0.17999999999999994</v>
      </c>
    </row>
    <row r="2026" spans="1:5" x14ac:dyDescent="0.25">
      <c r="A2026" s="44" t="s">
        <v>4540</v>
      </c>
      <c r="B2026" s="38" t="s">
        <v>4541</v>
      </c>
      <c r="C2026" s="43">
        <v>14440</v>
      </c>
      <c r="D2026" s="11">
        <v>11840.8</v>
      </c>
      <c r="E2026" s="25">
        <v>0.18000000000000005</v>
      </c>
    </row>
    <row r="2027" spans="1:5" x14ac:dyDescent="0.25">
      <c r="A2027" s="44" t="s">
        <v>4182</v>
      </c>
      <c r="B2027" s="38" t="s">
        <v>4542</v>
      </c>
      <c r="C2027" s="43">
        <v>200</v>
      </c>
      <c r="D2027" s="11">
        <v>164</v>
      </c>
      <c r="E2027" s="25">
        <v>0.18000000000000005</v>
      </c>
    </row>
    <row r="2028" spans="1:5" x14ac:dyDescent="0.25">
      <c r="A2028" s="44" t="s">
        <v>4543</v>
      </c>
      <c r="B2028" s="38" t="s">
        <v>4544</v>
      </c>
      <c r="C2028" s="43">
        <v>200</v>
      </c>
      <c r="D2028" s="11">
        <v>164</v>
      </c>
      <c r="E2028" s="25">
        <v>0.18000000000000005</v>
      </c>
    </row>
    <row r="2029" spans="1:5" x14ac:dyDescent="0.25">
      <c r="A2029" s="44" t="s">
        <v>4545</v>
      </c>
      <c r="B2029" s="38" t="s">
        <v>4546</v>
      </c>
      <c r="C2029" s="43">
        <v>1718</v>
      </c>
      <c r="D2029" s="11">
        <v>1408.76</v>
      </c>
      <c r="E2029" s="25">
        <v>0.18000000000000005</v>
      </c>
    </row>
    <row r="2030" spans="1:5" x14ac:dyDescent="0.25">
      <c r="A2030" s="44" t="s">
        <v>4547</v>
      </c>
      <c r="B2030" s="38" t="s">
        <v>4548</v>
      </c>
      <c r="C2030" s="43">
        <v>3120</v>
      </c>
      <c r="D2030" s="11">
        <v>2558.4</v>
      </c>
      <c r="E2030" s="25">
        <v>0.17999999999999994</v>
      </c>
    </row>
    <row r="2031" spans="1:5" x14ac:dyDescent="0.25">
      <c r="A2031" s="44" t="s">
        <v>4549</v>
      </c>
      <c r="B2031" s="38" t="s">
        <v>4550</v>
      </c>
      <c r="C2031" s="43">
        <v>8360</v>
      </c>
      <c r="D2031" s="11">
        <v>6855.2</v>
      </c>
      <c r="E2031" s="25">
        <v>0.18000000000000005</v>
      </c>
    </row>
    <row r="2032" spans="1:5" x14ac:dyDescent="0.25">
      <c r="A2032" s="44" t="s">
        <v>4551</v>
      </c>
      <c r="B2032" s="38" t="s">
        <v>4552</v>
      </c>
      <c r="C2032" s="43">
        <v>15740</v>
      </c>
      <c r="D2032" s="11">
        <v>12906.8</v>
      </c>
      <c r="E2032" s="25">
        <v>0.18000000000000005</v>
      </c>
    </row>
    <row r="2033" spans="1:5" x14ac:dyDescent="0.25">
      <c r="A2033" s="44" t="s">
        <v>4553</v>
      </c>
      <c r="B2033" s="38" t="s">
        <v>4554</v>
      </c>
      <c r="C2033" s="43">
        <v>55400</v>
      </c>
      <c r="D2033" s="11">
        <v>45428</v>
      </c>
      <c r="E2033" s="25">
        <v>0.18000000000000005</v>
      </c>
    </row>
    <row r="2034" spans="1:5" x14ac:dyDescent="0.25">
      <c r="A2034" s="44" t="s">
        <v>4555</v>
      </c>
      <c r="B2034" s="38" t="s">
        <v>4556</v>
      </c>
      <c r="C2034" s="43">
        <v>86940</v>
      </c>
      <c r="D2034" s="11">
        <v>71290.8</v>
      </c>
      <c r="E2034" s="25">
        <v>0.17999999999999994</v>
      </c>
    </row>
    <row r="2035" spans="1:5" x14ac:dyDescent="0.25">
      <c r="A2035" s="44" t="s">
        <v>4557</v>
      </c>
      <c r="B2035" s="38" t="s">
        <v>4558</v>
      </c>
      <c r="C2035" s="43">
        <v>278580</v>
      </c>
      <c r="D2035" s="11">
        <v>228435.6</v>
      </c>
      <c r="E2035" s="25">
        <v>0.17999999999999994</v>
      </c>
    </row>
    <row r="2036" spans="1:5" x14ac:dyDescent="0.25">
      <c r="A2036" s="44" t="s">
        <v>4559</v>
      </c>
      <c r="B2036" s="38" t="s">
        <v>4560</v>
      </c>
      <c r="C2036" s="43">
        <v>6100</v>
      </c>
      <c r="D2036" s="11">
        <v>5002</v>
      </c>
      <c r="E2036" s="25">
        <v>0.18000000000000005</v>
      </c>
    </row>
    <row r="2037" spans="1:5" x14ac:dyDescent="0.25">
      <c r="A2037" s="44" t="s">
        <v>4561</v>
      </c>
      <c r="B2037" s="38" t="s">
        <v>4562</v>
      </c>
      <c r="C2037" s="43">
        <v>31780</v>
      </c>
      <c r="D2037" s="11">
        <v>26059.599999999999</v>
      </c>
      <c r="E2037" s="25">
        <v>0.18000000000000005</v>
      </c>
    </row>
    <row r="2038" spans="1:5" x14ac:dyDescent="0.25">
      <c r="A2038" s="44" t="s">
        <v>4563</v>
      </c>
      <c r="B2038" s="38" t="s">
        <v>4564</v>
      </c>
      <c r="C2038" s="43">
        <v>838</v>
      </c>
      <c r="D2038" s="11">
        <v>687.16</v>
      </c>
      <c r="E2038" s="25">
        <v>0.18000000000000005</v>
      </c>
    </row>
    <row r="2039" spans="1:5" x14ac:dyDescent="0.25">
      <c r="A2039" s="44" t="s">
        <v>4565</v>
      </c>
      <c r="B2039" s="38" t="s">
        <v>4566</v>
      </c>
      <c r="C2039" s="43">
        <v>2080</v>
      </c>
      <c r="D2039" s="11">
        <v>1705.6</v>
      </c>
      <c r="E2039" s="25">
        <v>0.18000000000000005</v>
      </c>
    </row>
    <row r="2040" spans="1:5" x14ac:dyDescent="0.25">
      <c r="A2040" s="44" t="s">
        <v>4567</v>
      </c>
      <c r="B2040" s="38" t="s">
        <v>4568</v>
      </c>
      <c r="C2040" s="43">
        <v>3740</v>
      </c>
      <c r="D2040" s="11">
        <v>3066.8</v>
      </c>
      <c r="E2040" s="25">
        <v>0.17999999999999994</v>
      </c>
    </row>
    <row r="2041" spans="1:5" x14ac:dyDescent="0.25">
      <c r="A2041" s="44" t="s">
        <v>4569</v>
      </c>
      <c r="B2041" s="38" t="s">
        <v>4570</v>
      </c>
      <c r="C2041" s="43">
        <v>10040</v>
      </c>
      <c r="D2041" s="11">
        <v>8232.7999999999993</v>
      </c>
      <c r="E2041" s="25">
        <v>0.18000000000000005</v>
      </c>
    </row>
    <row r="2042" spans="1:5" x14ac:dyDescent="0.25">
      <c r="A2042" s="44" t="s">
        <v>4571</v>
      </c>
      <c r="B2042" s="38" t="s">
        <v>4572</v>
      </c>
      <c r="C2042" s="43">
        <v>18880</v>
      </c>
      <c r="D2042" s="11">
        <v>15481.6</v>
      </c>
      <c r="E2042" s="25">
        <v>0.17999999999999994</v>
      </c>
    </row>
    <row r="2043" spans="1:5" x14ac:dyDescent="0.25">
      <c r="A2043" s="44" t="s">
        <v>4573</v>
      </c>
      <c r="B2043" s="38" t="s">
        <v>4574</v>
      </c>
      <c r="C2043" s="43">
        <v>66480</v>
      </c>
      <c r="D2043" s="11">
        <v>54513.599999999999</v>
      </c>
      <c r="E2043" s="25">
        <v>0.18000000000000005</v>
      </c>
    </row>
    <row r="2044" spans="1:5" x14ac:dyDescent="0.25">
      <c r="A2044" s="44" t="s">
        <v>4575</v>
      </c>
      <c r="B2044" s="38" t="s">
        <v>4576</v>
      </c>
      <c r="C2044" s="43">
        <v>104320</v>
      </c>
      <c r="D2044" s="11">
        <v>85542.399999999994</v>
      </c>
      <c r="E2044" s="25">
        <v>0.18000000000000005</v>
      </c>
    </row>
    <row r="2045" spans="1:5" x14ac:dyDescent="0.25">
      <c r="A2045" s="44" t="s">
        <v>4577</v>
      </c>
      <c r="B2045" s="38" t="s">
        <v>4578</v>
      </c>
      <c r="C2045" s="43">
        <v>334300</v>
      </c>
      <c r="D2045" s="11">
        <v>274126</v>
      </c>
      <c r="E2045" s="25">
        <v>0.18000000000000005</v>
      </c>
    </row>
    <row r="2046" spans="1:5" x14ac:dyDescent="0.25">
      <c r="A2046" s="44" t="s">
        <v>4579</v>
      </c>
      <c r="B2046" s="38" t="s">
        <v>4580</v>
      </c>
      <c r="C2046" s="43">
        <v>7320</v>
      </c>
      <c r="D2046" s="11">
        <v>6002.4</v>
      </c>
      <c r="E2046" s="25">
        <v>0.18000000000000005</v>
      </c>
    </row>
    <row r="2047" spans="1:5" x14ac:dyDescent="0.25">
      <c r="A2047" s="44" t="s">
        <v>4581</v>
      </c>
      <c r="B2047" s="38" t="s">
        <v>4582</v>
      </c>
      <c r="C2047" s="43">
        <v>38140</v>
      </c>
      <c r="D2047" s="11">
        <v>31274.799999999999</v>
      </c>
      <c r="E2047" s="25">
        <v>0.18000000000000005</v>
      </c>
    </row>
    <row r="2048" spans="1:5" x14ac:dyDescent="0.25">
      <c r="A2048" s="44" t="s">
        <v>4583</v>
      </c>
      <c r="B2048" s="38" t="s">
        <v>4584</v>
      </c>
      <c r="C2048" s="43">
        <v>1600</v>
      </c>
      <c r="D2048" s="11">
        <v>1312</v>
      </c>
      <c r="E2048" s="25">
        <v>0.18000000000000005</v>
      </c>
    </row>
    <row r="2049" spans="1:5" x14ac:dyDescent="0.25">
      <c r="A2049" s="44" t="s">
        <v>4585</v>
      </c>
      <c r="B2049" s="38" t="s">
        <v>4586</v>
      </c>
      <c r="C2049" s="43">
        <v>3940</v>
      </c>
      <c r="D2049" s="11">
        <v>3230.8</v>
      </c>
      <c r="E2049" s="25">
        <v>0.17999999999999994</v>
      </c>
    </row>
    <row r="2050" spans="1:5" x14ac:dyDescent="0.25">
      <c r="A2050" s="44" t="s">
        <v>4587</v>
      </c>
      <c r="B2050" s="38" t="s">
        <v>4588</v>
      </c>
      <c r="C2050" s="43">
        <v>7160</v>
      </c>
      <c r="D2050" s="11">
        <v>5871.2</v>
      </c>
      <c r="E2050" s="25">
        <v>0.18000000000000005</v>
      </c>
    </row>
    <row r="2051" spans="1:5" x14ac:dyDescent="0.25">
      <c r="A2051" s="44" t="s">
        <v>4589</v>
      </c>
      <c r="B2051" s="38" t="s">
        <v>4590</v>
      </c>
      <c r="C2051" s="43">
        <v>19160</v>
      </c>
      <c r="D2051" s="11">
        <v>15711.2</v>
      </c>
      <c r="E2051" s="25">
        <v>0.17999999999999994</v>
      </c>
    </row>
    <row r="2052" spans="1:5" x14ac:dyDescent="0.25">
      <c r="A2052" s="44" t="s">
        <v>4591</v>
      </c>
      <c r="B2052" s="38" t="s">
        <v>4592</v>
      </c>
      <c r="C2052" s="43">
        <v>36080</v>
      </c>
      <c r="D2052" s="11">
        <v>29585.599999999999</v>
      </c>
      <c r="E2052" s="25">
        <v>0.18000000000000005</v>
      </c>
    </row>
    <row r="2053" spans="1:5" x14ac:dyDescent="0.25">
      <c r="A2053" s="44" t="s">
        <v>4593</v>
      </c>
      <c r="B2053" s="38" t="s">
        <v>4594</v>
      </c>
      <c r="C2053" s="43">
        <v>127060</v>
      </c>
      <c r="D2053" s="11">
        <v>104189.2</v>
      </c>
      <c r="E2053" s="25">
        <v>0.18000000000000005</v>
      </c>
    </row>
    <row r="2054" spans="1:5" x14ac:dyDescent="0.25">
      <c r="A2054" s="44" t="s">
        <v>4595</v>
      </c>
      <c r="B2054" s="38" t="s">
        <v>4596</v>
      </c>
      <c r="C2054" s="43">
        <v>199360</v>
      </c>
      <c r="D2054" s="11">
        <v>163475.20000000001</v>
      </c>
      <c r="E2054" s="25">
        <v>0.17999999999999994</v>
      </c>
    </row>
    <row r="2055" spans="1:5" x14ac:dyDescent="0.25">
      <c r="A2055" s="44" t="s">
        <v>4597</v>
      </c>
      <c r="B2055" s="38" t="s">
        <v>4598</v>
      </c>
      <c r="C2055" s="43">
        <v>638880</v>
      </c>
      <c r="D2055" s="11">
        <v>523881.6</v>
      </c>
      <c r="E2055" s="25">
        <v>0.18000000000000005</v>
      </c>
    </row>
    <row r="2056" spans="1:5" x14ac:dyDescent="0.25">
      <c r="A2056" s="44" t="s">
        <v>4599</v>
      </c>
      <c r="B2056" s="38" t="s">
        <v>4600</v>
      </c>
      <c r="C2056" s="43">
        <v>14000</v>
      </c>
      <c r="D2056" s="11">
        <v>11480</v>
      </c>
      <c r="E2056" s="25">
        <v>0.18000000000000005</v>
      </c>
    </row>
    <row r="2057" spans="1:5" x14ac:dyDescent="0.25">
      <c r="A2057" s="44" t="s">
        <v>4601</v>
      </c>
      <c r="B2057" s="38" t="s">
        <v>4602</v>
      </c>
      <c r="C2057" s="43">
        <v>72880</v>
      </c>
      <c r="D2057" s="11">
        <v>59761.599999999999</v>
      </c>
      <c r="E2057" s="25">
        <v>0.18000000000000005</v>
      </c>
    </row>
    <row r="2058" spans="1:5" x14ac:dyDescent="0.25">
      <c r="A2058" s="44" t="s">
        <v>4603</v>
      </c>
      <c r="B2058" s="38" t="s">
        <v>4604</v>
      </c>
      <c r="C2058" s="43">
        <v>1600</v>
      </c>
      <c r="D2058" s="11">
        <v>1312</v>
      </c>
      <c r="E2058" s="25">
        <v>0.18000000000000005</v>
      </c>
    </row>
    <row r="2059" spans="1:5" x14ac:dyDescent="0.25">
      <c r="A2059" s="44" t="s">
        <v>4605</v>
      </c>
      <c r="B2059" s="38" t="s">
        <v>4606</v>
      </c>
      <c r="C2059" s="43">
        <v>3940</v>
      </c>
      <c r="D2059" s="11">
        <v>3230.8</v>
      </c>
      <c r="E2059" s="25">
        <v>0.17999999999999994</v>
      </c>
    </row>
    <row r="2060" spans="1:5" x14ac:dyDescent="0.25">
      <c r="A2060" s="44" t="s">
        <v>4607</v>
      </c>
      <c r="B2060" s="38" t="s">
        <v>4608</v>
      </c>
      <c r="C2060" s="43">
        <v>7160</v>
      </c>
      <c r="D2060" s="11">
        <v>5871.2</v>
      </c>
      <c r="E2060" s="25">
        <v>0.18000000000000005</v>
      </c>
    </row>
    <row r="2061" spans="1:5" x14ac:dyDescent="0.25">
      <c r="A2061" s="44" t="s">
        <v>4609</v>
      </c>
      <c r="B2061" s="38" t="s">
        <v>4610</v>
      </c>
      <c r="C2061" s="43">
        <v>19160</v>
      </c>
      <c r="D2061" s="11">
        <v>15711.2</v>
      </c>
      <c r="E2061" s="25">
        <v>0.17999999999999994</v>
      </c>
    </row>
    <row r="2062" spans="1:5" x14ac:dyDescent="0.25">
      <c r="A2062" s="44" t="s">
        <v>4611</v>
      </c>
      <c r="B2062" s="38" t="s">
        <v>4612</v>
      </c>
      <c r="C2062" s="43">
        <v>36080</v>
      </c>
      <c r="D2062" s="11">
        <v>29585.599999999999</v>
      </c>
      <c r="E2062" s="25">
        <v>0.18000000000000005</v>
      </c>
    </row>
    <row r="2063" spans="1:5" x14ac:dyDescent="0.25">
      <c r="A2063" s="44" t="s">
        <v>4613</v>
      </c>
      <c r="B2063" s="38" t="s">
        <v>4614</v>
      </c>
      <c r="C2063" s="43">
        <v>127060</v>
      </c>
      <c r="D2063" s="11">
        <v>104189.2</v>
      </c>
      <c r="E2063" s="25">
        <v>0.18000000000000005</v>
      </c>
    </row>
    <row r="2064" spans="1:5" x14ac:dyDescent="0.25">
      <c r="A2064" s="44" t="s">
        <v>4615</v>
      </c>
      <c r="B2064" s="38" t="s">
        <v>4616</v>
      </c>
      <c r="C2064" s="43">
        <v>199360</v>
      </c>
      <c r="D2064" s="11">
        <v>163475.20000000001</v>
      </c>
      <c r="E2064" s="25">
        <v>0.17999999999999994</v>
      </c>
    </row>
    <row r="2065" spans="1:5" x14ac:dyDescent="0.25">
      <c r="A2065" s="44" t="s">
        <v>4617</v>
      </c>
      <c r="B2065" s="38" t="s">
        <v>4618</v>
      </c>
      <c r="C2065" s="43">
        <v>638880</v>
      </c>
      <c r="D2065" s="11">
        <v>523881.6</v>
      </c>
      <c r="E2065" s="25">
        <v>0.18000000000000005</v>
      </c>
    </row>
    <row r="2066" spans="1:5" x14ac:dyDescent="0.25">
      <c r="A2066" s="44" t="s">
        <v>4619</v>
      </c>
      <c r="B2066" s="38" t="s">
        <v>4620</v>
      </c>
      <c r="C2066" s="43">
        <v>14000</v>
      </c>
      <c r="D2066" s="11">
        <v>11480</v>
      </c>
      <c r="E2066" s="25">
        <v>0.18000000000000005</v>
      </c>
    </row>
    <row r="2067" spans="1:5" x14ac:dyDescent="0.25">
      <c r="A2067" s="44" t="s">
        <v>4621</v>
      </c>
      <c r="B2067" s="38" t="s">
        <v>4622</v>
      </c>
      <c r="C2067" s="43">
        <v>72880</v>
      </c>
      <c r="D2067" s="11">
        <v>59761.599999999999</v>
      </c>
      <c r="E2067" s="25">
        <v>0.18000000000000005</v>
      </c>
    </row>
    <row r="2068" spans="1:5" x14ac:dyDescent="0.25">
      <c r="A2068" s="44" t="s">
        <v>4623</v>
      </c>
      <c r="B2068" s="38" t="s">
        <v>4624</v>
      </c>
      <c r="C2068" s="43">
        <v>1360</v>
      </c>
      <c r="D2068" s="11">
        <v>1115.2</v>
      </c>
      <c r="E2068" s="25">
        <v>0.17999999999999994</v>
      </c>
    </row>
    <row r="2069" spans="1:5" x14ac:dyDescent="0.25">
      <c r="A2069" s="44" t="s">
        <v>4625</v>
      </c>
      <c r="B2069" s="38" t="s">
        <v>4626</v>
      </c>
      <c r="C2069" s="43">
        <v>5400</v>
      </c>
      <c r="D2069" s="11">
        <v>4428</v>
      </c>
      <c r="E2069" s="25">
        <v>0.18000000000000005</v>
      </c>
    </row>
    <row r="2070" spans="1:5" x14ac:dyDescent="0.25">
      <c r="A2070" s="44" t="s">
        <v>4627</v>
      </c>
      <c r="B2070" s="38" t="s">
        <v>4628</v>
      </c>
      <c r="C2070" s="43">
        <v>13500</v>
      </c>
      <c r="D2070" s="11">
        <v>11070</v>
      </c>
      <c r="E2070" s="25">
        <v>0.18000000000000005</v>
      </c>
    </row>
    <row r="2071" spans="1:5" x14ac:dyDescent="0.25">
      <c r="A2071" s="44" t="s">
        <v>4629</v>
      </c>
      <c r="B2071" s="38" t="s">
        <v>4630</v>
      </c>
      <c r="C2071" s="43">
        <v>2000</v>
      </c>
      <c r="D2071" s="11">
        <v>1640</v>
      </c>
      <c r="E2071" s="25">
        <v>0.18000000000000005</v>
      </c>
    </row>
    <row r="2072" spans="1:5" x14ac:dyDescent="0.25">
      <c r="A2072" s="44" t="s">
        <v>4631</v>
      </c>
      <c r="B2072" s="38" t="s">
        <v>4632</v>
      </c>
      <c r="C2072" s="43">
        <v>85</v>
      </c>
      <c r="D2072" s="11">
        <v>69.7</v>
      </c>
      <c r="E2072" s="25">
        <v>0.17999999999999994</v>
      </c>
    </row>
    <row r="2073" spans="1:5" x14ac:dyDescent="0.25">
      <c r="A2073" s="44" t="s">
        <v>4633</v>
      </c>
      <c r="B2073" s="38" t="s">
        <v>4634</v>
      </c>
      <c r="C2073" s="43">
        <v>60</v>
      </c>
      <c r="D2073" s="11">
        <v>49.2</v>
      </c>
      <c r="E2073" s="25">
        <v>0.17999999999999994</v>
      </c>
    </row>
    <row r="2074" spans="1:5" x14ac:dyDescent="0.25">
      <c r="A2074" s="44" t="s">
        <v>4635</v>
      </c>
      <c r="B2074" s="38" t="s">
        <v>4636</v>
      </c>
      <c r="C2074" s="43">
        <v>55</v>
      </c>
      <c r="D2074" s="11">
        <v>45.1</v>
      </c>
      <c r="E2074" s="25">
        <v>0.17999999999999994</v>
      </c>
    </row>
    <row r="2075" spans="1:5" x14ac:dyDescent="0.25">
      <c r="A2075" s="44" t="s">
        <v>4637</v>
      </c>
      <c r="B2075" s="38" t="s">
        <v>4638</v>
      </c>
      <c r="C2075" s="43">
        <v>85</v>
      </c>
      <c r="D2075" s="11">
        <v>69.7</v>
      </c>
      <c r="E2075" s="25">
        <v>0.17999999999999994</v>
      </c>
    </row>
    <row r="2076" spans="1:5" x14ac:dyDescent="0.25">
      <c r="A2076" s="44" t="s">
        <v>4639</v>
      </c>
      <c r="B2076" s="38" t="s">
        <v>4640</v>
      </c>
      <c r="C2076" s="43">
        <v>60</v>
      </c>
      <c r="D2076" s="11">
        <v>49.2</v>
      </c>
      <c r="E2076" s="25">
        <v>0.17999999999999994</v>
      </c>
    </row>
    <row r="2077" spans="1:5" x14ac:dyDescent="0.25">
      <c r="A2077" s="44" t="s">
        <v>4641</v>
      </c>
      <c r="B2077" s="38" t="s">
        <v>4642</v>
      </c>
      <c r="C2077" s="43">
        <v>380</v>
      </c>
      <c r="D2077" s="11">
        <v>311.60000000000002</v>
      </c>
      <c r="E2077" s="25">
        <v>0.17999999999999994</v>
      </c>
    </row>
    <row r="2078" spans="1:5" x14ac:dyDescent="0.25">
      <c r="A2078" s="44" t="s">
        <v>4643</v>
      </c>
      <c r="B2078" s="38" t="s">
        <v>4644</v>
      </c>
      <c r="C2078" s="43">
        <v>38</v>
      </c>
      <c r="D2078" s="11">
        <v>31.16</v>
      </c>
      <c r="E2078" s="25">
        <v>0.18000000000000005</v>
      </c>
    </row>
    <row r="2079" spans="1:5" x14ac:dyDescent="0.25">
      <c r="A2079" s="44" t="s">
        <v>4645</v>
      </c>
      <c r="B2079" s="38" t="s">
        <v>4646</v>
      </c>
      <c r="C2079" s="43">
        <v>30</v>
      </c>
      <c r="D2079" s="11">
        <v>24.6</v>
      </c>
      <c r="E2079" s="25">
        <v>0.17999999999999994</v>
      </c>
    </row>
    <row r="2080" spans="1:5" x14ac:dyDescent="0.25">
      <c r="A2080" s="44" t="s">
        <v>4647</v>
      </c>
      <c r="B2080" s="38" t="s">
        <v>4648</v>
      </c>
      <c r="C2080" s="43">
        <v>38</v>
      </c>
      <c r="D2080" s="11">
        <v>31.16</v>
      </c>
      <c r="E2080" s="25">
        <v>0.18000000000000005</v>
      </c>
    </row>
    <row r="2081" spans="1:5" x14ac:dyDescent="0.25">
      <c r="A2081" s="44" t="s">
        <v>4649</v>
      </c>
      <c r="B2081" s="38" t="s">
        <v>4650</v>
      </c>
      <c r="C2081" s="43">
        <v>30</v>
      </c>
      <c r="D2081" s="11">
        <v>24.6</v>
      </c>
      <c r="E2081" s="25">
        <v>0.17999999999999994</v>
      </c>
    </row>
    <row r="2082" spans="1:5" x14ac:dyDescent="0.25">
      <c r="A2082" s="44" t="s">
        <v>4651</v>
      </c>
      <c r="B2082" s="38" t="s">
        <v>4652</v>
      </c>
      <c r="C2082" s="43">
        <v>100</v>
      </c>
      <c r="D2082" s="11">
        <v>82</v>
      </c>
      <c r="E2082" s="25">
        <v>0.18000000000000005</v>
      </c>
    </row>
    <row r="2083" spans="1:5" x14ac:dyDescent="0.25">
      <c r="A2083" s="44" t="s">
        <v>4653</v>
      </c>
      <c r="B2083" s="38" t="s">
        <v>4654</v>
      </c>
      <c r="C2083" s="43">
        <v>20</v>
      </c>
      <c r="D2083" s="11">
        <v>16.399999999999999</v>
      </c>
      <c r="E2083" s="25">
        <v>0.18000000000000005</v>
      </c>
    </row>
    <row r="2084" spans="1:5" x14ac:dyDescent="0.25">
      <c r="A2084" s="44" t="s">
        <v>4655</v>
      </c>
      <c r="B2084" s="38" t="s">
        <v>4656</v>
      </c>
      <c r="C2084" s="43">
        <v>1100</v>
      </c>
      <c r="D2084" s="11">
        <v>902</v>
      </c>
      <c r="E2084" s="25">
        <v>0.18000000000000005</v>
      </c>
    </row>
    <row r="2085" spans="1:5" x14ac:dyDescent="0.25">
      <c r="A2085" s="44" t="s">
        <v>4657</v>
      </c>
      <c r="B2085" s="38" t="s">
        <v>4658</v>
      </c>
      <c r="C2085" s="43">
        <v>1780</v>
      </c>
      <c r="D2085" s="11">
        <v>1459.6</v>
      </c>
      <c r="E2085" s="25">
        <v>0.18000000000000005</v>
      </c>
    </row>
    <row r="2086" spans="1:5" x14ac:dyDescent="0.25">
      <c r="A2086" s="44" t="s">
        <v>4659</v>
      </c>
      <c r="B2086" s="38" t="s">
        <v>4660</v>
      </c>
      <c r="C2086" s="43">
        <v>2180</v>
      </c>
      <c r="D2086" s="11">
        <v>1787.6</v>
      </c>
      <c r="E2086" s="25">
        <v>0.18000000000000005</v>
      </c>
    </row>
    <row r="2087" spans="1:5" x14ac:dyDescent="0.25">
      <c r="A2087" s="44" t="s">
        <v>4661</v>
      </c>
      <c r="B2087" s="38" t="s">
        <v>4662</v>
      </c>
      <c r="C2087" s="43">
        <v>3120</v>
      </c>
      <c r="D2087" s="11">
        <v>2558.4</v>
      </c>
      <c r="E2087" s="25">
        <v>0.17999999999999994</v>
      </c>
    </row>
    <row r="2088" spans="1:5" x14ac:dyDescent="0.25">
      <c r="A2088" s="44" t="s">
        <v>4663</v>
      </c>
      <c r="B2088" s="38" t="s">
        <v>4664</v>
      </c>
      <c r="C2088" s="43">
        <v>3540</v>
      </c>
      <c r="D2088" s="11">
        <v>2902.8</v>
      </c>
      <c r="E2088" s="25">
        <v>0.17999999999999994</v>
      </c>
    </row>
    <row r="2089" spans="1:5" x14ac:dyDescent="0.25">
      <c r="A2089" s="44" t="s">
        <v>4665</v>
      </c>
      <c r="B2089" s="38" t="s">
        <v>4666</v>
      </c>
      <c r="C2089" s="43">
        <v>4620</v>
      </c>
      <c r="D2089" s="11">
        <v>3788.4</v>
      </c>
      <c r="E2089" s="25">
        <v>0.17999999999999994</v>
      </c>
    </row>
    <row r="2090" spans="1:5" x14ac:dyDescent="0.25">
      <c r="A2090" s="44" t="s">
        <v>4667</v>
      </c>
      <c r="B2090" s="38" t="s">
        <v>4668</v>
      </c>
      <c r="C2090" s="43">
        <v>5160</v>
      </c>
      <c r="D2090" s="11">
        <v>4231.2</v>
      </c>
      <c r="E2090" s="25">
        <v>0.18000000000000005</v>
      </c>
    </row>
    <row r="2091" spans="1:5" x14ac:dyDescent="0.25">
      <c r="A2091" s="44" t="s">
        <v>4669</v>
      </c>
      <c r="B2091" s="38" t="s">
        <v>4670</v>
      </c>
      <c r="C2091" s="43">
        <v>6240</v>
      </c>
      <c r="D2091" s="11">
        <v>5116.8</v>
      </c>
      <c r="E2091" s="25">
        <v>0.17999999999999994</v>
      </c>
    </row>
    <row r="2092" spans="1:5" x14ac:dyDescent="0.25">
      <c r="A2092" s="44" t="s">
        <v>4671</v>
      </c>
      <c r="B2092" s="38" t="s">
        <v>4672</v>
      </c>
      <c r="C2092" s="43">
        <v>6780</v>
      </c>
      <c r="D2092" s="11">
        <v>5559.6</v>
      </c>
      <c r="E2092" s="25">
        <v>0.17999999999999994</v>
      </c>
    </row>
    <row r="2093" spans="1:5" x14ac:dyDescent="0.25">
      <c r="A2093" s="44" t="s">
        <v>4673</v>
      </c>
      <c r="B2093" s="38" t="s">
        <v>4674</v>
      </c>
      <c r="C2093" s="43">
        <v>1360</v>
      </c>
      <c r="D2093" s="11">
        <v>1115.2</v>
      </c>
      <c r="E2093" s="25">
        <v>0.17999999999999994</v>
      </c>
    </row>
    <row r="2094" spans="1:5" x14ac:dyDescent="0.25">
      <c r="A2094" s="44" t="s">
        <v>4675</v>
      </c>
      <c r="B2094" s="38" t="s">
        <v>4676</v>
      </c>
      <c r="C2094" s="43">
        <v>1780</v>
      </c>
      <c r="D2094" s="11">
        <v>1459.6</v>
      </c>
      <c r="E2094" s="25">
        <v>0.18000000000000005</v>
      </c>
    </row>
    <row r="2095" spans="1:5" x14ac:dyDescent="0.25">
      <c r="A2095" s="44" t="s">
        <v>4677</v>
      </c>
      <c r="B2095" s="38" t="s">
        <v>4678</v>
      </c>
      <c r="C2095" s="43">
        <v>2720</v>
      </c>
      <c r="D2095" s="11">
        <v>2230.4</v>
      </c>
      <c r="E2095" s="25">
        <v>0.17999999999999994</v>
      </c>
    </row>
    <row r="2096" spans="1:5" x14ac:dyDescent="0.25">
      <c r="A2096" s="44" t="s">
        <v>4679</v>
      </c>
      <c r="B2096" s="38" t="s">
        <v>4680</v>
      </c>
      <c r="C2096" s="43">
        <v>3120</v>
      </c>
      <c r="D2096" s="11">
        <v>2558.4</v>
      </c>
      <c r="E2096" s="25">
        <v>0.17999999999999994</v>
      </c>
    </row>
    <row r="2097" spans="1:5" x14ac:dyDescent="0.25">
      <c r="A2097" s="44" t="s">
        <v>4681</v>
      </c>
      <c r="B2097" s="38" t="s">
        <v>4682</v>
      </c>
      <c r="C2097" s="43">
        <v>4080</v>
      </c>
      <c r="D2097" s="11">
        <v>3345.6</v>
      </c>
      <c r="E2097" s="25">
        <v>0.18000000000000005</v>
      </c>
    </row>
    <row r="2098" spans="1:5" x14ac:dyDescent="0.25">
      <c r="A2098" s="44" t="s">
        <v>4683</v>
      </c>
      <c r="B2098" s="38" t="s">
        <v>4684</v>
      </c>
      <c r="C2098" s="43">
        <v>4620</v>
      </c>
      <c r="D2098" s="11">
        <v>3788.4</v>
      </c>
      <c r="E2098" s="25">
        <v>0.17999999999999994</v>
      </c>
    </row>
    <row r="2099" spans="1:5" x14ac:dyDescent="0.25">
      <c r="A2099" s="44" t="s">
        <v>4685</v>
      </c>
      <c r="B2099" s="38" t="s">
        <v>4686</v>
      </c>
      <c r="C2099" s="43">
        <v>5700</v>
      </c>
      <c r="D2099" s="11">
        <v>4674</v>
      </c>
      <c r="E2099" s="25">
        <v>0.18000000000000005</v>
      </c>
    </row>
    <row r="2100" spans="1:5" x14ac:dyDescent="0.25">
      <c r="A2100" s="44" t="s">
        <v>4687</v>
      </c>
      <c r="B2100" s="38" t="s">
        <v>4688</v>
      </c>
      <c r="C2100" s="43">
        <v>6240</v>
      </c>
      <c r="D2100" s="11">
        <v>5116.8</v>
      </c>
      <c r="E2100" s="25">
        <v>0.17999999999999994</v>
      </c>
    </row>
    <row r="2101" spans="1:5" x14ac:dyDescent="0.25">
      <c r="A2101" s="44" t="s">
        <v>4689</v>
      </c>
      <c r="B2101" s="38" t="s">
        <v>4690</v>
      </c>
      <c r="C2101" s="43">
        <v>1100</v>
      </c>
      <c r="D2101" s="11">
        <v>902</v>
      </c>
      <c r="E2101" s="25">
        <v>0.18000000000000005</v>
      </c>
    </row>
    <row r="2102" spans="1:5" x14ac:dyDescent="0.25">
      <c r="A2102" s="44" t="s">
        <v>4691</v>
      </c>
      <c r="B2102" s="38" t="s">
        <v>4692</v>
      </c>
      <c r="C2102" s="43">
        <v>1100</v>
      </c>
      <c r="D2102" s="11">
        <v>902</v>
      </c>
      <c r="E2102" s="25">
        <v>0.18000000000000005</v>
      </c>
    </row>
    <row r="2103" spans="1:5" x14ac:dyDescent="0.25">
      <c r="A2103" s="44" t="s">
        <v>4693</v>
      </c>
      <c r="B2103" s="38" t="s">
        <v>4694</v>
      </c>
      <c r="C2103" s="43">
        <v>1780</v>
      </c>
      <c r="D2103" s="11">
        <v>1459.6</v>
      </c>
      <c r="E2103" s="25">
        <v>0.18000000000000005</v>
      </c>
    </row>
    <row r="2104" spans="1:5" x14ac:dyDescent="0.25">
      <c r="A2104" s="44" t="s">
        <v>4695</v>
      </c>
      <c r="B2104" s="38" t="s">
        <v>4696</v>
      </c>
      <c r="C2104" s="43">
        <v>2180</v>
      </c>
      <c r="D2104" s="11">
        <v>1787.6</v>
      </c>
      <c r="E2104" s="25">
        <v>0.18000000000000005</v>
      </c>
    </row>
    <row r="2105" spans="1:5" x14ac:dyDescent="0.25">
      <c r="A2105" s="44" t="s">
        <v>4697</v>
      </c>
      <c r="B2105" s="38" t="s">
        <v>4698</v>
      </c>
      <c r="C2105" s="43">
        <v>3120</v>
      </c>
      <c r="D2105" s="11">
        <v>2558.4</v>
      </c>
      <c r="E2105" s="25">
        <v>0.17999999999999994</v>
      </c>
    </row>
    <row r="2106" spans="1:5" x14ac:dyDescent="0.25">
      <c r="A2106" s="44" t="s">
        <v>4699</v>
      </c>
      <c r="B2106" s="38" t="s">
        <v>4700</v>
      </c>
      <c r="C2106" s="43">
        <v>3540</v>
      </c>
      <c r="D2106" s="11">
        <v>2902.8</v>
      </c>
      <c r="E2106" s="25">
        <v>0.17999999999999994</v>
      </c>
    </row>
    <row r="2107" spans="1:5" x14ac:dyDescent="0.25">
      <c r="A2107" s="44" t="s">
        <v>4701</v>
      </c>
      <c r="B2107" s="38" t="s">
        <v>4702</v>
      </c>
      <c r="C2107" s="43">
        <v>4620</v>
      </c>
      <c r="D2107" s="11">
        <v>3788.4</v>
      </c>
      <c r="E2107" s="25">
        <v>0.17999999999999994</v>
      </c>
    </row>
    <row r="2108" spans="1:5" x14ac:dyDescent="0.25">
      <c r="A2108" s="44" t="s">
        <v>4703</v>
      </c>
      <c r="B2108" s="38" t="s">
        <v>4704</v>
      </c>
      <c r="C2108" s="43">
        <v>5160</v>
      </c>
      <c r="D2108" s="11">
        <v>4231.2</v>
      </c>
      <c r="E2108" s="25">
        <v>0.18000000000000005</v>
      </c>
    </row>
    <row r="2109" spans="1:5" x14ac:dyDescent="0.25">
      <c r="A2109" s="44" t="s">
        <v>4705</v>
      </c>
      <c r="B2109" s="38" t="s">
        <v>4706</v>
      </c>
      <c r="C2109" s="43">
        <v>6240</v>
      </c>
      <c r="D2109" s="11">
        <v>5116.8</v>
      </c>
      <c r="E2109" s="25">
        <v>0.17999999999999994</v>
      </c>
    </row>
    <row r="2110" spans="1:5" x14ac:dyDescent="0.25">
      <c r="A2110" s="44" t="s">
        <v>4707</v>
      </c>
      <c r="B2110" s="38" t="s">
        <v>4708</v>
      </c>
      <c r="C2110" s="43">
        <v>6780</v>
      </c>
      <c r="D2110" s="11">
        <v>5559.6</v>
      </c>
      <c r="E2110" s="25">
        <v>0.17999999999999994</v>
      </c>
    </row>
    <row r="2111" spans="1:5" x14ac:dyDescent="0.25">
      <c r="A2111" s="44" t="s">
        <v>4709</v>
      </c>
      <c r="B2111" s="38" t="s">
        <v>4710</v>
      </c>
      <c r="C2111" s="43">
        <v>1300</v>
      </c>
      <c r="D2111" s="11">
        <v>1066</v>
      </c>
      <c r="E2111" s="25">
        <v>0.18000000000000005</v>
      </c>
    </row>
    <row r="2112" spans="1:5" x14ac:dyDescent="0.25">
      <c r="A2112" s="44" t="s">
        <v>4711</v>
      </c>
      <c r="B2112" s="38" t="s">
        <v>4712</v>
      </c>
      <c r="C2112" s="43">
        <v>2000</v>
      </c>
      <c r="D2112" s="11">
        <v>1640</v>
      </c>
      <c r="E2112" s="25">
        <v>0.18000000000000005</v>
      </c>
    </row>
    <row r="2113" spans="1:5" x14ac:dyDescent="0.25">
      <c r="A2113" s="44" t="s">
        <v>4713</v>
      </c>
      <c r="B2113" s="38" t="s">
        <v>4714</v>
      </c>
      <c r="C2113" s="43">
        <v>4800</v>
      </c>
      <c r="D2113" s="11">
        <v>3936</v>
      </c>
      <c r="E2113" s="25">
        <v>0.18000000000000005</v>
      </c>
    </row>
    <row r="2114" spans="1:5" x14ac:dyDescent="0.25">
      <c r="A2114" s="44" t="s">
        <v>4715</v>
      </c>
      <c r="B2114" s="38" t="s">
        <v>4716</v>
      </c>
      <c r="C2114" s="43">
        <v>7600</v>
      </c>
      <c r="D2114" s="11">
        <v>6232</v>
      </c>
      <c r="E2114" s="25">
        <v>0.18000000000000005</v>
      </c>
    </row>
    <row r="2115" spans="1:5" x14ac:dyDescent="0.25">
      <c r="A2115" s="44" t="s">
        <v>4717</v>
      </c>
      <c r="B2115" s="38" t="s">
        <v>4718</v>
      </c>
      <c r="C2115" s="43">
        <v>20000</v>
      </c>
      <c r="D2115" s="11">
        <v>16400</v>
      </c>
      <c r="E2115" s="25">
        <v>0.18000000000000005</v>
      </c>
    </row>
    <row r="2116" spans="1:5" x14ac:dyDescent="0.25">
      <c r="A2116" s="44" t="s">
        <v>4719</v>
      </c>
      <c r="B2116" s="38" t="s">
        <v>4720</v>
      </c>
      <c r="C2116" s="43">
        <v>30800</v>
      </c>
      <c r="D2116" s="11">
        <v>25256</v>
      </c>
      <c r="E2116" s="25">
        <v>0.18000000000000005</v>
      </c>
    </row>
    <row r="2117" spans="1:5" x14ac:dyDescent="0.25">
      <c r="A2117" s="44" t="s">
        <v>4721</v>
      </c>
      <c r="B2117" s="38" t="s">
        <v>4722</v>
      </c>
      <c r="C2117" s="43">
        <v>109600</v>
      </c>
      <c r="D2117" s="11">
        <v>89872</v>
      </c>
      <c r="E2117" s="25">
        <v>0.18000000000000005</v>
      </c>
    </row>
    <row r="2118" spans="1:5" x14ac:dyDescent="0.25">
      <c r="A2118" s="44" t="s">
        <v>4723</v>
      </c>
      <c r="B2118" s="38" t="s">
        <v>4724</v>
      </c>
      <c r="C2118" s="43">
        <v>200</v>
      </c>
      <c r="D2118" s="11">
        <v>164</v>
      </c>
      <c r="E2118" s="25">
        <v>0.18000000000000005</v>
      </c>
    </row>
    <row r="2119" spans="1:5" x14ac:dyDescent="0.25">
      <c r="A2119" s="44" t="s">
        <v>4725</v>
      </c>
      <c r="B2119" s="38" t="s">
        <v>4726</v>
      </c>
      <c r="C2119" s="43">
        <v>200</v>
      </c>
      <c r="D2119" s="11">
        <v>164</v>
      </c>
      <c r="E2119" s="25">
        <v>0.18000000000000005</v>
      </c>
    </row>
    <row r="2120" spans="1:5" x14ac:dyDescent="0.25">
      <c r="A2120" s="44" t="s">
        <v>4727</v>
      </c>
      <c r="B2120" s="38" t="s">
        <v>4728</v>
      </c>
      <c r="C2120" s="43">
        <v>200</v>
      </c>
      <c r="D2120" s="11">
        <v>164</v>
      </c>
      <c r="E2120" s="25">
        <v>0.18000000000000005</v>
      </c>
    </row>
    <row r="2121" spans="1:5" x14ac:dyDescent="0.25">
      <c r="A2121" s="44" t="s">
        <v>4729</v>
      </c>
      <c r="B2121" s="38" t="s">
        <v>4730</v>
      </c>
      <c r="C2121" s="43">
        <v>680</v>
      </c>
      <c r="D2121" s="11">
        <v>557.6</v>
      </c>
      <c r="E2121" s="25">
        <v>0.17999999999999994</v>
      </c>
    </row>
    <row r="2122" spans="1:5" x14ac:dyDescent="0.25">
      <c r="A2122" s="44" t="s">
        <v>4731</v>
      </c>
      <c r="B2122" s="38" t="s">
        <v>4732</v>
      </c>
      <c r="C2122" s="43">
        <v>420</v>
      </c>
      <c r="D2122" s="11">
        <v>344.4</v>
      </c>
      <c r="E2122" s="25">
        <v>0.18000000000000005</v>
      </c>
    </row>
    <row r="2123" spans="1:5" x14ac:dyDescent="0.25">
      <c r="A2123" s="44" t="s">
        <v>4733</v>
      </c>
      <c r="B2123" s="38" t="s">
        <v>4734</v>
      </c>
      <c r="C2123" s="43">
        <v>1360</v>
      </c>
      <c r="D2123" s="11">
        <v>1115.2</v>
      </c>
      <c r="E2123" s="25">
        <v>0.17999999999999994</v>
      </c>
    </row>
    <row r="2124" spans="1:5" x14ac:dyDescent="0.25">
      <c r="A2124" s="44" t="s">
        <v>4735</v>
      </c>
      <c r="B2124" s="38" t="s">
        <v>4736</v>
      </c>
      <c r="C2124" s="43">
        <v>680</v>
      </c>
      <c r="D2124" s="11">
        <v>557.6</v>
      </c>
      <c r="E2124" s="25">
        <v>0.17999999999999994</v>
      </c>
    </row>
    <row r="2125" spans="1:5" x14ac:dyDescent="0.25">
      <c r="A2125" s="44" t="s">
        <v>4737</v>
      </c>
      <c r="B2125" s="38" t="s">
        <v>4738</v>
      </c>
      <c r="C2125" s="43">
        <v>360</v>
      </c>
      <c r="D2125" s="11">
        <v>295.2</v>
      </c>
      <c r="E2125" s="25">
        <v>0.18000000000000005</v>
      </c>
    </row>
    <row r="2126" spans="1:5" x14ac:dyDescent="0.25">
      <c r="A2126" s="44" t="s">
        <v>4739</v>
      </c>
      <c r="B2126" s="38" t="s">
        <v>4740</v>
      </c>
      <c r="C2126" s="43">
        <v>180</v>
      </c>
      <c r="D2126" s="11">
        <v>147.6</v>
      </c>
      <c r="E2126" s="25">
        <v>0.18000000000000005</v>
      </c>
    </row>
    <row r="2127" spans="1:5" x14ac:dyDescent="0.25">
      <c r="A2127" s="44" t="s">
        <v>4741</v>
      </c>
      <c r="B2127" s="38" t="s">
        <v>4742</v>
      </c>
      <c r="C2127" s="43">
        <v>1760</v>
      </c>
      <c r="D2127" s="11">
        <v>1443.2</v>
      </c>
      <c r="E2127" s="25">
        <v>0.17999999999999994</v>
      </c>
    </row>
    <row r="2128" spans="1:5" x14ac:dyDescent="0.25">
      <c r="A2128" s="44" t="s">
        <v>4743</v>
      </c>
      <c r="B2128" s="38" t="s">
        <v>4744</v>
      </c>
      <c r="C2128" s="43">
        <v>2720</v>
      </c>
      <c r="D2128" s="11">
        <v>2230.4</v>
      </c>
      <c r="E2128" s="25">
        <v>0.17999999999999994</v>
      </c>
    </row>
    <row r="2129" spans="1:5" x14ac:dyDescent="0.25">
      <c r="A2129" s="44" t="s">
        <v>4745</v>
      </c>
      <c r="B2129" s="38" t="s">
        <v>4746</v>
      </c>
      <c r="C2129" s="43">
        <v>1760</v>
      </c>
      <c r="D2129" s="11">
        <v>1443.2</v>
      </c>
      <c r="E2129" s="25">
        <v>0.17999999999999994</v>
      </c>
    </row>
    <row r="2130" spans="1:5" x14ac:dyDescent="0.25">
      <c r="A2130" s="44" t="s">
        <v>4747</v>
      </c>
      <c r="B2130" s="38" t="s">
        <v>4748</v>
      </c>
      <c r="C2130" s="43">
        <v>4840</v>
      </c>
      <c r="D2130" s="11">
        <v>3968.8</v>
      </c>
      <c r="E2130" s="25">
        <v>0.17999999999999994</v>
      </c>
    </row>
    <row r="2131" spans="1:5" x14ac:dyDescent="0.25">
      <c r="A2131" s="44" t="s">
        <v>4749</v>
      </c>
      <c r="B2131" s="38" t="s">
        <v>4750</v>
      </c>
      <c r="C2131" s="43">
        <v>860</v>
      </c>
      <c r="D2131" s="11">
        <v>705.2</v>
      </c>
      <c r="E2131" s="25">
        <v>0.17999999999999994</v>
      </c>
    </row>
    <row r="2132" spans="1:5" x14ac:dyDescent="0.25">
      <c r="A2132" s="44" t="s">
        <v>4751</v>
      </c>
      <c r="B2132" s="38" t="s">
        <v>4752</v>
      </c>
      <c r="C2132" s="43">
        <v>3320</v>
      </c>
      <c r="D2132" s="11">
        <v>2722.4</v>
      </c>
      <c r="E2132" s="25">
        <v>0.17999999999999994</v>
      </c>
    </row>
    <row r="2133" spans="1:5" x14ac:dyDescent="0.25">
      <c r="A2133" s="44" t="s">
        <v>4753</v>
      </c>
      <c r="B2133" s="38" t="s">
        <v>4754</v>
      </c>
      <c r="C2133" s="43">
        <v>1260</v>
      </c>
      <c r="D2133" s="11">
        <v>1033.2</v>
      </c>
      <c r="E2133" s="25">
        <v>0.17999999999999994</v>
      </c>
    </row>
    <row r="2134" spans="1:5" x14ac:dyDescent="0.25">
      <c r="A2134" s="44" t="s">
        <v>4755</v>
      </c>
      <c r="B2134" s="38" t="s">
        <v>4756</v>
      </c>
      <c r="C2134" s="43">
        <v>1100</v>
      </c>
      <c r="D2134" s="11">
        <v>902</v>
      </c>
      <c r="E2134" s="25">
        <v>0.18000000000000005</v>
      </c>
    </row>
    <row r="2135" spans="1:5" x14ac:dyDescent="0.25">
      <c r="A2135" s="44" t="s">
        <v>4757</v>
      </c>
      <c r="B2135" s="38" t="s">
        <v>4758</v>
      </c>
      <c r="C2135" s="43">
        <v>2820</v>
      </c>
      <c r="D2135" s="11">
        <v>2312.4</v>
      </c>
      <c r="E2135" s="25">
        <v>0.17999999999999994</v>
      </c>
    </row>
    <row r="2136" spans="1:5" x14ac:dyDescent="0.25">
      <c r="A2136" s="44" t="s">
        <v>4759</v>
      </c>
      <c r="B2136" s="38" t="s">
        <v>4760</v>
      </c>
      <c r="C2136" s="43">
        <v>360</v>
      </c>
      <c r="D2136" s="11">
        <v>295.2</v>
      </c>
      <c r="E2136" s="25">
        <v>0.18000000000000005</v>
      </c>
    </row>
    <row r="2137" spans="1:5" x14ac:dyDescent="0.25">
      <c r="A2137" s="44" t="s">
        <v>4761</v>
      </c>
      <c r="B2137" s="38" t="s">
        <v>4762</v>
      </c>
      <c r="C2137" s="43">
        <v>860</v>
      </c>
      <c r="D2137" s="11">
        <v>705.2</v>
      </c>
      <c r="E2137" s="25">
        <v>0.17999999999999994</v>
      </c>
    </row>
    <row r="2138" spans="1:5" x14ac:dyDescent="0.25">
      <c r="A2138" s="44" t="s">
        <v>4763</v>
      </c>
      <c r="B2138" s="38" t="s">
        <v>4764</v>
      </c>
      <c r="C2138" s="43">
        <v>520</v>
      </c>
      <c r="D2138" s="11">
        <v>426.4</v>
      </c>
      <c r="E2138" s="25">
        <v>0.18000000000000005</v>
      </c>
    </row>
    <row r="2139" spans="1:5" x14ac:dyDescent="0.25">
      <c r="A2139" s="44" t="s">
        <v>4765</v>
      </c>
      <c r="B2139" s="38" t="s">
        <v>4766</v>
      </c>
      <c r="C2139" s="43">
        <v>1280</v>
      </c>
      <c r="D2139" s="11">
        <v>1049.5999999999999</v>
      </c>
      <c r="E2139" s="25">
        <v>0.18000000000000005</v>
      </c>
    </row>
    <row r="2140" spans="1:5" x14ac:dyDescent="0.25">
      <c r="A2140" s="44" t="s">
        <v>4767</v>
      </c>
      <c r="B2140" s="38" t="s">
        <v>4768</v>
      </c>
      <c r="C2140" s="43">
        <v>4840</v>
      </c>
      <c r="D2140" s="11">
        <v>3968.8</v>
      </c>
      <c r="E2140" s="25">
        <v>0.17999999999999994</v>
      </c>
    </row>
    <row r="2141" spans="1:5" x14ac:dyDescent="0.25">
      <c r="A2141" s="44" t="s">
        <v>4769</v>
      </c>
      <c r="B2141" s="38" t="s">
        <v>4770</v>
      </c>
      <c r="C2141" s="43">
        <v>1360</v>
      </c>
      <c r="D2141" s="11">
        <v>1115.2</v>
      </c>
      <c r="E2141" s="25">
        <v>0.17999999999999994</v>
      </c>
    </row>
    <row r="2142" spans="1:5" x14ac:dyDescent="0.25">
      <c r="A2142" s="44" t="s">
        <v>4771</v>
      </c>
      <c r="B2142" s="38" t="s">
        <v>4772</v>
      </c>
      <c r="C2142" s="43">
        <v>1360</v>
      </c>
      <c r="D2142" s="11">
        <v>1115.2</v>
      </c>
      <c r="E2142" s="25">
        <v>0.17999999999999994</v>
      </c>
    </row>
    <row r="2143" spans="1:5" x14ac:dyDescent="0.25">
      <c r="A2143" s="44" t="s">
        <v>4773</v>
      </c>
      <c r="B2143" s="38" t="s">
        <v>4774</v>
      </c>
      <c r="C2143" s="43">
        <v>440</v>
      </c>
      <c r="D2143" s="11">
        <v>360.8</v>
      </c>
      <c r="E2143" s="25">
        <v>0.17999999999999994</v>
      </c>
    </row>
    <row r="2144" spans="1:5" x14ac:dyDescent="0.25">
      <c r="A2144" s="44" t="s">
        <v>4775</v>
      </c>
      <c r="B2144" s="38" t="s">
        <v>4776</v>
      </c>
      <c r="C2144" s="43">
        <v>1100</v>
      </c>
      <c r="D2144" s="11">
        <v>902</v>
      </c>
      <c r="E2144" s="25">
        <v>0.18000000000000005</v>
      </c>
    </row>
    <row r="2145" spans="1:5" x14ac:dyDescent="0.25">
      <c r="A2145" s="44" t="s">
        <v>4777</v>
      </c>
      <c r="B2145" s="38" t="s">
        <v>4778</v>
      </c>
      <c r="C2145" s="43">
        <v>6260</v>
      </c>
      <c r="D2145" s="11">
        <v>5133.2</v>
      </c>
      <c r="E2145" s="25">
        <v>0.18000000000000005</v>
      </c>
    </row>
    <row r="2146" spans="1:5" x14ac:dyDescent="0.25">
      <c r="A2146" s="44" t="s">
        <v>4779</v>
      </c>
      <c r="B2146" s="38" t="s">
        <v>4780</v>
      </c>
      <c r="C2146" s="43">
        <v>1360</v>
      </c>
      <c r="D2146" s="11">
        <v>1115.2</v>
      </c>
      <c r="E2146" s="25">
        <v>0.17999999999999994</v>
      </c>
    </row>
    <row r="2147" spans="1:5" x14ac:dyDescent="0.25">
      <c r="A2147" s="44" t="s">
        <v>4781</v>
      </c>
      <c r="B2147" s="38" t="s">
        <v>4782</v>
      </c>
      <c r="C2147" s="43">
        <v>420</v>
      </c>
      <c r="D2147" s="11">
        <v>344.4</v>
      </c>
      <c r="E2147" s="25">
        <v>0.18000000000000005</v>
      </c>
    </row>
    <row r="2148" spans="1:5" x14ac:dyDescent="0.25">
      <c r="A2148" s="44" t="s">
        <v>4783</v>
      </c>
      <c r="B2148" s="38" t="s">
        <v>4784</v>
      </c>
      <c r="C2148" s="43">
        <v>280</v>
      </c>
      <c r="D2148" s="11">
        <v>229.6</v>
      </c>
      <c r="E2148" s="25">
        <v>0.18000000000000005</v>
      </c>
    </row>
    <row r="2149" spans="1:5" x14ac:dyDescent="0.25">
      <c r="A2149" s="44" t="s">
        <v>4785</v>
      </c>
      <c r="B2149" s="38" t="s">
        <v>4786</v>
      </c>
      <c r="C2149" s="43">
        <v>280</v>
      </c>
      <c r="D2149" s="11">
        <v>229.6</v>
      </c>
      <c r="E2149" s="25">
        <v>0.18000000000000005</v>
      </c>
    </row>
    <row r="2150" spans="1:5" x14ac:dyDescent="0.25">
      <c r="A2150" s="44" t="s">
        <v>4787</v>
      </c>
      <c r="B2150" s="38" t="s">
        <v>4788</v>
      </c>
      <c r="C2150" s="43">
        <v>560</v>
      </c>
      <c r="D2150" s="11">
        <v>459.2</v>
      </c>
      <c r="E2150" s="25">
        <v>0.18000000000000005</v>
      </c>
    </row>
    <row r="2151" spans="1:5" x14ac:dyDescent="0.25">
      <c r="A2151" s="44" t="s">
        <v>4789</v>
      </c>
      <c r="B2151" s="38" t="s">
        <v>4790</v>
      </c>
      <c r="C2151" s="43">
        <v>420</v>
      </c>
      <c r="D2151" s="11">
        <v>344.4</v>
      </c>
      <c r="E2151" s="25">
        <v>0.18000000000000005</v>
      </c>
    </row>
    <row r="2152" spans="1:5" x14ac:dyDescent="0.25">
      <c r="A2152" s="44" t="s">
        <v>4791</v>
      </c>
      <c r="B2152" s="38" t="s">
        <v>4792</v>
      </c>
      <c r="C2152" s="43">
        <v>440</v>
      </c>
      <c r="D2152" s="11">
        <v>360.8</v>
      </c>
      <c r="E2152" s="25">
        <v>0.17999999999999994</v>
      </c>
    </row>
    <row r="2153" spans="1:5" x14ac:dyDescent="0.25">
      <c r="A2153" s="44" t="s">
        <v>4793</v>
      </c>
      <c r="B2153" s="38" t="s">
        <v>4794</v>
      </c>
      <c r="C2153" s="43">
        <v>440</v>
      </c>
      <c r="D2153" s="11">
        <v>360.8</v>
      </c>
      <c r="E2153" s="25">
        <v>0.17999999999999994</v>
      </c>
    </row>
    <row r="2154" spans="1:5" x14ac:dyDescent="0.25">
      <c r="A2154" s="44" t="s">
        <v>4795</v>
      </c>
      <c r="B2154" s="38" t="s">
        <v>4796</v>
      </c>
      <c r="C2154" s="43">
        <v>440</v>
      </c>
      <c r="D2154" s="11">
        <v>360.8</v>
      </c>
      <c r="E2154" s="25">
        <v>0.17999999999999994</v>
      </c>
    </row>
    <row r="2155" spans="1:5" x14ac:dyDescent="0.25">
      <c r="A2155" s="44" t="s">
        <v>4797</v>
      </c>
      <c r="B2155" s="38" t="s">
        <v>4798</v>
      </c>
      <c r="C2155" s="43">
        <v>440</v>
      </c>
      <c r="D2155" s="11">
        <v>360.8</v>
      </c>
      <c r="E2155" s="25">
        <v>0.17999999999999994</v>
      </c>
    </row>
    <row r="2156" spans="1:5" x14ac:dyDescent="0.25">
      <c r="A2156" s="44" t="s">
        <v>4799</v>
      </c>
      <c r="B2156" s="38" t="s">
        <v>4800</v>
      </c>
      <c r="C2156" s="43">
        <v>440</v>
      </c>
      <c r="D2156" s="11">
        <v>360.8</v>
      </c>
      <c r="E2156" s="25">
        <v>0.17999999999999994</v>
      </c>
    </row>
    <row r="2157" spans="1:5" x14ac:dyDescent="0.25">
      <c r="A2157" s="44" t="s">
        <v>4801</v>
      </c>
      <c r="B2157" s="38" t="s">
        <v>4802</v>
      </c>
      <c r="C2157" s="43">
        <v>680</v>
      </c>
      <c r="D2157" s="11">
        <v>557.6</v>
      </c>
      <c r="E2157" s="25">
        <v>0.17999999999999994</v>
      </c>
    </row>
    <row r="2158" spans="1:5" x14ac:dyDescent="0.25">
      <c r="A2158" s="44" t="s">
        <v>4803</v>
      </c>
      <c r="B2158" s="38" t="s">
        <v>4804</v>
      </c>
      <c r="C2158" s="43">
        <v>1040</v>
      </c>
      <c r="D2158" s="11">
        <v>852.8</v>
      </c>
      <c r="E2158" s="25">
        <v>0.18000000000000005</v>
      </c>
    </row>
    <row r="2159" spans="1:5" x14ac:dyDescent="0.25">
      <c r="A2159" s="44" t="s">
        <v>4805</v>
      </c>
      <c r="B2159" s="38" t="s">
        <v>4806</v>
      </c>
      <c r="C2159" s="43">
        <v>2180</v>
      </c>
      <c r="D2159" s="11">
        <v>1787.6</v>
      </c>
      <c r="E2159" s="25">
        <v>0.18000000000000005</v>
      </c>
    </row>
    <row r="2160" spans="1:5" x14ac:dyDescent="0.25">
      <c r="A2160" s="44" t="s">
        <v>4807</v>
      </c>
      <c r="B2160" s="38" t="s">
        <v>4808</v>
      </c>
      <c r="C2160" s="43">
        <v>3960</v>
      </c>
      <c r="D2160" s="11">
        <v>3247.2</v>
      </c>
      <c r="E2160" s="25">
        <v>0.18000000000000005</v>
      </c>
    </row>
    <row r="2161" spans="1:5" x14ac:dyDescent="0.25">
      <c r="A2161" s="44" t="s">
        <v>4809</v>
      </c>
      <c r="B2161" s="38" t="s">
        <v>4810</v>
      </c>
      <c r="C2161" s="43">
        <v>8140</v>
      </c>
      <c r="D2161" s="11">
        <v>6674.8</v>
      </c>
      <c r="E2161" s="25">
        <v>0.17999999999999994</v>
      </c>
    </row>
    <row r="2162" spans="1:5" x14ac:dyDescent="0.25">
      <c r="A2162" s="44" t="s">
        <v>4811</v>
      </c>
      <c r="B2162" s="38" t="s">
        <v>4812</v>
      </c>
      <c r="C2162" s="43">
        <v>12640</v>
      </c>
      <c r="D2162" s="11">
        <v>10364.799999999999</v>
      </c>
      <c r="E2162" s="25">
        <v>0.18000000000000005</v>
      </c>
    </row>
    <row r="2163" spans="1:5" x14ac:dyDescent="0.25">
      <c r="A2163" s="44" t="s">
        <v>4813</v>
      </c>
      <c r="B2163" s="38" t="s">
        <v>4814</v>
      </c>
      <c r="C2163" s="43">
        <v>27120</v>
      </c>
      <c r="D2163" s="11">
        <v>22238.400000000001</v>
      </c>
      <c r="E2163" s="25">
        <v>0.17999999999999994</v>
      </c>
    </row>
    <row r="2164" spans="1:5" x14ac:dyDescent="0.25">
      <c r="A2164" s="44" t="s">
        <v>4815</v>
      </c>
      <c r="B2164" s="38" t="s">
        <v>4816</v>
      </c>
      <c r="C2164" s="43">
        <v>54240</v>
      </c>
      <c r="D2164" s="11">
        <v>44476.800000000003</v>
      </c>
      <c r="E2164" s="25">
        <v>0.17999999999999994</v>
      </c>
    </row>
    <row r="2165" spans="1:5" x14ac:dyDescent="0.25">
      <c r="A2165" s="44" t="s">
        <v>4817</v>
      </c>
      <c r="B2165" s="38" t="s">
        <v>4818</v>
      </c>
      <c r="C2165" s="43">
        <v>120</v>
      </c>
      <c r="D2165" s="11">
        <v>98.4</v>
      </c>
      <c r="E2165" s="25">
        <v>0.17999999999999994</v>
      </c>
    </row>
    <row r="2166" spans="1:5" x14ac:dyDescent="0.25">
      <c r="A2166" s="44" t="s">
        <v>4819</v>
      </c>
      <c r="B2166" s="38" t="s">
        <v>4820</v>
      </c>
      <c r="C2166" s="43">
        <v>160</v>
      </c>
      <c r="D2166" s="11">
        <v>131.19999999999999</v>
      </c>
      <c r="E2166" s="25">
        <v>0.18000000000000005</v>
      </c>
    </row>
    <row r="2167" spans="1:5" x14ac:dyDescent="0.25">
      <c r="A2167" s="44" t="s">
        <v>4821</v>
      </c>
      <c r="B2167" s="38" t="s">
        <v>4822</v>
      </c>
      <c r="C2167" s="43">
        <v>420</v>
      </c>
      <c r="D2167" s="11">
        <v>344.4</v>
      </c>
      <c r="E2167" s="25">
        <v>0.18000000000000005</v>
      </c>
    </row>
    <row r="2168" spans="1:5" x14ac:dyDescent="0.25">
      <c r="A2168" s="44" t="s">
        <v>4823</v>
      </c>
      <c r="B2168" s="38" t="s">
        <v>4824</v>
      </c>
      <c r="C2168" s="43">
        <v>720</v>
      </c>
      <c r="D2168" s="11">
        <v>590.4</v>
      </c>
      <c r="E2168" s="25">
        <v>0.18000000000000005</v>
      </c>
    </row>
    <row r="2169" spans="1:5" x14ac:dyDescent="0.25">
      <c r="A2169" s="44" t="s">
        <v>4825</v>
      </c>
      <c r="B2169" s="38" t="s">
        <v>4826</v>
      </c>
      <c r="C2169" s="43">
        <v>1360</v>
      </c>
      <c r="D2169" s="11">
        <v>1115.2</v>
      </c>
      <c r="E2169" s="25">
        <v>0.17999999999999994</v>
      </c>
    </row>
    <row r="2170" spans="1:5" x14ac:dyDescent="0.25">
      <c r="A2170" s="44" t="s">
        <v>4827</v>
      </c>
      <c r="B2170" s="38" t="s">
        <v>4828</v>
      </c>
      <c r="C2170" s="43">
        <v>2320</v>
      </c>
      <c r="D2170" s="11">
        <v>1902.4</v>
      </c>
      <c r="E2170" s="25">
        <v>0.17999999999999994</v>
      </c>
    </row>
    <row r="2171" spans="1:5" x14ac:dyDescent="0.25">
      <c r="A2171" s="44" t="s">
        <v>4829</v>
      </c>
      <c r="B2171" s="38" t="s">
        <v>4830</v>
      </c>
      <c r="C2171" s="43">
        <v>4080</v>
      </c>
      <c r="D2171" s="11">
        <v>3345.6</v>
      </c>
      <c r="E2171" s="25">
        <v>0.18000000000000005</v>
      </c>
    </row>
    <row r="2172" spans="1:5" x14ac:dyDescent="0.25">
      <c r="A2172" s="44" t="s">
        <v>4831</v>
      </c>
      <c r="B2172" s="38" t="s">
        <v>4832</v>
      </c>
      <c r="C2172" s="43">
        <v>8140</v>
      </c>
      <c r="D2172" s="11">
        <v>6674.8</v>
      </c>
      <c r="E2172" s="25">
        <v>0.17999999999999994</v>
      </c>
    </row>
    <row r="2173" spans="1:5" x14ac:dyDescent="0.25">
      <c r="A2173" s="44" t="s">
        <v>4833</v>
      </c>
      <c r="B2173" s="38" t="s">
        <v>4834</v>
      </c>
      <c r="C2173" s="43">
        <v>220</v>
      </c>
      <c r="D2173" s="11">
        <v>180.4</v>
      </c>
      <c r="E2173" s="25">
        <v>0.17999999999999994</v>
      </c>
    </row>
    <row r="2174" spans="1:5" x14ac:dyDescent="0.25">
      <c r="A2174" s="44" t="s">
        <v>4835</v>
      </c>
      <c r="B2174" s="38" t="s">
        <v>4836</v>
      </c>
      <c r="C2174" s="43">
        <v>300</v>
      </c>
      <c r="D2174" s="11">
        <v>246</v>
      </c>
      <c r="E2174" s="25">
        <v>0.18000000000000005</v>
      </c>
    </row>
    <row r="2175" spans="1:5" x14ac:dyDescent="0.25">
      <c r="A2175" s="44" t="s">
        <v>4837</v>
      </c>
      <c r="B2175" s="38" t="s">
        <v>4838</v>
      </c>
      <c r="C2175" s="43">
        <v>860</v>
      </c>
      <c r="D2175" s="11">
        <v>705.2</v>
      </c>
      <c r="E2175" s="25">
        <v>0.17999999999999994</v>
      </c>
    </row>
    <row r="2176" spans="1:5" x14ac:dyDescent="0.25">
      <c r="A2176" s="44" t="s">
        <v>4839</v>
      </c>
      <c r="B2176" s="38" t="s">
        <v>4840</v>
      </c>
      <c r="C2176" s="43">
        <v>1380</v>
      </c>
      <c r="D2176" s="11">
        <v>1131.5999999999999</v>
      </c>
      <c r="E2176" s="25">
        <v>0.18000000000000005</v>
      </c>
    </row>
    <row r="2177" spans="1:5" x14ac:dyDescent="0.25">
      <c r="A2177" s="44" t="s">
        <v>4841</v>
      </c>
      <c r="B2177" s="38" t="s">
        <v>4842</v>
      </c>
      <c r="C2177" s="43">
        <v>2860</v>
      </c>
      <c r="D2177" s="11">
        <v>2345.1999999999998</v>
      </c>
      <c r="E2177" s="25">
        <v>0.18000000000000005</v>
      </c>
    </row>
    <row r="2178" spans="1:5" x14ac:dyDescent="0.25">
      <c r="A2178" s="44" t="s">
        <v>4843</v>
      </c>
      <c r="B2178" s="38" t="s">
        <v>4844</v>
      </c>
      <c r="C2178" s="43">
        <v>4380</v>
      </c>
      <c r="D2178" s="11">
        <v>3591.6</v>
      </c>
      <c r="E2178" s="25">
        <v>0.18000000000000005</v>
      </c>
    </row>
    <row r="2179" spans="1:5" x14ac:dyDescent="0.25">
      <c r="A2179" s="44" t="s">
        <v>4845</v>
      </c>
      <c r="B2179" s="38" t="s">
        <v>4846</v>
      </c>
      <c r="C2179" s="43">
        <v>9500</v>
      </c>
      <c r="D2179" s="11">
        <v>7790</v>
      </c>
      <c r="E2179" s="25">
        <v>0.18000000000000005</v>
      </c>
    </row>
    <row r="2180" spans="1:5" x14ac:dyDescent="0.25">
      <c r="A2180" s="44" t="s">
        <v>4847</v>
      </c>
      <c r="B2180" s="38" t="s">
        <v>4848</v>
      </c>
      <c r="C2180" s="43">
        <v>18980</v>
      </c>
      <c r="D2180" s="11">
        <v>15563.6</v>
      </c>
      <c r="E2180" s="25">
        <v>0.17999999999999994</v>
      </c>
    </row>
    <row r="2181" spans="1:5" x14ac:dyDescent="0.25">
      <c r="A2181" s="44" t="s">
        <v>4849</v>
      </c>
      <c r="B2181" s="38" t="s">
        <v>4850</v>
      </c>
      <c r="C2181" s="43">
        <v>660</v>
      </c>
      <c r="D2181" s="11">
        <v>541.20000000000005</v>
      </c>
      <c r="E2181" s="25">
        <v>0.17999999999999994</v>
      </c>
    </row>
    <row r="2182" spans="1:5" x14ac:dyDescent="0.25">
      <c r="A2182" s="44" t="s">
        <v>4851</v>
      </c>
      <c r="B2182" s="38" t="s">
        <v>4852</v>
      </c>
      <c r="C2182" s="43">
        <v>660</v>
      </c>
      <c r="D2182" s="11">
        <v>541.20000000000005</v>
      </c>
      <c r="E2182" s="25">
        <v>0.17999999999999994</v>
      </c>
    </row>
    <row r="2183" spans="1:5" x14ac:dyDescent="0.25">
      <c r="A2183" s="44" t="s">
        <v>4853</v>
      </c>
      <c r="B2183" s="38" t="s">
        <v>4854</v>
      </c>
      <c r="C2183" s="43">
        <v>660</v>
      </c>
      <c r="D2183" s="11">
        <v>541.20000000000005</v>
      </c>
      <c r="E2183" s="25">
        <v>0.17999999999999994</v>
      </c>
    </row>
    <row r="2184" spans="1:5" x14ac:dyDescent="0.25">
      <c r="A2184" s="44" t="s">
        <v>4855</v>
      </c>
      <c r="B2184" s="38" t="s">
        <v>4856</v>
      </c>
      <c r="C2184" s="43">
        <v>660</v>
      </c>
      <c r="D2184" s="11">
        <v>541.20000000000005</v>
      </c>
      <c r="E2184" s="25">
        <v>0.17999999999999994</v>
      </c>
    </row>
    <row r="2185" spans="1:5" x14ac:dyDescent="0.25">
      <c r="A2185" s="44" t="s">
        <v>4857</v>
      </c>
      <c r="B2185" s="38" t="s">
        <v>4858</v>
      </c>
      <c r="C2185" s="43">
        <v>660</v>
      </c>
      <c r="D2185" s="11">
        <v>541.20000000000005</v>
      </c>
      <c r="E2185" s="25">
        <v>0.17999999999999994</v>
      </c>
    </row>
    <row r="2186" spans="1:5" x14ac:dyDescent="0.25">
      <c r="A2186" s="44" t="s">
        <v>4859</v>
      </c>
      <c r="B2186" s="38" t="s">
        <v>4860</v>
      </c>
      <c r="C2186" s="43">
        <v>520</v>
      </c>
      <c r="D2186" s="11">
        <v>426.4</v>
      </c>
      <c r="E2186" s="25">
        <v>0.18000000000000005</v>
      </c>
    </row>
    <row r="2187" spans="1:5" x14ac:dyDescent="0.25">
      <c r="A2187" s="44" t="s">
        <v>4861</v>
      </c>
      <c r="B2187" s="38" t="s">
        <v>4862</v>
      </c>
      <c r="C2187" s="43">
        <v>100</v>
      </c>
      <c r="D2187" s="11">
        <v>82</v>
      </c>
      <c r="E2187" s="25">
        <v>0.18000000000000005</v>
      </c>
    </row>
    <row r="2188" spans="1:5" x14ac:dyDescent="0.25">
      <c r="A2188" s="44" t="s">
        <v>4863</v>
      </c>
      <c r="B2188" s="38" t="s">
        <v>4864</v>
      </c>
      <c r="C2188" s="43">
        <v>500</v>
      </c>
      <c r="D2188" s="11">
        <v>410</v>
      </c>
      <c r="E2188" s="25">
        <v>0.18000000000000005</v>
      </c>
    </row>
    <row r="2189" spans="1:5" x14ac:dyDescent="0.25">
      <c r="A2189" s="44" t="s">
        <v>4865</v>
      </c>
      <c r="B2189" s="38" t="s">
        <v>4866</v>
      </c>
      <c r="C2189" s="43">
        <v>500</v>
      </c>
      <c r="D2189" s="11">
        <v>410</v>
      </c>
      <c r="E2189" s="25">
        <v>0.18000000000000005</v>
      </c>
    </row>
    <row r="2190" spans="1:5" x14ac:dyDescent="0.25">
      <c r="A2190" s="44" t="s">
        <v>4867</v>
      </c>
      <c r="B2190" s="38" t="s">
        <v>4868</v>
      </c>
      <c r="C2190" s="43">
        <v>500</v>
      </c>
      <c r="D2190" s="11">
        <v>410</v>
      </c>
      <c r="E2190" s="25">
        <v>0.18000000000000005</v>
      </c>
    </row>
    <row r="2191" spans="1:5" x14ac:dyDescent="0.25">
      <c r="A2191" s="44" t="s">
        <v>4869</v>
      </c>
      <c r="B2191" s="38" t="s">
        <v>4870</v>
      </c>
      <c r="C2191" s="43">
        <v>130</v>
      </c>
      <c r="D2191" s="11">
        <v>106.6</v>
      </c>
      <c r="E2191" s="25">
        <v>0.18000000000000005</v>
      </c>
    </row>
    <row r="2192" spans="1:5" x14ac:dyDescent="0.25">
      <c r="A2192" s="44" t="s">
        <v>4871</v>
      </c>
      <c r="B2192" s="38" t="s">
        <v>4872</v>
      </c>
      <c r="C2192" s="43">
        <v>290</v>
      </c>
      <c r="D2192" s="11">
        <v>237.8</v>
      </c>
      <c r="E2192" s="25">
        <v>0.17999999999999994</v>
      </c>
    </row>
    <row r="2193" spans="1:5" x14ac:dyDescent="0.25">
      <c r="A2193" s="44" t="s">
        <v>4873</v>
      </c>
      <c r="B2193" s="38" t="s">
        <v>4874</v>
      </c>
      <c r="C2193" s="43">
        <v>1200</v>
      </c>
      <c r="D2193" s="11">
        <v>984</v>
      </c>
      <c r="E2193" s="25">
        <v>0.18000000000000005</v>
      </c>
    </row>
    <row r="2194" spans="1:5" x14ac:dyDescent="0.25">
      <c r="A2194" s="44" t="s">
        <v>4875</v>
      </c>
      <c r="B2194" s="38" t="s">
        <v>4876</v>
      </c>
      <c r="C2194" s="43">
        <v>65</v>
      </c>
      <c r="D2194" s="11">
        <v>53.3</v>
      </c>
      <c r="E2194" s="25">
        <v>0.18000000000000005</v>
      </c>
    </row>
    <row r="2195" spans="1:5" x14ac:dyDescent="0.25">
      <c r="A2195" s="44" t="s">
        <v>4877</v>
      </c>
      <c r="B2195" s="38" t="s">
        <v>4878</v>
      </c>
      <c r="C2195" s="43">
        <v>245</v>
      </c>
      <c r="D2195" s="11">
        <v>200.9</v>
      </c>
      <c r="E2195" s="25">
        <v>0.17999999999999994</v>
      </c>
    </row>
    <row r="2196" spans="1:5" x14ac:dyDescent="0.25">
      <c r="A2196" s="44" t="s">
        <v>4879</v>
      </c>
      <c r="B2196" s="38" t="s">
        <v>4880</v>
      </c>
      <c r="C2196" s="43">
        <v>240</v>
      </c>
      <c r="D2196" s="11">
        <v>196.8</v>
      </c>
      <c r="E2196" s="25">
        <v>0.17999999999999994</v>
      </c>
    </row>
    <row r="2197" spans="1:5" x14ac:dyDescent="0.25">
      <c r="A2197" s="44" t="s">
        <v>4881</v>
      </c>
      <c r="B2197" s="38" t="s">
        <v>4882</v>
      </c>
      <c r="C2197" s="43">
        <v>60</v>
      </c>
      <c r="D2197" s="11">
        <v>49.2</v>
      </c>
      <c r="E2197" s="25">
        <v>0.17999999999999994</v>
      </c>
    </row>
    <row r="2198" spans="1:5" x14ac:dyDescent="0.25">
      <c r="A2198" s="44" t="s">
        <v>4883</v>
      </c>
      <c r="B2198" s="38" t="s">
        <v>4884</v>
      </c>
      <c r="C2198" s="43">
        <v>800</v>
      </c>
      <c r="D2198" s="11">
        <v>656</v>
      </c>
      <c r="E2198" s="25">
        <v>0.18000000000000005</v>
      </c>
    </row>
    <row r="2199" spans="1:5" x14ac:dyDescent="0.25">
      <c r="A2199" s="44" t="s">
        <v>4885</v>
      </c>
      <c r="B2199" s="38" t="s">
        <v>4886</v>
      </c>
      <c r="C2199" s="43">
        <v>510</v>
      </c>
      <c r="D2199" s="11">
        <v>418.2</v>
      </c>
      <c r="E2199" s="25">
        <v>0.18000000000000005</v>
      </c>
    </row>
    <row r="2200" spans="1:5" x14ac:dyDescent="0.25">
      <c r="A2200" s="44" t="s">
        <v>4887</v>
      </c>
      <c r="B2200" s="38" t="s">
        <v>4888</v>
      </c>
      <c r="C2200" s="43">
        <v>18</v>
      </c>
      <c r="D2200" s="11">
        <v>14.76</v>
      </c>
      <c r="E2200" s="25">
        <v>0.18000000000000005</v>
      </c>
    </row>
    <row r="2201" spans="1:5" x14ac:dyDescent="0.25">
      <c r="A2201" s="44" t="s">
        <v>4889</v>
      </c>
      <c r="B2201" s="38" t="s">
        <v>4890</v>
      </c>
      <c r="C2201" s="43">
        <v>20</v>
      </c>
      <c r="D2201" s="11">
        <v>16.399999999999999</v>
      </c>
      <c r="E2201" s="25">
        <v>0.18000000000000005</v>
      </c>
    </row>
    <row r="2202" spans="1:5" x14ac:dyDescent="0.25">
      <c r="A2202" s="44" t="s">
        <v>4891</v>
      </c>
      <c r="B2202" s="38" t="s">
        <v>4892</v>
      </c>
      <c r="C2202" s="43">
        <v>20</v>
      </c>
      <c r="D2202" s="11">
        <v>16.399999999999999</v>
      </c>
      <c r="E2202" s="25">
        <v>0.18000000000000005</v>
      </c>
    </row>
    <row r="2203" spans="1:5" x14ac:dyDescent="0.25">
      <c r="A2203" s="44" t="s">
        <v>4893</v>
      </c>
      <c r="B2203" s="38" t="s">
        <v>4894</v>
      </c>
      <c r="C2203" s="43">
        <v>400</v>
      </c>
      <c r="D2203" s="11">
        <v>328</v>
      </c>
      <c r="E2203" s="25">
        <v>0.18000000000000005</v>
      </c>
    </row>
    <row r="2204" spans="1:5" x14ac:dyDescent="0.25">
      <c r="A2204" s="44" t="s">
        <v>4895</v>
      </c>
      <c r="B2204" s="38" t="s">
        <v>4896</v>
      </c>
      <c r="C2204" s="43">
        <v>1500</v>
      </c>
      <c r="D2204" s="11">
        <v>1230</v>
      </c>
      <c r="E2204" s="25">
        <v>0.18000000000000005</v>
      </c>
    </row>
    <row r="2205" spans="1:5" x14ac:dyDescent="0.25">
      <c r="A2205" s="44" t="s">
        <v>4897</v>
      </c>
      <c r="B2205" s="38" t="s">
        <v>4898</v>
      </c>
      <c r="C2205" s="43">
        <v>3000</v>
      </c>
      <c r="D2205" s="11">
        <v>2460</v>
      </c>
      <c r="E2205" s="25">
        <v>0.18000000000000005</v>
      </c>
    </row>
    <row r="2206" spans="1:5" x14ac:dyDescent="0.25">
      <c r="A2206" s="44" t="s">
        <v>4899</v>
      </c>
      <c r="B2206" s="38" t="s">
        <v>4900</v>
      </c>
      <c r="C2206" s="43">
        <v>64</v>
      </c>
      <c r="D2206" s="11">
        <v>52.480000000000004</v>
      </c>
      <c r="E2206" s="25">
        <v>0.17999999999999994</v>
      </c>
    </row>
    <row r="2207" spans="1:5" x14ac:dyDescent="0.25">
      <c r="A2207" s="44" t="s">
        <v>4901</v>
      </c>
      <c r="B2207" s="38" t="s">
        <v>4902</v>
      </c>
      <c r="C2207" s="43">
        <v>11100</v>
      </c>
      <c r="D2207" s="11">
        <v>9102</v>
      </c>
      <c r="E2207" s="25">
        <v>0.18000000000000005</v>
      </c>
    </row>
    <row r="2208" spans="1:5" x14ac:dyDescent="0.25">
      <c r="A2208" s="44" t="s">
        <v>4903</v>
      </c>
      <c r="B2208" s="38" t="s">
        <v>4904</v>
      </c>
      <c r="C2208" s="43">
        <v>18660</v>
      </c>
      <c r="D2208" s="11">
        <v>15301.2</v>
      </c>
      <c r="E2208" s="25">
        <v>0.17999999999999994</v>
      </c>
    </row>
    <row r="2209" spans="1:5" x14ac:dyDescent="0.25">
      <c r="A2209" s="44" t="s">
        <v>4905</v>
      </c>
      <c r="B2209" s="38" t="s">
        <v>4906</v>
      </c>
      <c r="C2209" s="43">
        <v>31380</v>
      </c>
      <c r="D2209" s="11">
        <v>25731.599999999999</v>
      </c>
      <c r="E2209" s="25">
        <v>0.18000000000000005</v>
      </c>
    </row>
    <row r="2210" spans="1:5" x14ac:dyDescent="0.25">
      <c r="A2210" s="44" t="s">
        <v>4907</v>
      </c>
      <c r="B2210" s="38" t="s">
        <v>4908</v>
      </c>
      <c r="C2210" s="43">
        <v>52760</v>
      </c>
      <c r="D2210" s="11">
        <v>43263.199999999997</v>
      </c>
      <c r="E2210" s="25">
        <v>0.18000000000000005</v>
      </c>
    </row>
    <row r="2211" spans="1:5" x14ac:dyDescent="0.25">
      <c r="A2211" s="44" t="s">
        <v>4909</v>
      </c>
      <c r="B2211" s="38" t="s">
        <v>4910</v>
      </c>
      <c r="C2211" s="43">
        <v>104860</v>
      </c>
      <c r="D2211" s="11">
        <v>85985.2</v>
      </c>
      <c r="E2211" s="25">
        <v>0.18000000000000005</v>
      </c>
    </row>
    <row r="2212" spans="1:5" x14ac:dyDescent="0.25">
      <c r="A2212" s="44" t="s">
        <v>4911</v>
      </c>
      <c r="B2212" s="38" t="s">
        <v>4912</v>
      </c>
      <c r="C2212" s="43">
        <v>1180</v>
      </c>
      <c r="D2212" s="11">
        <v>967.6</v>
      </c>
      <c r="E2212" s="25">
        <v>0.17999999999999994</v>
      </c>
    </row>
    <row r="2213" spans="1:5" x14ac:dyDescent="0.25">
      <c r="A2213" s="44" t="s">
        <v>4913</v>
      </c>
      <c r="B2213" s="38" t="s">
        <v>4914</v>
      </c>
      <c r="C2213" s="43">
        <v>6580</v>
      </c>
      <c r="D2213" s="11">
        <v>5395.6</v>
      </c>
      <c r="E2213" s="25">
        <v>0.17999999999999994</v>
      </c>
    </row>
    <row r="2214" spans="1:5" x14ac:dyDescent="0.25">
      <c r="A2214" s="44" t="s">
        <v>4915</v>
      </c>
      <c r="B2214" s="38" t="s">
        <v>4916</v>
      </c>
      <c r="C2214" s="43">
        <v>9660</v>
      </c>
      <c r="D2214" s="11">
        <v>7921.2</v>
      </c>
      <c r="E2214" s="25">
        <v>0.18000000000000005</v>
      </c>
    </row>
    <row r="2215" spans="1:5" x14ac:dyDescent="0.25">
      <c r="A2215" s="44" t="s">
        <v>4917</v>
      </c>
      <c r="B2215" s="38" t="s">
        <v>4918</v>
      </c>
      <c r="C2215" s="43">
        <v>1400</v>
      </c>
      <c r="D2215" s="11">
        <v>1148</v>
      </c>
      <c r="E2215" s="25">
        <v>0.18000000000000005</v>
      </c>
    </row>
    <row r="2216" spans="1:5" x14ac:dyDescent="0.25">
      <c r="A2216" s="44" t="s">
        <v>4919</v>
      </c>
      <c r="B2216" s="38" t="s">
        <v>4920</v>
      </c>
      <c r="C2216" s="43">
        <v>2780</v>
      </c>
      <c r="D2216" s="11">
        <v>2279.6</v>
      </c>
      <c r="E2216" s="25">
        <v>0.18000000000000005</v>
      </c>
    </row>
    <row r="2217" spans="1:5" x14ac:dyDescent="0.25">
      <c r="A2217" s="44" t="s">
        <v>4921</v>
      </c>
      <c r="B2217" s="38" t="s">
        <v>4922</v>
      </c>
      <c r="C2217" s="43">
        <v>6320</v>
      </c>
      <c r="D2217" s="11">
        <v>5182.3999999999996</v>
      </c>
      <c r="E2217" s="25">
        <v>0.18000000000000005</v>
      </c>
    </row>
    <row r="2218" spans="1:5" x14ac:dyDescent="0.25">
      <c r="A2218" s="44" t="s">
        <v>4923</v>
      </c>
      <c r="B2218" s="38" t="s">
        <v>4924</v>
      </c>
      <c r="C2218" s="43">
        <v>7860</v>
      </c>
      <c r="D2218" s="11">
        <v>6445.2</v>
      </c>
      <c r="E2218" s="25">
        <v>0.18000000000000005</v>
      </c>
    </row>
    <row r="2219" spans="1:5" x14ac:dyDescent="0.25">
      <c r="A2219" s="44" t="s">
        <v>4925</v>
      </c>
      <c r="B2219" s="38" t="s">
        <v>4926</v>
      </c>
      <c r="C2219" s="43">
        <v>15600</v>
      </c>
      <c r="D2219" s="11">
        <v>12792</v>
      </c>
      <c r="E2219" s="25">
        <v>0.18000000000000005</v>
      </c>
    </row>
    <row r="2220" spans="1:5" x14ac:dyDescent="0.25">
      <c r="A2220" s="44" t="s">
        <v>4927</v>
      </c>
      <c r="B2220" s="38" t="s">
        <v>4928</v>
      </c>
      <c r="C2220" s="43">
        <v>26220</v>
      </c>
      <c r="D2220" s="11">
        <v>21500.400000000001</v>
      </c>
      <c r="E2220" s="25">
        <v>0.17999999999999994</v>
      </c>
    </row>
    <row r="2221" spans="1:5" x14ac:dyDescent="0.25">
      <c r="A2221" s="44" t="s">
        <v>4929</v>
      </c>
      <c r="B2221" s="38" t="s">
        <v>4930</v>
      </c>
      <c r="C2221" s="43">
        <v>722</v>
      </c>
      <c r="D2221" s="11">
        <v>592.04</v>
      </c>
      <c r="E2221" s="25">
        <v>0.18000000000000005</v>
      </c>
    </row>
    <row r="2222" spans="1:5" x14ac:dyDescent="0.25">
      <c r="A2222" s="44" t="s">
        <v>4931</v>
      </c>
      <c r="B2222" s="38" t="s">
        <v>4932</v>
      </c>
      <c r="C2222" s="43">
        <v>1660</v>
      </c>
      <c r="D2222" s="11">
        <v>1361.2</v>
      </c>
      <c r="E2222" s="25">
        <v>0.17999999999999994</v>
      </c>
    </row>
    <row r="2223" spans="1:5" x14ac:dyDescent="0.25">
      <c r="A2223" s="44" t="s">
        <v>4933</v>
      </c>
      <c r="B2223" s="38" t="s">
        <v>4934</v>
      </c>
      <c r="C2223" s="43">
        <v>14</v>
      </c>
      <c r="D2223" s="11">
        <v>11.48</v>
      </c>
      <c r="E2223" s="25">
        <v>0.17999999999999994</v>
      </c>
    </row>
    <row r="2224" spans="1:5" x14ac:dyDescent="0.25">
      <c r="A2224" s="44" t="s">
        <v>4935</v>
      </c>
      <c r="B2224" s="38" t="s">
        <v>4936</v>
      </c>
      <c r="C2224" s="43">
        <v>1120</v>
      </c>
      <c r="D2224" s="11">
        <v>918.4</v>
      </c>
      <c r="E2224" s="25">
        <v>0.18000000000000005</v>
      </c>
    </row>
    <row r="2225" spans="1:5" x14ac:dyDescent="0.25">
      <c r="A2225" s="44" t="s">
        <v>4937</v>
      </c>
      <c r="B2225" s="38" t="s">
        <v>4938</v>
      </c>
      <c r="C2225" s="43">
        <v>3740</v>
      </c>
      <c r="D2225" s="11">
        <v>3066.8</v>
      </c>
      <c r="E2225" s="25">
        <v>0.17999999999999994</v>
      </c>
    </row>
    <row r="2226" spans="1:5" x14ac:dyDescent="0.25">
      <c r="A2226" s="44" t="s">
        <v>4939</v>
      </c>
      <c r="B2226" s="38" t="s">
        <v>4940</v>
      </c>
      <c r="C2226" s="43">
        <v>5060</v>
      </c>
      <c r="D2226" s="11">
        <v>4149.2</v>
      </c>
      <c r="E2226" s="25">
        <v>0.18000000000000005</v>
      </c>
    </row>
    <row r="2227" spans="1:5" x14ac:dyDescent="0.25">
      <c r="A2227" s="44" t="s">
        <v>4941</v>
      </c>
      <c r="B2227" s="38" t="s">
        <v>4942</v>
      </c>
      <c r="C2227" s="43">
        <v>10560</v>
      </c>
      <c r="D2227" s="11">
        <v>8659.2000000000007</v>
      </c>
      <c r="E2227" s="25">
        <v>0.17999999999999994</v>
      </c>
    </row>
    <row r="2228" spans="1:5" x14ac:dyDescent="0.25">
      <c r="A2228" s="44" t="s">
        <v>4943</v>
      </c>
      <c r="B2228" s="38" t="s">
        <v>4944</v>
      </c>
      <c r="C2228" s="43">
        <v>12480</v>
      </c>
      <c r="D2228" s="11">
        <v>10233.6</v>
      </c>
      <c r="E2228" s="25">
        <v>0.17999999999999994</v>
      </c>
    </row>
    <row r="2229" spans="1:5" x14ac:dyDescent="0.25">
      <c r="A2229" s="44" t="s">
        <v>4945</v>
      </c>
      <c r="B2229" s="38" t="s">
        <v>4946</v>
      </c>
      <c r="C2229" s="43">
        <v>234</v>
      </c>
      <c r="D2229" s="11">
        <v>191.88</v>
      </c>
      <c r="E2229" s="25">
        <v>0.18000000000000005</v>
      </c>
    </row>
    <row r="2230" spans="1:5" x14ac:dyDescent="0.25">
      <c r="A2230" s="44" t="s">
        <v>4947</v>
      </c>
      <c r="B2230" s="38" t="s">
        <v>4948</v>
      </c>
      <c r="C2230" s="43">
        <v>578</v>
      </c>
      <c r="D2230" s="11">
        <v>473.96000000000004</v>
      </c>
      <c r="E2230" s="25">
        <v>0.17999999999999994</v>
      </c>
    </row>
    <row r="2231" spans="1:5" x14ac:dyDescent="0.25">
      <c r="A2231" s="44" t="s">
        <v>4949</v>
      </c>
      <c r="B2231" s="38" t="s">
        <v>4950</v>
      </c>
      <c r="C2231" s="43">
        <v>1940</v>
      </c>
      <c r="D2231" s="11">
        <v>1590.8</v>
      </c>
      <c r="E2231" s="25">
        <v>0.18000000000000005</v>
      </c>
    </row>
    <row r="2232" spans="1:5" x14ac:dyDescent="0.25">
      <c r="A2232" s="44" t="s">
        <v>4951</v>
      </c>
      <c r="B2232" s="38" t="s">
        <v>4952</v>
      </c>
      <c r="C2232" s="43">
        <v>106</v>
      </c>
      <c r="D2232" s="11">
        <v>86.92</v>
      </c>
      <c r="E2232" s="25">
        <v>0.17999999999999994</v>
      </c>
    </row>
    <row r="2233" spans="1:5" x14ac:dyDescent="0.25">
      <c r="A2233" s="44" t="s">
        <v>4953</v>
      </c>
      <c r="B2233" s="38" t="s">
        <v>4954</v>
      </c>
      <c r="C2233" s="43">
        <v>18860</v>
      </c>
      <c r="D2233" s="11">
        <v>15465.2</v>
      </c>
      <c r="E2233" s="25">
        <v>0.17999999999999994</v>
      </c>
    </row>
    <row r="2234" spans="1:5" x14ac:dyDescent="0.25">
      <c r="A2234" s="44" t="s">
        <v>4955</v>
      </c>
      <c r="B2234" s="38" t="s">
        <v>4956</v>
      </c>
      <c r="C2234" s="43">
        <v>31700</v>
      </c>
      <c r="D2234" s="11">
        <v>25994</v>
      </c>
      <c r="E2234" s="25">
        <v>0.18000000000000005</v>
      </c>
    </row>
    <row r="2235" spans="1:5" x14ac:dyDescent="0.25">
      <c r="A2235" s="44" t="s">
        <v>4957</v>
      </c>
      <c r="B2235" s="38" t="s">
        <v>4958</v>
      </c>
      <c r="C2235" s="43">
        <v>53320</v>
      </c>
      <c r="D2235" s="11">
        <v>43722.400000000001</v>
      </c>
      <c r="E2235" s="25">
        <v>0.17999999999999994</v>
      </c>
    </row>
    <row r="2236" spans="1:5" x14ac:dyDescent="0.25">
      <c r="A2236" s="44" t="s">
        <v>4959</v>
      </c>
      <c r="B2236" s="38" t="s">
        <v>4960</v>
      </c>
      <c r="C2236" s="43">
        <v>89680</v>
      </c>
      <c r="D2236" s="11">
        <v>73537.600000000006</v>
      </c>
      <c r="E2236" s="25">
        <v>0.17999999999999994</v>
      </c>
    </row>
    <row r="2237" spans="1:5" x14ac:dyDescent="0.25">
      <c r="A2237" s="44" t="s">
        <v>4961</v>
      </c>
      <c r="B2237" s="38" t="s">
        <v>4962</v>
      </c>
      <c r="C2237" s="43">
        <v>178280</v>
      </c>
      <c r="D2237" s="11">
        <v>146189.6</v>
      </c>
      <c r="E2237" s="25">
        <v>0.17999999999999994</v>
      </c>
    </row>
    <row r="2238" spans="1:5" x14ac:dyDescent="0.25">
      <c r="A2238" s="44" t="s">
        <v>4963</v>
      </c>
      <c r="B2238" s="38" t="s">
        <v>4964</v>
      </c>
      <c r="C2238" s="43">
        <v>2000</v>
      </c>
      <c r="D2238" s="11">
        <v>1640</v>
      </c>
      <c r="E2238" s="25">
        <v>0.18000000000000005</v>
      </c>
    </row>
    <row r="2239" spans="1:5" x14ac:dyDescent="0.25">
      <c r="A2239" s="44" t="s">
        <v>4965</v>
      </c>
      <c r="B2239" s="38" t="s">
        <v>4966</v>
      </c>
      <c r="C2239" s="43">
        <v>11180</v>
      </c>
      <c r="D2239" s="11">
        <v>9167.6</v>
      </c>
      <c r="E2239" s="25">
        <v>0.17999999999999994</v>
      </c>
    </row>
    <row r="2240" spans="1:5" x14ac:dyDescent="0.25">
      <c r="A2240" s="44" t="s">
        <v>4967</v>
      </c>
      <c r="B2240" s="38" t="s">
        <v>4968</v>
      </c>
      <c r="C2240" s="43">
        <v>16400</v>
      </c>
      <c r="D2240" s="11">
        <v>13448</v>
      </c>
      <c r="E2240" s="25">
        <v>0.18000000000000005</v>
      </c>
    </row>
    <row r="2241" spans="1:5" x14ac:dyDescent="0.25">
      <c r="A2241" s="44" t="s">
        <v>4969</v>
      </c>
      <c r="B2241" s="38" t="s">
        <v>4970</v>
      </c>
      <c r="C2241" s="43">
        <v>1960</v>
      </c>
      <c r="D2241" s="11">
        <v>1607.2</v>
      </c>
      <c r="E2241" s="25">
        <v>0.17999999999999994</v>
      </c>
    </row>
    <row r="2242" spans="1:5" x14ac:dyDescent="0.25">
      <c r="A2242" s="44" t="s">
        <v>4971</v>
      </c>
      <c r="B2242" s="38" t="s">
        <v>4972</v>
      </c>
      <c r="C2242" s="43">
        <v>3900</v>
      </c>
      <c r="D2242" s="11">
        <v>3198</v>
      </c>
      <c r="E2242" s="25">
        <v>0.18000000000000005</v>
      </c>
    </row>
    <row r="2243" spans="1:5" x14ac:dyDescent="0.25">
      <c r="A2243" s="44" t="s">
        <v>4973</v>
      </c>
      <c r="B2243" s="38" t="s">
        <v>4974</v>
      </c>
      <c r="C2243" s="43">
        <v>8860</v>
      </c>
      <c r="D2243" s="11">
        <v>7265.2</v>
      </c>
      <c r="E2243" s="25">
        <v>0.18000000000000005</v>
      </c>
    </row>
    <row r="2244" spans="1:5" x14ac:dyDescent="0.25">
      <c r="A2244" s="44" t="s">
        <v>4975</v>
      </c>
      <c r="B2244" s="38" t="s">
        <v>4976</v>
      </c>
      <c r="C2244" s="43">
        <v>10980</v>
      </c>
      <c r="D2244" s="11">
        <v>9003.6</v>
      </c>
      <c r="E2244" s="25">
        <v>0.17999999999999994</v>
      </c>
    </row>
    <row r="2245" spans="1:5" x14ac:dyDescent="0.25">
      <c r="A2245" s="44" t="s">
        <v>4977</v>
      </c>
      <c r="B2245" s="38" t="s">
        <v>4978</v>
      </c>
      <c r="C2245" s="43">
        <v>21840</v>
      </c>
      <c r="D2245" s="11">
        <v>17908.8</v>
      </c>
      <c r="E2245" s="25">
        <v>0.18000000000000005</v>
      </c>
    </row>
    <row r="2246" spans="1:5" x14ac:dyDescent="0.25">
      <c r="A2246" s="44" t="s">
        <v>4979</v>
      </c>
      <c r="B2246" s="38" t="s">
        <v>4980</v>
      </c>
      <c r="C2246" s="43">
        <v>36720</v>
      </c>
      <c r="D2246" s="11">
        <v>30110.400000000001</v>
      </c>
      <c r="E2246" s="25">
        <v>0.17999999999999994</v>
      </c>
    </row>
    <row r="2247" spans="1:5" x14ac:dyDescent="0.25">
      <c r="A2247" s="44" t="s">
        <v>4981</v>
      </c>
      <c r="B2247" s="38" t="s">
        <v>4982</v>
      </c>
      <c r="C2247" s="43">
        <v>1020</v>
      </c>
      <c r="D2247" s="11">
        <v>836.4</v>
      </c>
      <c r="E2247" s="25">
        <v>0.18000000000000005</v>
      </c>
    </row>
    <row r="2248" spans="1:5" x14ac:dyDescent="0.25">
      <c r="A2248" s="44" t="s">
        <v>4983</v>
      </c>
      <c r="B2248" s="38" t="s">
        <v>4984</v>
      </c>
      <c r="C2248" s="43">
        <v>2320</v>
      </c>
      <c r="D2248" s="11">
        <v>1902.4</v>
      </c>
      <c r="E2248" s="25">
        <v>0.17999999999999994</v>
      </c>
    </row>
    <row r="2249" spans="1:5" x14ac:dyDescent="0.25">
      <c r="A2249" s="44" t="s">
        <v>4985</v>
      </c>
      <c r="B2249" s="38" t="s">
        <v>4986</v>
      </c>
      <c r="C2249" s="43">
        <v>14</v>
      </c>
      <c r="D2249" s="11">
        <v>11.48</v>
      </c>
      <c r="E2249" s="25">
        <v>0.17999999999999994</v>
      </c>
    </row>
    <row r="2250" spans="1:5" x14ac:dyDescent="0.25">
      <c r="A2250" s="44" t="s">
        <v>4987</v>
      </c>
      <c r="B2250" s="38" t="s">
        <v>4988</v>
      </c>
      <c r="C2250" s="43">
        <v>1120</v>
      </c>
      <c r="D2250" s="11">
        <v>918.4</v>
      </c>
      <c r="E2250" s="25">
        <v>0.18000000000000005</v>
      </c>
    </row>
    <row r="2251" spans="1:5" x14ac:dyDescent="0.25">
      <c r="A2251" s="44" t="s">
        <v>4989</v>
      </c>
      <c r="B2251" s="38" t="s">
        <v>4990</v>
      </c>
      <c r="C2251" s="43">
        <v>3740</v>
      </c>
      <c r="D2251" s="11">
        <v>3066.8</v>
      </c>
      <c r="E2251" s="25">
        <v>0.17999999999999994</v>
      </c>
    </row>
    <row r="2252" spans="1:5" x14ac:dyDescent="0.25">
      <c r="A2252" s="44" t="s">
        <v>4991</v>
      </c>
      <c r="B2252" s="38" t="s">
        <v>4992</v>
      </c>
      <c r="C2252" s="43">
        <v>5060</v>
      </c>
      <c r="D2252" s="11">
        <v>4149.2</v>
      </c>
      <c r="E2252" s="25">
        <v>0.18000000000000005</v>
      </c>
    </row>
    <row r="2253" spans="1:5" x14ac:dyDescent="0.25">
      <c r="A2253" s="44" t="s">
        <v>4993</v>
      </c>
      <c r="B2253" s="38" t="s">
        <v>4994</v>
      </c>
      <c r="C2253" s="43">
        <v>10560</v>
      </c>
      <c r="D2253" s="11">
        <v>8659.2000000000007</v>
      </c>
      <c r="E2253" s="25">
        <v>0.17999999999999994</v>
      </c>
    </row>
    <row r="2254" spans="1:5" x14ac:dyDescent="0.25">
      <c r="A2254" s="44" t="s">
        <v>4995</v>
      </c>
      <c r="B2254" s="38" t="s">
        <v>4996</v>
      </c>
      <c r="C2254" s="43">
        <v>12480</v>
      </c>
      <c r="D2254" s="11">
        <v>10233.6</v>
      </c>
      <c r="E2254" s="25">
        <v>0.17999999999999994</v>
      </c>
    </row>
    <row r="2255" spans="1:5" x14ac:dyDescent="0.25">
      <c r="A2255" s="44" t="s">
        <v>4997</v>
      </c>
      <c r="B2255" s="38" t="s">
        <v>4998</v>
      </c>
      <c r="C2255" s="43">
        <v>234</v>
      </c>
      <c r="D2255" s="11">
        <v>191.88</v>
      </c>
      <c r="E2255" s="25">
        <v>0.18000000000000005</v>
      </c>
    </row>
    <row r="2256" spans="1:5" x14ac:dyDescent="0.25">
      <c r="A2256" s="44" t="s">
        <v>4999</v>
      </c>
      <c r="B2256" s="38" t="s">
        <v>5000</v>
      </c>
      <c r="C2256" s="43">
        <v>578</v>
      </c>
      <c r="D2256" s="11">
        <v>473.96000000000004</v>
      </c>
      <c r="E2256" s="25">
        <v>0.17999999999999994</v>
      </c>
    </row>
    <row r="2257" spans="1:5" x14ac:dyDescent="0.25">
      <c r="A2257" s="44" t="s">
        <v>5001</v>
      </c>
      <c r="B2257" s="38" t="s">
        <v>5002</v>
      </c>
      <c r="C2257" s="43">
        <v>1940</v>
      </c>
      <c r="D2257" s="11">
        <v>1590.8</v>
      </c>
      <c r="E2257" s="25">
        <v>0.18000000000000005</v>
      </c>
    </row>
    <row r="2258" spans="1:5" x14ac:dyDescent="0.25">
      <c r="A2258" s="44" t="s">
        <v>5003</v>
      </c>
      <c r="B2258" s="38" t="s">
        <v>5004</v>
      </c>
      <c r="C2258" s="43">
        <v>10</v>
      </c>
      <c r="D2258" s="11">
        <v>8.1999999999999993</v>
      </c>
      <c r="E2258" s="25">
        <v>0.18000000000000005</v>
      </c>
    </row>
    <row r="2259" spans="1:5" x14ac:dyDescent="0.25">
      <c r="A2259" s="44" t="s">
        <v>5005</v>
      </c>
      <c r="B2259" s="38" t="s">
        <v>5006</v>
      </c>
      <c r="C2259" s="43">
        <v>1680</v>
      </c>
      <c r="D2259" s="11">
        <v>1377.6</v>
      </c>
      <c r="E2259" s="25">
        <v>0.18000000000000005</v>
      </c>
    </row>
    <row r="2260" spans="1:5" x14ac:dyDescent="0.25">
      <c r="A2260" s="44" t="s">
        <v>5007</v>
      </c>
      <c r="B2260" s="38" t="s">
        <v>5008</v>
      </c>
      <c r="C2260" s="43">
        <v>2800</v>
      </c>
      <c r="D2260" s="11">
        <v>2296</v>
      </c>
      <c r="E2260" s="25">
        <v>0.18000000000000005</v>
      </c>
    </row>
    <row r="2261" spans="1:5" x14ac:dyDescent="0.25">
      <c r="A2261" s="44" t="s">
        <v>5009</v>
      </c>
      <c r="B2261" s="38" t="s">
        <v>5010</v>
      </c>
      <c r="C2261" s="43">
        <v>4720</v>
      </c>
      <c r="D2261" s="11">
        <v>3870.4</v>
      </c>
      <c r="E2261" s="25">
        <v>0.17999999999999994</v>
      </c>
    </row>
    <row r="2262" spans="1:5" x14ac:dyDescent="0.25">
      <c r="A2262" s="44" t="s">
        <v>5011</v>
      </c>
      <c r="B2262" s="38" t="s">
        <v>5012</v>
      </c>
      <c r="C2262" s="43">
        <v>7920</v>
      </c>
      <c r="D2262" s="11">
        <v>6494.4</v>
      </c>
      <c r="E2262" s="25">
        <v>0.18000000000000005</v>
      </c>
    </row>
    <row r="2263" spans="1:5" x14ac:dyDescent="0.25">
      <c r="A2263" s="44" t="s">
        <v>5013</v>
      </c>
      <c r="B2263" s="38" t="s">
        <v>5014</v>
      </c>
      <c r="C2263" s="43">
        <v>15740</v>
      </c>
      <c r="D2263" s="11">
        <v>12906.8</v>
      </c>
      <c r="E2263" s="25">
        <v>0.18000000000000005</v>
      </c>
    </row>
    <row r="2264" spans="1:5" x14ac:dyDescent="0.25">
      <c r="A2264" s="44" t="s">
        <v>5015</v>
      </c>
      <c r="B2264" s="38" t="s">
        <v>5016</v>
      </c>
      <c r="C2264" s="43">
        <v>176</v>
      </c>
      <c r="D2264" s="11">
        <v>144.32</v>
      </c>
      <c r="E2264" s="25">
        <v>0.18000000000000005</v>
      </c>
    </row>
    <row r="2265" spans="1:5" x14ac:dyDescent="0.25">
      <c r="A2265" s="44" t="s">
        <v>5017</v>
      </c>
      <c r="B2265" s="38" t="s">
        <v>5018</v>
      </c>
      <c r="C2265" s="43">
        <v>986</v>
      </c>
      <c r="D2265" s="11">
        <v>808.52</v>
      </c>
      <c r="E2265" s="25">
        <v>0.18000000000000005</v>
      </c>
    </row>
    <row r="2266" spans="1:5" x14ac:dyDescent="0.25">
      <c r="A2266" s="44" t="s">
        <v>5019</v>
      </c>
      <c r="B2266" s="38" t="s">
        <v>5020</v>
      </c>
      <c r="C2266" s="43">
        <v>1460</v>
      </c>
      <c r="D2266" s="11">
        <v>1197.2</v>
      </c>
      <c r="E2266" s="25">
        <v>0.17999999999999994</v>
      </c>
    </row>
    <row r="2267" spans="1:5" x14ac:dyDescent="0.25">
      <c r="A2267" s="44" t="s">
        <v>5021</v>
      </c>
      <c r="B2267" s="38" t="s">
        <v>5022</v>
      </c>
      <c r="C2267" s="43">
        <v>1960</v>
      </c>
      <c r="D2267" s="11">
        <v>1607.2</v>
      </c>
      <c r="E2267" s="25">
        <v>0.17999999999999994</v>
      </c>
    </row>
    <row r="2268" spans="1:5" x14ac:dyDescent="0.25">
      <c r="A2268" s="44" t="s">
        <v>5023</v>
      </c>
      <c r="B2268" s="38" t="s">
        <v>5024</v>
      </c>
      <c r="C2268" s="43">
        <v>3900</v>
      </c>
      <c r="D2268" s="11">
        <v>3198</v>
      </c>
      <c r="E2268" s="25">
        <v>0.18000000000000005</v>
      </c>
    </row>
    <row r="2269" spans="1:5" x14ac:dyDescent="0.25">
      <c r="A2269" s="44" t="s">
        <v>5025</v>
      </c>
      <c r="B2269" s="38" t="s">
        <v>5026</v>
      </c>
      <c r="C2269" s="43">
        <v>8860</v>
      </c>
      <c r="D2269" s="11">
        <v>7265.2</v>
      </c>
      <c r="E2269" s="25">
        <v>0.18000000000000005</v>
      </c>
    </row>
    <row r="2270" spans="1:5" x14ac:dyDescent="0.25">
      <c r="A2270" s="44" t="s">
        <v>5027</v>
      </c>
      <c r="B2270" s="38" t="s">
        <v>5028</v>
      </c>
      <c r="C2270" s="43">
        <v>10980</v>
      </c>
      <c r="D2270" s="11">
        <v>9003.6</v>
      </c>
      <c r="E2270" s="25">
        <v>0.17999999999999994</v>
      </c>
    </row>
    <row r="2271" spans="1:5" x14ac:dyDescent="0.25">
      <c r="A2271" s="44" t="s">
        <v>5029</v>
      </c>
      <c r="B2271" s="38" t="s">
        <v>5030</v>
      </c>
      <c r="C2271" s="43">
        <v>21840</v>
      </c>
      <c r="D2271" s="11">
        <v>17908.8</v>
      </c>
      <c r="E2271" s="25">
        <v>0.18000000000000005</v>
      </c>
    </row>
    <row r="2272" spans="1:5" x14ac:dyDescent="0.25">
      <c r="A2272" s="44" t="s">
        <v>5031</v>
      </c>
      <c r="B2272" s="38" t="s">
        <v>5032</v>
      </c>
      <c r="C2272" s="43">
        <v>36720</v>
      </c>
      <c r="D2272" s="11">
        <v>30110.400000000001</v>
      </c>
      <c r="E2272" s="25">
        <v>0.17999999999999994</v>
      </c>
    </row>
    <row r="2273" spans="1:5" x14ac:dyDescent="0.25">
      <c r="A2273" s="44" t="s">
        <v>5033</v>
      </c>
      <c r="B2273" s="38" t="s">
        <v>5034</v>
      </c>
      <c r="C2273" s="43">
        <v>1010</v>
      </c>
      <c r="D2273" s="11">
        <v>828.2</v>
      </c>
      <c r="E2273" s="25">
        <v>0.17999999999999994</v>
      </c>
    </row>
    <row r="2274" spans="1:5" x14ac:dyDescent="0.25">
      <c r="A2274" s="44" t="s">
        <v>5035</v>
      </c>
      <c r="B2274" s="38" t="s">
        <v>5036</v>
      </c>
      <c r="C2274" s="43">
        <v>2320</v>
      </c>
      <c r="D2274" s="11">
        <v>1902.4</v>
      </c>
      <c r="E2274" s="25">
        <v>0.17999999999999994</v>
      </c>
    </row>
    <row r="2275" spans="1:5" x14ac:dyDescent="0.25">
      <c r="A2275" s="44" t="s">
        <v>5037</v>
      </c>
      <c r="B2275" s="38" t="s">
        <v>5038</v>
      </c>
      <c r="C2275" s="43">
        <v>6</v>
      </c>
      <c r="D2275" s="11">
        <v>4.92</v>
      </c>
      <c r="E2275" s="25">
        <v>0.18000000000000005</v>
      </c>
    </row>
    <row r="2276" spans="1:5" x14ac:dyDescent="0.25">
      <c r="A2276" s="44" t="s">
        <v>5039</v>
      </c>
      <c r="B2276" s="38" t="s">
        <v>5040</v>
      </c>
      <c r="C2276" s="43">
        <v>420</v>
      </c>
      <c r="D2276" s="11">
        <v>344.4</v>
      </c>
      <c r="E2276" s="25">
        <v>0.18000000000000005</v>
      </c>
    </row>
    <row r="2277" spans="1:5" x14ac:dyDescent="0.25">
      <c r="A2277" s="44" t="s">
        <v>5041</v>
      </c>
      <c r="B2277" s="38" t="s">
        <v>5042</v>
      </c>
      <c r="C2277" s="43">
        <v>1400</v>
      </c>
      <c r="D2277" s="11">
        <v>1148</v>
      </c>
      <c r="E2277" s="25">
        <v>0.18000000000000005</v>
      </c>
    </row>
    <row r="2278" spans="1:5" x14ac:dyDescent="0.25">
      <c r="A2278" s="44" t="s">
        <v>5043</v>
      </c>
      <c r="B2278" s="38" t="s">
        <v>5044</v>
      </c>
      <c r="C2278" s="43">
        <v>1900</v>
      </c>
      <c r="D2278" s="11">
        <v>1558</v>
      </c>
      <c r="E2278" s="25">
        <v>0.18000000000000005</v>
      </c>
    </row>
    <row r="2279" spans="1:5" x14ac:dyDescent="0.25">
      <c r="A2279" s="44" t="s">
        <v>5045</v>
      </c>
      <c r="B2279" s="38" t="s">
        <v>5046</v>
      </c>
      <c r="C2279" s="43">
        <v>3960</v>
      </c>
      <c r="D2279" s="11">
        <v>3247.2</v>
      </c>
      <c r="E2279" s="25">
        <v>0.18000000000000005</v>
      </c>
    </row>
    <row r="2280" spans="1:5" x14ac:dyDescent="0.25">
      <c r="A2280" s="44" t="s">
        <v>5047</v>
      </c>
      <c r="B2280" s="38" t="s">
        <v>5048</v>
      </c>
      <c r="C2280" s="43">
        <v>4680</v>
      </c>
      <c r="D2280" s="11">
        <v>3837.6</v>
      </c>
      <c r="E2280" s="25">
        <v>0.18000000000000005</v>
      </c>
    </row>
    <row r="2281" spans="1:5" x14ac:dyDescent="0.25">
      <c r="A2281" s="44" t="s">
        <v>5049</v>
      </c>
      <c r="B2281" s="38" t="s">
        <v>5050</v>
      </c>
      <c r="C2281" s="43">
        <v>88</v>
      </c>
      <c r="D2281" s="11">
        <v>72.16</v>
      </c>
      <c r="E2281" s="25">
        <v>0.18000000000000005</v>
      </c>
    </row>
    <row r="2282" spans="1:5" x14ac:dyDescent="0.25">
      <c r="A2282" s="44" t="s">
        <v>5051</v>
      </c>
      <c r="B2282" s="38" t="s">
        <v>5052</v>
      </c>
      <c r="C2282" s="43">
        <v>218</v>
      </c>
      <c r="D2282" s="11">
        <v>178.76</v>
      </c>
      <c r="E2282" s="25">
        <v>0.18000000000000005</v>
      </c>
    </row>
    <row r="2283" spans="1:5" x14ac:dyDescent="0.25">
      <c r="A2283" s="44" t="s">
        <v>5053</v>
      </c>
      <c r="B2283" s="38" t="s">
        <v>5054</v>
      </c>
      <c r="C2283" s="43">
        <v>724</v>
      </c>
      <c r="D2283" s="11">
        <v>593.68000000000006</v>
      </c>
      <c r="E2283" s="25">
        <v>0.17999999999999994</v>
      </c>
    </row>
    <row r="2284" spans="1:5" x14ac:dyDescent="0.25">
      <c r="A2284" s="44" t="s">
        <v>5055</v>
      </c>
      <c r="B2284" s="38" t="s">
        <v>5056</v>
      </c>
      <c r="C2284" s="43">
        <v>8</v>
      </c>
      <c r="D2284" s="11">
        <v>6.5600000000000005</v>
      </c>
      <c r="E2284" s="25">
        <v>0.17999999999999994</v>
      </c>
    </row>
    <row r="2285" spans="1:5" x14ac:dyDescent="0.25">
      <c r="A2285" s="44" t="s">
        <v>5057</v>
      </c>
      <c r="B2285" s="38" t="s">
        <v>5058</v>
      </c>
      <c r="C2285" s="43">
        <v>1120</v>
      </c>
      <c r="D2285" s="11">
        <v>918.4</v>
      </c>
      <c r="E2285" s="25">
        <v>0.18000000000000005</v>
      </c>
    </row>
    <row r="2286" spans="1:5" x14ac:dyDescent="0.25">
      <c r="A2286" s="44" t="s">
        <v>5059</v>
      </c>
      <c r="B2286" s="38" t="s">
        <v>5060</v>
      </c>
      <c r="C2286" s="43">
        <v>1866</v>
      </c>
      <c r="D2286" s="11">
        <v>1530.12</v>
      </c>
      <c r="E2286" s="25">
        <v>0.18000000000000005</v>
      </c>
    </row>
    <row r="2287" spans="1:5" x14ac:dyDescent="0.25">
      <c r="A2287" s="44" t="s">
        <v>5061</v>
      </c>
      <c r="B2287" s="38" t="s">
        <v>5062</v>
      </c>
      <c r="C2287" s="43">
        <v>3140</v>
      </c>
      <c r="D2287" s="11">
        <v>2574.8000000000002</v>
      </c>
      <c r="E2287" s="25">
        <v>0.17999999999999994</v>
      </c>
    </row>
    <row r="2288" spans="1:5" x14ac:dyDescent="0.25">
      <c r="A2288" s="44" t="s">
        <v>5063</v>
      </c>
      <c r="B2288" s="38" t="s">
        <v>5064</v>
      </c>
      <c r="C2288" s="43">
        <v>5280</v>
      </c>
      <c r="D2288" s="11">
        <v>4329.6000000000004</v>
      </c>
      <c r="E2288" s="25">
        <v>0.17999999999999994</v>
      </c>
    </row>
    <row r="2289" spans="1:5" x14ac:dyDescent="0.25">
      <c r="A2289" s="44" t="s">
        <v>5065</v>
      </c>
      <c r="B2289" s="38" t="s">
        <v>5066</v>
      </c>
      <c r="C2289" s="43">
        <v>10500</v>
      </c>
      <c r="D2289" s="11">
        <v>8610</v>
      </c>
      <c r="E2289" s="25">
        <v>0.18000000000000005</v>
      </c>
    </row>
    <row r="2290" spans="1:5" x14ac:dyDescent="0.25">
      <c r="A2290" s="44" t="s">
        <v>5067</v>
      </c>
      <c r="B2290" s="38" t="s">
        <v>5068</v>
      </c>
      <c r="C2290" s="43">
        <v>118</v>
      </c>
      <c r="D2290" s="11">
        <v>96.76</v>
      </c>
      <c r="E2290" s="25">
        <v>0.17999999999999994</v>
      </c>
    </row>
    <row r="2291" spans="1:5" x14ac:dyDescent="0.25">
      <c r="A2291" s="44" t="s">
        <v>5069</v>
      </c>
      <c r="B2291" s="38" t="s">
        <v>5070</v>
      </c>
      <c r="C2291" s="43">
        <v>658</v>
      </c>
      <c r="D2291" s="11">
        <v>539.55999999999995</v>
      </c>
      <c r="E2291" s="25">
        <v>0.18000000000000005</v>
      </c>
    </row>
    <row r="2292" spans="1:5" x14ac:dyDescent="0.25">
      <c r="A2292" s="44" t="s">
        <v>5071</v>
      </c>
      <c r="B2292" s="38" t="s">
        <v>5072</v>
      </c>
      <c r="C2292" s="43">
        <v>966</v>
      </c>
      <c r="D2292" s="11">
        <v>792.12</v>
      </c>
      <c r="E2292" s="25">
        <v>0.18000000000000005</v>
      </c>
    </row>
    <row r="2293" spans="1:5" x14ac:dyDescent="0.25">
      <c r="A2293" s="44" t="s">
        <v>5073</v>
      </c>
      <c r="B2293" s="38" t="s">
        <v>5074</v>
      </c>
      <c r="C2293" s="43">
        <v>776</v>
      </c>
      <c r="D2293" s="11">
        <v>636.31999999999994</v>
      </c>
      <c r="E2293" s="25">
        <v>0.18000000000000005</v>
      </c>
    </row>
    <row r="2294" spans="1:5" x14ac:dyDescent="0.25">
      <c r="A2294" s="44" t="s">
        <v>5075</v>
      </c>
      <c r="B2294" s="38" t="s">
        <v>5076</v>
      </c>
      <c r="C2294" s="43">
        <v>1560</v>
      </c>
      <c r="D2294" s="11">
        <v>1279.2</v>
      </c>
      <c r="E2294" s="25">
        <v>0.17999999999999994</v>
      </c>
    </row>
    <row r="2295" spans="1:5" x14ac:dyDescent="0.25">
      <c r="A2295" s="44" t="s">
        <v>5077</v>
      </c>
      <c r="B2295" s="38" t="s">
        <v>5078</v>
      </c>
      <c r="C2295" s="43">
        <v>3240</v>
      </c>
      <c r="D2295" s="11">
        <v>2656.8</v>
      </c>
      <c r="E2295" s="25">
        <v>0.17999999999999994</v>
      </c>
    </row>
    <row r="2296" spans="1:5" x14ac:dyDescent="0.25">
      <c r="A2296" s="44" t="s">
        <v>5079</v>
      </c>
      <c r="B2296" s="38" t="s">
        <v>5080</v>
      </c>
      <c r="C2296" s="43">
        <v>3240</v>
      </c>
      <c r="D2296" s="11">
        <v>2656.8</v>
      </c>
      <c r="E2296" s="25">
        <v>0.17999999999999994</v>
      </c>
    </row>
    <row r="2297" spans="1:5" x14ac:dyDescent="0.25">
      <c r="A2297" s="44" t="s">
        <v>5081</v>
      </c>
      <c r="B2297" s="38" t="s">
        <v>5082</v>
      </c>
      <c r="C2297" s="43">
        <v>3240</v>
      </c>
      <c r="D2297" s="11">
        <v>2656.8</v>
      </c>
      <c r="E2297" s="25">
        <v>0.17999999999999994</v>
      </c>
    </row>
    <row r="2298" spans="1:5" x14ac:dyDescent="0.25">
      <c r="A2298" s="44" t="s">
        <v>5083</v>
      </c>
      <c r="B2298" s="38" t="s">
        <v>5084</v>
      </c>
      <c r="C2298" s="43">
        <v>3240</v>
      </c>
      <c r="D2298" s="11">
        <v>2656.8</v>
      </c>
      <c r="E2298" s="25">
        <v>0.17999999999999994</v>
      </c>
    </row>
    <row r="2299" spans="1:5" x14ac:dyDescent="0.25">
      <c r="A2299" s="44" t="s">
        <v>5085</v>
      </c>
      <c r="B2299" s="38" t="s">
        <v>5086</v>
      </c>
      <c r="C2299" s="43">
        <v>462</v>
      </c>
      <c r="D2299" s="11">
        <v>378.84000000000003</v>
      </c>
      <c r="E2299" s="25">
        <v>0.17999999999999994</v>
      </c>
    </row>
    <row r="2300" spans="1:5" x14ac:dyDescent="0.25">
      <c r="A2300" s="44" t="s">
        <v>5087</v>
      </c>
      <c r="B2300" s="38" t="s">
        <v>5088</v>
      </c>
      <c r="C2300" s="43">
        <v>1052</v>
      </c>
      <c r="D2300" s="11">
        <v>862.64</v>
      </c>
      <c r="E2300" s="25">
        <v>0.18000000000000005</v>
      </c>
    </row>
    <row r="2301" spans="1:5" x14ac:dyDescent="0.25">
      <c r="A2301" s="44" t="s">
        <v>5089</v>
      </c>
      <c r="B2301" s="38" t="s">
        <v>5090</v>
      </c>
      <c r="C2301" s="43">
        <v>754</v>
      </c>
      <c r="D2301" s="11">
        <v>618.28</v>
      </c>
      <c r="E2301" s="25">
        <v>0.18000000000000005</v>
      </c>
    </row>
    <row r="2302" spans="1:5" x14ac:dyDescent="0.25">
      <c r="A2302" s="44" t="s">
        <v>5091</v>
      </c>
      <c r="B2302" s="38" t="s">
        <v>5092</v>
      </c>
      <c r="C2302" s="43">
        <v>258</v>
      </c>
      <c r="D2302" s="11">
        <v>211.56</v>
      </c>
      <c r="E2302" s="25">
        <v>0.17999999999999994</v>
      </c>
    </row>
    <row r="2303" spans="1:5" x14ac:dyDescent="0.25">
      <c r="A2303" s="44" t="s">
        <v>5093</v>
      </c>
      <c r="B2303" s="38" t="s">
        <v>5094</v>
      </c>
      <c r="C2303" s="43">
        <v>516</v>
      </c>
      <c r="D2303" s="11">
        <v>423.12</v>
      </c>
      <c r="E2303" s="25">
        <v>0.17999999999999994</v>
      </c>
    </row>
    <row r="2304" spans="1:5" x14ac:dyDescent="0.25">
      <c r="A2304" s="44" t="s">
        <v>5095</v>
      </c>
      <c r="B2304" s="38" t="s">
        <v>5096</v>
      </c>
      <c r="C2304" s="43">
        <v>516</v>
      </c>
      <c r="D2304" s="11">
        <v>423.12</v>
      </c>
      <c r="E2304" s="25">
        <v>0.17999999999999994</v>
      </c>
    </row>
    <row r="2305" spans="1:5" x14ac:dyDescent="0.25">
      <c r="A2305" s="44" t="s">
        <v>5097</v>
      </c>
      <c r="B2305" s="38" t="s">
        <v>5098</v>
      </c>
      <c r="C2305" s="43">
        <v>663</v>
      </c>
      <c r="D2305" s="11">
        <v>583.44000000000005</v>
      </c>
      <c r="E2305" s="14">
        <v>0.11999999999999988</v>
      </c>
    </row>
    <row r="2306" spans="1:5" x14ac:dyDescent="0.25">
      <c r="A2306" s="44" t="s">
        <v>5099</v>
      </c>
      <c r="B2306" s="38" t="s">
        <v>5100</v>
      </c>
      <c r="C2306" s="43">
        <v>3210</v>
      </c>
      <c r="D2306" s="11">
        <v>2824.8</v>
      </c>
      <c r="E2306" s="14">
        <v>0.12</v>
      </c>
    </row>
    <row r="2307" spans="1:5" x14ac:dyDescent="0.25">
      <c r="A2307" s="44" t="s">
        <v>5101</v>
      </c>
      <c r="B2307" s="38" t="s">
        <v>5102</v>
      </c>
      <c r="C2307" s="43">
        <v>12660</v>
      </c>
      <c r="D2307" s="11">
        <v>11140.8</v>
      </c>
      <c r="E2307" s="14">
        <v>0.12000000000000011</v>
      </c>
    </row>
    <row r="2308" spans="1:5" x14ac:dyDescent="0.25">
      <c r="A2308" s="44" t="s">
        <v>5103</v>
      </c>
      <c r="B2308" s="38" t="s">
        <v>5104</v>
      </c>
      <c r="C2308" s="43">
        <v>31500</v>
      </c>
      <c r="D2308" s="11">
        <v>27720</v>
      </c>
      <c r="E2308" s="14">
        <v>0.12</v>
      </c>
    </row>
    <row r="2309" spans="1:5" x14ac:dyDescent="0.25">
      <c r="A2309" s="44" t="s">
        <v>5105</v>
      </c>
      <c r="B2309" s="38" t="s">
        <v>5106</v>
      </c>
      <c r="C2309" s="43">
        <v>277500</v>
      </c>
      <c r="D2309" s="11">
        <v>244200</v>
      </c>
      <c r="E2309" s="14">
        <v>0.12</v>
      </c>
    </row>
    <row r="2310" spans="1:5" x14ac:dyDescent="0.25">
      <c r="A2310" s="44" t="s">
        <v>5107</v>
      </c>
      <c r="B2310" s="38" t="s">
        <v>5108</v>
      </c>
      <c r="C2310" s="43">
        <v>532500</v>
      </c>
      <c r="D2310" s="11">
        <v>468600</v>
      </c>
      <c r="E2310" s="14">
        <v>0.12</v>
      </c>
    </row>
    <row r="2311" spans="1:5" x14ac:dyDescent="0.25">
      <c r="A2311" s="38" t="s">
        <v>5109</v>
      </c>
      <c r="B2311" s="38" t="s">
        <v>5110</v>
      </c>
      <c r="C2311" s="43">
        <v>480</v>
      </c>
      <c r="D2311" s="11">
        <v>422.4</v>
      </c>
      <c r="E2311" s="14">
        <v>0.12</v>
      </c>
    </row>
    <row r="2312" spans="1:5" x14ac:dyDescent="0.25">
      <c r="A2312" s="44" t="s">
        <v>5111</v>
      </c>
      <c r="B2312" s="38" t="s">
        <v>5112</v>
      </c>
      <c r="C2312" s="43">
        <v>882</v>
      </c>
      <c r="D2312" s="11">
        <v>776.16</v>
      </c>
      <c r="E2312" s="14">
        <v>0.12</v>
      </c>
    </row>
    <row r="2313" spans="1:5" x14ac:dyDescent="0.25">
      <c r="A2313" s="44" t="s">
        <v>5113</v>
      </c>
      <c r="B2313" s="38" t="s">
        <v>5114</v>
      </c>
      <c r="C2313" s="43">
        <v>1317</v>
      </c>
      <c r="D2313" s="11">
        <v>1158.96</v>
      </c>
      <c r="E2313" s="14">
        <v>0.12</v>
      </c>
    </row>
    <row r="2314" spans="1:5" x14ac:dyDescent="0.25">
      <c r="A2314" s="44" t="s">
        <v>5115</v>
      </c>
      <c r="B2314" s="38" t="s">
        <v>5116</v>
      </c>
      <c r="C2314" s="43">
        <v>2472</v>
      </c>
      <c r="D2314" s="11">
        <v>2175.36</v>
      </c>
      <c r="E2314" s="14">
        <v>0.12</v>
      </c>
    </row>
    <row r="2315" spans="1:5" x14ac:dyDescent="0.25">
      <c r="A2315" s="44" t="s">
        <v>5117</v>
      </c>
      <c r="B2315" s="38" t="s">
        <v>5118</v>
      </c>
      <c r="C2315" s="43">
        <v>6180</v>
      </c>
      <c r="D2315" s="11">
        <v>5438.4</v>
      </c>
      <c r="E2315" s="14">
        <v>0.12000000000000011</v>
      </c>
    </row>
    <row r="2316" spans="1:5" x14ac:dyDescent="0.25">
      <c r="A2316" s="44" t="s">
        <v>5119</v>
      </c>
      <c r="B2316" s="38" t="s">
        <v>5120</v>
      </c>
      <c r="C2316" s="43">
        <v>11100</v>
      </c>
      <c r="D2316" s="11">
        <v>9768</v>
      </c>
      <c r="E2316" s="14">
        <v>0.12</v>
      </c>
    </row>
    <row r="2317" spans="1:5" x14ac:dyDescent="0.25">
      <c r="A2317" s="44" t="s">
        <v>5121</v>
      </c>
      <c r="B2317" s="38" t="s">
        <v>5122</v>
      </c>
      <c r="C2317" s="43">
        <v>66600</v>
      </c>
      <c r="D2317" s="11">
        <v>58608</v>
      </c>
      <c r="E2317" s="14">
        <v>0.12</v>
      </c>
    </row>
    <row r="2318" spans="1:5" x14ac:dyDescent="0.25">
      <c r="A2318" s="44" t="s">
        <v>5123</v>
      </c>
      <c r="B2318" s="38" t="s">
        <v>5124</v>
      </c>
      <c r="C2318" s="43">
        <v>133200</v>
      </c>
      <c r="D2318" s="11">
        <v>117216</v>
      </c>
      <c r="E2318" s="14">
        <v>0.12</v>
      </c>
    </row>
    <row r="2319" spans="1:5" x14ac:dyDescent="0.25">
      <c r="A2319" s="44" t="s">
        <v>5125</v>
      </c>
      <c r="B2319" s="38" t="s">
        <v>5126</v>
      </c>
      <c r="C2319" s="43">
        <v>9450</v>
      </c>
      <c r="D2319" s="11">
        <v>8316</v>
      </c>
      <c r="E2319" s="14">
        <v>0.12</v>
      </c>
    </row>
    <row r="2320" spans="1:5" x14ac:dyDescent="0.25">
      <c r="A2320" s="44" t="s">
        <v>5127</v>
      </c>
      <c r="B2320" s="38" t="s">
        <v>5128</v>
      </c>
      <c r="C2320" s="43">
        <v>298.5</v>
      </c>
      <c r="D2320" s="11">
        <v>262.68</v>
      </c>
      <c r="E2320" s="14">
        <v>0.12</v>
      </c>
    </row>
    <row r="2321" spans="1:5" x14ac:dyDescent="0.25">
      <c r="A2321" s="44" t="s">
        <v>5129</v>
      </c>
      <c r="B2321" s="38" t="s">
        <v>5130</v>
      </c>
      <c r="C2321" s="43">
        <v>525</v>
      </c>
      <c r="D2321" s="11">
        <v>462</v>
      </c>
      <c r="E2321" s="14">
        <v>0.12</v>
      </c>
    </row>
    <row r="2322" spans="1:5" x14ac:dyDescent="0.25">
      <c r="A2322" s="44" t="s">
        <v>5131</v>
      </c>
      <c r="B2322" s="38" t="s">
        <v>5132</v>
      </c>
      <c r="C2322" s="43">
        <v>300</v>
      </c>
      <c r="D2322" s="11">
        <v>264</v>
      </c>
      <c r="E2322" s="14">
        <v>0.12</v>
      </c>
    </row>
    <row r="2323" spans="1:5" x14ac:dyDescent="0.25">
      <c r="A2323" s="44" t="s">
        <v>5133</v>
      </c>
      <c r="B2323" s="38" t="s">
        <v>5134</v>
      </c>
      <c r="C2323" s="43">
        <v>150</v>
      </c>
      <c r="D2323" s="11">
        <v>132</v>
      </c>
      <c r="E2323" s="14">
        <v>0.12</v>
      </c>
    </row>
    <row r="2324" spans="1:5" x14ac:dyDescent="0.25">
      <c r="A2324" s="44" t="s">
        <v>5135</v>
      </c>
      <c r="B2324" s="38" t="s">
        <v>5136</v>
      </c>
      <c r="C2324" s="43">
        <v>864</v>
      </c>
      <c r="D2324" s="11">
        <v>760.32</v>
      </c>
      <c r="E2324" s="14">
        <v>0.12</v>
      </c>
    </row>
    <row r="2325" spans="1:5" x14ac:dyDescent="0.25">
      <c r="A2325" s="44" t="s">
        <v>5137</v>
      </c>
      <c r="B2325" s="38" t="s">
        <v>5138</v>
      </c>
      <c r="C2325" s="43">
        <v>8370</v>
      </c>
      <c r="D2325" s="11">
        <v>7365.6</v>
      </c>
      <c r="E2325" s="14">
        <v>0.12</v>
      </c>
    </row>
    <row r="2326" spans="1:5" x14ac:dyDescent="0.25">
      <c r="A2326" s="44" t="s">
        <v>5139</v>
      </c>
      <c r="B2326" s="38" t="s">
        <v>5140</v>
      </c>
      <c r="C2326" s="43">
        <v>16470</v>
      </c>
      <c r="D2326" s="11">
        <v>14493.6</v>
      </c>
      <c r="E2326" s="14">
        <v>0.12</v>
      </c>
    </row>
    <row r="2327" spans="1:5" x14ac:dyDescent="0.25">
      <c r="A2327" s="44" t="s">
        <v>5141</v>
      </c>
      <c r="B2327" s="38" t="s">
        <v>5142</v>
      </c>
      <c r="C2327" s="43">
        <v>78000</v>
      </c>
      <c r="D2327" s="11">
        <v>68640</v>
      </c>
      <c r="E2327" s="14">
        <v>0.12</v>
      </c>
    </row>
    <row r="2328" spans="1:5" x14ac:dyDescent="0.25">
      <c r="A2328" s="44" t="s">
        <v>5143</v>
      </c>
      <c r="B2328" s="38" t="s">
        <v>5144</v>
      </c>
      <c r="C2328" s="43">
        <v>360750</v>
      </c>
      <c r="D2328" s="11">
        <v>317460</v>
      </c>
      <c r="E2328" s="14">
        <v>0.12</v>
      </c>
    </row>
    <row r="2329" spans="1:5" x14ac:dyDescent="0.25">
      <c r="A2329" s="44" t="s">
        <v>5145</v>
      </c>
      <c r="B2329" s="38" t="s">
        <v>5146</v>
      </c>
      <c r="C2329" s="43">
        <v>1149</v>
      </c>
      <c r="D2329" s="11">
        <v>1011.12</v>
      </c>
      <c r="E2329" s="14">
        <v>0.12</v>
      </c>
    </row>
    <row r="2330" spans="1:5" x14ac:dyDescent="0.25">
      <c r="A2330" s="44" t="s">
        <v>5147</v>
      </c>
      <c r="B2330" s="38" t="s">
        <v>5148</v>
      </c>
      <c r="C2330" s="43">
        <v>1713</v>
      </c>
      <c r="D2330" s="11">
        <v>1507.44</v>
      </c>
      <c r="E2330" s="14">
        <v>0.12</v>
      </c>
    </row>
    <row r="2331" spans="1:5" x14ac:dyDescent="0.25">
      <c r="A2331" s="44" t="s">
        <v>5149</v>
      </c>
      <c r="B2331" s="38" t="s">
        <v>5150</v>
      </c>
      <c r="C2331" s="43">
        <v>8040</v>
      </c>
      <c r="D2331" s="11">
        <v>7075.2</v>
      </c>
      <c r="E2331" s="14">
        <v>0.12</v>
      </c>
    </row>
    <row r="2332" spans="1:5" x14ac:dyDescent="0.25">
      <c r="A2332" s="44" t="s">
        <v>5151</v>
      </c>
      <c r="B2332" s="38" t="s">
        <v>5152</v>
      </c>
      <c r="C2332" s="43">
        <v>14430</v>
      </c>
      <c r="D2332" s="11">
        <v>12698.4</v>
      </c>
      <c r="E2332" s="14">
        <v>0.12</v>
      </c>
    </row>
    <row r="2333" spans="1:5" x14ac:dyDescent="0.25">
      <c r="A2333" s="44" t="s">
        <v>5153</v>
      </c>
      <c r="B2333" s="38" t="s">
        <v>5154</v>
      </c>
      <c r="C2333" s="43">
        <v>86580</v>
      </c>
      <c r="D2333" s="11">
        <v>76190.399999999994</v>
      </c>
      <c r="E2333" s="14">
        <v>0.12000000000000011</v>
      </c>
    </row>
    <row r="2334" spans="1:5" x14ac:dyDescent="0.25">
      <c r="A2334" s="44" t="s">
        <v>5155</v>
      </c>
      <c r="B2334" s="38" t="s">
        <v>5156</v>
      </c>
      <c r="C2334" s="43">
        <v>173160</v>
      </c>
      <c r="D2334" s="11">
        <v>152380.79999999999</v>
      </c>
      <c r="E2334" s="14">
        <v>0.12000000000000011</v>
      </c>
    </row>
    <row r="2335" spans="1:5" x14ac:dyDescent="0.25">
      <c r="A2335" s="44" t="s">
        <v>5157</v>
      </c>
      <c r="B2335" s="38" t="s">
        <v>5158</v>
      </c>
      <c r="C2335" s="43">
        <v>12300</v>
      </c>
      <c r="D2335" s="11">
        <v>10824</v>
      </c>
      <c r="E2335" s="14">
        <v>0.12</v>
      </c>
    </row>
    <row r="2336" spans="1:5" x14ac:dyDescent="0.25">
      <c r="A2336" s="44" t="s">
        <v>5159</v>
      </c>
      <c r="B2336" s="38" t="s">
        <v>5160</v>
      </c>
      <c r="C2336" s="43">
        <v>300</v>
      </c>
      <c r="D2336" s="11">
        <v>264</v>
      </c>
      <c r="E2336" s="14">
        <v>0.12</v>
      </c>
    </row>
    <row r="2337" spans="1:5" x14ac:dyDescent="0.25">
      <c r="A2337" s="44" t="s">
        <v>5161</v>
      </c>
      <c r="B2337" s="38" t="s">
        <v>5162</v>
      </c>
      <c r="C2337" s="43">
        <v>285</v>
      </c>
      <c r="D2337" s="11">
        <v>250.8</v>
      </c>
      <c r="E2337" s="14">
        <v>0.12</v>
      </c>
    </row>
    <row r="2338" spans="1:5" x14ac:dyDescent="0.25">
      <c r="A2338" s="44" t="s">
        <v>5163</v>
      </c>
      <c r="B2338" s="38" t="s">
        <v>5164</v>
      </c>
      <c r="C2338" s="43">
        <v>1701</v>
      </c>
      <c r="D2338" s="11">
        <v>1496.88</v>
      </c>
      <c r="E2338" s="14">
        <v>0.11999999999999988</v>
      </c>
    </row>
    <row r="2339" spans="1:5" x14ac:dyDescent="0.25">
      <c r="A2339" s="44" t="s">
        <v>5165</v>
      </c>
      <c r="B2339" s="38" t="s">
        <v>5166</v>
      </c>
      <c r="C2339" s="43">
        <v>1215</v>
      </c>
      <c r="D2339" s="11">
        <v>1069.2</v>
      </c>
      <c r="E2339" s="14">
        <v>0.12</v>
      </c>
    </row>
    <row r="2340" spans="1:5" x14ac:dyDescent="0.25">
      <c r="A2340" s="44" t="s">
        <v>5167</v>
      </c>
      <c r="B2340" s="38" t="s">
        <v>5168</v>
      </c>
      <c r="C2340" s="43">
        <v>3060</v>
      </c>
      <c r="D2340" s="11">
        <v>2692.8</v>
      </c>
      <c r="E2340" s="14">
        <v>0.12</v>
      </c>
    </row>
    <row r="2341" spans="1:5" x14ac:dyDescent="0.25">
      <c r="A2341" s="44" t="s">
        <v>5169</v>
      </c>
      <c r="B2341" s="38" t="s">
        <v>5170</v>
      </c>
      <c r="C2341" s="43">
        <v>4050</v>
      </c>
      <c r="D2341" s="11">
        <v>3564</v>
      </c>
      <c r="E2341" s="14">
        <v>0.12</v>
      </c>
    </row>
    <row r="2342" spans="1:5" x14ac:dyDescent="0.25">
      <c r="A2342" s="44" t="s">
        <v>5171</v>
      </c>
      <c r="B2342" s="38" t="s">
        <v>5172</v>
      </c>
      <c r="C2342" s="43">
        <v>1824</v>
      </c>
      <c r="D2342" s="11">
        <v>1605.12</v>
      </c>
      <c r="E2342" s="14">
        <v>0.12000000000000011</v>
      </c>
    </row>
    <row r="2343" spans="1:5" x14ac:dyDescent="0.25">
      <c r="A2343" s="44" t="s">
        <v>5173</v>
      </c>
      <c r="B2343" s="38" t="s">
        <v>5174</v>
      </c>
      <c r="C2343" s="43">
        <v>3330</v>
      </c>
      <c r="D2343" s="11">
        <v>2930.4</v>
      </c>
      <c r="E2343" s="14">
        <v>0.12</v>
      </c>
    </row>
    <row r="2344" spans="1:5" x14ac:dyDescent="0.25">
      <c r="A2344" s="44" t="s">
        <v>5175</v>
      </c>
      <c r="B2344" s="38" t="s">
        <v>5176</v>
      </c>
      <c r="C2344" s="43">
        <v>6090</v>
      </c>
      <c r="D2344" s="11">
        <v>5359.2</v>
      </c>
      <c r="E2344" s="14">
        <v>0.12</v>
      </c>
    </row>
    <row r="2345" spans="1:5" x14ac:dyDescent="0.25">
      <c r="A2345" s="44" t="s">
        <v>5177</v>
      </c>
      <c r="B2345" s="38" t="s">
        <v>5178</v>
      </c>
      <c r="C2345" s="43">
        <v>7890</v>
      </c>
      <c r="D2345" s="11">
        <v>6943.2</v>
      </c>
      <c r="E2345" s="14">
        <v>0.12</v>
      </c>
    </row>
    <row r="2346" spans="1:5" x14ac:dyDescent="0.25">
      <c r="A2346" s="44" t="s">
        <v>5179</v>
      </c>
      <c r="B2346" s="38" t="s">
        <v>5180</v>
      </c>
      <c r="C2346" s="43">
        <v>975</v>
      </c>
      <c r="D2346" s="11">
        <v>858</v>
      </c>
      <c r="E2346" s="14">
        <v>0.12</v>
      </c>
    </row>
    <row r="2347" spans="1:5" x14ac:dyDescent="0.25">
      <c r="A2347" s="44" t="s">
        <v>5181</v>
      </c>
      <c r="B2347" s="38" t="s">
        <v>5182</v>
      </c>
      <c r="C2347" s="43">
        <v>1791</v>
      </c>
      <c r="D2347" s="11">
        <v>1576.08</v>
      </c>
      <c r="E2347" s="14">
        <v>0.12</v>
      </c>
    </row>
    <row r="2348" spans="1:5" x14ac:dyDescent="0.25">
      <c r="A2348" s="44" t="s">
        <v>5183</v>
      </c>
      <c r="B2348" s="38" t="s">
        <v>5184</v>
      </c>
      <c r="C2348" s="43">
        <v>4260</v>
      </c>
      <c r="D2348" s="11">
        <v>3748.8</v>
      </c>
      <c r="E2348" s="14">
        <v>0.12</v>
      </c>
    </row>
    <row r="2349" spans="1:5" x14ac:dyDescent="0.25">
      <c r="A2349" s="44" t="s">
        <v>5185</v>
      </c>
      <c r="B2349" s="38" t="s">
        <v>5186</v>
      </c>
      <c r="C2349" s="43">
        <v>7050</v>
      </c>
      <c r="D2349" s="11">
        <v>6204</v>
      </c>
      <c r="E2349" s="14">
        <v>0.12</v>
      </c>
    </row>
    <row r="2350" spans="1:5" x14ac:dyDescent="0.25">
      <c r="A2350" s="44" t="s">
        <v>5187</v>
      </c>
      <c r="B2350" s="38" t="s">
        <v>5188</v>
      </c>
      <c r="C2350" s="43">
        <v>12780</v>
      </c>
      <c r="D2350" s="11">
        <v>11246.4</v>
      </c>
      <c r="E2350" s="14">
        <v>0.12</v>
      </c>
    </row>
    <row r="2351" spans="1:5" x14ac:dyDescent="0.25">
      <c r="A2351" s="44" t="s">
        <v>5189</v>
      </c>
      <c r="B2351" s="38" t="s">
        <v>5190</v>
      </c>
      <c r="C2351" s="43">
        <v>25560</v>
      </c>
      <c r="D2351" s="11">
        <v>22492.799999999999</v>
      </c>
      <c r="E2351" s="14">
        <v>0.12</v>
      </c>
    </row>
    <row r="2352" spans="1:5" x14ac:dyDescent="0.25">
      <c r="A2352" s="44" t="s">
        <v>5191</v>
      </c>
      <c r="B2352" s="38" t="s">
        <v>5192</v>
      </c>
      <c r="C2352" s="43">
        <v>3210</v>
      </c>
      <c r="D2352" s="11">
        <v>2824.8</v>
      </c>
      <c r="E2352" s="14">
        <v>0.12</v>
      </c>
    </row>
    <row r="2353" spans="1:5" x14ac:dyDescent="0.25">
      <c r="A2353" s="44" t="s">
        <v>5193</v>
      </c>
      <c r="B2353" s="38" t="s">
        <v>5194</v>
      </c>
      <c r="C2353" s="43">
        <v>8520</v>
      </c>
      <c r="D2353" s="11">
        <v>7497.6</v>
      </c>
      <c r="E2353" s="14">
        <v>0.12</v>
      </c>
    </row>
    <row r="2354" spans="1:5" x14ac:dyDescent="0.25">
      <c r="A2354" s="44" t="s">
        <v>5195</v>
      </c>
      <c r="B2354" s="38" t="s">
        <v>5196</v>
      </c>
      <c r="C2354" s="43">
        <v>3600</v>
      </c>
      <c r="D2354" s="11">
        <v>3168</v>
      </c>
      <c r="E2354" s="14">
        <v>0.12</v>
      </c>
    </row>
    <row r="2355" spans="1:5" x14ac:dyDescent="0.25">
      <c r="A2355" s="44" t="s">
        <v>5197</v>
      </c>
      <c r="B2355" s="38" t="s">
        <v>5198</v>
      </c>
      <c r="C2355" s="43">
        <v>6000</v>
      </c>
      <c r="D2355" s="11">
        <v>5280</v>
      </c>
      <c r="E2355" s="14">
        <v>0.12</v>
      </c>
    </row>
    <row r="2356" spans="1:5" x14ac:dyDescent="0.25">
      <c r="A2356" s="44" t="s">
        <v>5199</v>
      </c>
      <c r="B2356" s="38" t="s">
        <v>5200</v>
      </c>
      <c r="C2356" s="43">
        <v>12000</v>
      </c>
      <c r="D2356" s="11">
        <v>10560</v>
      </c>
      <c r="E2356" s="14">
        <v>0.12</v>
      </c>
    </row>
    <row r="2357" spans="1:5" x14ac:dyDescent="0.25">
      <c r="A2357" s="44" t="s">
        <v>5201</v>
      </c>
      <c r="B2357" s="38" t="s">
        <v>5202</v>
      </c>
      <c r="C2357" s="43">
        <v>24000</v>
      </c>
      <c r="D2357" s="11">
        <v>21120</v>
      </c>
      <c r="E2357" s="14">
        <v>0.12</v>
      </c>
    </row>
    <row r="2358" spans="1:5" x14ac:dyDescent="0.25">
      <c r="A2358" s="44" t="s">
        <v>5203</v>
      </c>
      <c r="B2358" s="38" t="s">
        <v>5204</v>
      </c>
      <c r="C2358" s="43">
        <v>47700</v>
      </c>
      <c r="D2358" s="11">
        <v>41976</v>
      </c>
      <c r="E2358" s="14">
        <v>0.12</v>
      </c>
    </row>
    <row r="2359" spans="1:5" x14ac:dyDescent="0.25">
      <c r="A2359" s="44" t="s">
        <v>5205</v>
      </c>
      <c r="B2359" s="38" t="s">
        <v>5206</v>
      </c>
      <c r="C2359" s="43">
        <v>110100</v>
      </c>
      <c r="D2359" s="11">
        <v>96888</v>
      </c>
      <c r="E2359" s="14">
        <v>0.12</v>
      </c>
    </row>
    <row r="2360" spans="1:5" x14ac:dyDescent="0.25">
      <c r="A2360" s="44" t="s">
        <v>5207</v>
      </c>
      <c r="B2360" s="38" t="s">
        <v>5208</v>
      </c>
      <c r="C2360" s="43">
        <v>6900</v>
      </c>
      <c r="D2360" s="11">
        <v>6072</v>
      </c>
      <c r="E2360" s="14">
        <v>0.12</v>
      </c>
    </row>
    <row r="2361" spans="1:5" x14ac:dyDescent="0.25">
      <c r="A2361" s="44" t="s">
        <v>5209</v>
      </c>
      <c r="B2361" s="38" t="s">
        <v>5210</v>
      </c>
      <c r="C2361" s="43">
        <v>26400</v>
      </c>
      <c r="D2361" s="11">
        <v>23232</v>
      </c>
      <c r="E2361" s="14">
        <v>0.12</v>
      </c>
    </row>
    <row r="2362" spans="1:5" x14ac:dyDescent="0.25">
      <c r="A2362" s="44" t="s">
        <v>5211</v>
      </c>
      <c r="B2362" s="38" t="s">
        <v>5212</v>
      </c>
      <c r="C2362" s="43">
        <v>4050</v>
      </c>
      <c r="D2362" s="11">
        <v>3564</v>
      </c>
      <c r="E2362" s="14">
        <v>0.12</v>
      </c>
    </row>
    <row r="2363" spans="1:5" x14ac:dyDescent="0.25">
      <c r="A2363" s="44" t="s">
        <v>5213</v>
      </c>
      <c r="B2363" s="38" t="s">
        <v>5214</v>
      </c>
      <c r="C2363" s="43">
        <v>5550</v>
      </c>
      <c r="D2363" s="11">
        <v>4884</v>
      </c>
      <c r="E2363" s="14">
        <v>0.12</v>
      </c>
    </row>
    <row r="2364" spans="1:5" x14ac:dyDescent="0.25">
      <c r="A2364" s="44" t="s">
        <v>5215</v>
      </c>
      <c r="B2364" s="38" t="s">
        <v>5216</v>
      </c>
      <c r="C2364" s="43">
        <v>9300</v>
      </c>
      <c r="D2364" s="11">
        <v>8184</v>
      </c>
      <c r="E2364" s="14">
        <v>0.12</v>
      </c>
    </row>
    <row r="2365" spans="1:5" x14ac:dyDescent="0.25">
      <c r="A2365" s="44" t="s">
        <v>5217</v>
      </c>
      <c r="B2365" s="38" t="s">
        <v>5218</v>
      </c>
      <c r="C2365" s="43">
        <v>11400</v>
      </c>
      <c r="D2365" s="11">
        <v>10032</v>
      </c>
      <c r="E2365" s="14">
        <v>0.12</v>
      </c>
    </row>
    <row r="2366" spans="1:5" x14ac:dyDescent="0.25">
      <c r="A2366" s="44" t="s">
        <v>5219</v>
      </c>
      <c r="B2366" s="38" t="s">
        <v>5220</v>
      </c>
      <c r="C2366" s="43">
        <v>3300</v>
      </c>
      <c r="D2366" s="11">
        <v>2904</v>
      </c>
      <c r="E2366" s="14">
        <v>0.12</v>
      </c>
    </row>
    <row r="2367" spans="1:5" x14ac:dyDescent="0.25">
      <c r="A2367" s="44" t="s">
        <v>5221</v>
      </c>
      <c r="B2367" s="38" t="s">
        <v>5222</v>
      </c>
      <c r="C2367" s="43">
        <v>4650</v>
      </c>
      <c r="D2367" s="11">
        <v>4092</v>
      </c>
      <c r="E2367" s="14">
        <v>0.12</v>
      </c>
    </row>
    <row r="2368" spans="1:5" x14ac:dyDescent="0.25">
      <c r="A2368" s="44" t="s">
        <v>5223</v>
      </c>
      <c r="B2368" s="38" t="s">
        <v>5224</v>
      </c>
      <c r="C2368" s="43">
        <v>9150</v>
      </c>
      <c r="D2368" s="11">
        <v>8052</v>
      </c>
      <c r="E2368" s="14">
        <v>0.12</v>
      </c>
    </row>
    <row r="2369" spans="1:5" x14ac:dyDescent="0.25">
      <c r="A2369" s="44" t="s">
        <v>5225</v>
      </c>
      <c r="B2369" s="38" t="s">
        <v>5226</v>
      </c>
      <c r="C2369" s="43">
        <v>1500</v>
      </c>
      <c r="D2369" s="11">
        <v>1320</v>
      </c>
      <c r="E2369" s="14">
        <v>0.12</v>
      </c>
    </row>
    <row r="2370" spans="1:5" x14ac:dyDescent="0.25">
      <c r="A2370" s="44" t="s">
        <v>5227</v>
      </c>
      <c r="B2370" s="38" t="s">
        <v>5228</v>
      </c>
      <c r="C2370" s="43">
        <v>5250</v>
      </c>
      <c r="D2370" s="11">
        <v>4620</v>
      </c>
      <c r="E2370" s="14">
        <v>0.12</v>
      </c>
    </row>
    <row r="2371" spans="1:5" x14ac:dyDescent="0.25">
      <c r="A2371" s="44" t="s">
        <v>5229</v>
      </c>
      <c r="B2371" s="38" t="s">
        <v>5230</v>
      </c>
      <c r="C2371" s="43">
        <v>7350</v>
      </c>
      <c r="D2371" s="11">
        <v>6468</v>
      </c>
      <c r="E2371" s="14">
        <v>0.12</v>
      </c>
    </row>
    <row r="2372" spans="1:5" x14ac:dyDescent="0.25">
      <c r="A2372" s="44" t="s">
        <v>5231</v>
      </c>
      <c r="B2372" s="38" t="s">
        <v>5232</v>
      </c>
      <c r="C2372" s="43">
        <v>3750</v>
      </c>
      <c r="D2372" s="11">
        <v>3300</v>
      </c>
      <c r="E2372" s="14">
        <v>0.12</v>
      </c>
    </row>
    <row r="2373" spans="1:5" x14ac:dyDescent="0.25">
      <c r="A2373" s="44" t="s">
        <v>5233</v>
      </c>
      <c r="B2373" s="38" t="s">
        <v>5234</v>
      </c>
      <c r="C2373" s="43">
        <v>5850</v>
      </c>
      <c r="D2373" s="11">
        <v>5148</v>
      </c>
      <c r="E2373" s="14">
        <v>0.12</v>
      </c>
    </row>
    <row r="2374" spans="1:5" x14ac:dyDescent="0.25">
      <c r="A2374" s="44" t="s">
        <v>5235</v>
      </c>
      <c r="B2374" s="38" t="s">
        <v>5236</v>
      </c>
      <c r="C2374" s="43">
        <v>4500</v>
      </c>
      <c r="D2374" s="11">
        <v>3960</v>
      </c>
      <c r="E2374" s="14">
        <v>0.12</v>
      </c>
    </row>
    <row r="2375" spans="1:5" x14ac:dyDescent="0.25">
      <c r="A2375" s="44" t="s">
        <v>5237</v>
      </c>
      <c r="B2375" s="38" t="s">
        <v>5238</v>
      </c>
      <c r="C2375" s="43">
        <v>2100</v>
      </c>
      <c r="D2375" s="11">
        <v>1848</v>
      </c>
      <c r="E2375" s="14">
        <v>0.12</v>
      </c>
    </row>
    <row r="2376" spans="1:5" x14ac:dyDescent="0.25">
      <c r="A2376" s="44" t="s">
        <v>5239</v>
      </c>
      <c r="B2376" s="38" t="s">
        <v>5240</v>
      </c>
      <c r="C2376" s="43">
        <v>435</v>
      </c>
      <c r="D2376" s="11">
        <v>382.8</v>
      </c>
      <c r="E2376" s="14">
        <v>0.12</v>
      </c>
    </row>
    <row r="2377" spans="1:5" x14ac:dyDescent="0.25">
      <c r="A2377" s="44" t="s">
        <v>5241</v>
      </c>
      <c r="B2377" s="38" t="s">
        <v>5242</v>
      </c>
      <c r="C2377" s="43">
        <v>735</v>
      </c>
      <c r="D2377" s="11">
        <v>646.79999999999995</v>
      </c>
      <c r="E2377" s="14">
        <v>0.12000000000000011</v>
      </c>
    </row>
    <row r="2378" spans="1:5" x14ac:dyDescent="0.25">
      <c r="A2378" s="44" t="s">
        <v>5243</v>
      </c>
      <c r="B2378" s="38" t="s">
        <v>5244</v>
      </c>
      <c r="C2378" s="43">
        <v>217.5</v>
      </c>
      <c r="D2378" s="11">
        <v>191.4</v>
      </c>
      <c r="E2378" s="14">
        <v>0.12</v>
      </c>
    </row>
    <row r="2379" spans="1:5" x14ac:dyDescent="0.25">
      <c r="A2379" s="44" t="s">
        <v>5245</v>
      </c>
      <c r="B2379" s="38" t="s">
        <v>5246</v>
      </c>
      <c r="C2379" s="43">
        <v>367.5</v>
      </c>
      <c r="D2379" s="11">
        <v>323.39999999999998</v>
      </c>
      <c r="E2379" s="14">
        <v>0.12000000000000011</v>
      </c>
    </row>
    <row r="2380" spans="1:5" x14ac:dyDescent="0.25">
      <c r="A2380" s="44" t="s">
        <v>5247</v>
      </c>
      <c r="B2380" s="38" t="s">
        <v>5248</v>
      </c>
      <c r="C2380" s="43">
        <v>570</v>
      </c>
      <c r="D2380" s="11">
        <v>501.6</v>
      </c>
      <c r="E2380" s="14">
        <v>0.12</v>
      </c>
    </row>
    <row r="2381" spans="1:5" x14ac:dyDescent="0.25">
      <c r="A2381" s="44" t="s">
        <v>5249</v>
      </c>
      <c r="B2381" s="38" t="s">
        <v>5250</v>
      </c>
      <c r="C2381" s="43">
        <v>729</v>
      </c>
      <c r="D2381" s="11">
        <v>641.52</v>
      </c>
      <c r="E2381" s="14">
        <v>0.12</v>
      </c>
    </row>
    <row r="2382" spans="1:5" x14ac:dyDescent="0.25">
      <c r="A2382" s="44" t="s">
        <v>5251</v>
      </c>
      <c r="B2382" s="38" t="s">
        <v>5252</v>
      </c>
      <c r="C2382" s="43">
        <v>1560</v>
      </c>
      <c r="D2382" s="11">
        <v>1372.8</v>
      </c>
      <c r="E2382" s="14">
        <v>0.12</v>
      </c>
    </row>
    <row r="2383" spans="1:5" x14ac:dyDescent="0.25">
      <c r="A2383" s="44" t="s">
        <v>5253</v>
      </c>
      <c r="B2383" s="38" t="s">
        <v>5254</v>
      </c>
      <c r="C2383" s="43">
        <v>3300</v>
      </c>
      <c r="D2383" s="11">
        <v>2904</v>
      </c>
      <c r="E2383" s="14">
        <v>0.12</v>
      </c>
    </row>
    <row r="2384" spans="1:5" x14ac:dyDescent="0.25">
      <c r="A2384" s="44" t="s">
        <v>5255</v>
      </c>
      <c r="B2384" s="38" t="s">
        <v>5256</v>
      </c>
      <c r="C2384" s="43">
        <v>7950</v>
      </c>
      <c r="D2384" s="11">
        <v>6996</v>
      </c>
      <c r="E2384" s="14">
        <v>0.12</v>
      </c>
    </row>
    <row r="2385" spans="1:5" x14ac:dyDescent="0.25">
      <c r="A2385" s="44" t="s">
        <v>5257</v>
      </c>
      <c r="B2385" s="38" t="s">
        <v>5258</v>
      </c>
      <c r="C2385" s="43">
        <v>14400</v>
      </c>
      <c r="D2385" s="11">
        <v>12672</v>
      </c>
      <c r="E2385" s="14">
        <v>0.12</v>
      </c>
    </row>
    <row r="2386" spans="1:5" x14ac:dyDescent="0.25">
      <c r="A2386" s="44" t="s">
        <v>5259</v>
      </c>
      <c r="B2386" s="38" t="s">
        <v>5260</v>
      </c>
      <c r="C2386" s="43">
        <v>825</v>
      </c>
      <c r="D2386" s="11">
        <v>726</v>
      </c>
      <c r="E2386" s="14">
        <v>0.12</v>
      </c>
    </row>
    <row r="2387" spans="1:5" x14ac:dyDescent="0.25">
      <c r="A2387" s="44" t="s">
        <v>5261</v>
      </c>
      <c r="B2387" s="38" t="s">
        <v>5262</v>
      </c>
      <c r="C2387" s="43">
        <v>1650</v>
      </c>
      <c r="D2387" s="11">
        <v>1452</v>
      </c>
      <c r="E2387" s="14">
        <v>0.12</v>
      </c>
    </row>
    <row r="2388" spans="1:5" x14ac:dyDescent="0.25">
      <c r="A2388" s="44" t="s">
        <v>5263</v>
      </c>
      <c r="B2388" s="38" t="s">
        <v>5264</v>
      </c>
      <c r="C2388" s="43">
        <v>330</v>
      </c>
      <c r="D2388" s="11">
        <v>290.39999999999998</v>
      </c>
      <c r="E2388" s="14">
        <v>0.12000000000000011</v>
      </c>
    </row>
    <row r="2389" spans="1:5" x14ac:dyDescent="0.25">
      <c r="A2389" s="44" t="s">
        <v>5265</v>
      </c>
      <c r="B2389" s="38" t="s">
        <v>5266</v>
      </c>
      <c r="C2389" s="43">
        <v>750</v>
      </c>
      <c r="D2389" s="11">
        <v>660</v>
      </c>
      <c r="E2389" s="14">
        <v>0.12</v>
      </c>
    </row>
    <row r="2390" spans="1:5" x14ac:dyDescent="0.25">
      <c r="A2390" s="44" t="s">
        <v>5267</v>
      </c>
      <c r="B2390" s="38" t="s">
        <v>5268</v>
      </c>
      <c r="C2390" s="43">
        <v>1410</v>
      </c>
      <c r="D2390" s="11">
        <v>1240.8</v>
      </c>
      <c r="E2390" s="14">
        <v>0.12</v>
      </c>
    </row>
    <row r="2391" spans="1:5" x14ac:dyDescent="0.25">
      <c r="A2391" s="44" t="s">
        <v>5269</v>
      </c>
      <c r="B2391" s="38" t="s">
        <v>5270</v>
      </c>
      <c r="C2391" s="43">
        <v>2370</v>
      </c>
      <c r="D2391" s="11">
        <v>2085.6</v>
      </c>
      <c r="E2391" s="14">
        <v>0.12</v>
      </c>
    </row>
    <row r="2392" spans="1:5" x14ac:dyDescent="0.25">
      <c r="A2392" s="44" t="s">
        <v>5271</v>
      </c>
      <c r="B2392" s="38" t="s">
        <v>5272</v>
      </c>
      <c r="C2392" s="43">
        <v>3480</v>
      </c>
      <c r="D2392" s="11">
        <v>3062.4</v>
      </c>
      <c r="E2392" s="14">
        <v>0.12</v>
      </c>
    </row>
    <row r="2393" spans="1:5" x14ac:dyDescent="0.25">
      <c r="A2393" s="44" t="s">
        <v>5273</v>
      </c>
      <c r="B2393" s="38" t="s">
        <v>5274</v>
      </c>
      <c r="C2393" s="43">
        <v>4410</v>
      </c>
      <c r="D2393" s="11">
        <v>3880.8</v>
      </c>
      <c r="E2393" s="14">
        <v>0.12</v>
      </c>
    </row>
    <row r="2394" spans="1:5" x14ac:dyDescent="0.25">
      <c r="A2394" s="44" t="s">
        <v>5275</v>
      </c>
      <c r="B2394" s="38" t="s">
        <v>5276</v>
      </c>
      <c r="C2394" s="43">
        <v>6210</v>
      </c>
      <c r="D2394" s="11">
        <v>5464.8</v>
      </c>
      <c r="E2394" s="14">
        <v>0.12</v>
      </c>
    </row>
    <row r="2395" spans="1:5" x14ac:dyDescent="0.25">
      <c r="A2395" s="44" t="s">
        <v>5277</v>
      </c>
      <c r="B2395" s="38" t="s">
        <v>5278</v>
      </c>
      <c r="C2395" s="43">
        <v>1260</v>
      </c>
      <c r="D2395" s="11">
        <v>1108.8</v>
      </c>
      <c r="E2395" s="14">
        <v>0.12</v>
      </c>
    </row>
    <row r="2396" spans="1:5" x14ac:dyDescent="0.25">
      <c r="A2396" s="44" t="s">
        <v>5279</v>
      </c>
      <c r="B2396" s="38" t="s">
        <v>5280</v>
      </c>
      <c r="C2396" s="43">
        <v>12600</v>
      </c>
      <c r="D2396" s="11">
        <v>11088</v>
      </c>
      <c r="E2396" s="14">
        <v>0.12</v>
      </c>
    </row>
    <row r="2397" spans="1:5" x14ac:dyDescent="0.25">
      <c r="A2397" s="44" t="s">
        <v>5281</v>
      </c>
      <c r="B2397" s="38" t="s">
        <v>5282</v>
      </c>
      <c r="C2397" s="43">
        <v>363</v>
      </c>
      <c r="D2397" s="11">
        <v>319.44</v>
      </c>
      <c r="E2397" s="14">
        <v>0.12</v>
      </c>
    </row>
    <row r="2398" spans="1:5" x14ac:dyDescent="0.25">
      <c r="A2398" s="44" t="s">
        <v>5283</v>
      </c>
      <c r="B2398" s="38" t="s">
        <v>5284</v>
      </c>
      <c r="C2398" s="43">
        <v>360</v>
      </c>
      <c r="D2398" s="11">
        <v>316.8</v>
      </c>
      <c r="E2398" s="14">
        <v>0.12</v>
      </c>
    </row>
    <row r="2399" spans="1:5" x14ac:dyDescent="0.25">
      <c r="A2399" s="44" t="s">
        <v>5285</v>
      </c>
      <c r="B2399" s="38" t="s">
        <v>5286</v>
      </c>
      <c r="C2399" s="43">
        <v>663</v>
      </c>
      <c r="D2399" s="11">
        <v>583.44000000000005</v>
      </c>
      <c r="E2399" s="14">
        <v>0.11999999999999988</v>
      </c>
    </row>
    <row r="2400" spans="1:5" x14ac:dyDescent="0.25">
      <c r="A2400" s="44" t="s">
        <v>5287</v>
      </c>
      <c r="B2400" s="38" t="s">
        <v>5288</v>
      </c>
      <c r="C2400" s="43">
        <v>1854</v>
      </c>
      <c r="D2400" s="11">
        <v>1631.52</v>
      </c>
      <c r="E2400" s="14">
        <v>0.12</v>
      </c>
    </row>
    <row r="2401" spans="1:5" x14ac:dyDescent="0.25">
      <c r="A2401" s="44" t="s">
        <v>5289</v>
      </c>
      <c r="B2401" s="38" t="s">
        <v>5290</v>
      </c>
      <c r="C2401" s="43">
        <v>4650</v>
      </c>
      <c r="D2401" s="11">
        <v>4092</v>
      </c>
      <c r="E2401" s="14">
        <v>0.12</v>
      </c>
    </row>
    <row r="2402" spans="1:5" x14ac:dyDescent="0.25">
      <c r="A2402" s="44" t="s">
        <v>5291</v>
      </c>
      <c r="B2402" s="38" t="s">
        <v>5292</v>
      </c>
      <c r="C2402" s="43">
        <v>16650</v>
      </c>
      <c r="D2402" s="11">
        <v>14652</v>
      </c>
      <c r="E2402" s="14">
        <v>0.12</v>
      </c>
    </row>
    <row r="2403" spans="1:5" x14ac:dyDescent="0.25">
      <c r="A2403" s="44" t="s">
        <v>5293</v>
      </c>
      <c r="B2403" s="38" t="s">
        <v>5294</v>
      </c>
      <c r="C2403" s="43">
        <v>49950</v>
      </c>
      <c r="D2403" s="11">
        <v>43956</v>
      </c>
      <c r="E2403" s="14">
        <v>0.12</v>
      </c>
    </row>
    <row r="2404" spans="1:5" x14ac:dyDescent="0.25">
      <c r="A2404" s="44" t="s">
        <v>5295</v>
      </c>
      <c r="B2404" s="38" t="s">
        <v>5296</v>
      </c>
      <c r="C2404" s="43">
        <v>7110</v>
      </c>
      <c r="D2404" s="11">
        <v>6256.8</v>
      </c>
      <c r="E2404" s="14">
        <v>0.12</v>
      </c>
    </row>
    <row r="2405" spans="1:5" x14ac:dyDescent="0.25">
      <c r="A2405" s="44" t="s">
        <v>5297</v>
      </c>
      <c r="B2405" s="38" t="s">
        <v>5298</v>
      </c>
      <c r="C2405" s="43">
        <v>300</v>
      </c>
      <c r="D2405" s="11">
        <v>264</v>
      </c>
      <c r="E2405" s="14">
        <v>0.12</v>
      </c>
    </row>
    <row r="2406" spans="1:5" x14ac:dyDescent="0.25">
      <c r="A2406" s="44" t="s">
        <v>5299</v>
      </c>
      <c r="B2406" s="38" t="s">
        <v>5300</v>
      </c>
      <c r="C2406" s="43">
        <v>1047</v>
      </c>
      <c r="D2406" s="11">
        <v>921.36</v>
      </c>
      <c r="E2406" s="14">
        <v>0.12</v>
      </c>
    </row>
    <row r="2407" spans="1:5" x14ac:dyDescent="0.25">
      <c r="A2407" s="44" t="s">
        <v>5301</v>
      </c>
      <c r="B2407" s="38" t="s">
        <v>5302</v>
      </c>
      <c r="C2407" s="43">
        <v>1644</v>
      </c>
      <c r="D2407" s="11">
        <v>1446.72</v>
      </c>
      <c r="E2407" s="14">
        <v>0.12</v>
      </c>
    </row>
    <row r="2408" spans="1:5" x14ac:dyDescent="0.25">
      <c r="A2408" s="44" t="s">
        <v>5303</v>
      </c>
      <c r="B2408" s="38" t="s">
        <v>5304</v>
      </c>
      <c r="C2408" s="43">
        <v>4680</v>
      </c>
      <c r="D2408" s="11">
        <v>4118.3999999999996</v>
      </c>
      <c r="E2408" s="14">
        <v>0.12000000000000011</v>
      </c>
    </row>
    <row r="2409" spans="1:5" x14ac:dyDescent="0.25">
      <c r="A2409" s="44" t="s">
        <v>5305</v>
      </c>
      <c r="B2409" s="38" t="s">
        <v>5306</v>
      </c>
      <c r="C2409" s="43">
        <v>8370</v>
      </c>
      <c r="D2409" s="11">
        <v>7365.6</v>
      </c>
      <c r="E2409" s="14">
        <v>0.12</v>
      </c>
    </row>
    <row r="2410" spans="1:5" x14ac:dyDescent="0.25">
      <c r="A2410" s="44" t="s">
        <v>5307</v>
      </c>
      <c r="B2410" s="38" t="s">
        <v>5308</v>
      </c>
      <c r="C2410" s="43">
        <v>23610</v>
      </c>
      <c r="D2410" s="11">
        <v>20776.8</v>
      </c>
      <c r="E2410" s="14">
        <v>0.12</v>
      </c>
    </row>
    <row r="2411" spans="1:5" x14ac:dyDescent="0.25">
      <c r="A2411" s="44" t="s">
        <v>5309</v>
      </c>
      <c r="B2411" s="38" t="s">
        <v>5310</v>
      </c>
      <c r="C2411" s="43">
        <v>48570</v>
      </c>
      <c r="D2411" s="11">
        <v>42741.599999999999</v>
      </c>
      <c r="E2411" s="14">
        <v>0.12</v>
      </c>
    </row>
    <row r="2412" spans="1:5" x14ac:dyDescent="0.25">
      <c r="A2412" s="44" t="s">
        <v>5311</v>
      </c>
      <c r="B2412" s="38" t="s">
        <v>5312</v>
      </c>
      <c r="C2412" s="43">
        <v>130410</v>
      </c>
      <c r="D2412" s="11">
        <v>114760.8</v>
      </c>
      <c r="E2412" s="14">
        <v>0.12</v>
      </c>
    </row>
    <row r="2413" spans="1:5" x14ac:dyDescent="0.25">
      <c r="A2413" s="44" t="s">
        <v>5313</v>
      </c>
      <c r="B2413" s="38" t="s">
        <v>5314</v>
      </c>
      <c r="C2413" s="43">
        <v>266310</v>
      </c>
      <c r="D2413" s="11">
        <v>234352.8</v>
      </c>
      <c r="E2413" s="14">
        <v>0.12</v>
      </c>
    </row>
    <row r="2414" spans="1:5" x14ac:dyDescent="0.25">
      <c r="A2414" s="44" t="s">
        <v>5315</v>
      </c>
      <c r="B2414" s="38" t="s">
        <v>5316</v>
      </c>
      <c r="C2414" s="43">
        <v>9150</v>
      </c>
      <c r="D2414" s="11">
        <v>8052</v>
      </c>
      <c r="E2414" s="14">
        <v>0.12</v>
      </c>
    </row>
    <row r="2415" spans="1:5" x14ac:dyDescent="0.25">
      <c r="A2415" s="44" t="s">
        <v>5317</v>
      </c>
      <c r="B2415" s="38" t="s">
        <v>5318</v>
      </c>
      <c r="C2415" s="43">
        <v>15330</v>
      </c>
      <c r="D2415" s="11">
        <v>13490.4</v>
      </c>
      <c r="E2415" s="14">
        <v>0.12</v>
      </c>
    </row>
    <row r="2416" spans="1:5" x14ac:dyDescent="0.25">
      <c r="A2416" s="44" t="s">
        <v>5319</v>
      </c>
      <c r="B2416" s="38" t="s">
        <v>5320</v>
      </c>
      <c r="C2416" s="43">
        <v>2400</v>
      </c>
      <c r="D2416" s="11">
        <v>2112</v>
      </c>
      <c r="E2416" s="14">
        <v>0.12</v>
      </c>
    </row>
    <row r="2417" spans="1:5" x14ac:dyDescent="0.25">
      <c r="A2417" s="44" t="s">
        <v>5321</v>
      </c>
      <c r="B2417" s="38" t="s">
        <v>5322</v>
      </c>
      <c r="C2417" s="43">
        <v>3780</v>
      </c>
      <c r="D2417" s="11">
        <v>3326.4</v>
      </c>
      <c r="E2417" s="14">
        <v>0.12</v>
      </c>
    </row>
    <row r="2418" spans="1:5" x14ac:dyDescent="0.25">
      <c r="A2418" s="44" t="s">
        <v>5323</v>
      </c>
      <c r="B2418" s="38" t="s">
        <v>5324</v>
      </c>
      <c r="C2418" s="43">
        <v>10740</v>
      </c>
      <c r="D2418" s="11">
        <v>9451.2000000000007</v>
      </c>
      <c r="E2418" s="14">
        <v>0.11999999999999988</v>
      </c>
    </row>
    <row r="2419" spans="1:5" x14ac:dyDescent="0.25">
      <c r="A2419" s="44" t="s">
        <v>5325</v>
      </c>
      <c r="B2419" s="38" t="s">
        <v>5326</v>
      </c>
      <c r="C2419" s="43">
        <v>19200</v>
      </c>
      <c r="D2419" s="11">
        <v>16896</v>
      </c>
      <c r="E2419" s="14">
        <v>0.12</v>
      </c>
    </row>
    <row r="2420" spans="1:5" x14ac:dyDescent="0.25">
      <c r="A2420" s="44" t="s">
        <v>5327</v>
      </c>
      <c r="B2420" s="38" t="s">
        <v>5328</v>
      </c>
      <c r="C2420" s="43">
        <v>54120</v>
      </c>
      <c r="D2420" s="11">
        <v>47625.599999999999</v>
      </c>
      <c r="E2420" s="14">
        <v>0.12</v>
      </c>
    </row>
    <row r="2421" spans="1:5" x14ac:dyDescent="0.25">
      <c r="A2421" s="44" t="s">
        <v>5329</v>
      </c>
      <c r="B2421" s="38" t="s">
        <v>5330</v>
      </c>
      <c r="C2421" s="43">
        <v>111390</v>
      </c>
      <c r="D2421" s="11">
        <v>98023.2</v>
      </c>
      <c r="E2421" s="14">
        <v>0.12</v>
      </c>
    </row>
    <row r="2422" spans="1:5" x14ac:dyDescent="0.25">
      <c r="A2422" s="44" t="s">
        <v>5331</v>
      </c>
      <c r="B2422" s="38" t="s">
        <v>5332</v>
      </c>
      <c r="C2422" s="43">
        <v>299040</v>
      </c>
      <c r="D2422" s="11">
        <v>263155.20000000001</v>
      </c>
      <c r="E2422" s="14">
        <v>0.12</v>
      </c>
    </row>
    <row r="2423" spans="1:5" x14ac:dyDescent="0.25">
      <c r="A2423" s="44" t="s">
        <v>5333</v>
      </c>
      <c r="B2423" s="38" t="s">
        <v>5334</v>
      </c>
      <c r="C2423" s="43">
        <v>610740</v>
      </c>
      <c r="D2423" s="11">
        <v>537451.19999999995</v>
      </c>
      <c r="E2423" s="14">
        <v>0.12000000000000011</v>
      </c>
    </row>
    <row r="2424" spans="1:5" x14ac:dyDescent="0.25">
      <c r="A2424" s="44" t="s">
        <v>5335</v>
      </c>
      <c r="B2424" s="38" t="s">
        <v>5336</v>
      </c>
      <c r="C2424" s="43">
        <v>109320</v>
      </c>
      <c r="D2424" s="11">
        <v>96201.600000000006</v>
      </c>
      <c r="E2424" s="14">
        <v>0.12</v>
      </c>
    </row>
    <row r="2425" spans="1:5" x14ac:dyDescent="0.25">
      <c r="A2425" s="44" t="s">
        <v>5337</v>
      </c>
      <c r="B2425" s="38" t="s">
        <v>5338</v>
      </c>
      <c r="C2425" s="43">
        <v>840</v>
      </c>
      <c r="D2425" s="11">
        <v>739.2</v>
      </c>
      <c r="E2425" s="14">
        <v>0.12</v>
      </c>
    </row>
    <row r="2426" spans="1:5" x14ac:dyDescent="0.25">
      <c r="A2426" s="44" t="s">
        <v>5339</v>
      </c>
      <c r="B2426" s="38" t="s">
        <v>5340</v>
      </c>
      <c r="C2426" s="43">
        <v>1323</v>
      </c>
      <c r="D2426" s="11">
        <v>1164.24</v>
      </c>
      <c r="E2426" s="14">
        <v>0.12</v>
      </c>
    </row>
    <row r="2427" spans="1:5" x14ac:dyDescent="0.25">
      <c r="A2427" s="44" t="s">
        <v>5341</v>
      </c>
      <c r="B2427" s="38" t="s">
        <v>5342</v>
      </c>
      <c r="C2427" s="43">
        <v>2070</v>
      </c>
      <c r="D2427" s="11">
        <v>1821.6</v>
      </c>
      <c r="E2427" s="14">
        <v>0.12</v>
      </c>
    </row>
    <row r="2428" spans="1:5" x14ac:dyDescent="0.25">
      <c r="A2428" s="44" t="s">
        <v>5343</v>
      </c>
      <c r="B2428" s="38" t="s">
        <v>5344</v>
      </c>
      <c r="C2428" s="43">
        <v>3780</v>
      </c>
      <c r="D2428" s="11">
        <v>3326.4</v>
      </c>
      <c r="E2428" s="14">
        <v>0.12</v>
      </c>
    </row>
    <row r="2429" spans="1:5" x14ac:dyDescent="0.25">
      <c r="A2429" s="44" t="s">
        <v>5345</v>
      </c>
      <c r="B2429" s="38" t="s">
        <v>5346</v>
      </c>
      <c r="C2429" s="43">
        <v>6720</v>
      </c>
      <c r="D2429" s="11">
        <v>5913.6</v>
      </c>
      <c r="E2429" s="14">
        <v>0.12</v>
      </c>
    </row>
    <row r="2430" spans="1:5" x14ac:dyDescent="0.25">
      <c r="A2430" s="44" t="s">
        <v>5347</v>
      </c>
      <c r="B2430" s="38" t="s">
        <v>5348</v>
      </c>
      <c r="C2430" s="43">
        <v>18960</v>
      </c>
      <c r="D2430" s="11">
        <v>16684.8</v>
      </c>
      <c r="E2430" s="14">
        <v>0.12</v>
      </c>
    </row>
    <row r="2431" spans="1:5" x14ac:dyDescent="0.25">
      <c r="A2431" s="44" t="s">
        <v>5349</v>
      </c>
      <c r="B2431" s="38" t="s">
        <v>5350</v>
      </c>
      <c r="C2431" s="43">
        <v>39000</v>
      </c>
      <c r="D2431" s="11">
        <v>34320</v>
      </c>
      <c r="E2431" s="14">
        <v>0.12</v>
      </c>
    </row>
    <row r="2432" spans="1:5" x14ac:dyDescent="0.25">
      <c r="A2432" s="44" t="s">
        <v>5351</v>
      </c>
      <c r="B2432" s="38" t="s">
        <v>5352</v>
      </c>
      <c r="C2432" s="43">
        <v>213780</v>
      </c>
      <c r="D2432" s="11">
        <v>188126.4</v>
      </c>
      <c r="E2432" s="14">
        <v>0.12</v>
      </c>
    </row>
    <row r="2433" spans="1:5" x14ac:dyDescent="0.25">
      <c r="A2433" s="44" t="s">
        <v>5353</v>
      </c>
      <c r="B2433" s="38" t="s">
        <v>5354</v>
      </c>
      <c r="C2433" s="43">
        <v>335430</v>
      </c>
      <c r="D2433" s="11">
        <v>295178.40000000002</v>
      </c>
      <c r="E2433" s="14">
        <v>0.11999999999999988</v>
      </c>
    </row>
    <row r="2434" spans="1:5" x14ac:dyDescent="0.25">
      <c r="A2434" s="44" t="s">
        <v>5355</v>
      </c>
      <c r="B2434" s="38" t="s">
        <v>5356</v>
      </c>
      <c r="C2434" s="43">
        <v>7350</v>
      </c>
      <c r="D2434" s="11">
        <v>6468</v>
      </c>
      <c r="E2434" s="14">
        <v>0.12</v>
      </c>
    </row>
    <row r="2435" spans="1:5" x14ac:dyDescent="0.25">
      <c r="A2435" s="44" t="s">
        <v>5357</v>
      </c>
      <c r="B2435" s="38" t="s">
        <v>5358</v>
      </c>
      <c r="C2435" s="43">
        <v>12300</v>
      </c>
      <c r="D2435" s="11">
        <v>10824</v>
      </c>
      <c r="E2435" s="14">
        <v>0.12</v>
      </c>
    </row>
    <row r="2436" spans="1:5" x14ac:dyDescent="0.25">
      <c r="A2436" s="44" t="s">
        <v>5359</v>
      </c>
      <c r="B2436" s="38" t="s">
        <v>5360</v>
      </c>
      <c r="C2436" s="43">
        <v>558</v>
      </c>
      <c r="D2436" s="11">
        <v>491.04</v>
      </c>
      <c r="E2436" s="14">
        <v>0.12</v>
      </c>
    </row>
    <row r="2437" spans="1:5" x14ac:dyDescent="0.25">
      <c r="A2437" s="44" t="s">
        <v>5361</v>
      </c>
      <c r="B2437" s="38" t="s">
        <v>5362</v>
      </c>
      <c r="C2437" s="43">
        <v>876</v>
      </c>
      <c r="D2437" s="11">
        <v>770.88</v>
      </c>
      <c r="E2437" s="14">
        <v>0.12</v>
      </c>
    </row>
    <row r="2438" spans="1:5" x14ac:dyDescent="0.25">
      <c r="A2438" s="44" t="s">
        <v>5363</v>
      </c>
      <c r="B2438" s="38" t="s">
        <v>5364</v>
      </c>
      <c r="C2438" s="43">
        <v>2493</v>
      </c>
      <c r="D2438" s="11">
        <v>2193.84</v>
      </c>
      <c r="E2438" s="14">
        <v>0.12</v>
      </c>
    </row>
    <row r="2439" spans="1:5" x14ac:dyDescent="0.25">
      <c r="A2439" s="44" t="s">
        <v>5365</v>
      </c>
      <c r="B2439" s="38" t="s">
        <v>5366</v>
      </c>
      <c r="C2439" s="43">
        <v>4470</v>
      </c>
      <c r="D2439" s="11">
        <v>3933.6</v>
      </c>
      <c r="E2439" s="14">
        <v>0.12</v>
      </c>
    </row>
    <row r="2440" spans="1:5" x14ac:dyDescent="0.25">
      <c r="A2440" s="44" t="s">
        <v>5367</v>
      </c>
      <c r="B2440" s="38" t="s">
        <v>5368</v>
      </c>
      <c r="C2440" s="43">
        <v>12600</v>
      </c>
      <c r="D2440" s="11">
        <v>11088</v>
      </c>
      <c r="E2440" s="14">
        <v>0.12</v>
      </c>
    </row>
    <row r="2441" spans="1:5" x14ac:dyDescent="0.25">
      <c r="A2441" s="44" t="s">
        <v>5369</v>
      </c>
      <c r="B2441" s="38" t="s">
        <v>5370</v>
      </c>
      <c r="C2441" s="43">
        <v>25920</v>
      </c>
      <c r="D2441" s="11">
        <v>22809.599999999999</v>
      </c>
      <c r="E2441" s="14">
        <v>0.12000000000000011</v>
      </c>
    </row>
    <row r="2442" spans="1:5" x14ac:dyDescent="0.25">
      <c r="A2442" s="44" t="s">
        <v>5371</v>
      </c>
      <c r="B2442" s="38" t="s">
        <v>5372</v>
      </c>
      <c r="C2442" s="43">
        <v>69570</v>
      </c>
      <c r="D2442" s="11">
        <v>61221.599999999999</v>
      </c>
      <c r="E2442" s="14">
        <v>0.12</v>
      </c>
    </row>
    <row r="2443" spans="1:5" x14ac:dyDescent="0.25">
      <c r="A2443" s="44" t="s">
        <v>5373</v>
      </c>
      <c r="B2443" s="38" t="s">
        <v>5374</v>
      </c>
      <c r="C2443" s="43">
        <v>142050</v>
      </c>
      <c r="D2443" s="11">
        <v>125004</v>
      </c>
      <c r="E2443" s="14">
        <v>0.12</v>
      </c>
    </row>
    <row r="2444" spans="1:5" x14ac:dyDescent="0.25">
      <c r="A2444" s="44" t="s">
        <v>5375</v>
      </c>
      <c r="B2444" s="38" t="s">
        <v>5376</v>
      </c>
      <c r="C2444" s="43">
        <v>4890</v>
      </c>
      <c r="D2444" s="11">
        <v>4303.2</v>
      </c>
      <c r="E2444" s="14">
        <v>0.12</v>
      </c>
    </row>
    <row r="2445" spans="1:5" x14ac:dyDescent="0.25">
      <c r="A2445" s="44" t="s">
        <v>5377</v>
      </c>
      <c r="B2445" s="38" t="s">
        <v>5378</v>
      </c>
      <c r="C2445" s="43">
        <v>8190</v>
      </c>
      <c r="D2445" s="11">
        <v>7207.2</v>
      </c>
      <c r="E2445" s="14">
        <v>0.12</v>
      </c>
    </row>
    <row r="2446" spans="1:5" x14ac:dyDescent="0.25">
      <c r="A2446" s="44" t="s">
        <v>5379</v>
      </c>
      <c r="B2446" s="38" t="s">
        <v>5380</v>
      </c>
      <c r="C2446" s="43">
        <v>21</v>
      </c>
      <c r="D2446" s="11">
        <v>18.48</v>
      </c>
      <c r="E2446" s="14">
        <v>0.12</v>
      </c>
    </row>
    <row r="2447" spans="1:5" x14ac:dyDescent="0.25">
      <c r="A2447" s="44" t="s">
        <v>5381</v>
      </c>
      <c r="B2447" s="38" t="s">
        <v>5382</v>
      </c>
      <c r="C2447" s="43">
        <v>39</v>
      </c>
      <c r="D2447" s="11">
        <v>34.32</v>
      </c>
      <c r="E2447" s="14">
        <v>0.12</v>
      </c>
    </row>
    <row r="2448" spans="1:5" x14ac:dyDescent="0.25">
      <c r="A2448" s="44" t="s">
        <v>5383</v>
      </c>
      <c r="B2448" s="38" t="s">
        <v>5384</v>
      </c>
      <c r="C2448" s="43">
        <v>195</v>
      </c>
      <c r="D2448" s="11">
        <v>171.6</v>
      </c>
      <c r="E2448" s="14">
        <v>0.12</v>
      </c>
    </row>
    <row r="2449" spans="1:5" x14ac:dyDescent="0.25">
      <c r="A2449" s="44" t="s">
        <v>5385</v>
      </c>
      <c r="B2449" s="38" t="s">
        <v>5386</v>
      </c>
      <c r="C2449" s="43">
        <v>387</v>
      </c>
      <c r="D2449" s="11">
        <v>340.56</v>
      </c>
      <c r="E2449" s="14">
        <v>0.12</v>
      </c>
    </row>
    <row r="2450" spans="1:5" x14ac:dyDescent="0.25">
      <c r="A2450" s="44" t="s">
        <v>5387</v>
      </c>
      <c r="B2450" s="38" t="s">
        <v>5388</v>
      </c>
      <c r="C2450" s="43">
        <v>1290</v>
      </c>
      <c r="D2450" s="11">
        <v>1135.2</v>
      </c>
      <c r="E2450" s="14">
        <v>0.12</v>
      </c>
    </row>
    <row r="2451" spans="1:5" x14ac:dyDescent="0.25">
      <c r="A2451" s="44" t="s">
        <v>5389</v>
      </c>
      <c r="B2451" s="38" t="s">
        <v>5390</v>
      </c>
      <c r="C2451" s="43">
        <v>3240</v>
      </c>
      <c r="D2451" s="11">
        <v>2851.2</v>
      </c>
      <c r="E2451" s="14">
        <v>0.12000000000000011</v>
      </c>
    </row>
    <row r="2452" spans="1:5" x14ac:dyDescent="0.25">
      <c r="A2452" s="44" t="s">
        <v>5391</v>
      </c>
      <c r="B2452" s="38" t="s">
        <v>5392</v>
      </c>
      <c r="C2452" s="43">
        <v>12900</v>
      </c>
      <c r="D2452" s="11">
        <v>11352</v>
      </c>
      <c r="E2452" s="14">
        <v>0.12</v>
      </c>
    </row>
    <row r="2453" spans="1:5" x14ac:dyDescent="0.25">
      <c r="A2453" s="44" t="s">
        <v>5393</v>
      </c>
      <c r="B2453" s="38" t="s">
        <v>5394</v>
      </c>
      <c r="C2453" s="43">
        <v>38670</v>
      </c>
      <c r="D2453" s="11">
        <v>34029.599999999999</v>
      </c>
      <c r="E2453" s="14">
        <v>0.12</v>
      </c>
    </row>
    <row r="2454" spans="1:5" x14ac:dyDescent="0.25">
      <c r="A2454" s="44" t="s">
        <v>5395</v>
      </c>
      <c r="B2454" s="38" t="s">
        <v>5396</v>
      </c>
      <c r="C2454" s="43">
        <v>645</v>
      </c>
      <c r="D2454" s="11">
        <v>567.6</v>
      </c>
      <c r="E2454" s="14">
        <v>0.12</v>
      </c>
    </row>
    <row r="2455" spans="1:5" x14ac:dyDescent="0.25">
      <c r="A2455" s="44" t="s">
        <v>5397</v>
      </c>
      <c r="B2455" s="38" t="s">
        <v>5398</v>
      </c>
      <c r="C2455" s="43">
        <v>1290</v>
      </c>
      <c r="D2455" s="11">
        <v>1135.2</v>
      </c>
      <c r="E2455" s="14">
        <v>0.12</v>
      </c>
    </row>
    <row r="2456" spans="1:5" x14ac:dyDescent="0.25">
      <c r="A2456" s="44" t="s">
        <v>5399</v>
      </c>
      <c r="B2456" s="38" t="s">
        <v>5400</v>
      </c>
      <c r="C2456" s="43">
        <v>432</v>
      </c>
      <c r="D2456" s="11">
        <v>380.16</v>
      </c>
      <c r="E2456" s="14">
        <v>0.12</v>
      </c>
    </row>
    <row r="2457" spans="1:5" x14ac:dyDescent="0.25">
      <c r="A2457" s="44" t="s">
        <v>5401</v>
      </c>
      <c r="B2457" s="38" t="s">
        <v>5402</v>
      </c>
      <c r="C2457" s="43">
        <v>681</v>
      </c>
      <c r="D2457" s="11">
        <v>599.28</v>
      </c>
      <c r="E2457" s="14">
        <v>0.12</v>
      </c>
    </row>
    <row r="2458" spans="1:5" x14ac:dyDescent="0.25">
      <c r="A2458" s="44" t="s">
        <v>5403</v>
      </c>
      <c r="B2458" s="38" t="s">
        <v>5404</v>
      </c>
      <c r="C2458" s="43">
        <v>3480</v>
      </c>
      <c r="D2458" s="11">
        <v>3062.4</v>
      </c>
      <c r="E2458" s="14">
        <v>0.12</v>
      </c>
    </row>
    <row r="2459" spans="1:5" x14ac:dyDescent="0.25">
      <c r="A2459" s="44" t="s">
        <v>5405</v>
      </c>
      <c r="B2459" s="38" t="s">
        <v>5406</v>
      </c>
      <c r="C2459" s="43">
        <v>5190</v>
      </c>
      <c r="D2459" s="11">
        <v>4567.2</v>
      </c>
      <c r="E2459" s="14">
        <v>0.12</v>
      </c>
    </row>
    <row r="2460" spans="1:5" x14ac:dyDescent="0.25">
      <c r="A2460" s="44" t="s">
        <v>5407</v>
      </c>
      <c r="B2460" s="38" t="s">
        <v>5408</v>
      </c>
      <c r="C2460" s="43">
        <v>9750</v>
      </c>
      <c r="D2460" s="11">
        <v>8580</v>
      </c>
      <c r="E2460" s="14">
        <v>0.12</v>
      </c>
    </row>
    <row r="2461" spans="1:5" x14ac:dyDescent="0.25">
      <c r="A2461" s="44" t="s">
        <v>5409</v>
      </c>
      <c r="B2461" s="38" t="s">
        <v>5410</v>
      </c>
      <c r="C2461" s="43">
        <v>20070</v>
      </c>
      <c r="D2461" s="11">
        <v>17661.599999999999</v>
      </c>
      <c r="E2461" s="14">
        <v>0.12000000000000011</v>
      </c>
    </row>
    <row r="2462" spans="1:5" x14ac:dyDescent="0.25">
      <c r="A2462" s="44" t="s">
        <v>5411</v>
      </c>
      <c r="B2462" s="38" t="s">
        <v>5412</v>
      </c>
      <c r="C2462" s="43">
        <v>109950</v>
      </c>
      <c r="D2462" s="11">
        <v>96756</v>
      </c>
      <c r="E2462" s="14">
        <v>0.12</v>
      </c>
    </row>
    <row r="2463" spans="1:5" x14ac:dyDescent="0.25">
      <c r="A2463" s="44" t="s">
        <v>5413</v>
      </c>
      <c r="B2463" s="38" t="s">
        <v>5414</v>
      </c>
      <c r="C2463" s="43">
        <v>172500</v>
      </c>
      <c r="D2463" s="11">
        <v>151800</v>
      </c>
      <c r="E2463" s="14">
        <v>0.12</v>
      </c>
    </row>
    <row r="2464" spans="1:5" x14ac:dyDescent="0.25">
      <c r="A2464" s="44" t="s">
        <v>5415</v>
      </c>
      <c r="B2464" s="38" t="s">
        <v>5416</v>
      </c>
      <c r="C2464" s="43">
        <v>3780</v>
      </c>
      <c r="D2464" s="11">
        <v>3326.4</v>
      </c>
      <c r="E2464" s="14">
        <v>0.12</v>
      </c>
    </row>
    <row r="2465" spans="1:5" x14ac:dyDescent="0.25">
      <c r="A2465" s="44" t="s">
        <v>5417</v>
      </c>
      <c r="B2465" s="38" t="s">
        <v>5418</v>
      </c>
      <c r="C2465" s="43">
        <v>6330</v>
      </c>
      <c r="D2465" s="11">
        <v>5570.4</v>
      </c>
      <c r="E2465" s="14">
        <v>0.12000000000000011</v>
      </c>
    </row>
    <row r="2466" spans="1:5" x14ac:dyDescent="0.25">
      <c r="A2466" s="44" t="s">
        <v>5419</v>
      </c>
      <c r="B2466" s="38" t="s">
        <v>5420</v>
      </c>
      <c r="C2466" s="43">
        <v>720</v>
      </c>
      <c r="D2466" s="11">
        <v>633.6</v>
      </c>
      <c r="E2466" s="14">
        <v>0.12</v>
      </c>
    </row>
    <row r="2467" spans="1:5" x14ac:dyDescent="0.25">
      <c r="A2467" s="44" t="s">
        <v>5421</v>
      </c>
      <c r="B2467" s="38" t="s">
        <v>5422</v>
      </c>
      <c r="C2467" s="43">
        <v>1134</v>
      </c>
      <c r="D2467" s="11">
        <v>997.92000000000007</v>
      </c>
      <c r="E2467" s="14">
        <v>0.11999999999999988</v>
      </c>
    </row>
    <row r="2468" spans="1:5" x14ac:dyDescent="0.25">
      <c r="A2468" s="44" t="s">
        <v>5423</v>
      </c>
      <c r="B2468" s="38" t="s">
        <v>5424</v>
      </c>
      <c r="C2468" s="43">
        <v>3240</v>
      </c>
      <c r="D2468" s="11">
        <v>2851.2</v>
      </c>
      <c r="E2468" s="14">
        <v>0.12000000000000011</v>
      </c>
    </row>
    <row r="2469" spans="1:5" x14ac:dyDescent="0.25">
      <c r="A2469" s="44" t="s">
        <v>5425</v>
      </c>
      <c r="B2469" s="38" t="s">
        <v>5426</v>
      </c>
      <c r="C2469" s="43">
        <v>5760</v>
      </c>
      <c r="D2469" s="11">
        <v>5068.8</v>
      </c>
      <c r="E2469" s="14">
        <v>0.12</v>
      </c>
    </row>
    <row r="2470" spans="1:5" x14ac:dyDescent="0.25">
      <c r="A2470" s="44" t="s">
        <v>5427</v>
      </c>
      <c r="B2470" s="38" t="s">
        <v>5428</v>
      </c>
      <c r="C2470" s="43">
        <v>16260</v>
      </c>
      <c r="D2470" s="11">
        <v>14308.8</v>
      </c>
      <c r="E2470" s="14">
        <v>0.12</v>
      </c>
    </row>
    <row r="2471" spans="1:5" x14ac:dyDescent="0.25">
      <c r="A2471" s="44" t="s">
        <v>5429</v>
      </c>
      <c r="B2471" s="38" t="s">
        <v>5430</v>
      </c>
      <c r="C2471" s="43">
        <v>33420</v>
      </c>
      <c r="D2471" s="11">
        <v>29409.599999999999</v>
      </c>
      <c r="E2471" s="14">
        <v>0.12</v>
      </c>
    </row>
    <row r="2472" spans="1:5" x14ac:dyDescent="0.25">
      <c r="A2472" s="44" t="s">
        <v>5431</v>
      </c>
      <c r="B2472" s="38" t="s">
        <v>5432</v>
      </c>
      <c r="C2472" s="43">
        <v>89730</v>
      </c>
      <c r="D2472" s="11">
        <v>78962.399999999994</v>
      </c>
      <c r="E2472" s="14">
        <v>0.12000000000000011</v>
      </c>
    </row>
    <row r="2473" spans="1:5" x14ac:dyDescent="0.25">
      <c r="A2473" s="44" t="s">
        <v>5433</v>
      </c>
      <c r="B2473" s="38" t="s">
        <v>5434</v>
      </c>
      <c r="C2473" s="43">
        <v>183240</v>
      </c>
      <c r="D2473" s="11">
        <v>161251.20000000001</v>
      </c>
      <c r="E2473" s="14">
        <v>0.11999999999999988</v>
      </c>
    </row>
    <row r="2474" spans="1:5" x14ac:dyDescent="0.25">
      <c r="A2474" s="44" t="s">
        <v>5435</v>
      </c>
      <c r="B2474" s="38" t="s">
        <v>5436</v>
      </c>
      <c r="C2474" s="43">
        <v>6300</v>
      </c>
      <c r="D2474" s="11">
        <v>5544</v>
      </c>
      <c r="E2474" s="14">
        <v>0.12</v>
      </c>
    </row>
    <row r="2475" spans="1:5" x14ac:dyDescent="0.25">
      <c r="A2475" s="44" t="s">
        <v>5437</v>
      </c>
      <c r="B2475" s="38" t="s">
        <v>5438</v>
      </c>
      <c r="C2475" s="43">
        <v>10560</v>
      </c>
      <c r="D2475" s="11">
        <v>9292.7999999999993</v>
      </c>
      <c r="E2475" s="14">
        <v>0.12000000000000011</v>
      </c>
    </row>
    <row r="2476" spans="1:5" x14ac:dyDescent="0.25">
      <c r="A2476" s="44" t="s">
        <v>5439</v>
      </c>
      <c r="B2476" s="38" t="s">
        <v>5440</v>
      </c>
      <c r="C2476" s="43">
        <v>480</v>
      </c>
      <c r="D2476" s="11">
        <v>422.4</v>
      </c>
      <c r="E2476" s="14">
        <v>0.12</v>
      </c>
    </row>
    <row r="2477" spans="1:5" x14ac:dyDescent="0.25">
      <c r="A2477" s="44" t="s">
        <v>5441</v>
      </c>
      <c r="B2477" s="38" t="s">
        <v>5442</v>
      </c>
      <c r="C2477" s="43">
        <v>756</v>
      </c>
      <c r="D2477" s="11">
        <v>665.28</v>
      </c>
      <c r="E2477" s="14">
        <v>0.12</v>
      </c>
    </row>
    <row r="2478" spans="1:5" x14ac:dyDescent="0.25">
      <c r="A2478" s="44" t="s">
        <v>5443</v>
      </c>
      <c r="B2478" s="38" t="s">
        <v>5444</v>
      </c>
      <c r="C2478" s="43">
        <v>2148</v>
      </c>
      <c r="D2478" s="11">
        <v>1890.24</v>
      </c>
      <c r="E2478" s="14">
        <v>0.12</v>
      </c>
    </row>
    <row r="2479" spans="1:5" x14ac:dyDescent="0.25">
      <c r="A2479" s="44" t="s">
        <v>5445</v>
      </c>
      <c r="B2479" s="38" t="s">
        <v>5446</v>
      </c>
      <c r="C2479" s="43">
        <v>3840</v>
      </c>
      <c r="D2479" s="11">
        <v>3379.2</v>
      </c>
      <c r="E2479" s="14">
        <v>0.12</v>
      </c>
    </row>
    <row r="2480" spans="1:5" x14ac:dyDescent="0.25">
      <c r="A2480" s="44" t="s">
        <v>5447</v>
      </c>
      <c r="B2480" s="38" t="s">
        <v>5448</v>
      </c>
      <c r="C2480" s="43">
        <v>10830</v>
      </c>
      <c r="D2480" s="11">
        <v>9530.4</v>
      </c>
      <c r="E2480" s="14">
        <v>0.12</v>
      </c>
    </row>
    <row r="2481" spans="1:5" x14ac:dyDescent="0.25">
      <c r="A2481" s="44" t="s">
        <v>5449</v>
      </c>
      <c r="B2481" s="38" t="s">
        <v>5450</v>
      </c>
      <c r="C2481" s="43">
        <v>22290</v>
      </c>
      <c r="D2481" s="11">
        <v>19615.2</v>
      </c>
      <c r="E2481" s="14">
        <v>0.12</v>
      </c>
    </row>
    <row r="2482" spans="1:5" x14ac:dyDescent="0.25">
      <c r="A2482" s="44" t="s">
        <v>5451</v>
      </c>
      <c r="B2482" s="38" t="s">
        <v>5452</v>
      </c>
      <c r="C2482" s="43">
        <v>59820</v>
      </c>
      <c r="D2482" s="11">
        <v>52641.599999999999</v>
      </c>
      <c r="E2482" s="14">
        <v>0.12</v>
      </c>
    </row>
    <row r="2483" spans="1:5" x14ac:dyDescent="0.25">
      <c r="A2483" s="44" t="s">
        <v>5453</v>
      </c>
      <c r="B2483" s="38" t="s">
        <v>5454</v>
      </c>
      <c r="C2483" s="43">
        <v>122160</v>
      </c>
      <c r="D2483" s="11">
        <v>107500.8</v>
      </c>
      <c r="E2483" s="14">
        <v>0.12</v>
      </c>
    </row>
    <row r="2484" spans="1:5" x14ac:dyDescent="0.25">
      <c r="A2484" s="44" t="s">
        <v>5455</v>
      </c>
      <c r="B2484" s="38" t="s">
        <v>5456</v>
      </c>
      <c r="C2484" s="43">
        <v>4200</v>
      </c>
      <c r="D2484" s="11">
        <v>3696</v>
      </c>
      <c r="E2484" s="14">
        <v>0.12</v>
      </c>
    </row>
    <row r="2485" spans="1:5" x14ac:dyDescent="0.25">
      <c r="A2485" s="44" t="s">
        <v>5457</v>
      </c>
      <c r="B2485" s="38" t="s">
        <v>5458</v>
      </c>
      <c r="C2485" s="43">
        <v>7050</v>
      </c>
      <c r="D2485" s="11">
        <v>6204</v>
      </c>
      <c r="E2485" s="14">
        <v>0.12</v>
      </c>
    </row>
    <row r="2486" spans="1:5" x14ac:dyDescent="0.25">
      <c r="A2486" s="44" t="s">
        <v>5459</v>
      </c>
      <c r="B2486" s="38" t="s">
        <v>5460</v>
      </c>
      <c r="C2486" s="43">
        <v>783</v>
      </c>
      <c r="D2486" s="11">
        <v>689.04</v>
      </c>
      <c r="E2486" s="14">
        <v>0.12</v>
      </c>
    </row>
    <row r="2487" spans="1:5" x14ac:dyDescent="0.25">
      <c r="A2487" s="44" t="s">
        <v>5461</v>
      </c>
      <c r="B2487" s="38" t="s">
        <v>5462</v>
      </c>
      <c r="C2487" s="43">
        <v>1227</v>
      </c>
      <c r="D2487" s="11">
        <v>1079.76</v>
      </c>
      <c r="E2487" s="14">
        <v>0.12</v>
      </c>
    </row>
    <row r="2488" spans="1:5" x14ac:dyDescent="0.25">
      <c r="A2488" s="44" t="s">
        <v>5463</v>
      </c>
      <c r="B2488" s="38" t="s">
        <v>5464</v>
      </c>
      <c r="C2488" s="43">
        <v>3720</v>
      </c>
      <c r="D2488" s="11">
        <v>3273.6</v>
      </c>
      <c r="E2488" s="14">
        <v>0.12</v>
      </c>
    </row>
    <row r="2489" spans="1:5" x14ac:dyDescent="0.25">
      <c r="A2489" s="44" t="s">
        <v>5465</v>
      </c>
      <c r="B2489" s="38" t="s">
        <v>5466</v>
      </c>
      <c r="C2489" s="43">
        <v>6270</v>
      </c>
      <c r="D2489" s="11">
        <v>5517.6</v>
      </c>
      <c r="E2489" s="14">
        <v>0.12</v>
      </c>
    </row>
    <row r="2490" spans="1:5" x14ac:dyDescent="0.25">
      <c r="A2490" s="44" t="s">
        <v>5467</v>
      </c>
      <c r="B2490" s="38" t="s">
        <v>5468</v>
      </c>
      <c r="C2490" s="43">
        <v>17640</v>
      </c>
      <c r="D2490" s="11">
        <v>15523.2</v>
      </c>
      <c r="E2490" s="14">
        <v>0.12</v>
      </c>
    </row>
    <row r="2491" spans="1:5" x14ac:dyDescent="0.25">
      <c r="A2491" s="44" t="s">
        <v>5469</v>
      </c>
      <c r="B2491" s="38" t="s">
        <v>5470</v>
      </c>
      <c r="C2491" s="43">
        <v>36270</v>
      </c>
      <c r="D2491" s="11">
        <v>31917.599999999999</v>
      </c>
      <c r="E2491" s="14">
        <v>0.12</v>
      </c>
    </row>
    <row r="2492" spans="1:5" x14ac:dyDescent="0.25">
      <c r="A2492" s="44" t="s">
        <v>5471</v>
      </c>
      <c r="B2492" s="38" t="s">
        <v>5472</v>
      </c>
      <c r="C2492" s="43">
        <v>97380</v>
      </c>
      <c r="D2492" s="11">
        <v>85694.399999999994</v>
      </c>
      <c r="E2492" s="14">
        <v>0.12000000000000011</v>
      </c>
    </row>
    <row r="2493" spans="1:5" x14ac:dyDescent="0.25">
      <c r="A2493" s="44" t="s">
        <v>5473</v>
      </c>
      <c r="B2493" s="38" t="s">
        <v>5474</v>
      </c>
      <c r="C2493" s="43">
        <v>198840</v>
      </c>
      <c r="D2493" s="11">
        <v>174979.20000000001</v>
      </c>
      <c r="E2493" s="14">
        <v>0.12</v>
      </c>
    </row>
    <row r="2494" spans="1:5" x14ac:dyDescent="0.25">
      <c r="A2494" s="44" t="s">
        <v>5475</v>
      </c>
      <c r="B2494" s="38" t="s">
        <v>5476</v>
      </c>
      <c r="C2494" s="43">
        <v>6840</v>
      </c>
      <c r="D2494" s="11">
        <v>6019.2</v>
      </c>
      <c r="E2494" s="14">
        <v>0.12</v>
      </c>
    </row>
    <row r="2495" spans="1:5" x14ac:dyDescent="0.25">
      <c r="A2495" s="44" t="s">
        <v>5477</v>
      </c>
      <c r="B2495" s="38" t="s">
        <v>5478</v>
      </c>
      <c r="C2495" s="43">
        <v>11430</v>
      </c>
      <c r="D2495" s="11">
        <v>10058.4</v>
      </c>
      <c r="E2495" s="14">
        <v>0.12</v>
      </c>
    </row>
    <row r="2496" spans="1:5" x14ac:dyDescent="0.25">
      <c r="A2496" s="44" t="s">
        <v>5479</v>
      </c>
      <c r="B2496" s="38" t="s">
        <v>5480</v>
      </c>
      <c r="C2496" s="43">
        <v>12000</v>
      </c>
      <c r="D2496" s="11">
        <v>10560</v>
      </c>
      <c r="E2496" s="14">
        <v>0.12</v>
      </c>
    </row>
    <row r="2497" spans="1:5" x14ac:dyDescent="0.25">
      <c r="A2497" s="44" t="s">
        <v>5481</v>
      </c>
      <c r="B2497" s="38" t="s">
        <v>5482</v>
      </c>
      <c r="C2497" s="43">
        <v>960</v>
      </c>
      <c r="D2497" s="11">
        <v>844.8</v>
      </c>
      <c r="E2497" s="14">
        <v>0.12</v>
      </c>
    </row>
    <row r="2498" spans="1:5" x14ac:dyDescent="0.25">
      <c r="A2498" s="44" t="s">
        <v>5483</v>
      </c>
      <c r="B2498" s="38" t="s">
        <v>5484</v>
      </c>
      <c r="C2498" s="43">
        <v>2364</v>
      </c>
      <c r="D2498" s="11">
        <v>2080.3200000000002</v>
      </c>
      <c r="E2498" s="14">
        <v>0.11999999999999988</v>
      </c>
    </row>
    <row r="2499" spans="1:5" x14ac:dyDescent="0.25">
      <c r="A2499" s="44" t="s">
        <v>5485</v>
      </c>
      <c r="B2499" s="38" t="s">
        <v>5486</v>
      </c>
      <c r="C2499" s="43">
        <v>4296</v>
      </c>
      <c r="D2499" s="11">
        <v>3780.48</v>
      </c>
      <c r="E2499" s="14">
        <v>0.12</v>
      </c>
    </row>
    <row r="2500" spans="1:5" x14ac:dyDescent="0.25">
      <c r="A2500" s="44" t="s">
        <v>5487</v>
      </c>
      <c r="B2500" s="38" t="s">
        <v>5488</v>
      </c>
      <c r="C2500" s="43">
        <v>11520</v>
      </c>
      <c r="D2500" s="11">
        <v>10137.6</v>
      </c>
      <c r="E2500" s="14">
        <v>0.12</v>
      </c>
    </row>
    <row r="2501" spans="1:5" x14ac:dyDescent="0.25">
      <c r="A2501" s="44" t="s">
        <v>5489</v>
      </c>
      <c r="B2501" s="38" t="s">
        <v>5490</v>
      </c>
      <c r="C2501" s="43">
        <v>21660</v>
      </c>
      <c r="D2501" s="11">
        <v>19060.8</v>
      </c>
      <c r="E2501" s="14">
        <v>0.12</v>
      </c>
    </row>
    <row r="2502" spans="1:5" x14ac:dyDescent="0.25">
      <c r="A2502" s="44" t="s">
        <v>5131</v>
      </c>
      <c r="B2502" s="38" t="s">
        <v>5491</v>
      </c>
      <c r="C2502" s="43">
        <v>300</v>
      </c>
      <c r="D2502" s="11">
        <v>264</v>
      </c>
      <c r="E2502" s="14">
        <v>0.12</v>
      </c>
    </row>
    <row r="2503" spans="1:5" x14ac:dyDescent="0.25">
      <c r="A2503" s="44" t="s">
        <v>5492</v>
      </c>
      <c r="B2503" s="38" t="s">
        <v>5493</v>
      </c>
      <c r="C2503" s="43">
        <v>300</v>
      </c>
      <c r="D2503" s="11">
        <v>264</v>
      </c>
      <c r="E2503" s="14">
        <v>0.12</v>
      </c>
    </row>
    <row r="2504" spans="1:5" x14ac:dyDescent="0.25">
      <c r="A2504" s="44" t="s">
        <v>5494</v>
      </c>
      <c r="B2504" s="38" t="s">
        <v>5495</v>
      </c>
      <c r="C2504" s="43">
        <v>2577</v>
      </c>
      <c r="D2504" s="11">
        <v>2267.7600000000002</v>
      </c>
      <c r="E2504" s="14">
        <v>0.11999999999999988</v>
      </c>
    </row>
    <row r="2505" spans="1:5" x14ac:dyDescent="0.25">
      <c r="A2505" s="44" t="s">
        <v>5496</v>
      </c>
      <c r="B2505" s="38" t="s">
        <v>5497</v>
      </c>
      <c r="C2505" s="43">
        <v>4680</v>
      </c>
      <c r="D2505" s="11">
        <v>4118.3999999999996</v>
      </c>
      <c r="E2505" s="14">
        <v>0.12000000000000011</v>
      </c>
    </row>
    <row r="2506" spans="1:5" x14ac:dyDescent="0.25">
      <c r="A2506" s="44" t="s">
        <v>5498</v>
      </c>
      <c r="B2506" s="38" t="s">
        <v>5499</v>
      </c>
      <c r="C2506" s="43">
        <v>12540</v>
      </c>
      <c r="D2506" s="11">
        <v>11035.2</v>
      </c>
      <c r="E2506" s="14">
        <v>0.12</v>
      </c>
    </row>
    <row r="2507" spans="1:5" x14ac:dyDescent="0.25">
      <c r="A2507" s="44" t="s">
        <v>5500</v>
      </c>
      <c r="B2507" s="38" t="s">
        <v>5501</v>
      </c>
      <c r="C2507" s="43">
        <v>23610</v>
      </c>
      <c r="D2507" s="11">
        <v>20776.8</v>
      </c>
      <c r="E2507" s="14">
        <v>0.12</v>
      </c>
    </row>
    <row r="2508" spans="1:5" x14ac:dyDescent="0.25">
      <c r="A2508" s="44" t="s">
        <v>5502</v>
      </c>
      <c r="B2508" s="38" t="s">
        <v>5503</v>
      </c>
      <c r="C2508" s="43">
        <v>83100</v>
      </c>
      <c r="D2508" s="11">
        <v>73128</v>
      </c>
      <c r="E2508" s="14">
        <v>0.12</v>
      </c>
    </row>
    <row r="2509" spans="1:5" x14ac:dyDescent="0.25">
      <c r="A2509" s="44" t="s">
        <v>5504</v>
      </c>
      <c r="B2509" s="38" t="s">
        <v>5505</v>
      </c>
      <c r="C2509" s="43">
        <v>130410</v>
      </c>
      <c r="D2509" s="11">
        <v>114760.8</v>
      </c>
      <c r="E2509" s="14">
        <v>0.12</v>
      </c>
    </row>
    <row r="2510" spans="1:5" x14ac:dyDescent="0.25">
      <c r="A2510" s="44" t="s">
        <v>5506</v>
      </c>
      <c r="B2510" s="38" t="s">
        <v>5507</v>
      </c>
      <c r="C2510" s="43">
        <v>417870</v>
      </c>
      <c r="D2510" s="11">
        <v>367725.6</v>
      </c>
      <c r="E2510" s="14">
        <v>0.12000000000000011</v>
      </c>
    </row>
    <row r="2511" spans="1:5" x14ac:dyDescent="0.25">
      <c r="A2511" s="44" t="s">
        <v>5508</v>
      </c>
      <c r="B2511" s="38" t="s">
        <v>5509</v>
      </c>
      <c r="C2511" s="43">
        <v>9150</v>
      </c>
      <c r="D2511" s="11">
        <v>8052</v>
      </c>
      <c r="E2511" s="14">
        <v>0.12</v>
      </c>
    </row>
    <row r="2512" spans="1:5" x14ac:dyDescent="0.25">
      <c r="A2512" s="44" t="s">
        <v>5510</v>
      </c>
      <c r="B2512" s="38" t="s">
        <v>5511</v>
      </c>
      <c r="C2512" s="43">
        <v>47670</v>
      </c>
      <c r="D2512" s="11">
        <v>41949.599999999999</v>
      </c>
      <c r="E2512" s="14">
        <v>0.12</v>
      </c>
    </row>
    <row r="2513" spans="1:5" x14ac:dyDescent="0.25">
      <c r="A2513" s="44" t="s">
        <v>5512</v>
      </c>
      <c r="B2513" s="38" t="s">
        <v>5513</v>
      </c>
      <c r="C2513" s="43">
        <v>1257</v>
      </c>
      <c r="D2513" s="11">
        <v>1106.1600000000001</v>
      </c>
      <c r="E2513" s="14">
        <v>0.11999999999999988</v>
      </c>
    </row>
    <row r="2514" spans="1:5" x14ac:dyDescent="0.25">
      <c r="A2514" s="44" t="s">
        <v>5514</v>
      </c>
      <c r="B2514" s="38" t="s">
        <v>5515</v>
      </c>
      <c r="C2514" s="43">
        <v>3120</v>
      </c>
      <c r="D2514" s="11">
        <v>2745.6</v>
      </c>
      <c r="E2514" s="14">
        <v>0.12</v>
      </c>
    </row>
    <row r="2515" spans="1:5" x14ac:dyDescent="0.25">
      <c r="A2515" s="44" t="s">
        <v>5516</v>
      </c>
      <c r="B2515" s="38" t="s">
        <v>5517</v>
      </c>
      <c r="C2515" s="43">
        <v>5610</v>
      </c>
      <c r="D2515" s="11">
        <v>4936.8</v>
      </c>
      <c r="E2515" s="14">
        <v>0.12</v>
      </c>
    </row>
    <row r="2516" spans="1:5" x14ac:dyDescent="0.25">
      <c r="A2516" s="44" t="s">
        <v>5518</v>
      </c>
      <c r="B2516" s="38" t="s">
        <v>5519</v>
      </c>
      <c r="C2516" s="43">
        <v>15060</v>
      </c>
      <c r="D2516" s="11">
        <v>13252.8</v>
      </c>
      <c r="E2516" s="14">
        <v>0.12</v>
      </c>
    </row>
    <row r="2517" spans="1:5" x14ac:dyDescent="0.25">
      <c r="A2517" s="44" t="s">
        <v>5520</v>
      </c>
      <c r="B2517" s="38" t="s">
        <v>5521</v>
      </c>
      <c r="C2517" s="43">
        <v>28320</v>
      </c>
      <c r="D2517" s="11">
        <v>24921.599999999999</v>
      </c>
      <c r="E2517" s="14">
        <v>0.12000000000000011</v>
      </c>
    </row>
    <row r="2518" spans="1:5" x14ac:dyDescent="0.25">
      <c r="A2518" s="44" t="s">
        <v>5522</v>
      </c>
      <c r="B2518" s="38" t="s">
        <v>5523</v>
      </c>
      <c r="C2518" s="43">
        <v>99720</v>
      </c>
      <c r="D2518" s="11">
        <v>87753.600000000006</v>
      </c>
      <c r="E2518" s="14">
        <v>0.12</v>
      </c>
    </row>
    <row r="2519" spans="1:5" x14ac:dyDescent="0.25">
      <c r="A2519" s="44" t="s">
        <v>5524</v>
      </c>
      <c r="B2519" s="38" t="s">
        <v>5525</v>
      </c>
      <c r="C2519" s="43">
        <v>156480</v>
      </c>
      <c r="D2519" s="11">
        <v>137702.39999999999</v>
      </c>
      <c r="E2519" s="14">
        <v>0.12</v>
      </c>
    </row>
    <row r="2520" spans="1:5" x14ac:dyDescent="0.25">
      <c r="A2520" s="44" t="s">
        <v>5526</v>
      </c>
      <c r="B2520" s="38" t="s">
        <v>5527</v>
      </c>
      <c r="C2520" s="43">
        <v>501450</v>
      </c>
      <c r="D2520" s="11">
        <v>441276</v>
      </c>
      <c r="E2520" s="14">
        <v>0.12</v>
      </c>
    </row>
    <row r="2521" spans="1:5" x14ac:dyDescent="0.25">
      <c r="A2521" s="44" t="s">
        <v>5528</v>
      </c>
      <c r="B2521" s="38" t="s">
        <v>5529</v>
      </c>
      <c r="C2521" s="43">
        <v>10980</v>
      </c>
      <c r="D2521" s="11">
        <v>9662.4</v>
      </c>
      <c r="E2521" s="14">
        <v>0.12</v>
      </c>
    </row>
    <row r="2522" spans="1:5" x14ac:dyDescent="0.25">
      <c r="A2522" s="44" t="s">
        <v>5530</v>
      </c>
      <c r="B2522" s="38" t="s">
        <v>5531</v>
      </c>
      <c r="C2522" s="43">
        <v>57210</v>
      </c>
      <c r="D2522" s="11">
        <v>50344.800000000003</v>
      </c>
      <c r="E2522" s="14">
        <v>0.12</v>
      </c>
    </row>
    <row r="2523" spans="1:5" x14ac:dyDescent="0.25">
      <c r="A2523" s="44" t="s">
        <v>5532</v>
      </c>
      <c r="B2523" s="38" t="s">
        <v>5533</v>
      </c>
      <c r="C2523" s="43">
        <v>2400</v>
      </c>
      <c r="D2523" s="11">
        <v>2112</v>
      </c>
      <c r="E2523" s="14">
        <v>0.12</v>
      </c>
    </row>
    <row r="2524" spans="1:5" x14ac:dyDescent="0.25">
      <c r="A2524" s="44" t="s">
        <v>5534</v>
      </c>
      <c r="B2524" s="38" t="s">
        <v>5535</v>
      </c>
      <c r="C2524" s="43">
        <v>5910</v>
      </c>
      <c r="D2524" s="11">
        <v>5200.8</v>
      </c>
      <c r="E2524" s="14">
        <v>0.12</v>
      </c>
    </row>
    <row r="2525" spans="1:5" x14ac:dyDescent="0.25">
      <c r="A2525" s="44" t="s">
        <v>5536</v>
      </c>
      <c r="B2525" s="38" t="s">
        <v>5537</v>
      </c>
      <c r="C2525" s="43">
        <v>10740</v>
      </c>
      <c r="D2525" s="11">
        <v>9451.2000000000007</v>
      </c>
      <c r="E2525" s="14">
        <v>0.11999999999999988</v>
      </c>
    </row>
    <row r="2526" spans="1:5" x14ac:dyDescent="0.25">
      <c r="A2526" s="44" t="s">
        <v>5538</v>
      </c>
      <c r="B2526" s="38" t="s">
        <v>5539</v>
      </c>
      <c r="C2526" s="43">
        <v>28740</v>
      </c>
      <c r="D2526" s="11">
        <v>25291.200000000001</v>
      </c>
      <c r="E2526" s="14">
        <v>0.12</v>
      </c>
    </row>
    <row r="2527" spans="1:5" x14ac:dyDescent="0.25">
      <c r="A2527" s="44" t="s">
        <v>5540</v>
      </c>
      <c r="B2527" s="38" t="s">
        <v>5541</v>
      </c>
      <c r="C2527" s="43">
        <v>54120</v>
      </c>
      <c r="D2527" s="11">
        <v>47625.599999999999</v>
      </c>
      <c r="E2527" s="14">
        <v>0.12</v>
      </c>
    </row>
    <row r="2528" spans="1:5" x14ac:dyDescent="0.25">
      <c r="A2528" s="44" t="s">
        <v>5542</v>
      </c>
      <c r="B2528" s="38" t="s">
        <v>5543</v>
      </c>
      <c r="C2528" s="43">
        <v>190590</v>
      </c>
      <c r="D2528" s="11">
        <v>167719.20000000001</v>
      </c>
      <c r="E2528" s="14">
        <v>0.11999999999999988</v>
      </c>
    </row>
    <row r="2529" spans="1:5" x14ac:dyDescent="0.25">
      <c r="A2529" s="44" t="s">
        <v>5544</v>
      </c>
      <c r="B2529" s="38" t="s">
        <v>5545</v>
      </c>
      <c r="C2529" s="43">
        <v>299040</v>
      </c>
      <c r="D2529" s="11">
        <v>263155.20000000001</v>
      </c>
      <c r="E2529" s="14">
        <v>0.12</v>
      </c>
    </row>
    <row r="2530" spans="1:5" x14ac:dyDescent="0.25">
      <c r="A2530" s="44" t="s">
        <v>5546</v>
      </c>
      <c r="B2530" s="38" t="s">
        <v>5547</v>
      </c>
      <c r="C2530" s="43">
        <v>958320</v>
      </c>
      <c r="D2530" s="11">
        <v>843321.6</v>
      </c>
      <c r="E2530" s="14">
        <v>0.12</v>
      </c>
    </row>
    <row r="2531" spans="1:5" x14ac:dyDescent="0.25">
      <c r="A2531" s="44" t="s">
        <v>5548</v>
      </c>
      <c r="B2531" s="38" t="s">
        <v>5549</v>
      </c>
      <c r="C2531" s="43">
        <v>21000</v>
      </c>
      <c r="D2531" s="11">
        <v>18480</v>
      </c>
      <c r="E2531" s="14">
        <v>0.12</v>
      </c>
    </row>
    <row r="2532" spans="1:5" x14ac:dyDescent="0.25">
      <c r="A2532" s="44" t="s">
        <v>5550</v>
      </c>
      <c r="B2532" s="38" t="s">
        <v>5551</v>
      </c>
      <c r="C2532" s="43">
        <v>109320</v>
      </c>
      <c r="D2532" s="11">
        <v>96201.600000000006</v>
      </c>
      <c r="E2532" s="14">
        <v>0.12</v>
      </c>
    </row>
    <row r="2533" spans="1:5" x14ac:dyDescent="0.25">
      <c r="A2533" s="44" t="s">
        <v>5552</v>
      </c>
      <c r="B2533" s="38" t="s">
        <v>5553</v>
      </c>
      <c r="C2533" s="43">
        <v>2400</v>
      </c>
      <c r="D2533" s="11">
        <v>2112</v>
      </c>
      <c r="E2533" s="14">
        <v>0.12</v>
      </c>
    </row>
    <row r="2534" spans="1:5" x14ac:dyDescent="0.25">
      <c r="A2534" s="44" t="s">
        <v>5554</v>
      </c>
      <c r="B2534" s="38" t="s">
        <v>5555</v>
      </c>
      <c r="C2534" s="43">
        <v>5910</v>
      </c>
      <c r="D2534" s="11">
        <v>5200.8</v>
      </c>
      <c r="E2534" s="14">
        <v>0.12</v>
      </c>
    </row>
    <row r="2535" spans="1:5" x14ac:dyDescent="0.25">
      <c r="A2535" s="44" t="s">
        <v>5556</v>
      </c>
      <c r="B2535" s="38" t="s">
        <v>5557</v>
      </c>
      <c r="C2535" s="43">
        <v>10740</v>
      </c>
      <c r="D2535" s="11">
        <v>9451.2000000000007</v>
      </c>
      <c r="E2535" s="14">
        <v>0.11999999999999988</v>
      </c>
    </row>
    <row r="2536" spans="1:5" x14ac:dyDescent="0.25">
      <c r="A2536" s="44" t="s">
        <v>5558</v>
      </c>
      <c r="B2536" s="38" t="s">
        <v>5559</v>
      </c>
      <c r="C2536" s="43">
        <v>28740</v>
      </c>
      <c r="D2536" s="11">
        <v>25291.200000000001</v>
      </c>
      <c r="E2536" s="14">
        <v>0.12</v>
      </c>
    </row>
    <row r="2537" spans="1:5" x14ac:dyDescent="0.25">
      <c r="A2537" s="44" t="s">
        <v>5560</v>
      </c>
      <c r="B2537" s="38" t="s">
        <v>5561</v>
      </c>
      <c r="C2537" s="43">
        <v>54120</v>
      </c>
      <c r="D2537" s="11">
        <v>47625.599999999999</v>
      </c>
      <c r="E2537" s="14">
        <v>0.12</v>
      </c>
    </row>
    <row r="2538" spans="1:5" x14ac:dyDescent="0.25">
      <c r="A2538" s="44" t="s">
        <v>5562</v>
      </c>
      <c r="B2538" s="38" t="s">
        <v>5563</v>
      </c>
      <c r="C2538" s="43">
        <v>190590</v>
      </c>
      <c r="D2538" s="11">
        <v>167719.20000000001</v>
      </c>
      <c r="E2538" s="14">
        <v>0.11999999999999988</v>
      </c>
    </row>
    <row r="2539" spans="1:5" x14ac:dyDescent="0.25">
      <c r="A2539" s="44" t="s">
        <v>5564</v>
      </c>
      <c r="B2539" s="38" t="s">
        <v>5565</v>
      </c>
      <c r="C2539" s="43">
        <v>299040</v>
      </c>
      <c r="D2539" s="11">
        <v>263155.20000000001</v>
      </c>
      <c r="E2539" s="14">
        <v>0.12</v>
      </c>
    </row>
    <row r="2540" spans="1:5" x14ac:dyDescent="0.25">
      <c r="A2540" s="44" t="s">
        <v>5566</v>
      </c>
      <c r="B2540" s="38" t="s">
        <v>5567</v>
      </c>
      <c r="C2540" s="43">
        <v>958320</v>
      </c>
      <c r="D2540" s="11">
        <v>843321.6</v>
      </c>
      <c r="E2540" s="14">
        <v>0.12</v>
      </c>
    </row>
    <row r="2541" spans="1:5" x14ac:dyDescent="0.25">
      <c r="A2541" s="44" t="s">
        <v>5568</v>
      </c>
      <c r="B2541" s="38" t="s">
        <v>5569</v>
      </c>
      <c r="C2541" s="43">
        <v>21000</v>
      </c>
      <c r="D2541" s="11">
        <v>18480</v>
      </c>
      <c r="E2541" s="14">
        <v>0.12</v>
      </c>
    </row>
    <row r="2542" spans="1:5" x14ac:dyDescent="0.25">
      <c r="A2542" s="44" t="s">
        <v>5570</v>
      </c>
      <c r="B2542" s="38" t="s">
        <v>5571</v>
      </c>
      <c r="C2542" s="43">
        <v>109320</v>
      </c>
      <c r="D2542" s="11">
        <v>96201.600000000006</v>
      </c>
      <c r="E2542" s="14">
        <v>0.12</v>
      </c>
    </row>
    <row r="2543" spans="1:5" x14ac:dyDescent="0.25">
      <c r="A2543" s="44" t="s">
        <v>5572</v>
      </c>
      <c r="B2543" s="38" t="s">
        <v>5573</v>
      </c>
      <c r="C2543" s="43">
        <v>2040</v>
      </c>
      <c r="D2543" s="11">
        <v>1795.2</v>
      </c>
      <c r="E2543" s="14">
        <v>0.12</v>
      </c>
    </row>
    <row r="2544" spans="1:5" x14ac:dyDescent="0.25">
      <c r="A2544" s="44" t="s">
        <v>5574</v>
      </c>
      <c r="B2544" s="38" t="s">
        <v>5575</v>
      </c>
      <c r="C2544" s="43">
        <v>8100</v>
      </c>
      <c r="D2544" s="11">
        <v>7128</v>
      </c>
      <c r="E2544" s="14">
        <v>0.12</v>
      </c>
    </row>
    <row r="2545" spans="1:5" x14ac:dyDescent="0.25">
      <c r="A2545" s="44" t="s">
        <v>5576</v>
      </c>
      <c r="B2545" s="38" t="s">
        <v>5577</v>
      </c>
      <c r="C2545" s="43">
        <v>20250</v>
      </c>
      <c r="D2545" s="11">
        <v>17820</v>
      </c>
      <c r="E2545" s="14">
        <v>0.12</v>
      </c>
    </row>
    <row r="2546" spans="1:5" x14ac:dyDescent="0.25">
      <c r="A2546" s="44" t="s">
        <v>5578</v>
      </c>
      <c r="B2546" s="38" t="s">
        <v>5579</v>
      </c>
      <c r="C2546" s="43">
        <v>3000</v>
      </c>
      <c r="D2546" s="11">
        <v>2640</v>
      </c>
      <c r="E2546" s="14">
        <v>0.12</v>
      </c>
    </row>
    <row r="2547" spans="1:5" x14ac:dyDescent="0.25">
      <c r="A2547" s="44" t="s">
        <v>5580</v>
      </c>
      <c r="B2547" s="38" t="s">
        <v>5581</v>
      </c>
      <c r="C2547" s="43">
        <v>127.5</v>
      </c>
      <c r="D2547" s="11">
        <v>112.2</v>
      </c>
      <c r="E2547" s="14">
        <v>0.12</v>
      </c>
    </row>
    <row r="2548" spans="1:5" x14ac:dyDescent="0.25">
      <c r="A2548" s="44" t="s">
        <v>5582</v>
      </c>
      <c r="B2548" s="38" t="s">
        <v>5583</v>
      </c>
      <c r="C2548" s="43">
        <v>90</v>
      </c>
      <c r="D2548" s="11">
        <v>79.2</v>
      </c>
      <c r="E2548" s="14">
        <v>0.12</v>
      </c>
    </row>
    <row r="2549" spans="1:5" x14ac:dyDescent="0.25">
      <c r="A2549" s="44" t="s">
        <v>5584</v>
      </c>
      <c r="B2549" s="38" t="s">
        <v>5585</v>
      </c>
      <c r="C2549" s="43">
        <v>82.5</v>
      </c>
      <c r="D2549" s="11">
        <v>72.599999999999994</v>
      </c>
      <c r="E2549" s="14">
        <v>0.12000000000000011</v>
      </c>
    </row>
    <row r="2550" spans="1:5" x14ac:dyDescent="0.25">
      <c r="A2550" s="44" t="s">
        <v>5586</v>
      </c>
      <c r="B2550" s="38" t="s">
        <v>5587</v>
      </c>
      <c r="C2550" s="43">
        <v>127.5</v>
      </c>
      <c r="D2550" s="11">
        <v>112.2</v>
      </c>
      <c r="E2550" s="14">
        <v>0.12</v>
      </c>
    </row>
    <row r="2551" spans="1:5" x14ac:dyDescent="0.25">
      <c r="A2551" s="44" t="s">
        <v>5588</v>
      </c>
      <c r="B2551" s="38" t="s">
        <v>5589</v>
      </c>
      <c r="C2551" s="43">
        <v>90</v>
      </c>
      <c r="D2551" s="11">
        <v>79.2</v>
      </c>
      <c r="E2551" s="14">
        <v>0.12</v>
      </c>
    </row>
    <row r="2552" spans="1:5" x14ac:dyDescent="0.25">
      <c r="A2552" s="44" t="s">
        <v>5590</v>
      </c>
      <c r="B2552" s="38" t="s">
        <v>5591</v>
      </c>
      <c r="C2552" s="43">
        <v>570</v>
      </c>
      <c r="D2552" s="11">
        <v>501.6</v>
      </c>
      <c r="E2552" s="14">
        <v>0.12</v>
      </c>
    </row>
    <row r="2553" spans="1:5" x14ac:dyDescent="0.25">
      <c r="A2553" s="44" t="s">
        <v>5592</v>
      </c>
      <c r="B2553" s="38" t="s">
        <v>5593</v>
      </c>
      <c r="C2553" s="43">
        <v>57</v>
      </c>
      <c r="D2553" s="11">
        <v>50.16</v>
      </c>
      <c r="E2553" s="14">
        <v>0.12000000000000011</v>
      </c>
    </row>
    <row r="2554" spans="1:5" x14ac:dyDescent="0.25">
      <c r="A2554" s="44" t="s">
        <v>5594</v>
      </c>
      <c r="B2554" s="38" t="s">
        <v>5595</v>
      </c>
      <c r="C2554" s="43">
        <v>45</v>
      </c>
      <c r="D2554" s="11">
        <v>39.6</v>
      </c>
      <c r="E2554" s="14">
        <v>0.12</v>
      </c>
    </row>
    <row r="2555" spans="1:5" x14ac:dyDescent="0.25">
      <c r="A2555" s="44" t="s">
        <v>5596</v>
      </c>
      <c r="B2555" s="38" t="s">
        <v>5597</v>
      </c>
      <c r="C2555" s="43">
        <v>57</v>
      </c>
      <c r="D2555" s="11">
        <v>50.16</v>
      </c>
      <c r="E2555" s="14">
        <v>0.12000000000000011</v>
      </c>
    </row>
    <row r="2556" spans="1:5" x14ac:dyDescent="0.25">
      <c r="A2556" s="44" t="s">
        <v>5598</v>
      </c>
      <c r="B2556" s="38" t="s">
        <v>5599</v>
      </c>
      <c r="C2556" s="43">
        <v>45</v>
      </c>
      <c r="D2556" s="11">
        <v>39.6</v>
      </c>
      <c r="E2556" s="14">
        <v>0.12</v>
      </c>
    </row>
    <row r="2557" spans="1:5" x14ac:dyDescent="0.25">
      <c r="A2557" s="44" t="s">
        <v>5600</v>
      </c>
      <c r="B2557" s="38" t="s">
        <v>5601</v>
      </c>
      <c r="C2557" s="43">
        <v>150</v>
      </c>
      <c r="D2557" s="11">
        <v>132</v>
      </c>
      <c r="E2557" s="14">
        <v>0.12</v>
      </c>
    </row>
    <row r="2558" spans="1:5" x14ac:dyDescent="0.25">
      <c r="A2558" s="44" t="s">
        <v>5602</v>
      </c>
      <c r="B2558" s="38" t="s">
        <v>5603</v>
      </c>
      <c r="C2558" s="43">
        <v>30</v>
      </c>
      <c r="D2558" s="11">
        <v>26.4</v>
      </c>
      <c r="E2558" s="14">
        <v>0.12</v>
      </c>
    </row>
    <row r="2559" spans="1:5" x14ac:dyDescent="0.25">
      <c r="A2559" s="44" t="s">
        <v>5604</v>
      </c>
      <c r="B2559" s="38" t="s">
        <v>5605</v>
      </c>
      <c r="C2559" s="43">
        <v>1650</v>
      </c>
      <c r="D2559" s="11">
        <v>1452</v>
      </c>
      <c r="E2559" s="14">
        <v>0.12</v>
      </c>
    </row>
    <row r="2560" spans="1:5" x14ac:dyDescent="0.25">
      <c r="A2560" s="44" t="s">
        <v>5606</v>
      </c>
      <c r="B2560" s="38" t="s">
        <v>5607</v>
      </c>
      <c r="C2560" s="43">
        <v>2670</v>
      </c>
      <c r="D2560" s="11">
        <v>2349.6</v>
      </c>
      <c r="E2560" s="14">
        <v>0.12</v>
      </c>
    </row>
    <row r="2561" spans="1:5" x14ac:dyDescent="0.25">
      <c r="A2561" s="44" t="s">
        <v>5608</v>
      </c>
      <c r="B2561" s="38" t="s">
        <v>5609</v>
      </c>
      <c r="C2561" s="43">
        <v>3270</v>
      </c>
      <c r="D2561" s="11">
        <v>2877.6</v>
      </c>
      <c r="E2561" s="14">
        <v>0.12</v>
      </c>
    </row>
    <row r="2562" spans="1:5" x14ac:dyDescent="0.25">
      <c r="A2562" s="44" t="s">
        <v>5610</v>
      </c>
      <c r="B2562" s="38" t="s">
        <v>5611</v>
      </c>
      <c r="C2562" s="43">
        <v>4680</v>
      </c>
      <c r="D2562" s="11">
        <v>4118.3999999999996</v>
      </c>
      <c r="E2562" s="14">
        <v>0.12000000000000011</v>
      </c>
    </row>
    <row r="2563" spans="1:5" x14ac:dyDescent="0.25">
      <c r="A2563" s="44" t="s">
        <v>5612</v>
      </c>
      <c r="B2563" s="38" t="s">
        <v>5613</v>
      </c>
      <c r="C2563" s="43">
        <v>5310</v>
      </c>
      <c r="D2563" s="11">
        <v>4672.8</v>
      </c>
      <c r="E2563" s="14">
        <v>0.12</v>
      </c>
    </row>
    <row r="2564" spans="1:5" x14ac:dyDescent="0.25">
      <c r="A2564" s="44" t="s">
        <v>5614</v>
      </c>
      <c r="B2564" s="38" t="s">
        <v>5615</v>
      </c>
      <c r="C2564" s="43">
        <v>6930</v>
      </c>
      <c r="D2564" s="11">
        <v>6098.4</v>
      </c>
      <c r="E2564" s="14">
        <v>0.12000000000000011</v>
      </c>
    </row>
    <row r="2565" spans="1:5" x14ac:dyDescent="0.25">
      <c r="A2565" s="44" t="s">
        <v>5616</v>
      </c>
      <c r="B2565" s="38" t="s">
        <v>5617</v>
      </c>
      <c r="C2565" s="43">
        <v>7740</v>
      </c>
      <c r="D2565" s="11">
        <v>6811.2</v>
      </c>
      <c r="E2565" s="14">
        <v>0.12</v>
      </c>
    </row>
    <row r="2566" spans="1:5" x14ac:dyDescent="0.25">
      <c r="A2566" s="44" t="s">
        <v>5618</v>
      </c>
      <c r="B2566" s="38" t="s">
        <v>5619</v>
      </c>
      <c r="C2566" s="43">
        <v>9360</v>
      </c>
      <c r="D2566" s="11">
        <v>8236.7999999999993</v>
      </c>
      <c r="E2566" s="14">
        <v>0.12000000000000011</v>
      </c>
    </row>
    <row r="2567" spans="1:5" x14ac:dyDescent="0.25">
      <c r="A2567" s="44" t="s">
        <v>5620</v>
      </c>
      <c r="B2567" s="38" t="s">
        <v>5621</v>
      </c>
      <c r="C2567" s="43">
        <v>10170</v>
      </c>
      <c r="D2567" s="11">
        <v>8949.6</v>
      </c>
      <c r="E2567" s="14">
        <v>0.12</v>
      </c>
    </row>
    <row r="2568" spans="1:5" x14ac:dyDescent="0.25">
      <c r="A2568" s="44" t="s">
        <v>5622</v>
      </c>
      <c r="B2568" s="38" t="s">
        <v>5623</v>
      </c>
      <c r="C2568" s="43">
        <v>2040</v>
      </c>
      <c r="D2568" s="11">
        <v>1795.2</v>
      </c>
      <c r="E2568" s="14">
        <v>0.12</v>
      </c>
    </row>
    <row r="2569" spans="1:5" x14ac:dyDescent="0.25">
      <c r="A2569" s="44" t="s">
        <v>5624</v>
      </c>
      <c r="B2569" s="38" t="s">
        <v>5625</v>
      </c>
      <c r="C2569" s="43">
        <v>2670</v>
      </c>
      <c r="D2569" s="11">
        <v>2349.6</v>
      </c>
      <c r="E2569" s="14">
        <v>0.12</v>
      </c>
    </row>
    <row r="2570" spans="1:5" x14ac:dyDescent="0.25">
      <c r="A2570" s="44" t="s">
        <v>5626</v>
      </c>
      <c r="B2570" s="38" t="s">
        <v>5627</v>
      </c>
      <c r="C2570" s="43">
        <v>4080</v>
      </c>
      <c r="D2570" s="11">
        <v>3590.4</v>
      </c>
      <c r="E2570" s="14">
        <v>0.12</v>
      </c>
    </row>
    <row r="2571" spans="1:5" x14ac:dyDescent="0.25">
      <c r="A2571" s="44" t="s">
        <v>5628</v>
      </c>
      <c r="B2571" s="38" t="s">
        <v>5629</v>
      </c>
      <c r="C2571" s="43">
        <v>4680</v>
      </c>
      <c r="D2571" s="11">
        <v>4118.3999999999996</v>
      </c>
      <c r="E2571" s="14">
        <v>0.12000000000000011</v>
      </c>
    </row>
    <row r="2572" spans="1:5" x14ac:dyDescent="0.25">
      <c r="A2572" s="44" t="s">
        <v>5630</v>
      </c>
      <c r="B2572" s="38" t="s">
        <v>5631</v>
      </c>
      <c r="C2572" s="43">
        <v>6120</v>
      </c>
      <c r="D2572" s="11">
        <v>5385.6</v>
      </c>
      <c r="E2572" s="14">
        <v>0.12</v>
      </c>
    </row>
    <row r="2573" spans="1:5" x14ac:dyDescent="0.25">
      <c r="A2573" s="44" t="s">
        <v>5632</v>
      </c>
      <c r="B2573" s="38" t="s">
        <v>5633</v>
      </c>
      <c r="C2573" s="43">
        <v>6930</v>
      </c>
      <c r="D2573" s="11">
        <v>6098.4</v>
      </c>
      <c r="E2573" s="14">
        <v>0.12000000000000011</v>
      </c>
    </row>
    <row r="2574" spans="1:5" x14ac:dyDescent="0.25">
      <c r="A2574" s="44" t="s">
        <v>5634</v>
      </c>
      <c r="B2574" s="38" t="s">
        <v>5635</v>
      </c>
      <c r="C2574" s="43">
        <v>8550</v>
      </c>
      <c r="D2574" s="11">
        <v>7524</v>
      </c>
      <c r="E2574" s="14">
        <v>0.12</v>
      </c>
    </row>
    <row r="2575" spans="1:5" x14ac:dyDescent="0.25">
      <c r="A2575" s="44" t="s">
        <v>5636</v>
      </c>
      <c r="B2575" s="38" t="s">
        <v>5637</v>
      </c>
      <c r="C2575" s="43">
        <v>9360</v>
      </c>
      <c r="D2575" s="11">
        <v>8236.7999999999993</v>
      </c>
      <c r="E2575" s="14">
        <v>0.12000000000000011</v>
      </c>
    </row>
    <row r="2576" spans="1:5" x14ac:dyDescent="0.25">
      <c r="A2576" s="44" t="s">
        <v>5638</v>
      </c>
      <c r="B2576" s="38" t="s">
        <v>5639</v>
      </c>
      <c r="C2576" s="43">
        <v>1650</v>
      </c>
      <c r="D2576" s="11">
        <v>1452</v>
      </c>
      <c r="E2576" s="14">
        <v>0.12</v>
      </c>
    </row>
    <row r="2577" spans="1:5" x14ac:dyDescent="0.25">
      <c r="A2577" s="44" t="s">
        <v>5640</v>
      </c>
      <c r="B2577" s="38" t="s">
        <v>5641</v>
      </c>
      <c r="C2577" s="43">
        <v>1650</v>
      </c>
      <c r="D2577" s="11">
        <v>1452</v>
      </c>
      <c r="E2577" s="14">
        <v>0.12</v>
      </c>
    </row>
    <row r="2578" spans="1:5" x14ac:dyDescent="0.25">
      <c r="A2578" s="44" t="s">
        <v>5642</v>
      </c>
      <c r="B2578" s="38" t="s">
        <v>5643</v>
      </c>
      <c r="C2578" s="43">
        <v>2670</v>
      </c>
      <c r="D2578" s="11">
        <v>2349.6</v>
      </c>
      <c r="E2578" s="14">
        <v>0.12</v>
      </c>
    </row>
    <row r="2579" spans="1:5" x14ac:dyDescent="0.25">
      <c r="A2579" s="44" t="s">
        <v>5644</v>
      </c>
      <c r="B2579" s="38" t="s">
        <v>5645</v>
      </c>
      <c r="C2579" s="43">
        <v>3270</v>
      </c>
      <c r="D2579" s="11">
        <v>2877.6</v>
      </c>
      <c r="E2579" s="14">
        <v>0.12</v>
      </c>
    </row>
    <row r="2580" spans="1:5" x14ac:dyDescent="0.25">
      <c r="A2580" s="44" t="s">
        <v>5646</v>
      </c>
      <c r="B2580" s="38" t="s">
        <v>5647</v>
      </c>
      <c r="C2580" s="43">
        <v>4680</v>
      </c>
      <c r="D2580" s="11">
        <v>4118.3999999999996</v>
      </c>
      <c r="E2580" s="14">
        <v>0.12000000000000011</v>
      </c>
    </row>
    <row r="2581" spans="1:5" x14ac:dyDescent="0.25">
      <c r="A2581" s="44" t="s">
        <v>5648</v>
      </c>
      <c r="B2581" s="38" t="s">
        <v>5649</v>
      </c>
      <c r="C2581" s="43">
        <v>5310</v>
      </c>
      <c r="D2581" s="11">
        <v>4672.8</v>
      </c>
      <c r="E2581" s="14">
        <v>0.12</v>
      </c>
    </row>
    <row r="2582" spans="1:5" x14ac:dyDescent="0.25">
      <c r="A2582" s="44" t="s">
        <v>5650</v>
      </c>
      <c r="B2582" s="38" t="s">
        <v>5651</v>
      </c>
      <c r="C2582" s="43">
        <v>6930</v>
      </c>
      <c r="D2582" s="11">
        <v>6098.4</v>
      </c>
      <c r="E2582" s="14">
        <v>0.12000000000000011</v>
      </c>
    </row>
    <row r="2583" spans="1:5" x14ac:dyDescent="0.25">
      <c r="A2583" s="44" t="s">
        <v>5652</v>
      </c>
      <c r="B2583" s="38" t="s">
        <v>5653</v>
      </c>
      <c r="C2583" s="43">
        <v>7740</v>
      </c>
      <c r="D2583" s="11">
        <v>6811.2</v>
      </c>
      <c r="E2583" s="14">
        <v>0.12</v>
      </c>
    </row>
    <row r="2584" spans="1:5" x14ac:dyDescent="0.25">
      <c r="A2584" s="44" t="s">
        <v>5654</v>
      </c>
      <c r="B2584" s="38" t="s">
        <v>5655</v>
      </c>
      <c r="C2584" s="43">
        <v>9360</v>
      </c>
      <c r="D2584" s="11">
        <v>8236.7999999999993</v>
      </c>
      <c r="E2584" s="14">
        <v>0.12000000000000011</v>
      </c>
    </row>
    <row r="2585" spans="1:5" x14ac:dyDescent="0.25">
      <c r="A2585" s="44" t="s">
        <v>5656</v>
      </c>
      <c r="B2585" s="38" t="s">
        <v>5657</v>
      </c>
      <c r="C2585" s="43">
        <v>10170</v>
      </c>
      <c r="D2585" s="11">
        <v>8949.6</v>
      </c>
      <c r="E2585" s="14">
        <v>0.12</v>
      </c>
    </row>
    <row r="2586" spans="1:5" x14ac:dyDescent="0.25">
      <c r="A2586" s="44" t="s">
        <v>5658</v>
      </c>
      <c r="B2586" s="38" t="s">
        <v>5659</v>
      </c>
      <c r="C2586" s="43">
        <v>1950</v>
      </c>
      <c r="D2586" s="11">
        <v>1716</v>
      </c>
      <c r="E2586" s="14">
        <v>0.12</v>
      </c>
    </row>
    <row r="2587" spans="1:5" x14ac:dyDescent="0.25">
      <c r="A2587" s="44" t="s">
        <v>5660</v>
      </c>
      <c r="B2587" s="38" t="s">
        <v>5661</v>
      </c>
      <c r="C2587" s="43">
        <v>3000</v>
      </c>
      <c r="D2587" s="11">
        <v>2640</v>
      </c>
      <c r="E2587" s="14">
        <v>0.12</v>
      </c>
    </row>
    <row r="2588" spans="1:5" x14ac:dyDescent="0.25">
      <c r="A2588" s="44" t="s">
        <v>5662</v>
      </c>
      <c r="B2588" s="38" t="s">
        <v>5663</v>
      </c>
      <c r="C2588" s="43">
        <v>7200</v>
      </c>
      <c r="D2588" s="11">
        <v>6336</v>
      </c>
      <c r="E2588" s="14">
        <v>0.12</v>
      </c>
    </row>
    <row r="2589" spans="1:5" x14ac:dyDescent="0.25">
      <c r="A2589" s="44" t="s">
        <v>5664</v>
      </c>
      <c r="B2589" s="38" t="s">
        <v>5665</v>
      </c>
      <c r="C2589" s="43">
        <v>11400</v>
      </c>
      <c r="D2589" s="11">
        <v>10032</v>
      </c>
      <c r="E2589" s="14">
        <v>0.12</v>
      </c>
    </row>
    <row r="2590" spans="1:5" x14ac:dyDescent="0.25">
      <c r="A2590" s="44" t="s">
        <v>5666</v>
      </c>
      <c r="B2590" s="38" t="s">
        <v>5667</v>
      </c>
      <c r="C2590" s="43">
        <v>30000</v>
      </c>
      <c r="D2590" s="11">
        <v>26400</v>
      </c>
      <c r="E2590" s="14">
        <v>0.12</v>
      </c>
    </row>
    <row r="2591" spans="1:5" x14ac:dyDescent="0.25">
      <c r="A2591" s="44" t="s">
        <v>5668</v>
      </c>
      <c r="B2591" s="38" t="s">
        <v>5669</v>
      </c>
      <c r="C2591" s="43">
        <v>46200</v>
      </c>
      <c r="D2591" s="11">
        <v>40656</v>
      </c>
      <c r="E2591" s="14">
        <v>0.12</v>
      </c>
    </row>
    <row r="2592" spans="1:5" x14ac:dyDescent="0.25">
      <c r="A2592" s="44" t="s">
        <v>5670</v>
      </c>
      <c r="B2592" s="38" t="s">
        <v>5671</v>
      </c>
      <c r="C2592" s="43">
        <v>164400</v>
      </c>
      <c r="D2592" s="11">
        <v>144672</v>
      </c>
      <c r="E2592" s="14">
        <v>0.12</v>
      </c>
    </row>
    <row r="2593" spans="1:5" x14ac:dyDescent="0.25">
      <c r="A2593" s="44" t="s">
        <v>5672</v>
      </c>
      <c r="B2593" s="38" t="s">
        <v>5673</v>
      </c>
      <c r="C2593" s="43">
        <v>300</v>
      </c>
      <c r="D2593" s="11">
        <v>264</v>
      </c>
      <c r="E2593" s="14">
        <v>0.12</v>
      </c>
    </row>
    <row r="2594" spans="1:5" x14ac:dyDescent="0.25">
      <c r="A2594" s="44" t="s">
        <v>5674</v>
      </c>
      <c r="B2594" s="38" t="s">
        <v>5675</v>
      </c>
      <c r="C2594" s="43">
        <v>300</v>
      </c>
      <c r="D2594" s="11">
        <v>264</v>
      </c>
      <c r="E2594" s="14">
        <v>0.12</v>
      </c>
    </row>
    <row r="2595" spans="1:5" x14ac:dyDescent="0.25">
      <c r="A2595" s="44" t="s">
        <v>5676</v>
      </c>
      <c r="B2595" s="38" t="s">
        <v>5677</v>
      </c>
      <c r="C2595" s="43">
        <v>300</v>
      </c>
      <c r="D2595" s="11">
        <v>264</v>
      </c>
      <c r="E2595" s="14">
        <v>0.12</v>
      </c>
    </row>
    <row r="2596" spans="1:5" x14ac:dyDescent="0.25">
      <c r="A2596" s="44" t="s">
        <v>5678</v>
      </c>
      <c r="B2596" s="38" t="s">
        <v>5679</v>
      </c>
      <c r="C2596" s="43">
        <v>1020</v>
      </c>
      <c r="D2596" s="11">
        <v>897.6</v>
      </c>
      <c r="E2596" s="14">
        <v>0.12</v>
      </c>
    </row>
    <row r="2597" spans="1:5" x14ac:dyDescent="0.25">
      <c r="A2597" s="44" t="s">
        <v>5680</v>
      </c>
      <c r="B2597" s="38" t="s">
        <v>5681</v>
      </c>
      <c r="C2597" s="43">
        <v>630</v>
      </c>
      <c r="D2597" s="11">
        <v>554.4</v>
      </c>
      <c r="E2597" s="14">
        <v>0.12</v>
      </c>
    </row>
    <row r="2598" spans="1:5" x14ac:dyDescent="0.25">
      <c r="A2598" s="44" t="s">
        <v>5682</v>
      </c>
      <c r="B2598" s="38" t="s">
        <v>5683</v>
      </c>
      <c r="C2598" s="43">
        <v>2040</v>
      </c>
      <c r="D2598" s="11">
        <v>1795.2</v>
      </c>
      <c r="E2598" s="14">
        <v>0.12</v>
      </c>
    </row>
    <row r="2599" spans="1:5" x14ac:dyDescent="0.25">
      <c r="A2599" s="44" t="s">
        <v>5684</v>
      </c>
      <c r="B2599" s="38" t="s">
        <v>5685</v>
      </c>
      <c r="C2599" s="43">
        <v>1020</v>
      </c>
      <c r="D2599" s="11">
        <v>897.6</v>
      </c>
      <c r="E2599" s="14">
        <v>0.12</v>
      </c>
    </row>
    <row r="2600" spans="1:5" x14ac:dyDescent="0.25">
      <c r="A2600" s="44" t="s">
        <v>5686</v>
      </c>
      <c r="B2600" s="38" t="s">
        <v>5687</v>
      </c>
      <c r="C2600" s="43">
        <v>540</v>
      </c>
      <c r="D2600" s="11">
        <v>475.2</v>
      </c>
      <c r="E2600" s="14">
        <v>0.12</v>
      </c>
    </row>
    <row r="2601" spans="1:5" x14ac:dyDescent="0.25">
      <c r="A2601" s="44" t="s">
        <v>5688</v>
      </c>
      <c r="B2601" s="38" t="s">
        <v>5689</v>
      </c>
      <c r="C2601" s="43">
        <v>270</v>
      </c>
      <c r="D2601" s="11">
        <v>237.6</v>
      </c>
      <c r="E2601" s="14">
        <v>0.12</v>
      </c>
    </row>
    <row r="2602" spans="1:5" x14ac:dyDescent="0.25">
      <c r="A2602" s="44" t="s">
        <v>5690</v>
      </c>
      <c r="B2602" s="38" t="s">
        <v>5691</v>
      </c>
      <c r="C2602" s="43">
        <v>2640</v>
      </c>
      <c r="D2602" s="11">
        <v>2323.1999999999998</v>
      </c>
      <c r="E2602" s="14">
        <v>0.12000000000000011</v>
      </c>
    </row>
    <row r="2603" spans="1:5" x14ac:dyDescent="0.25">
      <c r="A2603" s="44" t="s">
        <v>5692</v>
      </c>
      <c r="B2603" s="38" t="s">
        <v>5693</v>
      </c>
      <c r="C2603" s="43">
        <v>4080</v>
      </c>
      <c r="D2603" s="11">
        <v>3590.4</v>
      </c>
      <c r="E2603" s="14">
        <v>0.12</v>
      </c>
    </row>
    <row r="2604" spans="1:5" x14ac:dyDescent="0.25">
      <c r="A2604" s="44" t="s">
        <v>5694</v>
      </c>
      <c r="B2604" s="38" t="s">
        <v>5695</v>
      </c>
      <c r="C2604" s="43">
        <v>2640</v>
      </c>
      <c r="D2604" s="11">
        <v>2323.1999999999998</v>
      </c>
      <c r="E2604" s="14">
        <v>0.12000000000000011</v>
      </c>
    </row>
    <row r="2605" spans="1:5" x14ac:dyDescent="0.25">
      <c r="A2605" s="44" t="s">
        <v>5696</v>
      </c>
      <c r="B2605" s="38" t="s">
        <v>5697</v>
      </c>
      <c r="C2605" s="43">
        <v>7260</v>
      </c>
      <c r="D2605" s="11">
        <v>6388.8</v>
      </c>
      <c r="E2605" s="14">
        <v>0.12</v>
      </c>
    </row>
    <row r="2606" spans="1:5" x14ac:dyDescent="0.25">
      <c r="A2606" s="44" t="s">
        <v>5698</v>
      </c>
      <c r="B2606" s="38" t="s">
        <v>5699</v>
      </c>
      <c r="C2606" s="43">
        <v>1290</v>
      </c>
      <c r="D2606" s="11">
        <v>1135.2</v>
      </c>
      <c r="E2606" s="14">
        <v>0.12</v>
      </c>
    </row>
    <row r="2607" spans="1:5" x14ac:dyDescent="0.25">
      <c r="A2607" s="44" t="s">
        <v>5700</v>
      </c>
      <c r="B2607" s="38" t="s">
        <v>5701</v>
      </c>
      <c r="C2607" s="43">
        <v>4980</v>
      </c>
      <c r="D2607" s="11">
        <v>4382.3999999999996</v>
      </c>
      <c r="E2607" s="14">
        <v>0.12000000000000011</v>
      </c>
    </row>
    <row r="2608" spans="1:5" x14ac:dyDescent="0.25">
      <c r="A2608" s="44" t="s">
        <v>5702</v>
      </c>
      <c r="B2608" s="38" t="s">
        <v>5703</v>
      </c>
      <c r="C2608" s="43">
        <v>1890</v>
      </c>
      <c r="D2608" s="11">
        <v>1663.2</v>
      </c>
      <c r="E2608" s="14">
        <v>0.12</v>
      </c>
    </row>
    <row r="2609" spans="1:5" x14ac:dyDescent="0.25">
      <c r="A2609" s="44" t="s">
        <v>5704</v>
      </c>
      <c r="B2609" s="38" t="s">
        <v>5705</v>
      </c>
      <c r="C2609" s="43">
        <v>1650</v>
      </c>
      <c r="D2609" s="11">
        <v>1452</v>
      </c>
      <c r="E2609" s="14">
        <v>0.12</v>
      </c>
    </row>
    <row r="2610" spans="1:5" x14ac:dyDescent="0.25">
      <c r="A2610" s="44" t="s">
        <v>5706</v>
      </c>
      <c r="B2610" s="38" t="s">
        <v>5707</v>
      </c>
      <c r="C2610" s="43">
        <v>4230</v>
      </c>
      <c r="D2610" s="11">
        <v>3722.4</v>
      </c>
      <c r="E2610" s="14">
        <v>0.12</v>
      </c>
    </row>
    <row r="2611" spans="1:5" x14ac:dyDescent="0.25">
      <c r="A2611" s="44" t="s">
        <v>5708</v>
      </c>
      <c r="B2611" s="38" t="s">
        <v>5709</v>
      </c>
      <c r="C2611" s="43">
        <v>540</v>
      </c>
      <c r="D2611" s="11">
        <v>475.2</v>
      </c>
      <c r="E2611" s="14">
        <v>0.12</v>
      </c>
    </row>
    <row r="2612" spans="1:5" x14ac:dyDescent="0.25">
      <c r="A2612" s="44" t="s">
        <v>5710</v>
      </c>
      <c r="B2612" s="38" t="s">
        <v>5711</v>
      </c>
      <c r="C2612" s="43">
        <v>1290</v>
      </c>
      <c r="D2612" s="11">
        <v>1135.2</v>
      </c>
      <c r="E2612" s="14">
        <v>0.12</v>
      </c>
    </row>
    <row r="2613" spans="1:5" x14ac:dyDescent="0.25">
      <c r="A2613" s="44" t="s">
        <v>5712</v>
      </c>
      <c r="B2613" s="38" t="s">
        <v>5713</v>
      </c>
      <c r="C2613" s="43">
        <v>780</v>
      </c>
      <c r="D2613" s="11">
        <v>686.4</v>
      </c>
      <c r="E2613" s="14">
        <v>0.12</v>
      </c>
    </row>
    <row r="2614" spans="1:5" x14ac:dyDescent="0.25">
      <c r="A2614" s="44" t="s">
        <v>5714</v>
      </c>
      <c r="B2614" s="38" t="s">
        <v>5715</v>
      </c>
      <c r="C2614" s="43">
        <v>1920</v>
      </c>
      <c r="D2614" s="11">
        <v>1689.6</v>
      </c>
      <c r="E2614" s="14">
        <v>0.12</v>
      </c>
    </row>
    <row r="2615" spans="1:5" x14ac:dyDescent="0.25">
      <c r="A2615" s="44" t="s">
        <v>5716</v>
      </c>
      <c r="B2615" s="38" t="s">
        <v>5717</v>
      </c>
      <c r="C2615" s="43">
        <v>7260</v>
      </c>
      <c r="D2615" s="11">
        <v>6388.8</v>
      </c>
      <c r="E2615" s="14">
        <v>0.12</v>
      </c>
    </row>
    <row r="2616" spans="1:5" x14ac:dyDescent="0.25">
      <c r="A2616" s="44" t="s">
        <v>5718</v>
      </c>
      <c r="B2616" s="38" t="s">
        <v>5719</v>
      </c>
      <c r="C2616" s="43">
        <v>2040</v>
      </c>
      <c r="D2616" s="11">
        <v>1795.2</v>
      </c>
      <c r="E2616" s="14">
        <v>0.12</v>
      </c>
    </row>
    <row r="2617" spans="1:5" x14ac:dyDescent="0.25">
      <c r="A2617" s="44" t="s">
        <v>5720</v>
      </c>
      <c r="B2617" s="38" t="s">
        <v>5721</v>
      </c>
      <c r="C2617" s="43">
        <v>2040</v>
      </c>
      <c r="D2617" s="11">
        <v>1795.2</v>
      </c>
      <c r="E2617" s="14">
        <v>0.12</v>
      </c>
    </row>
    <row r="2618" spans="1:5" x14ac:dyDescent="0.25">
      <c r="A2618" s="44" t="s">
        <v>5722</v>
      </c>
      <c r="B2618" s="38" t="s">
        <v>5723</v>
      </c>
      <c r="C2618" s="43">
        <v>660</v>
      </c>
      <c r="D2618" s="11">
        <v>580.79999999999995</v>
      </c>
      <c r="E2618" s="14">
        <v>0.12000000000000011</v>
      </c>
    </row>
    <row r="2619" spans="1:5" x14ac:dyDescent="0.25">
      <c r="A2619" s="44" t="s">
        <v>5724</v>
      </c>
      <c r="B2619" s="38" t="s">
        <v>5725</v>
      </c>
      <c r="C2619" s="43">
        <v>1650</v>
      </c>
      <c r="D2619" s="11">
        <v>1452</v>
      </c>
      <c r="E2619" s="14">
        <v>0.12</v>
      </c>
    </row>
    <row r="2620" spans="1:5" x14ac:dyDescent="0.25">
      <c r="A2620" s="44" t="s">
        <v>5726</v>
      </c>
      <c r="B2620" s="38" t="s">
        <v>5727</v>
      </c>
      <c r="C2620" s="43">
        <v>9390</v>
      </c>
      <c r="D2620" s="11">
        <v>8263.2000000000007</v>
      </c>
      <c r="E2620" s="14">
        <v>0.11999999999999988</v>
      </c>
    </row>
    <row r="2621" spans="1:5" x14ac:dyDescent="0.25">
      <c r="A2621" s="44" t="s">
        <v>5728</v>
      </c>
      <c r="B2621" s="38" t="s">
        <v>5729</v>
      </c>
      <c r="C2621" s="43">
        <v>2040</v>
      </c>
      <c r="D2621" s="11">
        <v>1795.2</v>
      </c>
      <c r="E2621" s="14">
        <v>0.12</v>
      </c>
    </row>
    <row r="2622" spans="1:5" x14ac:dyDescent="0.25">
      <c r="A2622" s="44" t="s">
        <v>5730</v>
      </c>
      <c r="B2622" s="38" t="s">
        <v>5731</v>
      </c>
      <c r="C2622" s="43">
        <v>630</v>
      </c>
      <c r="D2622" s="11">
        <v>554.4</v>
      </c>
      <c r="E2622" s="14">
        <v>0.12</v>
      </c>
    </row>
    <row r="2623" spans="1:5" x14ac:dyDescent="0.25">
      <c r="A2623" s="44" t="s">
        <v>5732</v>
      </c>
      <c r="B2623" s="38" t="s">
        <v>5733</v>
      </c>
      <c r="C2623" s="43">
        <v>420</v>
      </c>
      <c r="D2623" s="11">
        <v>369.6</v>
      </c>
      <c r="E2623" s="14">
        <v>0.12</v>
      </c>
    </row>
    <row r="2624" spans="1:5" x14ac:dyDescent="0.25">
      <c r="A2624" s="44" t="s">
        <v>5734</v>
      </c>
      <c r="B2624" s="38" t="s">
        <v>5735</v>
      </c>
      <c r="C2624" s="43">
        <v>420</v>
      </c>
      <c r="D2624" s="11">
        <v>369.6</v>
      </c>
      <c r="E2624" s="14">
        <v>0.12</v>
      </c>
    </row>
    <row r="2625" spans="1:5" x14ac:dyDescent="0.25">
      <c r="A2625" s="44" t="s">
        <v>5736</v>
      </c>
      <c r="B2625" s="38" t="s">
        <v>5737</v>
      </c>
      <c r="C2625" s="43">
        <v>840</v>
      </c>
      <c r="D2625" s="11">
        <v>739.2</v>
      </c>
      <c r="E2625" s="14">
        <v>0.12</v>
      </c>
    </row>
    <row r="2626" spans="1:5" x14ac:dyDescent="0.25">
      <c r="A2626" s="44" t="s">
        <v>5738</v>
      </c>
      <c r="B2626" s="38" t="s">
        <v>5739</v>
      </c>
      <c r="C2626" s="43">
        <v>630</v>
      </c>
      <c r="D2626" s="11">
        <v>554.4</v>
      </c>
      <c r="E2626" s="14">
        <v>0.12</v>
      </c>
    </row>
    <row r="2627" spans="1:5" x14ac:dyDescent="0.25">
      <c r="A2627" s="44" t="s">
        <v>5740</v>
      </c>
      <c r="B2627" s="38" t="s">
        <v>5741</v>
      </c>
      <c r="C2627" s="43">
        <v>660</v>
      </c>
      <c r="D2627" s="11">
        <v>580.79999999999995</v>
      </c>
      <c r="E2627" s="14">
        <v>0.12000000000000011</v>
      </c>
    </row>
    <row r="2628" spans="1:5" x14ac:dyDescent="0.25">
      <c r="A2628" s="44" t="s">
        <v>5742</v>
      </c>
      <c r="B2628" s="38" t="s">
        <v>5743</v>
      </c>
      <c r="C2628" s="43">
        <v>660</v>
      </c>
      <c r="D2628" s="11">
        <v>580.79999999999995</v>
      </c>
      <c r="E2628" s="14">
        <v>0.12000000000000011</v>
      </c>
    </row>
    <row r="2629" spans="1:5" x14ac:dyDescent="0.25">
      <c r="A2629" s="44" t="s">
        <v>5744</v>
      </c>
      <c r="B2629" s="38" t="s">
        <v>5745</v>
      </c>
      <c r="C2629" s="43">
        <v>660</v>
      </c>
      <c r="D2629" s="11">
        <v>580.79999999999995</v>
      </c>
      <c r="E2629" s="14">
        <v>0.12000000000000011</v>
      </c>
    </row>
    <row r="2630" spans="1:5" x14ac:dyDescent="0.25">
      <c r="A2630" s="44" t="s">
        <v>5746</v>
      </c>
      <c r="B2630" s="38" t="s">
        <v>5747</v>
      </c>
      <c r="C2630" s="43">
        <v>660</v>
      </c>
      <c r="D2630" s="11">
        <v>580.79999999999995</v>
      </c>
      <c r="E2630" s="14">
        <v>0.12000000000000011</v>
      </c>
    </row>
    <row r="2631" spans="1:5" x14ac:dyDescent="0.25">
      <c r="A2631" s="44" t="s">
        <v>5748</v>
      </c>
      <c r="B2631" s="38" t="s">
        <v>5749</v>
      </c>
      <c r="C2631" s="43">
        <v>660</v>
      </c>
      <c r="D2631" s="11">
        <v>580.79999999999995</v>
      </c>
      <c r="E2631" s="14">
        <v>0.12000000000000011</v>
      </c>
    </row>
    <row r="2632" spans="1:5" x14ac:dyDescent="0.25">
      <c r="A2632" s="44" t="s">
        <v>5750</v>
      </c>
      <c r="B2632" s="38" t="s">
        <v>5751</v>
      </c>
      <c r="C2632" s="43">
        <v>1020</v>
      </c>
      <c r="D2632" s="11">
        <v>897.6</v>
      </c>
      <c r="E2632" s="14">
        <v>0.12</v>
      </c>
    </row>
    <row r="2633" spans="1:5" x14ac:dyDescent="0.25">
      <c r="A2633" s="44" t="s">
        <v>5752</v>
      </c>
      <c r="B2633" s="38" t="s">
        <v>5753</v>
      </c>
      <c r="C2633" s="43">
        <v>1560</v>
      </c>
      <c r="D2633" s="11">
        <v>1372.8</v>
      </c>
      <c r="E2633" s="14">
        <v>0.12</v>
      </c>
    </row>
    <row r="2634" spans="1:5" x14ac:dyDescent="0.25">
      <c r="A2634" s="44" t="s">
        <v>5754</v>
      </c>
      <c r="B2634" s="38" t="s">
        <v>5755</v>
      </c>
      <c r="C2634" s="43">
        <v>3270</v>
      </c>
      <c r="D2634" s="11">
        <v>2877.6</v>
      </c>
      <c r="E2634" s="14">
        <v>0.12</v>
      </c>
    </row>
    <row r="2635" spans="1:5" x14ac:dyDescent="0.25">
      <c r="A2635" s="44" t="s">
        <v>5756</v>
      </c>
      <c r="B2635" s="38" t="s">
        <v>5757</v>
      </c>
      <c r="C2635" s="43">
        <v>5940</v>
      </c>
      <c r="D2635" s="11">
        <v>5227.2</v>
      </c>
      <c r="E2635" s="14">
        <v>0.12</v>
      </c>
    </row>
    <row r="2636" spans="1:5" x14ac:dyDescent="0.25">
      <c r="A2636" s="44" t="s">
        <v>5758</v>
      </c>
      <c r="B2636" s="38" t="s">
        <v>5759</v>
      </c>
      <c r="C2636" s="43">
        <v>12210</v>
      </c>
      <c r="D2636" s="11">
        <v>10744.8</v>
      </c>
      <c r="E2636" s="14">
        <v>0.12000000000000011</v>
      </c>
    </row>
    <row r="2637" spans="1:5" x14ac:dyDescent="0.25">
      <c r="A2637" s="44" t="s">
        <v>5760</v>
      </c>
      <c r="B2637" s="38" t="s">
        <v>5761</v>
      </c>
      <c r="C2637" s="43">
        <v>18960</v>
      </c>
      <c r="D2637" s="11">
        <v>16684.8</v>
      </c>
      <c r="E2637" s="14">
        <v>0.12</v>
      </c>
    </row>
    <row r="2638" spans="1:5" x14ac:dyDescent="0.25">
      <c r="A2638" s="44" t="s">
        <v>5762</v>
      </c>
      <c r="B2638" s="38" t="s">
        <v>5763</v>
      </c>
      <c r="C2638" s="43">
        <v>40680</v>
      </c>
      <c r="D2638" s="11">
        <v>35798.400000000001</v>
      </c>
      <c r="E2638" s="14">
        <v>0.12</v>
      </c>
    </row>
    <row r="2639" spans="1:5" x14ac:dyDescent="0.25">
      <c r="A2639" s="44" t="s">
        <v>5764</v>
      </c>
      <c r="B2639" s="38" t="s">
        <v>5765</v>
      </c>
      <c r="C2639" s="43">
        <v>81360</v>
      </c>
      <c r="D2639" s="11">
        <v>71596.800000000003</v>
      </c>
      <c r="E2639" s="14">
        <v>0.12</v>
      </c>
    </row>
    <row r="2640" spans="1:5" x14ac:dyDescent="0.25">
      <c r="A2640" s="44" t="s">
        <v>5766</v>
      </c>
      <c r="B2640" s="38" t="s">
        <v>5767</v>
      </c>
      <c r="C2640" s="43">
        <v>180</v>
      </c>
      <c r="D2640" s="11">
        <v>158.4</v>
      </c>
      <c r="E2640" s="14">
        <v>0.12</v>
      </c>
    </row>
    <row r="2641" spans="1:5" x14ac:dyDescent="0.25">
      <c r="A2641" s="44" t="s">
        <v>5768</v>
      </c>
      <c r="B2641" s="38" t="s">
        <v>5769</v>
      </c>
      <c r="C2641" s="43">
        <v>240</v>
      </c>
      <c r="D2641" s="11">
        <v>211.2</v>
      </c>
      <c r="E2641" s="14">
        <v>0.12</v>
      </c>
    </row>
    <row r="2642" spans="1:5" x14ac:dyDescent="0.25">
      <c r="A2642" s="44" t="s">
        <v>5770</v>
      </c>
      <c r="B2642" s="38" t="s">
        <v>5771</v>
      </c>
      <c r="C2642" s="43">
        <v>630</v>
      </c>
      <c r="D2642" s="11">
        <v>554.4</v>
      </c>
      <c r="E2642" s="14">
        <v>0.12</v>
      </c>
    </row>
    <row r="2643" spans="1:5" x14ac:dyDescent="0.25">
      <c r="A2643" s="44" t="s">
        <v>5772</v>
      </c>
      <c r="B2643" s="38" t="s">
        <v>5773</v>
      </c>
      <c r="C2643" s="43">
        <v>1080</v>
      </c>
      <c r="D2643" s="11">
        <v>950.4</v>
      </c>
      <c r="E2643" s="14">
        <v>0.12</v>
      </c>
    </row>
    <row r="2644" spans="1:5" x14ac:dyDescent="0.25">
      <c r="A2644" s="44" t="s">
        <v>5774</v>
      </c>
      <c r="B2644" s="38" t="s">
        <v>5775</v>
      </c>
      <c r="C2644" s="43">
        <v>2040</v>
      </c>
      <c r="D2644" s="11">
        <v>1795.2</v>
      </c>
      <c r="E2644" s="14">
        <v>0.12</v>
      </c>
    </row>
    <row r="2645" spans="1:5" x14ac:dyDescent="0.25">
      <c r="A2645" s="44" t="s">
        <v>5776</v>
      </c>
      <c r="B2645" s="38" t="s">
        <v>5777</v>
      </c>
      <c r="C2645" s="43">
        <v>3480</v>
      </c>
      <c r="D2645" s="11">
        <v>3062.4</v>
      </c>
      <c r="E2645" s="14">
        <v>0.12</v>
      </c>
    </row>
    <row r="2646" spans="1:5" x14ac:dyDescent="0.25">
      <c r="A2646" s="44" t="s">
        <v>5778</v>
      </c>
      <c r="B2646" s="38" t="s">
        <v>5779</v>
      </c>
      <c r="C2646" s="43">
        <v>6120</v>
      </c>
      <c r="D2646" s="11">
        <v>5385.6</v>
      </c>
      <c r="E2646" s="14">
        <v>0.12</v>
      </c>
    </row>
    <row r="2647" spans="1:5" x14ac:dyDescent="0.25">
      <c r="A2647" s="44" t="s">
        <v>5780</v>
      </c>
      <c r="B2647" s="38" t="s">
        <v>5781</v>
      </c>
      <c r="C2647" s="43">
        <v>12210</v>
      </c>
      <c r="D2647" s="11">
        <v>10744.8</v>
      </c>
      <c r="E2647" s="14">
        <v>0.12000000000000011</v>
      </c>
    </row>
    <row r="2648" spans="1:5" x14ac:dyDescent="0.25">
      <c r="A2648" s="44" t="s">
        <v>5782</v>
      </c>
      <c r="B2648" s="38" t="s">
        <v>5783</v>
      </c>
      <c r="C2648" s="43">
        <v>330</v>
      </c>
      <c r="D2648" s="11">
        <v>290.39999999999998</v>
      </c>
      <c r="E2648" s="14">
        <v>0.12000000000000011</v>
      </c>
    </row>
    <row r="2649" spans="1:5" x14ac:dyDescent="0.25">
      <c r="A2649" s="44" t="s">
        <v>5784</v>
      </c>
      <c r="B2649" s="38" t="s">
        <v>5785</v>
      </c>
      <c r="C2649" s="43">
        <v>450</v>
      </c>
      <c r="D2649" s="11">
        <v>396</v>
      </c>
      <c r="E2649" s="14">
        <v>0.12</v>
      </c>
    </row>
    <row r="2650" spans="1:5" x14ac:dyDescent="0.25">
      <c r="A2650" s="44" t="s">
        <v>5786</v>
      </c>
      <c r="B2650" s="38" t="s">
        <v>5787</v>
      </c>
      <c r="C2650" s="43">
        <v>1290</v>
      </c>
      <c r="D2650" s="11">
        <v>1135.2</v>
      </c>
      <c r="E2650" s="14">
        <v>0.12</v>
      </c>
    </row>
    <row r="2651" spans="1:5" x14ac:dyDescent="0.25">
      <c r="A2651" s="44" t="s">
        <v>5788</v>
      </c>
      <c r="B2651" s="38" t="s">
        <v>5789</v>
      </c>
      <c r="C2651" s="43">
        <v>2070</v>
      </c>
      <c r="D2651" s="11">
        <v>1821.6</v>
      </c>
      <c r="E2651" s="14">
        <v>0.12</v>
      </c>
    </row>
    <row r="2652" spans="1:5" x14ac:dyDescent="0.25">
      <c r="A2652" s="44" t="s">
        <v>5790</v>
      </c>
      <c r="B2652" s="38" t="s">
        <v>5791</v>
      </c>
      <c r="C2652" s="43">
        <v>4290</v>
      </c>
      <c r="D2652" s="11">
        <v>3775.2</v>
      </c>
      <c r="E2652" s="14">
        <v>0.12</v>
      </c>
    </row>
    <row r="2653" spans="1:5" x14ac:dyDescent="0.25">
      <c r="A2653" s="44" t="s">
        <v>5792</v>
      </c>
      <c r="B2653" s="38" t="s">
        <v>5793</v>
      </c>
      <c r="C2653" s="43">
        <v>6570</v>
      </c>
      <c r="D2653" s="11">
        <v>5781.6</v>
      </c>
      <c r="E2653" s="14">
        <v>0.12</v>
      </c>
    </row>
    <row r="2654" spans="1:5" x14ac:dyDescent="0.25">
      <c r="A2654" s="44" t="s">
        <v>5794</v>
      </c>
      <c r="B2654" s="38" t="s">
        <v>5795</v>
      </c>
      <c r="C2654" s="43">
        <v>14250</v>
      </c>
      <c r="D2654" s="11">
        <v>12540</v>
      </c>
      <c r="E2654" s="14">
        <v>0.12</v>
      </c>
    </row>
    <row r="2655" spans="1:5" x14ac:dyDescent="0.25">
      <c r="A2655" s="44" t="s">
        <v>5796</v>
      </c>
      <c r="B2655" s="38" t="s">
        <v>5797</v>
      </c>
      <c r="C2655" s="43">
        <v>28470</v>
      </c>
      <c r="D2655" s="11">
        <v>25053.599999999999</v>
      </c>
      <c r="E2655" s="14">
        <v>0.12000000000000011</v>
      </c>
    </row>
    <row r="2656" spans="1:5" x14ac:dyDescent="0.25">
      <c r="A2656" s="44" t="s">
        <v>5798</v>
      </c>
      <c r="B2656" s="38" t="s">
        <v>5799</v>
      </c>
      <c r="C2656" s="43">
        <v>990</v>
      </c>
      <c r="D2656" s="11">
        <v>871.2</v>
      </c>
      <c r="E2656" s="14">
        <v>0.12</v>
      </c>
    </row>
    <row r="2657" spans="1:5" x14ac:dyDescent="0.25">
      <c r="A2657" s="44" t="s">
        <v>5800</v>
      </c>
      <c r="B2657" s="38" t="s">
        <v>5801</v>
      </c>
      <c r="C2657" s="43">
        <v>990</v>
      </c>
      <c r="D2657" s="11">
        <v>871.2</v>
      </c>
      <c r="E2657" s="14">
        <v>0.12</v>
      </c>
    </row>
    <row r="2658" spans="1:5" x14ac:dyDescent="0.25">
      <c r="A2658" s="44" t="s">
        <v>5802</v>
      </c>
      <c r="B2658" s="38" t="s">
        <v>5803</v>
      </c>
      <c r="C2658" s="43">
        <v>990</v>
      </c>
      <c r="D2658" s="11">
        <v>871.2</v>
      </c>
      <c r="E2658" s="14">
        <v>0.12</v>
      </c>
    </row>
    <row r="2659" spans="1:5" x14ac:dyDescent="0.25">
      <c r="A2659" s="44" t="s">
        <v>5804</v>
      </c>
      <c r="B2659" s="38" t="s">
        <v>5805</v>
      </c>
      <c r="C2659" s="43">
        <v>990</v>
      </c>
      <c r="D2659" s="11">
        <v>871.2</v>
      </c>
      <c r="E2659" s="14">
        <v>0.12</v>
      </c>
    </row>
    <row r="2660" spans="1:5" x14ac:dyDescent="0.25">
      <c r="A2660" s="44" t="s">
        <v>5806</v>
      </c>
      <c r="B2660" s="38" t="s">
        <v>5807</v>
      </c>
      <c r="C2660" s="43">
        <v>990</v>
      </c>
      <c r="D2660" s="11">
        <v>871.2</v>
      </c>
      <c r="E2660" s="14">
        <v>0.12</v>
      </c>
    </row>
    <row r="2661" spans="1:5" x14ac:dyDescent="0.25">
      <c r="A2661" s="44" t="s">
        <v>5808</v>
      </c>
      <c r="B2661" s="38" t="s">
        <v>5809</v>
      </c>
      <c r="C2661" s="43">
        <v>780</v>
      </c>
      <c r="D2661" s="11">
        <v>686.4</v>
      </c>
      <c r="E2661" s="14">
        <v>0.12</v>
      </c>
    </row>
    <row r="2662" spans="1:5" x14ac:dyDescent="0.25">
      <c r="A2662" s="44" t="s">
        <v>5810</v>
      </c>
      <c r="B2662" s="38" t="s">
        <v>5811</v>
      </c>
      <c r="C2662" s="43">
        <v>150</v>
      </c>
      <c r="D2662" s="11">
        <v>132</v>
      </c>
      <c r="E2662" s="14">
        <v>0.12</v>
      </c>
    </row>
    <row r="2663" spans="1:5" x14ac:dyDescent="0.25">
      <c r="A2663" s="44" t="s">
        <v>5812</v>
      </c>
      <c r="B2663" s="38" t="s">
        <v>5813</v>
      </c>
      <c r="C2663" s="43">
        <v>750</v>
      </c>
      <c r="D2663" s="11">
        <v>660</v>
      </c>
      <c r="E2663" s="14">
        <v>0.12</v>
      </c>
    </row>
    <row r="2664" spans="1:5" x14ac:dyDescent="0.25">
      <c r="A2664" s="44" t="s">
        <v>5814</v>
      </c>
      <c r="B2664" s="38" t="s">
        <v>5815</v>
      </c>
      <c r="C2664" s="43">
        <v>750</v>
      </c>
      <c r="D2664" s="11">
        <v>660</v>
      </c>
      <c r="E2664" s="14">
        <v>0.12</v>
      </c>
    </row>
    <row r="2665" spans="1:5" x14ac:dyDescent="0.25">
      <c r="A2665" s="44" t="s">
        <v>5816</v>
      </c>
      <c r="B2665" s="38" t="s">
        <v>5817</v>
      </c>
      <c r="C2665" s="43">
        <v>750</v>
      </c>
      <c r="D2665" s="11">
        <v>660</v>
      </c>
      <c r="E2665" s="14">
        <v>0.12</v>
      </c>
    </row>
    <row r="2666" spans="1:5" x14ac:dyDescent="0.25">
      <c r="A2666" s="44" t="s">
        <v>5818</v>
      </c>
      <c r="B2666" s="38" t="s">
        <v>5819</v>
      </c>
      <c r="C2666" s="43">
        <v>195</v>
      </c>
      <c r="D2666" s="11">
        <v>171.6</v>
      </c>
      <c r="E2666" s="14">
        <v>0.12</v>
      </c>
    </row>
    <row r="2667" spans="1:5" x14ac:dyDescent="0.25">
      <c r="A2667" s="44" t="s">
        <v>5820</v>
      </c>
      <c r="B2667" s="38" t="s">
        <v>5821</v>
      </c>
      <c r="C2667" s="43">
        <v>435</v>
      </c>
      <c r="D2667" s="11">
        <v>382.8</v>
      </c>
      <c r="E2667" s="14">
        <v>0.12</v>
      </c>
    </row>
    <row r="2668" spans="1:5" x14ac:dyDescent="0.25">
      <c r="A2668" s="44" t="s">
        <v>5822</v>
      </c>
      <c r="B2668" s="38" t="s">
        <v>5823</v>
      </c>
      <c r="C2668" s="43">
        <v>1800</v>
      </c>
      <c r="D2668" s="11">
        <v>1584</v>
      </c>
      <c r="E2668" s="14">
        <v>0.12</v>
      </c>
    </row>
    <row r="2669" spans="1:5" x14ac:dyDescent="0.25">
      <c r="A2669" s="44" t="s">
        <v>5824</v>
      </c>
      <c r="B2669" s="38" t="s">
        <v>5825</v>
      </c>
      <c r="C2669" s="43">
        <v>97.5</v>
      </c>
      <c r="D2669" s="11">
        <v>85.8</v>
      </c>
      <c r="E2669" s="14">
        <v>0.12</v>
      </c>
    </row>
    <row r="2670" spans="1:5" x14ac:dyDescent="0.25">
      <c r="A2670" s="44" t="s">
        <v>5826</v>
      </c>
      <c r="B2670" s="38" t="s">
        <v>5827</v>
      </c>
      <c r="C2670" s="43">
        <v>367.5</v>
      </c>
      <c r="D2670" s="11">
        <v>323.39999999999998</v>
      </c>
      <c r="E2670" s="14">
        <v>0.12000000000000011</v>
      </c>
    </row>
    <row r="2671" spans="1:5" x14ac:dyDescent="0.25">
      <c r="A2671" s="44" t="s">
        <v>5828</v>
      </c>
      <c r="B2671" s="38" t="s">
        <v>5829</v>
      </c>
      <c r="C2671" s="43">
        <v>360</v>
      </c>
      <c r="D2671" s="11">
        <v>316.8</v>
      </c>
      <c r="E2671" s="14">
        <v>0.12</v>
      </c>
    </row>
    <row r="2672" spans="1:5" x14ac:dyDescent="0.25">
      <c r="A2672" s="44" t="s">
        <v>5830</v>
      </c>
      <c r="B2672" s="38" t="s">
        <v>5831</v>
      </c>
      <c r="C2672" s="43">
        <v>90</v>
      </c>
      <c r="D2672" s="11">
        <v>79.2</v>
      </c>
      <c r="E2672" s="14">
        <v>0.12</v>
      </c>
    </row>
    <row r="2673" spans="1:5" x14ac:dyDescent="0.25">
      <c r="A2673" s="44" t="s">
        <v>5832</v>
      </c>
      <c r="B2673" s="38" t="s">
        <v>5833</v>
      </c>
      <c r="C2673" s="43">
        <v>1200</v>
      </c>
      <c r="D2673" s="11">
        <v>1056</v>
      </c>
      <c r="E2673" s="14">
        <v>0.12</v>
      </c>
    </row>
    <row r="2674" spans="1:5" x14ac:dyDescent="0.25">
      <c r="A2674" s="44" t="s">
        <v>5834</v>
      </c>
      <c r="B2674" s="38" t="s">
        <v>5835</v>
      </c>
      <c r="C2674" s="43">
        <v>765</v>
      </c>
      <c r="D2674" s="11">
        <v>673.2</v>
      </c>
      <c r="E2674" s="14">
        <v>0.12</v>
      </c>
    </row>
    <row r="2675" spans="1:5" x14ac:dyDescent="0.25">
      <c r="A2675" s="44" t="s">
        <v>5836</v>
      </c>
      <c r="B2675" s="38" t="s">
        <v>5837</v>
      </c>
      <c r="C2675" s="43">
        <v>27</v>
      </c>
      <c r="D2675" s="11">
        <v>23.76</v>
      </c>
      <c r="E2675" s="14">
        <v>0.12</v>
      </c>
    </row>
    <row r="2676" spans="1:5" x14ac:dyDescent="0.25">
      <c r="A2676" s="44" t="s">
        <v>5838</v>
      </c>
      <c r="B2676" s="38" t="s">
        <v>5839</v>
      </c>
      <c r="C2676" s="43">
        <v>30</v>
      </c>
      <c r="D2676" s="11">
        <v>26.4</v>
      </c>
      <c r="E2676" s="14">
        <v>0.12</v>
      </c>
    </row>
    <row r="2677" spans="1:5" x14ac:dyDescent="0.25">
      <c r="A2677" s="44" t="s">
        <v>5840</v>
      </c>
      <c r="B2677" s="38" t="s">
        <v>5841</v>
      </c>
      <c r="C2677" s="43">
        <v>30</v>
      </c>
      <c r="D2677" s="11">
        <v>26.4</v>
      </c>
      <c r="E2677" s="14">
        <v>0.12</v>
      </c>
    </row>
    <row r="2678" spans="1:5" x14ac:dyDescent="0.25">
      <c r="A2678" s="44" t="s">
        <v>5842</v>
      </c>
      <c r="B2678" s="38" t="s">
        <v>5843</v>
      </c>
      <c r="C2678" s="43">
        <v>600</v>
      </c>
      <c r="D2678" s="11">
        <v>528</v>
      </c>
      <c r="E2678" s="14">
        <v>0.12</v>
      </c>
    </row>
    <row r="2679" spans="1:5" x14ac:dyDescent="0.25">
      <c r="A2679" s="44" t="s">
        <v>5844</v>
      </c>
      <c r="B2679" s="38" t="s">
        <v>5845</v>
      </c>
      <c r="C2679" s="43">
        <v>2250</v>
      </c>
      <c r="D2679" s="11">
        <v>1980</v>
      </c>
      <c r="E2679" s="14">
        <v>0.12</v>
      </c>
    </row>
    <row r="2680" spans="1:5" x14ac:dyDescent="0.25">
      <c r="A2680" s="44" t="s">
        <v>5846</v>
      </c>
      <c r="B2680" s="38" t="s">
        <v>5847</v>
      </c>
      <c r="C2680" s="43">
        <v>4500</v>
      </c>
      <c r="D2680" s="11">
        <v>3960</v>
      </c>
      <c r="E2680" s="14">
        <v>0.12</v>
      </c>
    </row>
    <row r="2681" spans="1:5" x14ac:dyDescent="0.25">
      <c r="A2681" s="44" t="s">
        <v>5848</v>
      </c>
      <c r="B2681" s="38" t="s">
        <v>5849</v>
      </c>
      <c r="C2681" s="43">
        <v>96</v>
      </c>
      <c r="D2681" s="11">
        <v>84.48</v>
      </c>
      <c r="E2681" s="14">
        <v>0.12</v>
      </c>
    </row>
    <row r="2682" spans="1:5" x14ac:dyDescent="0.25">
      <c r="A2682" s="44" t="s">
        <v>5850</v>
      </c>
      <c r="B2682" s="38" t="s">
        <v>5851</v>
      </c>
      <c r="C2682" s="43">
        <v>16650</v>
      </c>
      <c r="D2682" s="11">
        <v>14652</v>
      </c>
      <c r="E2682" s="14">
        <v>0.12</v>
      </c>
    </row>
    <row r="2683" spans="1:5" x14ac:dyDescent="0.25">
      <c r="A2683" s="44" t="s">
        <v>5852</v>
      </c>
      <c r="B2683" s="38" t="s">
        <v>5853</v>
      </c>
      <c r="C2683" s="43">
        <v>27990</v>
      </c>
      <c r="D2683" s="11">
        <v>24631.200000000001</v>
      </c>
      <c r="E2683" s="14">
        <v>0.12</v>
      </c>
    </row>
    <row r="2684" spans="1:5" x14ac:dyDescent="0.25">
      <c r="A2684" s="44" t="s">
        <v>5854</v>
      </c>
      <c r="B2684" s="38" t="s">
        <v>5855</v>
      </c>
      <c r="C2684" s="43">
        <v>47070</v>
      </c>
      <c r="D2684" s="11">
        <v>41421.599999999999</v>
      </c>
      <c r="E2684" s="14">
        <v>0.12</v>
      </c>
    </row>
    <row r="2685" spans="1:5" x14ac:dyDescent="0.25">
      <c r="A2685" s="44" t="s">
        <v>5856</v>
      </c>
      <c r="B2685" s="38" t="s">
        <v>5857</v>
      </c>
      <c r="C2685" s="43">
        <v>79140</v>
      </c>
      <c r="D2685" s="11">
        <v>69643.199999999997</v>
      </c>
      <c r="E2685" s="14">
        <v>0.12</v>
      </c>
    </row>
    <row r="2686" spans="1:5" x14ac:dyDescent="0.25">
      <c r="A2686" s="44" t="s">
        <v>5858</v>
      </c>
      <c r="B2686" s="38" t="s">
        <v>5859</v>
      </c>
      <c r="C2686" s="43">
        <v>157290</v>
      </c>
      <c r="D2686" s="11">
        <v>138415.20000000001</v>
      </c>
      <c r="E2686" s="14">
        <v>0.11999999999999988</v>
      </c>
    </row>
    <row r="2687" spans="1:5" x14ac:dyDescent="0.25">
      <c r="A2687" s="44" t="s">
        <v>5860</v>
      </c>
      <c r="B2687" s="38" t="s">
        <v>5861</v>
      </c>
      <c r="C2687" s="43">
        <v>1770</v>
      </c>
      <c r="D2687" s="11">
        <v>1557.6</v>
      </c>
      <c r="E2687" s="14">
        <v>0.12000000000000011</v>
      </c>
    </row>
    <row r="2688" spans="1:5" x14ac:dyDescent="0.25">
      <c r="A2688" s="44" t="s">
        <v>5862</v>
      </c>
      <c r="B2688" s="38" t="s">
        <v>5863</v>
      </c>
      <c r="C2688" s="43">
        <v>9870</v>
      </c>
      <c r="D2688" s="11">
        <v>8685.6</v>
      </c>
      <c r="E2688" s="14">
        <v>0.12</v>
      </c>
    </row>
    <row r="2689" spans="1:5" x14ac:dyDescent="0.25">
      <c r="A2689" s="44" t="s">
        <v>5864</v>
      </c>
      <c r="B2689" s="38" t="s">
        <v>5865</v>
      </c>
      <c r="C2689" s="43">
        <v>14490</v>
      </c>
      <c r="D2689" s="11">
        <v>12751.2</v>
      </c>
      <c r="E2689" s="14">
        <v>0.12</v>
      </c>
    </row>
    <row r="2690" spans="1:5" x14ac:dyDescent="0.25">
      <c r="A2690" s="44" t="s">
        <v>5866</v>
      </c>
      <c r="B2690" s="38" t="s">
        <v>5867</v>
      </c>
      <c r="C2690" s="43">
        <v>2100</v>
      </c>
      <c r="D2690" s="11">
        <v>1848</v>
      </c>
      <c r="E2690" s="14">
        <v>0.12</v>
      </c>
    </row>
    <row r="2691" spans="1:5" x14ac:dyDescent="0.25">
      <c r="A2691" s="44" t="s">
        <v>5868</v>
      </c>
      <c r="B2691" s="38" t="s">
        <v>5869</v>
      </c>
      <c r="C2691" s="43">
        <v>4170</v>
      </c>
      <c r="D2691" s="11">
        <v>3669.6</v>
      </c>
      <c r="E2691" s="14">
        <v>0.12</v>
      </c>
    </row>
    <row r="2692" spans="1:5" x14ac:dyDescent="0.25">
      <c r="A2692" s="44" t="s">
        <v>5870</v>
      </c>
      <c r="B2692" s="38" t="s">
        <v>5871</v>
      </c>
      <c r="C2692" s="43">
        <v>9480</v>
      </c>
      <c r="D2692" s="11">
        <v>8342.4</v>
      </c>
      <c r="E2692" s="14">
        <v>0.12</v>
      </c>
    </row>
    <row r="2693" spans="1:5" x14ac:dyDescent="0.25">
      <c r="A2693" s="44" t="s">
        <v>5872</v>
      </c>
      <c r="B2693" s="38" t="s">
        <v>5873</v>
      </c>
      <c r="C2693" s="43">
        <v>11790</v>
      </c>
      <c r="D2693" s="11">
        <v>10375.200000000001</v>
      </c>
      <c r="E2693" s="14">
        <v>0.11999999999999988</v>
      </c>
    </row>
    <row r="2694" spans="1:5" x14ac:dyDescent="0.25">
      <c r="A2694" s="44" t="s">
        <v>5874</v>
      </c>
      <c r="B2694" s="38" t="s">
        <v>5875</v>
      </c>
      <c r="C2694" s="43">
        <v>23400</v>
      </c>
      <c r="D2694" s="11">
        <v>20592</v>
      </c>
      <c r="E2694" s="14">
        <v>0.12</v>
      </c>
    </row>
    <row r="2695" spans="1:5" x14ac:dyDescent="0.25">
      <c r="A2695" s="44" t="s">
        <v>5876</v>
      </c>
      <c r="B2695" s="38" t="s">
        <v>5877</v>
      </c>
      <c r="C2695" s="43">
        <v>39330</v>
      </c>
      <c r="D2695" s="11">
        <v>34610.400000000001</v>
      </c>
      <c r="E2695" s="14">
        <v>0.12</v>
      </c>
    </row>
    <row r="2696" spans="1:5" x14ac:dyDescent="0.25">
      <c r="A2696" s="44" t="s">
        <v>5878</v>
      </c>
      <c r="B2696" s="38" t="s">
        <v>5879</v>
      </c>
      <c r="C2696" s="43">
        <v>1083</v>
      </c>
      <c r="D2696" s="11">
        <v>953.04</v>
      </c>
      <c r="E2696" s="14">
        <v>0.12</v>
      </c>
    </row>
    <row r="2697" spans="1:5" x14ac:dyDescent="0.25">
      <c r="A2697" s="44" t="s">
        <v>5880</v>
      </c>
      <c r="B2697" s="38" t="s">
        <v>5881</v>
      </c>
      <c r="C2697" s="43">
        <v>2490</v>
      </c>
      <c r="D2697" s="11">
        <v>2191.1999999999998</v>
      </c>
      <c r="E2697" s="14">
        <v>0.12000000000000011</v>
      </c>
    </row>
    <row r="2698" spans="1:5" x14ac:dyDescent="0.25">
      <c r="A2698" s="44" t="s">
        <v>5882</v>
      </c>
      <c r="B2698" s="38" t="s">
        <v>5883</v>
      </c>
      <c r="C2698" s="43">
        <v>21</v>
      </c>
      <c r="D2698" s="11">
        <v>18.48</v>
      </c>
      <c r="E2698" s="14">
        <v>0.12</v>
      </c>
    </row>
    <row r="2699" spans="1:5" x14ac:dyDescent="0.25">
      <c r="A2699" s="44" t="s">
        <v>5884</v>
      </c>
      <c r="B2699" s="38" t="s">
        <v>5885</v>
      </c>
      <c r="C2699" s="43">
        <v>1680</v>
      </c>
      <c r="D2699" s="11">
        <v>1478.4</v>
      </c>
      <c r="E2699" s="14">
        <v>0.12</v>
      </c>
    </row>
    <row r="2700" spans="1:5" x14ac:dyDescent="0.25">
      <c r="A2700" s="44" t="s">
        <v>5886</v>
      </c>
      <c r="B2700" s="38" t="s">
        <v>5887</v>
      </c>
      <c r="C2700" s="43">
        <v>5610</v>
      </c>
      <c r="D2700" s="11">
        <v>4936.8</v>
      </c>
      <c r="E2700" s="14">
        <v>0.12</v>
      </c>
    </row>
    <row r="2701" spans="1:5" x14ac:dyDescent="0.25">
      <c r="A2701" s="44" t="s">
        <v>5888</v>
      </c>
      <c r="B2701" s="38" t="s">
        <v>5889</v>
      </c>
      <c r="C2701" s="43">
        <v>7590</v>
      </c>
      <c r="D2701" s="11">
        <v>6679.2</v>
      </c>
      <c r="E2701" s="14">
        <v>0.12</v>
      </c>
    </row>
    <row r="2702" spans="1:5" x14ac:dyDescent="0.25">
      <c r="A2702" s="44" t="s">
        <v>5890</v>
      </c>
      <c r="B2702" s="38" t="s">
        <v>5891</v>
      </c>
      <c r="C2702" s="43">
        <v>15840</v>
      </c>
      <c r="D2702" s="11">
        <v>13939.2</v>
      </c>
      <c r="E2702" s="14">
        <v>0.12</v>
      </c>
    </row>
    <row r="2703" spans="1:5" x14ac:dyDescent="0.25">
      <c r="A2703" s="44" t="s">
        <v>5892</v>
      </c>
      <c r="B2703" s="38" t="s">
        <v>5893</v>
      </c>
      <c r="C2703" s="43">
        <v>18720</v>
      </c>
      <c r="D2703" s="11">
        <v>16473.599999999999</v>
      </c>
      <c r="E2703" s="14">
        <v>0.12000000000000011</v>
      </c>
    </row>
    <row r="2704" spans="1:5" x14ac:dyDescent="0.25">
      <c r="A2704" s="44" t="s">
        <v>5894</v>
      </c>
      <c r="B2704" s="38" t="s">
        <v>5895</v>
      </c>
      <c r="C2704" s="43">
        <v>351</v>
      </c>
      <c r="D2704" s="11">
        <v>308.88</v>
      </c>
      <c r="E2704" s="14">
        <v>0.12</v>
      </c>
    </row>
    <row r="2705" spans="1:5" x14ac:dyDescent="0.25">
      <c r="A2705" s="44" t="s">
        <v>5896</v>
      </c>
      <c r="B2705" s="38" t="s">
        <v>5897</v>
      </c>
      <c r="C2705" s="43">
        <v>867</v>
      </c>
      <c r="D2705" s="11">
        <v>762.96</v>
      </c>
      <c r="E2705" s="14">
        <v>0.12</v>
      </c>
    </row>
    <row r="2706" spans="1:5" x14ac:dyDescent="0.25">
      <c r="A2706" s="44" t="s">
        <v>5898</v>
      </c>
      <c r="B2706" s="38" t="s">
        <v>5899</v>
      </c>
      <c r="C2706" s="43">
        <v>2910</v>
      </c>
      <c r="D2706" s="11">
        <v>2560.8000000000002</v>
      </c>
      <c r="E2706" s="14">
        <v>0.11999999999999988</v>
      </c>
    </row>
    <row r="2707" spans="1:5" x14ac:dyDescent="0.25">
      <c r="A2707" s="44" t="s">
        <v>5900</v>
      </c>
      <c r="B2707" s="38" t="s">
        <v>5901</v>
      </c>
      <c r="C2707" s="43">
        <v>159</v>
      </c>
      <c r="D2707" s="11">
        <v>139.92000000000002</v>
      </c>
      <c r="E2707" s="14">
        <v>0.11999999999999988</v>
      </c>
    </row>
    <row r="2708" spans="1:5" x14ac:dyDescent="0.25">
      <c r="A2708" s="44" t="s">
        <v>5902</v>
      </c>
      <c r="B2708" s="38" t="s">
        <v>5903</v>
      </c>
      <c r="C2708" s="43">
        <v>28290</v>
      </c>
      <c r="D2708" s="11">
        <v>24895.200000000001</v>
      </c>
      <c r="E2708" s="14">
        <v>0.12</v>
      </c>
    </row>
    <row r="2709" spans="1:5" x14ac:dyDescent="0.25">
      <c r="A2709" s="44" t="s">
        <v>5904</v>
      </c>
      <c r="B2709" s="38" t="s">
        <v>5905</v>
      </c>
      <c r="C2709" s="43">
        <v>47550</v>
      </c>
      <c r="D2709" s="11">
        <v>41844</v>
      </c>
      <c r="E2709" s="14">
        <v>0.12</v>
      </c>
    </row>
    <row r="2710" spans="1:5" x14ac:dyDescent="0.25">
      <c r="A2710" s="44" t="s">
        <v>5906</v>
      </c>
      <c r="B2710" s="38" t="s">
        <v>5907</v>
      </c>
      <c r="C2710" s="43">
        <v>79980</v>
      </c>
      <c r="D2710" s="11">
        <v>70382.399999999994</v>
      </c>
      <c r="E2710" s="14">
        <v>0.12000000000000011</v>
      </c>
    </row>
    <row r="2711" spans="1:5" x14ac:dyDescent="0.25">
      <c r="A2711" s="44" t="s">
        <v>5908</v>
      </c>
      <c r="B2711" s="38" t="s">
        <v>5909</v>
      </c>
      <c r="C2711" s="43">
        <v>134520</v>
      </c>
      <c r="D2711" s="11">
        <v>118377.60000000001</v>
      </c>
      <c r="E2711" s="14">
        <v>0.12</v>
      </c>
    </row>
    <row r="2712" spans="1:5" x14ac:dyDescent="0.25">
      <c r="A2712" s="44" t="s">
        <v>5910</v>
      </c>
      <c r="B2712" s="38" t="s">
        <v>5911</v>
      </c>
      <c r="C2712" s="43">
        <v>267420</v>
      </c>
      <c r="D2712" s="11">
        <v>235329.6</v>
      </c>
      <c r="E2712" s="14">
        <v>0.12</v>
      </c>
    </row>
    <row r="2713" spans="1:5" x14ac:dyDescent="0.25">
      <c r="A2713" s="44" t="s">
        <v>5912</v>
      </c>
      <c r="B2713" s="38" t="s">
        <v>5913</v>
      </c>
      <c r="C2713" s="43">
        <v>3000</v>
      </c>
      <c r="D2713" s="11">
        <v>2640</v>
      </c>
      <c r="E2713" s="14">
        <v>0.12</v>
      </c>
    </row>
    <row r="2714" spans="1:5" x14ac:dyDescent="0.25">
      <c r="A2714" s="44" t="s">
        <v>5914</v>
      </c>
      <c r="B2714" s="38" t="s">
        <v>5915</v>
      </c>
      <c r="C2714" s="43">
        <v>16770</v>
      </c>
      <c r="D2714" s="11">
        <v>14757.6</v>
      </c>
      <c r="E2714" s="14">
        <v>0.12</v>
      </c>
    </row>
    <row r="2715" spans="1:5" x14ac:dyDescent="0.25">
      <c r="A2715" s="44" t="s">
        <v>5916</v>
      </c>
      <c r="B2715" s="38" t="s">
        <v>5917</v>
      </c>
      <c r="C2715" s="43">
        <v>24600</v>
      </c>
      <c r="D2715" s="11">
        <v>21648</v>
      </c>
      <c r="E2715" s="14">
        <v>0.12</v>
      </c>
    </row>
    <row r="2716" spans="1:5" x14ac:dyDescent="0.25">
      <c r="A2716" s="44" t="s">
        <v>5918</v>
      </c>
      <c r="B2716" s="38" t="s">
        <v>5919</v>
      </c>
      <c r="C2716" s="43">
        <v>2940</v>
      </c>
      <c r="D2716" s="11">
        <v>2587.1999999999998</v>
      </c>
      <c r="E2716" s="14">
        <v>0.12000000000000011</v>
      </c>
    </row>
    <row r="2717" spans="1:5" x14ac:dyDescent="0.25">
      <c r="A2717" s="44" t="s">
        <v>5920</v>
      </c>
      <c r="B2717" s="38" t="s">
        <v>5921</v>
      </c>
      <c r="C2717" s="43">
        <v>5850</v>
      </c>
      <c r="D2717" s="11">
        <v>5148</v>
      </c>
      <c r="E2717" s="14">
        <v>0.12</v>
      </c>
    </row>
    <row r="2718" spans="1:5" x14ac:dyDescent="0.25">
      <c r="A2718" s="44" t="s">
        <v>5922</v>
      </c>
      <c r="B2718" s="38" t="s">
        <v>5923</v>
      </c>
      <c r="C2718" s="43">
        <v>13290</v>
      </c>
      <c r="D2718" s="11">
        <v>11695.2</v>
      </c>
      <c r="E2718" s="14">
        <v>0.12</v>
      </c>
    </row>
    <row r="2719" spans="1:5" x14ac:dyDescent="0.25">
      <c r="A2719" s="44" t="s">
        <v>5924</v>
      </c>
      <c r="B2719" s="38" t="s">
        <v>5925</v>
      </c>
      <c r="C2719" s="43">
        <v>16470</v>
      </c>
      <c r="D2719" s="11">
        <v>14493.6</v>
      </c>
      <c r="E2719" s="14">
        <v>0.12</v>
      </c>
    </row>
    <row r="2720" spans="1:5" x14ac:dyDescent="0.25">
      <c r="A2720" s="44" t="s">
        <v>5926</v>
      </c>
      <c r="B2720" s="38" t="s">
        <v>5927</v>
      </c>
      <c r="C2720" s="43">
        <v>32760</v>
      </c>
      <c r="D2720" s="11">
        <v>28828.799999999999</v>
      </c>
      <c r="E2720" s="14">
        <v>0.12</v>
      </c>
    </row>
    <row r="2721" spans="1:5" x14ac:dyDescent="0.25">
      <c r="A2721" s="44" t="s">
        <v>5928</v>
      </c>
      <c r="B2721" s="38" t="s">
        <v>5929</v>
      </c>
      <c r="C2721" s="43">
        <v>55080</v>
      </c>
      <c r="D2721" s="11">
        <v>48470.400000000001</v>
      </c>
      <c r="E2721" s="14">
        <v>0.12</v>
      </c>
    </row>
    <row r="2722" spans="1:5" x14ac:dyDescent="0.25">
      <c r="A2722" s="44" t="s">
        <v>5930</v>
      </c>
      <c r="B2722" s="38" t="s">
        <v>5931</v>
      </c>
      <c r="C2722" s="43">
        <v>1530</v>
      </c>
      <c r="D2722" s="11">
        <v>1346.4</v>
      </c>
      <c r="E2722" s="14">
        <v>0.12</v>
      </c>
    </row>
    <row r="2723" spans="1:5" x14ac:dyDescent="0.25">
      <c r="A2723" s="44" t="s">
        <v>5932</v>
      </c>
      <c r="B2723" s="38" t="s">
        <v>5933</v>
      </c>
      <c r="C2723" s="43">
        <v>3480</v>
      </c>
      <c r="D2723" s="11">
        <v>3062.4</v>
      </c>
      <c r="E2723" s="14">
        <v>0.12</v>
      </c>
    </row>
    <row r="2724" spans="1:5" x14ac:dyDescent="0.25">
      <c r="A2724" s="44" t="s">
        <v>5934</v>
      </c>
      <c r="B2724" s="38" t="s">
        <v>5935</v>
      </c>
      <c r="C2724" s="43">
        <v>21</v>
      </c>
      <c r="D2724" s="11">
        <v>18.48</v>
      </c>
      <c r="E2724" s="14">
        <v>0.12</v>
      </c>
    </row>
    <row r="2725" spans="1:5" x14ac:dyDescent="0.25">
      <c r="A2725" s="44" t="s">
        <v>5936</v>
      </c>
      <c r="B2725" s="38" t="s">
        <v>5937</v>
      </c>
      <c r="C2725" s="43">
        <v>1680</v>
      </c>
      <c r="D2725" s="11">
        <v>1478.4</v>
      </c>
      <c r="E2725" s="14">
        <v>0.12</v>
      </c>
    </row>
    <row r="2726" spans="1:5" x14ac:dyDescent="0.25">
      <c r="A2726" s="44" t="s">
        <v>5938</v>
      </c>
      <c r="B2726" s="38" t="s">
        <v>5939</v>
      </c>
      <c r="C2726" s="43">
        <v>5610</v>
      </c>
      <c r="D2726" s="11">
        <v>4936.8</v>
      </c>
      <c r="E2726" s="14">
        <v>0.12</v>
      </c>
    </row>
    <row r="2727" spans="1:5" x14ac:dyDescent="0.25">
      <c r="A2727" s="44" t="s">
        <v>5940</v>
      </c>
      <c r="B2727" s="38" t="s">
        <v>5941</v>
      </c>
      <c r="C2727" s="43">
        <v>7590</v>
      </c>
      <c r="D2727" s="11">
        <v>6679.2</v>
      </c>
      <c r="E2727" s="14">
        <v>0.12</v>
      </c>
    </row>
    <row r="2728" spans="1:5" x14ac:dyDescent="0.25">
      <c r="A2728" s="44" t="s">
        <v>5942</v>
      </c>
      <c r="B2728" s="38" t="s">
        <v>5943</v>
      </c>
      <c r="C2728" s="43">
        <v>15840</v>
      </c>
      <c r="D2728" s="11">
        <v>13939.2</v>
      </c>
      <c r="E2728" s="14">
        <v>0.12</v>
      </c>
    </row>
    <row r="2729" spans="1:5" x14ac:dyDescent="0.25">
      <c r="A2729" s="44" t="s">
        <v>5944</v>
      </c>
      <c r="B2729" s="38" t="s">
        <v>5945</v>
      </c>
      <c r="C2729" s="43">
        <v>18720</v>
      </c>
      <c r="D2729" s="11">
        <v>16473.599999999999</v>
      </c>
      <c r="E2729" s="14">
        <v>0.12000000000000011</v>
      </c>
    </row>
    <row r="2730" spans="1:5" x14ac:dyDescent="0.25">
      <c r="A2730" s="44" t="s">
        <v>5946</v>
      </c>
      <c r="B2730" s="38" t="s">
        <v>5947</v>
      </c>
      <c r="C2730" s="43">
        <v>351</v>
      </c>
      <c r="D2730" s="11">
        <v>308.88</v>
      </c>
      <c r="E2730" s="14">
        <v>0.12</v>
      </c>
    </row>
    <row r="2731" spans="1:5" x14ac:dyDescent="0.25">
      <c r="A2731" s="44" t="s">
        <v>5948</v>
      </c>
      <c r="B2731" s="38" t="s">
        <v>5949</v>
      </c>
      <c r="C2731" s="43">
        <v>867</v>
      </c>
      <c r="D2731" s="11">
        <v>762.96</v>
      </c>
      <c r="E2731" s="14">
        <v>0.12</v>
      </c>
    </row>
    <row r="2732" spans="1:5" x14ac:dyDescent="0.25">
      <c r="A2732" s="44" t="s">
        <v>5950</v>
      </c>
      <c r="B2732" s="38" t="s">
        <v>5951</v>
      </c>
      <c r="C2732" s="43">
        <v>2910</v>
      </c>
      <c r="D2732" s="11">
        <v>2560.8000000000002</v>
      </c>
      <c r="E2732" s="14">
        <v>0.11999999999999988</v>
      </c>
    </row>
    <row r="2733" spans="1:5" x14ac:dyDescent="0.25">
      <c r="A2733" s="44" t="s">
        <v>5952</v>
      </c>
      <c r="B2733" s="38" t="s">
        <v>5953</v>
      </c>
      <c r="C2733" s="43">
        <v>15</v>
      </c>
      <c r="D2733" s="11">
        <v>13.2</v>
      </c>
      <c r="E2733" s="14">
        <v>0.12</v>
      </c>
    </row>
    <row r="2734" spans="1:5" x14ac:dyDescent="0.25">
      <c r="A2734" s="44" t="s">
        <v>5954</v>
      </c>
      <c r="B2734" s="38" t="s">
        <v>5955</v>
      </c>
      <c r="C2734" s="43">
        <v>2520</v>
      </c>
      <c r="D2734" s="11">
        <v>2217.6</v>
      </c>
      <c r="E2734" s="14">
        <v>0.12</v>
      </c>
    </row>
    <row r="2735" spans="1:5" x14ac:dyDescent="0.25">
      <c r="A2735" s="44" t="s">
        <v>5956</v>
      </c>
      <c r="B2735" s="38" t="s">
        <v>5957</v>
      </c>
      <c r="C2735" s="43">
        <v>4200</v>
      </c>
      <c r="D2735" s="11">
        <v>3696</v>
      </c>
      <c r="E2735" s="14">
        <v>0.12</v>
      </c>
    </row>
    <row r="2736" spans="1:5" x14ac:dyDescent="0.25">
      <c r="A2736" s="44" t="s">
        <v>5958</v>
      </c>
      <c r="B2736" s="38" t="s">
        <v>5959</v>
      </c>
      <c r="C2736" s="43">
        <v>7080</v>
      </c>
      <c r="D2736" s="11">
        <v>6230.4</v>
      </c>
      <c r="E2736" s="14">
        <v>0.12000000000000011</v>
      </c>
    </row>
    <row r="2737" spans="1:5" x14ac:dyDescent="0.25">
      <c r="A2737" s="44" t="s">
        <v>5960</v>
      </c>
      <c r="B2737" s="38" t="s">
        <v>5961</v>
      </c>
      <c r="C2737" s="43">
        <v>11880</v>
      </c>
      <c r="D2737" s="11">
        <v>10454.4</v>
      </c>
      <c r="E2737" s="14">
        <v>0.12</v>
      </c>
    </row>
    <row r="2738" spans="1:5" x14ac:dyDescent="0.25">
      <c r="A2738" s="44" t="s">
        <v>5962</v>
      </c>
      <c r="B2738" s="38" t="s">
        <v>5963</v>
      </c>
      <c r="C2738" s="43">
        <v>23610</v>
      </c>
      <c r="D2738" s="11">
        <v>20776.8</v>
      </c>
      <c r="E2738" s="14">
        <v>0.12</v>
      </c>
    </row>
    <row r="2739" spans="1:5" x14ac:dyDescent="0.25">
      <c r="A2739" s="44" t="s">
        <v>5964</v>
      </c>
      <c r="B2739" s="38" t="s">
        <v>5965</v>
      </c>
      <c r="C2739" s="43">
        <v>264</v>
      </c>
      <c r="D2739" s="11">
        <v>232.32</v>
      </c>
      <c r="E2739" s="14">
        <v>0.12</v>
      </c>
    </row>
    <row r="2740" spans="1:5" x14ac:dyDescent="0.25">
      <c r="A2740" s="44" t="s">
        <v>5966</v>
      </c>
      <c r="B2740" s="38" t="s">
        <v>5967</v>
      </c>
      <c r="C2740" s="43">
        <v>1479</v>
      </c>
      <c r="D2740" s="11">
        <v>1301.52</v>
      </c>
      <c r="E2740" s="14">
        <v>0.12</v>
      </c>
    </row>
    <row r="2741" spans="1:5" x14ac:dyDescent="0.25">
      <c r="A2741" s="44" t="s">
        <v>5968</v>
      </c>
      <c r="B2741" s="38" t="s">
        <v>5969</v>
      </c>
      <c r="C2741" s="43">
        <v>2190</v>
      </c>
      <c r="D2741" s="11">
        <v>1927.2</v>
      </c>
      <c r="E2741" s="14">
        <v>0.12</v>
      </c>
    </row>
    <row r="2742" spans="1:5" x14ac:dyDescent="0.25">
      <c r="A2742" s="44" t="s">
        <v>5970</v>
      </c>
      <c r="B2742" s="38" t="s">
        <v>5971</v>
      </c>
      <c r="C2742" s="43">
        <v>2940</v>
      </c>
      <c r="D2742" s="11">
        <v>2587.1999999999998</v>
      </c>
      <c r="E2742" s="14">
        <v>0.12000000000000011</v>
      </c>
    </row>
    <row r="2743" spans="1:5" x14ac:dyDescent="0.25">
      <c r="A2743" s="44" t="s">
        <v>5972</v>
      </c>
      <c r="B2743" s="38" t="s">
        <v>5973</v>
      </c>
      <c r="C2743" s="43">
        <v>5850</v>
      </c>
      <c r="D2743" s="11">
        <v>5148</v>
      </c>
      <c r="E2743" s="14">
        <v>0.12</v>
      </c>
    </row>
    <row r="2744" spans="1:5" x14ac:dyDescent="0.25">
      <c r="A2744" s="44" t="s">
        <v>5974</v>
      </c>
      <c r="B2744" s="38" t="s">
        <v>5975</v>
      </c>
      <c r="C2744" s="43">
        <v>13290</v>
      </c>
      <c r="D2744" s="11">
        <v>11695.2</v>
      </c>
      <c r="E2744" s="14">
        <v>0.12</v>
      </c>
    </row>
    <row r="2745" spans="1:5" x14ac:dyDescent="0.25">
      <c r="A2745" s="44" t="s">
        <v>5976</v>
      </c>
      <c r="B2745" s="38" t="s">
        <v>5977</v>
      </c>
      <c r="C2745" s="43">
        <v>16470</v>
      </c>
      <c r="D2745" s="11">
        <v>14493.6</v>
      </c>
      <c r="E2745" s="14">
        <v>0.12</v>
      </c>
    </row>
    <row r="2746" spans="1:5" x14ac:dyDescent="0.25">
      <c r="A2746" s="44" t="s">
        <v>5978</v>
      </c>
      <c r="B2746" s="38" t="s">
        <v>5979</v>
      </c>
      <c r="C2746" s="43">
        <v>32760</v>
      </c>
      <c r="D2746" s="11">
        <v>28828.799999999999</v>
      </c>
      <c r="E2746" s="14">
        <v>0.12</v>
      </c>
    </row>
    <row r="2747" spans="1:5" x14ac:dyDescent="0.25">
      <c r="A2747" s="44" t="s">
        <v>5980</v>
      </c>
      <c r="B2747" s="38" t="s">
        <v>5981</v>
      </c>
      <c r="C2747" s="43">
        <v>55080</v>
      </c>
      <c r="D2747" s="11">
        <v>48470.400000000001</v>
      </c>
      <c r="E2747" s="14">
        <v>0.12</v>
      </c>
    </row>
    <row r="2748" spans="1:5" x14ac:dyDescent="0.25">
      <c r="A2748" s="44" t="s">
        <v>5982</v>
      </c>
      <c r="B2748" s="38" t="s">
        <v>5983</v>
      </c>
      <c r="C2748" s="43">
        <v>1515</v>
      </c>
      <c r="D2748" s="11">
        <v>1333.2</v>
      </c>
      <c r="E2748" s="14">
        <v>0.12</v>
      </c>
    </row>
    <row r="2749" spans="1:5" x14ac:dyDescent="0.25">
      <c r="A2749" s="44" t="s">
        <v>5984</v>
      </c>
      <c r="B2749" s="38" t="s">
        <v>5985</v>
      </c>
      <c r="C2749" s="43">
        <v>3480</v>
      </c>
      <c r="D2749" s="11">
        <v>3062.4</v>
      </c>
      <c r="E2749" s="14">
        <v>0.12</v>
      </c>
    </row>
    <row r="2750" spans="1:5" x14ac:dyDescent="0.25">
      <c r="A2750" s="44" t="s">
        <v>5986</v>
      </c>
      <c r="B2750" s="38" t="s">
        <v>5987</v>
      </c>
      <c r="C2750" s="43">
        <v>9</v>
      </c>
      <c r="D2750" s="11">
        <v>7.92</v>
      </c>
      <c r="E2750" s="14">
        <v>0.12</v>
      </c>
    </row>
    <row r="2751" spans="1:5" x14ac:dyDescent="0.25">
      <c r="A2751" s="44" t="s">
        <v>5988</v>
      </c>
      <c r="B2751" s="38" t="s">
        <v>5989</v>
      </c>
      <c r="C2751" s="43">
        <v>630</v>
      </c>
      <c r="D2751" s="11">
        <v>554.4</v>
      </c>
      <c r="E2751" s="14">
        <v>0.12</v>
      </c>
    </row>
    <row r="2752" spans="1:5" x14ac:dyDescent="0.25">
      <c r="A2752" s="44" t="s">
        <v>5990</v>
      </c>
      <c r="B2752" s="38" t="s">
        <v>5991</v>
      </c>
      <c r="C2752" s="43">
        <v>2100</v>
      </c>
      <c r="D2752" s="11">
        <v>1848</v>
      </c>
      <c r="E2752" s="14">
        <v>0.12</v>
      </c>
    </row>
    <row r="2753" spans="1:5" x14ac:dyDescent="0.25">
      <c r="A2753" s="44" t="s">
        <v>5992</v>
      </c>
      <c r="B2753" s="38" t="s">
        <v>5993</v>
      </c>
      <c r="C2753" s="43">
        <v>2850</v>
      </c>
      <c r="D2753" s="11">
        <v>2508</v>
      </c>
      <c r="E2753" s="14">
        <v>0.12</v>
      </c>
    </row>
    <row r="2754" spans="1:5" x14ac:dyDescent="0.25">
      <c r="A2754" s="44" t="s">
        <v>5994</v>
      </c>
      <c r="B2754" s="38" t="s">
        <v>5995</v>
      </c>
      <c r="C2754" s="43">
        <v>5940</v>
      </c>
      <c r="D2754" s="11">
        <v>5227.2</v>
      </c>
      <c r="E2754" s="14">
        <v>0.12</v>
      </c>
    </row>
    <row r="2755" spans="1:5" x14ac:dyDescent="0.25">
      <c r="A2755" s="44" t="s">
        <v>5996</v>
      </c>
      <c r="B2755" s="38" t="s">
        <v>5997</v>
      </c>
      <c r="C2755" s="43">
        <v>7020</v>
      </c>
      <c r="D2755" s="11">
        <v>6177.6</v>
      </c>
      <c r="E2755" s="14">
        <v>0.12</v>
      </c>
    </row>
    <row r="2756" spans="1:5" x14ac:dyDescent="0.25">
      <c r="A2756" s="44" t="s">
        <v>5998</v>
      </c>
      <c r="B2756" s="38" t="s">
        <v>5999</v>
      </c>
      <c r="C2756" s="43">
        <v>132</v>
      </c>
      <c r="D2756" s="11">
        <v>116.16</v>
      </c>
      <c r="E2756" s="14">
        <v>0.12</v>
      </c>
    </row>
    <row r="2757" spans="1:5" x14ac:dyDescent="0.25">
      <c r="A2757" s="44" t="s">
        <v>6000</v>
      </c>
      <c r="B2757" s="38" t="s">
        <v>6001</v>
      </c>
      <c r="C2757" s="43">
        <v>327</v>
      </c>
      <c r="D2757" s="11">
        <v>287.76</v>
      </c>
      <c r="E2757" s="14">
        <v>0.12</v>
      </c>
    </row>
    <row r="2758" spans="1:5" x14ac:dyDescent="0.25">
      <c r="A2758" s="44" t="s">
        <v>6002</v>
      </c>
      <c r="B2758" s="38" t="s">
        <v>6003</v>
      </c>
      <c r="C2758" s="43">
        <v>1086</v>
      </c>
      <c r="D2758" s="11">
        <v>955.68000000000006</v>
      </c>
      <c r="E2758" s="14">
        <v>0.12</v>
      </c>
    </row>
    <row r="2759" spans="1:5" x14ac:dyDescent="0.25">
      <c r="A2759" s="44" t="s">
        <v>6004</v>
      </c>
      <c r="B2759" s="38" t="s">
        <v>6005</v>
      </c>
      <c r="C2759" s="43">
        <v>12</v>
      </c>
      <c r="D2759" s="11">
        <v>10.56</v>
      </c>
      <c r="E2759" s="14">
        <v>0.12</v>
      </c>
    </row>
    <row r="2760" spans="1:5" x14ac:dyDescent="0.25">
      <c r="A2760" s="44" t="s">
        <v>6006</v>
      </c>
      <c r="B2760" s="38" t="s">
        <v>6007</v>
      </c>
      <c r="C2760" s="43">
        <v>1680</v>
      </c>
      <c r="D2760" s="11">
        <v>1478.4</v>
      </c>
      <c r="E2760" s="14">
        <v>0.12</v>
      </c>
    </row>
    <row r="2761" spans="1:5" x14ac:dyDescent="0.25">
      <c r="A2761" s="44" t="s">
        <v>6008</v>
      </c>
      <c r="B2761" s="38" t="s">
        <v>6009</v>
      </c>
      <c r="C2761" s="43">
        <v>2799</v>
      </c>
      <c r="D2761" s="11">
        <v>2463.12</v>
      </c>
      <c r="E2761" s="14">
        <v>0.12</v>
      </c>
    </row>
    <row r="2762" spans="1:5" x14ac:dyDescent="0.25">
      <c r="A2762" s="44" t="s">
        <v>6010</v>
      </c>
      <c r="B2762" s="38" t="s">
        <v>6011</v>
      </c>
      <c r="C2762" s="43">
        <v>4710</v>
      </c>
      <c r="D2762" s="11">
        <v>4144.8</v>
      </c>
      <c r="E2762" s="14">
        <v>0.12</v>
      </c>
    </row>
    <row r="2763" spans="1:5" x14ac:dyDescent="0.25">
      <c r="A2763" s="44" t="s">
        <v>6012</v>
      </c>
      <c r="B2763" s="38" t="s">
        <v>6013</v>
      </c>
      <c r="C2763" s="43">
        <v>7920</v>
      </c>
      <c r="D2763" s="11">
        <v>6969.6</v>
      </c>
      <c r="E2763" s="14">
        <v>0.12</v>
      </c>
    </row>
    <row r="2764" spans="1:5" x14ac:dyDescent="0.25">
      <c r="A2764" s="44" t="s">
        <v>6014</v>
      </c>
      <c r="B2764" s="38" t="s">
        <v>6015</v>
      </c>
      <c r="C2764" s="43">
        <v>15750</v>
      </c>
      <c r="D2764" s="11">
        <v>13860</v>
      </c>
      <c r="E2764" s="14">
        <v>0.12</v>
      </c>
    </row>
    <row r="2765" spans="1:5" x14ac:dyDescent="0.25">
      <c r="A2765" s="44" t="s">
        <v>6016</v>
      </c>
      <c r="B2765" s="38" t="s">
        <v>6017</v>
      </c>
      <c r="C2765" s="43">
        <v>177</v>
      </c>
      <c r="D2765" s="11">
        <v>155.76</v>
      </c>
      <c r="E2765" s="14">
        <v>0.12000000000000011</v>
      </c>
    </row>
    <row r="2766" spans="1:5" x14ac:dyDescent="0.25">
      <c r="A2766" s="44" t="s">
        <v>6018</v>
      </c>
      <c r="B2766" s="38" t="s">
        <v>6019</v>
      </c>
      <c r="C2766" s="43">
        <v>987</v>
      </c>
      <c r="D2766" s="11">
        <v>868.56</v>
      </c>
      <c r="E2766" s="14">
        <v>0.12000000000000011</v>
      </c>
    </row>
    <row r="2767" spans="1:5" x14ac:dyDescent="0.25">
      <c r="A2767" s="44" t="s">
        <v>6020</v>
      </c>
      <c r="B2767" s="38" t="s">
        <v>6021</v>
      </c>
      <c r="C2767" s="43">
        <v>1449</v>
      </c>
      <c r="D2767" s="11">
        <v>1275.1199999999999</v>
      </c>
      <c r="E2767" s="14">
        <v>0.12000000000000011</v>
      </c>
    </row>
    <row r="2768" spans="1:5" x14ac:dyDescent="0.25">
      <c r="A2768" s="44" t="s">
        <v>6022</v>
      </c>
      <c r="B2768" s="38" t="s">
        <v>6023</v>
      </c>
      <c r="C2768" s="43">
        <v>1164</v>
      </c>
      <c r="D2768" s="11">
        <v>1024.32</v>
      </c>
      <c r="E2768" s="14">
        <v>0.12000000000000011</v>
      </c>
    </row>
    <row r="2769" spans="1:5" x14ac:dyDescent="0.25">
      <c r="A2769" s="44" t="s">
        <v>6024</v>
      </c>
      <c r="B2769" s="38" t="s">
        <v>6025</v>
      </c>
      <c r="C2769" s="43">
        <v>2340</v>
      </c>
      <c r="D2769" s="11">
        <v>2059.1999999999998</v>
      </c>
      <c r="E2769" s="14">
        <v>0.12000000000000011</v>
      </c>
    </row>
    <row r="2770" spans="1:5" x14ac:dyDescent="0.25">
      <c r="A2770" s="44" t="s">
        <v>6026</v>
      </c>
      <c r="B2770" s="38" t="s">
        <v>6027</v>
      </c>
      <c r="C2770" s="43">
        <v>4860</v>
      </c>
      <c r="D2770" s="11">
        <v>4276.8</v>
      </c>
      <c r="E2770" s="14">
        <v>0.12</v>
      </c>
    </row>
    <row r="2771" spans="1:5" x14ac:dyDescent="0.25">
      <c r="A2771" s="44" t="s">
        <v>6028</v>
      </c>
      <c r="B2771" s="38" t="s">
        <v>6029</v>
      </c>
      <c r="C2771" s="43">
        <v>4860</v>
      </c>
      <c r="D2771" s="11">
        <v>4276.8</v>
      </c>
      <c r="E2771" s="14">
        <v>0.12</v>
      </c>
    </row>
    <row r="2772" spans="1:5" x14ac:dyDescent="0.25">
      <c r="A2772" s="44" t="s">
        <v>6030</v>
      </c>
      <c r="B2772" s="38" t="s">
        <v>6031</v>
      </c>
      <c r="C2772" s="43">
        <v>4860</v>
      </c>
      <c r="D2772" s="11">
        <v>4276.8</v>
      </c>
      <c r="E2772" s="14">
        <v>0.12</v>
      </c>
    </row>
    <row r="2773" spans="1:5" x14ac:dyDescent="0.25">
      <c r="A2773" s="44" t="s">
        <v>6032</v>
      </c>
      <c r="B2773" s="38" t="s">
        <v>6033</v>
      </c>
      <c r="C2773" s="43">
        <v>4860</v>
      </c>
      <c r="D2773" s="11">
        <v>4276.8</v>
      </c>
      <c r="E2773" s="14">
        <v>0.12</v>
      </c>
    </row>
    <row r="2774" spans="1:5" x14ac:dyDescent="0.25">
      <c r="A2774" s="44" t="s">
        <v>6034</v>
      </c>
      <c r="B2774" s="38" t="s">
        <v>6035</v>
      </c>
      <c r="C2774" s="43">
        <v>693</v>
      </c>
      <c r="D2774" s="11">
        <v>609.84</v>
      </c>
      <c r="E2774" s="14">
        <v>0.12</v>
      </c>
    </row>
    <row r="2775" spans="1:5" x14ac:dyDescent="0.25">
      <c r="A2775" s="44" t="s">
        <v>6036</v>
      </c>
      <c r="B2775" s="38" t="s">
        <v>6037</v>
      </c>
      <c r="C2775" s="43">
        <v>1578</v>
      </c>
      <c r="D2775" s="11">
        <v>1388.64</v>
      </c>
      <c r="E2775" s="14">
        <v>0.11999999999999988</v>
      </c>
    </row>
    <row r="2776" spans="1:5" x14ac:dyDescent="0.25">
      <c r="A2776" s="44" t="s">
        <v>6038</v>
      </c>
      <c r="B2776" s="38" t="s">
        <v>6039</v>
      </c>
      <c r="C2776" s="43">
        <v>1131</v>
      </c>
      <c r="D2776" s="11">
        <v>995.28</v>
      </c>
      <c r="E2776" s="14">
        <v>0.12</v>
      </c>
    </row>
    <row r="2777" spans="1:5" x14ac:dyDescent="0.25">
      <c r="A2777" s="44" t="s">
        <v>6040</v>
      </c>
      <c r="B2777" s="38" t="s">
        <v>6041</v>
      </c>
      <c r="C2777" s="43">
        <v>387</v>
      </c>
      <c r="D2777" s="11">
        <v>340.56</v>
      </c>
      <c r="E2777" s="14">
        <v>0.12</v>
      </c>
    </row>
    <row r="2778" spans="1:5" x14ac:dyDescent="0.25">
      <c r="A2778" s="44" t="s">
        <v>6042</v>
      </c>
      <c r="B2778" s="38" t="s">
        <v>6043</v>
      </c>
      <c r="C2778" s="43">
        <v>774</v>
      </c>
      <c r="D2778" s="11">
        <v>681.12</v>
      </c>
      <c r="E2778" s="14">
        <v>0.12</v>
      </c>
    </row>
    <row r="2779" spans="1:5" x14ac:dyDescent="0.25">
      <c r="A2779" s="44" t="s">
        <v>6044</v>
      </c>
      <c r="B2779" s="38" t="s">
        <v>6045</v>
      </c>
      <c r="C2779" s="43">
        <v>774</v>
      </c>
      <c r="D2779" s="11">
        <v>681.12</v>
      </c>
      <c r="E2779" s="14">
        <v>0.12</v>
      </c>
    </row>
    <row r="2780" spans="1:5" x14ac:dyDescent="0.25">
      <c r="A2780" s="44" t="s">
        <v>6046</v>
      </c>
      <c r="B2780" s="38" t="s">
        <v>6047</v>
      </c>
      <c r="C2780" s="43">
        <v>2130.2999999999997</v>
      </c>
      <c r="D2780" s="39">
        <v>1981.1789999999996</v>
      </c>
      <c r="E2780" s="14">
        <v>7.0000000000000062E-2</v>
      </c>
    </row>
    <row r="2781" spans="1:5" x14ac:dyDescent="0.25">
      <c r="A2781" s="44" t="s">
        <v>6048</v>
      </c>
      <c r="B2781" s="38" t="s">
        <v>6049</v>
      </c>
      <c r="C2781" s="43">
        <v>2130.2999999999997</v>
      </c>
      <c r="D2781" s="39">
        <v>1981.1789999999996</v>
      </c>
      <c r="E2781" s="14">
        <v>7.0000000000000062E-2</v>
      </c>
    </row>
    <row r="2782" spans="1:5" x14ac:dyDescent="0.25">
      <c r="A2782" s="44" t="s">
        <v>6050</v>
      </c>
      <c r="B2782" s="38" t="s">
        <v>6051</v>
      </c>
      <c r="C2782" s="43">
        <v>3313.8</v>
      </c>
      <c r="D2782" s="39">
        <v>3081.8339999999998</v>
      </c>
      <c r="E2782" s="14">
        <v>7.0000000000000062E-2</v>
      </c>
    </row>
    <row r="2783" spans="1:5" x14ac:dyDescent="0.25">
      <c r="A2783" s="44" t="s">
        <v>6052</v>
      </c>
      <c r="B2783" s="38" t="s">
        <v>6053</v>
      </c>
      <c r="C2783" s="43">
        <v>29106.000000000004</v>
      </c>
      <c r="D2783" s="39">
        <v>27068.58</v>
      </c>
      <c r="E2783" s="14">
        <v>7.0000000000000062E-2</v>
      </c>
    </row>
    <row r="2784" spans="1:5" x14ac:dyDescent="0.25">
      <c r="A2784" s="44" t="s">
        <v>6054</v>
      </c>
      <c r="B2784" s="38" t="s">
        <v>6055</v>
      </c>
      <c r="C2784" s="43">
        <v>18711</v>
      </c>
      <c r="D2784" s="39">
        <v>17401.23</v>
      </c>
      <c r="E2784" s="14">
        <v>7.0000000000000062E-2</v>
      </c>
    </row>
    <row r="2785" spans="1:5" x14ac:dyDescent="0.25">
      <c r="A2785" s="44" t="s">
        <v>6056</v>
      </c>
      <c r="B2785" s="38" t="s">
        <v>6057</v>
      </c>
      <c r="C2785" s="43">
        <v>29106.000000000004</v>
      </c>
      <c r="D2785" s="39">
        <v>27068.58</v>
      </c>
      <c r="E2785" s="14">
        <v>7.0000000000000062E-2</v>
      </c>
    </row>
    <row r="2786" spans="1:5" x14ac:dyDescent="0.25">
      <c r="A2786" s="44" t="s">
        <v>6058</v>
      </c>
      <c r="B2786" s="38" t="s">
        <v>6059</v>
      </c>
      <c r="C2786" s="43">
        <v>1219.5</v>
      </c>
      <c r="D2786" s="39">
        <v>1134.135</v>
      </c>
      <c r="E2786" s="14">
        <v>7.0000000000000062E-2</v>
      </c>
    </row>
    <row r="2787" spans="1:5" x14ac:dyDescent="0.25">
      <c r="A2787" s="44" t="s">
        <v>6060</v>
      </c>
      <c r="B2787" s="38" t="s">
        <v>6061</v>
      </c>
      <c r="C2787" s="43">
        <v>1897.0000000000002</v>
      </c>
      <c r="D2787" s="39">
        <v>1764.21</v>
      </c>
      <c r="E2787" s="14">
        <v>7.0000000000000062E-2</v>
      </c>
    </row>
    <row r="2788" spans="1:5" x14ac:dyDescent="0.25">
      <c r="A2788" s="44" t="s">
        <v>6062</v>
      </c>
      <c r="B2788" s="38" t="s">
        <v>6063</v>
      </c>
      <c r="C2788" s="43">
        <v>1219.5</v>
      </c>
      <c r="D2788" s="39">
        <v>1134.135</v>
      </c>
      <c r="E2788" s="14">
        <v>7.0000000000000062E-2</v>
      </c>
    </row>
    <row r="2789" spans="1:5" x14ac:dyDescent="0.25">
      <c r="A2789" s="44" t="s">
        <v>6064</v>
      </c>
      <c r="B2789" s="38" t="s">
        <v>6065</v>
      </c>
      <c r="C2789" s="43">
        <v>1897.0000000000002</v>
      </c>
      <c r="D2789" s="39">
        <v>1764.21</v>
      </c>
      <c r="E2789" s="14">
        <v>7.0000000000000062E-2</v>
      </c>
    </row>
    <row r="2790" spans="1:5" x14ac:dyDescent="0.25">
      <c r="A2790" s="44" t="s">
        <v>6066</v>
      </c>
      <c r="B2790" s="38" t="s">
        <v>6067</v>
      </c>
      <c r="C2790" s="43">
        <v>8361</v>
      </c>
      <c r="D2790" s="39">
        <v>7775.73</v>
      </c>
      <c r="E2790" s="14">
        <v>7.0000000000000062E-2</v>
      </c>
    </row>
    <row r="2791" spans="1:5" x14ac:dyDescent="0.25">
      <c r="A2791" s="44" t="s">
        <v>6068</v>
      </c>
      <c r="B2791" s="38" t="s">
        <v>6069</v>
      </c>
      <c r="C2791" s="43">
        <v>13006.000000000002</v>
      </c>
      <c r="D2791" s="39">
        <v>12095.580000000002</v>
      </c>
      <c r="E2791" s="14">
        <v>6.9999999999999951E-2</v>
      </c>
    </row>
    <row r="2792" spans="1:5" x14ac:dyDescent="0.25">
      <c r="A2792" s="44" t="s">
        <v>6070</v>
      </c>
      <c r="B2792" s="38" t="s">
        <v>6071</v>
      </c>
      <c r="C2792" s="43">
        <v>8361</v>
      </c>
      <c r="D2792" s="39">
        <v>7775.73</v>
      </c>
      <c r="E2792" s="14">
        <v>7.0000000000000062E-2</v>
      </c>
    </row>
    <row r="2793" spans="1:5" x14ac:dyDescent="0.25">
      <c r="A2793" s="44" t="s">
        <v>6072</v>
      </c>
      <c r="B2793" s="38" t="s">
        <v>6073</v>
      </c>
      <c r="C2793" s="43">
        <v>13006.000000000002</v>
      </c>
      <c r="D2793" s="39">
        <v>12095.580000000002</v>
      </c>
      <c r="E2793" s="14">
        <v>6.9999999999999951E-2</v>
      </c>
    </row>
    <row r="2794" spans="1:5" x14ac:dyDescent="0.25">
      <c r="A2794" s="44" t="s">
        <v>6074</v>
      </c>
      <c r="B2794" s="38" t="s">
        <v>6075</v>
      </c>
      <c r="C2794" s="43">
        <v>5.58</v>
      </c>
      <c r="D2794" s="39">
        <v>5.1894</v>
      </c>
      <c r="E2794" s="14">
        <v>7.0000000000000062E-2</v>
      </c>
    </row>
    <row r="2795" spans="1:5" x14ac:dyDescent="0.25">
      <c r="A2795" s="44" t="s">
        <v>6076</v>
      </c>
      <c r="B2795" s="38" t="s">
        <v>6077</v>
      </c>
      <c r="C2795" s="43">
        <v>8.6800000000000015</v>
      </c>
      <c r="D2795" s="39">
        <v>8.0724</v>
      </c>
      <c r="E2795" s="14">
        <v>7.0000000000000173E-2</v>
      </c>
    </row>
    <row r="2796" spans="1:5" x14ac:dyDescent="0.25">
      <c r="A2796" s="44" t="s">
        <v>6078</v>
      </c>
      <c r="B2796" s="38" t="s">
        <v>6075</v>
      </c>
      <c r="C2796" s="43">
        <v>2.34</v>
      </c>
      <c r="D2796" s="39">
        <v>2.1761999999999997</v>
      </c>
      <c r="E2796" s="14">
        <v>7.0000000000000062E-2</v>
      </c>
    </row>
    <row r="2797" spans="1:5" x14ac:dyDescent="0.25">
      <c r="A2797" s="44" t="s">
        <v>6079</v>
      </c>
      <c r="B2797" s="38" t="s">
        <v>6077</v>
      </c>
      <c r="C2797" s="43">
        <v>3.6400000000000006</v>
      </c>
      <c r="D2797" s="39">
        <v>3.3852000000000002</v>
      </c>
      <c r="E2797" s="14">
        <v>7.0000000000000062E-2</v>
      </c>
    </row>
    <row r="2798" spans="1:5" x14ac:dyDescent="0.25">
      <c r="A2798" s="36" t="s">
        <v>6080</v>
      </c>
      <c r="B2798" s="40" t="s">
        <v>6081</v>
      </c>
      <c r="C2798" s="46">
        <v>300</v>
      </c>
      <c r="D2798" s="35">
        <v>248.4</v>
      </c>
      <c r="E2798" s="14">
        <f>1-SUM(D2798/C2798)</f>
        <v>0.17199999999999993</v>
      </c>
    </row>
    <row r="2799" spans="1:5" ht="15" customHeight="1" x14ac:dyDescent="0.25">
      <c r="A2799" s="36" t="s">
        <v>6082</v>
      </c>
      <c r="B2799" s="40" t="s">
        <v>6083</v>
      </c>
      <c r="C2799" s="47">
        <v>466.2</v>
      </c>
      <c r="D2799" s="46">
        <v>386.40000000000003</v>
      </c>
      <c r="E2799" s="14">
        <f>1-SUM(D2799/C2799)</f>
        <v>0.17117117117117109</v>
      </c>
    </row>
    <row r="2800" spans="1:5" x14ac:dyDescent="0.25">
      <c r="A2800" s="36" t="s">
        <v>6084</v>
      </c>
      <c r="B2800" s="40" t="s">
        <v>6085</v>
      </c>
      <c r="C2800" s="46">
        <v>3199.8</v>
      </c>
      <c r="D2800" s="35">
        <v>2649.4344000000001</v>
      </c>
      <c r="E2800" s="14">
        <f t="shared" ref="E2800:E2837" si="0">1-SUM(D2800/C2800)</f>
        <v>0.17200000000000004</v>
      </c>
    </row>
    <row r="2801" spans="1:5" ht="15" customHeight="1" x14ac:dyDescent="0.25">
      <c r="A2801" s="36" t="s">
        <v>6086</v>
      </c>
      <c r="B2801" s="40" t="s">
        <v>6087</v>
      </c>
      <c r="C2801" s="47">
        <v>4972.4892000000009</v>
      </c>
      <c r="D2801" s="46">
        <v>4121.3424000000005</v>
      </c>
      <c r="E2801" s="14">
        <f t="shared" si="0"/>
        <v>0.1711711711711712</v>
      </c>
    </row>
    <row r="2802" spans="1:5" x14ac:dyDescent="0.25">
      <c r="A2802" s="36" t="s">
        <v>6088</v>
      </c>
      <c r="B2802" s="40" t="s">
        <v>6089</v>
      </c>
      <c r="C2802" s="46">
        <v>599.80000000000007</v>
      </c>
      <c r="D2802" s="35">
        <v>496.63439999999997</v>
      </c>
      <c r="E2802" s="14">
        <f t="shared" si="0"/>
        <v>0.17200000000000015</v>
      </c>
    </row>
    <row r="2803" spans="1:5" ht="15" customHeight="1" x14ac:dyDescent="0.25">
      <c r="A2803" s="36" t="s">
        <v>6090</v>
      </c>
      <c r="B2803" s="40" t="s">
        <v>6091</v>
      </c>
      <c r="C2803" s="47">
        <v>932.08920000000012</v>
      </c>
      <c r="D2803" s="46">
        <v>772.54240000000004</v>
      </c>
      <c r="E2803" s="14">
        <f t="shared" si="0"/>
        <v>0.1711711711711712</v>
      </c>
    </row>
    <row r="2804" spans="1:5" x14ac:dyDescent="0.25">
      <c r="A2804" s="36" t="s">
        <v>6092</v>
      </c>
      <c r="B2804" s="40" t="s">
        <v>6093</v>
      </c>
      <c r="C2804" s="46">
        <v>319.8</v>
      </c>
      <c r="D2804" s="35">
        <v>264.7944</v>
      </c>
      <c r="E2804" s="14">
        <f t="shared" si="0"/>
        <v>0.17200000000000004</v>
      </c>
    </row>
    <row r="2805" spans="1:5" ht="15" customHeight="1" x14ac:dyDescent="0.25">
      <c r="A2805" s="36" t="s">
        <v>6094</v>
      </c>
      <c r="B2805" s="40" t="s">
        <v>6095</v>
      </c>
      <c r="C2805" s="47">
        <v>496.96920000000006</v>
      </c>
      <c r="D2805" s="46">
        <v>411.90240000000006</v>
      </c>
      <c r="E2805" s="14">
        <f t="shared" si="0"/>
        <v>0.1711711711711712</v>
      </c>
    </row>
    <row r="2806" spans="1:5" x14ac:dyDescent="0.25">
      <c r="A2806" s="36" t="s">
        <v>6096</v>
      </c>
      <c r="B2806" s="40" t="s">
        <v>6097</v>
      </c>
      <c r="C2806" s="46">
        <v>799.80000000000007</v>
      </c>
      <c r="D2806" s="35">
        <v>662.23440000000005</v>
      </c>
      <c r="E2806" s="14">
        <f t="shared" si="0"/>
        <v>0.17200000000000004</v>
      </c>
    </row>
    <row r="2807" spans="1:5" ht="15" customHeight="1" x14ac:dyDescent="0.25">
      <c r="A2807" s="36" t="s">
        <v>6098</v>
      </c>
      <c r="B2807" s="40" t="s">
        <v>6099</v>
      </c>
      <c r="C2807" s="47">
        <v>1242.8892000000001</v>
      </c>
      <c r="D2807" s="46">
        <v>1030.1424000000002</v>
      </c>
      <c r="E2807" s="14">
        <f t="shared" si="0"/>
        <v>0.17117117117117109</v>
      </c>
    </row>
    <row r="2808" spans="1:5" x14ac:dyDescent="0.25">
      <c r="A2808" s="36" t="s">
        <v>6100</v>
      </c>
      <c r="B2808" s="40" t="s">
        <v>6101</v>
      </c>
      <c r="C2808" s="46">
        <v>599.80000000000007</v>
      </c>
      <c r="D2808" s="35">
        <v>496.63439999999997</v>
      </c>
      <c r="E2808" s="14">
        <f t="shared" si="0"/>
        <v>0.17200000000000015</v>
      </c>
    </row>
    <row r="2809" spans="1:5" ht="15" customHeight="1" x14ac:dyDescent="0.25">
      <c r="A2809" s="36" t="s">
        <v>6102</v>
      </c>
      <c r="B2809" s="40" t="s">
        <v>6103</v>
      </c>
      <c r="C2809" s="47">
        <v>932.08920000000012</v>
      </c>
      <c r="D2809" s="46">
        <v>772.54240000000004</v>
      </c>
      <c r="E2809" s="14">
        <f t="shared" si="0"/>
        <v>0.1711711711711712</v>
      </c>
    </row>
    <row r="2810" spans="1:5" x14ac:dyDescent="0.25">
      <c r="A2810" s="36" t="s">
        <v>6104</v>
      </c>
      <c r="B2810" s="40" t="s">
        <v>6105</v>
      </c>
      <c r="C2810" s="46">
        <v>999.80000000000007</v>
      </c>
      <c r="D2810" s="35">
        <v>630</v>
      </c>
      <c r="E2810" s="14">
        <f t="shared" si="0"/>
        <v>0.36987397479495898</v>
      </c>
    </row>
    <row r="2811" spans="1:5" ht="15" customHeight="1" x14ac:dyDescent="0.25">
      <c r="A2811" s="36" t="s">
        <v>6106</v>
      </c>
      <c r="B2811" s="40" t="s">
        <v>6107</v>
      </c>
      <c r="C2811" s="47">
        <v>1553.6892000000003</v>
      </c>
      <c r="D2811" s="46">
        <v>980.00000000000011</v>
      </c>
      <c r="E2811" s="14">
        <f t="shared" si="0"/>
        <v>0.369243218012972</v>
      </c>
    </row>
    <row r="2812" spans="1:5" x14ac:dyDescent="0.25">
      <c r="A2812" s="36" t="s">
        <v>6108</v>
      </c>
      <c r="B2812" s="40" t="s">
        <v>6109</v>
      </c>
      <c r="C2812" s="46">
        <v>79.800000000000011</v>
      </c>
      <c r="D2812" s="35">
        <v>66.074400000000011</v>
      </c>
      <c r="E2812" s="14">
        <f t="shared" si="0"/>
        <v>0.17199999999999993</v>
      </c>
    </row>
    <row r="2813" spans="1:5" ht="15" customHeight="1" x14ac:dyDescent="0.25">
      <c r="A2813" s="36" t="s">
        <v>6110</v>
      </c>
      <c r="B2813" s="40" t="s">
        <v>6111</v>
      </c>
      <c r="C2813" s="47">
        <v>124.00920000000001</v>
      </c>
      <c r="D2813" s="46">
        <v>102.78240000000002</v>
      </c>
      <c r="E2813" s="14">
        <f t="shared" si="0"/>
        <v>0.17117117117117098</v>
      </c>
    </row>
    <row r="2814" spans="1:5" x14ac:dyDescent="0.25">
      <c r="A2814" s="36" t="s">
        <v>6112</v>
      </c>
      <c r="B2814" s="40" t="s">
        <v>6113</v>
      </c>
      <c r="C2814" s="46">
        <v>560</v>
      </c>
      <c r="D2814" s="35">
        <v>441.71999999999997</v>
      </c>
      <c r="E2814" s="14">
        <f t="shared" si="0"/>
        <v>0.2112142857142858</v>
      </c>
    </row>
    <row r="2815" spans="1:5" ht="15" customHeight="1" x14ac:dyDescent="0.25">
      <c r="A2815" s="36" t="s">
        <v>6114</v>
      </c>
      <c r="B2815" s="40" t="s">
        <v>6115</v>
      </c>
      <c r="C2815" s="47">
        <v>870.24000000000012</v>
      </c>
      <c r="D2815" s="46">
        <v>687.12000000000012</v>
      </c>
      <c r="E2815" s="14">
        <f t="shared" si="0"/>
        <v>0.21042471042471045</v>
      </c>
    </row>
    <row r="2816" spans="1:5" x14ac:dyDescent="0.25">
      <c r="A2816" s="36" t="s">
        <v>6116</v>
      </c>
      <c r="B2816" s="40" t="s">
        <v>6117</v>
      </c>
      <c r="C2816" s="46">
        <v>1000</v>
      </c>
      <c r="D2816" s="35">
        <v>828</v>
      </c>
      <c r="E2816" s="14">
        <f t="shared" si="0"/>
        <v>0.17200000000000004</v>
      </c>
    </row>
    <row r="2817" spans="1:5" ht="15" customHeight="1" x14ac:dyDescent="0.25">
      <c r="A2817" s="36" t="s">
        <v>6118</v>
      </c>
      <c r="B2817" s="40" t="s">
        <v>6119</v>
      </c>
      <c r="C2817" s="47">
        <v>1554.0000000000002</v>
      </c>
      <c r="D2817" s="46">
        <v>1288.0000000000002</v>
      </c>
      <c r="E2817" s="14">
        <f t="shared" si="0"/>
        <v>0.1711711711711712</v>
      </c>
    </row>
    <row r="2818" spans="1:5" x14ac:dyDescent="0.25">
      <c r="A2818" s="36" t="s">
        <v>6120</v>
      </c>
      <c r="B2818" s="40" t="s">
        <v>6121</v>
      </c>
      <c r="C2818" s="46">
        <v>1599.8000000000002</v>
      </c>
      <c r="D2818" s="35">
        <v>1324.6343999999999</v>
      </c>
      <c r="E2818" s="14">
        <f t="shared" si="0"/>
        <v>0.17200000000000015</v>
      </c>
    </row>
    <row r="2819" spans="1:5" ht="15" customHeight="1" x14ac:dyDescent="0.25">
      <c r="A2819" s="36" t="s">
        <v>6122</v>
      </c>
      <c r="B2819" s="40" t="s">
        <v>6123</v>
      </c>
      <c r="C2819" s="47">
        <v>2486.0891999999999</v>
      </c>
      <c r="D2819" s="46">
        <v>2060.5424000000003</v>
      </c>
      <c r="E2819" s="14">
        <f t="shared" si="0"/>
        <v>0.17117117117117098</v>
      </c>
    </row>
    <row r="2820" spans="1:5" x14ac:dyDescent="0.25">
      <c r="A2820" s="36" t="s">
        <v>6124</v>
      </c>
      <c r="B2820" s="40" t="s">
        <v>6125</v>
      </c>
      <c r="C2820" s="46">
        <v>299.8</v>
      </c>
      <c r="D2820" s="35">
        <v>248.23440000000002</v>
      </c>
      <c r="E2820" s="14">
        <f>1-SUM(D2820/C2820)</f>
        <v>0.17199999999999993</v>
      </c>
    </row>
    <row r="2821" spans="1:5" ht="15" customHeight="1" x14ac:dyDescent="0.25">
      <c r="A2821" s="36" t="s">
        <v>6126</v>
      </c>
      <c r="B2821" s="40" t="s">
        <v>6127</v>
      </c>
      <c r="C2821" s="47">
        <v>465.88920000000007</v>
      </c>
      <c r="D2821" s="46">
        <v>386.14240000000007</v>
      </c>
      <c r="E2821" s="14">
        <f>1-SUM(D2821/C2821)</f>
        <v>0.1711711711711712</v>
      </c>
    </row>
    <row r="2822" spans="1:5" x14ac:dyDescent="0.25">
      <c r="A2822" s="36" t="s">
        <v>6128</v>
      </c>
      <c r="B2822" s="40" t="s">
        <v>6129</v>
      </c>
      <c r="C2822" s="46">
        <v>2000</v>
      </c>
      <c r="D2822" s="35">
        <v>1656</v>
      </c>
      <c r="E2822" s="14">
        <f t="shared" si="0"/>
        <v>0.17200000000000004</v>
      </c>
    </row>
    <row r="2823" spans="1:5" ht="15" customHeight="1" x14ac:dyDescent="0.25">
      <c r="A2823" s="36" t="s">
        <v>6130</v>
      </c>
      <c r="B2823" s="40" t="s">
        <v>6131</v>
      </c>
      <c r="C2823" s="47">
        <v>3108.0000000000005</v>
      </c>
      <c r="D2823" s="46">
        <v>2576.0000000000005</v>
      </c>
      <c r="E2823" s="14">
        <f t="shared" si="0"/>
        <v>0.1711711711711712</v>
      </c>
    </row>
    <row r="2824" spans="1:5" x14ac:dyDescent="0.25">
      <c r="A2824" s="36" t="s">
        <v>6132</v>
      </c>
      <c r="B2824" s="40" t="s">
        <v>6133</v>
      </c>
      <c r="C2824" s="46">
        <v>8880</v>
      </c>
      <c r="D2824" s="35">
        <v>7200</v>
      </c>
      <c r="E2824" s="14">
        <f t="shared" si="0"/>
        <v>0.18918918918918914</v>
      </c>
    </row>
    <row r="2825" spans="1:5" ht="15" customHeight="1" x14ac:dyDescent="0.25">
      <c r="A2825" s="36" t="s">
        <v>6134</v>
      </c>
      <c r="B2825" s="40" t="s">
        <v>6135</v>
      </c>
      <c r="C2825" s="47">
        <v>12432.000000000002</v>
      </c>
      <c r="D2825" s="46">
        <v>11200.000000000002</v>
      </c>
      <c r="E2825" s="14">
        <f t="shared" si="0"/>
        <v>9.9099099099099086E-2</v>
      </c>
    </row>
    <row r="2826" spans="1:5" x14ac:dyDescent="0.25">
      <c r="A2826" s="36" t="s">
        <v>6136</v>
      </c>
      <c r="B2826" s="40" t="s">
        <v>6137</v>
      </c>
      <c r="C2826" s="46">
        <v>1665</v>
      </c>
      <c r="D2826" s="35">
        <v>1350</v>
      </c>
      <c r="E2826" s="14">
        <f t="shared" si="0"/>
        <v>0.18918918918918914</v>
      </c>
    </row>
    <row r="2827" spans="1:5" ht="15" customHeight="1" x14ac:dyDescent="0.25">
      <c r="A2827" s="36" t="s">
        <v>6138</v>
      </c>
      <c r="B2827" s="40" t="s">
        <v>6139</v>
      </c>
      <c r="C2827" s="47">
        <v>2331</v>
      </c>
      <c r="D2827" s="46">
        <v>2100</v>
      </c>
      <c r="E2827" s="14">
        <f t="shared" si="0"/>
        <v>9.9099099099099086E-2</v>
      </c>
    </row>
    <row r="2828" spans="1:5" x14ac:dyDescent="0.25">
      <c r="A2828" s="36" t="s">
        <v>6140</v>
      </c>
      <c r="B2828" s="40" t="s">
        <v>7789</v>
      </c>
      <c r="C2828" s="47">
        <v>7992.0000000000009</v>
      </c>
      <c r="D2828" s="41">
        <v>7200</v>
      </c>
      <c r="E2828" s="14">
        <f t="shared" si="0"/>
        <v>9.9099099099099197E-2</v>
      </c>
    </row>
    <row r="2829" spans="1:5" ht="15" customHeight="1" x14ac:dyDescent="0.25">
      <c r="A2829" s="36" t="s">
        <v>6141</v>
      </c>
      <c r="B2829" s="40" t="s">
        <v>7790</v>
      </c>
      <c r="C2829" s="47">
        <v>12432.000000000002</v>
      </c>
      <c r="D2829" s="41">
        <v>11200</v>
      </c>
      <c r="E2829" s="14">
        <f t="shared" si="0"/>
        <v>9.9099099099099197E-2</v>
      </c>
    </row>
    <row r="2830" spans="1:5" x14ac:dyDescent="0.25">
      <c r="A2830" s="36" t="s">
        <v>6142</v>
      </c>
      <c r="B2830" s="40" t="s">
        <v>6143</v>
      </c>
      <c r="C2830" s="47">
        <v>1998.0000000000002</v>
      </c>
      <c r="D2830" s="41">
        <v>1800</v>
      </c>
      <c r="E2830" s="14">
        <f t="shared" si="0"/>
        <v>9.9099099099099197E-2</v>
      </c>
    </row>
    <row r="2831" spans="1:5" ht="15" customHeight="1" x14ac:dyDescent="0.25">
      <c r="A2831" s="36" t="s">
        <v>6144</v>
      </c>
      <c r="B2831" s="40" t="s">
        <v>6145</v>
      </c>
      <c r="C2831" s="47">
        <v>3108.0000000000005</v>
      </c>
      <c r="D2831" s="41">
        <v>2800</v>
      </c>
      <c r="E2831" s="14">
        <f t="shared" si="0"/>
        <v>9.9099099099099197E-2</v>
      </c>
    </row>
    <row r="2832" spans="1:5" x14ac:dyDescent="0.25">
      <c r="A2832" s="36" t="s">
        <v>6146</v>
      </c>
      <c r="B2832" s="40" t="s">
        <v>6147</v>
      </c>
      <c r="C2832" s="47">
        <v>7992.0000000000009</v>
      </c>
      <c r="D2832" s="41">
        <v>7200</v>
      </c>
      <c r="E2832" s="14">
        <f t="shared" si="0"/>
        <v>9.9099099099099197E-2</v>
      </c>
    </row>
    <row r="2833" spans="1:5" x14ac:dyDescent="0.25">
      <c r="A2833" s="36" t="s">
        <v>6148</v>
      </c>
      <c r="B2833" s="40" t="s">
        <v>6149</v>
      </c>
      <c r="C2833" s="47">
        <v>12432.000000000002</v>
      </c>
      <c r="D2833" s="41">
        <v>11200</v>
      </c>
      <c r="E2833" s="14">
        <f t="shared" si="0"/>
        <v>9.9099099099099197E-2</v>
      </c>
    </row>
    <row r="2834" spans="1:5" x14ac:dyDescent="0.25">
      <c r="A2834" s="36" t="s">
        <v>6150</v>
      </c>
      <c r="B2834" s="40" t="s">
        <v>6151</v>
      </c>
      <c r="C2834" s="47">
        <v>999.00000000000011</v>
      </c>
      <c r="D2834" s="41">
        <v>900</v>
      </c>
      <c r="E2834" s="14">
        <f t="shared" si="0"/>
        <v>9.9099099099099197E-2</v>
      </c>
    </row>
    <row r="2835" spans="1:5" x14ac:dyDescent="0.25">
      <c r="A2835" s="36" t="s">
        <v>6152</v>
      </c>
      <c r="B2835" s="40" t="s">
        <v>6153</v>
      </c>
      <c r="C2835" s="47">
        <v>1554.0000000000002</v>
      </c>
      <c r="D2835" s="41">
        <v>1400</v>
      </c>
      <c r="E2835" s="14">
        <f t="shared" si="0"/>
        <v>9.9099099099099197E-2</v>
      </c>
    </row>
    <row r="2836" spans="1:5" x14ac:dyDescent="0.25">
      <c r="A2836" s="36" t="s">
        <v>6154</v>
      </c>
      <c r="B2836" s="40" t="s">
        <v>6155</v>
      </c>
      <c r="C2836" s="47">
        <v>99.9</v>
      </c>
      <c r="D2836" s="41">
        <v>90</v>
      </c>
      <c r="E2836" s="14">
        <f t="shared" si="0"/>
        <v>9.9099099099099197E-2</v>
      </c>
    </row>
    <row r="2837" spans="1:5" x14ac:dyDescent="0.25">
      <c r="A2837" s="36" t="s">
        <v>6156</v>
      </c>
      <c r="B2837" s="40" t="s">
        <v>6157</v>
      </c>
      <c r="C2837" s="47">
        <v>155.4</v>
      </c>
      <c r="D2837" s="41">
        <v>140</v>
      </c>
      <c r="E2837" s="14">
        <f t="shared" si="0"/>
        <v>9.9099099099099086E-2</v>
      </c>
    </row>
    <row r="2838" spans="1:5" x14ac:dyDescent="0.25">
      <c r="A2838" s="44" t="s">
        <v>6158</v>
      </c>
      <c r="B2838" s="38" t="s">
        <v>6159</v>
      </c>
      <c r="C2838" s="43">
        <v>8.9909999999999997</v>
      </c>
      <c r="D2838" s="39">
        <v>8.1</v>
      </c>
      <c r="E2838" s="14">
        <v>9.9099099099099086E-2</v>
      </c>
    </row>
    <row r="2839" spans="1:5" x14ac:dyDescent="0.25">
      <c r="A2839" s="44" t="s">
        <v>6160</v>
      </c>
      <c r="B2839" s="38" t="s">
        <v>6161</v>
      </c>
      <c r="C2839" s="43">
        <v>13.986000000000001</v>
      </c>
      <c r="D2839" s="39">
        <v>12.6</v>
      </c>
      <c r="E2839" s="14">
        <v>9.9099099099099197E-2</v>
      </c>
    </row>
    <row r="2840" spans="1:5" x14ac:dyDescent="0.25">
      <c r="A2840" s="44" t="s">
        <v>6162</v>
      </c>
      <c r="B2840" s="38" t="s">
        <v>6163</v>
      </c>
      <c r="C2840" s="43">
        <v>7.4925000000000006</v>
      </c>
      <c r="D2840" s="39">
        <v>6.75</v>
      </c>
      <c r="E2840" s="14">
        <v>9.9099099099099197E-2</v>
      </c>
    </row>
    <row r="2841" spans="1:5" x14ac:dyDescent="0.25">
      <c r="A2841" s="44" t="s">
        <v>6164</v>
      </c>
      <c r="B2841" s="38" t="s">
        <v>6165</v>
      </c>
      <c r="C2841" s="43">
        <v>11.655000000000001</v>
      </c>
      <c r="D2841" s="39">
        <v>10.5</v>
      </c>
      <c r="E2841" s="14">
        <v>9.9099099099099197E-2</v>
      </c>
    </row>
    <row r="2842" spans="1:5" x14ac:dyDescent="0.25">
      <c r="A2842" s="44" t="s">
        <v>6166</v>
      </c>
      <c r="B2842" s="38" t="s">
        <v>6167</v>
      </c>
      <c r="C2842" s="43">
        <v>5.9940000000000007</v>
      </c>
      <c r="D2842" s="39">
        <v>5.4</v>
      </c>
      <c r="E2842" s="14">
        <v>9.9099099099099086E-2</v>
      </c>
    </row>
    <row r="2843" spans="1:5" x14ac:dyDescent="0.25">
      <c r="A2843" s="44" t="s">
        <v>6168</v>
      </c>
      <c r="B2843" s="38" t="s">
        <v>6169</v>
      </c>
      <c r="C2843" s="43">
        <v>9.3240000000000016</v>
      </c>
      <c r="D2843" s="39">
        <v>8.4</v>
      </c>
      <c r="E2843" s="14">
        <v>9.9099099099099197E-2</v>
      </c>
    </row>
    <row r="2844" spans="1:5" x14ac:dyDescent="0.25">
      <c r="A2844" s="44" t="s">
        <v>6170</v>
      </c>
      <c r="B2844" s="38" t="s">
        <v>6171</v>
      </c>
      <c r="C2844" s="43">
        <v>4.4954999999999998</v>
      </c>
      <c r="D2844" s="39">
        <v>4.05</v>
      </c>
      <c r="E2844" s="14">
        <v>9.9099099099099086E-2</v>
      </c>
    </row>
    <row r="2845" spans="1:5" x14ac:dyDescent="0.25">
      <c r="A2845" s="44" t="s">
        <v>6172</v>
      </c>
      <c r="B2845" s="38" t="s">
        <v>6173</v>
      </c>
      <c r="C2845" s="43">
        <v>6.9930000000000003</v>
      </c>
      <c r="D2845" s="39">
        <v>6.3</v>
      </c>
      <c r="E2845" s="14">
        <v>9.9099099099099197E-2</v>
      </c>
    </row>
    <row r="2846" spans="1:5" x14ac:dyDescent="0.25">
      <c r="A2846" s="44" t="s">
        <v>6174</v>
      </c>
      <c r="B2846" s="38" t="s">
        <v>6175</v>
      </c>
      <c r="C2846" s="43">
        <v>4.1514000000000006</v>
      </c>
      <c r="D2846" s="39">
        <v>3.74</v>
      </c>
      <c r="E2846" s="14">
        <v>9.9099099099099197E-2</v>
      </c>
    </row>
    <row r="2847" spans="1:5" x14ac:dyDescent="0.25">
      <c r="A2847" s="44" t="s">
        <v>6176</v>
      </c>
      <c r="B2847" s="38" t="s">
        <v>6177</v>
      </c>
      <c r="C2847" s="43">
        <v>6.4491000000000005</v>
      </c>
      <c r="D2847" s="39">
        <v>5.81</v>
      </c>
      <c r="E2847" s="14">
        <v>9.9099099099099197E-2</v>
      </c>
    </row>
    <row r="2848" spans="1:5" x14ac:dyDescent="0.25">
      <c r="A2848" s="44" t="s">
        <v>6178</v>
      </c>
      <c r="B2848" s="38" t="s">
        <v>6179</v>
      </c>
      <c r="C2848" s="43">
        <v>3.6519000000000004</v>
      </c>
      <c r="D2848" s="39">
        <v>3.29</v>
      </c>
      <c r="E2848" s="14">
        <v>9.9099099099099197E-2</v>
      </c>
    </row>
    <row r="2849" spans="1:5" x14ac:dyDescent="0.25">
      <c r="A2849" s="44" t="s">
        <v>6180</v>
      </c>
      <c r="B2849" s="38" t="s">
        <v>6181</v>
      </c>
      <c r="C2849" s="43">
        <v>5.6721000000000013</v>
      </c>
      <c r="D2849" s="39">
        <v>5.1100000000000003</v>
      </c>
      <c r="E2849" s="14">
        <v>9.9099099099099197E-2</v>
      </c>
    </row>
    <row r="2850" spans="1:5" x14ac:dyDescent="0.25">
      <c r="A2850" s="44" t="s">
        <v>6182</v>
      </c>
      <c r="B2850" s="38" t="s">
        <v>6183</v>
      </c>
      <c r="C2850" s="43">
        <v>2.9970000000000003</v>
      </c>
      <c r="D2850" s="39">
        <v>2.7</v>
      </c>
      <c r="E2850" s="14">
        <v>9.9099099099099086E-2</v>
      </c>
    </row>
    <row r="2851" spans="1:5" x14ac:dyDescent="0.25">
      <c r="A2851" s="44" t="s">
        <v>6184</v>
      </c>
      <c r="B2851" s="38" t="s">
        <v>6185</v>
      </c>
      <c r="C2851" s="43">
        <v>4.6620000000000008</v>
      </c>
      <c r="D2851" s="39">
        <v>4.2</v>
      </c>
      <c r="E2851" s="14">
        <v>9.9099099099099197E-2</v>
      </c>
    </row>
    <row r="2852" spans="1:5" x14ac:dyDescent="0.25">
      <c r="A2852" s="44" t="s">
        <v>6186</v>
      </c>
      <c r="B2852" s="38" t="s">
        <v>6187</v>
      </c>
      <c r="C2852" s="43">
        <v>49.95</v>
      </c>
      <c r="D2852" s="39">
        <v>45</v>
      </c>
      <c r="E2852" s="14">
        <v>9.9099099099099197E-2</v>
      </c>
    </row>
    <row r="2853" spans="1:5" x14ac:dyDescent="0.25">
      <c r="A2853" s="44" t="s">
        <v>6188</v>
      </c>
      <c r="B2853" s="38" t="s">
        <v>6189</v>
      </c>
      <c r="C2853" s="43">
        <v>77.7</v>
      </c>
      <c r="D2853" s="39">
        <v>70</v>
      </c>
      <c r="E2853" s="14">
        <v>9.9099099099099086E-2</v>
      </c>
    </row>
    <row r="2854" spans="1:5" x14ac:dyDescent="0.25">
      <c r="A2854" s="44" t="s">
        <v>6190</v>
      </c>
      <c r="B2854" s="38" t="s">
        <v>6191</v>
      </c>
      <c r="C2854" s="43">
        <v>99.9</v>
      </c>
      <c r="D2854" s="39">
        <v>90</v>
      </c>
      <c r="E2854" s="14">
        <v>9.9099099099099197E-2</v>
      </c>
    </row>
    <row r="2855" spans="1:5" x14ac:dyDescent="0.25">
      <c r="A2855" s="44" t="s">
        <v>6192</v>
      </c>
      <c r="B2855" s="38" t="s">
        <v>6193</v>
      </c>
      <c r="C2855" s="43">
        <v>155.4</v>
      </c>
      <c r="D2855" s="39">
        <v>140</v>
      </c>
      <c r="E2855" s="14">
        <v>9.9099099099099086E-2</v>
      </c>
    </row>
    <row r="2856" spans="1:5" x14ac:dyDescent="0.25">
      <c r="A2856" s="44" t="s">
        <v>6194</v>
      </c>
      <c r="B2856" s="38" t="s">
        <v>6195</v>
      </c>
      <c r="C2856" s="43">
        <v>69.930000000000007</v>
      </c>
      <c r="D2856" s="39">
        <v>63</v>
      </c>
      <c r="E2856" s="14">
        <v>9.9099099099099197E-2</v>
      </c>
    </row>
    <row r="2857" spans="1:5" x14ac:dyDescent="0.25">
      <c r="A2857" s="44" t="s">
        <v>6196</v>
      </c>
      <c r="B2857" s="38" t="s">
        <v>6197</v>
      </c>
      <c r="C2857" s="43">
        <v>108.78000000000002</v>
      </c>
      <c r="D2857" s="39">
        <v>98</v>
      </c>
      <c r="E2857" s="14">
        <v>9.9099099099099197E-2</v>
      </c>
    </row>
    <row r="2858" spans="1:5" x14ac:dyDescent="0.25">
      <c r="A2858" s="44" t="s">
        <v>6198</v>
      </c>
      <c r="B2858" s="38" t="s">
        <v>6199</v>
      </c>
      <c r="C2858" s="43">
        <v>29.970000000000002</v>
      </c>
      <c r="D2858" s="39">
        <v>27</v>
      </c>
      <c r="E2858" s="14">
        <v>9.9099099099099197E-2</v>
      </c>
    </row>
    <row r="2859" spans="1:5" x14ac:dyDescent="0.25">
      <c r="A2859" s="44" t="s">
        <v>6200</v>
      </c>
      <c r="B2859" s="38" t="s">
        <v>6201</v>
      </c>
      <c r="C2859" s="43">
        <v>46.620000000000005</v>
      </c>
      <c r="D2859" s="39">
        <v>42</v>
      </c>
      <c r="E2859" s="14">
        <v>9.9099099099099197E-2</v>
      </c>
    </row>
    <row r="2860" spans="1:5" x14ac:dyDescent="0.25">
      <c r="A2860" s="44" t="s">
        <v>6202</v>
      </c>
      <c r="B2860" s="38" t="s">
        <v>6203</v>
      </c>
      <c r="C2860" s="43">
        <v>2.9970000000000003</v>
      </c>
      <c r="D2860" s="39">
        <v>2.7</v>
      </c>
      <c r="E2860" s="14">
        <v>9.9099099099099086E-2</v>
      </c>
    </row>
    <row r="2861" spans="1:5" x14ac:dyDescent="0.25">
      <c r="A2861" s="44" t="s">
        <v>6204</v>
      </c>
      <c r="B2861" s="38" t="s">
        <v>6205</v>
      </c>
      <c r="C2861" s="43">
        <v>4.6620000000000008</v>
      </c>
      <c r="D2861" s="39">
        <v>4.2</v>
      </c>
      <c r="E2861" s="14">
        <v>9.9099099099099197E-2</v>
      </c>
    </row>
    <row r="2862" spans="1:5" x14ac:dyDescent="0.25">
      <c r="A2862" s="44" t="s">
        <v>6206</v>
      </c>
      <c r="B2862" s="38" t="s">
        <v>6207</v>
      </c>
      <c r="C2862" s="43">
        <v>69.930000000000007</v>
      </c>
      <c r="D2862" s="39">
        <v>63</v>
      </c>
      <c r="E2862" s="14">
        <v>9.9099099099099197E-2</v>
      </c>
    </row>
    <row r="2863" spans="1:5" x14ac:dyDescent="0.25">
      <c r="A2863" s="44" t="s">
        <v>6208</v>
      </c>
      <c r="B2863" s="38" t="s">
        <v>6209</v>
      </c>
      <c r="C2863" s="43">
        <v>108.78000000000002</v>
      </c>
      <c r="D2863" s="39">
        <v>98</v>
      </c>
      <c r="E2863" s="14">
        <v>9.9099099099099197E-2</v>
      </c>
    </row>
    <row r="2864" spans="1:5" x14ac:dyDescent="0.25">
      <c r="A2864" s="44" t="s">
        <v>6210</v>
      </c>
      <c r="B2864" s="38" t="s">
        <v>6211</v>
      </c>
      <c r="C2864" s="43">
        <v>650</v>
      </c>
      <c r="D2864" s="39">
        <v>500</v>
      </c>
      <c r="E2864" s="14">
        <v>0.230769230769231</v>
      </c>
    </row>
    <row r="2865" spans="1:5" x14ac:dyDescent="0.25">
      <c r="A2865" s="44" t="s">
        <v>6212</v>
      </c>
      <c r="B2865" s="38" t="s">
        <v>6213</v>
      </c>
      <c r="C2865" s="43">
        <v>1150</v>
      </c>
      <c r="D2865" s="39">
        <v>900</v>
      </c>
      <c r="E2865" s="14">
        <v>0.21739130434782605</v>
      </c>
    </row>
    <row r="2866" spans="1:5" x14ac:dyDescent="0.25">
      <c r="A2866" s="44" t="s">
        <v>6214</v>
      </c>
      <c r="B2866" s="38" t="s">
        <v>6215</v>
      </c>
      <c r="C2866" s="43">
        <v>21212.100000000002</v>
      </c>
      <c r="D2866" s="39">
        <v>19110</v>
      </c>
      <c r="E2866" s="14">
        <v>9.9099099099099197E-2</v>
      </c>
    </row>
    <row r="2867" spans="1:5" x14ac:dyDescent="0.25">
      <c r="A2867" s="44" t="s">
        <v>6216</v>
      </c>
      <c r="B2867" s="38" t="s">
        <v>6217</v>
      </c>
      <c r="C2867" s="43">
        <v>37529.100000000006</v>
      </c>
      <c r="D2867" s="39">
        <v>33810</v>
      </c>
      <c r="E2867" s="14">
        <v>9.9099099099099197E-2</v>
      </c>
    </row>
    <row r="2868" spans="1:5" x14ac:dyDescent="0.25">
      <c r="A2868" s="44" t="s">
        <v>6218</v>
      </c>
      <c r="B2868" s="38" t="s">
        <v>6219</v>
      </c>
      <c r="C2868" s="43">
        <v>13708.500000000002</v>
      </c>
      <c r="D2868" s="39">
        <v>12350</v>
      </c>
      <c r="E2868" s="14">
        <v>9.9099099099099197E-2</v>
      </c>
    </row>
    <row r="2869" spans="1:5" x14ac:dyDescent="0.25">
      <c r="A2869" s="44" t="s">
        <v>6220</v>
      </c>
      <c r="B2869" s="38" t="s">
        <v>6221</v>
      </c>
      <c r="C2869" s="43">
        <v>24253.500000000004</v>
      </c>
      <c r="D2869" s="39">
        <v>21850</v>
      </c>
      <c r="E2869" s="14">
        <v>9.9099099099099197E-2</v>
      </c>
    </row>
    <row r="2870" spans="1:5" x14ac:dyDescent="0.25">
      <c r="A2870" s="44" t="s">
        <v>6222</v>
      </c>
      <c r="B2870" s="38" t="s">
        <v>6223</v>
      </c>
      <c r="C2870" s="43">
        <v>17748.900000000001</v>
      </c>
      <c r="D2870" s="39">
        <v>15990</v>
      </c>
      <c r="E2870" s="14">
        <v>9.9099099099099197E-2</v>
      </c>
    </row>
    <row r="2871" spans="1:5" x14ac:dyDescent="0.25">
      <c r="A2871" s="44" t="s">
        <v>6224</v>
      </c>
      <c r="B2871" s="38" t="s">
        <v>6225</v>
      </c>
      <c r="C2871" s="43">
        <v>31401.9</v>
      </c>
      <c r="D2871" s="39">
        <v>28290</v>
      </c>
      <c r="E2871" s="14">
        <v>9.9099099099099086E-2</v>
      </c>
    </row>
    <row r="2872" spans="1:5" x14ac:dyDescent="0.25">
      <c r="A2872" s="44" t="s">
        <v>6226</v>
      </c>
      <c r="B2872" s="38" t="s">
        <v>6227</v>
      </c>
      <c r="C2872" s="43">
        <v>129.87</v>
      </c>
      <c r="D2872" s="39">
        <v>117</v>
      </c>
      <c r="E2872" s="14">
        <v>9.9099099099099086E-2</v>
      </c>
    </row>
    <row r="2873" spans="1:5" x14ac:dyDescent="0.25">
      <c r="A2873" s="44" t="s">
        <v>6228</v>
      </c>
      <c r="B2873" s="38" t="s">
        <v>6229</v>
      </c>
      <c r="C2873" s="43">
        <v>229.77</v>
      </c>
      <c r="D2873" s="39">
        <v>207</v>
      </c>
      <c r="E2873" s="14">
        <v>9.9099099099099086E-2</v>
      </c>
    </row>
    <row r="2874" spans="1:5" x14ac:dyDescent="0.25">
      <c r="A2874" s="44" t="s">
        <v>6230</v>
      </c>
      <c r="B2874" s="38" t="s">
        <v>6231</v>
      </c>
      <c r="C2874" s="43">
        <v>9379.5</v>
      </c>
      <c r="D2874" s="39">
        <v>8450</v>
      </c>
      <c r="E2874" s="14">
        <v>9.9099099099099086E-2</v>
      </c>
    </row>
    <row r="2875" spans="1:5" x14ac:dyDescent="0.25">
      <c r="A2875" s="44" t="s">
        <v>6232</v>
      </c>
      <c r="B2875" s="38" t="s">
        <v>6233</v>
      </c>
      <c r="C2875" s="43">
        <v>16594.5</v>
      </c>
      <c r="D2875" s="39">
        <v>14950</v>
      </c>
      <c r="E2875" s="14">
        <v>9.9099099099099086E-2</v>
      </c>
    </row>
    <row r="2876" spans="1:5" x14ac:dyDescent="0.25">
      <c r="A2876" s="44" t="s">
        <v>6234</v>
      </c>
      <c r="B2876" s="38" t="s">
        <v>6235</v>
      </c>
      <c r="C2876" s="43">
        <v>19047.600000000002</v>
      </c>
      <c r="D2876" s="39">
        <v>17160</v>
      </c>
      <c r="E2876" s="14">
        <v>9.9099099099099197E-2</v>
      </c>
    </row>
    <row r="2877" spans="1:5" x14ac:dyDescent="0.25">
      <c r="A2877" s="44" t="s">
        <v>6236</v>
      </c>
      <c r="B2877" s="38" t="s">
        <v>6237</v>
      </c>
      <c r="C2877" s="43">
        <v>33699.600000000006</v>
      </c>
      <c r="D2877" s="39">
        <v>30360</v>
      </c>
      <c r="E2877" s="14">
        <v>9.9099099099099308E-2</v>
      </c>
    </row>
    <row r="2878" spans="1:5" x14ac:dyDescent="0.25">
      <c r="A2878" s="44" t="s">
        <v>6238</v>
      </c>
      <c r="B2878" s="38" t="s">
        <v>6239</v>
      </c>
      <c r="C2878" s="43">
        <v>12698.400000000001</v>
      </c>
      <c r="D2878" s="39">
        <v>11440</v>
      </c>
      <c r="E2878" s="14">
        <v>9.9099099099099197E-2</v>
      </c>
    </row>
    <row r="2879" spans="1:5" x14ac:dyDescent="0.25">
      <c r="A2879" s="44" t="s">
        <v>6240</v>
      </c>
      <c r="B2879" s="38" t="s">
        <v>6241</v>
      </c>
      <c r="C2879" s="43">
        <v>22466.400000000001</v>
      </c>
      <c r="D2879" s="39">
        <v>20240</v>
      </c>
      <c r="E2879" s="14">
        <v>9.9099099099099197E-2</v>
      </c>
    </row>
    <row r="2880" spans="1:5" x14ac:dyDescent="0.25">
      <c r="A2880" s="44" t="s">
        <v>6242</v>
      </c>
      <c r="B2880" s="38" t="s">
        <v>6243</v>
      </c>
      <c r="C2880" s="43">
        <v>15873.000000000002</v>
      </c>
      <c r="D2880" s="39">
        <v>14300</v>
      </c>
      <c r="E2880" s="14">
        <v>9.9099099099099197E-2</v>
      </c>
    </row>
    <row r="2881" spans="1:5" x14ac:dyDescent="0.25">
      <c r="A2881" s="44" t="s">
        <v>6244</v>
      </c>
      <c r="B2881" s="38" t="s">
        <v>6245</v>
      </c>
      <c r="C2881" s="43">
        <v>28083.000000000004</v>
      </c>
      <c r="D2881" s="39">
        <v>25300</v>
      </c>
      <c r="E2881" s="14">
        <v>9.9099099099099197E-2</v>
      </c>
    </row>
    <row r="2882" spans="1:5" x14ac:dyDescent="0.25">
      <c r="A2882" s="44" t="s">
        <v>6246</v>
      </c>
      <c r="B2882" s="38" t="s">
        <v>6247</v>
      </c>
      <c r="C2882" s="43">
        <v>129.87</v>
      </c>
      <c r="D2882" s="39">
        <v>117</v>
      </c>
      <c r="E2882" s="14">
        <v>9.9099099099099086E-2</v>
      </c>
    </row>
    <row r="2883" spans="1:5" x14ac:dyDescent="0.25">
      <c r="A2883" s="44" t="s">
        <v>6248</v>
      </c>
      <c r="B2883" s="38" t="s">
        <v>6249</v>
      </c>
      <c r="C2883" s="43">
        <v>229.77</v>
      </c>
      <c r="D2883" s="39">
        <v>207</v>
      </c>
      <c r="E2883" s="14">
        <v>9.9099099099099086E-2</v>
      </c>
    </row>
    <row r="2884" spans="1:5" x14ac:dyDescent="0.25">
      <c r="A2884" s="44" t="s">
        <v>6250</v>
      </c>
      <c r="B2884" s="38" t="s">
        <v>6251</v>
      </c>
      <c r="C2884" s="43">
        <v>115.29570000000001</v>
      </c>
      <c r="D2884" s="39">
        <v>103.87</v>
      </c>
      <c r="E2884" s="14">
        <v>9.9099099099099197E-2</v>
      </c>
    </row>
    <row r="2885" spans="1:5" x14ac:dyDescent="0.25">
      <c r="A2885" s="44" t="s">
        <v>6252</v>
      </c>
      <c r="B2885" s="38" t="s">
        <v>6253</v>
      </c>
      <c r="C2885" s="43">
        <v>203.98470000000003</v>
      </c>
      <c r="D2885" s="39">
        <v>183.77</v>
      </c>
      <c r="E2885" s="14">
        <v>9.9099099099099197E-2</v>
      </c>
    </row>
    <row r="2886" spans="1:5" x14ac:dyDescent="0.25">
      <c r="A2886" s="44" t="s">
        <v>6254</v>
      </c>
      <c r="B2886" s="38" t="s">
        <v>6255</v>
      </c>
      <c r="C2886" s="43">
        <v>7792.2000000000007</v>
      </c>
      <c r="D2886" s="39">
        <v>7020</v>
      </c>
      <c r="E2886" s="14">
        <v>9.9099099099099197E-2</v>
      </c>
    </row>
    <row r="2887" spans="1:5" x14ac:dyDescent="0.25">
      <c r="A2887" s="44" t="s">
        <v>6256</v>
      </c>
      <c r="B2887" s="38" t="s">
        <v>6257</v>
      </c>
      <c r="C2887" s="43">
        <v>13786.2</v>
      </c>
      <c r="D2887" s="39">
        <v>12420</v>
      </c>
      <c r="E2887" s="14">
        <v>9.9099099099099197E-2</v>
      </c>
    </row>
    <row r="2888" spans="1:5" x14ac:dyDescent="0.25">
      <c r="A2888" s="44" t="s">
        <v>6258</v>
      </c>
      <c r="B2888" s="38" t="s">
        <v>6259</v>
      </c>
      <c r="C2888" s="43">
        <v>9090.9000000000015</v>
      </c>
      <c r="D2888" s="39">
        <v>8190</v>
      </c>
      <c r="E2888" s="14">
        <v>9.9099099099099197E-2</v>
      </c>
    </row>
    <row r="2889" spans="1:5" x14ac:dyDescent="0.25">
      <c r="A2889" s="44" t="s">
        <v>6260</v>
      </c>
      <c r="B2889" s="38" t="s">
        <v>6261</v>
      </c>
      <c r="C2889" s="43">
        <v>16083.900000000001</v>
      </c>
      <c r="D2889" s="39">
        <v>14490</v>
      </c>
      <c r="E2889" s="14">
        <v>9.9099099099099197E-2</v>
      </c>
    </row>
    <row r="2890" spans="1:5" x14ac:dyDescent="0.25">
      <c r="A2890" s="44" t="s">
        <v>6262</v>
      </c>
      <c r="B2890" s="38" t="s">
        <v>6263</v>
      </c>
      <c r="C2890" s="43">
        <v>5339.1</v>
      </c>
      <c r="D2890" s="39">
        <v>4810</v>
      </c>
      <c r="E2890" s="14">
        <v>9.9099099099099197E-2</v>
      </c>
    </row>
    <row r="2891" spans="1:5" x14ac:dyDescent="0.25">
      <c r="A2891" s="44" t="s">
        <v>6264</v>
      </c>
      <c r="B2891" s="38" t="s">
        <v>6265</v>
      </c>
      <c r="C2891" s="43">
        <v>9446.1</v>
      </c>
      <c r="D2891" s="39">
        <v>8510</v>
      </c>
      <c r="E2891" s="14">
        <v>9.9099099099099086E-2</v>
      </c>
    </row>
    <row r="2892" spans="1:5" x14ac:dyDescent="0.25">
      <c r="A2892" s="44" t="s">
        <v>6266</v>
      </c>
      <c r="B2892" s="38" t="s">
        <v>6267</v>
      </c>
      <c r="C2892" s="43">
        <v>8946.6</v>
      </c>
      <c r="D2892" s="39">
        <v>8060</v>
      </c>
      <c r="E2892" s="14">
        <v>9.9099099099099086E-2</v>
      </c>
    </row>
    <row r="2893" spans="1:5" x14ac:dyDescent="0.25">
      <c r="A2893" s="44" t="s">
        <v>6268</v>
      </c>
      <c r="B2893" s="38" t="s">
        <v>6269</v>
      </c>
      <c r="C2893" s="43">
        <v>15828.600000000002</v>
      </c>
      <c r="D2893" s="39">
        <v>14260</v>
      </c>
      <c r="E2893" s="14">
        <v>9.9099099099099197E-2</v>
      </c>
    </row>
    <row r="2894" spans="1:5" x14ac:dyDescent="0.25">
      <c r="A2894" s="44" t="s">
        <v>6270</v>
      </c>
      <c r="B2894" s="38" t="s">
        <v>6271</v>
      </c>
      <c r="C2894" s="43">
        <v>115.29570000000001</v>
      </c>
      <c r="D2894" s="39">
        <v>103.87</v>
      </c>
      <c r="E2894" s="14">
        <v>9.9099099099099197E-2</v>
      </c>
    </row>
    <row r="2895" spans="1:5" x14ac:dyDescent="0.25">
      <c r="A2895" s="44" t="s">
        <v>6272</v>
      </c>
      <c r="B2895" s="38" t="s">
        <v>6273</v>
      </c>
      <c r="C2895" s="43">
        <v>203.98470000000003</v>
      </c>
      <c r="D2895" s="39">
        <v>183.77</v>
      </c>
      <c r="E2895" s="14">
        <v>9.9099099099099197E-2</v>
      </c>
    </row>
    <row r="2896" spans="1:5" x14ac:dyDescent="0.25">
      <c r="A2896" s="44" t="s">
        <v>6274</v>
      </c>
      <c r="B2896" s="38" t="s">
        <v>6275</v>
      </c>
      <c r="C2896" s="43">
        <v>7070.7000000000007</v>
      </c>
      <c r="D2896" s="39">
        <v>6370</v>
      </c>
      <c r="E2896" s="14">
        <v>9.9099099099099197E-2</v>
      </c>
    </row>
    <row r="2897" spans="1:5" x14ac:dyDescent="0.25">
      <c r="A2897" s="44" t="s">
        <v>6276</v>
      </c>
      <c r="B2897" s="38" t="s">
        <v>6277</v>
      </c>
      <c r="C2897" s="43">
        <v>12509.7</v>
      </c>
      <c r="D2897" s="39">
        <v>11270</v>
      </c>
      <c r="E2897" s="14">
        <v>9.9099099099099197E-2</v>
      </c>
    </row>
    <row r="2898" spans="1:5" x14ac:dyDescent="0.25">
      <c r="A2898" s="44" t="s">
        <v>6278</v>
      </c>
      <c r="B2898" s="38" t="s">
        <v>6279</v>
      </c>
      <c r="C2898" s="43">
        <v>8513.7000000000007</v>
      </c>
      <c r="D2898" s="39">
        <v>7670</v>
      </c>
      <c r="E2898" s="14">
        <v>9.9099099099099197E-2</v>
      </c>
    </row>
    <row r="2899" spans="1:5" x14ac:dyDescent="0.25">
      <c r="A2899" s="44" t="s">
        <v>6280</v>
      </c>
      <c r="B2899" s="38" t="s">
        <v>6281</v>
      </c>
      <c r="C2899" s="43">
        <v>15062.7</v>
      </c>
      <c r="D2899" s="39">
        <v>13570</v>
      </c>
      <c r="E2899" s="14">
        <v>9.9099099099099197E-2</v>
      </c>
    </row>
    <row r="2900" spans="1:5" x14ac:dyDescent="0.25">
      <c r="A2900" s="44" t="s">
        <v>6282</v>
      </c>
      <c r="B2900" s="38" t="s">
        <v>6283</v>
      </c>
      <c r="C2900" s="43">
        <v>7359.3000000000011</v>
      </c>
      <c r="D2900" s="39">
        <v>6630</v>
      </c>
      <c r="E2900" s="14">
        <v>9.9099099099099197E-2</v>
      </c>
    </row>
    <row r="2901" spans="1:5" x14ac:dyDescent="0.25">
      <c r="A2901" s="44" t="s">
        <v>6284</v>
      </c>
      <c r="B2901" s="38" t="s">
        <v>6285</v>
      </c>
      <c r="C2901" s="43">
        <v>13020.300000000001</v>
      </c>
      <c r="D2901" s="39">
        <v>11730</v>
      </c>
      <c r="E2901" s="14">
        <v>9.9099099099099197E-2</v>
      </c>
    </row>
    <row r="2902" spans="1:5" x14ac:dyDescent="0.25">
      <c r="A2902" s="44" t="s">
        <v>6286</v>
      </c>
      <c r="B2902" s="38" t="s">
        <v>6287</v>
      </c>
      <c r="C2902" s="43">
        <v>6349.2000000000007</v>
      </c>
      <c r="D2902" s="39">
        <v>5720</v>
      </c>
      <c r="E2902" s="14">
        <v>9.9099099099099197E-2</v>
      </c>
    </row>
    <row r="2903" spans="1:5" x14ac:dyDescent="0.25">
      <c r="A2903" s="44" t="s">
        <v>6288</v>
      </c>
      <c r="B2903" s="38" t="s">
        <v>6289</v>
      </c>
      <c r="C2903" s="43">
        <v>11233.2</v>
      </c>
      <c r="D2903" s="39">
        <v>10120</v>
      </c>
      <c r="E2903" s="14">
        <v>9.9099099099099197E-2</v>
      </c>
    </row>
    <row r="2904" spans="1:5" x14ac:dyDescent="0.25">
      <c r="A2904" s="44" t="s">
        <v>6290</v>
      </c>
      <c r="B2904" s="38" t="s">
        <v>6291</v>
      </c>
      <c r="C2904" s="43">
        <v>3463.2000000000003</v>
      </c>
      <c r="D2904" s="39">
        <v>3120</v>
      </c>
      <c r="E2904" s="14">
        <v>9.9099099099099197E-2</v>
      </c>
    </row>
    <row r="2905" spans="1:5" x14ac:dyDescent="0.25">
      <c r="A2905" s="44" t="s">
        <v>6292</v>
      </c>
      <c r="B2905" s="38" t="s">
        <v>6293</v>
      </c>
      <c r="C2905" s="43">
        <v>6127.2000000000007</v>
      </c>
      <c r="D2905" s="39">
        <v>5520</v>
      </c>
      <c r="E2905" s="14">
        <v>9.9099099099099197E-2</v>
      </c>
    </row>
    <row r="2906" spans="1:5" x14ac:dyDescent="0.25">
      <c r="A2906" s="44" t="s">
        <v>6294</v>
      </c>
      <c r="B2906" s="38" t="s">
        <v>6295</v>
      </c>
      <c r="C2906" s="43">
        <v>4906.2000000000007</v>
      </c>
      <c r="D2906" s="39">
        <v>4420</v>
      </c>
      <c r="E2906" s="14">
        <v>9.9099099099099197E-2</v>
      </c>
    </row>
    <row r="2907" spans="1:5" x14ac:dyDescent="0.25">
      <c r="A2907" s="44" t="s">
        <v>6296</v>
      </c>
      <c r="B2907" s="38" t="s">
        <v>6297</v>
      </c>
      <c r="C2907" s="43">
        <v>8680.2000000000007</v>
      </c>
      <c r="D2907" s="39">
        <v>7820</v>
      </c>
      <c r="E2907" s="14">
        <v>9.9099099099099197E-2</v>
      </c>
    </row>
    <row r="2908" spans="1:5" x14ac:dyDescent="0.25">
      <c r="A2908" s="44" t="s">
        <v>6298</v>
      </c>
      <c r="B2908" s="38" t="s">
        <v>6299</v>
      </c>
      <c r="C2908" s="43">
        <v>4906.2000000000007</v>
      </c>
      <c r="D2908" s="39">
        <v>4420</v>
      </c>
      <c r="E2908" s="14">
        <v>9.9099099099099197E-2</v>
      </c>
    </row>
    <row r="2909" spans="1:5" x14ac:dyDescent="0.25">
      <c r="A2909" s="44" t="s">
        <v>6300</v>
      </c>
      <c r="B2909" s="38" t="s">
        <v>6301</v>
      </c>
      <c r="C2909" s="43">
        <v>8680.2000000000007</v>
      </c>
      <c r="D2909" s="39">
        <v>7820</v>
      </c>
      <c r="E2909" s="14">
        <v>9.9099099099099197E-2</v>
      </c>
    </row>
    <row r="2910" spans="1:5" x14ac:dyDescent="0.25">
      <c r="A2910" s="44" t="s">
        <v>6302</v>
      </c>
      <c r="B2910" s="38" t="s">
        <v>6303</v>
      </c>
      <c r="C2910" s="43">
        <v>8369.4000000000015</v>
      </c>
      <c r="D2910" s="39">
        <v>7540</v>
      </c>
      <c r="E2910" s="14">
        <v>9.9099099099099308E-2</v>
      </c>
    </row>
    <row r="2911" spans="1:5" x14ac:dyDescent="0.25">
      <c r="A2911" s="44" t="s">
        <v>6304</v>
      </c>
      <c r="B2911" s="38" t="s">
        <v>6305</v>
      </c>
      <c r="C2911" s="43">
        <v>14807.400000000001</v>
      </c>
      <c r="D2911" s="39">
        <v>13340</v>
      </c>
      <c r="E2911" s="14">
        <v>9.9099099099099197E-2</v>
      </c>
    </row>
    <row r="2912" spans="1:5" x14ac:dyDescent="0.25">
      <c r="A2912" s="44" t="s">
        <v>6306</v>
      </c>
      <c r="B2912" s="38" t="s">
        <v>6307</v>
      </c>
      <c r="C2912" s="43">
        <v>115.29570000000001</v>
      </c>
      <c r="D2912" s="39">
        <v>103.87</v>
      </c>
      <c r="E2912" s="14">
        <v>9.9099099099099197E-2</v>
      </c>
    </row>
    <row r="2913" spans="1:5" x14ac:dyDescent="0.25">
      <c r="A2913" s="44" t="s">
        <v>6308</v>
      </c>
      <c r="B2913" s="38" t="s">
        <v>6309</v>
      </c>
      <c r="C2913" s="43">
        <v>203.98470000000003</v>
      </c>
      <c r="D2913" s="39">
        <v>183.77</v>
      </c>
      <c r="E2913" s="14">
        <v>9.9099099099099197E-2</v>
      </c>
    </row>
    <row r="2914" spans="1:5" x14ac:dyDescent="0.25">
      <c r="A2914" s="44" t="s">
        <v>6310</v>
      </c>
      <c r="B2914" s="38" t="s">
        <v>6311</v>
      </c>
      <c r="C2914" s="43">
        <v>5194.8</v>
      </c>
      <c r="D2914" s="39">
        <v>4680</v>
      </c>
      <c r="E2914" s="14">
        <v>9.9099099099099086E-2</v>
      </c>
    </row>
    <row r="2915" spans="1:5" x14ac:dyDescent="0.25">
      <c r="A2915" s="44" t="s">
        <v>6312</v>
      </c>
      <c r="B2915" s="38" t="s">
        <v>6313</v>
      </c>
      <c r="C2915" s="43">
        <v>9190.8000000000011</v>
      </c>
      <c r="D2915" s="39">
        <v>8280</v>
      </c>
      <c r="E2915" s="14">
        <v>9.9099099099099197E-2</v>
      </c>
    </row>
    <row r="2916" spans="1:5" x14ac:dyDescent="0.25">
      <c r="A2916" s="44" t="s">
        <v>6314</v>
      </c>
      <c r="B2916" s="38" t="s">
        <v>6315</v>
      </c>
      <c r="C2916" s="43">
        <v>4184.7000000000007</v>
      </c>
      <c r="D2916" s="39">
        <v>3770</v>
      </c>
      <c r="E2916" s="14">
        <v>9.9099099099099308E-2</v>
      </c>
    </row>
    <row r="2917" spans="1:5" x14ac:dyDescent="0.25">
      <c r="A2917" s="44" t="s">
        <v>6316</v>
      </c>
      <c r="B2917" s="38" t="s">
        <v>6317</v>
      </c>
      <c r="C2917" s="43">
        <v>7403.7000000000007</v>
      </c>
      <c r="D2917" s="39">
        <v>6670</v>
      </c>
      <c r="E2917" s="14">
        <v>9.9099099099099197E-2</v>
      </c>
    </row>
    <row r="2918" spans="1:5" x14ac:dyDescent="0.25">
      <c r="A2918" s="44" t="s">
        <v>6318</v>
      </c>
      <c r="B2918" s="38" t="s">
        <v>6319</v>
      </c>
      <c r="C2918" s="43">
        <v>3751.8</v>
      </c>
      <c r="D2918" s="39">
        <v>3380</v>
      </c>
      <c r="E2918" s="14">
        <v>9.9099099099099197E-2</v>
      </c>
    </row>
    <row r="2919" spans="1:5" x14ac:dyDescent="0.25">
      <c r="A2919" s="44" t="s">
        <v>6320</v>
      </c>
      <c r="B2919" s="38" t="s">
        <v>6321</v>
      </c>
      <c r="C2919" s="43">
        <v>6637.8</v>
      </c>
      <c r="D2919" s="39">
        <v>5980</v>
      </c>
      <c r="E2919" s="14">
        <v>9.9099099099099086E-2</v>
      </c>
    </row>
    <row r="2920" spans="1:5" x14ac:dyDescent="0.25">
      <c r="A2920" s="44" t="s">
        <v>6322</v>
      </c>
      <c r="B2920" s="38" t="s">
        <v>6323</v>
      </c>
      <c r="C2920" s="43">
        <v>115.29570000000001</v>
      </c>
      <c r="D2920" s="39">
        <v>103.87</v>
      </c>
      <c r="E2920" s="14">
        <v>9.9099099099099197E-2</v>
      </c>
    </row>
    <row r="2921" spans="1:5" x14ac:dyDescent="0.25">
      <c r="A2921" s="44" t="s">
        <v>6324</v>
      </c>
      <c r="B2921" s="38" t="s">
        <v>6325</v>
      </c>
      <c r="C2921" s="43">
        <v>203.98470000000003</v>
      </c>
      <c r="D2921" s="39">
        <v>183.77</v>
      </c>
      <c r="E2921" s="14">
        <v>9.9099099099099197E-2</v>
      </c>
    </row>
    <row r="2922" spans="1:5" x14ac:dyDescent="0.25">
      <c r="A2922" s="44" t="s">
        <v>6326</v>
      </c>
      <c r="B2922" s="38" t="s">
        <v>6327</v>
      </c>
      <c r="C2922" s="43">
        <v>7936.5000000000009</v>
      </c>
      <c r="D2922" s="39">
        <v>7150</v>
      </c>
      <c r="E2922" s="14">
        <v>9.9099099099099197E-2</v>
      </c>
    </row>
    <row r="2923" spans="1:5" x14ac:dyDescent="0.25">
      <c r="A2923" s="44" t="s">
        <v>6328</v>
      </c>
      <c r="B2923" s="38" t="s">
        <v>6329</v>
      </c>
      <c r="C2923" s="43">
        <v>14041.500000000002</v>
      </c>
      <c r="D2923" s="39">
        <v>12650</v>
      </c>
      <c r="E2923" s="14">
        <v>9.9099099099099197E-2</v>
      </c>
    </row>
    <row r="2924" spans="1:5" x14ac:dyDescent="0.25">
      <c r="A2924" s="44" t="s">
        <v>6330</v>
      </c>
      <c r="B2924" s="38" t="s">
        <v>6331</v>
      </c>
      <c r="C2924" s="43">
        <v>5627.7000000000007</v>
      </c>
      <c r="D2924" s="39">
        <v>5070</v>
      </c>
      <c r="E2924" s="14">
        <v>9.9099099099099197E-2</v>
      </c>
    </row>
    <row r="2925" spans="1:5" x14ac:dyDescent="0.25">
      <c r="A2925" s="44" t="s">
        <v>6332</v>
      </c>
      <c r="B2925" s="38" t="s">
        <v>6333</v>
      </c>
      <c r="C2925" s="43">
        <v>9956.7000000000007</v>
      </c>
      <c r="D2925" s="39">
        <v>8970</v>
      </c>
      <c r="E2925" s="14">
        <v>9.9099099099099197E-2</v>
      </c>
    </row>
    <row r="2926" spans="1:5" x14ac:dyDescent="0.25">
      <c r="A2926" s="44" t="s">
        <v>6334</v>
      </c>
      <c r="B2926" s="38" t="s">
        <v>6335</v>
      </c>
      <c r="C2926" s="43">
        <v>10101</v>
      </c>
      <c r="D2926" s="39">
        <v>9100</v>
      </c>
      <c r="E2926" s="14">
        <v>9.9099099099099086E-2</v>
      </c>
    </row>
    <row r="2927" spans="1:5" x14ac:dyDescent="0.25">
      <c r="A2927" s="44" t="s">
        <v>6336</v>
      </c>
      <c r="B2927" s="38" t="s">
        <v>6337</v>
      </c>
      <c r="C2927" s="43">
        <v>17871</v>
      </c>
      <c r="D2927" s="39">
        <v>16100</v>
      </c>
      <c r="E2927" s="14">
        <v>9.9099099099099086E-2</v>
      </c>
    </row>
    <row r="2928" spans="1:5" x14ac:dyDescent="0.25">
      <c r="A2928" s="44" t="s">
        <v>6338</v>
      </c>
      <c r="B2928" s="38" t="s">
        <v>6339</v>
      </c>
      <c r="C2928" s="43">
        <v>7215.0000000000009</v>
      </c>
      <c r="D2928" s="39">
        <v>6500</v>
      </c>
      <c r="E2928" s="14">
        <v>9.9099099099099197E-2</v>
      </c>
    </row>
    <row r="2929" spans="1:5" x14ac:dyDescent="0.25">
      <c r="A2929" s="44" t="s">
        <v>6340</v>
      </c>
      <c r="B2929" s="38" t="s">
        <v>6341</v>
      </c>
      <c r="C2929" s="43">
        <v>12765.000000000002</v>
      </c>
      <c r="D2929" s="39">
        <v>11500</v>
      </c>
      <c r="E2929" s="14">
        <v>9.9099099099099197E-2</v>
      </c>
    </row>
    <row r="2930" spans="1:5" x14ac:dyDescent="0.25">
      <c r="A2930" s="44" t="s">
        <v>6342</v>
      </c>
      <c r="B2930" s="38" t="s">
        <v>6343</v>
      </c>
      <c r="C2930" s="43">
        <v>7070.7000000000007</v>
      </c>
      <c r="D2930" s="39">
        <v>6370</v>
      </c>
      <c r="E2930" s="14">
        <v>9.9099099099099197E-2</v>
      </c>
    </row>
    <row r="2931" spans="1:5" x14ac:dyDescent="0.25">
      <c r="A2931" s="44" t="s">
        <v>6344</v>
      </c>
      <c r="B2931" s="38" t="s">
        <v>6345</v>
      </c>
      <c r="C2931" s="43">
        <v>12509.7</v>
      </c>
      <c r="D2931" s="39">
        <v>11270</v>
      </c>
      <c r="E2931" s="14">
        <v>9.9099099099099197E-2</v>
      </c>
    </row>
    <row r="2932" spans="1:5" x14ac:dyDescent="0.25">
      <c r="A2932" s="44" t="s">
        <v>6346</v>
      </c>
      <c r="B2932" s="38" t="s">
        <v>6347</v>
      </c>
      <c r="C2932" s="43">
        <v>6349.2000000000007</v>
      </c>
      <c r="D2932" s="39">
        <v>5720</v>
      </c>
      <c r="E2932" s="14">
        <v>9.9099099099099197E-2</v>
      </c>
    </row>
    <row r="2933" spans="1:5" x14ac:dyDescent="0.25">
      <c r="A2933" s="44" t="s">
        <v>6348</v>
      </c>
      <c r="B2933" s="38" t="s">
        <v>6349</v>
      </c>
      <c r="C2933" s="43">
        <v>11233.2</v>
      </c>
      <c r="D2933" s="39">
        <v>10120</v>
      </c>
      <c r="E2933" s="14">
        <v>9.9099099099099197E-2</v>
      </c>
    </row>
    <row r="2934" spans="1:5" x14ac:dyDescent="0.25">
      <c r="A2934" s="44" t="s">
        <v>6350</v>
      </c>
      <c r="B2934" s="38" t="s">
        <v>6351</v>
      </c>
      <c r="C2934" s="43">
        <v>4906.2000000000007</v>
      </c>
      <c r="D2934" s="39">
        <v>4420</v>
      </c>
      <c r="E2934" s="14">
        <v>9.9099099099099197E-2</v>
      </c>
    </row>
    <row r="2935" spans="1:5" x14ac:dyDescent="0.25">
      <c r="A2935" s="44" t="s">
        <v>6352</v>
      </c>
      <c r="B2935" s="38" t="s">
        <v>6353</v>
      </c>
      <c r="C2935" s="43">
        <v>8680.2000000000007</v>
      </c>
      <c r="D2935" s="39">
        <v>7820</v>
      </c>
      <c r="E2935" s="14">
        <v>9.9099099099099197E-2</v>
      </c>
    </row>
    <row r="2936" spans="1:5" x14ac:dyDescent="0.25">
      <c r="A2936" s="44" t="s">
        <v>6354</v>
      </c>
      <c r="B2936" s="38" t="s">
        <v>6355</v>
      </c>
      <c r="C2936" s="43">
        <v>9668.1</v>
      </c>
      <c r="D2936" s="39">
        <v>8710</v>
      </c>
      <c r="E2936" s="14">
        <v>9.9099099099099086E-2</v>
      </c>
    </row>
    <row r="2937" spans="1:5" x14ac:dyDescent="0.25">
      <c r="A2937" s="44" t="s">
        <v>6356</v>
      </c>
      <c r="B2937" s="38" t="s">
        <v>6357</v>
      </c>
      <c r="C2937" s="43">
        <v>17105.100000000002</v>
      </c>
      <c r="D2937" s="39">
        <v>15410</v>
      </c>
      <c r="E2937" s="14">
        <v>9.9099099099099197E-2</v>
      </c>
    </row>
    <row r="2938" spans="1:5" x14ac:dyDescent="0.25">
      <c r="A2938" s="44" t="s">
        <v>6358</v>
      </c>
      <c r="B2938" s="38" t="s">
        <v>6359</v>
      </c>
      <c r="C2938" s="43">
        <v>6493.5000000000009</v>
      </c>
      <c r="D2938" s="39">
        <v>5850</v>
      </c>
      <c r="E2938" s="14">
        <v>9.9099099099099197E-2</v>
      </c>
    </row>
    <row r="2939" spans="1:5" x14ac:dyDescent="0.25">
      <c r="A2939" s="44" t="s">
        <v>6360</v>
      </c>
      <c r="B2939" s="38" t="s">
        <v>6361</v>
      </c>
      <c r="C2939" s="43">
        <v>11488.500000000002</v>
      </c>
      <c r="D2939" s="39">
        <v>10350</v>
      </c>
      <c r="E2939" s="14">
        <v>9.9099099099099197E-2</v>
      </c>
    </row>
    <row r="2940" spans="1:5" x14ac:dyDescent="0.25">
      <c r="A2940" s="44" t="s">
        <v>6362</v>
      </c>
      <c r="B2940" s="38" t="s">
        <v>6363</v>
      </c>
      <c r="C2940" s="43">
        <v>4617.6000000000004</v>
      </c>
      <c r="D2940" s="39">
        <v>4160</v>
      </c>
      <c r="E2940" s="14">
        <v>9.9099099099099197E-2</v>
      </c>
    </row>
    <row r="2941" spans="1:5" x14ac:dyDescent="0.25">
      <c r="A2941" s="44" t="s">
        <v>6364</v>
      </c>
      <c r="B2941" s="38" t="s">
        <v>6365</v>
      </c>
      <c r="C2941" s="43">
        <v>8169.6</v>
      </c>
      <c r="D2941" s="39">
        <v>7360</v>
      </c>
      <c r="E2941" s="14">
        <v>9.9099099099099086E-2</v>
      </c>
    </row>
    <row r="2942" spans="1:5" x14ac:dyDescent="0.25">
      <c r="A2942" s="44" t="s">
        <v>6366</v>
      </c>
      <c r="B2942" s="38" t="s">
        <v>6367</v>
      </c>
      <c r="C2942" s="43">
        <v>3751.8</v>
      </c>
      <c r="D2942" s="39">
        <v>3380</v>
      </c>
      <c r="E2942" s="14">
        <v>9.9099099099099197E-2</v>
      </c>
    </row>
    <row r="2943" spans="1:5" x14ac:dyDescent="0.25">
      <c r="A2943" s="44" t="s">
        <v>6368</v>
      </c>
      <c r="B2943" s="38" t="s">
        <v>6369</v>
      </c>
      <c r="C2943" s="43">
        <v>6637.8</v>
      </c>
      <c r="D2943" s="39">
        <v>5980</v>
      </c>
      <c r="E2943" s="14">
        <v>9.9099099099099086E-2</v>
      </c>
    </row>
    <row r="2944" spans="1:5" x14ac:dyDescent="0.25">
      <c r="A2944" s="44" t="s">
        <v>6370</v>
      </c>
      <c r="B2944" s="38" t="s">
        <v>6371</v>
      </c>
      <c r="C2944" s="43">
        <v>2741.7000000000003</v>
      </c>
      <c r="D2944" s="39">
        <v>2470</v>
      </c>
      <c r="E2944" s="14">
        <v>9.9099099099099197E-2</v>
      </c>
    </row>
    <row r="2945" spans="1:5" x14ac:dyDescent="0.25">
      <c r="A2945" s="44" t="s">
        <v>6372</v>
      </c>
      <c r="B2945" s="38" t="s">
        <v>6373</v>
      </c>
      <c r="C2945" s="43">
        <v>4850.7000000000007</v>
      </c>
      <c r="D2945" s="39">
        <v>4370</v>
      </c>
      <c r="E2945" s="14">
        <v>9.9099099099099197E-2</v>
      </c>
    </row>
    <row r="2946" spans="1:5" x14ac:dyDescent="0.25">
      <c r="A2946" s="44" t="s">
        <v>6374</v>
      </c>
      <c r="B2946" s="38" t="s">
        <v>6375</v>
      </c>
      <c r="C2946" s="43">
        <v>7215.0000000000009</v>
      </c>
      <c r="D2946" s="39">
        <v>6500</v>
      </c>
      <c r="E2946" s="14">
        <v>9.9099099099099197E-2</v>
      </c>
    </row>
    <row r="2947" spans="1:5" x14ac:dyDescent="0.25">
      <c r="A2947" s="44" t="s">
        <v>6376</v>
      </c>
      <c r="B2947" s="38" t="s">
        <v>6377</v>
      </c>
      <c r="C2947" s="43">
        <v>12765.000000000002</v>
      </c>
      <c r="D2947" s="39">
        <v>11500</v>
      </c>
      <c r="E2947" s="14">
        <v>9.9099099099099197E-2</v>
      </c>
    </row>
    <row r="2948" spans="1:5" x14ac:dyDescent="0.25">
      <c r="A2948" s="44" t="s">
        <v>6378</v>
      </c>
      <c r="B2948" s="38" t="s">
        <v>6379</v>
      </c>
      <c r="C2948" s="43">
        <v>3896.1000000000004</v>
      </c>
      <c r="D2948" s="39">
        <v>3510</v>
      </c>
      <c r="E2948" s="14">
        <v>9.9099099099099197E-2</v>
      </c>
    </row>
    <row r="2949" spans="1:5" x14ac:dyDescent="0.25">
      <c r="A2949" s="44" t="s">
        <v>6380</v>
      </c>
      <c r="B2949" s="38" t="s">
        <v>6381</v>
      </c>
      <c r="C2949" s="43">
        <v>6893.1</v>
      </c>
      <c r="D2949" s="39">
        <v>6210</v>
      </c>
      <c r="E2949" s="14">
        <v>9.9099099099099197E-2</v>
      </c>
    </row>
    <row r="2950" spans="1:5" x14ac:dyDescent="0.25">
      <c r="A2950" s="44" t="s">
        <v>6382</v>
      </c>
      <c r="B2950" s="38" t="s">
        <v>6383</v>
      </c>
      <c r="C2950" s="43">
        <v>1499.25</v>
      </c>
      <c r="D2950" s="39">
        <v>1349.325</v>
      </c>
      <c r="E2950" s="14">
        <v>9.9999999999999978E-2</v>
      </c>
    </row>
    <row r="2951" spans="1:5" x14ac:dyDescent="0.25">
      <c r="A2951" s="44" t="s">
        <v>6384</v>
      </c>
      <c r="B2951" s="38" t="s">
        <v>6385</v>
      </c>
      <c r="C2951" s="43">
        <v>2498.75</v>
      </c>
      <c r="D2951" s="39">
        <v>2248.875</v>
      </c>
      <c r="E2951" s="14">
        <v>9.9999999999999978E-2</v>
      </c>
    </row>
    <row r="2952" spans="1:5" x14ac:dyDescent="0.25">
      <c r="A2952" s="44" t="s">
        <v>6386</v>
      </c>
      <c r="B2952" s="38" t="s">
        <v>6387</v>
      </c>
      <c r="C2952" s="43">
        <v>2249.25</v>
      </c>
      <c r="D2952" s="39">
        <v>2024.325</v>
      </c>
      <c r="E2952" s="14">
        <v>9.9999999999999978E-2</v>
      </c>
    </row>
    <row r="2953" spans="1:5" x14ac:dyDescent="0.25">
      <c r="A2953" s="44" t="s">
        <v>6388</v>
      </c>
      <c r="B2953" s="38" t="s">
        <v>6389</v>
      </c>
      <c r="C2953" s="43">
        <v>3748.75</v>
      </c>
      <c r="D2953" s="39">
        <v>3373.875</v>
      </c>
      <c r="E2953" s="14">
        <v>9.9999999999999978E-2</v>
      </c>
    </row>
    <row r="2954" spans="1:5" x14ac:dyDescent="0.25">
      <c r="A2954" s="44" t="s">
        <v>6390</v>
      </c>
      <c r="B2954" s="38" t="s">
        <v>6391</v>
      </c>
      <c r="C2954" s="43">
        <v>4499.25</v>
      </c>
      <c r="D2954" s="39">
        <v>4049.3250000000003</v>
      </c>
      <c r="E2954" s="14">
        <v>9.9999999999999978E-2</v>
      </c>
    </row>
    <row r="2955" spans="1:5" x14ac:dyDescent="0.25">
      <c r="A2955" s="44" t="s">
        <v>6392</v>
      </c>
      <c r="B2955" s="38" t="s">
        <v>6393</v>
      </c>
      <c r="C2955" s="43">
        <v>7498.75</v>
      </c>
      <c r="D2955" s="39">
        <v>6748.875</v>
      </c>
      <c r="E2955" s="14">
        <v>9.9999999999999978E-2</v>
      </c>
    </row>
    <row r="2956" spans="1:5" x14ac:dyDescent="0.25">
      <c r="A2956" s="44" t="s">
        <v>6394</v>
      </c>
      <c r="B2956" s="38" t="s">
        <v>6395</v>
      </c>
      <c r="C2956" s="43">
        <v>5249.25</v>
      </c>
      <c r="D2956" s="39">
        <v>4724.3249999999998</v>
      </c>
      <c r="E2956" s="14">
        <v>0.10000000000000009</v>
      </c>
    </row>
    <row r="2957" spans="1:5" x14ac:dyDescent="0.25">
      <c r="A2957" s="44" t="s">
        <v>6396</v>
      </c>
      <c r="B2957" s="38" t="s">
        <v>6397</v>
      </c>
      <c r="C2957" s="43">
        <v>8748.75</v>
      </c>
      <c r="D2957" s="39">
        <v>7873.875</v>
      </c>
      <c r="E2957" s="14">
        <v>9.9999999999999978E-2</v>
      </c>
    </row>
    <row r="2958" spans="1:5" x14ac:dyDescent="0.25">
      <c r="A2958" s="44" t="s">
        <v>6398</v>
      </c>
      <c r="B2958" s="38" t="s">
        <v>6399</v>
      </c>
      <c r="C2958" s="43">
        <v>10499.25</v>
      </c>
      <c r="D2958" s="39">
        <v>9449.3250000000007</v>
      </c>
      <c r="E2958" s="14">
        <v>9.9999999999999978E-2</v>
      </c>
    </row>
    <row r="2959" spans="1:5" x14ac:dyDescent="0.25">
      <c r="A2959" s="44" t="s">
        <v>6400</v>
      </c>
      <c r="B2959" s="38" t="s">
        <v>6401</v>
      </c>
      <c r="C2959" s="43">
        <v>17498.75</v>
      </c>
      <c r="D2959" s="39">
        <v>15748.875</v>
      </c>
      <c r="E2959" s="14">
        <v>9.9999999999999978E-2</v>
      </c>
    </row>
    <row r="2960" spans="1:5" x14ac:dyDescent="0.25">
      <c r="A2960" s="44" t="s">
        <v>6402</v>
      </c>
      <c r="B2960" s="38" t="s">
        <v>6403</v>
      </c>
      <c r="C2960" s="43">
        <v>1049.25</v>
      </c>
      <c r="D2960" s="39">
        <v>944.32500000000005</v>
      </c>
      <c r="E2960" s="14">
        <v>9.9999999999999978E-2</v>
      </c>
    </row>
    <row r="2961" spans="1:5" x14ac:dyDescent="0.25">
      <c r="A2961" s="44" t="s">
        <v>6404</v>
      </c>
      <c r="B2961" s="38" t="s">
        <v>6405</v>
      </c>
      <c r="C2961" s="43">
        <v>1748.75</v>
      </c>
      <c r="D2961" s="39">
        <v>1573.875</v>
      </c>
      <c r="E2961" s="14">
        <v>9.9999999999999978E-2</v>
      </c>
    </row>
    <row r="2962" spans="1:5" x14ac:dyDescent="0.25">
      <c r="A2962" s="44" t="s">
        <v>6406</v>
      </c>
      <c r="B2962" s="38" t="s">
        <v>6407</v>
      </c>
      <c r="C2962" s="43">
        <v>186.75</v>
      </c>
      <c r="D2962" s="39">
        <v>168.07500000000002</v>
      </c>
      <c r="E2962" s="14">
        <v>9.9999999999999867E-2</v>
      </c>
    </row>
    <row r="2963" spans="1:5" x14ac:dyDescent="0.25">
      <c r="A2963" s="44" t="s">
        <v>6408</v>
      </c>
      <c r="B2963" s="38" t="s">
        <v>6409</v>
      </c>
      <c r="C2963" s="43">
        <v>311.25</v>
      </c>
      <c r="D2963" s="39">
        <v>280.125</v>
      </c>
      <c r="E2963" s="14">
        <v>9.9999999999999978E-2</v>
      </c>
    </row>
    <row r="2964" spans="1:5" x14ac:dyDescent="0.25">
      <c r="A2964" s="44" t="s">
        <v>6410</v>
      </c>
      <c r="B2964" s="38" t="s">
        <v>6411</v>
      </c>
      <c r="C2964" s="43">
        <v>224.25</v>
      </c>
      <c r="D2964" s="39">
        <v>201.82500000000002</v>
      </c>
      <c r="E2964" s="14">
        <v>9.9999999999999978E-2</v>
      </c>
    </row>
    <row r="2965" spans="1:5" x14ac:dyDescent="0.25">
      <c r="A2965" s="44" t="s">
        <v>6412</v>
      </c>
      <c r="B2965" s="38" t="s">
        <v>6413</v>
      </c>
      <c r="C2965" s="43">
        <v>373.75</v>
      </c>
      <c r="D2965" s="39">
        <v>336.375</v>
      </c>
      <c r="E2965" s="14">
        <v>9.9999999999999978E-2</v>
      </c>
    </row>
    <row r="2966" spans="1:5" x14ac:dyDescent="0.25">
      <c r="A2966" s="44" t="s">
        <v>6414</v>
      </c>
      <c r="B2966" s="38" t="s">
        <v>6415</v>
      </c>
      <c r="C2966" s="43">
        <v>299.25</v>
      </c>
      <c r="D2966" s="39">
        <v>269.32499999999999</v>
      </c>
      <c r="E2966" s="14">
        <v>0.10000000000000009</v>
      </c>
    </row>
    <row r="2967" spans="1:5" x14ac:dyDescent="0.25">
      <c r="A2967" s="44" t="s">
        <v>6416</v>
      </c>
      <c r="B2967" s="38" t="s">
        <v>6417</v>
      </c>
      <c r="C2967" s="43">
        <v>498.75</v>
      </c>
      <c r="D2967" s="39">
        <v>448.875</v>
      </c>
      <c r="E2967" s="14">
        <v>9.9999999999999978E-2</v>
      </c>
    </row>
    <row r="2968" spans="1:5" x14ac:dyDescent="0.25">
      <c r="A2968" s="44" t="s">
        <v>6418</v>
      </c>
      <c r="B2968" s="38" t="s">
        <v>6419</v>
      </c>
      <c r="C2968" s="43">
        <v>450</v>
      </c>
      <c r="D2968" s="39">
        <v>405</v>
      </c>
      <c r="E2968" s="14">
        <v>9.9999999999999978E-2</v>
      </c>
    </row>
    <row r="2969" spans="1:5" x14ac:dyDescent="0.25">
      <c r="A2969" s="44" t="s">
        <v>6420</v>
      </c>
      <c r="B2969" s="38" t="s">
        <v>6421</v>
      </c>
      <c r="C2969" s="43">
        <v>750</v>
      </c>
      <c r="D2969" s="39">
        <v>675</v>
      </c>
      <c r="E2969" s="14">
        <v>9.9999999999999978E-2</v>
      </c>
    </row>
    <row r="2970" spans="1:5" x14ac:dyDescent="0.25">
      <c r="A2970" s="44" t="s">
        <v>6422</v>
      </c>
      <c r="B2970" s="38" t="s">
        <v>6423</v>
      </c>
      <c r="C2970" s="43">
        <v>2249.25</v>
      </c>
      <c r="D2970" s="39">
        <v>2024.325</v>
      </c>
      <c r="E2970" s="14">
        <v>9.9999999999999978E-2</v>
      </c>
    </row>
    <row r="2971" spans="1:5" x14ac:dyDescent="0.25">
      <c r="A2971" s="44" t="s">
        <v>6424</v>
      </c>
      <c r="B2971" s="38" t="s">
        <v>6425</v>
      </c>
      <c r="C2971" s="43">
        <v>3748.75</v>
      </c>
      <c r="D2971" s="39">
        <v>3373.875</v>
      </c>
      <c r="E2971" s="14">
        <v>9.9999999999999978E-2</v>
      </c>
    </row>
    <row r="2972" spans="1:5" x14ac:dyDescent="0.25">
      <c r="A2972" s="44" t="s">
        <v>6426</v>
      </c>
      <c r="B2972" s="38" t="s">
        <v>6427</v>
      </c>
      <c r="C2972" s="43">
        <v>2999.25</v>
      </c>
      <c r="D2972" s="39">
        <v>2699.3250000000003</v>
      </c>
      <c r="E2972" s="14">
        <v>9.9999999999999867E-2</v>
      </c>
    </row>
    <row r="2973" spans="1:5" x14ac:dyDescent="0.25">
      <c r="A2973" s="44" t="s">
        <v>6428</v>
      </c>
      <c r="B2973" s="38" t="s">
        <v>6429</v>
      </c>
      <c r="C2973" s="43">
        <v>4998.75</v>
      </c>
      <c r="D2973" s="39">
        <v>4498.875</v>
      </c>
      <c r="E2973" s="14">
        <v>9.9999999999999978E-2</v>
      </c>
    </row>
    <row r="2974" spans="1:5" x14ac:dyDescent="0.25">
      <c r="A2974" s="44" t="s">
        <v>6430</v>
      </c>
      <c r="B2974" s="38" t="s">
        <v>6431</v>
      </c>
      <c r="C2974" s="43">
        <v>5999.25</v>
      </c>
      <c r="D2974" s="39">
        <v>5399.3249999999998</v>
      </c>
      <c r="E2974" s="14">
        <v>9.9999999999999978E-2</v>
      </c>
    </row>
    <row r="2975" spans="1:5" x14ac:dyDescent="0.25">
      <c r="A2975" s="44" t="s">
        <v>6432</v>
      </c>
      <c r="B2975" s="38" t="s">
        <v>6433</v>
      </c>
      <c r="C2975" s="43">
        <v>9998.75</v>
      </c>
      <c r="D2975" s="39">
        <v>8998.875</v>
      </c>
      <c r="E2975" s="14">
        <v>9.9999999999999978E-2</v>
      </c>
    </row>
    <row r="2976" spans="1:5" x14ac:dyDescent="0.25">
      <c r="A2976" s="44" t="s">
        <v>6434</v>
      </c>
      <c r="B2976" s="38" t="s">
        <v>6435</v>
      </c>
      <c r="C2976" s="43">
        <v>6749.25</v>
      </c>
      <c r="D2976" s="39">
        <v>6074.3249999999998</v>
      </c>
      <c r="E2976" s="14">
        <v>9.9999999999999978E-2</v>
      </c>
    </row>
    <row r="2977" spans="1:5" x14ac:dyDescent="0.25">
      <c r="A2977" s="44" t="s">
        <v>6436</v>
      </c>
      <c r="B2977" s="38" t="s">
        <v>6437</v>
      </c>
      <c r="C2977" s="43">
        <v>11248.75</v>
      </c>
      <c r="D2977" s="39">
        <v>10123.875</v>
      </c>
      <c r="E2977" s="14">
        <v>9.9999999999999978E-2</v>
      </c>
    </row>
    <row r="2978" spans="1:5" x14ac:dyDescent="0.25">
      <c r="A2978" s="44" t="s">
        <v>6438</v>
      </c>
      <c r="B2978" s="38" t="s">
        <v>6439</v>
      </c>
      <c r="C2978" s="43">
        <v>13499.25</v>
      </c>
      <c r="D2978" s="39">
        <v>12149.325000000001</v>
      </c>
      <c r="E2978" s="14">
        <v>9.9999999999999978E-2</v>
      </c>
    </row>
    <row r="2979" spans="1:5" x14ac:dyDescent="0.25">
      <c r="A2979" s="44" t="s">
        <v>6440</v>
      </c>
      <c r="B2979" s="38" t="s">
        <v>6441</v>
      </c>
      <c r="C2979" s="43">
        <v>22498.75</v>
      </c>
      <c r="D2979" s="39">
        <v>20248.875</v>
      </c>
      <c r="E2979" s="14">
        <v>9.9999999999999978E-2</v>
      </c>
    </row>
    <row r="2980" spans="1:5" x14ac:dyDescent="0.25">
      <c r="A2980" s="44" t="s">
        <v>6442</v>
      </c>
      <c r="B2980" s="38" t="s">
        <v>6443</v>
      </c>
      <c r="C2980" s="43">
        <v>8157.39</v>
      </c>
      <c r="D2980" s="39">
        <v>7349</v>
      </c>
      <c r="E2980" s="14">
        <v>9.9099099099099086E-2</v>
      </c>
    </row>
    <row r="2981" spans="1:5" x14ac:dyDescent="0.25">
      <c r="A2981" s="44" t="s">
        <v>6444</v>
      </c>
      <c r="B2981" s="38" t="s">
        <v>6445</v>
      </c>
      <c r="C2981" s="43">
        <v>7902.0900000000011</v>
      </c>
      <c r="D2981" s="39">
        <v>7119</v>
      </c>
      <c r="E2981" s="14">
        <v>9.9099099099099197E-2</v>
      </c>
    </row>
    <row r="2982" spans="1:5" x14ac:dyDescent="0.25">
      <c r="A2982" s="44" t="s">
        <v>6446</v>
      </c>
      <c r="B2982" s="38" t="s">
        <v>6447</v>
      </c>
      <c r="C2982" s="43">
        <v>7646.7900000000009</v>
      </c>
      <c r="D2982" s="39">
        <v>6889</v>
      </c>
      <c r="E2982" s="14">
        <v>9.9099099099099197E-2</v>
      </c>
    </row>
    <row r="2983" spans="1:5" x14ac:dyDescent="0.25">
      <c r="A2983" s="44" t="s">
        <v>6448</v>
      </c>
      <c r="B2983" s="38" t="s">
        <v>6449</v>
      </c>
      <c r="C2983" s="43">
        <v>9689.19</v>
      </c>
      <c r="D2983" s="39">
        <v>8729</v>
      </c>
      <c r="E2983" s="14">
        <v>9.9099099099099197E-2</v>
      </c>
    </row>
    <row r="2984" spans="1:5" x14ac:dyDescent="0.25">
      <c r="A2984" s="44" t="s">
        <v>6450</v>
      </c>
      <c r="B2984" s="38" t="s">
        <v>6451</v>
      </c>
      <c r="C2984" s="43">
        <v>9433.8900000000012</v>
      </c>
      <c r="D2984" s="39">
        <v>8499</v>
      </c>
      <c r="E2984" s="14">
        <v>9.9099099099099197E-2</v>
      </c>
    </row>
    <row r="2985" spans="1:5" x14ac:dyDescent="0.25">
      <c r="A2985" s="44" t="s">
        <v>6452</v>
      </c>
      <c r="B2985" s="38" t="s">
        <v>6453</v>
      </c>
      <c r="C2985" s="43">
        <v>9178.59</v>
      </c>
      <c r="D2985" s="39">
        <v>8269</v>
      </c>
      <c r="E2985" s="14">
        <v>9.9099099099099086E-2</v>
      </c>
    </row>
    <row r="2986" spans="1:5" x14ac:dyDescent="0.25">
      <c r="A2986" s="44" t="s">
        <v>6454</v>
      </c>
      <c r="B2986" s="38" t="s">
        <v>6455</v>
      </c>
      <c r="C2986" s="43">
        <v>126.54</v>
      </c>
      <c r="D2986" s="39">
        <v>114</v>
      </c>
      <c r="E2986" s="14">
        <v>9.9099099099099197E-2</v>
      </c>
    </row>
    <row r="2987" spans="1:5" x14ac:dyDescent="0.25">
      <c r="A2987" s="44" t="s">
        <v>6456</v>
      </c>
      <c r="B2987" s="38" t="s">
        <v>6457</v>
      </c>
      <c r="C2987" s="43">
        <v>89.910000000000011</v>
      </c>
      <c r="D2987" s="39">
        <v>81</v>
      </c>
      <c r="E2987" s="14">
        <v>9.9099099099099197E-2</v>
      </c>
    </row>
    <row r="2988" spans="1:5" x14ac:dyDescent="0.25">
      <c r="A2988" s="44" t="s">
        <v>6458</v>
      </c>
      <c r="B2988" s="38" t="s">
        <v>6459</v>
      </c>
      <c r="C2988" s="43">
        <v>6625.59</v>
      </c>
      <c r="D2988" s="39">
        <v>5969</v>
      </c>
      <c r="E2988" s="14">
        <v>9.9099099099099086E-2</v>
      </c>
    </row>
    <row r="2989" spans="1:5" x14ac:dyDescent="0.25">
      <c r="A2989" s="44" t="s">
        <v>6460</v>
      </c>
      <c r="B2989" s="38" t="s">
        <v>6461</v>
      </c>
      <c r="C2989" s="43">
        <v>6497.9400000000005</v>
      </c>
      <c r="D2989" s="39">
        <v>5854</v>
      </c>
      <c r="E2989" s="14">
        <v>9.9099099099099197E-2</v>
      </c>
    </row>
    <row r="2990" spans="1:5" x14ac:dyDescent="0.25">
      <c r="A2990" s="44" t="s">
        <v>6462</v>
      </c>
      <c r="B2990" s="38" t="s">
        <v>6463</v>
      </c>
      <c r="C2990" s="43">
        <v>6370.2900000000009</v>
      </c>
      <c r="D2990" s="39">
        <v>5739</v>
      </c>
      <c r="E2990" s="14">
        <v>9.9099099099099197E-2</v>
      </c>
    </row>
    <row r="2991" spans="1:5" x14ac:dyDescent="0.25">
      <c r="A2991" s="44" t="s">
        <v>6464</v>
      </c>
      <c r="B2991" s="38" t="s">
        <v>6465</v>
      </c>
      <c r="C2991" s="43">
        <v>7902.0900000000011</v>
      </c>
      <c r="D2991" s="39">
        <v>7119</v>
      </c>
      <c r="E2991" s="14">
        <v>9.9099099099099197E-2</v>
      </c>
    </row>
    <row r="2992" spans="1:5" x14ac:dyDescent="0.25">
      <c r="A2992" s="44" t="s">
        <v>6466</v>
      </c>
      <c r="B2992" s="38" t="s">
        <v>6467</v>
      </c>
      <c r="C2992" s="43">
        <v>7774.4400000000005</v>
      </c>
      <c r="D2992" s="39">
        <v>7004</v>
      </c>
      <c r="E2992" s="14">
        <v>9.9099099099099197E-2</v>
      </c>
    </row>
    <row r="2993" spans="1:5" x14ac:dyDescent="0.25">
      <c r="A2993" s="44" t="s">
        <v>6468</v>
      </c>
      <c r="B2993" s="38" t="s">
        <v>6469</v>
      </c>
      <c r="C2993" s="43">
        <v>7646.7900000000009</v>
      </c>
      <c r="D2993" s="39">
        <v>6889</v>
      </c>
      <c r="E2993" s="14">
        <v>9.9099099099099197E-2</v>
      </c>
    </row>
    <row r="2994" spans="1:5" x14ac:dyDescent="0.25">
      <c r="A2994" s="44" t="s">
        <v>6470</v>
      </c>
      <c r="B2994" s="38" t="s">
        <v>6471</v>
      </c>
      <c r="C2994" s="43">
        <v>126.54</v>
      </c>
      <c r="D2994" s="39">
        <v>114</v>
      </c>
      <c r="E2994" s="14">
        <v>9.9099099099099197E-2</v>
      </c>
    </row>
    <row r="2995" spans="1:5" x14ac:dyDescent="0.25">
      <c r="A2995" s="44" t="s">
        <v>6472</v>
      </c>
      <c r="B2995" s="38" t="s">
        <v>6473</v>
      </c>
      <c r="C2995" s="43">
        <v>89.910000000000011</v>
      </c>
      <c r="D2995" s="39">
        <v>81</v>
      </c>
      <c r="E2995" s="14">
        <v>9.9099099099099197E-2</v>
      </c>
    </row>
    <row r="2996" spans="1:5" x14ac:dyDescent="0.25">
      <c r="A2996" s="44" t="s">
        <v>6474</v>
      </c>
      <c r="B2996" s="38" t="s">
        <v>6475</v>
      </c>
      <c r="C2996" s="43">
        <v>3944.9400000000005</v>
      </c>
      <c r="D2996" s="39">
        <v>3554</v>
      </c>
      <c r="E2996" s="14">
        <v>9.9099099099099197E-2</v>
      </c>
    </row>
    <row r="2997" spans="1:5" x14ac:dyDescent="0.25">
      <c r="A2997" s="44" t="s">
        <v>6476</v>
      </c>
      <c r="B2997" s="38" t="s">
        <v>6477</v>
      </c>
      <c r="C2997" s="43">
        <v>3817.2900000000004</v>
      </c>
      <c r="D2997" s="39">
        <v>3439</v>
      </c>
      <c r="E2997" s="14">
        <v>9.9099099099099197E-2</v>
      </c>
    </row>
    <row r="2998" spans="1:5" x14ac:dyDescent="0.25">
      <c r="A2998" s="44" t="s">
        <v>6478</v>
      </c>
      <c r="B2998" s="38" t="s">
        <v>6479</v>
      </c>
      <c r="C2998" s="43">
        <v>4455.54</v>
      </c>
      <c r="D2998" s="39">
        <v>4014</v>
      </c>
      <c r="E2998" s="14">
        <v>9.9099099099099086E-2</v>
      </c>
    </row>
    <row r="2999" spans="1:5" x14ac:dyDescent="0.25">
      <c r="A2999" s="44" t="s">
        <v>6480</v>
      </c>
      <c r="B2999" s="38" t="s">
        <v>6481</v>
      </c>
      <c r="C2999" s="43">
        <v>4327.8900000000003</v>
      </c>
      <c r="D2999" s="39">
        <v>3899</v>
      </c>
      <c r="E2999" s="14">
        <v>9.9099099099099197E-2</v>
      </c>
    </row>
    <row r="3000" spans="1:5" x14ac:dyDescent="0.25">
      <c r="A3000" s="44" t="s">
        <v>6482</v>
      </c>
      <c r="B3000" s="38" t="s">
        <v>6483</v>
      </c>
      <c r="C3000" s="43">
        <v>126.54</v>
      </c>
      <c r="D3000" s="39">
        <v>114</v>
      </c>
      <c r="E3000" s="14">
        <v>9.9099099099099197E-2</v>
      </c>
    </row>
    <row r="3001" spans="1:5" x14ac:dyDescent="0.25">
      <c r="A3001" s="44" t="s">
        <v>6484</v>
      </c>
      <c r="B3001" s="38" t="s">
        <v>6485</v>
      </c>
      <c r="C3001" s="43">
        <v>89.910000000000011</v>
      </c>
      <c r="D3001" s="39">
        <v>81</v>
      </c>
      <c r="E3001" s="14">
        <v>9.9099099099099197E-2</v>
      </c>
    </row>
    <row r="3002" spans="1:5" x14ac:dyDescent="0.25">
      <c r="A3002" s="44" t="s">
        <v>6486</v>
      </c>
      <c r="B3002" s="38" t="s">
        <v>6487</v>
      </c>
      <c r="C3002" s="43">
        <v>3306.6900000000005</v>
      </c>
      <c r="D3002" s="39">
        <v>2979</v>
      </c>
      <c r="E3002" s="14">
        <v>9.9099099099099197E-2</v>
      </c>
    </row>
    <row r="3003" spans="1:5" x14ac:dyDescent="0.25">
      <c r="A3003" s="44" t="s">
        <v>6488</v>
      </c>
      <c r="B3003" s="38" t="s">
        <v>6489</v>
      </c>
      <c r="C3003" s="43">
        <v>3179.0400000000004</v>
      </c>
      <c r="D3003" s="39">
        <v>2864</v>
      </c>
      <c r="E3003" s="14">
        <v>9.9099099099099197E-2</v>
      </c>
    </row>
    <row r="3004" spans="1:5" x14ac:dyDescent="0.25">
      <c r="A3004" s="44" t="s">
        <v>6490</v>
      </c>
      <c r="B3004" s="38" t="s">
        <v>6491</v>
      </c>
      <c r="C3004" s="43">
        <v>3051.3900000000003</v>
      </c>
      <c r="D3004" s="39">
        <v>2749</v>
      </c>
      <c r="E3004" s="14">
        <v>9.9099099099099197E-2</v>
      </c>
    </row>
    <row r="3005" spans="1:5" x14ac:dyDescent="0.25">
      <c r="A3005" s="44" t="s">
        <v>6492</v>
      </c>
      <c r="B3005" s="38" t="s">
        <v>6493</v>
      </c>
      <c r="C3005" s="43">
        <v>498.39000000000004</v>
      </c>
      <c r="D3005" s="39">
        <v>449</v>
      </c>
      <c r="E3005" s="14">
        <v>9.9099099099099197E-2</v>
      </c>
    </row>
    <row r="3006" spans="1:5" x14ac:dyDescent="0.25">
      <c r="A3006" s="44" t="s">
        <v>6494</v>
      </c>
      <c r="B3006" s="38" t="s">
        <v>6495</v>
      </c>
      <c r="C3006" s="43">
        <v>89.910000000000011</v>
      </c>
      <c r="D3006" s="39">
        <v>81</v>
      </c>
      <c r="E3006" s="14">
        <v>9.9099099099099197E-2</v>
      </c>
    </row>
    <row r="3007" spans="1:5" x14ac:dyDescent="0.25">
      <c r="A3007" s="44" t="s">
        <v>6496</v>
      </c>
      <c r="B3007" s="38" t="s">
        <v>6497</v>
      </c>
      <c r="C3007" s="43">
        <v>2527.4700000000003</v>
      </c>
      <c r="D3007" s="39">
        <v>2277</v>
      </c>
      <c r="E3007" s="14">
        <v>9.9099099099099197E-2</v>
      </c>
    </row>
    <row r="3008" spans="1:5" x14ac:dyDescent="0.25">
      <c r="A3008" s="44" t="s">
        <v>6498</v>
      </c>
      <c r="B3008" s="38" t="s">
        <v>6499</v>
      </c>
      <c r="C3008" s="43">
        <v>2399.8200000000002</v>
      </c>
      <c r="D3008" s="39">
        <v>2162</v>
      </c>
      <c r="E3008" s="14">
        <v>9.9099099099099197E-2</v>
      </c>
    </row>
    <row r="3009" spans="1:5" x14ac:dyDescent="0.25">
      <c r="A3009" s="44" t="s">
        <v>6500</v>
      </c>
      <c r="B3009" s="38" t="s">
        <v>6501</v>
      </c>
      <c r="C3009" s="43">
        <v>2272.17</v>
      </c>
      <c r="D3009" s="39">
        <v>2047</v>
      </c>
      <c r="E3009" s="14">
        <v>9.9099099099099086E-2</v>
      </c>
    </row>
    <row r="3010" spans="1:5" x14ac:dyDescent="0.25">
      <c r="A3010" s="44" t="s">
        <v>6502</v>
      </c>
      <c r="B3010" s="38" t="s">
        <v>6503</v>
      </c>
      <c r="C3010" s="43">
        <v>2030.1900000000003</v>
      </c>
      <c r="D3010" s="39">
        <v>1829</v>
      </c>
      <c r="E3010" s="14">
        <v>9.9099099099099197E-2</v>
      </c>
    </row>
    <row r="3011" spans="1:5" x14ac:dyDescent="0.25">
      <c r="A3011" s="44" t="s">
        <v>6504</v>
      </c>
      <c r="B3011" s="38" t="s">
        <v>6505</v>
      </c>
      <c r="C3011" s="43">
        <v>1902.5400000000002</v>
      </c>
      <c r="D3011" s="39">
        <v>1714</v>
      </c>
      <c r="E3011" s="14">
        <v>9.9099099099099197E-2</v>
      </c>
    </row>
    <row r="3012" spans="1:5" x14ac:dyDescent="0.25">
      <c r="A3012" s="44" t="s">
        <v>6506</v>
      </c>
      <c r="B3012" s="38" t="s">
        <v>6507</v>
      </c>
      <c r="C3012" s="43">
        <v>1774.89</v>
      </c>
      <c r="D3012" s="39">
        <v>1599</v>
      </c>
      <c r="E3012" s="14">
        <v>9.9099099099099197E-2</v>
      </c>
    </row>
    <row r="3013" spans="1:5" x14ac:dyDescent="0.25">
      <c r="A3013" s="44" t="s">
        <v>6508</v>
      </c>
      <c r="B3013" s="38" t="s">
        <v>6509</v>
      </c>
      <c r="C3013" s="43">
        <v>498.39000000000004</v>
      </c>
      <c r="D3013" s="39">
        <v>449</v>
      </c>
      <c r="E3013" s="14">
        <v>9.9099099099099197E-2</v>
      </c>
    </row>
    <row r="3014" spans="1:5" x14ac:dyDescent="0.25">
      <c r="A3014" s="44" t="s">
        <v>6510</v>
      </c>
      <c r="B3014" s="38" t="s">
        <v>6511</v>
      </c>
      <c r="C3014" s="43">
        <v>89.910000000000011</v>
      </c>
      <c r="D3014" s="39">
        <v>81</v>
      </c>
      <c r="E3014" s="14">
        <v>9.9099099099099197E-2</v>
      </c>
    </row>
    <row r="3015" spans="1:5" x14ac:dyDescent="0.25">
      <c r="A3015" s="44" t="s">
        <v>6512</v>
      </c>
      <c r="B3015" s="38" t="s">
        <v>6513</v>
      </c>
      <c r="C3015" s="43">
        <v>8923.2900000000009</v>
      </c>
      <c r="D3015" s="39">
        <v>8039</v>
      </c>
      <c r="E3015" s="14">
        <v>9.9099099099099197E-2</v>
      </c>
    </row>
    <row r="3016" spans="1:5" x14ac:dyDescent="0.25">
      <c r="A3016" s="44" t="s">
        <v>6514</v>
      </c>
      <c r="B3016" s="38" t="s">
        <v>6515</v>
      </c>
      <c r="C3016" s="43">
        <v>3817.2900000000004</v>
      </c>
      <c r="D3016" s="39">
        <v>3439</v>
      </c>
      <c r="E3016" s="14">
        <v>9.9099099099099197E-2</v>
      </c>
    </row>
    <row r="3017" spans="1:5" x14ac:dyDescent="0.25">
      <c r="A3017" s="44" t="s">
        <v>6516</v>
      </c>
      <c r="B3017" s="38" t="s">
        <v>6517</v>
      </c>
      <c r="C3017" s="43">
        <v>4072.59</v>
      </c>
      <c r="D3017" s="39">
        <v>3669</v>
      </c>
      <c r="E3017" s="14">
        <v>9.9099099099099086E-2</v>
      </c>
    </row>
    <row r="3018" spans="1:5" x14ac:dyDescent="0.25">
      <c r="A3018" s="44" t="s">
        <v>6518</v>
      </c>
      <c r="B3018" s="38" t="s">
        <v>6519</v>
      </c>
      <c r="C3018" s="43">
        <v>881.34</v>
      </c>
      <c r="D3018" s="39">
        <v>794</v>
      </c>
      <c r="E3018" s="14">
        <v>9.9099099099099086E-2</v>
      </c>
    </row>
    <row r="3019" spans="1:5" x14ac:dyDescent="0.25">
      <c r="A3019" s="44" t="s">
        <v>6520</v>
      </c>
      <c r="B3019" s="38" t="s">
        <v>6521</v>
      </c>
      <c r="C3019" s="43">
        <v>243.09000000000003</v>
      </c>
      <c r="D3019" s="39">
        <v>219</v>
      </c>
      <c r="E3019" s="14">
        <v>9.9099099099099197E-2</v>
      </c>
    </row>
    <row r="3020" spans="1:5" x14ac:dyDescent="0.25">
      <c r="A3020" s="44" t="s">
        <v>6522</v>
      </c>
      <c r="B3020" s="38" t="s">
        <v>6523</v>
      </c>
      <c r="C3020" s="43">
        <v>1774.89</v>
      </c>
      <c r="D3020" s="39">
        <v>1599</v>
      </c>
      <c r="E3020" s="14">
        <v>9.9099099099099197E-2</v>
      </c>
    </row>
    <row r="3021" spans="1:5" x14ac:dyDescent="0.25">
      <c r="A3021" s="44" t="s">
        <v>6524</v>
      </c>
      <c r="B3021" s="38" t="s">
        <v>6525</v>
      </c>
      <c r="C3021" s="43">
        <v>2030.1900000000003</v>
      </c>
      <c r="D3021" s="39">
        <v>1829</v>
      </c>
      <c r="E3021" s="14">
        <v>9.9099099099099197E-2</v>
      </c>
    </row>
    <row r="3022" spans="1:5" x14ac:dyDescent="0.25">
      <c r="A3022" s="44" t="s">
        <v>6526</v>
      </c>
      <c r="B3022" s="38" t="s">
        <v>6527</v>
      </c>
      <c r="C3022" s="43">
        <v>1264.2900000000002</v>
      </c>
      <c r="D3022" s="39">
        <v>1139</v>
      </c>
      <c r="E3022" s="14">
        <v>9.9099099099099197E-2</v>
      </c>
    </row>
    <row r="3023" spans="1:5" x14ac:dyDescent="0.25">
      <c r="A3023" s="44" t="s">
        <v>6528</v>
      </c>
      <c r="B3023" s="38" t="s">
        <v>6529</v>
      </c>
      <c r="C3023" s="43">
        <v>1519.5900000000001</v>
      </c>
      <c r="D3023" s="39">
        <v>1369</v>
      </c>
      <c r="E3023" s="14">
        <v>9.9099099099099197E-2</v>
      </c>
    </row>
    <row r="3024" spans="1:5" x14ac:dyDescent="0.25">
      <c r="A3024" s="44" t="s">
        <v>6530</v>
      </c>
      <c r="B3024" s="38" t="s">
        <v>6531</v>
      </c>
      <c r="C3024" s="43">
        <v>319.68</v>
      </c>
      <c r="D3024" s="39">
        <v>288</v>
      </c>
      <c r="E3024" s="14">
        <v>9.9099099099099086E-2</v>
      </c>
    </row>
    <row r="3025" spans="1:5" x14ac:dyDescent="0.25">
      <c r="A3025" s="44" t="s">
        <v>6532</v>
      </c>
      <c r="B3025" s="38" t="s">
        <v>6533</v>
      </c>
      <c r="C3025" s="43">
        <v>4610.9400000000005</v>
      </c>
      <c r="D3025" s="39">
        <v>4154</v>
      </c>
      <c r="E3025" s="14">
        <v>9.9099099099099197E-2</v>
      </c>
    </row>
    <row r="3026" spans="1:5" x14ac:dyDescent="0.25">
      <c r="A3026" s="44" t="s">
        <v>6534</v>
      </c>
      <c r="B3026" s="38" t="s">
        <v>6535</v>
      </c>
      <c r="C3026" s="43">
        <v>4466.6400000000003</v>
      </c>
      <c r="D3026" s="39">
        <v>4024</v>
      </c>
      <c r="E3026" s="14">
        <v>9.9099099099099197E-2</v>
      </c>
    </row>
    <row r="3027" spans="1:5" x14ac:dyDescent="0.25">
      <c r="A3027" s="44" t="s">
        <v>6536</v>
      </c>
      <c r="B3027" s="38" t="s">
        <v>6537</v>
      </c>
      <c r="C3027" s="43">
        <v>4322.34</v>
      </c>
      <c r="D3027" s="39">
        <v>3894</v>
      </c>
      <c r="E3027" s="14">
        <v>9.9099099099099086E-2</v>
      </c>
    </row>
    <row r="3028" spans="1:5" x14ac:dyDescent="0.25">
      <c r="A3028" s="44" t="s">
        <v>6538</v>
      </c>
      <c r="B3028" s="38" t="s">
        <v>6539</v>
      </c>
      <c r="C3028" s="43">
        <v>5476.7400000000007</v>
      </c>
      <c r="D3028" s="39">
        <v>4934</v>
      </c>
      <c r="E3028" s="14">
        <v>9.9099099099099197E-2</v>
      </c>
    </row>
    <row r="3029" spans="1:5" x14ac:dyDescent="0.25">
      <c r="A3029" s="44" t="s">
        <v>6540</v>
      </c>
      <c r="B3029" s="38" t="s">
        <v>6541</v>
      </c>
      <c r="C3029" s="43">
        <v>5332.4400000000005</v>
      </c>
      <c r="D3029" s="39">
        <v>4804</v>
      </c>
      <c r="E3029" s="14">
        <v>9.9099099099099197E-2</v>
      </c>
    </row>
    <row r="3030" spans="1:5" x14ac:dyDescent="0.25">
      <c r="A3030" s="44" t="s">
        <v>6542</v>
      </c>
      <c r="B3030" s="38" t="s">
        <v>6543</v>
      </c>
      <c r="C3030" s="43">
        <v>5188.1400000000003</v>
      </c>
      <c r="D3030" s="39">
        <v>4674</v>
      </c>
      <c r="E3030" s="14">
        <v>9.9099099099099197E-2</v>
      </c>
    </row>
    <row r="3031" spans="1:5" x14ac:dyDescent="0.25">
      <c r="A3031" s="44" t="s">
        <v>6544</v>
      </c>
      <c r="B3031" s="38" t="s">
        <v>6545</v>
      </c>
      <c r="C3031" s="43">
        <v>71.040000000000006</v>
      </c>
      <c r="D3031" s="39">
        <v>64</v>
      </c>
      <c r="E3031" s="14">
        <v>9.9099099099099197E-2</v>
      </c>
    </row>
    <row r="3032" spans="1:5" x14ac:dyDescent="0.25">
      <c r="A3032" s="44" t="s">
        <v>6546</v>
      </c>
      <c r="B3032" s="38" t="s">
        <v>6547</v>
      </c>
      <c r="C3032" s="43">
        <v>51.06</v>
      </c>
      <c r="D3032" s="39">
        <v>46</v>
      </c>
      <c r="E3032" s="14">
        <v>9.9099099099099086E-2</v>
      </c>
    </row>
    <row r="3033" spans="1:5" x14ac:dyDescent="0.25">
      <c r="A3033" s="44" t="s">
        <v>6548</v>
      </c>
      <c r="B3033" s="38" t="s">
        <v>6549</v>
      </c>
      <c r="C3033" s="43">
        <v>3745.1400000000003</v>
      </c>
      <c r="D3033" s="39">
        <v>3374</v>
      </c>
      <c r="E3033" s="14">
        <v>9.9099099099099197E-2</v>
      </c>
    </row>
    <row r="3034" spans="1:5" x14ac:dyDescent="0.25">
      <c r="A3034" s="44" t="s">
        <v>6550</v>
      </c>
      <c r="B3034" s="38" t="s">
        <v>6551</v>
      </c>
      <c r="C3034" s="43">
        <v>3672.9900000000002</v>
      </c>
      <c r="D3034" s="39">
        <v>3309</v>
      </c>
      <c r="E3034" s="14">
        <v>9.9099099099099197E-2</v>
      </c>
    </row>
    <row r="3035" spans="1:5" x14ac:dyDescent="0.25">
      <c r="A3035" s="44" t="s">
        <v>6552</v>
      </c>
      <c r="B3035" s="38" t="s">
        <v>6553</v>
      </c>
      <c r="C3035" s="43">
        <v>3600.84</v>
      </c>
      <c r="D3035" s="39">
        <v>3244</v>
      </c>
      <c r="E3035" s="14">
        <v>9.9099099099099086E-2</v>
      </c>
    </row>
    <row r="3036" spans="1:5" x14ac:dyDescent="0.25">
      <c r="A3036" s="44" t="s">
        <v>6554</v>
      </c>
      <c r="B3036" s="38" t="s">
        <v>6555</v>
      </c>
      <c r="C3036" s="43">
        <v>4466.6400000000003</v>
      </c>
      <c r="D3036" s="39">
        <v>4024</v>
      </c>
      <c r="E3036" s="14">
        <v>9.9099099099099197E-2</v>
      </c>
    </row>
    <row r="3037" spans="1:5" x14ac:dyDescent="0.25">
      <c r="A3037" s="44" t="s">
        <v>6556</v>
      </c>
      <c r="B3037" s="38" t="s">
        <v>6557</v>
      </c>
      <c r="C3037" s="43">
        <v>4394.4900000000007</v>
      </c>
      <c r="D3037" s="39">
        <v>3959</v>
      </c>
      <c r="E3037" s="14">
        <v>9.9099099099099197E-2</v>
      </c>
    </row>
    <row r="3038" spans="1:5" x14ac:dyDescent="0.25">
      <c r="A3038" s="44" t="s">
        <v>6558</v>
      </c>
      <c r="B3038" s="38" t="s">
        <v>6559</v>
      </c>
      <c r="C3038" s="43">
        <v>4322.34</v>
      </c>
      <c r="D3038" s="39">
        <v>3894</v>
      </c>
      <c r="E3038" s="14">
        <v>9.9099099099099086E-2</v>
      </c>
    </row>
    <row r="3039" spans="1:5" x14ac:dyDescent="0.25">
      <c r="A3039" s="44" t="s">
        <v>6560</v>
      </c>
      <c r="B3039" s="38" t="s">
        <v>6561</v>
      </c>
      <c r="C3039" s="43">
        <v>71.040000000000006</v>
      </c>
      <c r="D3039" s="39">
        <v>64</v>
      </c>
      <c r="E3039" s="14">
        <v>9.9099099099099197E-2</v>
      </c>
    </row>
    <row r="3040" spans="1:5" x14ac:dyDescent="0.25">
      <c r="A3040" s="44" t="s">
        <v>6562</v>
      </c>
      <c r="B3040" s="38" t="s">
        <v>6563</v>
      </c>
      <c r="C3040" s="43">
        <v>51.06</v>
      </c>
      <c r="D3040" s="39">
        <v>46</v>
      </c>
      <c r="E3040" s="14">
        <v>9.9099099099099086E-2</v>
      </c>
    </row>
    <row r="3041" spans="1:5" x14ac:dyDescent="0.25">
      <c r="A3041" s="44" t="s">
        <v>6564</v>
      </c>
      <c r="B3041" s="38" t="s">
        <v>6565</v>
      </c>
      <c r="C3041" s="43">
        <v>2229.9900000000002</v>
      </c>
      <c r="D3041" s="39">
        <v>2009</v>
      </c>
      <c r="E3041" s="14">
        <v>9.9099099099099197E-2</v>
      </c>
    </row>
    <row r="3042" spans="1:5" x14ac:dyDescent="0.25">
      <c r="A3042" s="44" t="s">
        <v>6566</v>
      </c>
      <c r="B3042" s="38" t="s">
        <v>6567</v>
      </c>
      <c r="C3042" s="43">
        <v>2157.84</v>
      </c>
      <c r="D3042" s="39">
        <v>1944</v>
      </c>
      <c r="E3042" s="14">
        <v>9.9099099099099197E-2</v>
      </c>
    </row>
    <row r="3043" spans="1:5" x14ac:dyDescent="0.25">
      <c r="A3043" s="44" t="s">
        <v>6568</v>
      </c>
      <c r="B3043" s="38" t="s">
        <v>6569</v>
      </c>
      <c r="C3043" s="43">
        <v>2518.59</v>
      </c>
      <c r="D3043" s="39">
        <v>2269</v>
      </c>
      <c r="E3043" s="14">
        <v>9.9099099099099197E-2</v>
      </c>
    </row>
    <row r="3044" spans="1:5" x14ac:dyDescent="0.25">
      <c r="A3044" s="44" t="s">
        <v>6570</v>
      </c>
      <c r="B3044" s="38" t="s">
        <v>6571</v>
      </c>
      <c r="C3044" s="43">
        <v>2446.44</v>
      </c>
      <c r="D3044" s="39">
        <v>2204</v>
      </c>
      <c r="E3044" s="14">
        <v>9.9099099099099086E-2</v>
      </c>
    </row>
    <row r="3045" spans="1:5" x14ac:dyDescent="0.25">
      <c r="A3045" s="44" t="s">
        <v>6572</v>
      </c>
      <c r="B3045" s="38" t="s">
        <v>6573</v>
      </c>
      <c r="C3045" s="43">
        <v>71.040000000000006</v>
      </c>
      <c r="D3045" s="39">
        <v>64</v>
      </c>
      <c r="E3045" s="14">
        <v>9.9099099099099197E-2</v>
      </c>
    </row>
    <row r="3046" spans="1:5" x14ac:dyDescent="0.25">
      <c r="A3046" s="44" t="s">
        <v>6574</v>
      </c>
      <c r="B3046" s="38" t="s">
        <v>6575</v>
      </c>
      <c r="C3046" s="43">
        <v>51.06</v>
      </c>
      <c r="D3046" s="39">
        <v>46</v>
      </c>
      <c r="E3046" s="14">
        <v>9.9099099099099086E-2</v>
      </c>
    </row>
    <row r="3047" spans="1:5" x14ac:dyDescent="0.25">
      <c r="A3047" s="44" t="s">
        <v>6576</v>
      </c>
      <c r="B3047" s="38" t="s">
        <v>6577</v>
      </c>
      <c r="C3047" s="43">
        <v>1869.2400000000002</v>
      </c>
      <c r="D3047" s="39">
        <v>1684</v>
      </c>
      <c r="E3047" s="14">
        <v>9.9099099099099197E-2</v>
      </c>
    </row>
    <row r="3048" spans="1:5" x14ac:dyDescent="0.25">
      <c r="A3048" s="44" t="s">
        <v>6578</v>
      </c>
      <c r="B3048" s="38" t="s">
        <v>6579</v>
      </c>
      <c r="C3048" s="43">
        <v>1797.0900000000001</v>
      </c>
      <c r="D3048" s="39">
        <v>1619</v>
      </c>
      <c r="E3048" s="14">
        <v>9.9099099099099197E-2</v>
      </c>
    </row>
    <row r="3049" spans="1:5" x14ac:dyDescent="0.25">
      <c r="A3049" s="44" t="s">
        <v>6580</v>
      </c>
      <c r="B3049" s="38" t="s">
        <v>6581</v>
      </c>
      <c r="C3049" s="43">
        <v>1724.94</v>
      </c>
      <c r="D3049" s="39">
        <v>1554</v>
      </c>
      <c r="E3049" s="14">
        <v>9.9099099099099086E-2</v>
      </c>
    </row>
    <row r="3050" spans="1:5" x14ac:dyDescent="0.25">
      <c r="A3050" s="44" t="s">
        <v>6582</v>
      </c>
      <c r="B3050" s="38" t="s">
        <v>6583</v>
      </c>
      <c r="C3050" s="43">
        <v>281.94</v>
      </c>
      <c r="D3050" s="39">
        <v>254</v>
      </c>
      <c r="E3050" s="14">
        <v>9.9099099099099086E-2</v>
      </c>
    </row>
    <row r="3051" spans="1:5" x14ac:dyDescent="0.25">
      <c r="A3051" s="44" t="s">
        <v>6584</v>
      </c>
      <c r="B3051" s="38" t="s">
        <v>6585</v>
      </c>
      <c r="C3051" s="43">
        <v>51.06</v>
      </c>
      <c r="D3051" s="39">
        <v>46</v>
      </c>
      <c r="E3051" s="14">
        <v>9.9099099099099086E-2</v>
      </c>
    </row>
    <row r="3052" spans="1:5" x14ac:dyDescent="0.25">
      <c r="A3052" s="44" t="s">
        <v>6586</v>
      </c>
      <c r="B3052" s="38" t="s">
        <v>6587</v>
      </c>
      <c r="C3052" s="43">
        <v>1428.5700000000002</v>
      </c>
      <c r="D3052" s="39">
        <v>1287</v>
      </c>
      <c r="E3052" s="14">
        <v>9.9099099099099197E-2</v>
      </c>
    </row>
    <row r="3053" spans="1:5" x14ac:dyDescent="0.25">
      <c r="A3053" s="44" t="s">
        <v>6588</v>
      </c>
      <c r="B3053" s="38" t="s">
        <v>6589</v>
      </c>
      <c r="C3053" s="43">
        <v>1356.42</v>
      </c>
      <c r="D3053" s="39">
        <v>1222</v>
      </c>
      <c r="E3053" s="14">
        <v>9.9099099099099197E-2</v>
      </c>
    </row>
    <row r="3054" spans="1:5" x14ac:dyDescent="0.25">
      <c r="A3054" s="44" t="s">
        <v>6590</v>
      </c>
      <c r="B3054" s="38" t="s">
        <v>6591</v>
      </c>
      <c r="C3054" s="43">
        <v>1284.2700000000002</v>
      </c>
      <c r="D3054" s="39">
        <v>1157</v>
      </c>
      <c r="E3054" s="14">
        <v>9.9099099099099197E-2</v>
      </c>
    </row>
    <row r="3055" spans="1:5" x14ac:dyDescent="0.25">
      <c r="A3055" s="44" t="s">
        <v>6592</v>
      </c>
      <c r="B3055" s="38" t="s">
        <v>6593</v>
      </c>
      <c r="C3055" s="43">
        <v>1147.74</v>
      </c>
      <c r="D3055" s="39">
        <v>1034</v>
      </c>
      <c r="E3055" s="14">
        <v>9.9099099099099086E-2</v>
      </c>
    </row>
    <row r="3056" spans="1:5" x14ac:dyDescent="0.25">
      <c r="A3056" s="44" t="s">
        <v>6594</v>
      </c>
      <c r="B3056" s="38" t="s">
        <v>6595</v>
      </c>
      <c r="C3056" s="43">
        <v>1075.5900000000001</v>
      </c>
      <c r="D3056" s="39">
        <v>969</v>
      </c>
      <c r="E3056" s="14">
        <v>9.9099099099099197E-2</v>
      </c>
    </row>
    <row r="3057" spans="1:5" x14ac:dyDescent="0.25">
      <c r="A3057" s="44" t="s">
        <v>6596</v>
      </c>
      <c r="B3057" s="38" t="s">
        <v>6597</v>
      </c>
      <c r="C3057" s="43">
        <v>1003.44</v>
      </c>
      <c r="D3057" s="39">
        <v>904</v>
      </c>
      <c r="E3057" s="14">
        <v>9.9099099099099197E-2</v>
      </c>
    </row>
    <row r="3058" spans="1:5" x14ac:dyDescent="0.25">
      <c r="A3058" s="44" t="s">
        <v>6598</v>
      </c>
      <c r="B3058" s="38" t="s">
        <v>6599</v>
      </c>
      <c r="C3058" s="43">
        <v>281.94</v>
      </c>
      <c r="D3058" s="39">
        <v>254</v>
      </c>
      <c r="E3058" s="14">
        <v>9.9099099099099086E-2</v>
      </c>
    </row>
    <row r="3059" spans="1:5" x14ac:dyDescent="0.25">
      <c r="A3059" s="44" t="s">
        <v>6600</v>
      </c>
      <c r="B3059" s="38" t="s">
        <v>6601</v>
      </c>
      <c r="C3059" s="43">
        <v>51.06</v>
      </c>
      <c r="D3059" s="39">
        <v>46</v>
      </c>
      <c r="E3059" s="14">
        <v>9.9099099099099086E-2</v>
      </c>
    </row>
    <row r="3060" spans="1:5" x14ac:dyDescent="0.25">
      <c r="A3060" s="44" t="s">
        <v>6602</v>
      </c>
      <c r="B3060" s="38" t="s">
        <v>6603</v>
      </c>
      <c r="C3060" s="43">
        <v>5043.84</v>
      </c>
      <c r="D3060" s="39">
        <v>4544</v>
      </c>
      <c r="E3060" s="14">
        <v>9.9099099099099086E-2</v>
      </c>
    </row>
    <row r="3061" spans="1:5" x14ac:dyDescent="0.25">
      <c r="A3061" s="44" t="s">
        <v>6604</v>
      </c>
      <c r="B3061" s="38" t="s">
        <v>6605</v>
      </c>
      <c r="C3061" s="43">
        <v>2157.84</v>
      </c>
      <c r="D3061" s="39">
        <v>1944</v>
      </c>
      <c r="E3061" s="14">
        <v>9.9099099099099197E-2</v>
      </c>
    </row>
    <row r="3062" spans="1:5" x14ac:dyDescent="0.25">
      <c r="A3062" s="44" t="s">
        <v>6606</v>
      </c>
      <c r="B3062" s="38" t="s">
        <v>6607</v>
      </c>
      <c r="C3062" s="43">
        <v>2302.1400000000003</v>
      </c>
      <c r="D3062" s="39">
        <v>2074</v>
      </c>
      <c r="E3062" s="14">
        <v>9.9099099099099197E-2</v>
      </c>
    </row>
    <row r="3063" spans="1:5" x14ac:dyDescent="0.25">
      <c r="A3063" s="44" t="s">
        <v>6608</v>
      </c>
      <c r="B3063" s="38" t="s">
        <v>6609</v>
      </c>
      <c r="C3063" s="43">
        <v>498.39000000000004</v>
      </c>
      <c r="D3063" s="39">
        <v>449</v>
      </c>
      <c r="E3063" s="14">
        <v>9.9099099099099197E-2</v>
      </c>
    </row>
    <row r="3064" spans="1:5" x14ac:dyDescent="0.25">
      <c r="A3064" s="44" t="s">
        <v>6610</v>
      </c>
      <c r="B3064" s="38" t="s">
        <v>6611</v>
      </c>
      <c r="C3064" s="43">
        <v>137.64000000000001</v>
      </c>
      <c r="D3064" s="39">
        <v>124</v>
      </c>
      <c r="E3064" s="14">
        <v>9.9099099099099197E-2</v>
      </c>
    </row>
    <row r="3065" spans="1:5" x14ac:dyDescent="0.25">
      <c r="A3065" s="44" t="s">
        <v>6612</v>
      </c>
      <c r="B3065" s="38" t="s">
        <v>6613</v>
      </c>
      <c r="C3065" s="43">
        <v>1003.44</v>
      </c>
      <c r="D3065" s="39">
        <v>904</v>
      </c>
      <c r="E3065" s="14">
        <v>9.9099099099099197E-2</v>
      </c>
    </row>
    <row r="3066" spans="1:5" x14ac:dyDescent="0.25">
      <c r="A3066" s="44" t="s">
        <v>6614</v>
      </c>
      <c r="B3066" s="38" t="s">
        <v>6615</v>
      </c>
      <c r="C3066" s="43">
        <v>1147.74</v>
      </c>
      <c r="D3066" s="39">
        <v>1034</v>
      </c>
      <c r="E3066" s="14">
        <v>9.9099099099099086E-2</v>
      </c>
    </row>
    <row r="3067" spans="1:5" x14ac:dyDescent="0.25">
      <c r="A3067" s="44" t="s">
        <v>6616</v>
      </c>
      <c r="B3067" s="38" t="s">
        <v>6617</v>
      </c>
      <c r="C3067" s="43">
        <v>714.84</v>
      </c>
      <c r="D3067" s="39">
        <v>644</v>
      </c>
      <c r="E3067" s="14">
        <v>9.9099099099099086E-2</v>
      </c>
    </row>
    <row r="3068" spans="1:5" x14ac:dyDescent="0.25">
      <c r="A3068" s="44" t="s">
        <v>6618</v>
      </c>
      <c r="B3068" s="38" t="s">
        <v>6619</v>
      </c>
      <c r="C3068" s="43">
        <v>859.1400000000001</v>
      </c>
      <c r="D3068" s="39">
        <v>774</v>
      </c>
      <c r="E3068" s="14">
        <v>9.9099099099099197E-2</v>
      </c>
    </row>
    <row r="3069" spans="1:5" x14ac:dyDescent="0.25">
      <c r="A3069" s="44" t="s">
        <v>6620</v>
      </c>
      <c r="B3069" s="38" t="s">
        <v>6621</v>
      </c>
      <c r="C3069" s="43">
        <v>180.93</v>
      </c>
      <c r="D3069" s="39">
        <v>163</v>
      </c>
      <c r="E3069" s="14">
        <v>9.9099099099099086E-2</v>
      </c>
    </row>
    <row r="3070" spans="1:5" x14ac:dyDescent="0.25">
      <c r="A3070" s="44" t="s">
        <v>6622</v>
      </c>
      <c r="B3070" s="38" t="s">
        <v>6623</v>
      </c>
      <c r="C3070" s="43">
        <v>3108</v>
      </c>
      <c r="D3070" s="39">
        <v>2797.2000000000003</v>
      </c>
      <c r="E3070" s="14">
        <v>9.9999999999999867E-2</v>
      </c>
    </row>
    <row r="3071" spans="1:5" x14ac:dyDescent="0.25">
      <c r="A3071" s="44" t="s">
        <v>6624</v>
      </c>
      <c r="B3071" s="38" t="s">
        <v>6625</v>
      </c>
      <c r="C3071" s="43">
        <v>3108</v>
      </c>
      <c r="D3071" s="39">
        <v>2797.2000000000003</v>
      </c>
      <c r="E3071" s="14">
        <v>9.9999999999999867E-2</v>
      </c>
    </row>
    <row r="3072" spans="1:5" x14ac:dyDescent="0.25">
      <c r="A3072" s="44" t="s">
        <v>6626</v>
      </c>
      <c r="B3072" s="38" t="s">
        <v>6627</v>
      </c>
      <c r="C3072" s="43">
        <v>28740</v>
      </c>
      <c r="D3072" s="39">
        <v>25866</v>
      </c>
      <c r="E3072" s="14">
        <v>9.9999999999999978E-2</v>
      </c>
    </row>
    <row r="3073" spans="1:5" x14ac:dyDescent="0.25">
      <c r="A3073" s="44" t="s">
        <v>6628</v>
      </c>
      <c r="B3073" s="38" t="s">
        <v>6629</v>
      </c>
      <c r="C3073" s="43">
        <v>28740</v>
      </c>
      <c r="D3073" s="39">
        <v>25866</v>
      </c>
      <c r="E3073" s="14">
        <v>9.9999999999999978E-2</v>
      </c>
    </row>
    <row r="3074" spans="1:5" x14ac:dyDescent="0.25">
      <c r="A3074" s="44" t="s">
        <v>6630</v>
      </c>
      <c r="B3074" s="38" t="s">
        <v>6631</v>
      </c>
      <c r="C3074" s="43">
        <v>39540</v>
      </c>
      <c r="D3074" s="39">
        <v>35586</v>
      </c>
      <c r="E3074" s="14">
        <v>9.9999999999999978E-2</v>
      </c>
    </row>
    <row r="3075" spans="1:5" x14ac:dyDescent="0.25">
      <c r="A3075" s="44" t="s">
        <v>6632</v>
      </c>
      <c r="B3075" s="38" t="s">
        <v>6633</v>
      </c>
      <c r="C3075" s="43">
        <v>39540</v>
      </c>
      <c r="D3075" s="39">
        <v>35586</v>
      </c>
      <c r="E3075" s="14">
        <v>9.9999999999999978E-2</v>
      </c>
    </row>
    <row r="3076" spans="1:5" x14ac:dyDescent="0.25">
      <c r="A3076" s="44" t="s">
        <v>6634</v>
      </c>
      <c r="B3076" s="38" t="s">
        <v>6635</v>
      </c>
      <c r="C3076" s="43">
        <v>192</v>
      </c>
      <c r="D3076" s="39">
        <v>172.8</v>
      </c>
      <c r="E3076" s="14">
        <v>9.9999999999999978E-2</v>
      </c>
    </row>
    <row r="3077" spans="1:5" x14ac:dyDescent="0.25">
      <c r="A3077" s="44" t="s">
        <v>6636</v>
      </c>
      <c r="B3077" s="38" t="s">
        <v>6637</v>
      </c>
      <c r="C3077" s="43">
        <v>192</v>
      </c>
      <c r="D3077" s="39">
        <v>172.8</v>
      </c>
      <c r="E3077" s="14">
        <v>9.9999999999999978E-2</v>
      </c>
    </row>
    <row r="3078" spans="1:5" x14ac:dyDescent="0.25">
      <c r="A3078" s="44" t="s">
        <v>6638</v>
      </c>
      <c r="B3078" s="38" t="s">
        <v>6639</v>
      </c>
      <c r="C3078" s="43">
        <v>69540</v>
      </c>
      <c r="D3078" s="39">
        <v>62586</v>
      </c>
      <c r="E3078" s="14">
        <v>9.9999999999999978E-2</v>
      </c>
    </row>
    <row r="3079" spans="1:5" x14ac:dyDescent="0.25">
      <c r="A3079" s="44" t="s">
        <v>6640</v>
      </c>
      <c r="B3079" s="38" t="s">
        <v>6641</v>
      </c>
      <c r="C3079" s="43">
        <v>69540</v>
      </c>
      <c r="D3079" s="39">
        <v>62586</v>
      </c>
      <c r="E3079" s="14">
        <v>9.9999999999999978E-2</v>
      </c>
    </row>
    <row r="3080" spans="1:5" x14ac:dyDescent="0.25">
      <c r="A3080" s="44" t="s">
        <v>6642</v>
      </c>
      <c r="B3080" s="38" t="s">
        <v>6643</v>
      </c>
      <c r="C3080" s="43">
        <v>93540</v>
      </c>
      <c r="D3080" s="39">
        <v>84186</v>
      </c>
      <c r="E3080" s="14">
        <v>9.9999999999999978E-2</v>
      </c>
    </row>
    <row r="3081" spans="1:5" x14ac:dyDescent="0.25">
      <c r="A3081" s="44" t="s">
        <v>6644</v>
      </c>
      <c r="B3081" s="38" t="s">
        <v>6645</v>
      </c>
      <c r="C3081" s="43">
        <v>93540</v>
      </c>
      <c r="D3081" s="39">
        <v>84186</v>
      </c>
      <c r="E3081" s="14">
        <v>9.9999999999999978E-2</v>
      </c>
    </row>
    <row r="3082" spans="1:5" x14ac:dyDescent="0.25">
      <c r="A3082" s="44" t="s">
        <v>6646</v>
      </c>
      <c r="B3082" s="38" t="s">
        <v>6647</v>
      </c>
      <c r="C3082" s="43">
        <v>4788</v>
      </c>
      <c r="D3082" s="39">
        <v>4309.2</v>
      </c>
      <c r="E3082" s="14">
        <v>0.10000000000000009</v>
      </c>
    </row>
    <row r="3083" spans="1:5" x14ac:dyDescent="0.25">
      <c r="A3083" s="44" t="s">
        <v>6648</v>
      </c>
      <c r="B3083" s="38" t="s">
        <v>6649</v>
      </c>
      <c r="C3083" s="43">
        <v>4788</v>
      </c>
      <c r="D3083" s="39">
        <v>4309.2</v>
      </c>
      <c r="E3083" s="14">
        <v>0.10000000000000009</v>
      </c>
    </row>
    <row r="3084" spans="1:5" x14ac:dyDescent="0.25">
      <c r="A3084" s="44" t="s">
        <v>6650</v>
      </c>
      <c r="B3084" s="38" t="s">
        <v>6651</v>
      </c>
      <c r="C3084" s="43">
        <v>4788</v>
      </c>
      <c r="D3084" s="39">
        <v>4309.2</v>
      </c>
      <c r="E3084" s="14">
        <v>0.10000000000000009</v>
      </c>
    </row>
    <row r="3085" spans="1:5" x14ac:dyDescent="0.25">
      <c r="A3085" s="44" t="s">
        <v>6652</v>
      </c>
      <c r="B3085" s="38" t="s">
        <v>6653</v>
      </c>
      <c r="C3085" s="43">
        <v>4788</v>
      </c>
      <c r="D3085" s="39">
        <v>4309.2</v>
      </c>
      <c r="E3085" s="14">
        <v>0.10000000000000009</v>
      </c>
    </row>
    <row r="3086" spans="1:5" x14ac:dyDescent="0.25">
      <c r="A3086" s="44" t="s">
        <v>6654</v>
      </c>
      <c r="B3086" s="38" t="s">
        <v>6655</v>
      </c>
      <c r="C3086" s="43">
        <v>132</v>
      </c>
      <c r="D3086" s="39">
        <v>118.8</v>
      </c>
      <c r="E3086" s="14">
        <v>9.9999999999999978E-2</v>
      </c>
    </row>
    <row r="3087" spans="1:5" x14ac:dyDescent="0.25">
      <c r="A3087" s="44" t="s">
        <v>6656</v>
      </c>
      <c r="B3087" s="38" t="s">
        <v>6657</v>
      </c>
      <c r="C3087" s="43">
        <v>132</v>
      </c>
      <c r="D3087" s="39">
        <v>118.8</v>
      </c>
      <c r="E3087" s="14">
        <v>9.9999999999999978E-2</v>
      </c>
    </row>
    <row r="3088" spans="1:5" x14ac:dyDescent="0.25">
      <c r="A3088" s="44" t="s">
        <v>6658</v>
      </c>
      <c r="B3088" s="38" t="s">
        <v>6659</v>
      </c>
      <c r="C3088" s="43">
        <v>132</v>
      </c>
      <c r="D3088" s="39">
        <v>118.8</v>
      </c>
      <c r="E3088" s="14">
        <v>9.9999999999999978E-2</v>
      </c>
    </row>
    <row r="3089" spans="1:5" x14ac:dyDescent="0.25">
      <c r="A3089" s="44" t="s">
        <v>6660</v>
      </c>
      <c r="B3089" s="38" t="s">
        <v>6661</v>
      </c>
      <c r="C3089" s="43">
        <v>132</v>
      </c>
      <c r="D3089" s="39">
        <v>118.8</v>
      </c>
      <c r="E3089" s="14">
        <v>9.9999999999999978E-2</v>
      </c>
    </row>
    <row r="3090" spans="1:5" x14ac:dyDescent="0.25">
      <c r="A3090" s="44" t="s">
        <v>6662</v>
      </c>
      <c r="B3090" s="38" t="s">
        <v>6663</v>
      </c>
      <c r="C3090" s="43">
        <v>132</v>
      </c>
      <c r="D3090" s="39">
        <v>118.8</v>
      </c>
      <c r="E3090" s="14">
        <v>9.9999999999999978E-2</v>
      </c>
    </row>
    <row r="3091" spans="1:5" x14ac:dyDescent="0.25">
      <c r="A3091" s="44" t="s">
        <v>6664</v>
      </c>
      <c r="B3091" s="38" t="s">
        <v>6665</v>
      </c>
      <c r="C3091" s="43">
        <v>132</v>
      </c>
      <c r="D3091" s="39">
        <v>118.8</v>
      </c>
      <c r="E3091" s="14">
        <v>9.9999999999999978E-2</v>
      </c>
    </row>
    <row r="3092" spans="1:5" x14ac:dyDescent="0.25">
      <c r="A3092" s="44" t="s">
        <v>6666</v>
      </c>
      <c r="B3092" s="38" t="s">
        <v>6667</v>
      </c>
      <c r="C3092" s="43">
        <v>132</v>
      </c>
      <c r="D3092" s="39">
        <v>118.8</v>
      </c>
      <c r="E3092" s="14">
        <v>9.9999999999999978E-2</v>
      </c>
    </row>
    <row r="3093" spans="1:5" x14ac:dyDescent="0.25">
      <c r="A3093" s="44" t="s">
        <v>6668</v>
      </c>
      <c r="B3093" s="38" t="s">
        <v>6669</v>
      </c>
      <c r="C3093" s="43">
        <v>132</v>
      </c>
      <c r="D3093" s="39">
        <v>118.8</v>
      </c>
      <c r="E3093" s="14">
        <v>9.9999999999999978E-2</v>
      </c>
    </row>
    <row r="3094" spans="1:5" x14ac:dyDescent="0.25">
      <c r="A3094" s="44" t="s">
        <v>6670</v>
      </c>
      <c r="B3094" s="38" t="s">
        <v>6671</v>
      </c>
      <c r="C3094" s="43">
        <v>132</v>
      </c>
      <c r="D3094" s="39">
        <v>118.8</v>
      </c>
      <c r="E3094" s="14">
        <v>9.9999999999999978E-2</v>
      </c>
    </row>
    <row r="3095" spans="1:5" x14ac:dyDescent="0.25">
      <c r="A3095" s="44" t="s">
        <v>6672</v>
      </c>
      <c r="B3095" s="38" t="s">
        <v>6673</v>
      </c>
      <c r="C3095" s="43">
        <v>132</v>
      </c>
      <c r="D3095" s="39">
        <v>118.8</v>
      </c>
      <c r="E3095" s="14">
        <v>9.9999999999999978E-2</v>
      </c>
    </row>
    <row r="3096" spans="1:5" x14ac:dyDescent="0.25">
      <c r="A3096" s="44" t="s">
        <v>6674</v>
      </c>
      <c r="B3096" s="38" t="s">
        <v>6675</v>
      </c>
      <c r="C3096" s="43">
        <v>356</v>
      </c>
      <c r="D3096" s="39">
        <v>320.40000000000003</v>
      </c>
      <c r="E3096" s="14">
        <v>9.9999999999999867E-2</v>
      </c>
    </row>
    <row r="3097" spans="1:5" x14ac:dyDescent="0.25">
      <c r="A3097" s="44" t="s">
        <v>6676</v>
      </c>
      <c r="B3097" s="38" t="s">
        <v>6677</v>
      </c>
      <c r="C3097" s="43">
        <v>132</v>
      </c>
      <c r="D3097" s="39">
        <v>118.8</v>
      </c>
      <c r="E3097" s="14">
        <v>9.9999999999999978E-2</v>
      </c>
    </row>
    <row r="3098" spans="1:5" x14ac:dyDescent="0.25">
      <c r="A3098" s="44" t="s">
        <v>6678</v>
      </c>
      <c r="B3098" s="38" t="s">
        <v>6679</v>
      </c>
      <c r="C3098" s="43">
        <v>132</v>
      </c>
      <c r="D3098" s="39">
        <v>118.8</v>
      </c>
      <c r="E3098" s="14">
        <v>9.9999999999999978E-2</v>
      </c>
    </row>
    <row r="3099" spans="1:5" x14ac:dyDescent="0.25">
      <c r="A3099" s="44" t="s">
        <v>6680</v>
      </c>
      <c r="B3099" s="38" t="s">
        <v>6681</v>
      </c>
      <c r="C3099" s="43">
        <v>132</v>
      </c>
      <c r="D3099" s="39">
        <v>118.8</v>
      </c>
      <c r="E3099" s="14">
        <v>9.9999999999999978E-2</v>
      </c>
    </row>
    <row r="3100" spans="1:5" x14ac:dyDescent="0.25">
      <c r="A3100" s="44" t="s">
        <v>6682</v>
      </c>
      <c r="B3100" s="38" t="s">
        <v>6683</v>
      </c>
      <c r="C3100" s="43">
        <v>132</v>
      </c>
      <c r="D3100" s="39">
        <v>118.8</v>
      </c>
      <c r="E3100" s="14">
        <v>9.9999999999999978E-2</v>
      </c>
    </row>
    <row r="3101" spans="1:5" x14ac:dyDescent="0.25">
      <c r="A3101" s="44" t="s">
        <v>6684</v>
      </c>
      <c r="B3101" s="38" t="s">
        <v>6685</v>
      </c>
      <c r="C3101" s="43">
        <v>132</v>
      </c>
      <c r="D3101" s="39">
        <v>118.8</v>
      </c>
      <c r="E3101" s="14">
        <v>9.9999999999999978E-2</v>
      </c>
    </row>
    <row r="3102" spans="1:5" x14ac:dyDescent="0.25">
      <c r="A3102" s="44" t="s">
        <v>6686</v>
      </c>
      <c r="B3102" s="38" t="s">
        <v>6687</v>
      </c>
      <c r="C3102" s="43">
        <v>132</v>
      </c>
      <c r="D3102" s="39">
        <v>118.8</v>
      </c>
      <c r="E3102" s="14">
        <v>9.9999999999999978E-2</v>
      </c>
    </row>
    <row r="3103" spans="1:5" x14ac:dyDescent="0.25">
      <c r="A3103" s="44" t="s">
        <v>6688</v>
      </c>
      <c r="B3103" s="38" t="s">
        <v>6689</v>
      </c>
      <c r="C3103" s="43">
        <v>4548</v>
      </c>
      <c r="D3103" s="39">
        <v>4093.2000000000003</v>
      </c>
      <c r="E3103" s="14">
        <v>9.9999999999999978E-2</v>
      </c>
    </row>
    <row r="3104" spans="1:5" x14ac:dyDescent="0.25">
      <c r="A3104" s="44" t="s">
        <v>6690</v>
      </c>
      <c r="B3104" s="38" t="s">
        <v>6691</v>
      </c>
      <c r="C3104" s="43">
        <v>4548</v>
      </c>
      <c r="D3104" s="39">
        <v>4093.2000000000003</v>
      </c>
      <c r="E3104" s="14">
        <v>9.9999999999999978E-2</v>
      </c>
    </row>
    <row r="3105" spans="1:5" x14ac:dyDescent="0.25">
      <c r="A3105" s="44" t="s">
        <v>6692</v>
      </c>
      <c r="B3105" s="38" t="s">
        <v>6693</v>
      </c>
      <c r="C3105" s="43">
        <v>1068</v>
      </c>
      <c r="D3105" s="39">
        <v>961.2</v>
      </c>
      <c r="E3105" s="14">
        <v>9.9999999999999978E-2</v>
      </c>
    </row>
    <row r="3106" spans="1:5" x14ac:dyDescent="0.25">
      <c r="A3106" s="44" t="s">
        <v>6694</v>
      </c>
      <c r="B3106" s="38" t="s">
        <v>6695</v>
      </c>
      <c r="C3106" s="43">
        <v>1068</v>
      </c>
      <c r="D3106" s="39">
        <v>961.2</v>
      </c>
      <c r="E3106" s="14">
        <v>9.9999999999999978E-2</v>
      </c>
    </row>
    <row r="3107" spans="1:5" x14ac:dyDescent="0.25">
      <c r="A3107" s="44" t="s">
        <v>6696</v>
      </c>
      <c r="B3107" s="38" t="s">
        <v>6697</v>
      </c>
      <c r="C3107" s="43">
        <v>1068</v>
      </c>
      <c r="D3107" s="39">
        <v>961.2</v>
      </c>
      <c r="E3107" s="14">
        <v>9.9999999999999978E-2</v>
      </c>
    </row>
    <row r="3108" spans="1:5" x14ac:dyDescent="0.25">
      <c r="A3108" s="44" t="s">
        <v>6698</v>
      </c>
      <c r="B3108" s="38" t="s">
        <v>6699</v>
      </c>
      <c r="C3108" s="43">
        <v>1068</v>
      </c>
      <c r="D3108" s="39">
        <v>961.2</v>
      </c>
      <c r="E3108" s="14">
        <v>9.9999999999999978E-2</v>
      </c>
    </row>
    <row r="3109" spans="1:5" x14ac:dyDescent="0.25">
      <c r="A3109" s="44" t="s">
        <v>6700</v>
      </c>
      <c r="B3109" s="38" t="s">
        <v>6701</v>
      </c>
      <c r="C3109" s="43">
        <v>398.601</v>
      </c>
      <c r="D3109" s="39">
        <v>359.09999999999997</v>
      </c>
      <c r="E3109" s="14">
        <v>9.9099099099099197E-2</v>
      </c>
    </row>
    <row r="3110" spans="1:5" x14ac:dyDescent="0.25">
      <c r="A3110" s="44" t="s">
        <v>6702</v>
      </c>
      <c r="B3110" s="38" t="s">
        <v>6703</v>
      </c>
      <c r="C3110" s="43">
        <v>620.04600000000005</v>
      </c>
      <c r="D3110" s="39">
        <v>558.6</v>
      </c>
      <c r="E3110" s="14">
        <v>9.9099099099099086E-2</v>
      </c>
    </row>
    <row r="3111" spans="1:5" x14ac:dyDescent="0.25">
      <c r="A3111" s="44" t="s">
        <v>6704</v>
      </c>
      <c r="B3111" s="38" t="s">
        <v>6705</v>
      </c>
      <c r="C3111" s="43">
        <v>1057.941</v>
      </c>
      <c r="D3111" s="39">
        <v>953.09999999999991</v>
      </c>
      <c r="E3111" s="14">
        <v>9.9099099099099197E-2</v>
      </c>
    </row>
    <row r="3112" spans="1:5" x14ac:dyDescent="0.25">
      <c r="A3112" s="44" t="s">
        <v>6706</v>
      </c>
      <c r="B3112" s="38" t="s">
        <v>6707</v>
      </c>
      <c r="C3112" s="43">
        <v>1645.6860000000004</v>
      </c>
      <c r="D3112" s="39">
        <v>1482.6000000000001</v>
      </c>
      <c r="E3112" s="14">
        <v>9.9099099099099197E-2</v>
      </c>
    </row>
    <row r="3113" spans="1:5" x14ac:dyDescent="0.25">
      <c r="A3113" s="44" t="s">
        <v>6708</v>
      </c>
      <c r="B3113" s="38" t="s">
        <v>6709</v>
      </c>
      <c r="C3113" s="43">
        <v>1897.1010000000001</v>
      </c>
      <c r="D3113" s="39">
        <v>1709.1</v>
      </c>
      <c r="E3113" s="14">
        <v>9.9099099099099197E-2</v>
      </c>
    </row>
    <row r="3114" spans="1:5" x14ac:dyDescent="0.25">
      <c r="A3114" s="44" t="s">
        <v>6710</v>
      </c>
      <c r="B3114" s="38" t="s">
        <v>6711</v>
      </c>
      <c r="C3114" s="43">
        <v>2951.0460000000007</v>
      </c>
      <c r="D3114" s="39">
        <v>2658.6000000000004</v>
      </c>
      <c r="E3114" s="14">
        <v>9.9099099099099197E-2</v>
      </c>
    </row>
    <row r="3115" spans="1:5" x14ac:dyDescent="0.25">
      <c r="A3115" s="44" t="s">
        <v>6712</v>
      </c>
      <c r="B3115" s="38" t="s">
        <v>6713</v>
      </c>
      <c r="C3115" s="43">
        <v>3995.0010000000002</v>
      </c>
      <c r="D3115" s="39">
        <v>3599.1</v>
      </c>
      <c r="E3115" s="14">
        <v>9.9099099099099197E-2</v>
      </c>
    </row>
    <row r="3116" spans="1:5" x14ac:dyDescent="0.25">
      <c r="A3116" s="44" t="s">
        <v>6714</v>
      </c>
      <c r="B3116" s="38" t="s">
        <v>6715</v>
      </c>
      <c r="C3116" s="43">
        <v>6214.4460000000008</v>
      </c>
      <c r="D3116" s="39">
        <v>5598.6</v>
      </c>
      <c r="E3116" s="14">
        <v>9.9099099099099197E-2</v>
      </c>
    </row>
    <row r="3117" spans="1:5" x14ac:dyDescent="0.25">
      <c r="A3117" s="44" t="s">
        <v>6716</v>
      </c>
      <c r="B3117" s="38" t="s">
        <v>6717</v>
      </c>
      <c r="C3117" s="43">
        <v>498.50100000000003</v>
      </c>
      <c r="D3117" s="39">
        <v>449.09999999999997</v>
      </c>
      <c r="E3117" s="14">
        <v>9.9099099099099197E-2</v>
      </c>
    </row>
    <row r="3118" spans="1:5" x14ac:dyDescent="0.25">
      <c r="A3118" s="44" t="s">
        <v>6718</v>
      </c>
      <c r="B3118" s="38" t="s">
        <v>6719</v>
      </c>
      <c r="C3118" s="43">
        <v>775.44600000000014</v>
      </c>
      <c r="D3118" s="39">
        <v>698.6</v>
      </c>
      <c r="E3118" s="14">
        <v>9.9099099099099197E-2</v>
      </c>
    </row>
    <row r="3119" spans="1:5" x14ac:dyDescent="0.25">
      <c r="A3119" s="44" t="s">
        <v>6720</v>
      </c>
      <c r="B3119" s="38" t="s">
        <v>6721</v>
      </c>
      <c r="C3119" s="43">
        <v>1267.731</v>
      </c>
      <c r="D3119" s="39">
        <v>1142.0999999999999</v>
      </c>
      <c r="E3119" s="14">
        <v>9.9099099099099197E-2</v>
      </c>
    </row>
    <row r="3120" spans="1:5" x14ac:dyDescent="0.25">
      <c r="A3120" s="44" t="s">
        <v>6722</v>
      </c>
      <c r="B3120" s="38" t="s">
        <v>6723</v>
      </c>
      <c r="C3120" s="43">
        <v>1972.0260000000003</v>
      </c>
      <c r="D3120" s="39">
        <v>1776.6000000000001</v>
      </c>
      <c r="E3120" s="14">
        <v>9.9099099099099197E-2</v>
      </c>
    </row>
    <row r="3121" spans="1:5" x14ac:dyDescent="0.25">
      <c r="A3121" s="44" t="s">
        <v>6724</v>
      </c>
      <c r="B3121" s="38" t="s">
        <v>6725</v>
      </c>
      <c r="C3121" s="43">
        <v>39.760200000000005</v>
      </c>
      <c r="D3121" s="39">
        <v>35.82</v>
      </c>
      <c r="E3121" s="14">
        <v>9.9099099099099197E-2</v>
      </c>
    </row>
    <row r="3122" spans="1:5" x14ac:dyDescent="0.25">
      <c r="A3122" s="44" t="s">
        <v>6726</v>
      </c>
      <c r="B3122" s="38" t="s">
        <v>6727</v>
      </c>
      <c r="C3122" s="43">
        <v>61.84920000000001</v>
      </c>
      <c r="D3122" s="39">
        <v>55.720000000000006</v>
      </c>
      <c r="E3122" s="14">
        <v>9.9099099099099197E-2</v>
      </c>
    </row>
    <row r="3123" spans="1:5" x14ac:dyDescent="0.25">
      <c r="A3123" s="44" t="s">
        <v>6728</v>
      </c>
      <c r="B3123" s="38" t="s">
        <v>6729</v>
      </c>
      <c r="C3123" s="43">
        <v>89.7102</v>
      </c>
      <c r="D3123" s="39">
        <v>80.819999999999993</v>
      </c>
      <c r="E3123" s="14">
        <v>9.9099099099099197E-2</v>
      </c>
    </row>
    <row r="3124" spans="1:5" x14ac:dyDescent="0.25">
      <c r="A3124" s="44" t="s">
        <v>6730</v>
      </c>
      <c r="B3124" s="38" t="s">
        <v>6731</v>
      </c>
      <c r="C3124" s="43">
        <v>139.54920000000001</v>
      </c>
      <c r="D3124" s="39">
        <v>125.72000000000001</v>
      </c>
      <c r="E3124" s="14">
        <v>9.9099099099099086E-2</v>
      </c>
    </row>
    <row r="3125" spans="1:5" x14ac:dyDescent="0.25">
      <c r="A3125" s="44" t="s">
        <v>6732</v>
      </c>
      <c r="B3125" s="38" t="s">
        <v>6733</v>
      </c>
      <c r="C3125" s="43">
        <v>49.95</v>
      </c>
      <c r="D3125" s="39">
        <v>45</v>
      </c>
      <c r="E3125" s="14">
        <v>9.9099099099099197E-2</v>
      </c>
    </row>
    <row r="3126" spans="1:5" x14ac:dyDescent="0.25">
      <c r="A3126" s="44" t="s">
        <v>6734</v>
      </c>
      <c r="B3126" s="38" t="s">
        <v>6735</v>
      </c>
      <c r="C3126" s="43">
        <v>77.7</v>
      </c>
      <c r="D3126" s="39">
        <v>70</v>
      </c>
      <c r="E3126" s="14">
        <v>9.9099099099099086E-2</v>
      </c>
    </row>
    <row r="3127" spans="1:5" x14ac:dyDescent="0.25">
      <c r="A3127" s="44" t="s">
        <v>6736</v>
      </c>
      <c r="B3127" s="38" t="s">
        <v>6737</v>
      </c>
      <c r="C3127" s="43">
        <v>178.821</v>
      </c>
      <c r="D3127" s="39">
        <v>161.1</v>
      </c>
      <c r="E3127" s="14">
        <v>9.9099099099099086E-2</v>
      </c>
    </row>
    <row r="3128" spans="1:5" x14ac:dyDescent="0.25">
      <c r="A3128" s="44" t="s">
        <v>6738</v>
      </c>
      <c r="B3128" s="38" t="s">
        <v>6739</v>
      </c>
      <c r="C3128" s="43">
        <v>278.16600000000005</v>
      </c>
      <c r="D3128" s="39">
        <v>250.60000000000002</v>
      </c>
      <c r="E3128" s="14">
        <v>9.9099099099099197E-2</v>
      </c>
    </row>
    <row r="3129" spans="1:5" x14ac:dyDescent="0.25">
      <c r="A3129" s="44" t="s">
        <v>6740</v>
      </c>
      <c r="B3129" s="38" t="s">
        <v>6741</v>
      </c>
      <c r="C3129" s="43">
        <v>669.33</v>
      </c>
      <c r="D3129" s="39">
        <v>603</v>
      </c>
      <c r="E3129" s="14">
        <v>9.9099099099099197E-2</v>
      </c>
    </row>
    <row r="3130" spans="1:5" x14ac:dyDescent="0.25">
      <c r="A3130" s="44" t="s">
        <v>6742</v>
      </c>
      <c r="B3130" s="38" t="s">
        <v>6743</v>
      </c>
      <c r="C3130" s="43">
        <v>1041.1800000000003</v>
      </c>
      <c r="D3130" s="39">
        <v>938.00000000000011</v>
      </c>
      <c r="E3130" s="14">
        <v>9.9099099099099197E-2</v>
      </c>
    </row>
    <row r="3131" spans="1:5" x14ac:dyDescent="0.25">
      <c r="A3131" s="44" t="s">
        <v>6744</v>
      </c>
      <c r="B3131" s="38" t="s">
        <v>6745</v>
      </c>
      <c r="C3131" s="43">
        <v>1797.201</v>
      </c>
      <c r="D3131" s="39">
        <v>1619.1</v>
      </c>
      <c r="E3131" s="14">
        <v>9.9099099099099197E-2</v>
      </c>
    </row>
    <row r="3132" spans="1:5" x14ac:dyDescent="0.25">
      <c r="A3132" s="44" t="s">
        <v>6746</v>
      </c>
      <c r="B3132" s="38" t="s">
        <v>6747</v>
      </c>
      <c r="C3132" s="43">
        <v>2795.6460000000006</v>
      </c>
      <c r="D3132" s="39">
        <v>2518.6000000000004</v>
      </c>
      <c r="E3132" s="14">
        <v>9.9099099099099197E-2</v>
      </c>
    </row>
    <row r="3133" spans="1:5" x14ac:dyDescent="0.25">
      <c r="A3133" s="44" t="s">
        <v>6748</v>
      </c>
      <c r="B3133" s="38" t="s">
        <v>6749</v>
      </c>
      <c r="C3133" s="43">
        <v>378.62099999999998</v>
      </c>
      <c r="D3133" s="39">
        <v>341.09999999999997</v>
      </c>
      <c r="E3133" s="14">
        <v>9.9099099099099197E-2</v>
      </c>
    </row>
    <row r="3134" spans="1:5" x14ac:dyDescent="0.25">
      <c r="A3134" s="44" t="s">
        <v>6750</v>
      </c>
      <c r="B3134" s="38" t="s">
        <v>6751</v>
      </c>
      <c r="C3134" s="43">
        <v>588.96600000000012</v>
      </c>
      <c r="D3134" s="39">
        <v>530.6</v>
      </c>
      <c r="E3134" s="14">
        <v>9.9099099099099197E-2</v>
      </c>
    </row>
    <row r="3135" spans="1:5" x14ac:dyDescent="0.25">
      <c r="A3135" s="44" t="s">
        <v>6752</v>
      </c>
      <c r="B3135" s="38" t="s">
        <v>6753</v>
      </c>
      <c r="C3135" s="43">
        <v>1197.8009999999999</v>
      </c>
      <c r="D3135" s="39">
        <v>1079.0999999999999</v>
      </c>
      <c r="E3135" s="14">
        <v>9.9099099099099086E-2</v>
      </c>
    </row>
    <row r="3136" spans="1:5" x14ac:dyDescent="0.25">
      <c r="A3136" s="44" t="s">
        <v>6754</v>
      </c>
      <c r="B3136" s="38" t="s">
        <v>6755</v>
      </c>
      <c r="C3136" s="43">
        <v>1863.2460000000003</v>
      </c>
      <c r="D3136" s="39">
        <v>1678.6000000000001</v>
      </c>
      <c r="E3136" s="14">
        <v>9.9099099099099197E-2</v>
      </c>
    </row>
    <row r="3137" spans="1:5" x14ac:dyDescent="0.25">
      <c r="A3137" s="44" t="s">
        <v>6756</v>
      </c>
      <c r="B3137" s="38" t="s">
        <v>6757</v>
      </c>
      <c r="C3137" s="43">
        <v>378.62099999999998</v>
      </c>
      <c r="D3137" s="39">
        <v>341.09999999999997</v>
      </c>
      <c r="E3137" s="14">
        <v>9.9099099099099197E-2</v>
      </c>
    </row>
    <row r="3138" spans="1:5" x14ac:dyDescent="0.25">
      <c r="A3138" s="44" t="s">
        <v>6758</v>
      </c>
      <c r="B3138" s="38" t="s">
        <v>6759</v>
      </c>
      <c r="C3138" s="43">
        <v>588.96600000000012</v>
      </c>
      <c r="D3138" s="39">
        <v>530.6</v>
      </c>
      <c r="E3138" s="14">
        <v>9.9099099099099197E-2</v>
      </c>
    </row>
    <row r="3139" spans="1:5" x14ac:dyDescent="0.25">
      <c r="A3139" s="44" t="s">
        <v>6760</v>
      </c>
      <c r="B3139" s="38" t="s">
        <v>6761</v>
      </c>
      <c r="C3139" s="43">
        <v>378.62099999999998</v>
      </c>
      <c r="D3139" s="39">
        <v>341.09999999999997</v>
      </c>
      <c r="E3139" s="14">
        <v>9.9099099099099197E-2</v>
      </c>
    </row>
    <row r="3140" spans="1:5" x14ac:dyDescent="0.25">
      <c r="A3140" s="44" t="s">
        <v>6762</v>
      </c>
      <c r="B3140" s="38" t="s">
        <v>6763</v>
      </c>
      <c r="C3140" s="43">
        <v>588.96600000000012</v>
      </c>
      <c r="D3140" s="39">
        <v>530.6</v>
      </c>
      <c r="E3140" s="14">
        <v>9.9099099099099197E-2</v>
      </c>
    </row>
    <row r="3141" spans="1:5" x14ac:dyDescent="0.25">
      <c r="A3141" s="44" t="s">
        <v>6764</v>
      </c>
      <c r="B3141" s="38" t="s">
        <v>6765</v>
      </c>
      <c r="C3141" s="43">
        <v>378.62099999999998</v>
      </c>
      <c r="D3141" s="39">
        <v>341.09999999999997</v>
      </c>
      <c r="E3141" s="14">
        <v>9.9099099099099197E-2</v>
      </c>
    </row>
    <row r="3142" spans="1:5" x14ac:dyDescent="0.25">
      <c r="A3142" s="44" t="s">
        <v>6766</v>
      </c>
      <c r="B3142" s="38" t="s">
        <v>6767</v>
      </c>
      <c r="C3142" s="43">
        <v>588.96600000000012</v>
      </c>
      <c r="D3142" s="39">
        <v>530.6</v>
      </c>
      <c r="E3142" s="14">
        <v>9.9099099099099197E-2</v>
      </c>
    </row>
    <row r="3143" spans="1:5" x14ac:dyDescent="0.25">
      <c r="A3143" s="44" t="s">
        <v>6768</v>
      </c>
      <c r="B3143" s="38" t="s">
        <v>6769</v>
      </c>
      <c r="C3143" s="43">
        <v>398.601</v>
      </c>
      <c r="D3143" s="39">
        <v>359.09999999999997</v>
      </c>
      <c r="E3143" s="14">
        <v>9.9099099099099197E-2</v>
      </c>
    </row>
    <row r="3144" spans="1:5" x14ac:dyDescent="0.25">
      <c r="A3144" s="44" t="s">
        <v>6770</v>
      </c>
      <c r="B3144" s="38" t="s">
        <v>6771</v>
      </c>
      <c r="C3144" s="43">
        <v>620.04600000000005</v>
      </c>
      <c r="D3144" s="39">
        <v>558.6</v>
      </c>
      <c r="E3144" s="14">
        <v>9.9099099099099086E-2</v>
      </c>
    </row>
    <row r="3145" spans="1:5" x14ac:dyDescent="0.25">
      <c r="A3145" s="44" t="s">
        <v>6772</v>
      </c>
      <c r="B3145" s="38" t="s">
        <v>6773</v>
      </c>
      <c r="C3145" s="43">
        <v>1897.1010000000001</v>
      </c>
      <c r="D3145" s="39">
        <v>1709.1</v>
      </c>
      <c r="E3145" s="14">
        <v>9.9099099099099197E-2</v>
      </c>
    </row>
    <row r="3146" spans="1:5" x14ac:dyDescent="0.25">
      <c r="A3146" s="44" t="s">
        <v>6774</v>
      </c>
      <c r="B3146" s="38" t="s">
        <v>6775</v>
      </c>
      <c r="C3146" s="43">
        <v>2951.0460000000007</v>
      </c>
      <c r="D3146" s="39">
        <v>2658.6000000000004</v>
      </c>
      <c r="E3146" s="14">
        <v>9.9099099099099197E-2</v>
      </c>
    </row>
    <row r="3147" spans="1:5" x14ac:dyDescent="0.25">
      <c r="A3147" s="44" t="s">
        <v>6776</v>
      </c>
      <c r="B3147" s="38" t="s">
        <v>6777</v>
      </c>
      <c r="C3147" s="43">
        <v>1697.3010000000002</v>
      </c>
      <c r="D3147" s="39">
        <v>1529.1</v>
      </c>
      <c r="E3147" s="14">
        <v>9.9099099099099197E-2</v>
      </c>
    </row>
    <row r="3148" spans="1:5" x14ac:dyDescent="0.25">
      <c r="A3148" s="44" t="s">
        <v>6778</v>
      </c>
      <c r="B3148" s="38" t="s">
        <v>6779</v>
      </c>
      <c r="C3148" s="43">
        <v>2640.2460000000005</v>
      </c>
      <c r="D3148" s="39">
        <v>2378.6000000000004</v>
      </c>
      <c r="E3148" s="14">
        <v>9.9099099099099197E-2</v>
      </c>
    </row>
    <row r="3149" spans="1:5" x14ac:dyDescent="0.25">
      <c r="A3149" s="44" t="s">
        <v>6780</v>
      </c>
      <c r="B3149" s="38" t="s">
        <v>6781</v>
      </c>
      <c r="C3149" s="43">
        <v>598.40100000000007</v>
      </c>
      <c r="D3149" s="39">
        <v>539.1</v>
      </c>
      <c r="E3149" s="14">
        <v>9.9099099099099197E-2</v>
      </c>
    </row>
    <row r="3150" spans="1:5" x14ac:dyDescent="0.25">
      <c r="A3150" s="44" t="s">
        <v>6782</v>
      </c>
      <c r="B3150" s="38" t="s">
        <v>6783</v>
      </c>
      <c r="C3150" s="43">
        <v>930.84600000000023</v>
      </c>
      <c r="D3150" s="39">
        <v>838.60000000000014</v>
      </c>
      <c r="E3150" s="14">
        <v>9.9099099099099197E-2</v>
      </c>
    </row>
    <row r="3151" spans="1:5" x14ac:dyDescent="0.25">
      <c r="A3151" s="44" t="s">
        <v>6784</v>
      </c>
      <c r="B3151" s="38" t="s">
        <v>6785</v>
      </c>
      <c r="C3151" s="43">
        <v>378.62099999999998</v>
      </c>
      <c r="D3151" s="39">
        <v>341.09999999999997</v>
      </c>
      <c r="E3151" s="14">
        <v>9.9099099099099197E-2</v>
      </c>
    </row>
    <row r="3152" spans="1:5" x14ac:dyDescent="0.25">
      <c r="A3152" s="44" t="s">
        <v>6786</v>
      </c>
      <c r="B3152" s="38" t="s">
        <v>6787</v>
      </c>
      <c r="C3152" s="43">
        <v>588.96600000000012</v>
      </c>
      <c r="D3152" s="39">
        <v>530.6</v>
      </c>
      <c r="E3152" s="14">
        <v>9.9099099099099197E-2</v>
      </c>
    </row>
    <row r="3153" spans="1:5" x14ac:dyDescent="0.25">
      <c r="A3153" s="44" t="s">
        <v>6788</v>
      </c>
      <c r="B3153" s="38" t="s">
        <v>6789</v>
      </c>
      <c r="C3153" s="43">
        <v>378.62099999999998</v>
      </c>
      <c r="D3153" s="39">
        <v>341.09999999999997</v>
      </c>
      <c r="E3153" s="14">
        <v>9.9099099099099197E-2</v>
      </c>
    </row>
    <row r="3154" spans="1:5" x14ac:dyDescent="0.25">
      <c r="A3154" s="44" t="s">
        <v>6790</v>
      </c>
      <c r="B3154" s="38" t="s">
        <v>6791</v>
      </c>
      <c r="C3154" s="43">
        <v>588.96600000000012</v>
      </c>
      <c r="D3154" s="39">
        <v>530.6</v>
      </c>
      <c r="E3154" s="14">
        <v>9.9099099099099197E-2</v>
      </c>
    </row>
    <row r="3155" spans="1:5" x14ac:dyDescent="0.25">
      <c r="A3155" s="44" t="s">
        <v>6792</v>
      </c>
      <c r="B3155" s="38" t="s">
        <v>6793</v>
      </c>
      <c r="C3155" s="43">
        <v>78.921000000000006</v>
      </c>
      <c r="D3155" s="39">
        <v>71.099999999999994</v>
      </c>
      <c r="E3155" s="14">
        <v>9.9099099099099197E-2</v>
      </c>
    </row>
    <row r="3156" spans="1:5" x14ac:dyDescent="0.25">
      <c r="A3156" s="44" t="s">
        <v>6794</v>
      </c>
      <c r="B3156" s="38" t="s">
        <v>6795</v>
      </c>
      <c r="C3156" s="43">
        <v>122.76600000000002</v>
      </c>
      <c r="D3156" s="39">
        <v>110.60000000000001</v>
      </c>
      <c r="E3156" s="14">
        <v>9.9099099099099197E-2</v>
      </c>
    </row>
    <row r="3157" spans="1:5" x14ac:dyDescent="0.25">
      <c r="A3157" s="44" t="s">
        <v>6796</v>
      </c>
      <c r="B3157" s="38" t="s">
        <v>6797</v>
      </c>
      <c r="C3157" s="43">
        <v>58.94100000000001</v>
      </c>
      <c r="D3157" s="39">
        <v>53.1</v>
      </c>
      <c r="E3157" s="14">
        <v>9.9099099099099197E-2</v>
      </c>
    </row>
    <row r="3158" spans="1:5" x14ac:dyDescent="0.25">
      <c r="A3158" s="44" t="s">
        <v>6798</v>
      </c>
      <c r="B3158" s="38" t="s">
        <v>6799</v>
      </c>
      <c r="C3158" s="43">
        <v>91.686000000000021</v>
      </c>
      <c r="D3158" s="39">
        <v>82.600000000000009</v>
      </c>
      <c r="E3158" s="14">
        <v>9.9099099099099197E-2</v>
      </c>
    </row>
    <row r="3159" spans="1:5" x14ac:dyDescent="0.25">
      <c r="A3159" s="44" t="s">
        <v>6800</v>
      </c>
      <c r="B3159" s="38" t="s">
        <v>6801</v>
      </c>
      <c r="C3159" s="43">
        <v>24.975000000000001</v>
      </c>
      <c r="D3159" s="39">
        <v>22.5</v>
      </c>
      <c r="E3159" s="14">
        <v>9.9099099099099197E-2</v>
      </c>
    </row>
    <row r="3160" spans="1:5" x14ac:dyDescent="0.25">
      <c r="A3160" s="44" t="s">
        <v>6802</v>
      </c>
      <c r="B3160" s="38" t="s">
        <v>6803</v>
      </c>
      <c r="C3160" s="43">
        <v>38.85</v>
      </c>
      <c r="D3160" s="39">
        <v>35</v>
      </c>
      <c r="E3160" s="14">
        <v>9.9099099099099086E-2</v>
      </c>
    </row>
    <row r="3161" spans="1:5" x14ac:dyDescent="0.25">
      <c r="A3161" s="44" t="s">
        <v>6804</v>
      </c>
      <c r="B3161" s="38" t="s">
        <v>6805</v>
      </c>
      <c r="C3161" s="43">
        <v>14.985000000000001</v>
      </c>
      <c r="D3161" s="39">
        <v>13.5</v>
      </c>
      <c r="E3161" s="14">
        <v>9.9099099099099197E-2</v>
      </c>
    </row>
    <row r="3162" spans="1:5" x14ac:dyDescent="0.25">
      <c r="A3162" s="44" t="s">
        <v>6806</v>
      </c>
      <c r="B3162" s="38" t="s">
        <v>6807</v>
      </c>
      <c r="C3162" s="43">
        <v>23.310000000000006</v>
      </c>
      <c r="D3162" s="39">
        <v>21.000000000000004</v>
      </c>
      <c r="E3162" s="14">
        <v>9.9099099099099197E-2</v>
      </c>
    </row>
    <row r="3163" spans="1:5" x14ac:dyDescent="0.25">
      <c r="A3163" s="44" t="s">
        <v>6808</v>
      </c>
      <c r="B3163" s="38" t="s">
        <v>6809</v>
      </c>
      <c r="C3163" s="43">
        <v>78.921000000000006</v>
      </c>
      <c r="D3163" s="39">
        <v>71.099999999999994</v>
      </c>
      <c r="E3163" s="14">
        <v>9.9099099099099197E-2</v>
      </c>
    </row>
    <row r="3164" spans="1:5" x14ac:dyDescent="0.25">
      <c r="A3164" s="44" t="s">
        <v>6810</v>
      </c>
      <c r="B3164" s="38" t="s">
        <v>6811</v>
      </c>
      <c r="C3164" s="43">
        <v>122.76600000000002</v>
      </c>
      <c r="D3164" s="39">
        <v>110.60000000000001</v>
      </c>
      <c r="E3164" s="14">
        <v>9.9099099099099197E-2</v>
      </c>
    </row>
    <row r="3165" spans="1:5" x14ac:dyDescent="0.25">
      <c r="A3165" s="44" t="s">
        <v>6812</v>
      </c>
      <c r="B3165" s="38" t="s">
        <v>6813</v>
      </c>
      <c r="C3165" s="43">
        <v>58.94100000000001</v>
      </c>
      <c r="D3165" s="39">
        <v>53.1</v>
      </c>
      <c r="E3165" s="14">
        <v>9.9099099099099197E-2</v>
      </c>
    </row>
    <row r="3166" spans="1:5" x14ac:dyDescent="0.25">
      <c r="A3166" s="44" t="s">
        <v>6814</v>
      </c>
      <c r="B3166" s="38" t="s">
        <v>6815</v>
      </c>
      <c r="C3166" s="43">
        <v>91.686000000000021</v>
      </c>
      <c r="D3166" s="39">
        <v>82.600000000000009</v>
      </c>
      <c r="E3166" s="14">
        <v>9.9099099099099197E-2</v>
      </c>
    </row>
    <row r="3167" spans="1:5" x14ac:dyDescent="0.25">
      <c r="A3167" s="44" t="s">
        <v>6816</v>
      </c>
      <c r="B3167" s="38" t="s">
        <v>6817</v>
      </c>
      <c r="C3167" s="43">
        <v>24.975000000000001</v>
      </c>
      <c r="D3167" s="39">
        <v>22.5</v>
      </c>
      <c r="E3167" s="14">
        <v>9.9099099099099197E-2</v>
      </c>
    </row>
    <row r="3168" spans="1:5" x14ac:dyDescent="0.25">
      <c r="A3168" s="44" t="s">
        <v>6818</v>
      </c>
      <c r="B3168" s="38" t="s">
        <v>6819</v>
      </c>
      <c r="C3168" s="43">
        <v>38.85</v>
      </c>
      <c r="D3168" s="39">
        <v>35</v>
      </c>
      <c r="E3168" s="14">
        <v>9.9099099099099086E-2</v>
      </c>
    </row>
    <row r="3169" spans="1:5" x14ac:dyDescent="0.25">
      <c r="A3169" s="44" t="s">
        <v>6820</v>
      </c>
      <c r="B3169" s="38" t="s">
        <v>6821</v>
      </c>
      <c r="C3169" s="43">
        <v>14.985000000000001</v>
      </c>
      <c r="D3169" s="39">
        <v>13.5</v>
      </c>
      <c r="E3169" s="14">
        <v>9.9099099099099197E-2</v>
      </c>
    </row>
    <row r="3170" spans="1:5" x14ac:dyDescent="0.25">
      <c r="A3170" s="44" t="s">
        <v>6822</v>
      </c>
      <c r="B3170" s="38" t="s">
        <v>6823</v>
      </c>
      <c r="C3170" s="43">
        <v>23.310000000000006</v>
      </c>
      <c r="D3170" s="39">
        <v>21.000000000000004</v>
      </c>
      <c r="E3170" s="14">
        <v>9.9099099099099197E-2</v>
      </c>
    </row>
    <row r="3171" spans="1:5" x14ac:dyDescent="0.25">
      <c r="A3171" s="44" t="s">
        <v>6824</v>
      </c>
      <c r="B3171" s="38" t="s">
        <v>6825</v>
      </c>
      <c r="C3171" s="43">
        <v>78.921000000000006</v>
      </c>
      <c r="D3171" s="39">
        <v>71.099999999999994</v>
      </c>
      <c r="E3171" s="14">
        <v>9.9099099099099197E-2</v>
      </c>
    </row>
    <row r="3172" spans="1:5" x14ac:dyDescent="0.25">
      <c r="A3172" s="44" t="s">
        <v>6826</v>
      </c>
      <c r="B3172" s="38" t="s">
        <v>6827</v>
      </c>
      <c r="C3172" s="43">
        <v>122.76600000000002</v>
      </c>
      <c r="D3172" s="39">
        <v>110.60000000000001</v>
      </c>
      <c r="E3172" s="14">
        <v>9.9099099099099197E-2</v>
      </c>
    </row>
    <row r="3173" spans="1:5" x14ac:dyDescent="0.25">
      <c r="A3173" s="44" t="s">
        <v>6828</v>
      </c>
      <c r="B3173" s="38" t="s">
        <v>6829</v>
      </c>
      <c r="C3173" s="43">
        <v>58.94100000000001</v>
      </c>
      <c r="D3173" s="39">
        <v>53.1</v>
      </c>
      <c r="E3173" s="14">
        <v>9.9099099099099197E-2</v>
      </c>
    </row>
    <row r="3174" spans="1:5" x14ac:dyDescent="0.25">
      <c r="A3174" s="44" t="s">
        <v>6830</v>
      </c>
      <c r="B3174" s="38" t="s">
        <v>6831</v>
      </c>
      <c r="C3174" s="43">
        <v>91.686000000000021</v>
      </c>
      <c r="D3174" s="39">
        <v>82.600000000000009</v>
      </c>
      <c r="E3174" s="14">
        <v>9.9099099099099197E-2</v>
      </c>
    </row>
    <row r="3175" spans="1:5" x14ac:dyDescent="0.25">
      <c r="A3175" s="44" t="s">
        <v>6832</v>
      </c>
      <c r="B3175" s="38" t="s">
        <v>6833</v>
      </c>
      <c r="C3175" s="43">
        <v>24.975000000000001</v>
      </c>
      <c r="D3175" s="39">
        <v>22.5</v>
      </c>
      <c r="E3175" s="14">
        <v>9.9099099099099197E-2</v>
      </c>
    </row>
    <row r="3176" spans="1:5" x14ac:dyDescent="0.25">
      <c r="A3176" s="44" t="s">
        <v>6834</v>
      </c>
      <c r="B3176" s="38" t="s">
        <v>6835</v>
      </c>
      <c r="C3176" s="43">
        <v>38.85</v>
      </c>
      <c r="D3176" s="39">
        <v>35</v>
      </c>
      <c r="E3176" s="14">
        <v>9.9099099099099086E-2</v>
      </c>
    </row>
    <row r="3177" spans="1:5" x14ac:dyDescent="0.25">
      <c r="A3177" s="44" t="s">
        <v>6836</v>
      </c>
      <c r="B3177" s="38" t="s">
        <v>6837</v>
      </c>
      <c r="C3177" s="43">
        <v>14.985000000000001</v>
      </c>
      <c r="D3177" s="39">
        <v>13.5</v>
      </c>
      <c r="E3177" s="14">
        <v>9.9099099099099197E-2</v>
      </c>
    </row>
    <row r="3178" spans="1:5" x14ac:dyDescent="0.25">
      <c r="A3178" s="44" t="s">
        <v>6838</v>
      </c>
      <c r="B3178" s="38" t="s">
        <v>6839</v>
      </c>
      <c r="C3178" s="43">
        <v>23.310000000000006</v>
      </c>
      <c r="D3178" s="39">
        <v>21.000000000000004</v>
      </c>
      <c r="E3178" s="14">
        <v>9.9099099099099197E-2</v>
      </c>
    </row>
    <row r="3179" spans="1:5" x14ac:dyDescent="0.25">
      <c r="A3179" s="44" t="s">
        <v>6840</v>
      </c>
      <c r="B3179" s="38" t="s">
        <v>6841</v>
      </c>
      <c r="C3179" s="43">
        <v>78.921000000000006</v>
      </c>
      <c r="D3179" s="39">
        <v>71.099999999999994</v>
      </c>
      <c r="E3179" s="14">
        <v>9.9099099099099197E-2</v>
      </c>
    </row>
    <row r="3180" spans="1:5" x14ac:dyDescent="0.25">
      <c r="A3180" s="44" t="s">
        <v>6842</v>
      </c>
      <c r="B3180" s="38" t="s">
        <v>6843</v>
      </c>
      <c r="C3180" s="43">
        <v>122.76600000000002</v>
      </c>
      <c r="D3180" s="39">
        <v>110.60000000000001</v>
      </c>
      <c r="E3180" s="14">
        <v>9.9099099099099197E-2</v>
      </c>
    </row>
    <row r="3181" spans="1:5" x14ac:dyDescent="0.25">
      <c r="A3181" s="44" t="s">
        <v>6844</v>
      </c>
      <c r="B3181" s="38" t="s">
        <v>6845</v>
      </c>
      <c r="C3181" s="43">
        <v>58.94100000000001</v>
      </c>
      <c r="D3181" s="39">
        <v>53.1</v>
      </c>
      <c r="E3181" s="14">
        <v>9.9099099099099197E-2</v>
      </c>
    </row>
    <row r="3182" spans="1:5" x14ac:dyDescent="0.25">
      <c r="A3182" s="44" t="s">
        <v>6846</v>
      </c>
      <c r="B3182" s="38" t="s">
        <v>6847</v>
      </c>
      <c r="C3182" s="43">
        <v>91.686000000000021</v>
      </c>
      <c r="D3182" s="39">
        <v>82.600000000000009</v>
      </c>
      <c r="E3182" s="14">
        <v>9.9099099099099197E-2</v>
      </c>
    </row>
    <row r="3183" spans="1:5" x14ac:dyDescent="0.25">
      <c r="A3183" s="44" t="s">
        <v>6848</v>
      </c>
      <c r="B3183" s="38" t="s">
        <v>6849</v>
      </c>
      <c r="C3183" s="43">
        <v>24.975000000000001</v>
      </c>
      <c r="D3183" s="39">
        <v>22.5</v>
      </c>
      <c r="E3183" s="14">
        <v>9.9099099099099197E-2</v>
      </c>
    </row>
    <row r="3184" spans="1:5" x14ac:dyDescent="0.25">
      <c r="A3184" s="44" t="s">
        <v>6850</v>
      </c>
      <c r="B3184" s="38" t="s">
        <v>6851</v>
      </c>
      <c r="C3184" s="43">
        <v>38.85</v>
      </c>
      <c r="D3184" s="39">
        <v>35</v>
      </c>
      <c r="E3184" s="14">
        <v>9.9099099099099086E-2</v>
      </c>
    </row>
    <row r="3185" spans="1:5" x14ac:dyDescent="0.25">
      <c r="A3185" s="44" t="s">
        <v>6852</v>
      </c>
      <c r="B3185" s="38" t="s">
        <v>6853</v>
      </c>
      <c r="C3185" s="43">
        <v>14.985000000000001</v>
      </c>
      <c r="D3185" s="39">
        <v>13.5</v>
      </c>
      <c r="E3185" s="14">
        <v>9.9099099099099197E-2</v>
      </c>
    </row>
    <row r="3186" spans="1:5" x14ac:dyDescent="0.25">
      <c r="A3186" s="44" t="s">
        <v>6854</v>
      </c>
      <c r="B3186" s="38" t="s">
        <v>6855</v>
      </c>
      <c r="C3186" s="43">
        <v>23.310000000000006</v>
      </c>
      <c r="D3186" s="39">
        <v>21.000000000000004</v>
      </c>
      <c r="E3186" s="14">
        <v>9.9099099099099197E-2</v>
      </c>
    </row>
    <row r="3187" spans="1:5" x14ac:dyDescent="0.25">
      <c r="A3187" s="44" t="s">
        <v>6856</v>
      </c>
      <c r="B3187" s="38" t="s">
        <v>6857</v>
      </c>
      <c r="C3187" s="43">
        <v>78.921000000000006</v>
      </c>
      <c r="D3187" s="39">
        <v>71.099999999999994</v>
      </c>
      <c r="E3187" s="14">
        <v>9.9099099099099197E-2</v>
      </c>
    </row>
    <row r="3188" spans="1:5" x14ac:dyDescent="0.25">
      <c r="A3188" s="44" t="s">
        <v>6858</v>
      </c>
      <c r="B3188" s="38" t="s">
        <v>6859</v>
      </c>
      <c r="C3188" s="43">
        <v>122.76600000000002</v>
      </c>
      <c r="D3188" s="39">
        <v>110.60000000000001</v>
      </c>
      <c r="E3188" s="14">
        <v>9.9099099099099197E-2</v>
      </c>
    </row>
    <row r="3189" spans="1:5" x14ac:dyDescent="0.25">
      <c r="A3189" s="44" t="s">
        <v>6860</v>
      </c>
      <c r="B3189" s="38" t="s">
        <v>6861</v>
      </c>
      <c r="C3189" s="43">
        <v>58.94100000000001</v>
      </c>
      <c r="D3189" s="39">
        <v>53.1</v>
      </c>
      <c r="E3189" s="14">
        <v>9.9099099099099197E-2</v>
      </c>
    </row>
    <row r="3190" spans="1:5" x14ac:dyDescent="0.25">
      <c r="A3190" s="44" t="s">
        <v>6862</v>
      </c>
      <c r="B3190" s="38" t="s">
        <v>6863</v>
      </c>
      <c r="C3190" s="43">
        <v>91.686000000000021</v>
      </c>
      <c r="D3190" s="39">
        <v>82.600000000000009</v>
      </c>
      <c r="E3190" s="14">
        <v>9.9099099099099197E-2</v>
      </c>
    </row>
    <row r="3191" spans="1:5" x14ac:dyDescent="0.25">
      <c r="A3191" s="44" t="s">
        <v>6864</v>
      </c>
      <c r="B3191" s="38" t="s">
        <v>6865</v>
      </c>
      <c r="C3191" s="43">
        <v>24.975000000000001</v>
      </c>
      <c r="D3191" s="39">
        <v>22.5</v>
      </c>
      <c r="E3191" s="14">
        <v>9.9099099099099197E-2</v>
      </c>
    </row>
    <row r="3192" spans="1:5" x14ac:dyDescent="0.25">
      <c r="A3192" s="44" t="s">
        <v>6866</v>
      </c>
      <c r="B3192" s="38" t="s">
        <v>6867</v>
      </c>
      <c r="C3192" s="43">
        <v>38.85</v>
      </c>
      <c r="D3192" s="39">
        <v>35</v>
      </c>
      <c r="E3192" s="14">
        <v>9.9099099099099086E-2</v>
      </c>
    </row>
    <row r="3193" spans="1:5" x14ac:dyDescent="0.25">
      <c r="A3193" s="44" t="s">
        <v>6868</v>
      </c>
      <c r="B3193" s="38" t="s">
        <v>6869</v>
      </c>
      <c r="C3193" s="43">
        <v>14.985000000000001</v>
      </c>
      <c r="D3193" s="39">
        <v>13.5</v>
      </c>
      <c r="E3193" s="14">
        <v>9.9099099099099197E-2</v>
      </c>
    </row>
    <row r="3194" spans="1:5" x14ac:dyDescent="0.25">
      <c r="A3194" s="44" t="s">
        <v>6870</v>
      </c>
      <c r="B3194" s="38" t="s">
        <v>6871</v>
      </c>
      <c r="C3194" s="43">
        <v>23.310000000000006</v>
      </c>
      <c r="D3194" s="39">
        <v>21.000000000000004</v>
      </c>
      <c r="E3194" s="14">
        <v>9.9099099099099197E-2</v>
      </c>
    </row>
    <row r="3195" spans="1:5" x14ac:dyDescent="0.25">
      <c r="A3195" s="44" t="s">
        <v>6872</v>
      </c>
      <c r="B3195" s="38" t="s">
        <v>6873</v>
      </c>
      <c r="C3195" s="43">
        <v>78.921000000000006</v>
      </c>
      <c r="D3195" s="39">
        <v>71.099999999999994</v>
      </c>
      <c r="E3195" s="14">
        <v>9.9099099099099197E-2</v>
      </c>
    </row>
    <row r="3196" spans="1:5" x14ac:dyDescent="0.25">
      <c r="A3196" s="44" t="s">
        <v>6874</v>
      </c>
      <c r="B3196" s="38" t="s">
        <v>6875</v>
      </c>
      <c r="C3196" s="43">
        <v>122.76600000000002</v>
      </c>
      <c r="D3196" s="39">
        <v>110.60000000000001</v>
      </c>
      <c r="E3196" s="14">
        <v>9.9099099099099197E-2</v>
      </c>
    </row>
    <row r="3197" spans="1:5" x14ac:dyDescent="0.25">
      <c r="A3197" s="44" t="s">
        <v>6876</v>
      </c>
      <c r="B3197" s="38" t="s">
        <v>6877</v>
      </c>
      <c r="C3197" s="43">
        <v>58.94100000000001</v>
      </c>
      <c r="D3197" s="39">
        <v>53.1</v>
      </c>
      <c r="E3197" s="14">
        <v>9.9099099099099197E-2</v>
      </c>
    </row>
    <row r="3198" spans="1:5" x14ac:dyDescent="0.25">
      <c r="A3198" s="44" t="s">
        <v>6878</v>
      </c>
      <c r="B3198" s="38" t="s">
        <v>6879</v>
      </c>
      <c r="C3198" s="43">
        <v>91.686000000000021</v>
      </c>
      <c r="D3198" s="39">
        <v>82.600000000000009</v>
      </c>
      <c r="E3198" s="14">
        <v>9.9099099099099197E-2</v>
      </c>
    </row>
    <row r="3199" spans="1:5" x14ac:dyDescent="0.25">
      <c r="A3199" s="44" t="s">
        <v>6880</v>
      </c>
      <c r="B3199" s="38" t="s">
        <v>6881</v>
      </c>
      <c r="C3199" s="43">
        <v>24.975000000000001</v>
      </c>
      <c r="D3199" s="39">
        <v>22.5</v>
      </c>
      <c r="E3199" s="14">
        <v>9.9099099099099197E-2</v>
      </c>
    </row>
    <row r="3200" spans="1:5" x14ac:dyDescent="0.25">
      <c r="A3200" s="44" t="s">
        <v>6882</v>
      </c>
      <c r="B3200" s="38" t="s">
        <v>6883</v>
      </c>
      <c r="C3200" s="43">
        <v>38.85</v>
      </c>
      <c r="D3200" s="39">
        <v>35</v>
      </c>
      <c r="E3200" s="14">
        <v>9.9099099099099086E-2</v>
      </c>
    </row>
    <row r="3201" spans="1:5" x14ac:dyDescent="0.25">
      <c r="A3201" s="44" t="s">
        <v>6884</v>
      </c>
      <c r="B3201" s="38" t="s">
        <v>6885</v>
      </c>
      <c r="C3201" s="43">
        <v>14.985000000000001</v>
      </c>
      <c r="D3201" s="39">
        <v>13.5</v>
      </c>
      <c r="E3201" s="14">
        <v>9.9099099099099197E-2</v>
      </c>
    </row>
    <row r="3202" spans="1:5" x14ac:dyDescent="0.25">
      <c r="A3202" s="44" t="s">
        <v>6886</v>
      </c>
      <c r="B3202" s="38" t="s">
        <v>6887</v>
      </c>
      <c r="C3202" s="43">
        <v>23.310000000000006</v>
      </c>
      <c r="D3202" s="39">
        <v>21.000000000000004</v>
      </c>
      <c r="E3202" s="14">
        <v>9.9099099099099197E-2</v>
      </c>
    </row>
    <row r="3203" spans="1:5" x14ac:dyDescent="0.25">
      <c r="A3203" s="44" t="s">
        <v>6888</v>
      </c>
      <c r="B3203" s="38" t="s">
        <v>6889</v>
      </c>
      <c r="C3203" s="43">
        <v>94.905000000000015</v>
      </c>
      <c r="D3203" s="39">
        <v>85.5</v>
      </c>
      <c r="E3203" s="14">
        <v>9.9099099099099197E-2</v>
      </c>
    </row>
    <row r="3204" spans="1:5" x14ac:dyDescent="0.25">
      <c r="A3204" s="44" t="s">
        <v>6890</v>
      </c>
      <c r="B3204" s="38" t="s">
        <v>6891</v>
      </c>
      <c r="C3204" s="43">
        <v>147.63000000000002</v>
      </c>
      <c r="D3204" s="39">
        <v>133</v>
      </c>
      <c r="E3204" s="14">
        <v>9.9099099099099197E-2</v>
      </c>
    </row>
    <row r="3205" spans="1:5" x14ac:dyDescent="0.25">
      <c r="A3205" s="44" t="s">
        <v>6892</v>
      </c>
      <c r="B3205" s="38" t="s">
        <v>6893</v>
      </c>
      <c r="C3205" s="43">
        <v>74.925000000000011</v>
      </c>
      <c r="D3205" s="39">
        <v>67.5</v>
      </c>
      <c r="E3205" s="14">
        <v>9.9099099099099197E-2</v>
      </c>
    </row>
    <row r="3206" spans="1:5" x14ac:dyDescent="0.25">
      <c r="A3206" s="44" t="s">
        <v>6894</v>
      </c>
      <c r="B3206" s="38" t="s">
        <v>6895</v>
      </c>
      <c r="C3206" s="43">
        <v>116.55000000000003</v>
      </c>
      <c r="D3206" s="39">
        <v>105.00000000000001</v>
      </c>
      <c r="E3206" s="14">
        <v>9.9099099099099197E-2</v>
      </c>
    </row>
    <row r="3207" spans="1:5" x14ac:dyDescent="0.25">
      <c r="A3207" s="44" t="s">
        <v>6896</v>
      </c>
      <c r="B3207" s="38" t="s">
        <v>6897</v>
      </c>
      <c r="C3207" s="43">
        <v>54.945000000000007</v>
      </c>
      <c r="D3207" s="39">
        <v>49.5</v>
      </c>
      <c r="E3207" s="14">
        <v>9.9099099099099197E-2</v>
      </c>
    </row>
    <row r="3208" spans="1:5" x14ac:dyDescent="0.25">
      <c r="A3208" s="44" t="s">
        <v>6898</v>
      </c>
      <c r="B3208" s="38" t="s">
        <v>6899</v>
      </c>
      <c r="C3208" s="43">
        <v>85.470000000000027</v>
      </c>
      <c r="D3208" s="39">
        <v>77.000000000000014</v>
      </c>
      <c r="E3208" s="14">
        <v>9.9099099099099197E-2</v>
      </c>
    </row>
    <row r="3209" spans="1:5" x14ac:dyDescent="0.25">
      <c r="A3209" s="44" t="s">
        <v>6900</v>
      </c>
      <c r="B3209" s="38" t="s">
        <v>6901</v>
      </c>
      <c r="C3209" s="43">
        <v>44.955000000000005</v>
      </c>
      <c r="D3209" s="39">
        <v>40.5</v>
      </c>
      <c r="E3209" s="14">
        <v>9.9099099099099197E-2</v>
      </c>
    </row>
    <row r="3210" spans="1:5" x14ac:dyDescent="0.25">
      <c r="A3210" s="44" t="s">
        <v>6902</v>
      </c>
      <c r="B3210" s="38" t="s">
        <v>6903</v>
      </c>
      <c r="C3210" s="43">
        <v>69.930000000000021</v>
      </c>
      <c r="D3210" s="39">
        <v>63.000000000000007</v>
      </c>
      <c r="E3210" s="14">
        <v>9.9099099099099308E-2</v>
      </c>
    </row>
    <row r="3211" spans="1:5" x14ac:dyDescent="0.25">
      <c r="A3211" s="44" t="s">
        <v>6904</v>
      </c>
      <c r="B3211" s="38" t="s">
        <v>6905</v>
      </c>
      <c r="C3211" s="43">
        <v>78.921000000000006</v>
      </c>
      <c r="D3211" s="39">
        <v>71.099999999999994</v>
      </c>
      <c r="E3211" s="14">
        <v>9.9099099099099197E-2</v>
      </c>
    </row>
    <row r="3212" spans="1:5" x14ac:dyDescent="0.25">
      <c r="A3212" s="44" t="s">
        <v>6906</v>
      </c>
      <c r="B3212" s="38" t="s">
        <v>6907</v>
      </c>
      <c r="C3212" s="43">
        <v>122.76600000000002</v>
      </c>
      <c r="D3212" s="39">
        <v>110.60000000000001</v>
      </c>
      <c r="E3212" s="14">
        <v>9.9099099099099197E-2</v>
      </c>
    </row>
    <row r="3213" spans="1:5" x14ac:dyDescent="0.25">
      <c r="A3213" s="44" t="s">
        <v>6908</v>
      </c>
      <c r="B3213" s="38" t="s">
        <v>6909</v>
      </c>
      <c r="C3213" s="43">
        <v>58.94100000000001</v>
      </c>
      <c r="D3213" s="39">
        <v>53.1</v>
      </c>
      <c r="E3213" s="14">
        <v>9.9099099099099197E-2</v>
      </c>
    </row>
    <row r="3214" spans="1:5" x14ac:dyDescent="0.25">
      <c r="A3214" s="44" t="s">
        <v>6910</v>
      </c>
      <c r="B3214" s="38" t="s">
        <v>6911</v>
      </c>
      <c r="C3214" s="43">
        <v>91.686000000000021</v>
      </c>
      <c r="D3214" s="39">
        <v>82.600000000000009</v>
      </c>
      <c r="E3214" s="14">
        <v>9.9099099099099197E-2</v>
      </c>
    </row>
    <row r="3215" spans="1:5" x14ac:dyDescent="0.25">
      <c r="A3215" s="44" t="s">
        <v>6912</v>
      </c>
      <c r="B3215" s="38" t="s">
        <v>6913</v>
      </c>
      <c r="C3215" s="43">
        <v>24.975000000000001</v>
      </c>
      <c r="D3215" s="39">
        <v>22.5</v>
      </c>
      <c r="E3215" s="14">
        <v>9.9099099099099197E-2</v>
      </c>
    </row>
    <row r="3216" spans="1:5" x14ac:dyDescent="0.25">
      <c r="A3216" s="44" t="s">
        <v>6914</v>
      </c>
      <c r="B3216" s="38" t="s">
        <v>6915</v>
      </c>
      <c r="C3216" s="43">
        <v>38.85</v>
      </c>
      <c r="D3216" s="39">
        <v>35</v>
      </c>
      <c r="E3216" s="14">
        <v>9.9099099099099086E-2</v>
      </c>
    </row>
    <row r="3217" spans="1:5" x14ac:dyDescent="0.25">
      <c r="A3217" s="44" t="s">
        <v>6916</v>
      </c>
      <c r="B3217" s="38" t="s">
        <v>6917</v>
      </c>
      <c r="C3217" s="43">
        <v>14.985000000000001</v>
      </c>
      <c r="D3217" s="39">
        <v>13.5</v>
      </c>
      <c r="E3217" s="14">
        <v>9.9099099099099197E-2</v>
      </c>
    </row>
    <row r="3218" spans="1:5" x14ac:dyDescent="0.25">
      <c r="A3218" s="44" t="s">
        <v>6918</v>
      </c>
      <c r="B3218" s="38" t="s">
        <v>6919</v>
      </c>
      <c r="C3218" s="43">
        <v>23.310000000000006</v>
      </c>
      <c r="D3218" s="39">
        <v>21.000000000000004</v>
      </c>
      <c r="E3218" s="14">
        <v>9.9099099099099197E-2</v>
      </c>
    </row>
    <row r="3219" spans="1:5" x14ac:dyDescent="0.25">
      <c r="A3219" s="44" t="s">
        <v>6920</v>
      </c>
      <c r="B3219" s="38" t="s">
        <v>6921</v>
      </c>
      <c r="C3219" s="43">
        <v>78.921000000000006</v>
      </c>
      <c r="D3219" s="39">
        <v>71.099999999999994</v>
      </c>
      <c r="E3219" s="14">
        <v>9.9099099099099197E-2</v>
      </c>
    </row>
    <row r="3220" spans="1:5" x14ac:dyDescent="0.25">
      <c r="A3220" s="44" t="s">
        <v>6922</v>
      </c>
      <c r="B3220" s="38" t="s">
        <v>6923</v>
      </c>
      <c r="C3220" s="43">
        <v>122.76600000000002</v>
      </c>
      <c r="D3220" s="39">
        <v>110.60000000000001</v>
      </c>
      <c r="E3220" s="14">
        <v>9.9099099099099197E-2</v>
      </c>
    </row>
    <row r="3221" spans="1:5" x14ac:dyDescent="0.25">
      <c r="A3221" s="44" t="s">
        <v>6924</v>
      </c>
      <c r="B3221" s="38" t="s">
        <v>6925</v>
      </c>
      <c r="C3221" s="43">
        <v>58.94100000000001</v>
      </c>
      <c r="D3221" s="39">
        <v>53.1</v>
      </c>
      <c r="E3221" s="14">
        <v>9.9099099099099197E-2</v>
      </c>
    </row>
    <row r="3222" spans="1:5" x14ac:dyDescent="0.25">
      <c r="A3222" s="44" t="s">
        <v>6926</v>
      </c>
      <c r="B3222" s="38" t="s">
        <v>6927</v>
      </c>
      <c r="C3222" s="43">
        <v>91.686000000000021</v>
      </c>
      <c r="D3222" s="39">
        <v>82.600000000000009</v>
      </c>
      <c r="E3222" s="14">
        <v>9.9099099099099197E-2</v>
      </c>
    </row>
    <row r="3223" spans="1:5" x14ac:dyDescent="0.25">
      <c r="A3223" s="44" t="s">
        <v>6928</v>
      </c>
      <c r="B3223" s="38" t="s">
        <v>6929</v>
      </c>
      <c r="C3223" s="43">
        <v>24.975000000000001</v>
      </c>
      <c r="D3223" s="39">
        <v>22.5</v>
      </c>
      <c r="E3223" s="14">
        <v>9.9099099099099197E-2</v>
      </c>
    </row>
    <row r="3224" spans="1:5" x14ac:dyDescent="0.25">
      <c r="A3224" s="44" t="s">
        <v>6930</v>
      </c>
      <c r="B3224" s="38" t="s">
        <v>6931</v>
      </c>
      <c r="C3224" s="43">
        <v>38.85</v>
      </c>
      <c r="D3224" s="39">
        <v>35</v>
      </c>
      <c r="E3224" s="14">
        <v>9.9099099099099086E-2</v>
      </c>
    </row>
    <row r="3225" spans="1:5" x14ac:dyDescent="0.25">
      <c r="A3225" s="44" t="s">
        <v>6932</v>
      </c>
      <c r="B3225" s="38" t="s">
        <v>6933</v>
      </c>
      <c r="C3225" s="43">
        <v>14.985000000000001</v>
      </c>
      <c r="D3225" s="39">
        <v>13.5</v>
      </c>
      <c r="E3225" s="14">
        <v>9.9099099099099197E-2</v>
      </c>
    </row>
    <row r="3226" spans="1:5" x14ac:dyDescent="0.25">
      <c r="A3226" s="44" t="s">
        <v>6934</v>
      </c>
      <c r="B3226" s="38" t="s">
        <v>6935</v>
      </c>
      <c r="C3226" s="43">
        <v>23.310000000000006</v>
      </c>
      <c r="D3226" s="39">
        <v>21.000000000000004</v>
      </c>
      <c r="E3226" s="14">
        <v>9.9099099099099197E-2</v>
      </c>
    </row>
    <row r="3227" spans="1:5" x14ac:dyDescent="0.25">
      <c r="A3227" s="44" t="s">
        <v>6936</v>
      </c>
      <c r="B3227" s="38" t="s">
        <v>6937</v>
      </c>
      <c r="C3227" s="43">
        <v>199.40039999999999</v>
      </c>
      <c r="D3227" s="39">
        <v>179.64</v>
      </c>
      <c r="E3227" s="14">
        <v>9.9099099099099086E-2</v>
      </c>
    </row>
    <row r="3228" spans="1:5" x14ac:dyDescent="0.25">
      <c r="A3228" s="44" t="s">
        <v>6938</v>
      </c>
      <c r="B3228" s="38" t="s">
        <v>6939</v>
      </c>
      <c r="C3228" s="43">
        <v>310.17840000000007</v>
      </c>
      <c r="D3228" s="39">
        <v>279.44000000000005</v>
      </c>
      <c r="E3228" s="14">
        <v>9.9099099099099086E-2</v>
      </c>
    </row>
    <row r="3229" spans="1:5" x14ac:dyDescent="0.25">
      <c r="A3229" s="44" t="s">
        <v>6940</v>
      </c>
      <c r="B3229" s="38" t="s">
        <v>6941</v>
      </c>
      <c r="C3229" s="43">
        <v>529.07040000000006</v>
      </c>
      <c r="D3229" s="39">
        <v>476.64</v>
      </c>
      <c r="E3229" s="14">
        <v>9.9099099099099197E-2</v>
      </c>
    </row>
    <row r="3230" spans="1:5" x14ac:dyDescent="0.25">
      <c r="A3230" s="44" t="s">
        <v>6942</v>
      </c>
      <c r="B3230" s="38" t="s">
        <v>6943</v>
      </c>
      <c r="C3230" s="43">
        <v>822.99840000000017</v>
      </c>
      <c r="D3230" s="39">
        <v>741.44</v>
      </c>
      <c r="E3230" s="14">
        <v>9.9099099099099197E-2</v>
      </c>
    </row>
    <row r="3231" spans="1:5" x14ac:dyDescent="0.25">
      <c r="A3231" s="44" t="s">
        <v>6944</v>
      </c>
      <c r="B3231" s="38" t="s">
        <v>6945</v>
      </c>
      <c r="C3231" s="43">
        <v>948.6504000000001</v>
      </c>
      <c r="D3231" s="39">
        <v>854.64</v>
      </c>
      <c r="E3231" s="14">
        <v>9.9099099099099197E-2</v>
      </c>
    </row>
    <row r="3232" spans="1:5" x14ac:dyDescent="0.25">
      <c r="A3232" s="44" t="s">
        <v>6946</v>
      </c>
      <c r="B3232" s="38" t="s">
        <v>6947</v>
      </c>
      <c r="C3232" s="43">
        <v>1475.6784000000002</v>
      </c>
      <c r="D3232" s="39">
        <v>1329.44</v>
      </c>
      <c r="E3232" s="14">
        <v>9.9099099099099197E-2</v>
      </c>
    </row>
    <row r="3233" spans="1:5" x14ac:dyDescent="0.25">
      <c r="A3233" s="44" t="s">
        <v>6948</v>
      </c>
      <c r="B3233" s="38" t="s">
        <v>6949</v>
      </c>
      <c r="C3233" s="43">
        <v>1997.6004</v>
      </c>
      <c r="D3233" s="39">
        <v>1799.6399999999999</v>
      </c>
      <c r="E3233" s="14">
        <v>9.9099099099099197E-2</v>
      </c>
    </row>
    <row r="3234" spans="1:5" x14ac:dyDescent="0.25">
      <c r="A3234" s="44" t="s">
        <v>6950</v>
      </c>
      <c r="B3234" s="38" t="s">
        <v>6951</v>
      </c>
      <c r="C3234" s="43">
        <v>3107.3784000000005</v>
      </c>
      <c r="D3234" s="39">
        <v>2799.44</v>
      </c>
      <c r="E3234" s="14">
        <v>9.9099099099099197E-2</v>
      </c>
    </row>
    <row r="3235" spans="1:5" x14ac:dyDescent="0.25">
      <c r="A3235" s="44" t="s">
        <v>6952</v>
      </c>
      <c r="B3235" s="38" t="s">
        <v>6953</v>
      </c>
      <c r="C3235" s="43">
        <v>898.70040000000006</v>
      </c>
      <c r="D3235" s="39">
        <v>809.64</v>
      </c>
      <c r="E3235" s="14">
        <v>9.9099099099099197E-2</v>
      </c>
    </row>
    <row r="3236" spans="1:5" x14ac:dyDescent="0.25">
      <c r="A3236" s="44" t="s">
        <v>6954</v>
      </c>
      <c r="B3236" s="38" t="s">
        <v>6955</v>
      </c>
      <c r="C3236" s="43">
        <v>1397.9784000000002</v>
      </c>
      <c r="D3236" s="39">
        <v>1259.44</v>
      </c>
      <c r="E3236" s="14">
        <v>9.9099099099099197E-2</v>
      </c>
    </row>
    <row r="3237" spans="1:5" x14ac:dyDescent="0.25">
      <c r="A3237" s="44" t="s">
        <v>6956</v>
      </c>
      <c r="B3237" s="38" t="s">
        <v>6957</v>
      </c>
      <c r="C3237" s="43">
        <v>189.41040000000001</v>
      </c>
      <c r="D3237" s="39">
        <v>170.64</v>
      </c>
      <c r="E3237" s="14">
        <v>9.9099099099099197E-2</v>
      </c>
    </row>
    <row r="3238" spans="1:5" x14ac:dyDescent="0.25">
      <c r="A3238" s="44" t="s">
        <v>6958</v>
      </c>
      <c r="B3238" s="38" t="s">
        <v>6959</v>
      </c>
      <c r="C3238" s="43">
        <v>294.63840000000005</v>
      </c>
      <c r="D3238" s="39">
        <v>265.44</v>
      </c>
      <c r="E3238" s="14">
        <v>9.9099099099099197E-2</v>
      </c>
    </row>
    <row r="3239" spans="1:5" x14ac:dyDescent="0.25">
      <c r="A3239" s="44" t="s">
        <v>6960</v>
      </c>
      <c r="B3239" s="38" t="s">
        <v>6961</v>
      </c>
      <c r="C3239" s="43">
        <v>89.510400000000004</v>
      </c>
      <c r="D3239" s="39">
        <v>80.64</v>
      </c>
      <c r="E3239" s="14">
        <v>9.9099099099099086E-2</v>
      </c>
    </row>
    <row r="3240" spans="1:5" x14ac:dyDescent="0.25">
      <c r="A3240" s="44" t="s">
        <v>6962</v>
      </c>
      <c r="B3240" s="38" t="s">
        <v>6963</v>
      </c>
      <c r="C3240" s="43">
        <v>139.23840000000001</v>
      </c>
      <c r="D3240" s="39">
        <v>125.44000000000001</v>
      </c>
      <c r="E3240" s="14">
        <v>9.9099099099099086E-2</v>
      </c>
    </row>
    <row r="3241" spans="1:5" x14ac:dyDescent="0.25">
      <c r="A3241" s="44" t="s">
        <v>6964</v>
      </c>
      <c r="B3241" s="38" t="s">
        <v>6965</v>
      </c>
      <c r="C3241" s="43">
        <v>189.41040000000001</v>
      </c>
      <c r="D3241" s="39">
        <v>170.64</v>
      </c>
      <c r="E3241" s="14">
        <v>9.9099099099099197E-2</v>
      </c>
    </row>
    <row r="3242" spans="1:5" x14ac:dyDescent="0.25">
      <c r="A3242" s="44" t="s">
        <v>6966</v>
      </c>
      <c r="B3242" s="38" t="s">
        <v>6967</v>
      </c>
      <c r="C3242" s="43">
        <v>294.63840000000005</v>
      </c>
      <c r="D3242" s="39">
        <v>265.44</v>
      </c>
      <c r="E3242" s="14">
        <v>9.9099099099099197E-2</v>
      </c>
    </row>
    <row r="3243" spans="1:5" x14ac:dyDescent="0.25">
      <c r="A3243" s="44" t="s">
        <v>6968</v>
      </c>
      <c r="B3243" s="38" t="s">
        <v>6969</v>
      </c>
      <c r="C3243" s="43">
        <v>189.41040000000001</v>
      </c>
      <c r="D3243" s="39">
        <v>170.64</v>
      </c>
      <c r="E3243" s="14">
        <v>9.9099099099099197E-2</v>
      </c>
    </row>
    <row r="3244" spans="1:5" x14ac:dyDescent="0.25">
      <c r="A3244" s="44" t="s">
        <v>6970</v>
      </c>
      <c r="B3244" s="38" t="s">
        <v>6971</v>
      </c>
      <c r="C3244" s="43">
        <v>294.63840000000005</v>
      </c>
      <c r="D3244" s="39">
        <v>265.44</v>
      </c>
      <c r="E3244" s="14">
        <v>9.9099099099099197E-2</v>
      </c>
    </row>
    <row r="3245" spans="1:5" x14ac:dyDescent="0.25">
      <c r="A3245" s="44" t="s">
        <v>6972</v>
      </c>
      <c r="B3245" s="38" t="s">
        <v>6973</v>
      </c>
      <c r="C3245" s="43">
        <v>189.41040000000001</v>
      </c>
      <c r="D3245" s="39">
        <v>170.64</v>
      </c>
      <c r="E3245" s="14">
        <v>9.9099099099099197E-2</v>
      </c>
    </row>
    <row r="3246" spans="1:5" x14ac:dyDescent="0.25">
      <c r="A3246" s="44" t="s">
        <v>6974</v>
      </c>
      <c r="B3246" s="38" t="s">
        <v>6975</v>
      </c>
      <c r="C3246" s="43">
        <v>294.63840000000005</v>
      </c>
      <c r="D3246" s="39">
        <v>265.44</v>
      </c>
      <c r="E3246" s="14">
        <v>9.9099099099099197E-2</v>
      </c>
    </row>
    <row r="3247" spans="1:5" x14ac:dyDescent="0.25">
      <c r="A3247" s="44" t="s">
        <v>6976</v>
      </c>
      <c r="B3247" s="38" t="s">
        <v>6977</v>
      </c>
      <c r="C3247" s="43">
        <v>199.40039999999999</v>
      </c>
      <c r="D3247" s="39">
        <v>179.64</v>
      </c>
      <c r="E3247" s="14">
        <v>9.9099099099099086E-2</v>
      </c>
    </row>
    <row r="3248" spans="1:5" x14ac:dyDescent="0.25">
      <c r="A3248" s="44" t="s">
        <v>6978</v>
      </c>
      <c r="B3248" s="38" t="s">
        <v>6979</v>
      </c>
      <c r="C3248" s="43">
        <v>310.17840000000007</v>
      </c>
      <c r="D3248" s="39">
        <v>279.44000000000005</v>
      </c>
      <c r="E3248" s="14">
        <v>9.9099099099099086E-2</v>
      </c>
    </row>
    <row r="3249" spans="1:5" x14ac:dyDescent="0.25">
      <c r="A3249" s="44" t="s">
        <v>6980</v>
      </c>
      <c r="B3249" s="38" t="s">
        <v>6981</v>
      </c>
      <c r="C3249" s="43">
        <v>948.6504000000001</v>
      </c>
      <c r="D3249" s="39">
        <v>854.64</v>
      </c>
      <c r="E3249" s="14">
        <v>9.9099099099099197E-2</v>
      </c>
    </row>
    <row r="3250" spans="1:5" x14ac:dyDescent="0.25">
      <c r="A3250" s="44" t="s">
        <v>6982</v>
      </c>
      <c r="B3250" s="38" t="s">
        <v>6983</v>
      </c>
      <c r="C3250" s="43">
        <v>1475.6784000000002</v>
      </c>
      <c r="D3250" s="39">
        <v>1329.44</v>
      </c>
      <c r="E3250" s="14">
        <v>9.9099099099099197E-2</v>
      </c>
    </row>
    <row r="3251" spans="1:5" x14ac:dyDescent="0.25">
      <c r="A3251" s="44" t="s">
        <v>6984</v>
      </c>
      <c r="B3251" s="38" t="s">
        <v>6985</v>
      </c>
      <c r="C3251" s="43">
        <v>848.75040000000001</v>
      </c>
      <c r="D3251" s="39">
        <v>764.64</v>
      </c>
      <c r="E3251" s="14">
        <v>9.9099099099099086E-2</v>
      </c>
    </row>
    <row r="3252" spans="1:5" x14ac:dyDescent="0.25">
      <c r="A3252" s="44" t="s">
        <v>6986</v>
      </c>
      <c r="B3252" s="38" t="s">
        <v>6987</v>
      </c>
      <c r="C3252" s="43">
        <v>1320.2784000000001</v>
      </c>
      <c r="D3252" s="39">
        <v>1189.44</v>
      </c>
      <c r="E3252" s="14">
        <v>9.9099099099099197E-2</v>
      </c>
    </row>
    <row r="3253" spans="1:5" x14ac:dyDescent="0.25">
      <c r="A3253" s="44" t="s">
        <v>6988</v>
      </c>
      <c r="B3253" s="38" t="s">
        <v>6989</v>
      </c>
      <c r="C3253" s="43">
        <v>299.30040000000002</v>
      </c>
      <c r="D3253" s="39">
        <v>269.64</v>
      </c>
      <c r="E3253" s="14">
        <v>9.9099099099099197E-2</v>
      </c>
    </row>
    <row r="3254" spans="1:5" x14ac:dyDescent="0.25">
      <c r="A3254" s="44" t="s">
        <v>6990</v>
      </c>
      <c r="B3254" s="38" t="s">
        <v>6991</v>
      </c>
      <c r="C3254" s="43">
        <v>465.5784000000001</v>
      </c>
      <c r="D3254" s="39">
        <v>419.44000000000005</v>
      </c>
      <c r="E3254" s="14">
        <v>9.9099099099099197E-2</v>
      </c>
    </row>
    <row r="3255" spans="1:5" x14ac:dyDescent="0.25">
      <c r="A3255" s="44" t="s">
        <v>6992</v>
      </c>
      <c r="B3255" s="38" t="s">
        <v>6993</v>
      </c>
      <c r="C3255" s="43">
        <v>189.41040000000001</v>
      </c>
      <c r="D3255" s="39">
        <v>170.64</v>
      </c>
      <c r="E3255" s="14">
        <v>9.9099099099099197E-2</v>
      </c>
    </row>
    <row r="3256" spans="1:5" x14ac:dyDescent="0.25">
      <c r="A3256" s="44" t="s">
        <v>6994</v>
      </c>
      <c r="B3256" s="38" t="s">
        <v>6995</v>
      </c>
      <c r="C3256" s="43">
        <v>294.63840000000005</v>
      </c>
      <c r="D3256" s="39">
        <v>265.44</v>
      </c>
      <c r="E3256" s="14">
        <v>9.9099099099099197E-2</v>
      </c>
    </row>
    <row r="3257" spans="1:5" x14ac:dyDescent="0.25">
      <c r="A3257" s="44" t="s">
        <v>6996</v>
      </c>
      <c r="B3257" s="38" t="s">
        <v>6997</v>
      </c>
      <c r="C3257" s="43">
        <v>189.41040000000001</v>
      </c>
      <c r="D3257" s="39">
        <v>170.64</v>
      </c>
      <c r="E3257" s="14">
        <v>9.9099099099099197E-2</v>
      </c>
    </row>
    <row r="3258" spans="1:5" x14ac:dyDescent="0.25">
      <c r="A3258" s="44" t="s">
        <v>6998</v>
      </c>
      <c r="B3258" s="38" t="s">
        <v>6999</v>
      </c>
      <c r="C3258" s="43">
        <v>294.63840000000005</v>
      </c>
      <c r="D3258" s="39">
        <v>265.44</v>
      </c>
      <c r="E3258" s="14">
        <v>9.9099099099099197E-2</v>
      </c>
    </row>
    <row r="3259" spans="1:5" x14ac:dyDescent="0.25">
      <c r="A3259" s="44" t="s">
        <v>7000</v>
      </c>
      <c r="B3259" s="38" t="s">
        <v>7001</v>
      </c>
      <c r="C3259" s="43">
        <v>599.00040000000001</v>
      </c>
      <c r="D3259" s="39">
        <v>539.64</v>
      </c>
      <c r="E3259" s="14">
        <v>9.9099099099099197E-2</v>
      </c>
    </row>
    <row r="3260" spans="1:5" x14ac:dyDescent="0.25">
      <c r="A3260" s="44" t="s">
        <v>7002</v>
      </c>
      <c r="B3260" s="38" t="s">
        <v>7003</v>
      </c>
      <c r="C3260" s="43">
        <v>931.77840000000015</v>
      </c>
      <c r="D3260" s="39">
        <v>839.44</v>
      </c>
      <c r="E3260" s="14">
        <v>9.9099099099099197E-2</v>
      </c>
    </row>
    <row r="3261" spans="1:5" x14ac:dyDescent="0.25">
      <c r="A3261" s="44" t="s">
        <v>7004</v>
      </c>
      <c r="B3261" s="38" t="s">
        <v>7005</v>
      </c>
      <c r="C3261" s="43">
        <v>698.30100000000004</v>
      </c>
      <c r="D3261" s="39">
        <v>629.1</v>
      </c>
      <c r="E3261" s="14">
        <v>9.9099099099099086E-2</v>
      </c>
    </row>
    <row r="3262" spans="1:5" x14ac:dyDescent="0.25">
      <c r="A3262" s="44" t="s">
        <v>7006</v>
      </c>
      <c r="B3262" s="38" t="s">
        <v>7007</v>
      </c>
      <c r="C3262" s="43">
        <v>1086.2460000000003</v>
      </c>
      <c r="D3262" s="39">
        <v>978.60000000000014</v>
      </c>
      <c r="E3262" s="14">
        <v>9.9099099099099197E-2</v>
      </c>
    </row>
    <row r="3263" spans="1:5" x14ac:dyDescent="0.25">
      <c r="A3263" s="44" t="s">
        <v>7008</v>
      </c>
      <c r="B3263" s="38" t="s">
        <v>7009</v>
      </c>
      <c r="C3263" s="43">
        <v>1497.501</v>
      </c>
      <c r="D3263" s="39">
        <v>1349.1</v>
      </c>
      <c r="E3263" s="14">
        <v>9.9099099099099197E-2</v>
      </c>
    </row>
    <row r="3264" spans="1:5" x14ac:dyDescent="0.25">
      <c r="A3264" s="44" t="s">
        <v>7010</v>
      </c>
      <c r="B3264" s="38" t="s">
        <v>7011</v>
      </c>
      <c r="C3264" s="43">
        <v>2329.4460000000008</v>
      </c>
      <c r="D3264" s="39">
        <v>2098.6000000000004</v>
      </c>
      <c r="E3264" s="14">
        <v>9.9099099099099308E-2</v>
      </c>
    </row>
    <row r="3265" spans="1:5" x14ac:dyDescent="0.25">
      <c r="A3265" s="44" t="s">
        <v>7012</v>
      </c>
      <c r="B3265" s="38" t="s">
        <v>7013</v>
      </c>
      <c r="C3265" s="43">
        <v>3495.5010000000002</v>
      </c>
      <c r="D3265" s="39">
        <v>3149.1</v>
      </c>
      <c r="E3265" s="14">
        <v>9.9099099099099197E-2</v>
      </c>
    </row>
    <row r="3266" spans="1:5" x14ac:dyDescent="0.25">
      <c r="A3266" s="44" t="s">
        <v>7014</v>
      </c>
      <c r="B3266" s="38" t="s">
        <v>7015</v>
      </c>
      <c r="C3266" s="43">
        <v>5437.4460000000008</v>
      </c>
      <c r="D3266" s="39">
        <v>4898.6000000000004</v>
      </c>
      <c r="E3266" s="14">
        <v>9.9099099099099197E-2</v>
      </c>
    </row>
    <row r="3267" spans="1:5" x14ac:dyDescent="0.25">
      <c r="A3267" s="44" t="s">
        <v>7016</v>
      </c>
      <c r="B3267" s="38" t="s">
        <v>7017</v>
      </c>
      <c r="C3267" s="43">
        <v>998.00100000000009</v>
      </c>
      <c r="D3267" s="39">
        <v>899.1</v>
      </c>
      <c r="E3267" s="14">
        <v>9.9099099099099197E-2</v>
      </c>
    </row>
    <row r="3268" spans="1:5" x14ac:dyDescent="0.25">
      <c r="A3268" s="44" t="s">
        <v>7018</v>
      </c>
      <c r="B3268" s="38" t="s">
        <v>7019</v>
      </c>
      <c r="C3268" s="43">
        <v>1552.4460000000004</v>
      </c>
      <c r="D3268" s="39">
        <v>1398.6000000000001</v>
      </c>
      <c r="E3268" s="14">
        <v>9.9099099099099197E-2</v>
      </c>
    </row>
    <row r="3269" spans="1:5" x14ac:dyDescent="0.25">
      <c r="A3269" s="44" t="s">
        <v>7020</v>
      </c>
      <c r="B3269" s="38" t="s">
        <v>7021</v>
      </c>
      <c r="C3269" s="43">
        <v>2996.0010000000002</v>
      </c>
      <c r="D3269" s="39">
        <v>2699.1</v>
      </c>
      <c r="E3269" s="14">
        <v>9.9099099099099197E-2</v>
      </c>
    </row>
    <row r="3270" spans="1:5" x14ac:dyDescent="0.25">
      <c r="A3270" s="44" t="s">
        <v>7022</v>
      </c>
      <c r="B3270" s="38" t="s">
        <v>7023</v>
      </c>
      <c r="C3270" s="43">
        <v>4660.4460000000008</v>
      </c>
      <c r="D3270" s="39">
        <v>4198.6000000000004</v>
      </c>
      <c r="E3270" s="14">
        <v>9.9099099099099197E-2</v>
      </c>
    </row>
    <row r="3271" spans="1:5" x14ac:dyDescent="0.25">
      <c r="A3271" s="44" t="s">
        <v>7024</v>
      </c>
      <c r="B3271" s="38" t="s">
        <v>7025</v>
      </c>
      <c r="C3271" s="43">
        <v>2396.6010000000001</v>
      </c>
      <c r="D3271" s="39">
        <v>2159.1</v>
      </c>
      <c r="E3271" s="14">
        <v>9.9099099099099197E-2</v>
      </c>
    </row>
    <row r="3272" spans="1:5" x14ac:dyDescent="0.25">
      <c r="A3272" s="44" t="s">
        <v>7026</v>
      </c>
      <c r="B3272" s="38" t="s">
        <v>7027</v>
      </c>
      <c r="C3272" s="43">
        <v>3728.0460000000007</v>
      </c>
      <c r="D3272" s="39">
        <v>3358.6000000000004</v>
      </c>
      <c r="E3272" s="14">
        <v>9.9099099099099197E-2</v>
      </c>
    </row>
    <row r="3273" spans="1:5" x14ac:dyDescent="0.25">
      <c r="A3273" s="44" t="s">
        <v>7028</v>
      </c>
      <c r="B3273" s="38" t="s">
        <v>7029</v>
      </c>
      <c r="C3273" s="43">
        <v>349.25040000000001</v>
      </c>
      <c r="D3273" s="39">
        <v>314.64</v>
      </c>
      <c r="E3273" s="14">
        <v>9.9099099099099197E-2</v>
      </c>
    </row>
    <row r="3274" spans="1:5" x14ac:dyDescent="0.25">
      <c r="A3274" s="44" t="s">
        <v>7030</v>
      </c>
      <c r="B3274" s="38" t="s">
        <v>7031</v>
      </c>
      <c r="C3274" s="43">
        <v>543.27840000000015</v>
      </c>
      <c r="D3274" s="39">
        <v>489.44000000000005</v>
      </c>
      <c r="E3274" s="14">
        <v>9.9099099099099197E-2</v>
      </c>
    </row>
    <row r="3275" spans="1:5" x14ac:dyDescent="0.25">
      <c r="A3275" s="44" t="s">
        <v>7032</v>
      </c>
      <c r="B3275" s="38" t="s">
        <v>7033</v>
      </c>
      <c r="C3275" s="43">
        <v>748.85040000000004</v>
      </c>
      <c r="D3275" s="39">
        <v>674.64</v>
      </c>
      <c r="E3275" s="14">
        <v>9.9099099099099197E-2</v>
      </c>
    </row>
    <row r="3276" spans="1:5" x14ac:dyDescent="0.25">
      <c r="A3276" s="44" t="s">
        <v>7034</v>
      </c>
      <c r="B3276" s="38" t="s">
        <v>7035</v>
      </c>
      <c r="C3276" s="43">
        <v>1164.8784000000001</v>
      </c>
      <c r="D3276" s="39">
        <v>1049.44</v>
      </c>
      <c r="E3276" s="14">
        <v>9.9099099099099086E-2</v>
      </c>
    </row>
    <row r="3277" spans="1:5" x14ac:dyDescent="0.25">
      <c r="A3277" s="44" t="s">
        <v>7036</v>
      </c>
      <c r="B3277" s="38" t="s">
        <v>7037</v>
      </c>
      <c r="C3277" s="43">
        <v>1747.8504</v>
      </c>
      <c r="D3277" s="39">
        <v>1574.6399999999999</v>
      </c>
      <c r="E3277" s="14">
        <v>9.9099099099099197E-2</v>
      </c>
    </row>
    <row r="3278" spans="1:5" x14ac:dyDescent="0.25">
      <c r="A3278" s="44" t="s">
        <v>7038</v>
      </c>
      <c r="B3278" s="38" t="s">
        <v>7039</v>
      </c>
      <c r="C3278" s="43">
        <v>2718.8784000000005</v>
      </c>
      <c r="D3278" s="39">
        <v>2449.44</v>
      </c>
      <c r="E3278" s="14">
        <v>9.9099099099099197E-2</v>
      </c>
    </row>
    <row r="3279" spans="1:5" x14ac:dyDescent="0.25">
      <c r="A3279" s="44" t="s">
        <v>7040</v>
      </c>
      <c r="B3279" s="38" t="s">
        <v>7041</v>
      </c>
      <c r="C3279" s="43">
        <v>499.10040000000004</v>
      </c>
      <c r="D3279" s="39">
        <v>449.64</v>
      </c>
      <c r="E3279" s="14">
        <v>9.9099099099099197E-2</v>
      </c>
    </row>
    <row r="3280" spans="1:5" x14ac:dyDescent="0.25">
      <c r="A3280" s="44" t="s">
        <v>7042</v>
      </c>
      <c r="B3280" s="38" t="s">
        <v>7043</v>
      </c>
      <c r="C3280" s="43">
        <v>776.37840000000017</v>
      </c>
      <c r="D3280" s="39">
        <v>699.44</v>
      </c>
      <c r="E3280" s="14">
        <v>9.9099099099099197E-2</v>
      </c>
    </row>
    <row r="3281" spans="1:5" x14ac:dyDescent="0.25">
      <c r="A3281" s="44" t="s">
        <v>7044</v>
      </c>
      <c r="B3281" s="38" t="s">
        <v>7045</v>
      </c>
      <c r="C3281" s="43">
        <v>1498.1004</v>
      </c>
      <c r="D3281" s="39">
        <v>1349.6399999999999</v>
      </c>
      <c r="E3281" s="14">
        <v>9.9099099099099197E-2</v>
      </c>
    </row>
    <row r="3282" spans="1:5" x14ac:dyDescent="0.25">
      <c r="A3282" s="44" t="s">
        <v>7046</v>
      </c>
      <c r="B3282" s="38" t="s">
        <v>7047</v>
      </c>
      <c r="C3282" s="43">
        <v>2330.3784000000001</v>
      </c>
      <c r="D3282" s="39">
        <v>2099.44</v>
      </c>
      <c r="E3282" s="14">
        <v>9.9099099099099086E-2</v>
      </c>
    </row>
    <row r="3283" spans="1:5" x14ac:dyDescent="0.25">
      <c r="A3283" s="44" t="s">
        <v>7048</v>
      </c>
      <c r="B3283" s="38" t="s">
        <v>7049</v>
      </c>
      <c r="C3283" s="43">
        <v>1198.4004</v>
      </c>
      <c r="D3283" s="39">
        <v>1079.6399999999999</v>
      </c>
      <c r="E3283" s="14">
        <v>9.9099099099099197E-2</v>
      </c>
    </row>
    <row r="3284" spans="1:5" x14ac:dyDescent="0.25">
      <c r="A3284" s="44" t="s">
        <v>7050</v>
      </c>
      <c r="B3284" s="38" t="s">
        <v>7051</v>
      </c>
      <c r="C3284" s="43">
        <v>1864.1784000000002</v>
      </c>
      <c r="D3284" s="39">
        <v>1679.44</v>
      </c>
      <c r="E3284" s="14">
        <v>9.9099099099099197E-2</v>
      </c>
    </row>
    <row r="3285" spans="1:5" x14ac:dyDescent="0.25">
      <c r="A3285" s="44" t="s">
        <v>7052</v>
      </c>
      <c r="B3285" s="38" t="s">
        <v>7053</v>
      </c>
      <c r="C3285" s="43">
        <v>919.08</v>
      </c>
      <c r="D3285" s="39">
        <v>828</v>
      </c>
      <c r="E3285" s="14">
        <v>9.9099099099099086E-2</v>
      </c>
    </row>
    <row r="3286" spans="1:5" x14ac:dyDescent="0.25">
      <c r="A3286" s="44" t="s">
        <v>7054</v>
      </c>
      <c r="B3286" s="38" t="s">
        <v>7055</v>
      </c>
      <c r="C3286" s="43">
        <v>1429.6800000000003</v>
      </c>
      <c r="D3286" s="39">
        <v>1288.0000000000002</v>
      </c>
      <c r="E3286" s="14">
        <v>9.9099099099099086E-2</v>
      </c>
    </row>
    <row r="3287" spans="1:5" x14ac:dyDescent="0.25">
      <c r="A3287" s="44" t="s">
        <v>7056</v>
      </c>
      <c r="B3287" s="38" t="s">
        <v>7057</v>
      </c>
      <c r="C3287" s="43">
        <v>1258.74</v>
      </c>
      <c r="D3287" s="39">
        <v>1134</v>
      </c>
      <c r="E3287" s="14">
        <v>9.9099099099099086E-2</v>
      </c>
    </row>
    <row r="3288" spans="1:5" x14ac:dyDescent="0.25">
      <c r="A3288" s="44" t="s">
        <v>7058</v>
      </c>
      <c r="B3288" s="38" t="s">
        <v>7059</v>
      </c>
      <c r="C3288" s="43">
        <v>1958.0400000000004</v>
      </c>
      <c r="D3288" s="39">
        <v>1764.0000000000002</v>
      </c>
      <c r="E3288" s="14">
        <v>9.9099099099099197E-2</v>
      </c>
    </row>
    <row r="3289" spans="1:5" x14ac:dyDescent="0.25">
      <c r="A3289" s="44" t="s">
        <v>7060</v>
      </c>
      <c r="B3289" s="38" t="s">
        <v>7061</v>
      </c>
      <c r="C3289" s="43">
        <v>2197.8000000000002</v>
      </c>
      <c r="D3289" s="39">
        <v>1980</v>
      </c>
      <c r="E3289" s="14">
        <v>9.9099099099099197E-2</v>
      </c>
    </row>
    <row r="3290" spans="1:5" x14ac:dyDescent="0.25">
      <c r="A3290" s="44" t="s">
        <v>7062</v>
      </c>
      <c r="B3290" s="38" t="s">
        <v>7063</v>
      </c>
      <c r="C3290" s="43">
        <v>3418.8000000000006</v>
      </c>
      <c r="D3290" s="39">
        <v>3080.0000000000005</v>
      </c>
      <c r="E3290" s="14">
        <v>9.9099099099099086E-2</v>
      </c>
    </row>
    <row r="3291" spans="1:5" x14ac:dyDescent="0.25">
      <c r="A3291" s="44" t="s">
        <v>7064</v>
      </c>
      <c r="B3291" s="38" t="s">
        <v>7065</v>
      </c>
      <c r="C3291" s="43">
        <v>115.884</v>
      </c>
      <c r="D3291" s="39">
        <v>104.39999999999999</v>
      </c>
      <c r="E3291" s="14">
        <v>9.9099099099099197E-2</v>
      </c>
    </row>
    <row r="3292" spans="1:5" x14ac:dyDescent="0.25">
      <c r="A3292" s="44" t="s">
        <v>7066</v>
      </c>
      <c r="B3292" s="38" t="s">
        <v>7067</v>
      </c>
      <c r="C3292" s="43">
        <v>180.26400000000001</v>
      </c>
      <c r="D3292" s="39">
        <v>162.4</v>
      </c>
      <c r="E3292" s="14">
        <v>9.9099099099099086E-2</v>
      </c>
    </row>
    <row r="3293" spans="1:5" x14ac:dyDescent="0.25">
      <c r="A3293" s="44" t="s">
        <v>7068</v>
      </c>
      <c r="B3293" s="38" t="s">
        <v>7069</v>
      </c>
      <c r="C3293" s="43">
        <v>209.79000000000002</v>
      </c>
      <c r="D3293" s="39">
        <v>189</v>
      </c>
      <c r="E3293" s="14">
        <v>9.9099099099099197E-2</v>
      </c>
    </row>
    <row r="3294" spans="1:5" x14ac:dyDescent="0.25">
      <c r="A3294" s="44" t="s">
        <v>7070</v>
      </c>
      <c r="B3294" s="38" t="s">
        <v>7071</v>
      </c>
      <c r="C3294" s="43">
        <v>326.34000000000003</v>
      </c>
      <c r="D3294" s="39">
        <v>294</v>
      </c>
      <c r="E3294" s="14">
        <v>9.9099099099099197E-2</v>
      </c>
    </row>
    <row r="3295" spans="1:5" x14ac:dyDescent="0.25">
      <c r="A3295" s="44" t="s">
        <v>7072</v>
      </c>
      <c r="B3295" s="38" t="s">
        <v>7073</v>
      </c>
      <c r="C3295" s="43">
        <v>239.76000000000002</v>
      </c>
      <c r="D3295" s="39">
        <v>216</v>
      </c>
      <c r="E3295" s="14">
        <v>9.9099099099099197E-2</v>
      </c>
    </row>
    <row r="3296" spans="1:5" x14ac:dyDescent="0.25">
      <c r="A3296" s="44" t="s">
        <v>7074</v>
      </c>
      <c r="B3296" s="38" t="s">
        <v>7075</v>
      </c>
      <c r="C3296" s="43">
        <v>372.96000000000009</v>
      </c>
      <c r="D3296" s="39">
        <v>336.00000000000006</v>
      </c>
      <c r="E3296" s="14">
        <v>9.9099099099099197E-2</v>
      </c>
    </row>
    <row r="3297" spans="1:5" x14ac:dyDescent="0.25">
      <c r="A3297" s="44" t="s">
        <v>7076</v>
      </c>
      <c r="B3297" s="38" t="s">
        <v>7077</v>
      </c>
      <c r="C3297" s="43">
        <v>409.59000000000003</v>
      </c>
      <c r="D3297" s="39">
        <v>369</v>
      </c>
      <c r="E3297" s="14">
        <v>9.9099099099099197E-2</v>
      </c>
    </row>
    <row r="3298" spans="1:5" x14ac:dyDescent="0.25">
      <c r="A3298" s="44" t="s">
        <v>7078</v>
      </c>
      <c r="B3298" s="38" t="s">
        <v>7079</v>
      </c>
      <c r="C3298" s="43">
        <v>637.1400000000001</v>
      </c>
      <c r="D3298" s="39">
        <v>574</v>
      </c>
      <c r="E3298" s="14">
        <v>9.9099099099099197E-2</v>
      </c>
    </row>
    <row r="3299" spans="1:5" x14ac:dyDescent="0.25">
      <c r="A3299" s="44" t="s">
        <v>7080</v>
      </c>
      <c r="B3299" s="38" t="s">
        <v>7081</v>
      </c>
      <c r="C3299" s="43">
        <v>58.94100000000001</v>
      </c>
      <c r="D3299" s="39">
        <v>53.1</v>
      </c>
      <c r="E3299" s="14">
        <v>9.9099099099099197E-2</v>
      </c>
    </row>
    <row r="3300" spans="1:5" x14ac:dyDescent="0.25">
      <c r="A3300" s="44" t="s">
        <v>7082</v>
      </c>
      <c r="B3300" s="38" t="s">
        <v>7083</v>
      </c>
      <c r="C3300" s="43">
        <v>91.686000000000021</v>
      </c>
      <c r="D3300" s="39">
        <v>82.600000000000009</v>
      </c>
      <c r="E3300" s="14">
        <v>9.9099099099099197E-2</v>
      </c>
    </row>
    <row r="3301" spans="1:5" x14ac:dyDescent="0.25">
      <c r="A3301" s="44" t="s">
        <v>7084</v>
      </c>
      <c r="B3301" s="38" t="s">
        <v>7085</v>
      </c>
      <c r="C3301" s="43">
        <v>75.923999999999992</v>
      </c>
      <c r="D3301" s="39">
        <v>68.399999999999991</v>
      </c>
      <c r="E3301" s="14">
        <v>9.9099099099099086E-2</v>
      </c>
    </row>
    <row r="3302" spans="1:5" x14ac:dyDescent="0.25">
      <c r="A3302" s="44" t="s">
        <v>7086</v>
      </c>
      <c r="B3302" s="38" t="s">
        <v>7087</v>
      </c>
      <c r="C3302" s="43">
        <v>118.10400000000001</v>
      </c>
      <c r="D3302" s="39">
        <v>106.4</v>
      </c>
      <c r="E3302" s="14">
        <v>9.9099099099099197E-2</v>
      </c>
    </row>
    <row r="3303" spans="1:5" x14ac:dyDescent="0.25">
      <c r="A3303" s="44" t="s">
        <v>7088</v>
      </c>
      <c r="B3303" s="38" t="s">
        <v>7089</v>
      </c>
      <c r="C3303" s="43">
        <v>549.45000000000005</v>
      </c>
      <c r="D3303" s="39">
        <v>495</v>
      </c>
      <c r="E3303" s="14">
        <v>9.9099099099099197E-2</v>
      </c>
    </row>
    <row r="3304" spans="1:5" x14ac:dyDescent="0.25">
      <c r="A3304" s="44" t="s">
        <v>7090</v>
      </c>
      <c r="B3304" s="38" t="s">
        <v>7091</v>
      </c>
      <c r="C3304" s="43">
        <v>854.70000000000016</v>
      </c>
      <c r="D3304" s="39">
        <v>770.00000000000011</v>
      </c>
      <c r="E3304" s="14">
        <v>9.9099099099099086E-2</v>
      </c>
    </row>
    <row r="3305" spans="1:5" x14ac:dyDescent="0.25">
      <c r="A3305" s="44" t="s">
        <v>7092</v>
      </c>
      <c r="B3305" s="38" t="s">
        <v>7093</v>
      </c>
      <c r="C3305" s="43">
        <v>893.10600000000011</v>
      </c>
      <c r="D3305" s="39">
        <v>804.6</v>
      </c>
      <c r="E3305" s="14">
        <v>9.9099099099099197E-2</v>
      </c>
    </row>
    <row r="3306" spans="1:5" x14ac:dyDescent="0.25">
      <c r="A3306" s="44" t="s">
        <v>7094</v>
      </c>
      <c r="B3306" s="38" t="s">
        <v>7095</v>
      </c>
      <c r="C3306" s="43">
        <v>1389.2760000000003</v>
      </c>
      <c r="D3306" s="39">
        <v>1251.6000000000001</v>
      </c>
      <c r="E3306" s="14">
        <v>9.9099099099099197E-2</v>
      </c>
    </row>
    <row r="3307" spans="1:5" x14ac:dyDescent="0.25">
      <c r="A3307" s="44" t="s">
        <v>7096</v>
      </c>
      <c r="B3307" s="38" t="s">
        <v>7097</v>
      </c>
      <c r="C3307" s="43">
        <v>75.923999999999992</v>
      </c>
      <c r="D3307" s="39">
        <v>68.399999999999991</v>
      </c>
      <c r="E3307" s="14">
        <v>9.9099099099099086E-2</v>
      </c>
    </row>
    <row r="3308" spans="1:5" x14ac:dyDescent="0.25">
      <c r="A3308" s="44" t="s">
        <v>7098</v>
      </c>
      <c r="B3308" s="38" t="s">
        <v>7099</v>
      </c>
      <c r="C3308" s="43">
        <v>118.10400000000001</v>
      </c>
      <c r="D3308" s="39">
        <v>106.4</v>
      </c>
      <c r="E3308" s="14">
        <v>9.9099099099099197E-2</v>
      </c>
    </row>
    <row r="3309" spans="1:5" x14ac:dyDescent="0.25">
      <c r="A3309" s="44" t="s">
        <v>7100</v>
      </c>
      <c r="B3309" s="38" t="s">
        <v>7101</v>
      </c>
      <c r="C3309" s="43">
        <v>2.9969999999999999</v>
      </c>
      <c r="D3309" s="39">
        <v>2.6999999999999997</v>
      </c>
      <c r="E3309" s="14">
        <v>9.9099099099099197E-2</v>
      </c>
    </row>
    <row r="3310" spans="1:5" x14ac:dyDescent="0.25">
      <c r="A3310" s="44" t="s">
        <v>7102</v>
      </c>
      <c r="B3310" s="38" t="s">
        <v>7103</v>
      </c>
      <c r="C3310" s="43">
        <v>4.6620000000000008</v>
      </c>
      <c r="D3310" s="39">
        <v>4.2</v>
      </c>
      <c r="E3310" s="14">
        <v>9.9099099099099197E-2</v>
      </c>
    </row>
    <row r="3311" spans="1:5" x14ac:dyDescent="0.25">
      <c r="A3311" s="44" t="s">
        <v>7104</v>
      </c>
      <c r="B3311" s="38" t="s">
        <v>7105</v>
      </c>
      <c r="C3311" s="43">
        <v>114.88500000000001</v>
      </c>
      <c r="D3311" s="39">
        <v>103.5</v>
      </c>
      <c r="E3311" s="14">
        <v>9.9099099099099086E-2</v>
      </c>
    </row>
    <row r="3312" spans="1:5" x14ac:dyDescent="0.25">
      <c r="A3312" s="44" t="s">
        <v>7106</v>
      </c>
      <c r="B3312" s="38" t="s">
        <v>7107</v>
      </c>
      <c r="C3312" s="43">
        <v>178.71000000000004</v>
      </c>
      <c r="D3312" s="39">
        <v>161.00000000000003</v>
      </c>
      <c r="E3312" s="14">
        <v>9.9099099099099086E-2</v>
      </c>
    </row>
    <row r="3313" spans="1:5" x14ac:dyDescent="0.25">
      <c r="A3313" s="44" t="s">
        <v>7108</v>
      </c>
      <c r="B3313" s="38" t="s">
        <v>7109</v>
      </c>
      <c r="C3313" s="43">
        <v>114.88500000000001</v>
      </c>
      <c r="D3313" s="39">
        <v>103.5</v>
      </c>
      <c r="E3313" s="14">
        <v>9.9099099099099086E-2</v>
      </c>
    </row>
    <row r="3314" spans="1:5" x14ac:dyDescent="0.25">
      <c r="A3314" s="44" t="s">
        <v>7110</v>
      </c>
      <c r="B3314" s="38" t="s">
        <v>7111</v>
      </c>
      <c r="C3314" s="43">
        <v>178.71000000000004</v>
      </c>
      <c r="D3314" s="39">
        <v>161.00000000000003</v>
      </c>
      <c r="E3314" s="14">
        <v>9.9099099099099086E-2</v>
      </c>
    </row>
    <row r="3315" spans="1:5" x14ac:dyDescent="0.25">
      <c r="A3315" s="44" t="s">
        <v>7112</v>
      </c>
      <c r="B3315" s="38" t="s">
        <v>7113</v>
      </c>
      <c r="C3315" s="43">
        <v>153.24660000000003</v>
      </c>
      <c r="D3315" s="39">
        <v>138.06</v>
      </c>
      <c r="E3315" s="14">
        <v>9.9099099099099308E-2</v>
      </c>
    </row>
    <row r="3316" spans="1:5" x14ac:dyDescent="0.25">
      <c r="A3316" s="44" t="s">
        <v>7114</v>
      </c>
      <c r="B3316" s="38" t="s">
        <v>7115</v>
      </c>
      <c r="C3316" s="43">
        <v>238.38360000000003</v>
      </c>
      <c r="D3316" s="39">
        <v>214.76000000000002</v>
      </c>
      <c r="E3316" s="14">
        <v>9.9099099099099086E-2</v>
      </c>
    </row>
    <row r="3317" spans="1:5" x14ac:dyDescent="0.25">
      <c r="A3317" s="44" t="s">
        <v>7116</v>
      </c>
      <c r="B3317" s="38" t="s">
        <v>7117</v>
      </c>
      <c r="C3317" s="43">
        <v>153.24660000000003</v>
      </c>
      <c r="D3317" s="39">
        <v>138.06</v>
      </c>
      <c r="E3317" s="14">
        <v>9.9099099099099308E-2</v>
      </c>
    </row>
    <row r="3318" spans="1:5" x14ac:dyDescent="0.25">
      <c r="A3318" s="44" t="s">
        <v>7118</v>
      </c>
      <c r="B3318" s="38" t="s">
        <v>7119</v>
      </c>
      <c r="C3318" s="43">
        <v>238.38360000000003</v>
      </c>
      <c r="D3318" s="39">
        <v>214.76000000000002</v>
      </c>
      <c r="E3318" s="14">
        <v>9.9099099099099086E-2</v>
      </c>
    </row>
    <row r="3319" spans="1:5" x14ac:dyDescent="0.25">
      <c r="A3319" s="44" t="s">
        <v>7120</v>
      </c>
      <c r="B3319" s="38" t="s">
        <v>7121</v>
      </c>
      <c r="C3319" s="43">
        <v>157.44240000000002</v>
      </c>
      <c r="D3319" s="39">
        <v>141.84</v>
      </c>
      <c r="E3319" s="14">
        <v>9.9099099099099197E-2</v>
      </c>
    </row>
    <row r="3320" spans="1:5" x14ac:dyDescent="0.25">
      <c r="A3320" s="44" t="s">
        <v>7122</v>
      </c>
      <c r="B3320" s="38" t="s">
        <v>7123</v>
      </c>
      <c r="C3320" s="43">
        <v>244.91040000000004</v>
      </c>
      <c r="D3320" s="39">
        <v>220.64000000000001</v>
      </c>
      <c r="E3320" s="14">
        <v>9.9099099099099197E-2</v>
      </c>
    </row>
    <row r="3321" spans="1:5" x14ac:dyDescent="0.25">
      <c r="A3321" s="44" t="s">
        <v>7124</v>
      </c>
      <c r="B3321" s="38" t="s">
        <v>7125</v>
      </c>
      <c r="C3321" s="43">
        <v>157.44240000000002</v>
      </c>
      <c r="D3321" s="39">
        <v>141.84</v>
      </c>
      <c r="E3321" s="14">
        <v>9.9099099099099197E-2</v>
      </c>
    </row>
    <row r="3322" spans="1:5" x14ac:dyDescent="0.25">
      <c r="A3322" s="44" t="s">
        <v>7126</v>
      </c>
      <c r="B3322" s="38" t="s">
        <v>7127</v>
      </c>
      <c r="C3322" s="43">
        <v>244.91040000000004</v>
      </c>
      <c r="D3322" s="39">
        <v>220.64000000000001</v>
      </c>
      <c r="E3322" s="14">
        <v>9.9099099099099197E-2</v>
      </c>
    </row>
    <row r="3323" spans="1:5" x14ac:dyDescent="0.25">
      <c r="A3323" s="44" t="s">
        <v>7128</v>
      </c>
      <c r="B3323" s="38" t="s">
        <v>7129</v>
      </c>
      <c r="C3323" s="43">
        <v>209.79000000000002</v>
      </c>
      <c r="D3323" s="39">
        <v>189</v>
      </c>
      <c r="E3323" s="14">
        <v>9.9099099099099197E-2</v>
      </c>
    </row>
    <row r="3324" spans="1:5" x14ac:dyDescent="0.25">
      <c r="A3324" s="44" t="s">
        <v>7130</v>
      </c>
      <c r="B3324" s="38" t="s">
        <v>7131</v>
      </c>
      <c r="C3324" s="43">
        <v>326.34000000000003</v>
      </c>
      <c r="D3324" s="39">
        <v>294</v>
      </c>
      <c r="E3324" s="14">
        <v>9.9099099099099197E-2</v>
      </c>
    </row>
    <row r="3325" spans="1:5" x14ac:dyDescent="0.25">
      <c r="A3325" s="44" t="s">
        <v>7132</v>
      </c>
      <c r="B3325" s="38" t="s">
        <v>7133</v>
      </c>
      <c r="C3325" s="43">
        <v>209.79000000000002</v>
      </c>
      <c r="D3325" s="39">
        <v>189</v>
      </c>
      <c r="E3325" s="14">
        <v>9.9099099099099197E-2</v>
      </c>
    </row>
    <row r="3326" spans="1:5" x14ac:dyDescent="0.25">
      <c r="A3326" s="44" t="s">
        <v>7134</v>
      </c>
      <c r="B3326" s="38" t="s">
        <v>7135</v>
      </c>
      <c r="C3326" s="43">
        <v>326.34000000000003</v>
      </c>
      <c r="D3326" s="39">
        <v>294</v>
      </c>
      <c r="E3326" s="14">
        <v>9.9099099099099197E-2</v>
      </c>
    </row>
    <row r="3327" spans="1:5" x14ac:dyDescent="0.25">
      <c r="A3327" s="44" t="s">
        <v>7136</v>
      </c>
      <c r="B3327" s="38" t="s">
        <v>7137</v>
      </c>
      <c r="C3327" s="43">
        <v>274.72500000000002</v>
      </c>
      <c r="D3327" s="39">
        <v>247.5</v>
      </c>
      <c r="E3327" s="14">
        <v>9.9099099099099197E-2</v>
      </c>
    </row>
    <row r="3328" spans="1:5" x14ac:dyDescent="0.25">
      <c r="A3328" s="44" t="s">
        <v>7138</v>
      </c>
      <c r="B3328" s="38" t="s">
        <v>7139</v>
      </c>
      <c r="C3328" s="43">
        <v>427.35000000000008</v>
      </c>
      <c r="D3328" s="39">
        <v>385.00000000000006</v>
      </c>
      <c r="E3328" s="14">
        <v>9.9099099099099086E-2</v>
      </c>
    </row>
    <row r="3329" spans="1:5" x14ac:dyDescent="0.25">
      <c r="A3329" s="44" t="s">
        <v>7140</v>
      </c>
      <c r="B3329" s="38" t="s">
        <v>7141</v>
      </c>
      <c r="C3329" s="43">
        <v>274.72500000000002</v>
      </c>
      <c r="D3329" s="39">
        <v>247.5</v>
      </c>
      <c r="E3329" s="14">
        <v>9.9099099099099197E-2</v>
      </c>
    </row>
    <row r="3330" spans="1:5" x14ac:dyDescent="0.25">
      <c r="A3330" s="44" t="s">
        <v>7142</v>
      </c>
      <c r="B3330" s="38" t="s">
        <v>7143</v>
      </c>
      <c r="C3330" s="43">
        <v>427.35000000000008</v>
      </c>
      <c r="D3330" s="39">
        <v>385.00000000000006</v>
      </c>
      <c r="E3330" s="14">
        <v>9.9099099099099086E-2</v>
      </c>
    </row>
    <row r="3331" spans="1:5" x14ac:dyDescent="0.25">
      <c r="A3331" s="44" t="s">
        <v>7144</v>
      </c>
      <c r="B3331" s="38" t="s">
        <v>7145</v>
      </c>
      <c r="C3331" s="43">
        <v>366.23340000000002</v>
      </c>
      <c r="D3331" s="39">
        <v>329.94</v>
      </c>
      <c r="E3331" s="14">
        <v>9.9099099099099197E-2</v>
      </c>
    </row>
    <row r="3332" spans="1:5" x14ac:dyDescent="0.25">
      <c r="A3332" s="44" t="s">
        <v>7146</v>
      </c>
      <c r="B3332" s="38" t="s">
        <v>7147</v>
      </c>
      <c r="C3332" s="43">
        <v>569.69640000000004</v>
      </c>
      <c r="D3332" s="39">
        <v>513.24</v>
      </c>
      <c r="E3332" s="14">
        <v>9.9099099099099197E-2</v>
      </c>
    </row>
    <row r="3333" spans="1:5" x14ac:dyDescent="0.25">
      <c r="A3333" s="44" t="s">
        <v>7148</v>
      </c>
      <c r="B3333" s="38" t="s">
        <v>7149</v>
      </c>
      <c r="C3333" s="43">
        <v>366.23340000000002</v>
      </c>
      <c r="D3333" s="39">
        <v>329.94</v>
      </c>
      <c r="E3333" s="14">
        <v>9.9099099099099197E-2</v>
      </c>
    </row>
    <row r="3334" spans="1:5" x14ac:dyDescent="0.25">
      <c r="A3334" s="44" t="s">
        <v>7150</v>
      </c>
      <c r="B3334" s="38" t="s">
        <v>7151</v>
      </c>
      <c r="C3334" s="43">
        <v>569.69640000000004</v>
      </c>
      <c r="D3334" s="39">
        <v>513.24</v>
      </c>
      <c r="E3334" s="14">
        <v>9.9099099099099197E-2</v>
      </c>
    </row>
    <row r="3335" spans="1:5" x14ac:dyDescent="0.25">
      <c r="A3335" s="44" t="s">
        <v>7152</v>
      </c>
      <c r="B3335" s="38" t="s">
        <v>7153</v>
      </c>
      <c r="C3335" s="43">
        <v>14.5854</v>
      </c>
      <c r="D3335" s="39">
        <v>13.139999999999999</v>
      </c>
      <c r="E3335" s="14">
        <v>9.9099099099099197E-2</v>
      </c>
    </row>
    <row r="3336" spans="1:5" x14ac:dyDescent="0.25">
      <c r="A3336" s="44" t="s">
        <v>7154</v>
      </c>
      <c r="B3336" s="38" t="s">
        <v>7155</v>
      </c>
      <c r="C3336" s="43">
        <v>22.688400000000005</v>
      </c>
      <c r="D3336" s="39">
        <v>20.440000000000001</v>
      </c>
      <c r="E3336" s="14">
        <v>9.9099099099099197E-2</v>
      </c>
    </row>
    <row r="3337" spans="1:5" x14ac:dyDescent="0.25">
      <c r="A3337" s="44" t="s">
        <v>7156</v>
      </c>
      <c r="B3337" s="38" t="s">
        <v>7157</v>
      </c>
      <c r="C3337" s="43">
        <v>14.5854</v>
      </c>
      <c r="D3337" s="39">
        <v>13.139999999999999</v>
      </c>
      <c r="E3337" s="14">
        <v>9.9099099099099197E-2</v>
      </c>
    </row>
    <row r="3338" spans="1:5" x14ac:dyDescent="0.25">
      <c r="A3338" s="44" t="s">
        <v>7158</v>
      </c>
      <c r="B3338" s="38" t="s">
        <v>7159</v>
      </c>
      <c r="C3338" s="43">
        <v>22.688400000000005</v>
      </c>
      <c r="D3338" s="39">
        <v>20.440000000000001</v>
      </c>
      <c r="E3338" s="14">
        <v>9.9099099099099197E-2</v>
      </c>
    </row>
    <row r="3339" spans="1:5" x14ac:dyDescent="0.25">
      <c r="A3339" s="44" t="s">
        <v>7160</v>
      </c>
      <c r="B3339" s="38" t="s">
        <v>7161</v>
      </c>
      <c r="C3339" s="43">
        <v>19.380600000000001</v>
      </c>
      <c r="D3339" s="39">
        <v>17.46</v>
      </c>
      <c r="E3339" s="14">
        <v>9.9099099099099086E-2</v>
      </c>
    </row>
    <row r="3340" spans="1:5" x14ac:dyDescent="0.25">
      <c r="A3340" s="44" t="s">
        <v>7162</v>
      </c>
      <c r="B3340" s="38" t="s">
        <v>7163</v>
      </c>
      <c r="C3340" s="43">
        <v>30.147600000000008</v>
      </c>
      <c r="D3340" s="39">
        <v>27.160000000000004</v>
      </c>
      <c r="E3340" s="14">
        <v>9.9099099099099197E-2</v>
      </c>
    </row>
    <row r="3341" spans="1:5" x14ac:dyDescent="0.25">
      <c r="A3341" s="44" t="s">
        <v>7164</v>
      </c>
      <c r="B3341" s="38" t="s">
        <v>7165</v>
      </c>
      <c r="C3341" s="43">
        <v>19.380600000000001</v>
      </c>
      <c r="D3341" s="39">
        <v>17.46</v>
      </c>
      <c r="E3341" s="14">
        <v>9.9099099099099086E-2</v>
      </c>
    </row>
    <row r="3342" spans="1:5" x14ac:dyDescent="0.25">
      <c r="A3342" s="44" t="s">
        <v>7166</v>
      </c>
      <c r="B3342" s="38" t="s">
        <v>7167</v>
      </c>
      <c r="C3342" s="43">
        <v>30.147600000000008</v>
      </c>
      <c r="D3342" s="39">
        <v>27.160000000000004</v>
      </c>
      <c r="E3342" s="14">
        <v>9.9099099099099197E-2</v>
      </c>
    </row>
    <row r="3343" spans="1:5" x14ac:dyDescent="0.25">
      <c r="A3343" s="44" t="s">
        <v>7168</v>
      </c>
      <c r="B3343" s="38" t="s">
        <v>7169</v>
      </c>
      <c r="C3343" s="43">
        <v>26.1738</v>
      </c>
      <c r="D3343" s="39">
        <v>23.58</v>
      </c>
      <c r="E3343" s="14">
        <v>9.9099099099099197E-2</v>
      </c>
    </row>
    <row r="3344" spans="1:5" x14ac:dyDescent="0.25">
      <c r="A3344" s="44" t="s">
        <v>7170</v>
      </c>
      <c r="B3344" s="38" t="s">
        <v>7171</v>
      </c>
      <c r="C3344" s="43">
        <v>40.714800000000011</v>
      </c>
      <c r="D3344" s="39">
        <v>36.680000000000007</v>
      </c>
      <c r="E3344" s="14">
        <v>9.9099099099099197E-2</v>
      </c>
    </row>
    <row r="3345" spans="1:5" x14ac:dyDescent="0.25">
      <c r="A3345" s="44" t="s">
        <v>7172</v>
      </c>
      <c r="B3345" s="38" t="s">
        <v>7173</v>
      </c>
      <c r="C3345" s="43">
        <v>26.1738</v>
      </c>
      <c r="D3345" s="39">
        <v>23.58</v>
      </c>
      <c r="E3345" s="14">
        <v>9.9099099099099197E-2</v>
      </c>
    </row>
    <row r="3346" spans="1:5" x14ac:dyDescent="0.25">
      <c r="A3346" s="44" t="s">
        <v>7174</v>
      </c>
      <c r="B3346" s="38" t="s">
        <v>7175</v>
      </c>
      <c r="C3346" s="43">
        <v>40.714800000000011</v>
      </c>
      <c r="D3346" s="39">
        <v>36.680000000000007</v>
      </c>
      <c r="E3346" s="14">
        <v>9.9099099099099197E-2</v>
      </c>
    </row>
    <row r="3347" spans="1:5" x14ac:dyDescent="0.25">
      <c r="A3347" s="44" t="s">
        <v>7176</v>
      </c>
      <c r="B3347" s="38" t="s">
        <v>7177</v>
      </c>
      <c r="C3347" s="43">
        <v>34.965000000000003</v>
      </c>
      <c r="D3347" s="39">
        <v>31.5</v>
      </c>
      <c r="E3347" s="14">
        <v>9.9099099099099197E-2</v>
      </c>
    </row>
    <row r="3348" spans="1:5" x14ac:dyDescent="0.25">
      <c r="A3348" s="44" t="s">
        <v>7178</v>
      </c>
      <c r="B3348" s="38" t="s">
        <v>7179</v>
      </c>
      <c r="C3348" s="43">
        <v>54.390000000000015</v>
      </c>
      <c r="D3348" s="39">
        <v>49.000000000000007</v>
      </c>
      <c r="E3348" s="14">
        <v>9.9099099099099197E-2</v>
      </c>
    </row>
    <row r="3349" spans="1:5" x14ac:dyDescent="0.25">
      <c r="A3349" s="44" t="s">
        <v>7180</v>
      </c>
      <c r="B3349" s="38" t="s">
        <v>7181</v>
      </c>
      <c r="C3349" s="43">
        <v>34.965000000000003</v>
      </c>
      <c r="D3349" s="39">
        <v>31.5</v>
      </c>
      <c r="E3349" s="14">
        <v>9.9099099099099197E-2</v>
      </c>
    </row>
    <row r="3350" spans="1:5" x14ac:dyDescent="0.25">
      <c r="A3350" s="44" t="s">
        <v>7182</v>
      </c>
      <c r="B3350" s="38" t="s">
        <v>7183</v>
      </c>
      <c r="C3350" s="43">
        <v>54.390000000000015</v>
      </c>
      <c r="D3350" s="39">
        <v>49.000000000000007</v>
      </c>
      <c r="E3350" s="14">
        <v>9.9099099099099197E-2</v>
      </c>
    </row>
    <row r="3351" spans="1:5" x14ac:dyDescent="0.25">
      <c r="A3351" s="44" t="s">
        <v>7184</v>
      </c>
      <c r="B3351" s="38" t="s">
        <v>7185</v>
      </c>
      <c r="C3351" s="43">
        <v>29.970000000000002</v>
      </c>
      <c r="D3351" s="39">
        <v>27</v>
      </c>
      <c r="E3351" s="14">
        <v>9.9099099099099197E-2</v>
      </c>
    </row>
    <row r="3352" spans="1:5" x14ac:dyDescent="0.25">
      <c r="A3352" s="44" t="s">
        <v>7186</v>
      </c>
      <c r="B3352" s="38" t="s">
        <v>7187</v>
      </c>
      <c r="C3352" s="43">
        <v>46.620000000000012</v>
      </c>
      <c r="D3352" s="39">
        <v>42.000000000000007</v>
      </c>
      <c r="E3352" s="14">
        <v>9.9099099099099197E-2</v>
      </c>
    </row>
    <row r="3353" spans="1:5" x14ac:dyDescent="0.25">
      <c r="A3353" s="44" t="s">
        <v>7188</v>
      </c>
      <c r="B3353" s="38" t="s">
        <v>7189</v>
      </c>
      <c r="C3353" s="43">
        <v>29.970000000000002</v>
      </c>
      <c r="D3353" s="39">
        <v>27</v>
      </c>
      <c r="E3353" s="14">
        <v>9.9099099099099197E-2</v>
      </c>
    </row>
    <row r="3354" spans="1:5" x14ac:dyDescent="0.25">
      <c r="A3354" s="44" t="s">
        <v>7190</v>
      </c>
      <c r="B3354" s="38" t="s">
        <v>7191</v>
      </c>
      <c r="C3354" s="43">
        <v>46.620000000000012</v>
      </c>
      <c r="D3354" s="39">
        <v>42.000000000000007</v>
      </c>
      <c r="E3354" s="14">
        <v>9.9099099099099197E-2</v>
      </c>
    </row>
    <row r="3355" spans="1:5" x14ac:dyDescent="0.25">
      <c r="A3355" s="44" t="s">
        <v>7192</v>
      </c>
      <c r="B3355" s="38" t="s">
        <v>7193</v>
      </c>
      <c r="C3355" s="43">
        <v>39.96</v>
      </c>
      <c r="D3355" s="39">
        <v>36</v>
      </c>
      <c r="E3355" s="14">
        <v>9.9099099099099086E-2</v>
      </c>
    </row>
    <row r="3356" spans="1:5" x14ac:dyDescent="0.25">
      <c r="A3356" s="44" t="s">
        <v>7194</v>
      </c>
      <c r="B3356" s="38" t="s">
        <v>7195</v>
      </c>
      <c r="C3356" s="43">
        <v>62.160000000000011</v>
      </c>
      <c r="D3356" s="39">
        <v>56.000000000000007</v>
      </c>
      <c r="E3356" s="14">
        <v>9.9099099099099086E-2</v>
      </c>
    </row>
    <row r="3357" spans="1:5" x14ac:dyDescent="0.25">
      <c r="A3357" s="44" t="s">
        <v>7196</v>
      </c>
      <c r="B3357" s="38" t="s">
        <v>7197</v>
      </c>
      <c r="C3357" s="43">
        <v>39.96</v>
      </c>
      <c r="D3357" s="39">
        <v>36</v>
      </c>
      <c r="E3357" s="14">
        <v>9.9099099099099086E-2</v>
      </c>
    </row>
    <row r="3358" spans="1:5" x14ac:dyDescent="0.25">
      <c r="A3358" s="44" t="s">
        <v>7198</v>
      </c>
      <c r="B3358" s="38" t="s">
        <v>7199</v>
      </c>
      <c r="C3358" s="43">
        <v>62.160000000000011</v>
      </c>
      <c r="D3358" s="39">
        <v>56.000000000000007</v>
      </c>
      <c r="E3358" s="14">
        <v>9.9099099099099086E-2</v>
      </c>
    </row>
    <row r="3359" spans="1:5" x14ac:dyDescent="0.25">
      <c r="A3359" s="44" t="s">
        <v>7200</v>
      </c>
      <c r="B3359" s="38" t="s">
        <v>7201</v>
      </c>
      <c r="C3359" s="43">
        <v>51.148800000000001</v>
      </c>
      <c r="D3359" s="39">
        <v>46.08</v>
      </c>
      <c r="E3359" s="14">
        <v>9.9099099099099197E-2</v>
      </c>
    </row>
    <row r="3360" spans="1:5" x14ac:dyDescent="0.25">
      <c r="A3360" s="44" t="s">
        <v>7202</v>
      </c>
      <c r="B3360" s="38" t="s">
        <v>7203</v>
      </c>
      <c r="C3360" s="43">
        <v>79.56480000000002</v>
      </c>
      <c r="D3360" s="39">
        <v>71.680000000000007</v>
      </c>
      <c r="E3360" s="14">
        <v>9.9099099099099197E-2</v>
      </c>
    </row>
    <row r="3361" spans="1:5" x14ac:dyDescent="0.25">
      <c r="A3361" s="44" t="s">
        <v>7204</v>
      </c>
      <c r="B3361" s="38" t="s">
        <v>7205</v>
      </c>
      <c r="C3361" s="43">
        <v>51.148800000000001</v>
      </c>
      <c r="D3361" s="39">
        <v>46.08</v>
      </c>
      <c r="E3361" s="14">
        <v>9.9099099099099197E-2</v>
      </c>
    </row>
    <row r="3362" spans="1:5" x14ac:dyDescent="0.25">
      <c r="A3362" s="44" t="s">
        <v>7206</v>
      </c>
      <c r="B3362" s="38" t="s">
        <v>7207</v>
      </c>
      <c r="C3362" s="43">
        <v>79.56480000000002</v>
      </c>
      <c r="D3362" s="39">
        <v>71.680000000000007</v>
      </c>
      <c r="E3362" s="14">
        <v>9.9099099099099197E-2</v>
      </c>
    </row>
    <row r="3363" spans="1:5" x14ac:dyDescent="0.25">
      <c r="A3363" s="44" t="s">
        <v>7208</v>
      </c>
      <c r="B3363" s="38" t="s">
        <v>7209</v>
      </c>
      <c r="C3363" s="43">
        <v>68.331599999999995</v>
      </c>
      <c r="D3363" s="39">
        <v>61.559999999999995</v>
      </c>
      <c r="E3363" s="14">
        <v>9.9099099099099086E-2</v>
      </c>
    </row>
    <row r="3364" spans="1:5" x14ac:dyDescent="0.25">
      <c r="A3364" s="44" t="s">
        <v>7210</v>
      </c>
      <c r="B3364" s="38" t="s">
        <v>7211</v>
      </c>
      <c r="C3364" s="43">
        <v>106.29360000000001</v>
      </c>
      <c r="D3364" s="39">
        <v>95.76</v>
      </c>
      <c r="E3364" s="14">
        <v>9.9099099099099197E-2</v>
      </c>
    </row>
    <row r="3365" spans="1:5" x14ac:dyDescent="0.25">
      <c r="A3365" s="44" t="s">
        <v>7212</v>
      </c>
      <c r="B3365" s="38" t="s">
        <v>7213</v>
      </c>
      <c r="C3365" s="43">
        <v>68.331599999999995</v>
      </c>
      <c r="D3365" s="39">
        <v>61.559999999999995</v>
      </c>
      <c r="E3365" s="14">
        <v>9.9099099099099086E-2</v>
      </c>
    </row>
    <row r="3366" spans="1:5" x14ac:dyDescent="0.25">
      <c r="A3366" s="44" t="s">
        <v>7214</v>
      </c>
      <c r="B3366" s="38" t="s">
        <v>7215</v>
      </c>
      <c r="C3366" s="43">
        <v>106.29360000000001</v>
      </c>
      <c r="D3366" s="39">
        <v>95.76</v>
      </c>
      <c r="E3366" s="14">
        <v>9.9099099099099197E-2</v>
      </c>
    </row>
    <row r="3367" spans="1:5" x14ac:dyDescent="0.25">
      <c r="A3367" s="44" t="s">
        <v>7216</v>
      </c>
      <c r="B3367" s="38" t="s">
        <v>7217</v>
      </c>
      <c r="C3367" s="43">
        <v>416.18340000000001</v>
      </c>
      <c r="D3367" s="39">
        <v>374.94</v>
      </c>
      <c r="E3367" s="14">
        <v>9.9099099099099086E-2</v>
      </c>
    </row>
    <row r="3368" spans="1:5" x14ac:dyDescent="0.25">
      <c r="A3368" s="44" t="s">
        <v>7218</v>
      </c>
      <c r="B3368" s="38" t="s">
        <v>7219</v>
      </c>
      <c r="C3368" s="43">
        <v>647.39640000000009</v>
      </c>
      <c r="D3368" s="39">
        <v>583.24</v>
      </c>
      <c r="E3368" s="14">
        <v>9.9099099099099197E-2</v>
      </c>
    </row>
    <row r="3369" spans="1:5" x14ac:dyDescent="0.25">
      <c r="A3369" s="44" t="s">
        <v>7220</v>
      </c>
      <c r="B3369" s="38" t="s">
        <v>7221</v>
      </c>
      <c r="C3369" s="43">
        <v>569.43000000000006</v>
      </c>
      <c r="D3369" s="39">
        <v>513</v>
      </c>
      <c r="E3369" s="14">
        <v>9.9099099099099197E-2</v>
      </c>
    </row>
    <row r="3370" spans="1:5" x14ac:dyDescent="0.25">
      <c r="A3370" s="44" t="s">
        <v>7222</v>
      </c>
      <c r="B3370" s="38" t="s">
        <v>7223</v>
      </c>
      <c r="C3370" s="43">
        <v>885.7800000000002</v>
      </c>
      <c r="D3370" s="39">
        <v>798.00000000000011</v>
      </c>
      <c r="E3370" s="14">
        <v>9.9099099099099197E-2</v>
      </c>
    </row>
    <row r="3371" spans="1:5" x14ac:dyDescent="0.25">
      <c r="A3371" s="44" t="s">
        <v>7224</v>
      </c>
      <c r="B3371" s="38" t="s">
        <v>7225</v>
      </c>
      <c r="C3371" s="43">
        <v>994.00500000000011</v>
      </c>
      <c r="D3371" s="39">
        <v>895.5</v>
      </c>
      <c r="E3371" s="14">
        <v>9.9099099099099197E-2</v>
      </c>
    </row>
    <row r="3372" spans="1:5" x14ac:dyDescent="0.25">
      <c r="A3372" s="44" t="s">
        <v>7226</v>
      </c>
      <c r="B3372" s="38" t="s">
        <v>7227</v>
      </c>
      <c r="C3372" s="43">
        <v>1546.2300000000005</v>
      </c>
      <c r="D3372" s="39">
        <v>1393.0000000000002</v>
      </c>
      <c r="E3372" s="14">
        <v>9.9099099099099197E-2</v>
      </c>
    </row>
    <row r="3373" spans="1:5" x14ac:dyDescent="0.25">
      <c r="A3373" s="44" t="s">
        <v>7228</v>
      </c>
      <c r="B3373" s="38" t="s">
        <v>7229</v>
      </c>
      <c r="C3373" s="43">
        <v>52.3476</v>
      </c>
      <c r="D3373" s="39">
        <v>47.16</v>
      </c>
      <c r="E3373" s="14">
        <v>9.9099099099099197E-2</v>
      </c>
    </row>
    <row r="3374" spans="1:5" x14ac:dyDescent="0.25">
      <c r="A3374" s="44" t="s">
        <v>7230</v>
      </c>
      <c r="B3374" s="38" t="s">
        <v>7231</v>
      </c>
      <c r="C3374" s="43">
        <v>81.429600000000022</v>
      </c>
      <c r="D3374" s="39">
        <v>73.360000000000014</v>
      </c>
      <c r="E3374" s="14">
        <v>9.9099099099099197E-2</v>
      </c>
    </row>
    <row r="3375" spans="1:5" x14ac:dyDescent="0.25">
      <c r="A3375" s="44" t="s">
        <v>7232</v>
      </c>
      <c r="B3375" s="38" t="s">
        <v>7233</v>
      </c>
      <c r="C3375" s="43">
        <v>92.507400000000018</v>
      </c>
      <c r="D3375" s="39">
        <v>83.34</v>
      </c>
      <c r="E3375" s="14">
        <v>9.9099099099099197E-2</v>
      </c>
    </row>
    <row r="3376" spans="1:5" x14ac:dyDescent="0.25">
      <c r="A3376" s="44" t="s">
        <v>7234</v>
      </c>
      <c r="B3376" s="38" t="s">
        <v>7235</v>
      </c>
      <c r="C3376" s="43">
        <v>143.90040000000002</v>
      </c>
      <c r="D3376" s="39">
        <v>129.64000000000001</v>
      </c>
      <c r="E3376" s="14">
        <v>9.9099099099099086E-2</v>
      </c>
    </row>
    <row r="3377" spans="1:5" x14ac:dyDescent="0.25">
      <c r="A3377" s="44" t="s">
        <v>7236</v>
      </c>
      <c r="B3377" s="38" t="s">
        <v>7237</v>
      </c>
      <c r="C3377" s="43">
        <v>107.6922</v>
      </c>
      <c r="D3377" s="39">
        <v>97.02</v>
      </c>
      <c r="E3377" s="14">
        <v>9.9099099099099086E-2</v>
      </c>
    </row>
    <row r="3378" spans="1:5" x14ac:dyDescent="0.25">
      <c r="A3378" s="44" t="s">
        <v>7238</v>
      </c>
      <c r="B3378" s="38" t="s">
        <v>7239</v>
      </c>
      <c r="C3378" s="43">
        <v>167.52120000000002</v>
      </c>
      <c r="D3378" s="39">
        <v>150.92000000000002</v>
      </c>
      <c r="E3378" s="14">
        <v>9.9099099099099086E-2</v>
      </c>
    </row>
    <row r="3379" spans="1:5" x14ac:dyDescent="0.25">
      <c r="A3379" s="44" t="s">
        <v>7240</v>
      </c>
      <c r="B3379" s="38" t="s">
        <v>7241</v>
      </c>
      <c r="C3379" s="43">
        <v>183.01680000000002</v>
      </c>
      <c r="D3379" s="39">
        <v>164.88</v>
      </c>
      <c r="E3379" s="14">
        <v>9.9099099099099197E-2</v>
      </c>
    </row>
    <row r="3380" spans="1:5" x14ac:dyDescent="0.25">
      <c r="A3380" s="44" t="s">
        <v>7242</v>
      </c>
      <c r="B3380" s="38" t="s">
        <v>7243</v>
      </c>
      <c r="C3380" s="43">
        <v>284.69280000000003</v>
      </c>
      <c r="D3380" s="39">
        <v>256.48</v>
      </c>
      <c r="E3380" s="14">
        <v>9.9099099099099197E-2</v>
      </c>
    </row>
    <row r="3381" spans="1:5" x14ac:dyDescent="0.25">
      <c r="A3381" s="44" t="s">
        <v>7244</v>
      </c>
      <c r="B3381" s="38" t="s">
        <v>7245</v>
      </c>
      <c r="C3381" s="43">
        <v>120.67920000000001</v>
      </c>
      <c r="D3381" s="39">
        <v>108.72</v>
      </c>
      <c r="E3381" s="14">
        <v>9.9099099099099197E-2</v>
      </c>
    </row>
    <row r="3382" spans="1:5" x14ac:dyDescent="0.25">
      <c r="A3382" s="44" t="s">
        <v>7246</v>
      </c>
      <c r="B3382" s="38" t="s">
        <v>7247</v>
      </c>
      <c r="C3382" s="43">
        <v>187.72320000000002</v>
      </c>
      <c r="D3382" s="39">
        <v>169.12</v>
      </c>
      <c r="E3382" s="14">
        <v>9.9099099099099197E-2</v>
      </c>
    </row>
    <row r="3383" spans="1:5" x14ac:dyDescent="0.25">
      <c r="A3383" s="44" t="s">
        <v>7248</v>
      </c>
      <c r="B3383" s="38" t="s">
        <v>7249</v>
      </c>
      <c r="C3383" s="43">
        <v>255.744</v>
      </c>
      <c r="D3383" s="39">
        <v>230.39999999999998</v>
      </c>
      <c r="E3383" s="14">
        <v>9.9099099099099197E-2</v>
      </c>
    </row>
    <row r="3384" spans="1:5" x14ac:dyDescent="0.25">
      <c r="A3384" s="44" t="s">
        <v>7250</v>
      </c>
      <c r="B3384" s="38" t="s">
        <v>7251</v>
      </c>
      <c r="C3384" s="43">
        <v>397.82400000000007</v>
      </c>
      <c r="D3384" s="39">
        <v>358.40000000000003</v>
      </c>
      <c r="E3384" s="14">
        <v>9.9099099099099197E-2</v>
      </c>
    </row>
    <row r="3385" spans="1:5" x14ac:dyDescent="0.25">
      <c r="A3385" s="44" t="s">
        <v>7252</v>
      </c>
      <c r="B3385" s="38" t="s">
        <v>7253</v>
      </c>
      <c r="C3385" s="43">
        <v>482.91660000000002</v>
      </c>
      <c r="D3385" s="39">
        <v>435.06</v>
      </c>
      <c r="E3385" s="14">
        <v>9.9099099099099086E-2</v>
      </c>
    </row>
    <row r="3386" spans="1:5" x14ac:dyDescent="0.25">
      <c r="A3386" s="44" t="s">
        <v>7254</v>
      </c>
      <c r="B3386" s="38" t="s">
        <v>7255</v>
      </c>
      <c r="C3386" s="43">
        <v>751.20360000000016</v>
      </c>
      <c r="D3386" s="39">
        <v>676.7600000000001</v>
      </c>
      <c r="E3386" s="14">
        <v>9.9099099099099197E-2</v>
      </c>
    </row>
    <row r="3387" spans="1:5" x14ac:dyDescent="0.25">
      <c r="A3387" s="44" t="s">
        <v>7256</v>
      </c>
      <c r="B3387" s="38" t="s">
        <v>7257</v>
      </c>
      <c r="C3387" s="43">
        <v>724.47479999999996</v>
      </c>
      <c r="D3387" s="39">
        <v>652.67999999999995</v>
      </c>
      <c r="E3387" s="14">
        <v>9.9099099099099086E-2</v>
      </c>
    </row>
    <row r="3388" spans="1:5" x14ac:dyDescent="0.25">
      <c r="A3388" s="44" t="s">
        <v>7258</v>
      </c>
      <c r="B3388" s="38" t="s">
        <v>7259</v>
      </c>
      <c r="C3388" s="43">
        <v>1126.9608000000003</v>
      </c>
      <c r="D3388" s="39">
        <v>1015.2800000000001</v>
      </c>
      <c r="E3388" s="14">
        <v>9.9099099099099308E-2</v>
      </c>
    </row>
    <row r="3389" spans="1:5" x14ac:dyDescent="0.25">
      <c r="A3389" s="44" t="s">
        <v>7260</v>
      </c>
      <c r="B3389" s="38" t="s">
        <v>7261</v>
      </c>
      <c r="C3389" s="43">
        <v>1448.7498000000003</v>
      </c>
      <c r="D3389" s="39">
        <v>1305.18</v>
      </c>
      <c r="E3389" s="14">
        <v>9.9099099099099197E-2</v>
      </c>
    </row>
    <row r="3390" spans="1:5" x14ac:dyDescent="0.25">
      <c r="A3390" s="44" t="s">
        <v>7262</v>
      </c>
      <c r="B3390" s="38" t="s">
        <v>7263</v>
      </c>
      <c r="C3390" s="43">
        <v>2253.6108000000004</v>
      </c>
      <c r="D3390" s="39">
        <v>2030.2800000000002</v>
      </c>
      <c r="E3390" s="14">
        <v>9.9099099099099197E-2</v>
      </c>
    </row>
    <row r="3391" spans="1:5" x14ac:dyDescent="0.25">
      <c r="A3391" s="44" t="s">
        <v>7264</v>
      </c>
      <c r="B3391" s="38" t="s">
        <v>7265</v>
      </c>
      <c r="C3391" s="43">
        <v>1810.9872</v>
      </c>
      <c r="D3391" s="39">
        <v>1631.52</v>
      </c>
      <c r="E3391" s="14">
        <v>9.9099099099099086E-2</v>
      </c>
    </row>
    <row r="3392" spans="1:5" x14ac:dyDescent="0.25">
      <c r="A3392" s="44" t="s">
        <v>7266</v>
      </c>
      <c r="B3392" s="38" t="s">
        <v>7267</v>
      </c>
      <c r="C3392" s="43">
        <v>2817.0912000000003</v>
      </c>
      <c r="D3392" s="39">
        <v>2537.92</v>
      </c>
      <c r="E3392" s="14">
        <v>9.9099099099099197E-2</v>
      </c>
    </row>
    <row r="3393" spans="1:5" x14ac:dyDescent="0.25">
      <c r="A3393" s="44" t="s">
        <v>7268</v>
      </c>
      <c r="B3393" s="38" t="s">
        <v>7269</v>
      </c>
      <c r="C3393" s="43">
        <v>2897.4996000000006</v>
      </c>
      <c r="D3393" s="39">
        <v>2610.36</v>
      </c>
      <c r="E3393" s="14">
        <v>9.9099099099099197E-2</v>
      </c>
    </row>
    <row r="3394" spans="1:5" x14ac:dyDescent="0.25">
      <c r="A3394" s="44" t="s">
        <v>7270</v>
      </c>
      <c r="B3394" s="38" t="s">
        <v>7271</v>
      </c>
      <c r="C3394" s="43">
        <v>4507.2216000000008</v>
      </c>
      <c r="D3394" s="39">
        <v>4060.5600000000004</v>
      </c>
      <c r="E3394" s="14">
        <v>9.9099099099099197E-2</v>
      </c>
    </row>
    <row r="3395" spans="1:5" x14ac:dyDescent="0.25">
      <c r="A3395" s="44" t="s">
        <v>7272</v>
      </c>
      <c r="B3395" s="38" t="s">
        <v>7273</v>
      </c>
      <c r="C3395" s="43">
        <v>3621.9744000000001</v>
      </c>
      <c r="D3395" s="39">
        <v>3263.04</v>
      </c>
      <c r="E3395" s="14">
        <v>9.9099099099099086E-2</v>
      </c>
    </row>
    <row r="3396" spans="1:5" x14ac:dyDescent="0.25">
      <c r="A3396" s="44" t="s">
        <v>7274</v>
      </c>
      <c r="B3396" s="38" t="s">
        <v>7275</v>
      </c>
      <c r="C3396" s="43">
        <v>5634.1824000000006</v>
      </c>
      <c r="D3396" s="39">
        <v>5075.84</v>
      </c>
      <c r="E3396" s="14">
        <v>9.9099099099099197E-2</v>
      </c>
    </row>
    <row r="3397" spans="1:5" x14ac:dyDescent="0.25">
      <c r="A3397" s="44" t="s">
        <v>7276</v>
      </c>
      <c r="B3397" s="38" t="s">
        <v>7277</v>
      </c>
      <c r="C3397" s="43">
        <v>358.64100000000002</v>
      </c>
      <c r="D3397" s="39">
        <v>323.09999999999997</v>
      </c>
      <c r="E3397" s="14">
        <v>9.9099099099099197E-2</v>
      </c>
    </row>
    <row r="3398" spans="1:5" x14ac:dyDescent="0.25">
      <c r="A3398" s="44" t="s">
        <v>7278</v>
      </c>
      <c r="B3398" s="38" t="s">
        <v>7279</v>
      </c>
      <c r="C3398" s="43">
        <v>557.88600000000008</v>
      </c>
      <c r="D3398" s="39">
        <v>502.6</v>
      </c>
      <c r="E3398" s="14">
        <v>9.9099099099099197E-2</v>
      </c>
    </row>
    <row r="3399" spans="1:5" x14ac:dyDescent="0.25">
      <c r="A3399" s="44" t="s">
        <v>7280</v>
      </c>
      <c r="B3399" s="38" t="s">
        <v>7281</v>
      </c>
      <c r="C3399" s="43">
        <v>948.05100000000016</v>
      </c>
      <c r="D3399" s="39">
        <v>854.1</v>
      </c>
      <c r="E3399" s="14">
        <v>9.9099099099099197E-2</v>
      </c>
    </row>
    <row r="3400" spans="1:5" x14ac:dyDescent="0.25">
      <c r="A3400" s="44" t="s">
        <v>7282</v>
      </c>
      <c r="B3400" s="38" t="s">
        <v>7283</v>
      </c>
      <c r="C3400" s="43">
        <v>1474.7460000000003</v>
      </c>
      <c r="D3400" s="39">
        <v>1328.6000000000001</v>
      </c>
      <c r="E3400" s="14">
        <v>9.9099099099099197E-2</v>
      </c>
    </row>
    <row r="3401" spans="1:5" x14ac:dyDescent="0.25">
      <c r="A3401" s="44" t="s">
        <v>7284</v>
      </c>
      <c r="B3401" s="38" t="s">
        <v>7285</v>
      </c>
      <c r="C3401" s="43">
        <v>1707.2909999999999</v>
      </c>
      <c r="D3401" s="39">
        <v>1538.1</v>
      </c>
      <c r="E3401" s="14">
        <v>9.9099099099099086E-2</v>
      </c>
    </row>
    <row r="3402" spans="1:5" x14ac:dyDescent="0.25">
      <c r="A3402" s="44" t="s">
        <v>7286</v>
      </c>
      <c r="B3402" s="38" t="s">
        <v>7287</v>
      </c>
      <c r="C3402" s="43">
        <v>2655.7860000000005</v>
      </c>
      <c r="D3402" s="39">
        <v>2392.6000000000004</v>
      </c>
      <c r="E3402" s="14">
        <v>9.9099099099099086E-2</v>
      </c>
    </row>
    <row r="3403" spans="1:5" x14ac:dyDescent="0.25">
      <c r="A3403" s="44" t="s">
        <v>7288</v>
      </c>
      <c r="B3403" s="38" t="s">
        <v>7289</v>
      </c>
      <c r="C3403" s="43">
        <v>3595.4010000000003</v>
      </c>
      <c r="D3403" s="39">
        <v>3239.1</v>
      </c>
      <c r="E3403" s="14">
        <v>9.9099099099099197E-2</v>
      </c>
    </row>
    <row r="3404" spans="1:5" x14ac:dyDescent="0.25">
      <c r="A3404" s="44" t="s">
        <v>7290</v>
      </c>
      <c r="B3404" s="38" t="s">
        <v>7291</v>
      </c>
      <c r="C3404" s="43">
        <v>5592.8460000000005</v>
      </c>
      <c r="D3404" s="39">
        <v>5038.6000000000004</v>
      </c>
      <c r="E3404" s="14">
        <v>9.9099099099099086E-2</v>
      </c>
    </row>
    <row r="3405" spans="1:5" x14ac:dyDescent="0.25">
      <c r="A3405" s="44" t="s">
        <v>7292</v>
      </c>
      <c r="B3405" s="38" t="s">
        <v>7293</v>
      </c>
      <c r="C3405" s="43">
        <v>658.34100000000012</v>
      </c>
      <c r="D3405" s="39">
        <v>593.1</v>
      </c>
      <c r="E3405" s="14">
        <v>9.9099099099099197E-2</v>
      </c>
    </row>
    <row r="3406" spans="1:5" x14ac:dyDescent="0.25">
      <c r="A3406" s="44" t="s">
        <v>7294</v>
      </c>
      <c r="B3406" s="38" t="s">
        <v>7295</v>
      </c>
      <c r="C3406" s="43">
        <v>1024.0860000000002</v>
      </c>
      <c r="D3406" s="39">
        <v>922.60000000000014</v>
      </c>
      <c r="E3406" s="14">
        <v>9.9099099099099197E-2</v>
      </c>
    </row>
    <row r="3407" spans="1:5" x14ac:dyDescent="0.25">
      <c r="A3407" s="44" t="s">
        <v>7296</v>
      </c>
      <c r="B3407" s="38" t="s">
        <v>7297</v>
      </c>
      <c r="C3407" s="43">
        <v>1237.761</v>
      </c>
      <c r="D3407" s="39">
        <v>1115.0999999999999</v>
      </c>
      <c r="E3407" s="14">
        <v>9.9099099099099197E-2</v>
      </c>
    </row>
    <row r="3408" spans="1:5" x14ac:dyDescent="0.25">
      <c r="A3408" s="44" t="s">
        <v>7298</v>
      </c>
      <c r="B3408" s="38" t="s">
        <v>7299</v>
      </c>
      <c r="C3408" s="43">
        <v>1925.4060000000004</v>
      </c>
      <c r="D3408" s="39">
        <v>1734.6000000000001</v>
      </c>
      <c r="E3408" s="14">
        <v>9.9099099099099197E-2</v>
      </c>
    </row>
    <row r="3409" spans="1:5" x14ac:dyDescent="0.25">
      <c r="A3409" s="44" t="s">
        <v>7300</v>
      </c>
      <c r="B3409" s="38" t="s">
        <v>7301</v>
      </c>
      <c r="C3409" s="43">
        <v>129.67019999999999</v>
      </c>
      <c r="D3409" s="39">
        <v>116.82</v>
      </c>
      <c r="E3409" s="14">
        <v>9.9099099099099086E-2</v>
      </c>
    </row>
    <row r="3410" spans="1:5" x14ac:dyDescent="0.25">
      <c r="A3410" s="44" t="s">
        <v>7302</v>
      </c>
      <c r="B3410" s="38" t="s">
        <v>7303</v>
      </c>
      <c r="C3410" s="43">
        <v>201.70920000000004</v>
      </c>
      <c r="D3410" s="39">
        <v>181.72000000000003</v>
      </c>
      <c r="E3410" s="14">
        <v>9.9099099099099086E-2</v>
      </c>
    </row>
    <row r="3411" spans="1:5" x14ac:dyDescent="0.25">
      <c r="A3411" s="44" t="s">
        <v>7304</v>
      </c>
      <c r="B3411" s="38" t="s">
        <v>7305</v>
      </c>
      <c r="C3411" s="43">
        <v>159.64019999999999</v>
      </c>
      <c r="D3411" s="39">
        <v>143.82</v>
      </c>
      <c r="E3411" s="14">
        <v>9.9099099099099086E-2</v>
      </c>
    </row>
    <row r="3412" spans="1:5" x14ac:dyDescent="0.25">
      <c r="A3412" s="44" t="s">
        <v>7306</v>
      </c>
      <c r="B3412" s="38" t="s">
        <v>7307</v>
      </c>
      <c r="C3412" s="43">
        <v>248.32920000000004</v>
      </c>
      <c r="D3412" s="39">
        <v>223.72000000000003</v>
      </c>
      <c r="E3412" s="14">
        <v>9.9099099099099197E-2</v>
      </c>
    </row>
    <row r="3413" spans="1:5" x14ac:dyDescent="0.25">
      <c r="A3413" s="44" t="s">
        <v>7308</v>
      </c>
      <c r="B3413" s="38" t="s">
        <v>7309</v>
      </c>
      <c r="C3413" s="43">
        <v>658.34100000000012</v>
      </c>
      <c r="D3413" s="39">
        <v>593.1</v>
      </c>
      <c r="E3413" s="14">
        <v>9.9099099099099197E-2</v>
      </c>
    </row>
    <row r="3414" spans="1:5" x14ac:dyDescent="0.25">
      <c r="A3414" s="44" t="s">
        <v>7310</v>
      </c>
      <c r="B3414" s="38" t="s">
        <v>7311</v>
      </c>
      <c r="C3414" s="43">
        <v>1024.0860000000002</v>
      </c>
      <c r="D3414" s="39">
        <v>922.60000000000014</v>
      </c>
      <c r="E3414" s="14">
        <v>9.9099099099099197E-2</v>
      </c>
    </row>
    <row r="3415" spans="1:5" x14ac:dyDescent="0.25">
      <c r="A3415" s="44" t="s">
        <v>7312</v>
      </c>
      <c r="B3415" s="38" t="s">
        <v>7313</v>
      </c>
      <c r="C3415" s="43">
        <v>1237.761</v>
      </c>
      <c r="D3415" s="39">
        <v>1115.0999999999999</v>
      </c>
      <c r="E3415" s="14">
        <v>9.9099099099099197E-2</v>
      </c>
    </row>
    <row r="3416" spans="1:5" x14ac:dyDescent="0.25">
      <c r="A3416" s="44" t="s">
        <v>7314</v>
      </c>
      <c r="B3416" s="38" t="s">
        <v>7315</v>
      </c>
      <c r="C3416" s="43">
        <v>1925.4060000000004</v>
      </c>
      <c r="D3416" s="39">
        <v>1734.6000000000001</v>
      </c>
      <c r="E3416" s="14">
        <v>9.9099099099099197E-2</v>
      </c>
    </row>
    <row r="3417" spans="1:5" x14ac:dyDescent="0.25">
      <c r="A3417" s="44" t="s">
        <v>7316</v>
      </c>
      <c r="B3417" s="38" t="s">
        <v>7317</v>
      </c>
      <c r="C3417" s="43">
        <v>398.601</v>
      </c>
      <c r="D3417" s="39">
        <v>359.09999999999997</v>
      </c>
      <c r="E3417" s="14">
        <v>9.9099099099099197E-2</v>
      </c>
    </row>
    <row r="3418" spans="1:5" x14ac:dyDescent="0.25">
      <c r="A3418" s="44" t="s">
        <v>7318</v>
      </c>
      <c r="B3418" s="38" t="s">
        <v>7319</v>
      </c>
      <c r="C3418" s="43">
        <v>620.04600000000005</v>
      </c>
      <c r="D3418" s="39">
        <v>558.6</v>
      </c>
      <c r="E3418" s="14">
        <v>9.9099099099099086E-2</v>
      </c>
    </row>
    <row r="3419" spans="1:5" x14ac:dyDescent="0.25">
      <c r="A3419" s="44" t="s">
        <v>7320</v>
      </c>
      <c r="B3419" s="38" t="s">
        <v>7321</v>
      </c>
      <c r="C3419" s="43">
        <v>398.601</v>
      </c>
      <c r="D3419" s="39">
        <v>359.09999999999997</v>
      </c>
      <c r="E3419" s="14">
        <v>9.9099099099099197E-2</v>
      </c>
    </row>
    <row r="3420" spans="1:5" x14ac:dyDescent="0.25">
      <c r="A3420" s="44" t="s">
        <v>7322</v>
      </c>
      <c r="B3420" s="38" t="s">
        <v>7323</v>
      </c>
      <c r="C3420" s="43">
        <v>620.04600000000005</v>
      </c>
      <c r="D3420" s="39">
        <v>558.6</v>
      </c>
      <c r="E3420" s="14">
        <v>9.9099099099099086E-2</v>
      </c>
    </row>
    <row r="3421" spans="1:5" x14ac:dyDescent="0.25">
      <c r="A3421" s="44" t="s">
        <v>7324</v>
      </c>
      <c r="B3421" s="38" t="s">
        <v>7325</v>
      </c>
      <c r="C3421" s="43">
        <v>129.67019999999999</v>
      </c>
      <c r="D3421" s="39">
        <v>116.82</v>
      </c>
      <c r="E3421" s="14">
        <v>9.9099099099099086E-2</v>
      </c>
    </row>
    <row r="3422" spans="1:5" x14ac:dyDescent="0.25">
      <c r="A3422" s="44" t="s">
        <v>7326</v>
      </c>
      <c r="B3422" s="38" t="s">
        <v>7327</v>
      </c>
      <c r="C3422" s="43">
        <v>201.70920000000004</v>
      </c>
      <c r="D3422" s="39">
        <v>181.72000000000003</v>
      </c>
      <c r="E3422" s="14">
        <v>9.9099099099099086E-2</v>
      </c>
    </row>
    <row r="3423" spans="1:5" x14ac:dyDescent="0.25">
      <c r="A3423" s="44" t="s">
        <v>7328</v>
      </c>
      <c r="B3423" s="38" t="s">
        <v>7329</v>
      </c>
      <c r="C3423" s="43">
        <v>159.64019999999999</v>
      </c>
      <c r="D3423" s="39">
        <v>143.82</v>
      </c>
      <c r="E3423" s="14">
        <v>9.9099099099099086E-2</v>
      </c>
    </row>
    <row r="3424" spans="1:5" x14ac:dyDescent="0.25">
      <c r="A3424" s="44" t="s">
        <v>7330</v>
      </c>
      <c r="B3424" s="38" t="s">
        <v>7331</v>
      </c>
      <c r="C3424" s="43">
        <v>248.32920000000004</v>
      </c>
      <c r="D3424" s="39">
        <v>223.72000000000003</v>
      </c>
      <c r="E3424" s="14">
        <v>9.9099099099099197E-2</v>
      </c>
    </row>
    <row r="3425" spans="1:5" x14ac:dyDescent="0.25">
      <c r="A3425" s="44" t="s">
        <v>7332</v>
      </c>
      <c r="B3425" s="38" t="s">
        <v>7333</v>
      </c>
      <c r="C3425" s="43">
        <v>494.50500000000005</v>
      </c>
      <c r="D3425" s="39">
        <v>445.5</v>
      </c>
      <c r="E3425" s="14">
        <v>9.9099099099099197E-2</v>
      </c>
    </row>
    <row r="3426" spans="1:5" x14ac:dyDescent="0.25">
      <c r="A3426" s="44" t="s">
        <v>7334</v>
      </c>
      <c r="B3426" s="38" t="s">
        <v>7335</v>
      </c>
      <c r="C3426" s="43">
        <v>769.23000000000025</v>
      </c>
      <c r="D3426" s="39">
        <v>693.00000000000011</v>
      </c>
      <c r="E3426" s="14">
        <v>9.9099099099099197E-2</v>
      </c>
    </row>
    <row r="3427" spans="1:5" x14ac:dyDescent="0.25">
      <c r="A3427" s="44" t="s">
        <v>7336</v>
      </c>
      <c r="B3427" s="38" t="s">
        <v>7337</v>
      </c>
      <c r="C3427" s="43">
        <v>803.19600000000014</v>
      </c>
      <c r="D3427" s="39">
        <v>723.6</v>
      </c>
      <c r="E3427" s="14">
        <v>9.9099099099099197E-2</v>
      </c>
    </row>
    <row r="3428" spans="1:5" x14ac:dyDescent="0.25">
      <c r="A3428" s="44" t="s">
        <v>7338</v>
      </c>
      <c r="B3428" s="38" t="s">
        <v>7339</v>
      </c>
      <c r="C3428" s="43">
        <v>1249.4160000000002</v>
      </c>
      <c r="D3428" s="39">
        <v>1125.6000000000001</v>
      </c>
      <c r="E3428" s="14">
        <v>9.9099099099099086E-2</v>
      </c>
    </row>
    <row r="3429" spans="1:5" x14ac:dyDescent="0.25">
      <c r="A3429" s="44" t="s">
        <v>7340</v>
      </c>
      <c r="B3429" s="38" t="s">
        <v>7341</v>
      </c>
      <c r="C3429" s="43">
        <v>494.50500000000005</v>
      </c>
      <c r="D3429" s="39">
        <v>445.5</v>
      </c>
      <c r="E3429" s="14">
        <v>9.9099099099099197E-2</v>
      </c>
    </row>
    <row r="3430" spans="1:5" x14ac:dyDescent="0.25">
      <c r="A3430" s="44" t="s">
        <v>7342</v>
      </c>
      <c r="B3430" s="38" t="s">
        <v>7343</v>
      </c>
      <c r="C3430" s="43">
        <v>769.23000000000025</v>
      </c>
      <c r="D3430" s="39">
        <v>693.00000000000011</v>
      </c>
      <c r="E3430" s="14">
        <v>9.9099099099099197E-2</v>
      </c>
    </row>
    <row r="3431" spans="1:5" x14ac:dyDescent="0.25">
      <c r="A3431" s="44" t="s">
        <v>7344</v>
      </c>
      <c r="B3431" s="38" t="s">
        <v>7345</v>
      </c>
      <c r="C3431" s="43">
        <v>803.19600000000014</v>
      </c>
      <c r="D3431" s="39">
        <v>723.6</v>
      </c>
      <c r="E3431" s="14">
        <v>9.9099099099099197E-2</v>
      </c>
    </row>
    <row r="3432" spans="1:5" x14ac:dyDescent="0.25">
      <c r="A3432" s="44" t="s">
        <v>7346</v>
      </c>
      <c r="B3432" s="38" t="s">
        <v>7347</v>
      </c>
      <c r="C3432" s="43">
        <v>1249.4160000000002</v>
      </c>
      <c r="D3432" s="39">
        <v>1125.6000000000001</v>
      </c>
      <c r="E3432" s="14">
        <v>9.9099099099099086E-2</v>
      </c>
    </row>
    <row r="3433" spans="1:5" x14ac:dyDescent="0.25">
      <c r="A3433" s="44" t="s">
        <v>7348</v>
      </c>
      <c r="B3433" s="38" t="s">
        <v>7349</v>
      </c>
      <c r="C3433" s="43">
        <v>494.50500000000005</v>
      </c>
      <c r="D3433" s="39">
        <v>445.5</v>
      </c>
      <c r="E3433" s="14">
        <v>9.9099099099099197E-2</v>
      </c>
    </row>
    <row r="3434" spans="1:5" x14ac:dyDescent="0.25">
      <c r="A3434" s="44" t="s">
        <v>7350</v>
      </c>
      <c r="B3434" s="38" t="s">
        <v>7351</v>
      </c>
      <c r="C3434" s="43">
        <v>769.23000000000025</v>
      </c>
      <c r="D3434" s="39">
        <v>693.00000000000011</v>
      </c>
      <c r="E3434" s="14">
        <v>9.9099099099099197E-2</v>
      </c>
    </row>
    <row r="3435" spans="1:5" x14ac:dyDescent="0.25">
      <c r="A3435" s="44" t="s">
        <v>7352</v>
      </c>
      <c r="B3435" s="38" t="s">
        <v>7353</v>
      </c>
      <c r="C3435" s="43">
        <v>494.50500000000005</v>
      </c>
      <c r="D3435" s="39">
        <v>445.5</v>
      </c>
      <c r="E3435" s="14">
        <v>9.9099099099099197E-2</v>
      </c>
    </row>
    <row r="3436" spans="1:5" x14ac:dyDescent="0.25">
      <c r="A3436" s="44" t="s">
        <v>7354</v>
      </c>
      <c r="B3436" s="38" t="s">
        <v>7355</v>
      </c>
      <c r="C3436" s="43">
        <v>769.23000000000025</v>
      </c>
      <c r="D3436" s="39">
        <v>693.00000000000011</v>
      </c>
      <c r="E3436" s="14">
        <v>9.9099099099099197E-2</v>
      </c>
    </row>
    <row r="3437" spans="1:5" x14ac:dyDescent="0.25">
      <c r="A3437" s="44" t="s">
        <v>7356</v>
      </c>
      <c r="B3437" s="38" t="s">
        <v>7357</v>
      </c>
      <c r="C3437" s="43">
        <v>803.19600000000014</v>
      </c>
      <c r="D3437" s="39">
        <v>723.6</v>
      </c>
      <c r="E3437" s="14">
        <v>9.9099099099099197E-2</v>
      </c>
    </row>
    <row r="3438" spans="1:5" x14ac:dyDescent="0.25">
      <c r="A3438" s="44" t="s">
        <v>7358</v>
      </c>
      <c r="B3438" s="38" t="s">
        <v>7359</v>
      </c>
      <c r="C3438" s="43">
        <v>1249.4160000000002</v>
      </c>
      <c r="D3438" s="39">
        <v>1125.6000000000001</v>
      </c>
      <c r="E3438" s="14">
        <v>9.9099099099099086E-2</v>
      </c>
    </row>
    <row r="3439" spans="1:5" x14ac:dyDescent="0.25">
      <c r="A3439" s="44" t="s">
        <v>7360</v>
      </c>
      <c r="B3439" s="38" t="s">
        <v>7361</v>
      </c>
      <c r="C3439" s="43">
        <v>803.19600000000014</v>
      </c>
      <c r="D3439" s="39">
        <v>723.6</v>
      </c>
      <c r="E3439" s="14">
        <v>9.9099099099099197E-2</v>
      </c>
    </row>
    <row r="3440" spans="1:5" x14ac:dyDescent="0.25">
      <c r="A3440" s="44" t="s">
        <v>7362</v>
      </c>
      <c r="B3440" s="38" t="s">
        <v>7363</v>
      </c>
      <c r="C3440" s="43">
        <v>1249.4160000000002</v>
      </c>
      <c r="D3440" s="39">
        <v>1125.6000000000001</v>
      </c>
      <c r="E3440" s="14">
        <v>9.9099099099099086E-2</v>
      </c>
    </row>
    <row r="3441" spans="1:5" x14ac:dyDescent="0.25">
      <c r="A3441" s="44" t="s">
        <v>7364</v>
      </c>
      <c r="B3441" s="38" t="s">
        <v>7365</v>
      </c>
      <c r="C3441" s="43">
        <v>998.00100000000009</v>
      </c>
      <c r="D3441" s="39">
        <v>899.1</v>
      </c>
      <c r="E3441" s="14">
        <v>9.9099099099099197E-2</v>
      </c>
    </row>
    <row r="3442" spans="1:5" x14ac:dyDescent="0.25">
      <c r="A3442" s="44" t="s">
        <v>7366</v>
      </c>
      <c r="B3442" s="38" t="s">
        <v>7367</v>
      </c>
      <c r="C3442" s="43">
        <v>1552.4460000000004</v>
      </c>
      <c r="D3442" s="39">
        <v>1398.6000000000001</v>
      </c>
      <c r="E3442" s="14">
        <v>9.9099099099099197E-2</v>
      </c>
    </row>
    <row r="3443" spans="1:5" x14ac:dyDescent="0.25">
      <c r="A3443" s="44" t="s">
        <v>7368</v>
      </c>
      <c r="B3443" s="38" t="s">
        <v>7369</v>
      </c>
      <c r="C3443" s="43">
        <v>1497.501</v>
      </c>
      <c r="D3443" s="39">
        <v>1349.1</v>
      </c>
      <c r="E3443" s="14">
        <v>9.9099099099099197E-2</v>
      </c>
    </row>
    <row r="3444" spans="1:5" x14ac:dyDescent="0.25">
      <c r="A3444" s="44" t="s">
        <v>7370</v>
      </c>
      <c r="B3444" s="38" t="s">
        <v>7371</v>
      </c>
      <c r="C3444" s="43">
        <v>2329.4460000000008</v>
      </c>
      <c r="D3444" s="39">
        <v>2098.6000000000004</v>
      </c>
      <c r="E3444" s="14">
        <v>9.9099099099099308E-2</v>
      </c>
    </row>
    <row r="3445" spans="1:5" x14ac:dyDescent="0.25">
      <c r="A3445" s="44" t="s">
        <v>7372</v>
      </c>
      <c r="B3445" s="38" t="s">
        <v>7373</v>
      </c>
      <c r="C3445" s="43">
        <v>2455.5419999999999</v>
      </c>
      <c r="D3445" s="39">
        <v>2212.1999999999998</v>
      </c>
      <c r="E3445" s="14">
        <v>9.9099099099099197E-2</v>
      </c>
    </row>
    <row r="3446" spans="1:5" x14ac:dyDescent="0.25">
      <c r="A3446" s="44" t="s">
        <v>7374</v>
      </c>
      <c r="B3446" s="38" t="s">
        <v>7375</v>
      </c>
      <c r="C3446" s="43">
        <v>3819.7320000000004</v>
      </c>
      <c r="D3446" s="39">
        <v>3441.2000000000003</v>
      </c>
      <c r="E3446" s="14">
        <v>9.9099099099099086E-2</v>
      </c>
    </row>
    <row r="3447" spans="1:5" x14ac:dyDescent="0.25">
      <c r="A3447" s="44" t="s">
        <v>7376</v>
      </c>
      <c r="B3447" s="38" t="s">
        <v>7377</v>
      </c>
      <c r="C3447" s="43">
        <v>3494.502</v>
      </c>
      <c r="D3447" s="39">
        <v>3148.2</v>
      </c>
      <c r="E3447" s="14">
        <v>9.9099099099099086E-2</v>
      </c>
    </row>
    <row r="3448" spans="1:5" x14ac:dyDescent="0.25">
      <c r="A3448" s="44" t="s">
        <v>7378</v>
      </c>
      <c r="B3448" s="38" t="s">
        <v>7379</v>
      </c>
      <c r="C3448" s="43">
        <v>5435.8920000000016</v>
      </c>
      <c r="D3448" s="39">
        <v>4897.2000000000007</v>
      </c>
      <c r="E3448" s="14">
        <v>9.9099099099099197E-2</v>
      </c>
    </row>
    <row r="3449" spans="1:5" x14ac:dyDescent="0.25">
      <c r="A3449" s="44" t="s">
        <v>7380</v>
      </c>
      <c r="B3449" s="38" t="s">
        <v>7381</v>
      </c>
      <c r="C3449" s="43">
        <v>998.00100000000009</v>
      </c>
      <c r="D3449" s="39">
        <v>899.1</v>
      </c>
      <c r="E3449" s="14">
        <v>9.9099099099099197E-2</v>
      </c>
    </row>
    <row r="3450" spans="1:5" x14ac:dyDescent="0.25">
      <c r="A3450" s="44" t="s">
        <v>7382</v>
      </c>
      <c r="B3450" s="38" t="s">
        <v>7383</v>
      </c>
      <c r="C3450" s="43">
        <v>1552.4460000000004</v>
      </c>
      <c r="D3450" s="39">
        <v>1398.6000000000001</v>
      </c>
      <c r="E3450" s="14">
        <v>9.9099099099099197E-2</v>
      </c>
    </row>
    <row r="3451" spans="1:5" x14ac:dyDescent="0.25">
      <c r="A3451" s="44" t="s">
        <v>7384</v>
      </c>
      <c r="B3451" s="38" t="s">
        <v>7385</v>
      </c>
      <c r="C3451" s="43">
        <v>1497.501</v>
      </c>
      <c r="D3451" s="39">
        <v>1349.1</v>
      </c>
      <c r="E3451" s="14">
        <v>9.9099099099099197E-2</v>
      </c>
    </row>
    <row r="3452" spans="1:5" x14ac:dyDescent="0.25">
      <c r="A3452" s="44" t="s">
        <v>7386</v>
      </c>
      <c r="B3452" s="38" t="s">
        <v>7387</v>
      </c>
      <c r="C3452" s="43">
        <v>2329.4460000000008</v>
      </c>
      <c r="D3452" s="39">
        <v>2098.6000000000004</v>
      </c>
      <c r="E3452" s="14">
        <v>9.9099099099099308E-2</v>
      </c>
    </row>
    <row r="3453" spans="1:5" x14ac:dyDescent="0.25">
      <c r="A3453" s="44" t="s">
        <v>7388</v>
      </c>
      <c r="B3453" s="38" t="s">
        <v>7389</v>
      </c>
      <c r="C3453" s="43">
        <v>2455.5419999999999</v>
      </c>
      <c r="D3453" s="39">
        <v>2212.1999999999998</v>
      </c>
      <c r="E3453" s="14">
        <v>9.9099099099099197E-2</v>
      </c>
    </row>
    <row r="3454" spans="1:5" x14ac:dyDescent="0.25">
      <c r="A3454" s="44" t="s">
        <v>7390</v>
      </c>
      <c r="B3454" s="38" t="s">
        <v>7391</v>
      </c>
      <c r="C3454" s="43">
        <v>3819.7320000000004</v>
      </c>
      <c r="D3454" s="39">
        <v>3441.2000000000003</v>
      </c>
      <c r="E3454" s="14">
        <v>9.9099099099099086E-2</v>
      </c>
    </row>
    <row r="3455" spans="1:5" x14ac:dyDescent="0.25">
      <c r="A3455" s="44" t="s">
        <v>7392</v>
      </c>
      <c r="B3455" s="38" t="s">
        <v>7393</v>
      </c>
      <c r="C3455" s="43">
        <v>3494.502</v>
      </c>
      <c r="D3455" s="39">
        <v>3148.2</v>
      </c>
      <c r="E3455" s="14">
        <v>9.9099099099099086E-2</v>
      </c>
    </row>
    <row r="3456" spans="1:5" x14ac:dyDescent="0.25">
      <c r="A3456" s="44" t="s">
        <v>7394</v>
      </c>
      <c r="B3456" s="38" t="s">
        <v>7395</v>
      </c>
      <c r="C3456" s="43">
        <v>5435.8920000000016</v>
      </c>
      <c r="D3456" s="39">
        <v>4897.2000000000007</v>
      </c>
      <c r="E3456" s="14">
        <v>9.9099099099099197E-2</v>
      </c>
    </row>
    <row r="3457" spans="1:5" x14ac:dyDescent="0.25">
      <c r="A3457" s="44" t="s">
        <v>7396</v>
      </c>
      <c r="B3457" s="38" t="s">
        <v>7397</v>
      </c>
      <c r="C3457" s="43">
        <v>898.10100000000011</v>
      </c>
      <c r="D3457" s="39">
        <v>809.1</v>
      </c>
      <c r="E3457" s="14">
        <v>9.9099099099099197E-2</v>
      </c>
    </row>
    <row r="3458" spans="1:5" x14ac:dyDescent="0.25">
      <c r="A3458" s="44" t="s">
        <v>7398</v>
      </c>
      <c r="B3458" s="38" t="s">
        <v>7399</v>
      </c>
      <c r="C3458" s="43">
        <v>1397.0460000000003</v>
      </c>
      <c r="D3458" s="39">
        <v>1258.6000000000001</v>
      </c>
      <c r="E3458" s="14">
        <v>9.9099099099099197E-2</v>
      </c>
    </row>
    <row r="3459" spans="1:5" x14ac:dyDescent="0.25">
      <c r="A3459" s="44" t="s">
        <v>7400</v>
      </c>
      <c r="B3459" s="38" t="s">
        <v>7401</v>
      </c>
      <c r="C3459" s="43">
        <v>1997.001</v>
      </c>
      <c r="D3459" s="39">
        <v>1799.1</v>
      </c>
      <c r="E3459" s="14">
        <v>9.9099099099099086E-2</v>
      </c>
    </row>
    <row r="3460" spans="1:5" x14ac:dyDescent="0.25">
      <c r="A3460" s="44" t="s">
        <v>7402</v>
      </c>
      <c r="B3460" s="38" t="s">
        <v>7403</v>
      </c>
      <c r="C3460" s="43">
        <v>3106.4460000000008</v>
      </c>
      <c r="D3460" s="39">
        <v>2798.6000000000004</v>
      </c>
      <c r="E3460" s="14">
        <v>9.9099099099099197E-2</v>
      </c>
    </row>
    <row r="3461" spans="1:5" x14ac:dyDescent="0.25">
      <c r="A3461" s="44" t="s">
        <v>7404</v>
      </c>
      <c r="B3461" s="38" t="s">
        <v>7405</v>
      </c>
      <c r="C3461" s="43">
        <v>2947.05</v>
      </c>
      <c r="D3461" s="39">
        <v>2655</v>
      </c>
      <c r="E3461" s="14">
        <v>9.9099099099099197E-2</v>
      </c>
    </row>
    <row r="3462" spans="1:5" x14ac:dyDescent="0.25">
      <c r="A3462" s="44" t="s">
        <v>7406</v>
      </c>
      <c r="B3462" s="38" t="s">
        <v>7407</v>
      </c>
      <c r="C3462" s="43">
        <v>4584.3</v>
      </c>
      <c r="D3462" s="39">
        <v>4130</v>
      </c>
      <c r="E3462" s="14">
        <v>9.9099099099099086E-2</v>
      </c>
    </row>
    <row r="3463" spans="1:5" x14ac:dyDescent="0.25">
      <c r="A3463" s="44" t="s">
        <v>7408</v>
      </c>
      <c r="B3463" s="38" t="s">
        <v>7409</v>
      </c>
      <c r="C3463" s="43">
        <v>1397.6010000000001</v>
      </c>
      <c r="D3463" s="39">
        <v>1259.0999999999999</v>
      </c>
      <c r="E3463" s="14">
        <v>9.9099099099099197E-2</v>
      </c>
    </row>
    <row r="3464" spans="1:5" x14ac:dyDescent="0.25">
      <c r="A3464" s="44" t="s">
        <v>7410</v>
      </c>
      <c r="B3464" s="38" t="s">
        <v>7411</v>
      </c>
      <c r="C3464" s="43">
        <v>2174.0460000000003</v>
      </c>
      <c r="D3464" s="39">
        <v>1958.6000000000001</v>
      </c>
      <c r="E3464" s="14">
        <v>9.9099099099099197E-2</v>
      </c>
    </row>
    <row r="3465" spans="1:5" x14ac:dyDescent="0.25">
      <c r="A3465" s="44" t="s">
        <v>7412</v>
      </c>
      <c r="B3465" s="38" t="s">
        <v>7413</v>
      </c>
      <c r="C3465" s="43">
        <v>2356.6410000000001</v>
      </c>
      <c r="D3465" s="39">
        <v>2123.1</v>
      </c>
      <c r="E3465" s="14">
        <v>9.9099099099099197E-2</v>
      </c>
    </row>
    <row r="3466" spans="1:5" x14ac:dyDescent="0.25">
      <c r="A3466" s="44" t="s">
        <v>7414</v>
      </c>
      <c r="B3466" s="38" t="s">
        <v>7415</v>
      </c>
      <c r="C3466" s="43">
        <v>3665.8860000000009</v>
      </c>
      <c r="D3466" s="39">
        <v>3302.6000000000004</v>
      </c>
      <c r="E3466" s="14">
        <v>9.9099099099099197E-2</v>
      </c>
    </row>
    <row r="3467" spans="1:5" x14ac:dyDescent="0.25">
      <c r="A3467" s="44" t="s">
        <v>7416</v>
      </c>
      <c r="B3467" s="38" t="s">
        <v>7417</v>
      </c>
      <c r="C3467" s="43">
        <v>1397.6010000000001</v>
      </c>
      <c r="D3467" s="39">
        <v>1259.0999999999999</v>
      </c>
      <c r="E3467" s="14">
        <v>9.9099099099099197E-2</v>
      </c>
    </row>
    <row r="3468" spans="1:5" x14ac:dyDescent="0.25">
      <c r="A3468" s="44" t="s">
        <v>7418</v>
      </c>
      <c r="B3468" s="38" t="s">
        <v>7419</v>
      </c>
      <c r="C3468" s="43">
        <v>2174.0460000000003</v>
      </c>
      <c r="D3468" s="39">
        <v>1958.6000000000001</v>
      </c>
      <c r="E3468" s="14">
        <v>9.9099099099099197E-2</v>
      </c>
    </row>
    <row r="3469" spans="1:5" x14ac:dyDescent="0.25">
      <c r="A3469" s="44" t="s">
        <v>7420</v>
      </c>
      <c r="B3469" s="38" t="s">
        <v>7421</v>
      </c>
      <c r="C3469" s="43">
        <v>898.10100000000011</v>
      </c>
      <c r="D3469" s="39">
        <v>809.1</v>
      </c>
      <c r="E3469" s="14">
        <v>9.9099099099099197E-2</v>
      </c>
    </row>
    <row r="3470" spans="1:5" x14ac:dyDescent="0.25">
      <c r="A3470" s="44" t="s">
        <v>7422</v>
      </c>
      <c r="B3470" s="38" t="s">
        <v>7423</v>
      </c>
      <c r="C3470" s="43">
        <v>1397.0460000000003</v>
      </c>
      <c r="D3470" s="39">
        <v>1258.6000000000001</v>
      </c>
      <c r="E3470" s="14">
        <v>9.9099099099099197E-2</v>
      </c>
    </row>
    <row r="3471" spans="1:5" x14ac:dyDescent="0.25">
      <c r="A3471" s="44" t="s">
        <v>7424</v>
      </c>
      <c r="B3471" s="38" t="s">
        <v>7425</v>
      </c>
      <c r="C3471" s="43">
        <v>1997.001</v>
      </c>
      <c r="D3471" s="39">
        <v>1799.1</v>
      </c>
      <c r="E3471" s="14">
        <v>9.9099099099099086E-2</v>
      </c>
    </row>
    <row r="3472" spans="1:5" x14ac:dyDescent="0.25">
      <c r="A3472" s="44" t="s">
        <v>7426</v>
      </c>
      <c r="B3472" s="38" t="s">
        <v>7427</v>
      </c>
      <c r="C3472" s="43">
        <v>3106.4460000000008</v>
      </c>
      <c r="D3472" s="39">
        <v>2798.6000000000004</v>
      </c>
      <c r="E3472" s="14">
        <v>9.9099099099099197E-2</v>
      </c>
    </row>
    <row r="3473" spans="1:5" x14ac:dyDescent="0.25">
      <c r="A3473" s="44" t="s">
        <v>7428</v>
      </c>
      <c r="B3473" s="38" t="s">
        <v>7429</v>
      </c>
      <c r="C3473" s="43">
        <v>2947.05</v>
      </c>
      <c r="D3473" s="39">
        <v>2655</v>
      </c>
      <c r="E3473" s="14">
        <v>9.9099099099099197E-2</v>
      </c>
    </row>
    <row r="3474" spans="1:5" x14ac:dyDescent="0.25">
      <c r="A3474" s="44" t="s">
        <v>7430</v>
      </c>
      <c r="B3474" s="38" t="s">
        <v>7431</v>
      </c>
      <c r="C3474" s="43">
        <v>4584.3</v>
      </c>
      <c r="D3474" s="39">
        <v>4130</v>
      </c>
      <c r="E3474" s="14">
        <v>9.9099099099099086E-2</v>
      </c>
    </row>
    <row r="3475" spans="1:5" x14ac:dyDescent="0.25">
      <c r="A3475" s="44" t="s">
        <v>7432</v>
      </c>
      <c r="B3475" s="38" t="s">
        <v>7433</v>
      </c>
      <c r="C3475" s="43">
        <v>1397.6010000000001</v>
      </c>
      <c r="D3475" s="39">
        <v>1259.0999999999999</v>
      </c>
      <c r="E3475" s="14">
        <v>9.9099099099099197E-2</v>
      </c>
    </row>
    <row r="3476" spans="1:5" x14ac:dyDescent="0.25">
      <c r="A3476" s="44" t="s">
        <v>7434</v>
      </c>
      <c r="B3476" s="38" t="s">
        <v>7435</v>
      </c>
      <c r="C3476" s="43">
        <v>2174.0460000000003</v>
      </c>
      <c r="D3476" s="39">
        <v>1958.6000000000001</v>
      </c>
      <c r="E3476" s="14">
        <v>9.9099099099099197E-2</v>
      </c>
    </row>
    <row r="3477" spans="1:5" x14ac:dyDescent="0.25">
      <c r="A3477" s="44" t="s">
        <v>7436</v>
      </c>
      <c r="B3477" s="38" t="s">
        <v>7437</v>
      </c>
      <c r="C3477" s="43">
        <v>2356.6410000000001</v>
      </c>
      <c r="D3477" s="39">
        <v>2123.1</v>
      </c>
      <c r="E3477" s="14">
        <v>9.9099099099099197E-2</v>
      </c>
    </row>
    <row r="3478" spans="1:5" x14ac:dyDescent="0.25">
      <c r="A3478" s="44" t="s">
        <v>7438</v>
      </c>
      <c r="B3478" s="38" t="s">
        <v>7439</v>
      </c>
      <c r="C3478" s="43">
        <v>3665.8860000000009</v>
      </c>
      <c r="D3478" s="39">
        <v>3302.6000000000004</v>
      </c>
      <c r="E3478" s="14">
        <v>9.9099099099099197E-2</v>
      </c>
    </row>
    <row r="3479" spans="1:5" x14ac:dyDescent="0.25">
      <c r="A3479" s="44" t="s">
        <v>7440</v>
      </c>
      <c r="B3479" s="38" t="s">
        <v>7441</v>
      </c>
      <c r="C3479" s="43">
        <v>1397.6010000000001</v>
      </c>
      <c r="D3479" s="39">
        <v>1259.0999999999999</v>
      </c>
      <c r="E3479" s="14">
        <v>9.9099099099099197E-2</v>
      </c>
    </row>
    <row r="3480" spans="1:5" x14ac:dyDescent="0.25">
      <c r="A3480" s="44" t="s">
        <v>7442</v>
      </c>
      <c r="B3480" s="38" t="s">
        <v>7443</v>
      </c>
      <c r="C3480" s="43">
        <v>2174.0460000000003</v>
      </c>
      <c r="D3480" s="39">
        <v>1958.6000000000001</v>
      </c>
      <c r="E3480" s="14">
        <v>9.9099099099099197E-2</v>
      </c>
    </row>
    <row r="3481" spans="1:5" x14ac:dyDescent="0.25">
      <c r="A3481" s="44" t="s">
        <v>7444</v>
      </c>
      <c r="B3481" s="38" t="s">
        <v>7445</v>
      </c>
      <c r="C3481" s="43">
        <v>199.8</v>
      </c>
      <c r="D3481" s="39">
        <v>180</v>
      </c>
      <c r="E3481" s="14">
        <v>9.9099099099099197E-2</v>
      </c>
    </row>
    <row r="3482" spans="1:5" x14ac:dyDescent="0.25">
      <c r="A3482" s="44" t="s">
        <v>7446</v>
      </c>
      <c r="B3482" s="38" t="s">
        <v>7447</v>
      </c>
      <c r="C3482" s="43">
        <v>310.8</v>
      </c>
      <c r="D3482" s="39">
        <v>280</v>
      </c>
      <c r="E3482" s="14">
        <v>9.9099099099099086E-2</v>
      </c>
    </row>
    <row r="3483" spans="1:5" x14ac:dyDescent="0.25">
      <c r="A3483" s="44" t="s">
        <v>7448</v>
      </c>
      <c r="B3483" s="38" t="s">
        <v>7449</v>
      </c>
      <c r="C3483" s="43">
        <v>199.8</v>
      </c>
      <c r="D3483" s="39">
        <v>180</v>
      </c>
      <c r="E3483" s="14">
        <v>9.9099099099099197E-2</v>
      </c>
    </row>
    <row r="3484" spans="1:5" x14ac:dyDescent="0.25">
      <c r="A3484" s="44" t="s">
        <v>7450</v>
      </c>
      <c r="B3484" s="38" t="s">
        <v>7451</v>
      </c>
      <c r="C3484" s="43">
        <v>310.8</v>
      </c>
      <c r="D3484" s="39">
        <v>280</v>
      </c>
      <c r="E3484" s="14">
        <v>9.9099099099099086E-2</v>
      </c>
    </row>
    <row r="3485" spans="1:5" x14ac:dyDescent="0.25">
      <c r="A3485" s="44" t="s">
        <v>7452</v>
      </c>
      <c r="B3485" s="38" t="s">
        <v>7453</v>
      </c>
      <c r="C3485" s="43">
        <v>199.8</v>
      </c>
      <c r="D3485" s="39">
        <v>180</v>
      </c>
      <c r="E3485" s="14">
        <v>9.9099099099099197E-2</v>
      </c>
    </row>
    <row r="3486" spans="1:5" x14ac:dyDescent="0.25">
      <c r="A3486" s="44" t="s">
        <v>7454</v>
      </c>
      <c r="B3486" s="38" t="s">
        <v>7455</v>
      </c>
      <c r="C3486" s="43">
        <v>310.8</v>
      </c>
      <c r="D3486" s="39">
        <v>280</v>
      </c>
      <c r="E3486" s="14">
        <v>9.9099099099099086E-2</v>
      </c>
    </row>
    <row r="3487" spans="1:5" x14ac:dyDescent="0.25">
      <c r="A3487" s="44" t="s">
        <v>7456</v>
      </c>
      <c r="B3487" s="38" t="s">
        <v>7457</v>
      </c>
      <c r="C3487" s="43">
        <v>199.8</v>
      </c>
      <c r="D3487" s="39">
        <v>180</v>
      </c>
      <c r="E3487" s="14">
        <v>9.9099099099099197E-2</v>
      </c>
    </row>
    <row r="3488" spans="1:5" x14ac:dyDescent="0.25">
      <c r="A3488" s="44" t="s">
        <v>7458</v>
      </c>
      <c r="B3488" s="38" t="s">
        <v>7459</v>
      </c>
      <c r="C3488" s="43">
        <v>310.8</v>
      </c>
      <c r="D3488" s="39">
        <v>280</v>
      </c>
      <c r="E3488" s="14">
        <v>9.9099099099099086E-2</v>
      </c>
    </row>
    <row r="3489" spans="1:5" x14ac:dyDescent="0.25">
      <c r="A3489" s="44" t="s">
        <v>7460</v>
      </c>
      <c r="B3489" s="38" t="s">
        <v>7461</v>
      </c>
      <c r="C3489" s="43">
        <v>219.58020000000002</v>
      </c>
      <c r="D3489" s="39">
        <v>197.82</v>
      </c>
      <c r="E3489" s="14">
        <v>9.9099099099099197E-2</v>
      </c>
    </row>
    <row r="3490" spans="1:5" x14ac:dyDescent="0.25">
      <c r="A3490" s="44" t="s">
        <v>7462</v>
      </c>
      <c r="B3490" s="38" t="s">
        <v>7463</v>
      </c>
      <c r="C3490" s="43">
        <v>341.56920000000008</v>
      </c>
      <c r="D3490" s="39">
        <v>307.72000000000003</v>
      </c>
      <c r="E3490" s="14">
        <v>9.9099099099099197E-2</v>
      </c>
    </row>
    <row r="3491" spans="1:5" x14ac:dyDescent="0.25">
      <c r="A3491" s="44" t="s">
        <v>7464</v>
      </c>
      <c r="B3491" s="38" t="s">
        <v>7465</v>
      </c>
      <c r="C3491" s="43">
        <v>438.9606</v>
      </c>
      <c r="D3491" s="39">
        <v>395.46</v>
      </c>
      <c r="E3491" s="14">
        <v>9.9099099099099197E-2</v>
      </c>
    </row>
    <row r="3492" spans="1:5" x14ac:dyDescent="0.25">
      <c r="A3492" s="44" t="s">
        <v>7466</v>
      </c>
      <c r="B3492" s="38" t="s">
        <v>7467</v>
      </c>
      <c r="C3492" s="43">
        <v>682.82760000000019</v>
      </c>
      <c r="D3492" s="39">
        <v>615.16000000000008</v>
      </c>
      <c r="E3492" s="14">
        <v>9.9099099099099197E-2</v>
      </c>
    </row>
    <row r="3493" spans="1:5" x14ac:dyDescent="0.25">
      <c r="A3493" s="44" t="s">
        <v>7468</v>
      </c>
      <c r="B3493" s="38" t="s">
        <v>7469</v>
      </c>
      <c r="C3493" s="43">
        <v>878.12100000000009</v>
      </c>
      <c r="D3493" s="39">
        <v>791.1</v>
      </c>
      <c r="E3493" s="14">
        <v>9.9099099099099197E-2</v>
      </c>
    </row>
    <row r="3494" spans="1:5" x14ac:dyDescent="0.25">
      <c r="A3494" s="44" t="s">
        <v>7470</v>
      </c>
      <c r="B3494" s="38" t="s">
        <v>7471</v>
      </c>
      <c r="C3494" s="43">
        <v>1365.9660000000003</v>
      </c>
      <c r="D3494" s="39">
        <v>1230.6000000000001</v>
      </c>
      <c r="E3494" s="14">
        <v>9.9099099099099197E-2</v>
      </c>
    </row>
    <row r="3495" spans="1:5" x14ac:dyDescent="0.25">
      <c r="A3495" s="44" t="s">
        <v>7472</v>
      </c>
      <c r="B3495" s="38" t="s">
        <v>7473</v>
      </c>
      <c r="C3495" s="43">
        <v>1317.0816</v>
      </c>
      <c r="D3495" s="39">
        <v>1186.56</v>
      </c>
      <c r="E3495" s="14">
        <v>9.9099099099099086E-2</v>
      </c>
    </row>
    <row r="3496" spans="1:5" x14ac:dyDescent="0.25">
      <c r="A3496" s="44" t="s">
        <v>7474</v>
      </c>
      <c r="B3496" s="38" t="s">
        <v>7475</v>
      </c>
      <c r="C3496" s="43">
        <v>2048.7936000000004</v>
      </c>
      <c r="D3496" s="39">
        <v>1845.7600000000002</v>
      </c>
      <c r="E3496" s="14">
        <v>9.9099099099099197E-2</v>
      </c>
    </row>
    <row r="3497" spans="1:5" x14ac:dyDescent="0.25">
      <c r="A3497" s="44" t="s">
        <v>7476</v>
      </c>
      <c r="B3497" s="38" t="s">
        <v>7477</v>
      </c>
      <c r="C3497" s="43">
        <v>2634.1632</v>
      </c>
      <c r="D3497" s="39">
        <v>2373.12</v>
      </c>
      <c r="E3497" s="14">
        <v>9.9099099099099086E-2</v>
      </c>
    </row>
    <row r="3498" spans="1:5" x14ac:dyDescent="0.25">
      <c r="A3498" s="44" t="s">
        <v>7478</v>
      </c>
      <c r="B3498" s="38" t="s">
        <v>7479</v>
      </c>
      <c r="C3498" s="43">
        <v>4097.5872000000008</v>
      </c>
      <c r="D3498" s="39">
        <v>3691.5200000000004</v>
      </c>
      <c r="E3498" s="14">
        <v>9.9099099099099197E-2</v>
      </c>
    </row>
    <row r="3499" spans="1:5" x14ac:dyDescent="0.25">
      <c r="A3499" s="44" t="s">
        <v>7480</v>
      </c>
      <c r="B3499" s="38" t="s">
        <v>7481</v>
      </c>
      <c r="C3499" s="43">
        <v>3292.7040000000002</v>
      </c>
      <c r="D3499" s="39">
        <v>2966.4</v>
      </c>
      <c r="E3499" s="14">
        <v>9.9099099099099086E-2</v>
      </c>
    </row>
    <row r="3500" spans="1:5" x14ac:dyDescent="0.25">
      <c r="A3500" s="44" t="s">
        <v>7482</v>
      </c>
      <c r="B3500" s="38" t="s">
        <v>7483</v>
      </c>
      <c r="C3500" s="43">
        <v>5121.9840000000013</v>
      </c>
      <c r="D3500" s="39">
        <v>4614.4000000000005</v>
      </c>
      <c r="E3500" s="14">
        <v>9.9099099099099197E-2</v>
      </c>
    </row>
    <row r="3501" spans="1:5" x14ac:dyDescent="0.25">
      <c r="A3501" s="44" t="s">
        <v>7484</v>
      </c>
      <c r="B3501" s="38" t="s">
        <v>7485</v>
      </c>
      <c r="C3501" s="43">
        <v>5268.3263999999999</v>
      </c>
      <c r="D3501" s="39">
        <v>4746.24</v>
      </c>
      <c r="E3501" s="14">
        <v>9.9099099099099086E-2</v>
      </c>
    </row>
    <row r="3502" spans="1:5" x14ac:dyDescent="0.25">
      <c r="A3502" s="44" t="s">
        <v>7486</v>
      </c>
      <c r="B3502" s="38" t="s">
        <v>7487</v>
      </c>
      <c r="C3502" s="43">
        <v>8195.1744000000017</v>
      </c>
      <c r="D3502" s="39">
        <v>7383.0400000000009</v>
      </c>
      <c r="E3502" s="14">
        <v>9.9099099099099197E-2</v>
      </c>
    </row>
    <row r="3503" spans="1:5" x14ac:dyDescent="0.25">
      <c r="A3503" s="44" t="s">
        <v>7488</v>
      </c>
      <c r="B3503" s="38" t="s">
        <v>7489</v>
      </c>
      <c r="C3503" s="43">
        <v>6585.4080000000004</v>
      </c>
      <c r="D3503" s="39">
        <v>5932.8</v>
      </c>
      <c r="E3503" s="14">
        <v>9.9099099099099086E-2</v>
      </c>
    </row>
    <row r="3504" spans="1:5" x14ac:dyDescent="0.25">
      <c r="A3504" s="44" t="s">
        <v>7490</v>
      </c>
      <c r="B3504" s="38" t="s">
        <v>7491</v>
      </c>
      <c r="C3504" s="43">
        <v>10243.968000000003</v>
      </c>
      <c r="D3504" s="39">
        <v>9228.8000000000011</v>
      </c>
      <c r="E3504" s="14">
        <v>9.9099099099099197E-2</v>
      </c>
    </row>
    <row r="3505" spans="1:5" x14ac:dyDescent="0.25">
      <c r="A3505" s="44" t="s">
        <v>7492</v>
      </c>
      <c r="B3505" s="38" t="s">
        <v>7493</v>
      </c>
      <c r="C3505" s="43">
        <v>109.89000000000001</v>
      </c>
      <c r="D3505" s="39">
        <v>99</v>
      </c>
      <c r="E3505" s="14">
        <v>9.9099099099099197E-2</v>
      </c>
    </row>
    <row r="3506" spans="1:5" x14ac:dyDescent="0.25">
      <c r="A3506" s="44" t="s">
        <v>7494</v>
      </c>
      <c r="B3506" s="38" t="s">
        <v>7495</v>
      </c>
      <c r="C3506" s="43">
        <v>170.94000000000005</v>
      </c>
      <c r="D3506" s="39">
        <v>154.00000000000003</v>
      </c>
      <c r="E3506" s="14">
        <v>9.9099099099099197E-2</v>
      </c>
    </row>
    <row r="3507" spans="1:5" x14ac:dyDescent="0.25">
      <c r="A3507" s="44" t="s">
        <v>7496</v>
      </c>
      <c r="B3507" s="38" t="s">
        <v>7497</v>
      </c>
      <c r="C3507" s="43">
        <v>219.58020000000002</v>
      </c>
      <c r="D3507" s="39">
        <v>197.82</v>
      </c>
      <c r="E3507" s="14">
        <v>9.9099099099099197E-2</v>
      </c>
    </row>
    <row r="3508" spans="1:5" x14ac:dyDescent="0.25">
      <c r="A3508" s="44" t="s">
        <v>7498</v>
      </c>
      <c r="B3508" s="38" t="s">
        <v>7499</v>
      </c>
      <c r="C3508" s="43">
        <v>341.56920000000008</v>
      </c>
      <c r="D3508" s="39">
        <v>307.72000000000003</v>
      </c>
      <c r="E3508" s="14">
        <v>9.9099099099099197E-2</v>
      </c>
    </row>
    <row r="3509" spans="1:5" x14ac:dyDescent="0.25">
      <c r="A3509" s="44" t="s">
        <v>7500</v>
      </c>
      <c r="B3509" s="38" t="s">
        <v>7501</v>
      </c>
      <c r="C3509" s="43">
        <v>439.16040000000004</v>
      </c>
      <c r="D3509" s="39">
        <v>395.64</v>
      </c>
      <c r="E3509" s="14">
        <v>9.9099099099099197E-2</v>
      </c>
    </row>
    <row r="3510" spans="1:5" x14ac:dyDescent="0.25">
      <c r="A3510" s="44" t="s">
        <v>7502</v>
      </c>
      <c r="B3510" s="38" t="s">
        <v>7503</v>
      </c>
      <c r="C3510" s="43">
        <v>683.13840000000016</v>
      </c>
      <c r="D3510" s="39">
        <v>615.44000000000005</v>
      </c>
      <c r="E3510" s="14">
        <v>9.9099099099099197E-2</v>
      </c>
    </row>
    <row r="3511" spans="1:5" x14ac:dyDescent="0.25">
      <c r="A3511" s="44" t="s">
        <v>7504</v>
      </c>
      <c r="B3511" s="38" t="s">
        <v>7505</v>
      </c>
      <c r="C3511" s="43">
        <v>658.54079999999999</v>
      </c>
      <c r="D3511" s="39">
        <v>593.28</v>
      </c>
      <c r="E3511" s="14">
        <v>9.9099099099099086E-2</v>
      </c>
    </row>
    <row r="3512" spans="1:5" x14ac:dyDescent="0.25">
      <c r="A3512" s="44" t="s">
        <v>7506</v>
      </c>
      <c r="B3512" s="38" t="s">
        <v>7507</v>
      </c>
      <c r="C3512" s="43">
        <v>1024.3968000000002</v>
      </c>
      <c r="D3512" s="39">
        <v>922.88000000000011</v>
      </c>
      <c r="E3512" s="14">
        <v>9.9099099099099197E-2</v>
      </c>
    </row>
    <row r="3513" spans="1:5" x14ac:dyDescent="0.25">
      <c r="A3513" s="44" t="s">
        <v>7508</v>
      </c>
      <c r="B3513" s="38" t="s">
        <v>7509</v>
      </c>
      <c r="C3513" s="43">
        <v>1317.0816</v>
      </c>
      <c r="D3513" s="39">
        <v>1186.56</v>
      </c>
      <c r="E3513" s="14">
        <v>9.9099099099099086E-2</v>
      </c>
    </row>
    <row r="3514" spans="1:5" x14ac:dyDescent="0.25">
      <c r="A3514" s="44" t="s">
        <v>7510</v>
      </c>
      <c r="B3514" s="38" t="s">
        <v>7511</v>
      </c>
      <c r="C3514" s="43">
        <v>2048.7936000000004</v>
      </c>
      <c r="D3514" s="39">
        <v>1845.7600000000002</v>
      </c>
      <c r="E3514" s="14">
        <v>9.9099099099099197E-2</v>
      </c>
    </row>
    <row r="3515" spans="1:5" x14ac:dyDescent="0.25">
      <c r="A3515" s="44" t="s">
        <v>7512</v>
      </c>
      <c r="B3515" s="38" t="s">
        <v>7513</v>
      </c>
      <c r="C3515" s="43">
        <v>1646.3520000000001</v>
      </c>
      <c r="D3515" s="39">
        <v>1483.2</v>
      </c>
      <c r="E3515" s="14">
        <v>9.9099099099099086E-2</v>
      </c>
    </row>
    <row r="3516" spans="1:5" x14ac:dyDescent="0.25">
      <c r="A3516" s="44" t="s">
        <v>7514</v>
      </c>
      <c r="B3516" s="38" t="s">
        <v>7515</v>
      </c>
      <c r="C3516" s="43">
        <v>2560.9920000000006</v>
      </c>
      <c r="D3516" s="39">
        <v>2307.2000000000003</v>
      </c>
      <c r="E3516" s="14">
        <v>9.9099099099099197E-2</v>
      </c>
    </row>
    <row r="3517" spans="1:5" x14ac:dyDescent="0.25">
      <c r="A3517" s="44" t="s">
        <v>7516</v>
      </c>
      <c r="B3517" s="38" t="s">
        <v>7517</v>
      </c>
      <c r="C3517" s="43">
        <v>2634.1632</v>
      </c>
      <c r="D3517" s="39">
        <v>2373.12</v>
      </c>
      <c r="E3517" s="14">
        <v>9.9099099099099086E-2</v>
      </c>
    </row>
    <row r="3518" spans="1:5" x14ac:dyDescent="0.25">
      <c r="A3518" s="44" t="s">
        <v>7518</v>
      </c>
      <c r="B3518" s="38" t="s">
        <v>7519</v>
      </c>
      <c r="C3518" s="43">
        <v>4097.5872000000008</v>
      </c>
      <c r="D3518" s="39">
        <v>3691.5200000000004</v>
      </c>
      <c r="E3518" s="14">
        <v>9.9099099099099197E-2</v>
      </c>
    </row>
    <row r="3519" spans="1:5" x14ac:dyDescent="0.25">
      <c r="A3519" s="44" t="s">
        <v>7520</v>
      </c>
      <c r="B3519" s="38" t="s">
        <v>7521</v>
      </c>
      <c r="C3519" s="43">
        <v>3292.7040000000002</v>
      </c>
      <c r="D3519" s="39">
        <v>2966.4</v>
      </c>
      <c r="E3519" s="14">
        <v>9.9099099099099086E-2</v>
      </c>
    </row>
    <row r="3520" spans="1:5" x14ac:dyDescent="0.25">
      <c r="A3520" s="44" t="s">
        <v>7522</v>
      </c>
      <c r="B3520" s="38" t="s">
        <v>7523</v>
      </c>
      <c r="C3520" s="43">
        <v>5121.9840000000013</v>
      </c>
      <c r="D3520" s="39">
        <v>4614.4000000000005</v>
      </c>
      <c r="E3520" s="14">
        <v>9.9099099099099197E-2</v>
      </c>
    </row>
    <row r="3521" spans="1:5" x14ac:dyDescent="0.25">
      <c r="A3521" s="44" t="s">
        <v>7524</v>
      </c>
      <c r="B3521" s="38" t="s">
        <v>7525</v>
      </c>
      <c r="C3521" s="43">
        <v>1800</v>
      </c>
      <c r="D3521" s="39">
        <v>1620</v>
      </c>
      <c r="E3521" s="14">
        <v>9.9999999999999978E-2</v>
      </c>
    </row>
    <row r="3522" spans="1:5" x14ac:dyDescent="0.25">
      <c r="A3522" s="44" t="s">
        <v>7526</v>
      </c>
      <c r="B3522" s="38" t="s">
        <v>7527</v>
      </c>
      <c r="C3522" s="43">
        <v>2250</v>
      </c>
      <c r="D3522" s="39">
        <v>2025</v>
      </c>
      <c r="E3522" s="14">
        <v>9.9999999999999978E-2</v>
      </c>
    </row>
    <row r="3523" spans="1:5" x14ac:dyDescent="0.25">
      <c r="A3523" s="44" t="s">
        <v>7528</v>
      </c>
      <c r="B3523" s="38" t="s">
        <v>7529</v>
      </c>
      <c r="C3523" s="43">
        <v>3600</v>
      </c>
      <c r="D3523" s="39">
        <v>3240</v>
      </c>
      <c r="E3523" s="14">
        <v>9.9999999999999978E-2</v>
      </c>
    </row>
    <row r="3524" spans="1:5" x14ac:dyDescent="0.25">
      <c r="A3524" s="44" t="s">
        <v>7530</v>
      </c>
      <c r="B3524" s="38" t="s">
        <v>7531</v>
      </c>
      <c r="C3524" s="43">
        <v>11700</v>
      </c>
      <c r="D3524" s="39">
        <v>10530</v>
      </c>
      <c r="E3524" s="14">
        <v>9.9999999999999978E-2</v>
      </c>
    </row>
    <row r="3525" spans="1:5" x14ac:dyDescent="0.25">
      <c r="A3525" s="44" t="s">
        <v>7532</v>
      </c>
      <c r="B3525" s="38" t="s">
        <v>7533</v>
      </c>
      <c r="C3525" s="43">
        <v>22500</v>
      </c>
      <c r="D3525" s="39">
        <v>20250</v>
      </c>
      <c r="E3525" s="14">
        <v>9.9999999999999978E-2</v>
      </c>
    </row>
    <row r="3526" spans="1:5" x14ac:dyDescent="0.25">
      <c r="A3526" s="44" t="s">
        <v>7534</v>
      </c>
      <c r="B3526" s="38" t="s">
        <v>7535</v>
      </c>
      <c r="C3526" s="43">
        <v>31500</v>
      </c>
      <c r="D3526" s="39">
        <v>28350</v>
      </c>
      <c r="E3526" s="14">
        <v>9.9999999999999978E-2</v>
      </c>
    </row>
    <row r="3527" spans="1:5" x14ac:dyDescent="0.25">
      <c r="A3527" s="44" t="s">
        <v>7536</v>
      </c>
      <c r="B3527" s="38" t="s">
        <v>7537</v>
      </c>
      <c r="C3527" s="43">
        <v>45000</v>
      </c>
      <c r="D3527" s="39">
        <v>40500</v>
      </c>
      <c r="E3527" s="14">
        <v>9.9999999999999978E-2</v>
      </c>
    </row>
    <row r="3528" spans="1:5" x14ac:dyDescent="0.25">
      <c r="A3528" s="44" t="s">
        <v>7538</v>
      </c>
      <c r="B3528" s="38" t="s">
        <v>7539</v>
      </c>
      <c r="C3528" s="43">
        <v>900</v>
      </c>
      <c r="D3528" s="39">
        <v>810</v>
      </c>
      <c r="E3528" s="14">
        <v>9.9999999999999978E-2</v>
      </c>
    </row>
    <row r="3529" spans="1:5" x14ac:dyDescent="0.25">
      <c r="A3529" s="44" t="s">
        <v>7540</v>
      </c>
      <c r="B3529" s="38" t="s">
        <v>7541</v>
      </c>
      <c r="C3529" s="43">
        <v>3420</v>
      </c>
      <c r="D3529" s="39">
        <v>3078</v>
      </c>
      <c r="E3529" s="14">
        <v>9.9999999999999978E-2</v>
      </c>
    </row>
    <row r="3530" spans="1:5" x14ac:dyDescent="0.25">
      <c r="A3530" s="44" t="s">
        <v>7542</v>
      </c>
      <c r="B3530" s="38" t="s">
        <v>7543</v>
      </c>
      <c r="C3530" s="43">
        <v>6570</v>
      </c>
      <c r="D3530" s="39">
        <v>5913</v>
      </c>
      <c r="E3530" s="14">
        <v>9.9999999999999978E-2</v>
      </c>
    </row>
    <row r="3531" spans="1:5" x14ac:dyDescent="0.25">
      <c r="A3531" s="44" t="s">
        <v>7544</v>
      </c>
      <c r="B3531" s="38" t="s">
        <v>7545</v>
      </c>
      <c r="C3531" s="43">
        <v>11070</v>
      </c>
      <c r="D3531" s="39">
        <v>9963</v>
      </c>
      <c r="E3531" s="14">
        <v>9.9999999999999978E-2</v>
      </c>
    </row>
    <row r="3532" spans="1:5" x14ac:dyDescent="0.25">
      <c r="A3532" s="44" t="s">
        <v>7546</v>
      </c>
      <c r="B3532" s="38" t="s">
        <v>7547</v>
      </c>
      <c r="C3532" s="43">
        <v>72</v>
      </c>
      <c r="D3532" s="39">
        <v>64.8</v>
      </c>
      <c r="E3532" s="14">
        <v>0.10000000000000009</v>
      </c>
    </row>
    <row r="3533" spans="1:5" x14ac:dyDescent="0.25">
      <c r="A3533" s="44" t="s">
        <v>7548</v>
      </c>
      <c r="B3533" s="38" t="s">
        <v>7525</v>
      </c>
      <c r="C3533" s="43">
        <v>1800</v>
      </c>
      <c r="D3533" s="39">
        <v>1620</v>
      </c>
      <c r="E3533" s="14">
        <v>9.9999999999999978E-2</v>
      </c>
    </row>
    <row r="3534" spans="1:5" x14ac:dyDescent="0.25">
      <c r="A3534" s="44" t="s">
        <v>7549</v>
      </c>
      <c r="B3534" s="38" t="s">
        <v>7547</v>
      </c>
      <c r="C3534" s="43">
        <v>72</v>
      </c>
      <c r="D3534" s="39">
        <v>64.8</v>
      </c>
      <c r="E3534" s="14">
        <v>0.10000000000000009</v>
      </c>
    </row>
    <row r="3535" spans="1:5" x14ac:dyDescent="0.25">
      <c r="A3535" s="44" t="s">
        <v>7550</v>
      </c>
      <c r="B3535" s="38" t="s">
        <v>7551</v>
      </c>
      <c r="C3535" s="43">
        <v>2700</v>
      </c>
      <c r="D3535" s="39">
        <v>2430</v>
      </c>
      <c r="E3535" s="14">
        <v>9.9999999999999978E-2</v>
      </c>
    </row>
    <row r="3536" spans="1:5" x14ac:dyDescent="0.25">
      <c r="A3536" s="44" t="s">
        <v>7552</v>
      </c>
      <c r="B3536" s="38" t="s">
        <v>7553</v>
      </c>
      <c r="C3536" s="43">
        <v>450</v>
      </c>
      <c r="D3536" s="39">
        <v>405</v>
      </c>
      <c r="E3536" s="14">
        <v>9.9999999999999978E-2</v>
      </c>
    </row>
    <row r="3537" spans="1:6" x14ac:dyDescent="0.25">
      <c r="A3537" s="44" t="s">
        <v>7554</v>
      </c>
      <c r="B3537" s="38" t="s">
        <v>7551</v>
      </c>
      <c r="C3537" s="43">
        <v>2700</v>
      </c>
      <c r="D3537" s="39">
        <v>2430</v>
      </c>
      <c r="E3537" s="14">
        <v>9.9999999999999978E-2</v>
      </c>
    </row>
    <row r="3538" spans="1:6" x14ac:dyDescent="0.25">
      <c r="A3538" s="44" t="s">
        <v>7555</v>
      </c>
      <c r="B3538" s="38" t="s">
        <v>7556</v>
      </c>
      <c r="C3538" s="43">
        <v>838.60000000000025</v>
      </c>
      <c r="D3538" s="39">
        <v>628.95000000000016</v>
      </c>
      <c r="E3538" s="14">
        <v>0.25</v>
      </c>
    </row>
    <row r="3539" spans="1:6" x14ac:dyDescent="0.25">
      <c r="A3539" s="44" t="s">
        <v>7557</v>
      </c>
      <c r="B3539" s="38" t="s">
        <v>7558</v>
      </c>
      <c r="C3539" s="43">
        <v>138.60000000000002</v>
      </c>
      <c r="D3539" s="39">
        <v>103.95000000000002</v>
      </c>
      <c r="E3539" s="14">
        <v>0.25</v>
      </c>
    </row>
    <row r="3540" spans="1:6" x14ac:dyDescent="0.25">
      <c r="A3540" s="44" t="s">
        <v>7559</v>
      </c>
      <c r="B3540" s="38" t="s">
        <v>7560</v>
      </c>
      <c r="C3540" s="43">
        <v>278.60000000000002</v>
      </c>
      <c r="D3540" s="39">
        <v>208.95000000000002</v>
      </c>
      <c r="E3540" s="14">
        <v>0.25</v>
      </c>
    </row>
    <row r="3541" spans="1:6" x14ac:dyDescent="0.25">
      <c r="A3541" s="44" t="s">
        <v>7561</v>
      </c>
      <c r="B3541" s="38" t="s">
        <v>7562</v>
      </c>
      <c r="C3541" s="43">
        <v>474.59999999999997</v>
      </c>
      <c r="D3541" s="39">
        <v>355.95</v>
      </c>
      <c r="E3541" s="14">
        <v>0.25</v>
      </c>
    </row>
    <row r="3542" spans="1:6" x14ac:dyDescent="0.25">
      <c r="A3542" s="44" t="s">
        <v>7563</v>
      </c>
      <c r="B3542" s="38" t="s">
        <v>7564</v>
      </c>
      <c r="C3542" s="43">
        <v>866.60000000000025</v>
      </c>
      <c r="D3542" s="39">
        <v>649.95000000000016</v>
      </c>
      <c r="E3542" s="14">
        <v>0.25</v>
      </c>
    </row>
    <row r="3543" spans="1:6" x14ac:dyDescent="0.25">
      <c r="A3543" s="44" t="s">
        <v>7565</v>
      </c>
      <c r="B3543" s="38" t="str">
        <f>CONCATENATE(Hardware!B4," - Platinum Maintenance")</f>
        <v>CR-135i, 135cpm Canon Check Scanner - Platinum Maintenance</v>
      </c>
      <c r="C3543" s="43">
        <f>Hardware!C4*0.23</f>
        <v>642.85</v>
      </c>
      <c r="D3543" s="39">
        <f>C3543*(1-E3543)</f>
        <v>578.56500000000005</v>
      </c>
      <c r="E3543" s="14">
        <v>9.9999999999999978E-2</v>
      </c>
      <c r="F3543" s="42">
        <v>23</v>
      </c>
    </row>
    <row r="3544" spans="1:6" x14ac:dyDescent="0.25">
      <c r="A3544" s="44" t="s">
        <v>7566</v>
      </c>
      <c r="B3544" s="38" t="str">
        <f>CONCATENATE(Hardware!B5," - Platinum Maintenance")</f>
        <v>CR-190i, 190cpm Canon Check Scanner - Platinum Maintenance</v>
      </c>
      <c r="C3544" s="43">
        <f>Hardware!C5*0.23</f>
        <v>803.85</v>
      </c>
      <c r="D3544" s="39">
        <f>C3544*(1-E3544)</f>
        <v>723.46500000000003</v>
      </c>
      <c r="E3544" s="14">
        <v>9.9999999999999978E-2</v>
      </c>
    </row>
    <row r="3545" spans="1:6" x14ac:dyDescent="0.25">
      <c r="A3545" s="44" t="s">
        <v>7567</v>
      </c>
      <c r="B3545" s="38" t="str">
        <f>CONCATENATE(Hardware!B6," - Platinum Maintenance")</f>
        <v>CR-50, 50cpm Canon Check Scanner - Platinum Maintenance</v>
      </c>
      <c r="C3545" s="43">
        <f>Hardware!C6*0.23</f>
        <v>182.85</v>
      </c>
      <c r="D3545" s="39">
        <f t="shared" ref="D3545:D3586" si="1">C3545*(1-E3545)</f>
        <v>164.565</v>
      </c>
      <c r="E3545" s="14">
        <v>9.9999999999999978E-2</v>
      </c>
    </row>
    <row r="3546" spans="1:6" x14ac:dyDescent="0.25">
      <c r="A3546" s="44" t="s">
        <v>7568</v>
      </c>
      <c r="B3546" s="38" t="str">
        <f>CONCATENATE(Hardware!B7," - Platinum Maintenance")</f>
        <v>CR-80, 80cpm Canon Check Scanner  - Platinum Maintenance</v>
      </c>
      <c r="C3546" s="43">
        <f>Hardware!C7*0.23</f>
        <v>228.85000000000002</v>
      </c>
      <c r="D3546" s="39">
        <f t="shared" si="1"/>
        <v>205.96500000000003</v>
      </c>
      <c r="E3546" s="14">
        <v>9.9999999999999978E-2</v>
      </c>
    </row>
    <row r="3547" spans="1:6" x14ac:dyDescent="0.25">
      <c r="A3547" s="44" t="s">
        <v>7569</v>
      </c>
      <c r="B3547" s="38" t="str">
        <f>CONCATENATE(Hardware!B8," - Platinum Maintenance")</f>
        <v>DR-C125, 25ppm/50ipm Canon Color Scanner - Platinum Maintenance</v>
      </c>
      <c r="C3547" s="43">
        <f>Hardware!C8*0.23</f>
        <v>113.85000000000001</v>
      </c>
      <c r="D3547" s="39">
        <f t="shared" si="1"/>
        <v>102.465</v>
      </c>
      <c r="E3547" s="14">
        <v>9.9999999999999978E-2</v>
      </c>
    </row>
    <row r="3548" spans="1:6" x14ac:dyDescent="0.25">
      <c r="A3548" s="44" t="s">
        <v>7570</v>
      </c>
      <c r="B3548" s="38" t="str">
        <f>CONCATENATE(Hardware!B9," - Platinum Maintenance")</f>
        <v>DR-C130, 30ppm/60ipm Canon Color Scanner - Platinum Maintenance</v>
      </c>
      <c r="C3548" s="43">
        <f>Hardware!C9*0.23</f>
        <v>136.85</v>
      </c>
      <c r="D3548" s="39">
        <f t="shared" si="1"/>
        <v>123.16499999999999</v>
      </c>
      <c r="E3548" s="14">
        <v>9.9999999999999978E-2</v>
      </c>
    </row>
    <row r="3549" spans="1:6" x14ac:dyDescent="0.25">
      <c r="A3549" s="44" t="s">
        <v>7571</v>
      </c>
      <c r="B3549" s="38" t="str">
        <f>CONCATENATE(Hardware!B10," - Platinum Maintenance")</f>
        <v>DR-2020U, 20ppm/40ipm Canon Color Scanner - Platinum Maintenance</v>
      </c>
      <c r="C3549" s="43">
        <f>Hardware!C10*0.23</f>
        <v>159.85</v>
      </c>
      <c r="D3549" s="39">
        <f t="shared" si="1"/>
        <v>143.86500000000001</v>
      </c>
      <c r="E3549" s="14">
        <v>9.9999999999999978E-2</v>
      </c>
    </row>
    <row r="3550" spans="1:6" x14ac:dyDescent="0.25">
      <c r="A3550" s="44" t="s">
        <v>7572</v>
      </c>
      <c r="B3550" s="38" t="str">
        <f>CONCATENATE(Hardware!B11," - Platinum Maintenance")</f>
        <v>DR-3010C, 30ppm Canon Color Scanner - Platinum Maintenance</v>
      </c>
      <c r="C3550" s="43">
        <f>Hardware!C11*0.23</f>
        <v>251.85000000000002</v>
      </c>
      <c r="D3550" s="39">
        <f t="shared" si="1"/>
        <v>226.66500000000002</v>
      </c>
      <c r="E3550" s="14">
        <v>9.9999999999999978E-2</v>
      </c>
    </row>
    <row r="3551" spans="1:6" x14ac:dyDescent="0.25">
      <c r="A3551" s="44" t="s">
        <v>7573</v>
      </c>
      <c r="B3551" s="38" t="str">
        <f>CONCATENATE(Hardware!B12," - Platinum Maintenance")</f>
        <v>DR-M140, 40ppm/80ipm Canon Color Scanner - Platinum Maintenance</v>
      </c>
      <c r="C3551" s="43">
        <f>Hardware!C12*0.23</f>
        <v>274.85000000000002</v>
      </c>
      <c r="D3551" s="39">
        <f t="shared" si="1"/>
        <v>247.36500000000004</v>
      </c>
      <c r="E3551" s="14">
        <v>9.9999999999999978E-2</v>
      </c>
    </row>
    <row r="3552" spans="1:6" x14ac:dyDescent="0.25">
      <c r="A3552" s="44" t="s">
        <v>7574</v>
      </c>
      <c r="B3552" s="38" t="str">
        <f>CONCATENATE(Hardware!B13," - Platinum Maintenance")</f>
        <v>DR-M160, 60ppm/120ipm Canon Color Scanner - Platinum Maintenance</v>
      </c>
      <c r="C3552" s="43">
        <f>Hardware!C13*0.23</f>
        <v>297.85000000000002</v>
      </c>
      <c r="D3552" s="39">
        <f t="shared" si="1"/>
        <v>268.06500000000005</v>
      </c>
      <c r="E3552" s="14">
        <v>9.9999999999999978E-2</v>
      </c>
    </row>
    <row r="3553" spans="1:6" x14ac:dyDescent="0.25">
      <c r="A3553" s="44" t="s">
        <v>7575</v>
      </c>
      <c r="B3553" s="38" t="str">
        <f>CONCATENATE(Hardware!B14," - Platinum Maintenance")</f>
        <v>DR-6010C, 60ppm/ 120ipm Canon Color Scanner - Platinum Maintenance</v>
      </c>
      <c r="C3553" s="43">
        <f>Hardware!C14*0.23</f>
        <v>803.85</v>
      </c>
      <c r="D3553" s="39">
        <f t="shared" si="1"/>
        <v>723.46500000000003</v>
      </c>
      <c r="E3553" s="14">
        <v>9.9999999999999978E-2</v>
      </c>
    </row>
    <row r="3554" spans="1:6" x14ac:dyDescent="0.25">
      <c r="A3554" s="44" t="s">
        <v>7576</v>
      </c>
      <c r="B3554" s="38" t="str">
        <f>CONCATENATE(Hardware!B15," - Platinum Maintenance")</f>
        <v>DR-6030C, 80ppm/160ipm Canon Color Scanner - Platinum Maintenance</v>
      </c>
      <c r="C3554" s="43">
        <f>Hardware!C15*0.23</f>
        <v>1033.8500000000001</v>
      </c>
      <c r="D3554" s="39">
        <f t="shared" si="1"/>
        <v>930.46500000000015</v>
      </c>
      <c r="E3554" s="14">
        <v>9.9999999999999978E-2</v>
      </c>
    </row>
    <row r="3555" spans="1:6" x14ac:dyDescent="0.25">
      <c r="A3555" s="44" t="s">
        <v>7577</v>
      </c>
      <c r="B3555" s="38" t="str">
        <f>CONCATENATE(Hardware!B16," - Platinum Maintenance")</f>
        <v>DR-G1100, 100 ppm / 200ipm Canon Color Scanner - Platinum Maintenance</v>
      </c>
      <c r="C3555" s="43">
        <f>Hardware!C16*0.23</f>
        <v>1558.25</v>
      </c>
      <c r="D3555" s="39">
        <f t="shared" si="1"/>
        <v>1402.425</v>
      </c>
      <c r="E3555" s="14">
        <v>9.9999999999999978E-2</v>
      </c>
    </row>
    <row r="3556" spans="1:6" x14ac:dyDescent="0.25">
      <c r="A3556" s="44" t="s">
        <v>7578</v>
      </c>
      <c r="B3556" s="38" t="str">
        <f>CONCATENATE(Hardware!B17," - Platinum Maintenance")</f>
        <v>DR-G1130, 130ppm/260ipm Canon Color Scanner - Platinum Maintenance</v>
      </c>
      <c r="C3556" s="43">
        <f>Hardware!C17*0.23</f>
        <v>2294.25</v>
      </c>
      <c r="D3556" s="39">
        <f t="shared" si="1"/>
        <v>2064.8250000000003</v>
      </c>
      <c r="E3556" s="14">
        <v>9.9999999999999978E-2</v>
      </c>
    </row>
    <row r="3557" spans="1:6" x14ac:dyDescent="0.25">
      <c r="A3557" s="44" t="s">
        <v>7579</v>
      </c>
      <c r="B3557" s="38" t="str">
        <f>CONCATENATE(Hardware!B18," - Platinum Maintenance")</f>
        <v>DR-X10C, 128ppm/256ipm Canon Color Scanner - Platinum Maintenance</v>
      </c>
      <c r="C3557" s="43">
        <f>Hardware!C18*0.23</f>
        <v>4138.8500000000004</v>
      </c>
      <c r="D3557" s="39">
        <f t="shared" si="1"/>
        <v>3724.9650000000006</v>
      </c>
      <c r="E3557" s="14">
        <v>9.9999999999999978E-2</v>
      </c>
    </row>
    <row r="3558" spans="1:6" x14ac:dyDescent="0.25">
      <c r="A3558" s="44" t="s">
        <v>7580</v>
      </c>
      <c r="B3558" s="38" t="str">
        <f>CONCATENATE(Hardware!B19," - Platinum Maintenance")</f>
        <v>P-150 Canon Color Scanner  - Platinum Maintenance</v>
      </c>
      <c r="C3558" s="43">
        <f>Hardware!C19*0.23</f>
        <v>67.850000000000009</v>
      </c>
      <c r="D3558" s="39">
        <f t="shared" si="1"/>
        <v>54.280000000000008</v>
      </c>
      <c r="E3558" s="14">
        <v>0.19999999999999996</v>
      </c>
    </row>
    <row r="3559" spans="1:6" x14ac:dyDescent="0.25">
      <c r="A3559" s="44" t="s">
        <v>7581</v>
      </c>
      <c r="B3559" s="38" t="str">
        <f>CONCATENATE(Hardware!B20," - Platinum Maintenance")</f>
        <v>ScanFront 300P 30ppm/60ipm Scanner - Platinum Maintenance</v>
      </c>
      <c r="C3559" s="43">
        <f>Hardware!C20*0.23</f>
        <v>527.85</v>
      </c>
      <c r="D3559" s="39">
        <f t="shared" si="1"/>
        <v>475.06500000000005</v>
      </c>
      <c r="E3559" s="14">
        <v>9.9999999999999978E-2</v>
      </c>
    </row>
    <row r="3560" spans="1:6" x14ac:dyDescent="0.25">
      <c r="A3560" s="44" t="s">
        <v>7582</v>
      </c>
      <c r="B3560" s="38" t="str">
        <f>CONCATENATE(Hardware!B21," - Platinum Maintenance")</f>
        <v>ScanFront 300 30ppm/60ipm Scanner - Platinum Maintenance</v>
      </c>
      <c r="C3560" s="43">
        <f>Hardware!C21*0.23</f>
        <v>458.85</v>
      </c>
      <c r="D3560" s="39">
        <f t="shared" si="1"/>
        <v>412.96500000000003</v>
      </c>
      <c r="E3560" s="14">
        <v>9.9999999999999978E-2</v>
      </c>
    </row>
    <row r="3561" spans="1:6" x14ac:dyDescent="0.25">
      <c r="A3561" s="44" t="s">
        <v>7583</v>
      </c>
      <c r="B3561" s="38" t="str">
        <f>CONCATENATE(Hardware!B22," - Platinum Maintenance")</f>
        <v>ScanFront 300P CAC/PIV 30ppm/60ipm Scanner - Platinum Maintenance</v>
      </c>
      <c r="C3561" s="43">
        <f>Hardware!C22*0.23</f>
        <v>619.85</v>
      </c>
      <c r="D3561" s="39">
        <f t="shared" si="1"/>
        <v>557.86500000000001</v>
      </c>
      <c r="E3561" s="14">
        <v>9.9999999999999978E-2</v>
      </c>
    </row>
    <row r="3562" spans="1:6" x14ac:dyDescent="0.25">
      <c r="A3562" s="44" t="s">
        <v>7584</v>
      </c>
      <c r="B3562" s="38" t="str">
        <f>CONCATENATE(Hardware!B23," - Platinum Maintenance")</f>
        <v>ScanFront 300 CAC/PIV 30ppm/60ipm Scanner - Platinum Maintenance</v>
      </c>
      <c r="C3562" s="43">
        <f>Hardware!C23*0.23</f>
        <v>550.85</v>
      </c>
      <c r="D3562" s="39">
        <f t="shared" si="1"/>
        <v>495.76500000000004</v>
      </c>
      <c r="E3562" s="14">
        <v>9.9999999999999978E-2</v>
      </c>
    </row>
    <row r="3563" spans="1:6" x14ac:dyDescent="0.25">
      <c r="A3563" s="44" t="s">
        <v>7585</v>
      </c>
      <c r="B3563" s="38" t="str">
        <f>CONCATENATE(Hardware!B24," - Platinum Maintenance")</f>
        <v>ScanFront 220eP 24ppm/26ipm Scanner - Platinum Maintenance</v>
      </c>
      <c r="C3563" s="43">
        <f>Hardware!C24*0.23</f>
        <v>734.85</v>
      </c>
      <c r="D3563" s="39">
        <f t="shared" si="1"/>
        <v>661.36500000000001</v>
      </c>
      <c r="E3563" s="14">
        <v>9.9999999999999978E-2</v>
      </c>
    </row>
    <row r="3564" spans="1:6" x14ac:dyDescent="0.25">
      <c r="A3564" s="44" t="s">
        <v>7586</v>
      </c>
      <c r="B3564" s="38" t="str">
        <f>CONCATENATE(Hardware!B25," - Platinum Maintenance")</f>
        <v>ScanFront 220e 24ppm/26ipm Scanner - Platinum Maintenance</v>
      </c>
      <c r="C3564" s="43">
        <f>Hardware!C25*0.23</f>
        <v>688.85</v>
      </c>
      <c r="D3564" s="39">
        <f t="shared" si="1"/>
        <v>619.96500000000003</v>
      </c>
      <c r="E3564" s="14">
        <v>9.9999999999999978E-2</v>
      </c>
    </row>
    <row r="3565" spans="1:6" x14ac:dyDescent="0.25">
      <c r="A3565" s="44" t="s">
        <v>7587</v>
      </c>
      <c r="B3565" s="38" t="str">
        <f>CONCATENATE(Hardware!B4," - Standard Maintenance")</f>
        <v>CR-135i, 135cpm Canon Check Scanner - Standard Maintenance</v>
      </c>
      <c r="C3565" s="43">
        <f>Hardware!C4*0.13</f>
        <v>363.35</v>
      </c>
      <c r="D3565" s="39">
        <f t="shared" si="1"/>
        <v>327.01500000000004</v>
      </c>
      <c r="E3565" s="14">
        <v>9.9999999999999978E-2</v>
      </c>
      <c r="F3565" s="42">
        <v>13</v>
      </c>
    </row>
    <row r="3566" spans="1:6" x14ac:dyDescent="0.25">
      <c r="A3566" s="44" t="s">
        <v>7588</v>
      </c>
      <c r="B3566" s="38" t="str">
        <f>CONCATENATE(Hardware!B5," - Standard Maintenance")</f>
        <v>CR-190i, 190cpm Canon Check Scanner - Standard Maintenance</v>
      </c>
      <c r="C3566" s="43">
        <f>Hardware!C5*0.13</f>
        <v>454.35</v>
      </c>
      <c r="D3566" s="39">
        <f t="shared" si="1"/>
        <v>408.91500000000002</v>
      </c>
      <c r="E3566" s="14">
        <v>9.9999999999999978E-2</v>
      </c>
    </row>
    <row r="3567" spans="1:6" x14ac:dyDescent="0.25">
      <c r="A3567" s="44" t="s">
        <v>7589</v>
      </c>
      <c r="B3567" s="38" t="str">
        <f>CONCATENATE(Hardware!B6," - Standard Maintenance")</f>
        <v>CR-50, 50cpm Canon Check Scanner - Standard Maintenance</v>
      </c>
      <c r="C3567" s="43">
        <f>Hardware!C6*0.13</f>
        <v>103.35000000000001</v>
      </c>
      <c r="D3567" s="39">
        <f t="shared" si="1"/>
        <v>93.015000000000015</v>
      </c>
      <c r="E3567" s="14">
        <v>9.9999999999999978E-2</v>
      </c>
    </row>
    <row r="3568" spans="1:6" x14ac:dyDescent="0.25">
      <c r="A3568" s="44" t="s">
        <v>7590</v>
      </c>
      <c r="B3568" s="38" t="str">
        <f>CONCATENATE(Hardware!B7," - Standard Maintenance")</f>
        <v>CR-80, 80cpm Canon Check Scanner  - Standard Maintenance</v>
      </c>
      <c r="C3568" s="43">
        <f>Hardware!C7*0.13</f>
        <v>129.35</v>
      </c>
      <c r="D3568" s="39">
        <f t="shared" si="1"/>
        <v>116.41499999999999</v>
      </c>
      <c r="E3568" s="14">
        <v>9.9999999999999978E-2</v>
      </c>
    </row>
    <row r="3569" spans="1:5" x14ac:dyDescent="0.25">
      <c r="A3569" s="44" t="s">
        <v>7591</v>
      </c>
      <c r="B3569" s="38" t="str">
        <f>CONCATENATE(Hardware!B8," - Standard Maintenance")</f>
        <v>DR-C125, 25ppm/50ipm Canon Color Scanner - Standard Maintenance</v>
      </c>
      <c r="C3569" s="43">
        <f>Hardware!C8*0.13</f>
        <v>64.350000000000009</v>
      </c>
      <c r="D3569" s="39">
        <f t="shared" si="1"/>
        <v>57.915000000000006</v>
      </c>
      <c r="E3569" s="14">
        <v>9.9999999999999978E-2</v>
      </c>
    </row>
    <row r="3570" spans="1:5" x14ac:dyDescent="0.25">
      <c r="A3570" s="44" t="s">
        <v>7592</v>
      </c>
      <c r="B3570" s="38" t="str">
        <f>CONCATENATE(Hardware!B9," - Standard Maintenance")</f>
        <v>DR-C130, 30ppm/60ipm Canon Color Scanner - Standard Maintenance</v>
      </c>
      <c r="C3570" s="43">
        <f>Hardware!C9*0.13</f>
        <v>77.350000000000009</v>
      </c>
      <c r="D3570" s="39">
        <f t="shared" si="1"/>
        <v>69.614999999999995</v>
      </c>
      <c r="E3570" s="14">
        <v>0.10000000000000009</v>
      </c>
    </row>
    <row r="3571" spans="1:5" x14ac:dyDescent="0.25">
      <c r="A3571" s="44" t="s">
        <v>7593</v>
      </c>
      <c r="B3571" s="38" t="str">
        <f>CONCATENATE(Hardware!B10," - Standard Maintenance")</f>
        <v>DR-2020U, 20ppm/40ipm Canon Color Scanner - Standard Maintenance</v>
      </c>
      <c r="C3571" s="43">
        <f>Hardware!C10*0.13</f>
        <v>90.350000000000009</v>
      </c>
      <c r="D3571" s="39">
        <f t="shared" si="1"/>
        <v>81.315000000000012</v>
      </c>
      <c r="E3571" s="14">
        <v>9.9999999999999978E-2</v>
      </c>
    </row>
    <row r="3572" spans="1:5" x14ac:dyDescent="0.25">
      <c r="A3572" s="44" t="s">
        <v>7594</v>
      </c>
      <c r="B3572" s="38" t="str">
        <f>CONCATENATE(Hardware!B11," - Standard Maintenance")</f>
        <v>DR-3010C, 30ppm Canon Color Scanner - Standard Maintenance</v>
      </c>
      <c r="C3572" s="43">
        <f>Hardware!C11*0.13</f>
        <v>142.35</v>
      </c>
      <c r="D3572" s="39">
        <f t="shared" si="1"/>
        <v>128.11499999999998</v>
      </c>
      <c r="E3572" s="14">
        <v>0.10000000000000009</v>
      </c>
    </row>
    <row r="3573" spans="1:5" x14ac:dyDescent="0.25">
      <c r="A3573" s="44" t="s">
        <v>7595</v>
      </c>
      <c r="B3573" s="38" t="str">
        <f>CONCATENATE(Hardware!B12," - Standard Maintenance")</f>
        <v>DR-M140, 40ppm/80ipm Canon Color Scanner - Standard Maintenance</v>
      </c>
      <c r="C3573" s="43">
        <f>Hardware!C12*0.13</f>
        <v>155.35</v>
      </c>
      <c r="D3573" s="39">
        <f t="shared" si="1"/>
        <v>139.815</v>
      </c>
      <c r="E3573" s="14">
        <v>9.9999999999999978E-2</v>
      </c>
    </row>
    <row r="3574" spans="1:5" x14ac:dyDescent="0.25">
      <c r="A3574" s="44" t="s">
        <v>7596</v>
      </c>
      <c r="B3574" s="38" t="str">
        <f>CONCATENATE(Hardware!B13," - Standard Maintenance")</f>
        <v>DR-M160, 60ppm/120ipm Canon Color Scanner - Standard Maintenance</v>
      </c>
      <c r="C3574" s="43">
        <f>Hardware!C13*0.13</f>
        <v>168.35</v>
      </c>
      <c r="D3574" s="39">
        <f t="shared" si="1"/>
        <v>151.51499999999999</v>
      </c>
      <c r="E3574" s="14">
        <v>9.9999999999999978E-2</v>
      </c>
    </row>
    <row r="3575" spans="1:5" x14ac:dyDescent="0.25">
      <c r="A3575" s="44" t="s">
        <v>7597</v>
      </c>
      <c r="B3575" s="38" t="str">
        <f>CONCATENATE(Hardware!B14," - Standard Maintenance")</f>
        <v>DR-6010C, 60ppm/ 120ipm Canon Color Scanner - Standard Maintenance</v>
      </c>
      <c r="C3575" s="43">
        <f>Hardware!C14*0.13</f>
        <v>454.35</v>
      </c>
      <c r="D3575" s="39">
        <f t="shared" si="1"/>
        <v>408.91500000000002</v>
      </c>
      <c r="E3575" s="14">
        <v>9.9999999999999978E-2</v>
      </c>
    </row>
    <row r="3576" spans="1:5" x14ac:dyDescent="0.25">
      <c r="A3576" s="44" t="s">
        <v>7598</v>
      </c>
      <c r="B3576" s="38" t="str">
        <f>CONCATENATE(Hardware!B15," - Standard Maintenance")</f>
        <v>DR-6030C, 80ppm/160ipm Canon Color Scanner - Standard Maintenance</v>
      </c>
      <c r="C3576" s="43">
        <f>Hardware!C15*0.13</f>
        <v>584.35</v>
      </c>
      <c r="D3576" s="39">
        <f t="shared" si="1"/>
        <v>525.91500000000008</v>
      </c>
      <c r="E3576" s="14">
        <v>9.9999999999999978E-2</v>
      </c>
    </row>
    <row r="3577" spans="1:5" x14ac:dyDescent="0.25">
      <c r="A3577" s="44" t="s">
        <v>7599</v>
      </c>
      <c r="B3577" s="38" t="str">
        <f>CONCATENATE(Hardware!B16," - Standard Maintenance")</f>
        <v>DR-G1100, 100 ppm / 200ipm Canon Color Scanner - Standard Maintenance</v>
      </c>
      <c r="C3577" s="43">
        <f>Hardware!C16*0.13</f>
        <v>880.75</v>
      </c>
      <c r="D3577" s="39">
        <f t="shared" si="1"/>
        <v>792.67500000000007</v>
      </c>
      <c r="E3577" s="14">
        <v>9.9999999999999978E-2</v>
      </c>
    </row>
    <row r="3578" spans="1:5" x14ac:dyDescent="0.25">
      <c r="A3578" s="44" t="s">
        <v>7600</v>
      </c>
      <c r="B3578" s="38" t="str">
        <f>CONCATENATE(Hardware!B17," - Standard Maintenance")</f>
        <v>DR-G1130, 130ppm/260ipm Canon Color Scanner - Standard Maintenance</v>
      </c>
      <c r="C3578" s="43">
        <f>Hardware!C17*0.13</f>
        <v>1296.75</v>
      </c>
      <c r="D3578" s="39">
        <f t="shared" si="1"/>
        <v>1167.075</v>
      </c>
      <c r="E3578" s="14">
        <v>9.9999999999999978E-2</v>
      </c>
    </row>
    <row r="3579" spans="1:5" x14ac:dyDescent="0.25">
      <c r="A3579" s="44" t="s">
        <v>7601</v>
      </c>
      <c r="B3579" s="38" t="str">
        <f>CONCATENATE(Hardware!B18," - Standard Maintenance")</f>
        <v>DR-X10C, 128ppm/256ipm Canon Color Scanner - Standard Maintenance</v>
      </c>
      <c r="C3579" s="43">
        <f>Hardware!C18*0.13</f>
        <v>2339.35</v>
      </c>
      <c r="D3579" s="39">
        <f t="shared" si="1"/>
        <v>2105.415</v>
      </c>
      <c r="E3579" s="14">
        <v>9.9999999999999978E-2</v>
      </c>
    </row>
    <row r="3580" spans="1:5" x14ac:dyDescent="0.25">
      <c r="A3580" s="44" t="s">
        <v>7602</v>
      </c>
      <c r="B3580" s="38" t="str">
        <f>CONCATENATE(Hardware!B19," - Standard Maintenance")</f>
        <v>P-150 Canon Color Scanner  - Standard Maintenance</v>
      </c>
      <c r="C3580" s="43">
        <f>Hardware!C19*0.13</f>
        <v>38.35</v>
      </c>
      <c r="D3580" s="39">
        <f t="shared" si="1"/>
        <v>34.515000000000001</v>
      </c>
      <c r="E3580" s="14">
        <v>9.9999999999999978E-2</v>
      </c>
    </row>
    <row r="3581" spans="1:5" x14ac:dyDescent="0.25">
      <c r="A3581" s="44" t="s">
        <v>7603</v>
      </c>
      <c r="B3581" s="38" t="str">
        <f>CONCATENATE(Hardware!B20," - Standard Maintenance")</f>
        <v>ScanFront 300P 30ppm/60ipm Scanner - Standard Maintenance</v>
      </c>
      <c r="C3581" s="43">
        <f>Hardware!C20*0.13</f>
        <v>298.35000000000002</v>
      </c>
      <c r="D3581" s="39">
        <f t="shared" si="1"/>
        <v>268.51500000000004</v>
      </c>
      <c r="E3581" s="14">
        <v>9.9999999999999978E-2</v>
      </c>
    </row>
    <row r="3582" spans="1:5" x14ac:dyDescent="0.25">
      <c r="A3582" s="44" t="s">
        <v>7604</v>
      </c>
      <c r="B3582" s="38" t="str">
        <f>CONCATENATE(Hardware!B21," - Standard Maintenance")</f>
        <v>ScanFront 300 30ppm/60ipm Scanner - Standard Maintenance</v>
      </c>
      <c r="C3582" s="43">
        <f>Hardware!C21*0.13</f>
        <v>259.35000000000002</v>
      </c>
      <c r="D3582" s="39">
        <f t="shared" si="1"/>
        <v>233.41500000000002</v>
      </c>
      <c r="E3582" s="14">
        <v>9.9999999999999978E-2</v>
      </c>
    </row>
    <row r="3583" spans="1:5" x14ac:dyDescent="0.25">
      <c r="A3583" s="44" t="s">
        <v>7605</v>
      </c>
      <c r="B3583" s="38" t="str">
        <f>CONCATENATE(Hardware!B22," - Standard Maintenance")</f>
        <v>ScanFront 300P CAC/PIV 30ppm/60ipm Scanner - Standard Maintenance</v>
      </c>
      <c r="C3583" s="43">
        <f>Hardware!C22*0.13</f>
        <v>350.35</v>
      </c>
      <c r="D3583" s="39">
        <f t="shared" si="1"/>
        <v>315.31500000000005</v>
      </c>
      <c r="E3583" s="14">
        <v>9.9999999999999978E-2</v>
      </c>
    </row>
    <row r="3584" spans="1:5" x14ac:dyDescent="0.25">
      <c r="A3584" s="44" t="s">
        <v>7606</v>
      </c>
      <c r="B3584" s="38" t="str">
        <f>CONCATENATE(Hardware!B23," - Standard Maintenance")</f>
        <v>ScanFront 300 CAC/PIV 30ppm/60ipm Scanner - Standard Maintenance</v>
      </c>
      <c r="C3584" s="43">
        <f>Hardware!C23*0.13</f>
        <v>311.35000000000002</v>
      </c>
      <c r="D3584" s="39">
        <f t="shared" si="1"/>
        <v>280.21500000000003</v>
      </c>
      <c r="E3584" s="14">
        <v>9.9999999999999978E-2</v>
      </c>
    </row>
    <row r="3585" spans="1:5" x14ac:dyDescent="0.25">
      <c r="A3585" s="44" t="s">
        <v>7607</v>
      </c>
      <c r="B3585" s="38" t="str">
        <f>CONCATENATE(Hardware!B24," - Standard Maintenance")</f>
        <v>ScanFront 220eP 24ppm/26ipm Scanner - Standard Maintenance</v>
      </c>
      <c r="C3585" s="43">
        <f>Hardware!C24*0.13</f>
        <v>415.35</v>
      </c>
      <c r="D3585" s="39">
        <f t="shared" si="1"/>
        <v>373.81500000000005</v>
      </c>
      <c r="E3585" s="14">
        <v>9.9999999999999978E-2</v>
      </c>
    </row>
    <row r="3586" spans="1:5" x14ac:dyDescent="0.25">
      <c r="A3586" s="44" t="s">
        <v>7608</v>
      </c>
      <c r="B3586" s="38" t="str">
        <f>CONCATENATE(Hardware!B25," - Standard Maintenance")</f>
        <v>ScanFront 220e 24ppm/26ipm Scanner - Standard Maintenance</v>
      </c>
      <c r="C3586" s="43">
        <f>Hardware!C25*0.13</f>
        <v>389.35</v>
      </c>
      <c r="D3586" s="39">
        <f t="shared" si="1"/>
        <v>350.41500000000002</v>
      </c>
      <c r="E3586" s="14">
        <v>9.9999999999999978E-2</v>
      </c>
    </row>
    <row r="3587" spans="1:5" x14ac:dyDescent="0.25">
      <c r="A3587" s="44" t="s">
        <v>7609</v>
      </c>
      <c r="B3587" s="38" t="s">
        <v>7610</v>
      </c>
      <c r="C3587" s="43">
        <v>6381.39</v>
      </c>
      <c r="D3587" s="39">
        <v>5749</v>
      </c>
      <c r="E3587" s="14">
        <v>9.9099099099099197E-2</v>
      </c>
    </row>
    <row r="3588" spans="1:5" x14ac:dyDescent="0.25">
      <c r="A3588" s="44" t="s">
        <v>7611</v>
      </c>
      <c r="B3588" s="38" t="s">
        <v>7612</v>
      </c>
      <c r="C3588" s="43">
        <v>5104.8900000000003</v>
      </c>
      <c r="D3588" s="39">
        <v>4599</v>
      </c>
      <c r="E3588" s="14">
        <v>9.9099099099099197E-2</v>
      </c>
    </row>
    <row r="3589" spans="1:5" x14ac:dyDescent="0.25">
      <c r="A3589" s="44" t="s">
        <v>7613</v>
      </c>
      <c r="B3589" s="38" t="s">
        <v>7614</v>
      </c>
      <c r="C3589" s="43">
        <v>3606.3900000000003</v>
      </c>
      <c r="D3589" s="39">
        <v>3249</v>
      </c>
      <c r="E3589" s="14">
        <v>9.9099099099099197E-2</v>
      </c>
    </row>
    <row r="3590" spans="1:5" x14ac:dyDescent="0.25">
      <c r="A3590" s="44" t="s">
        <v>7615</v>
      </c>
      <c r="B3590" s="38" t="s">
        <v>7616</v>
      </c>
      <c r="C3590" s="43">
        <v>2884.8900000000003</v>
      </c>
      <c r="D3590" s="39">
        <v>2599</v>
      </c>
      <c r="E3590" s="14">
        <v>9.9099099099099197E-2</v>
      </c>
    </row>
    <row r="3591" spans="1:5" x14ac:dyDescent="0.25">
      <c r="A3591" s="44" t="s">
        <v>7617</v>
      </c>
      <c r="B3591" s="38" t="s">
        <v>7618</v>
      </c>
      <c r="C3591" s="43">
        <v>2296.59</v>
      </c>
      <c r="D3591" s="39">
        <v>2069</v>
      </c>
      <c r="E3591" s="14">
        <v>9.9099099099099197E-2</v>
      </c>
    </row>
    <row r="3592" spans="1:5" x14ac:dyDescent="0.25">
      <c r="A3592" s="44" t="s">
        <v>7619</v>
      </c>
      <c r="B3592" s="38" t="s">
        <v>7620</v>
      </c>
      <c r="C3592" s="43">
        <v>2041.2900000000002</v>
      </c>
      <c r="D3592" s="39">
        <v>1839</v>
      </c>
      <c r="E3592" s="14">
        <v>9.9099099099099197E-2</v>
      </c>
    </row>
    <row r="3593" spans="1:5" x14ac:dyDescent="0.25">
      <c r="A3593" s="44" t="s">
        <v>7621</v>
      </c>
      <c r="B3593" s="38" t="s">
        <v>7622</v>
      </c>
      <c r="C3593" s="43">
        <v>1785.9900000000002</v>
      </c>
      <c r="D3593" s="39">
        <v>1609</v>
      </c>
      <c r="E3593" s="14">
        <v>9.9099099099099197E-2</v>
      </c>
    </row>
    <row r="3594" spans="1:5" x14ac:dyDescent="0.25">
      <c r="A3594" s="44" t="s">
        <v>7623</v>
      </c>
      <c r="B3594" s="38" t="s">
        <v>7624</v>
      </c>
      <c r="C3594" s="43">
        <v>1530.69</v>
      </c>
      <c r="D3594" s="39">
        <v>1379</v>
      </c>
      <c r="E3594" s="14">
        <v>9.9099099099099086E-2</v>
      </c>
    </row>
    <row r="3595" spans="1:5" x14ac:dyDescent="0.25">
      <c r="A3595" s="44" t="s">
        <v>7625</v>
      </c>
      <c r="B3595" s="38" t="s">
        <v>7626</v>
      </c>
      <c r="C3595" s="43">
        <v>1297.5900000000001</v>
      </c>
      <c r="D3595" s="39">
        <v>1169</v>
      </c>
      <c r="E3595" s="14">
        <v>9.9099099099099197E-2</v>
      </c>
    </row>
    <row r="3596" spans="1:5" x14ac:dyDescent="0.25">
      <c r="A3596" s="44" t="s">
        <v>7627</v>
      </c>
      <c r="B3596" s="38" t="s">
        <v>7628</v>
      </c>
      <c r="C3596" s="43">
        <v>1275.3900000000001</v>
      </c>
      <c r="D3596" s="39">
        <v>1149</v>
      </c>
      <c r="E3596" s="14">
        <v>9.9099099099099197E-2</v>
      </c>
    </row>
    <row r="3597" spans="1:5" x14ac:dyDescent="0.25">
      <c r="A3597" s="44" t="s">
        <v>7629</v>
      </c>
      <c r="B3597" s="38" t="s">
        <v>7628</v>
      </c>
      <c r="C3597" s="43">
        <v>1275.3900000000001</v>
      </c>
      <c r="D3597" s="39">
        <v>1149</v>
      </c>
      <c r="E3597" s="14">
        <v>9.9099099099099197E-2</v>
      </c>
    </row>
    <row r="3598" spans="1:5" x14ac:dyDescent="0.25">
      <c r="A3598" s="44" t="s">
        <v>7630</v>
      </c>
      <c r="B3598" s="38" t="s">
        <v>7631</v>
      </c>
      <c r="C3598" s="43">
        <v>1153.2900000000002</v>
      </c>
      <c r="D3598" s="39">
        <v>1039</v>
      </c>
      <c r="E3598" s="14">
        <v>9.9099099099099197E-2</v>
      </c>
    </row>
    <row r="3599" spans="1:5" x14ac:dyDescent="0.25">
      <c r="A3599" s="44" t="s">
        <v>7632</v>
      </c>
      <c r="B3599" s="38" t="s">
        <v>7633</v>
      </c>
      <c r="C3599" s="43">
        <v>1020.0900000000001</v>
      </c>
      <c r="D3599" s="39">
        <v>919</v>
      </c>
      <c r="E3599" s="14">
        <v>9.9099099099099197E-2</v>
      </c>
    </row>
    <row r="3600" spans="1:5" x14ac:dyDescent="0.25">
      <c r="A3600" s="44" t="s">
        <v>7634</v>
      </c>
      <c r="B3600" s="38" t="s">
        <v>7635</v>
      </c>
      <c r="C3600" s="43">
        <v>1008.9900000000001</v>
      </c>
      <c r="D3600" s="39">
        <v>909</v>
      </c>
      <c r="E3600" s="14">
        <v>9.9099099099099197E-2</v>
      </c>
    </row>
    <row r="3601" spans="1:5" x14ac:dyDescent="0.25">
      <c r="A3601" s="44" t="s">
        <v>7636</v>
      </c>
      <c r="B3601" s="38" t="s">
        <v>7637</v>
      </c>
      <c r="C3601" s="43">
        <v>864.69</v>
      </c>
      <c r="D3601" s="39">
        <v>779</v>
      </c>
      <c r="E3601" s="14">
        <v>9.9099099099099197E-2</v>
      </c>
    </row>
    <row r="3602" spans="1:5" x14ac:dyDescent="0.25">
      <c r="A3602" s="44" t="s">
        <v>7638</v>
      </c>
      <c r="B3602" s="38" t="s">
        <v>7639</v>
      </c>
      <c r="C3602" s="43">
        <v>764.79000000000008</v>
      </c>
      <c r="D3602" s="39">
        <v>689</v>
      </c>
      <c r="E3602" s="14">
        <v>9.9099099099099197E-2</v>
      </c>
    </row>
    <row r="3603" spans="1:5" x14ac:dyDescent="0.25">
      <c r="A3603" s="44" t="s">
        <v>7640</v>
      </c>
      <c r="B3603" s="38" t="s">
        <v>7641</v>
      </c>
      <c r="C3603" s="43">
        <v>720.3900000000001</v>
      </c>
      <c r="D3603" s="39">
        <v>649</v>
      </c>
      <c r="E3603" s="14">
        <v>9.9099099099099197E-2</v>
      </c>
    </row>
    <row r="3604" spans="1:5" x14ac:dyDescent="0.25">
      <c r="A3604" s="44" t="s">
        <v>7642</v>
      </c>
      <c r="B3604" s="38" t="s">
        <v>7641</v>
      </c>
      <c r="C3604" s="43">
        <v>720.3900000000001</v>
      </c>
      <c r="D3604" s="39">
        <v>649</v>
      </c>
      <c r="E3604" s="14">
        <v>9.9099099099099197E-2</v>
      </c>
    </row>
    <row r="3605" spans="1:5" x14ac:dyDescent="0.25">
      <c r="A3605" s="44" t="s">
        <v>7643</v>
      </c>
      <c r="B3605" s="38" t="s">
        <v>7644</v>
      </c>
      <c r="C3605" s="43">
        <v>637.1400000000001</v>
      </c>
      <c r="D3605" s="39">
        <v>574</v>
      </c>
      <c r="E3605" s="14">
        <v>9.9099099099099197E-2</v>
      </c>
    </row>
    <row r="3606" spans="1:5" x14ac:dyDescent="0.25">
      <c r="A3606" s="44" t="s">
        <v>7645</v>
      </c>
      <c r="B3606" s="38" t="s">
        <v>7646</v>
      </c>
      <c r="C3606" s="43">
        <v>576.09</v>
      </c>
      <c r="D3606" s="39">
        <v>519</v>
      </c>
      <c r="E3606" s="14">
        <v>9.9099099099099197E-2</v>
      </c>
    </row>
    <row r="3607" spans="1:5" x14ac:dyDescent="0.25">
      <c r="A3607" s="44" t="s">
        <v>7647</v>
      </c>
      <c r="B3607" s="38" t="s">
        <v>7648</v>
      </c>
      <c r="C3607" s="43">
        <v>509.49000000000007</v>
      </c>
      <c r="D3607" s="39">
        <v>459</v>
      </c>
      <c r="E3607" s="14">
        <v>9.9099099099099197E-2</v>
      </c>
    </row>
    <row r="3608" spans="1:5" x14ac:dyDescent="0.25">
      <c r="A3608" s="44" t="s">
        <v>7649</v>
      </c>
      <c r="B3608" s="38" t="s">
        <v>7650</v>
      </c>
      <c r="C3608" s="43">
        <v>509.49000000000007</v>
      </c>
      <c r="D3608" s="39">
        <v>459</v>
      </c>
      <c r="E3608" s="14">
        <v>9.9099099099099197E-2</v>
      </c>
    </row>
    <row r="3609" spans="1:5" x14ac:dyDescent="0.25">
      <c r="A3609" s="44" t="s">
        <v>7651</v>
      </c>
      <c r="B3609" s="38" t="s">
        <v>7652</v>
      </c>
      <c r="C3609" s="43">
        <v>359.64000000000004</v>
      </c>
      <c r="D3609" s="39">
        <v>324</v>
      </c>
      <c r="E3609" s="14">
        <v>9.9099099099099197E-2</v>
      </c>
    </row>
    <row r="3610" spans="1:5" x14ac:dyDescent="0.25">
      <c r="A3610" s="44" t="s">
        <v>7653</v>
      </c>
      <c r="B3610" s="38" t="s">
        <v>7654</v>
      </c>
      <c r="C3610" s="43">
        <v>305.25</v>
      </c>
      <c r="D3610" s="39">
        <v>275</v>
      </c>
      <c r="E3610" s="14">
        <v>9.9099099099099086E-2</v>
      </c>
    </row>
    <row r="3611" spans="1:5" x14ac:dyDescent="0.25">
      <c r="A3611" s="44" t="s">
        <v>7655</v>
      </c>
      <c r="B3611" s="38" t="s">
        <v>7656</v>
      </c>
      <c r="C3611" s="43">
        <v>287.49</v>
      </c>
      <c r="D3611" s="39">
        <v>259</v>
      </c>
      <c r="E3611" s="14">
        <v>9.9099099099099086E-2</v>
      </c>
    </row>
    <row r="3612" spans="1:5" x14ac:dyDescent="0.25">
      <c r="A3612" s="44" t="s">
        <v>7657</v>
      </c>
      <c r="B3612" s="38" t="s">
        <v>7658</v>
      </c>
      <c r="C3612" s="43">
        <v>287.49</v>
      </c>
      <c r="D3612" s="39">
        <v>259</v>
      </c>
      <c r="E3612" s="14">
        <v>9.9099099099099086E-2</v>
      </c>
    </row>
    <row r="3613" spans="1:5" x14ac:dyDescent="0.25">
      <c r="A3613" s="44" t="s">
        <v>7659</v>
      </c>
      <c r="B3613" s="38" t="s">
        <v>7660</v>
      </c>
      <c r="C3613" s="43">
        <v>228.66000000000003</v>
      </c>
      <c r="D3613" s="39">
        <v>206</v>
      </c>
      <c r="E3613" s="14">
        <v>9.9099099099099197E-2</v>
      </c>
    </row>
    <row r="3614" spans="1:5" x14ac:dyDescent="0.25">
      <c r="A3614" s="44" t="s">
        <v>7661</v>
      </c>
      <c r="B3614" s="38" t="s">
        <v>7662</v>
      </c>
      <c r="C3614" s="43">
        <v>177.60000000000002</v>
      </c>
      <c r="D3614" s="39">
        <v>160</v>
      </c>
      <c r="E3614" s="14">
        <v>9.9099099099099197E-2</v>
      </c>
    </row>
    <row r="3615" spans="1:5" x14ac:dyDescent="0.25">
      <c r="A3615" s="44" t="s">
        <v>7663</v>
      </c>
      <c r="B3615" s="38" t="s">
        <v>7664</v>
      </c>
      <c r="C3615" s="43">
        <v>172.05</v>
      </c>
      <c r="D3615" s="39">
        <v>155</v>
      </c>
      <c r="E3615" s="14">
        <v>9.9099099099099197E-2</v>
      </c>
    </row>
    <row r="3616" spans="1:5" x14ac:dyDescent="0.25">
      <c r="A3616" s="44" t="s">
        <v>7665</v>
      </c>
      <c r="B3616" s="38" t="s">
        <v>7666</v>
      </c>
      <c r="C3616" s="43">
        <v>152.07000000000002</v>
      </c>
      <c r="D3616" s="39">
        <v>137</v>
      </c>
      <c r="E3616" s="14">
        <v>9.9099099099099197E-2</v>
      </c>
    </row>
    <row r="3617" spans="1:5" x14ac:dyDescent="0.25">
      <c r="A3617" s="44" t="s">
        <v>7667</v>
      </c>
      <c r="B3617" s="38" t="s">
        <v>7668</v>
      </c>
      <c r="C3617" s="43">
        <v>128.76000000000002</v>
      </c>
      <c r="D3617" s="39">
        <v>116</v>
      </c>
      <c r="E3617" s="14">
        <v>9.9099099099099197E-2</v>
      </c>
    </row>
    <row r="3618" spans="1:5" x14ac:dyDescent="0.25">
      <c r="A3618" s="44" t="s">
        <v>7669</v>
      </c>
      <c r="B3618" s="38" t="s">
        <v>7670</v>
      </c>
      <c r="C3618" s="43">
        <v>126.54</v>
      </c>
      <c r="D3618" s="39">
        <v>114</v>
      </c>
      <c r="E3618" s="14">
        <v>9.9099099099099197E-2</v>
      </c>
    </row>
    <row r="3619" spans="1:5" x14ac:dyDescent="0.25">
      <c r="A3619" s="44" t="s">
        <v>7671</v>
      </c>
      <c r="B3619" s="38" t="s">
        <v>7672</v>
      </c>
      <c r="C3619" s="43">
        <v>126.54</v>
      </c>
      <c r="D3619" s="39">
        <v>114</v>
      </c>
      <c r="E3619" s="14">
        <v>9.9099099099099197E-2</v>
      </c>
    </row>
    <row r="3620" spans="1:5" x14ac:dyDescent="0.25">
      <c r="A3620" s="44" t="s">
        <v>7673</v>
      </c>
      <c r="B3620" s="38" t="s">
        <v>7674</v>
      </c>
      <c r="C3620" s="43">
        <v>126.54</v>
      </c>
      <c r="D3620" s="39">
        <v>114</v>
      </c>
      <c r="E3620" s="14">
        <v>9.9099099099099197E-2</v>
      </c>
    </row>
    <row r="3621" spans="1:5" x14ac:dyDescent="0.25">
      <c r="A3621" s="44" t="s">
        <v>7675</v>
      </c>
      <c r="B3621" s="38" t="s">
        <v>7676</v>
      </c>
      <c r="C3621" s="43">
        <v>102.12</v>
      </c>
      <c r="D3621" s="39">
        <v>92</v>
      </c>
      <c r="E3621" s="14">
        <v>9.9099099099099086E-2</v>
      </c>
    </row>
    <row r="3622" spans="1:5" x14ac:dyDescent="0.25">
      <c r="A3622" s="44" t="s">
        <v>7677</v>
      </c>
      <c r="B3622" s="38" t="s">
        <v>112</v>
      </c>
      <c r="C3622" s="43">
        <v>2700</v>
      </c>
      <c r="D3622" s="39">
        <v>2349</v>
      </c>
      <c r="E3622" s="14">
        <v>0.13</v>
      </c>
    </row>
    <row r="3623" spans="1:5" x14ac:dyDescent="0.25">
      <c r="A3623" s="44" t="s">
        <v>7678</v>
      </c>
      <c r="B3623" s="38" t="s">
        <v>114</v>
      </c>
      <c r="C3623" s="43">
        <v>3000</v>
      </c>
      <c r="D3623" s="39">
        <v>2610</v>
      </c>
      <c r="E3623" s="14">
        <v>0.13</v>
      </c>
    </row>
    <row r="3624" spans="1:5" x14ac:dyDescent="0.25">
      <c r="A3624" s="44" t="s">
        <v>7679</v>
      </c>
      <c r="B3624" s="38" t="s">
        <v>116</v>
      </c>
      <c r="C3624" s="43">
        <v>3750</v>
      </c>
      <c r="D3624" s="39">
        <v>3262.5</v>
      </c>
      <c r="E3624" s="14">
        <v>0.13</v>
      </c>
    </row>
    <row r="3625" spans="1:5" x14ac:dyDescent="0.25">
      <c r="A3625" s="44" t="s">
        <v>7680</v>
      </c>
      <c r="B3625" s="38" t="s">
        <v>118</v>
      </c>
      <c r="C3625" s="43">
        <v>5250</v>
      </c>
      <c r="D3625" s="39">
        <v>4567.5</v>
      </c>
      <c r="E3625" s="14">
        <v>0.13</v>
      </c>
    </row>
    <row r="3626" spans="1:5" x14ac:dyDescent="0.25">
      <c r="A3626" s="44" t="s">
        <v>7681</v>
      </c>
      <c r="B3626" s="38" t="s">
        <v>120</v>
      </c>
      <c r="C3626" s="43">
        <v>74.25</v>
      </c>
      <c r="D3626" s="39">
        <v>64.597499999999997</v>
      </c>
      <c r="E3626" s="14">
        <v>0.13</v>
      </c>
    </row>
    <row r="3627" spans="1:5" x14ac:dyDescent="0.25">
      <c r="A3627" s="44" t="s">
        <v>7682</v>
      </c>
      <c r="B3627" s="38" t="s">
        <v>122</v>
      </c>
      <c r="C3627" s="43">
        <v>119.85</v>
      </c>
      <c r="D3627" s="39">
        <v>104.26949999999999</v>
      </c>
      <c r="E3627" s="14">
        <v>0.13</v>
      </c>
    </row>
    <row r="3628" spans="1:5" x14ac:dyDescent="0.25">
      <c r="A3628" s="44" t="s">
        <v>7683</v>
      </c>
      <c r="B3628" s="38" t="s">
        <v>124</v>
      </c>
      <c r="C3628" s="43">
        <v>179.85</v>
      </c>
      <c r="D3628" s="39">
        <v>156.46949999999998</v>
      </c>
      <c r="E3628" s="14">
        <v>0.13000000000000012</v>
      </c>
    </row>
    <row r="3629" spans="1:5" x14ac:dyDescent="0.25">
      <c r="A3629" s="44" t="s">
        <v>7684</v>
      </c>
      <c r="B3629" s="38" t="s">
        <v>126</v>
      </c>
      <c r="C3629" s="43">
        <v>194.25</v>
      </c>
      <c r="D3629" s="39">
        <v>168.9975</v>
      </c>
      <c r="E3629" s="14">
        <v>0.13</v>
      </c>
    </row>
    <row r="3630" spans="1:5" x14ac:dyDescent="0.25">
      <c r="A3630" s="44" t="s">
        <v>7685</v>
      </c>
      <c r="B3630" s="38" t="s">
        <v>128</v>
      </c>
      <c r="C3630" s="43">
        <v>284.25</v>
      </c>
      <c r="D3630" s="39">
        <v>247.29749999999999</v>
      </c>
      <c r="E3630" s="14">
        <v>0.13</v>
      </c>
    </row>
    <row r="3631" spans="1:5" x14ac:dyDescent="0.25">
      <c r="A3631" s="44" t="s">
        <v>7686</v>
      </c>
      <c r="B3631" s="38" t="s">
        <v>130</v>
      </c>
      <c r="C3631" s="43">
        <v>599.25</v>
      </c>
      <c r="D3631" s="39">
        <v>521.34749999999997</v>
      </c>
      <c r="E3631" s="14">
        <v>0.13</v>
      </c>
    </row>
    <row r="3632" spans="1:5" x14ac:dyDescent="0.25">
      <c r="A3632" s="44" t="s">
        <v>7687</v>
      </c>
      <c r="B3632" s="38" t="s">
        <v>132</v>
      </c>
      <c r="C3632" s="43">
        <v>749.25</v>
      </c>
      <c r="D3632" s="39">
        <v>651.84749999999997</v>
      </c>
      <c r="E3632" s="14">
        <v>0.13</v>
      </c>
    </row>
    <row r="3633" spans="1:5" x14ac:dyDescent="0.25">
      <c r="A3633" s="44" t="s">
        <v>7688</v>
      </c>
      <c r="B3633" s="38" t="s">
        <v>134</v>
      </c>
      <c r="C3633" s="43">
        <v>899.25</v>
      </c>
      <c r="D3633" s="39">
        <v>782.34749999999997</v>
      </c>
      <c r="E3633" s="14">
        <v>0.13</v>
      </c>
    </row>
    <row r="3634" spans="1:5" x14ac:dyDescent="0.25">
      <c r="A3634" s="44" t="s">
        <v>7689</v>
      </c>
      <c r="B3634" s="38" t="s">
        <v>136</v>
      </c>
      <c r="C3634" s="43">
        <v>10050</v>
      </c>
      <c r="D3634" s="39">
        <v>8743.5</v>
      </c>
      <c r="E3634" s="14">
        <v>0.13</v>
      </c>
    </row>
    <row r="3635" spans="1:5" x14ac:dyDescent="0.25">
      <c r="A3635" s="44" t="s">
        <v>7690</v>
      </c>
      <c r="B3635" s="38" t="s">
        <v>138</v>
      </c>
      <c r="C3635" s="43">
        <v>12750</v>
      </c>
      <c r="D3635" s="39">
        <v>11092.5</v>
      </c>
      <c r="E3635" s="14">
        <v>0.13</v>
      </c>
    </row>
    <row r="3636" spans="1:5" x14ac:dyDescent="0.25">
      <c r="A3636" s="44" t="s">
        <v>7691</v>
      </c>
      <c r="B3636" s="38" t="s">
        <v>140</v>
      </c>
      <c r="C3636" s="43">
        <v>119.85</v>
      </c>
      <c r="D3636" s="39">
        <v>104.26949999999999</v>
      </c>
      <c r="E3636" s="14">
        <v>0.13</v>
      </c>
    </row>
    <row r="3637" spans="1:5" x14ac:dyDescent="0.25">
      <c r="A3637" s="44" t="s">
        <v>7692</v>
      </c>
      <c r="B3637" s="38" t="s">
        <v>142</v>
      </c>
      <c r="C3637" s="43">
        <v>179.25</v>
      </c>
      <c r="D3637" s="39">
        <v>155.94749999999999</v>
      </c>
      <c r="E3637" s="14">
        <v>0.13</v>
      </c>
    </row>
    <row r="3638" spans="1:5" x14ac:dyDescent="0.25">
      <c r="A3638" s="44" t="s">
        <v>7693</v>
      </c>
      <c r="B3638" s="38" t="s">
        <v>144</v>
      </c>
      <c r="C3638" s="43">
        <v>1499.25</v>
      </c>
      <c r="D3638" s="39">
        <v>1304.3475000000001</v>
      </c>
      <c r="E3638" s="14">
        <v>0.12999999999999989</v>
      </c>
    </row>
    <row r="3639" spans="1:5" x14ac:dyDescent="0.25">
      <c r="A3639" s="44" t="s">
        <v>7694</v>
      </c>
      <c r="B3639" s="38" t="s">
        <v>146</v>
      </c>
      <c r="C3639" s="43">
        <v>2249.25</v>
      </c>
      <c r="D3639" s="39">
        <v>1956.8475000000001</v>
      </c>
      <c r="E3639" s="14">
        <v>0.13</v>
      </c>
    </row>
    <row r="3640" spans="1:5" x14ac:dyDescent="0.25">
      <c r="A3640" s="44" t="s">
        <v>7695</v>
      </c>
      <c r="B3640" s="38" t="s">
        <v>148</v>
      </c>
      <c r="C3640" s="43">
        <v>3299.25</v>
      </c>
      <c r="D3640" s="39">
        <v>2870.3474999999999</v>
      </c>
      <c r="E3640" s="14">
        <v>0.13</v>
      </c>
    </row>
    <row r="3641" spans="1:5" x14ac:dyDescent="0.25">
      <c r="A3641" s="44" t="s">
        <v>7696</v>
      </c>
      <c r="B3641" s="38" t="s">
        <v>150</v>
      </c>
      <c r="C3641" s="43">
        <v>3300</v>
      </c>
      <c r="D3641" s="39">
        <v>2871</v>
      </c>
      <c r="E3641" s="14">
        <v>0.13</v>
      </c>
    </row>
    <row r="3642" spans="1:5" x14ac:dyDescent="0.25">
      <c r="A3642" s="44" t="s">
        <v>7697</v>
      </c>
      <c r="B3642" s="38" t="s">
        <v>152</v>
      </c>
      <c r="C3642" s="43">
        <v>4500</v>
      </c>
      <c r="D3642" s="39">
        <v>3915</v>
      </c>
      <c r="E3642" s="14">
        <v>0.13</v>
      </c>
    </row>
    <row r="3643" spans="1:5" x14ac:dyDescent="0.25">
      <c r="A3643" s="44" t="s">
        <v>7698</v>
      </c>
      <c r="B3643" s="38" t="s">
        <v>154</v>
      </c>
      <c r="C3643" s="43">
        <v>5250</v>
      </c>
      <c r="D3643" s="39">
        <v>4567.5</v>
      </c>
      <c r="E3643" s="14">
        <v>0.13</v>
      </c>
    </row>
    <row r="3644" spans="1:5" x14ac:dyDescent="0.25">
      <c r="A3644" s="44" t="s">
        <v>7699</v>
      </c>
      <c r="B3644" s="38" t="s">
        <v>156</v>
      </c>
      <c r="C3644" s="43">
        <v>299.25</v>
      </c>
      <c r="D3644" s="39">
        <v>260.34750000000003</v>
      </c>
      <c r="E3644" s="14">
        <v>0.12999999999999989</v>
      </c>
    </row>
    <row r="3645" spans="1:5" x14ac:dyDescent="0.25">
      <c r="A3645" s="44" t="s">
        <v>7700</v>
      </c>
      <c r="B3645" s="38" t="s">
        <v>158</v>
      </c>
      <c r="C3645" s="43">
        <v>374.25</v>
      </c>
      <c r="D3645" s="39">
        <v>325.59750000000003</v>
      </c>
      <c r="E3645" s="14">
        <v>0.12999999999999989</v>
      </c>
    </row>
    <row r="3646" spans="1:5" x14ac:dyDescent="0.25">
      <c r="A3646" s="44" t="s">
        <v>7701</v>
      </c>
      <c r="B3646" s="38" t="s">
        <v>160</v>
      </c>
      <c r="C3646" s="43">
        <v>494.25</v>
      </c>
      <c r="D3646" s="39">
        <v>429.9975</v>
      </c>
      <c r="E3646" s="14">
        <v>0.13</v>
      </c>
    </row>
    <row r="3647" spans="1:5" x14ac:dyDescent="0.25">
      <c r="A3647" s="44" t="s">
        <v>7702</v>
      </c>
      <c r="B3647" s="38" t="s">
        <v>162</v>
      </c>
      <c r="C3647" s="43">
        <v>614.25</v>
      </c>
      <c r="D3647" s="39">
        <v>534.39750000000004</v>
      </c>
      <c r="E3647" s="14">
        <v>0.12999999999999989</v>
      </c>
    </row>
    <row r="3648" spans="1:5" x14ac:dyDescent="0.25">
      <c r="A3648" s="44" t="s">
        <v>7703</v>
      </c>
      <c r="B3648" s="38" t="s">
        <v>164</v>
      </c>
      <c r="C3648" s="43">
        <v>5.3999999999999995</v>
      </c>
      <c r="D3648" s="39">
        <v>4.6979999999999995</v>
      </c>
      <c r="E3648" s="14">
        <v>0.13</v>
      </c>
    </row>
    <row r="3649" spans="1:5" x14ac:dyDescent="0.25">
      <c r="A3649" s="44" t="s">
        <v>7704</v>
      </c>
      <c r="B3649" s="38" t="s">
        <v>166</v>
      </c>
      <c r="C3649" s="43">
        <v>80.399999999999991</v>
      </c>
      <c r="D3649" s="39">
        <v>69.947999999999993</v>
      </c>
      <c r="E3649" s="14">
        <v>0.13</v>
      </c>
    </row>
    <row r="3650" spans="1:5" x14ac:dyDescent="0.25">
      <c r="A3650" s="44" t="s">
        <v>7705</v>
      </c>
      <c r="B3650" s="38" t="s">
        <v>168</v>
      </c>
      <c r="C3650" s="43">
        <v>1274.25</v>
      </c>
      <c r="D3650" s="39">
        <v>1108.5975000000001</v>
      </c>
      <c r="E3650" s="14">
        <v>0.12999999999999989</v>
      </c>
    </row>
    <row r="3651" spans="1:5" x14ac:dyDescent="0.25">
      <c r="A3651" s="44" t="s">
        <v>7706</v>
      </c>
      <c r="B3651" s="38" t="s">
        <v>170</v>
      </c>
      <c r="C3651" s="43">
        <v>1049.25</v>
      </c>
      <c r="D3651" s="39">
        <v>912.84749999999997</v>
      </c>
      <c r="E3651" s="14">
        <v>0.13</v>
      </c>
    </row>
    <row r="3652" spans="1:5" x14ac:dyDescent="0.25">
      <c r="A3652" s="44" t="s">
        <v>7707</v>
      </c>
      <c r="B3652" s="38" t="s">
        <v>172</v>
      </c>
      <c r="C3652" s="43">
        <v>405.59999999999997</v>
      </c>
      <c r="D3652" s="39">
        <v>352.87199999999996</v>
      </c>
      <c r="E3652" s="14">
        <v>0.13</v>
      </c>
    </row>
    <row r="3653" spans="1:5" x14ac:dyDescent="0.25">
      <c r="A3653" s="44" t="s">
        <v>7703</v>
      </c>
      <c r="B3653" s="38" t="s">
        <v>173</v>
      </c>
      <c r="C3653" s="43">
        <v>5.3999999999999995</v>
      </c>
      <c r="D3653" s="39">
        <v>4.6979999999999995</v>
      </c>
      <c r="E3653" s="14">
        <v>0.13</v>
      </c>
    </row>
    <row r="3654" spans="1:5" x14ac:dyDescent="0.25">
      <c r="A3654" s="44" t="s">
        <v>7708</v>
      </c>
      <c r="B3654" s="38" t="s">
        <v>112</v>
      </c>
      <c r="C3654" s="43">
        <v>4500</v>
      </c>
      <c r="D3654" s="39">
        <v>3915</v>
      </c>
      <c r="E3654" s="14">
        <v>0.13</v>
      </c>
    </row>
    <row r="3655" spans="1:5" x14ac:dyDescent="0.25">
      <c r="A3655" s="44" t="s">
        <v>7709</v>
      </c>
      <c r="B3655" s="38" t="s">
        <v>114</v>
      </c>
      <c r="C3655" s="43">
        <v>5000</v>
      </c>
      <c r="D3655" s="39">
        <v>4350</v>
      </c>
      <c r="E3655" s="14">
        <v>0.13</v>
      </c>
    </row>
    <row r="3656" spans="1:5" x14ac:dyDescent="0.25">
      <c r="A3656" s="44" t="s">
        <v>7710</v>
      </c>
      <c r="B3656" s="38" t="s">
        <v>116</v>
      </c>
      <c r="C3656" s="43">
        <v>6250</v>
      </c>
      <c r="D3656" s="39">
        <v>5437.5</v>
      </c>
      <c r="E3656" s="14">
        <v>0.13</v>
      </c>
    </row>
    <row r="3657" spans="1:5" x14ac:dyDescent="0.25">
      <c r="A3657" s="44" t="s">
        <v>7711</v>
      </c>
      <c r="B3657" s="38" t="s">
        <v>118</v>
      </c>
      <c r="C3657" s="43">
        <v>8750</v>
      </c>
      <c r="D3657" s="39">
        <v>7612.5</v>
      </c>
      <c r="E3657" s="14">
        <v>0.13</v>
      </c>
    </row>
    <row r="3658" spans="1:5" x14ac:dyDescent="0.25">
      <c r="A3658" s="44" t="s">
        <v>7712</v>
      </c>
      <c r="B3658" s="38" t="s">
        <v>120</v>
      </c>
      <c r="C3658" s="43">
        <v>123.75</v>
      </c>
      <c r="D3658" s="39">
        <v>107.66249999999999</v>
      </c>
      <c r="E3658" s="14">
        <v>0.13</v>
      </c>
    </row>
    <row r="3659" spans="1:5" x14ac:dyDescent="0.25">
      <c r="A3659" s="44" t="s">
        <v>7713</v>
      </c>
      <c r="B3659" s="38" t="s">
        <v>122</v>
      </c>
      <c r="C3659" s="43">
        <v>199.75</v>
      </c>
      <c r="D3659" s="39">
        <v>173.7825</v>
      </c>
      <c r="E3659" s="14">
        <v>0.13</v>
      </c>
    </row>
    <row r="3660" spans="1:5" x14ac:dyDescent="0.25">
      <c r="A3660" s="44" t="s">
        <v>7714</v>
      </c>
      <c r="B3660" s="38" t="s">
        <v>124</v>
      </c>
      <c r="C3660" s="43">
        <v>299.75</v>
      </c>
      <c r="D3660" s="39">
        <v>260.78249999999997</v>
      </c>
      <c r="E3660" s="14">
        <v>0.13000000000000012</v>
      </c>
    </row>
    <row r="3661" spans="1:5" x14ac:dyDescent="0.25">
      <c r="A3661" s="44" t="s">
        <v>7715</v>
      </c>
      <c r="B3661" s="38" t="s">
        <v>126</v>
      </c>
      <c r="C3661" s="43">
        <v>323.75</v>
      </c>
      <c r="D3661" s="39">
        <v>281.66250000000002</v>
      </c>
      <c r="E3661" s="14">
        <v>0.12999999999999989</v>
      </c>
    </row>
    <row r="3662" spans="1:5" x14ac:dyDescent="0.25">
      <c r="A3662" s="44" t="s">
        <v>7716</v>
      </c>
      <c r="B3662" s="38" t="s">
        <v>128</v>
      </c>
      <c r="C3662" s="43">
        <v>473.75</v>
      </c>
      <c r="D3662" s="39">
        <v>412.16250000000002</v>
      </c>
      <c r="E3662" s="14">
        <v>0.13</v>
      </c>
    </row>
    <row r="3663" spans="1:5" x14ac:dyDescent="0.25">
      <c r="A3663" s="44" t="s">
        <v>7717</v>
      </c>
      <c r="B3663" s="38" t="s">
        <v>130</v>
      </c>
      <c r="C3663" s="43">
        <v>998.75</v>
      </c>
      <c r="D3663" s="39">
        <v>868.91250000000002</v>
      </c>
      <c r="E3663" s="14">
        <v>0.13</v>
      </c>
    </row>
    <row r="3664" spans="1:5" x14ac:dyDescent="0.25">
      <c r="A3664" s="44" t="s">
        <v>7718</v>
      </c>
      <c r="B3664" s="38" t="s">
        <v>132</v>
      </c>
      <c r="C3664" s="43">
        <v>1248.75</v>
      </c>
      <c r="D3664" s="39">
        <v>1086.4124999999999</v>
      </c>
      <c r="E3664" s="14">
        <v>0.13000000000000012</v>
      </c>
    </row>
    <row r="3665" spans="1:5" x14ac:dyDescent="0.25">
      <c r="A3665" s="44" t="s">
        <v>7719</v>
      </c>
      <c r="B3665" s="38" t="s">
        <v>134</v>
      </c>
      <c r="C3665" s="43">
        <v>1498.75</v>
      </c>
      <c r="D3665" s="39">
        <v>1303.9124999999999</v>
      </c>
      <c r="E3665" s="14">
        <v>0.13000000000000012</v>
      </c>
    </row>
    <row r="3666" spans="1:5" x14ac:dyDescent="0.25">
      <c r="A3666" s="44" t="s">
        <v>7720</v>
      </c>
      <c r="B3666" s="38" t="s">
        <v>136</v>
      </c>
      <c r="C3666" s="43">
        <v>16750</v>
      </c>
      <c r="D3666" s="39">
        <v>14572.5</v>
      </c>
      <c r="E3666" s="14">
        <v>0.13</v>
      </c>
    </row>
    <row r="3667" spans="1:5" x14ac:dyDescent="0.25">
      <c r="A3667" s="44" t="s">
        <v>7721</v>
      </c>
      <c r="B3667" s="38" t="s">
        <v>138</v>
      </c>
      <c r="C3667" s="43">
        <v>21250</v>
      </c>
      <c r="D3667" s="39">
        <v>18487.5</v>
      </c>
      <c r="E3667" s="14">
        <v>0.13</v>
      </c>
    </row>
    <row r="3668" spans="1:5" x14ac:dyDescent="0.25">
      <c r="A3668" s="44" t="s">
        <v>7722</v>
      </c>
      <c r="B3668" s="38" t="s">
        <v>140</v>
      </c>
      <c r="C3668" s="43">
        <v>199.75</v>
      </c>
      <c r="D3668" s="39">
        <v>173.7825</v>
      </c>
      <c r="E3668" s="14">
        <v>0.13</v>
      </c>
    </row>
    <row r="3669" spans="1:5" x14ac:dyDescent="0.25">
      <c r="A3669" s="44" t="s">
        <v>7723</v>
      </c>
      <c r="B3669" s="38" t="s">
        <v>142</v>
      </c>
      <c r="C3669" s="43">
        <v>298.75</v>
      </c>
      <c r="D3669" s="39">
        <v>259.91250000000002</v>
      </c>
      <c r="E3669" s="14">
        <v>0.12999999999999989</v>
      </c>
    </row>
    <row r="3670" spans="1:5" x14ac:dyDescent="0.25">
      <c r="A3670" s="44" t="s">
        <v>7724</v>
      </c>
      <c r="B3670" s="38" t="s">
        <v>144</v>
      </c>
      <c r="C3670" s="43">
        <v>2498.75</v>
      </c>
      <c r="D3670" s="39">
        <v>2173.9124999999999</v>
      </c>
      <c r="E3670" s="14">
        <v>0.13</v>
      </c>
    </row>
    <row r="3671" spans="1:5" x14ac:dyDescent="0.25">
      <c r="A3671" s="44" t="s">
        <v>7725</v>
      </c>
      <c r="B3671" s="38" t="s">
        <v>146</v>
      </c>
      <c r="C3671" s="43">
        <v>3748.75</v>
      </c>
      <c r="D3671" s="39">
        <v>3261.4124999999999</v>
      </c>
      <c r="E3671" s="14">
        <v>0.13</v>
      </c>
    </row>
    <row r="3672" spans="1:5" x14ac:dyDescent="0.25">
      <c r="A3672" s="44" t="s">
        <v>7726</v>
      </c>
      <c r="B3672" s="38" t="s">
        <v>148</v>
      </c>
      <c r="C3672" s="43">
        <v>5498.75</v>
      </c>
      <c r="D3672" s="39">
        <v>4783.9125000000004</v>
      </c>
      <c r="E3672" s="14">
        <v>0.12999999999999989</v>
      </c>
    </row>
    <row r="3673" spans="1:5" x14ac:dyDescent="0.25">
      <c r="A3673" s="44" t="s">
        <v>7727</v>
      </c>
      <c r="B3673" s="38" t="s">
        <v>150</v>
      </c>
      <c r="C3673" s="43">
        <v>5500</v>
      </c>
      <c r="D3673" s="39">
        <v>4785</v>
      </c>
      <c r="E3673" s="14">
        <v>0.13</v>
      </c>
    </row>
    <row r="3674" spans="1:5" x14ac:dyDescent="0.25">
      <c r="A3674" s="44" t="s">
        <v>7728</v>
      </c>
      <c r="B3674" s="38" t="s">
        <v>152</v>
      </c>
      <c r="C3674" s="43">
        <v>7500</v>
      </c>
      <c r="D3674" s="39">
        <v>6525</v>
      </c>
      <c r="E3674" s="14">
        <v>0.13</v>
      </c>
    </row>
    <row r="3675" spans="1:5" x14ac:dyDescent="0.25">
      <c r="A3675" s="44" t="s">
        <v>7729</v>
      </c>
      <c r="B3675" s="38" t="s">
        <v>154</v>
      </c>
      <c r="C3675" s="43">
        <v>8750</v>
      </c>
      <c r="D3675" s="39">
        <v>7612.5</v>
      </c>
      <c r="E3675" s="14">
        <v>0.13</v>
      </c>
    </row>
    <row r="3676" spans="1:5" x14ac:dyDescent="0.25">
      <c r="A3676" s="44" t="s">
        <v>7730</v>
      </c>
      <c r="B3676" s="38" t="s">
        <v>156</v>
      </c>
      <c r="C3676" s="43">
        <v>498.75</v>
      </c>
      <c r="D3676" s="39">
        <v>433.91250000000002</v>
      </c>
      <c r="E3676" s="14">
        <v>0.13</v>
      </c>
    </row>
    <row r="3677" spans="1:5" x14ac:dyDescent="0.25">
      <c r="A3677" s="44" t="s">
        <v>7731</v>
      </c>
      <c r="B3677" s="38" t="s">
        <v>158</v>
      </c>
      <c r="C3677" s="43">
        <v>623.75</v>
      </c>
      <c r="D3677" s="39">
        <v>542.66250000000002</v>
      </c>
      <c r="E3677" s="14">
        <v>0.13</v>
      </c>
    </row>
    <row r="3678" spans="1:5" x14ac:dyDescent="0.25">
      <c r="A3678" s="44" t="s">
        <v>7732</v>
      </c>
      <c r="B3678" s="38" t="s">
        <v>160</v>
      </c>
      <c r="C3678" s="43">
        <v>823.75</v>
      </c>
      <c r="D3678" s="39">
        <v>716.66250000000002</v>
      </c>
      <c r="E3678" s="14">
        <v>0.13</v>
      </c>
    </row>
    <row r="3679" spans="1:5" x14ac:dyDescent="0.25">
      <c r="A3679" s="44" t="s">
        <v>7733</v>
      </c>
      <c r="B3679" s="38" t="s">
        <v>162</v>
      </c>
      <c r="C3679" s="43">
        <v>1023.75</v>
      </c>
      <c r="D3679" s="39">
        <v>890.66250000000002</v>
      </c>
      <c r="E3679" s="14">
        <v>0.13</v>
      </c>
    </row>
    <row r="3680" spans="1:5" x14ac:dyDescent="0.25">
      <c r="A3680" s="44" t="s">
        <v>7734</v>
      </c>
      <c r="B3680" s="38" t="s">
        <v>164</v>
      </c>
      <c r="C3680" s="43">
        <v>9</v>
      </c>
      <c r="D3680" s="39">
        <v>7.83</v>
      </c>
      <c r="E3680" s="14">
        <v>0.13</v>
      </c>
    </row>
    <row r="3681" spans="1:5" x14ac:dyDescent="0.25">
      <c r="A3681" s="44" t="s">
        <v>7735</v>
      </c>
      <c r="B3681" s="38" t="s">
        <v>166</v>
      </c>
      <c r="C3681" s="43">
        <v>134</v>
      </c>
      <c r="D3681" s="39">
        <v>116.58</v>
      </c>
      <c r="E3681" s="14">
        <v>0.13</v>
      </c>
    </row>
    <row r="3682" spans="1:5" x14ac:dyDescent="0.25">
      <c r="A3682" s="44" t="s">
        <v>7736</v>
      </c>
      <c r="B3682" s="38" t="s">
        <v>168</v>
      </c>
      <c r="C3682" s="43">
        <v>2123.75</v>
      </c>
      <c r="D3682" s="39">
        <v>1847.6624999999999</v>
      </c>
      <c r="E3682" s="14">
        <v>0.13</v>
      </c>
    </row>
    <row r="3683" spans="1:5" x14ac:dyDescent="0.25">
      <c r="A3683" s="44" t="s">
        <v>7737</v>
      </c>
      <c r="B3683" s="38" t="s">
        <v>170</v>
      </c>
      <c r="C3683" s="43">
        <v>1748.75</v>
      </c>
      <c r="D3683" s="39">
        <v>1521.4124999999999</v>
      </c>
      <c r="E3683" s="14">
        <v>0.13</v>
      </c>
    </row>
  </sheetData>
  <mergeCells count="2">
    <mergeCell ref="A3:E3"/>
    <mergeCell ref="A1:E2"/>
  </mergeCells>
  <printOptions gridLines="1"/>
  <pageMargins left="0.7" right="0.7" top="0.75" bottom="0.75" header="0.3" footer="0.3"/>
  <pageSetup scale="60" fitToHeight="95" orientation="landscape" r:id="rId1"/>
  <headerFooter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>
      <selection sqref="A1:F2"/>
    </sheetView>
  </sheetViews>
  <sheetFormatPr defaultRowHeight="15" x14ac:dyDescent="0.25"/>
  <cols>
    <col min="2" max="2" width="91.7109375" customWidth="1"/>
    <col min="3" max="3" width="10.140625" customWidth="1"/>
    <col min="4" max="4" width="10.85546875" customWidth="1"/>
    <col min="5" max="5" width="10.140625" customWidth="1"/>
    <col min="6" max="6" width="10.85546875" customWidth="1"/>
  </cols>
  <sheetData>
    <row r="1" spans="1:6" s="26" customFormat="1" ht="11.25" customHeight="1" x14ac:dyDescent="0.2">
      <c r="A1" s="74" t="s">
        <v>7791</v>
      </c>
      <c r="B1" s="75"/>
      <c r="C1" s="75"/>
      <c r="D1" s="75"/>
      <c r="E1" s="75"/>
      <c r="F1" s="76"/>
    </row>
    <row r="2" spans="1:6" s="26" customFormat="1" ht="11.25" customHeight="1" x14ac:dyDescent="0.2">
      <c r="A2" s="72"/>
      <c r="B2" s="59"/>
      <c r="C2" s="59"/>
      <c r="D2" s="59"/>
      <c r="E2" s="59"/>
      <c r="F2" s="73"/>
    </row>
    <row r="3" spans="1:6" s="26" customFormat="1" ht="18.75" customHeight="1" x14ac:dyDescent="0.2">
      <c r="A3" s="72"/>
      <c r="B3" s="59"/>
      <c r="C3" s="59"/>
      <c r="D3" s="59"/>
      <c r="E3" s="59"/>
      <c r="F3" s="73"/>
    </row>
    <row r="4" spans="1:6" x14ac:dyDescent="0.25">
      <c r="A4" s="77" t="s">
        <v>7738</v>
      </c>
      <c r="B4" s="77"/>
      <c r="C4" s="77"/>
      <c r="D4" s="77"/>
      <c r="E4" s="77"/>
      <c r="F4" s="77"/>
    </row>
    <row r="5" spans="1:6" x14ac:dyDescent="0.25">
      <c r="A5" s="12"/>
      <c r="B5" s="12"/>
      <c r="C5" s="78" t="s">
        <v>7739</v>
      </c>
      <c r="D5" s="78"/>
      <c r="E5" s="78" t="s">
        <v>7740</v>
      </c>
      <c r="F5" s="78"/>
    </row>
    <row r="6" spans="1:6" x14ac:dyDescent="0.25">
      <c r="A6" s="16"/>
      <c r="B6" s="17" t="s">
        <v>7741</v>
      </c>
      <c r="C6" s="17" t="s">
        <v>7742</v>
      </c>
      <c r="D6" s="17" t="s">
        <v>7743</v>
      </c>
      <c r="E6" s="17" t="s">
        <v>7742</v>
      </c>
      <c r="F6" s="17" t="s">
        <v>7743</v>
      </c>
    </row>
    <row r="7" spans="1:6" x14ac:dyDescent="0.25">
      <c r="A7" s="63" t="s">
        <v>7744</v>
      </c>
      <c r="B7" s="66" t="s">
        <v>7745</v>
      </c>
      <c r="C7" s="67"/>
      <c r="D7" s="67"/>
      <c r="E7" s="67"/>
      <c r="F7" s="68"/>
    </row>
    <row r="8" spans="1:6" x14ac:dyDescent="0.25">
      <c r="A8" s="65"/>
      <c r="B8" s="18" t="s">
        <v>7746</v>
      </c>
      <c r="C8" s="19"/>
      <c r="D8" s="20">
        <v>2.5000000000000001E-2</v>
      </c>
      <c r="E8" s="19"/>
      <c r="F8" s="20">
        <v>2.5000000000000001E-2</v>
      </c>
    </row>
    <row r="9" spans="1:6" x14ac:dyDescent="0.25">
      <c r="A9" s="63" t="s">
        <v>7747</v>
      </c>
      <c r="B9" s="66" t="s">
        <v>7748</v>
      </c>
      <c r="C9" s="67"/>
      <c r="D9" s="67"/>
      <c r="E9" s="67"/>
      <c r="F9" s="68"/>
    </row>
    <row r="10" spans="1:6" x14ac:dyDescent="0.25">
      <c r="A10" s="64"/>
      <c r="B10" s="16" t="s">
        <v>7749</v>
      </c>
      <c r="C10" s="19"/>
      <c r="D10" s="20">
        <v>3.2000000000000001E-2</v>
      </c>
      <c r="E10" s="19"/>
      <c r="F10" s="20">
        <v>2.5000000000000001E-2</v>
      </c>
    </row>
    <row r="11" spans="1:6" x14ac:dyDescent="0.25">
      <c r="A11" s="65"/>
      <c r="B11" s="16" t="s">
        <v>7750</v>
      </c>
      <c r="C11" s="19"/>
      <c r="D11" s="20">
        <v>3.2000000000000001E-2</v>
      </c>
      <c r="E11" s="19"/>
      <c r="F11" s="20">
        <v>2.5000000000000001E-2</v>
      </c>
    </row>
    <row r="12" spans="1:6" x14ac:dyDescent="0.25">
      <c r="A12" s="63" t="s">
        <v>7751</v>
      </c>
      <c r="B12" s="66" t="s">
        <v>7752</v>
      </c>
      <c r="C12" s="67"/>
      <c r="D12" s="67"/>
      <c r="E12" s="67"/>
      <c r="F12" s="68"/>
    </row>
    <row r="13" spans="1:6" x14ac:dyDescent="0.25">
      <c r="A13" s="64"/>
      <c r="B13" s="21" t="s">
        <v>7753</v>
      </c>
      <c r="C13" s="22"/>
      <c r="D13" s="20">
        <v>0.45</v>
      </c>
      <c r="E13" s="22"/>
      <c r="F13" s="20">
        <v>0.45</v>
      </c>
    </row>
    <row r="14" spans="1:6" x14ac:dyDescent="0.25">
      <c r="A14" s="64"/>
      <c r="B14" s="21" t="s">
        <v>7754</v>
      </c>
      <c r="C14" s="22"/>
      <c r="D14" s="20">
        <v>0.52</v>
      </c>
      <c r="E14" s="22"/>
      <c r="F14" s="20">
        <v>0.52</v>
      </c>
    </row>
    <row r="15" spans="1:6" x14ac:dyDescent="0.25">
      <c r="A15" s="64"/>
      <c r="B15" s="21" t="s">
        <v>7755</v>
      </c>
      <c r="C15" s="22"/>
      <c r="D15" s="20">
        <v>0.6</v>
      </c>
      <c r="E15" s="22"/>
      <c r="F15" s="20">
        <v>0.6</v>
      </c>
    </row>
    <row r="16" spans="1:6" x14ac:dyDescent="0.25">
      <c r="A16" s="64"/>
      <c r="B16" s="21" t="s">
        <v>7756</v>
      </c>
      <c r="C16" s="22"/>
      <c r="D16" s="20">
        <v>0.7</v>
      </c>
      <c r="E16" s="22"/>
      <c r="F16" s="20">
        <v>0.7</v>
      </c>
    </row>
    <row r="17" spans="1:6" x14ac:dyDescent="0.25">
      <c r="A17" s="65"/>
      <c r="B17" s="21" t="s">
        <v>7757</v>
      </c>
      <c r="C17" s="22"/>
      <c r="D17" s="20">
        <v>0.2</v>
      </c>
      <c r="E17" s="22"/>
      <c r="F17" s="20">
        <v>0.2</v>
      </c>
    </row>
    <row r="18" spans="1:6" x14ac:dyDescent="0.25">
      <c r="A18" s="69" t="s">
        <v>7758</v>
      </c>
      <c r="B18" s="66" t="s">
        <v>7759</v>
      </c>
      <c r="C18" s="67"/>
      <c r="D18" s="67"/>
      <c r="E18" s="67"/>
      <c r="F18" s="68"/>
    </row>
    <row r="19" spans="1:6" x14ac:dyDescent="0.25">
      <c r="A19" s="70"/>
      <c r="B19" s="21" t="s">
        <v>7753</v>
      </c>
      <c r="C19" s="22"/>
      <c r="D19" s="20">
        <v>0.52</v>
      </c>
      <c r="E19" s="22"/>
      <c r="F19" s="20">
        <v>0.52</v>
      </c>
    </row>
    <row r="20" spans="1:6" x14ac:dyDescent="0.25">
      <c r="A20" s="70"/>
      <c r="B20" s="21" t="s">
        <v>7754</v>
      </c>
      <c r="C20" s="22"/>
      <c r="D20" s="20">
        <v>0.59000000000000008</v>
      </c>
      <c r="E20" s="22"/>
      <c r="F20" s="20">
        <v>0.59000000000000008</v>
      </c>
    </row>
    <row r="21" spans="1:6" x14ac:dyDescent="0.25">
      <c r="A21" s="70"/>
      <c r="B21" s="21" t="s">
        <v>7755</v>
      </c>
      <c r="C21" s="22"/>
      <c r="D21" s="20">
        <v>0.66999999999999993</v>
      </c>
      <c r="E21" s="22"/>
      <c r="F21" s="20">
        <v>0.66999999999999993</v>
      </c>
    </row>
    <row r="22" spans="1:6" x14ac:dyDescent="0.25">
      <c r="A22" s="70"/>
      <c r="B22" s="21" t="s">
        <v>7756</v>
      </c>
      <c r="C22" s="22"/>
      <c r="D22" s="20">
        <v>0.77</v>
      </c>
      <c r="E22" s="22"/>
      <c r="F22" s="20">
        <v>0.77</v>
      </c>
    </row>
    <row r="23" spans="1:6" x14ac:dyDescent="0.25">
      <c r="A23" s="71"/>
      <c r="B23" s="21" t="s">
        <v>7757</v>
      </c>
      <c r="C23" s="22"/>
      <c r="D23" s="20">
        <v>0.27</v>
      </c>
      <c r="E23" s="22"/>
      <c r="F23" s="20">
        <v>0.27</v>
      </c>
    </row>
    <row r="24" spans="1:6" x14ac:dyDescent="0.25">
      <c r="A24" s="69" t="s">
        <v>7760</v>
      </c>
      <c r="B24" s="66" t="s">
        <v>7761</v>
      </c>
      <c r="C24" s="67"/>
      <c r="D24" s="67"/>
      <c r="E24" s="67"/>
      <c r="F24" s="68"/>
    </row>
    <row r="25" spans="1:6" x14ac:dyDescent="0.25">
      <c r="A25" s="70"/>
      <c r="B25" s="21" t="s">
        <v>7762</v>
      </c>
      <c r="C25" s="22"/>
      <c r="D25" s="20">
        <v>0.14000000000000001</v>
      </c>
      <c r="E25" s="20"/>
      <c r="F25" s="20">
        <v>0.14000000000000001</v>
      </c>
    </row>
    <row r="26" spans="1:6" x14ac:dyDescent="0.25">
      <c r="A26" s="71"/>
      <c r="B26" s="21" t="s">
        <v>7763</v>
      </c>
      <c r="C26" s="22"/>
      <c r="D26" s="20">
        <v>0.2</v>
      </c>
      <c r="E26" s="20"/>
      <c r="F26" s="20">
        <v>0.14000000000000001</v>
      </c>
    </row>
    <row r="27" spans="1:6" x14ac:dyDescent="0.25">
      <c r="A27" s="69" t="s">
        <v>7764</v>
      </c>
      <c r="B27" s="66" t="s">
        <v>7765</v>
      </c>
      <c r="C27" s="67"/>
      <c r="D27" s="67"/>
      <c r="E27" s="67"/>
      <c r="F27" s="68"/>
    </row>
    <row r="28" spans="1:6" x14ac:dyDescent="0.25">
      <c r="A28" s="70"/>
      <c r="B28" s="21" t="s">
        <v>7766</v>
      </c>
      <c r="C28" s="22"/>
      <c r="D28" s="23">
        <v>1.8700000000000001E-2</v>
      </c>
      <c r="E28" s="22"/>
      <c r="F28" s="23">
        <v>1.8700000000000001E-2</v>
      </c>
    </row>
    <row r="29" spans="1:6" x14ac:dyDescent="0.25">
      <c r="A29" s="71"/>
      <c r="B29" s="21" t="s">
        <v>7767</v>
      </c>
      <c r="C29" s="22"/>
      <c r="D29" s="23">
        <v>3.7400000000000003E-2</v>
      </c>
      <c r="E29" s="22"/>
      <c r="F29" s="23">
        <v>3.7400000000000003E-2</v>
      </c>
    </row>
    <row r="30" spans="1:6" x14ac:dyDescent="0.25">
      <c r="A30" s="69" t="s">
        <v>7768</v>
      </c>
      <c r="B30" s="66" t="s">
        <v>7769</v>
      </c>
      <c r="C30" s="67"/>
      <c r="D30" s="67"/>
      <c r="E30" s="67"/>
      <c r="F30" s="68"/>
    </row>
    <row r="31" spans="1:6" x14ac:dyDescent="0.25">
      <c r="A31" s="70"/>
      <c r="B31" s="21" t="s">
        <v>7770</v>
      </c>
      <c r="C31" s="22"/>
      <c r="D31" s="23">
        <v>1.8700000000000001E-2</v>
      </c>
      <c r="E31" s="22"/>
      <c r="F31" s="23">
        <v>1.8700000000000001E-2</v>
      </c>
    </row>
    <row r="32" spans="1:6" x14ac:dyDescent="0.25">
      <c r="A32" s="71"/>
      <c r="B32" s="21" t="s">
        <v>7771</v>
      </c>
      <c r="C32" s="22"/>
      <c r="D32" s="23">
        <v>3.7400000000000003E-2</v>
      </c>
      <c r="E32" s="22"/>
      <c r="F32" s="23">
        <v>3.7400000000000003E-2</v>
      </c>
    </row>
    <row r="33" spans="1:6" x14ac:dyDescent="0.25">
      <c r="A33" s="63" t="s">
        <v>7772</v>
      </c>
      <c r="B33" s="21" t="s">
        <v>7773</v>
      </c>
      <c r="C33" s="22"/>
      <c r="D33" s="22"/>
      <c r="E33" s="22"/>
      <c r="F33" s="22"/>
    </row>
    <row r="34" spans="1:6" x14ac:dyDescent="0.25">
      <c r="A34" s="64"/>
      <c r="B34" s="21" t="s">
        <v>7774</v>
      </c>
      <c r="C34" s="22"/>
      <c r="D34" s="24">
        <v>3.5100000000000001E-3</v>
      </c>
      <c r="E34" s="22"/>
      <c r="F34" s="24">
        <v>3.5100000000000001E-3</v>
      </c>
    </row>
    <row r="35" spans="1:6" x14ac:dyDescent="0.25">
      <c r="A35" s="64"/>
      <c r="B35" s="21" t="s">
        <v>7775</v>
      </c>
      <c r="C35" s="22"/>
      <c r="D35" s="24">
        <v>1.4999999999999999E-4</v>
      </c>
      <c r="E35" s="22"/>
      <c r="F35" s="24">
        <v>1.4999999999999999E-4</v>
      </c>
    </row>
    <row r="36" spans="1:6" x14ac:dyDescent="0.25">
      <c r="A36" s="64"/>
      <c r="B36" s="21" t="s">
        <v>7776</v>
      </c>
      <c r="C36" s="22"/>
      <c r="D36" s="24">
        <v>1.4999999999999999E-4</v>
      </c>
      <c r="E36" s="22"/>
      <c r="F36" s="24">
        <v>1.4999999999999999E-4</v>
      </c>
    </row>
    <row r="37" spans="1:6" x14ac:dyDescent="0.25">
      <c r="A37" s="64"/>
      <c r="B37" s="21" t="s">
        <v>7777</v>
      </c>
      <c r="C37" s="22"/>
      <c r="D37" s="20">
        <v>3.7999999999999999E-2</v>
      </c>
      <c r="E37" s="22"/>
      <c r="F37" s="20">
        <v>3.7999999999999999E-2</v>
      </c>
    </row>
    <row r="38" spans="1:6" x14ac:dyDescent="0.25">
      <c r="A38" s="64"/>
      <c r="B38" s="21" t="s">
        <v>7778</v>
      </c>
      <c r="C38" s="22"/>
      <c r="D38" s="20">
        <v>2.7E-2</v>
      </c>
      <c r="E38" s="22"/>
      <c r="F38" s="20">
        <v>2.7E-2</v>
      </c>
    </row>
    <row r="39" spans="1:6" x14ac:dyDescent="0.25">
      <c r="A39" s="64"/>
      <c r="B39" s="16" t="s">
        <v>7779</v>
      </c>
      <c r="C39" s="22" t="s">
        <v>7780</v>
      </c>
      <c r="D39" s="22"/>
      <c r="E39" s="22" t="s">
        <v>7780</v>
      </c>
      <c r="F39" s="22"/>
    </row>
    <row r="40" spans="1:6" x14ac:dyDescent="0.25">
      <c r="A40" s="64"/>
      <c r="B40" s="16" t="s">
        <v>7781</v>
      </c>
      <c r="C40" s="20" t="s">
        <v>7782</v>
      </c>
      <c r="D40" s="20" t="s">
        <v>7782</v>
      </c>
      <c r="E40" s="20" t="s">
        <v>7782</v>
      </c>
      <c r="F40" s="20" t="s">
        <v>7782</v>
      </c>
    </row>
    <row r="41" spans="1:6" x14ac:dyDescent="0.25">
      <c r="A41" s="64"/>
      <c r="B41" s="13" t="s">
        <v>7783</v>
      </c>
      <c r="C41" s="20" t="s">
        <v>7782</v>
      </c>
      <c r="D41" s="20" t="s">
        <v>7782</v>
      </c>
      <c r="E41" s="20" t="s">
        <v>7782</v>
      </c>
      <c r="F41" s="20" t="s">
        <v>7782</v>
      </c>
    </row>
    <row r="42" spans="1:6" x14ac:dyDescent="0.25">
      <c r="A42" s="64"/>
      <c r="B42" s="13" t="s">
        <v>7784</v>
      </c>
      <c r="C42" s="20" t="s">
        <v>7782</v>
      </c>
      <c r="D42" s="20" t="s">
        <v>7782</v>
      </c>
      <c r="E42" s="20" t="s">
        <v>7782</v>
      </c>
      <c r="F42" s="20" t="s">
        <v>7782</v>
      </c>
    </row>
    <row r="43" spans="1:6" x14ac:dyDescent="0.25">
      <c r="A43" s="64"/>
      <c r="B43" s="13" t="s">
        <v>7785</v>
      </c>
      <c r="C43" s="20" t="s">
        <v>7782</v>
      </c>
      <c r="D43" s="20" t="s">
        <v>7782</v>
      </c>
      <c r="E43" s="20" t="s">
        <v>7782</v>
      </c>
      <c r="F43" s="20" t="s">
        <v>7782</v>
      </c>
    </row>
    <row r="44" spans="1:6" x14ac:dyDescent="0.25">
      <c r="A44" s="64"/>
      <c r="B44" s="13" t="s">
        <v>7786</v>
      </c>
      <c r="C44" s="20" t="s">
        <v>7782</v>
      </c>
      <c r="D44" s="20" t="s">
        <v>7782</v>
      </c>
      <c r="E44" s="20" t="s">
        <v>7782</v>
      </c>
      <c r="F44" s="20" t="s">
        <v>7782</v>
      </c>
    </row>
    <row r="45" spans="1:6" x14ac:dyDescent="0.25">
      <c r="A45" s="65"/>
      <c r="B45" s="13" t="s">
        <v>7787</v>
      </c>
      <c r="C45" s="22"/>
      <c r="D45" s="20"/>
      <c r="E45" s="20" t="s">
        <v>7788</v>
      </c>
      <c r="F45" s="20"/>
    </row>
  </sheetData>
  <mergeCells count="20">
    <mergeCell ref="B9:F9"/>
    <mergeCell ref="A7:A8"/>
    <mergeCell ref="A9:A11"/>
    <mergeCell ref="A3:F3"/>
    <mergeCell ref="A1:F2"/>
    <mergeCell ref="A4:F4"/>
    <mergeCell ref="C5:D5"/>
    <mergeCell ref="E5:F5"/>
    <mergeCell ref="B7:F7"/>
    <mergeCell ref="A33:A45"/>
    <mergeCell ref="B12:F12"/>
    <mergeCell ref="B18:F18"/>
    <mergeCell ref="B24:F24"/>
    <mergeCell ref="A12:A17"/>
    <mergeCell ref="A18:A23"/>
    <mergeCell ref="A24:A26"/>
    <mergeCell ref="B27:F27"/>
    <mergeCell ref="B30:F30"/>
    <mergeCell ref="A27:A29"/>
    <mergeCell ref="A30:A32"/>
  </mergeCells>
  <printOptions gridLines="1"/>
  <pageMargins left="0.7" right="0.7" top="0.75" bottom="0.75" header="0.3" footer="0.3"/>
  <pageSetup scale="78" orientation="landscape" r:id="rId1"/>
  <headerFooter>
    <oddHeader>&amp;A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9" sqref="A9"/>
    </sheetView>
  </sheetViews>
  <sheetFormatPr defaultRowHeight="15" x14ac:dyDescent="0.25"/>
  <cols>
    <col min="1" max="1" width="26" customWidth="1"/>
    <col min="2" max="2" width="41.5703125" customWidth="1"/>
  </cols>
  <sheetData>
    <row r="1" spans="1:2" s="12" customFormat="1" x14ac:dyDescent="0.25">
      <c r="A1" s="79" t="s">
        <v>7801</v>
      </c>
      <c r="B1" s="80"/>
    </row>
    <row r="2" spans="1:2" s="12" customFormat="1" x14ac:dyDescent="0.25">
      <c r="A2" s="81"/>
      <c r="B2" s="82"/>
    </row>
    <row r="3" spans="1:2" ht="15.75" thickBot="1" x14ac:dyDescent="0.3">
      <c r="A3" s="51" t="s">
        <v>7792</v>
      </c>
      <c r="B3" s="52">
        <v>0.1</v>
      </c>
    </row>
    <row r="4" spans="1:2" ht="15.75" thickBot="1" x14ac:dyDescent="0.3">
      <c r="A4" s="53" t="s">
        <v>7793</v>
      </c>
      <c r="B4" s="54" t="s">
        <v>7800</v>
      </c>
    </row>
    <row r="5" spans="1:2" ht="15.75" thickBot="1" x14ac:dyDescent="0.3">
      <c r="A5" s="51" t="s">
        <v>7794</v>
      </c>
      <c r="B5" s="55" t="s">
        <v>7800</v>
      </c>
    </row>
    <row r="6" spans="1:2" ht="15.75" thickBot="1" x14ac:dyDescent="0.3">
      <c r="A6" s="53" t="s">
        <v>7795</v>
      </c>
      <c r="B6" s="56">
        <v>0.11</v>
      </c>
    </row>
    <row r="7" spans="1:2" ht="15.75" thickBot="1" x14ac:dyDescent="0.3">
      <c r="A7" s="51" t="s">
        <v>7796</v>
      </c>
      <c r="B7" s="52">
        <v>7.0000000000000007E-2</v>
      </c>
    </row>
    <row r="8" spans="1:2" ht="15.75" thickBot="1" x14ac:dyDescent="0.3">
      <c r="A8" s="53" t="s">
        <v>7837</v>
      </c>
      <c r="B8" s="56">
        <v>0.1</v>
      </c>
    </row>
    <row r="9" spans="1:2" ht="15.75" thickBot="1" x14ac:dyDescent="0.3">
      <c r="A9" s="53" t="s">
        <v>7797</v>
      </c>
      <c r="B9" s="56">
        <v>0.05</v>
      </c>
    </row>
    <row r="10" spans="1:2" ht="15.75" thickBot="1" x14ac:dyDescent="0.3">
      <c r="A10" s="51" t="s">
        <v>7798</v>
      </c>
      <c r="B10" s="52">
        <v>0.1</v>
      </c>
    </row>
    <row r="11" spans="1:2" ht="15.75" thickBot="1" x14ac:dyDescent="0.3">
      <c r="A11" s="53" t="s">
        <v>7799</v>
      </c>
      <c r="B11" s="56">
        <v>0.25</v>
      </c>
    </row>
    <row r="15" spans="1:2" x14ac:dyDescent="0.25">
      <c r="A15" s="83" t="s">
        <v>7802</v>
      </c>
      <c r="B15" s="83"/>
    </row>
    <row r="16" spans="1:2" x14ac:dyDescent="0.25">
      <c r="A16" s="83"/>
      <c r="B16" s="83"/>
    </row>
    <row r="17" spans="1:2" x14ac:dyDescent="0.25">
      <c r="A17" s="83"/>
      <c r="B17" s="83"/>
    </row>
  </sheetData>
  <mergeCells count="2">
    <mergeCell ref="A1:B2"/>
    <mergeCell ref="A15:B1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Hardware</vt:lpstr>
      <vt:lpstr>Configuration and Training</vt:lpstr>
      <vt:lpstr>Technical Support</vt:lpstr>
      <vt:lpstr>Scanning Services Detail</vt:lpstr>
      <vt:lpstr>Software</vt:lpstr>
      <vt:lpstr>Sheet2</vt:lpstr>
      <vt:lpstr>Hardware!Print_Area</vt:lpstr>
      <vt:lpstr>'Configuration and Training'!Print_Titles</vt:lpstr>
      <vt:lpstr>Hardware!Print_Titles</vt:lpstr>
      <vt:lpstr>'Scanning Services Detail'!Print_Titles</vt:lpstr>
      <vt:lpstr>'Technical Support'!Print_Titles</vt:lpstr>
    </vt:vector>
  </TitlesOfParts>
  <Company>BIS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 Matlock</dc:creator>
  <cp:lastModifiedBy>David Annis</cp:lastModifiedBy>
  <cp:lastPrinted>2011-03-07T21:57:44Z</cp:lastPrinted>
  <dcterms:created xsi:type="dcterms:W3CDTF">2011-03-07T17:14:25Z</dcterms:created>
  <dcterms:modified xsi:type="dcterms:W3CDTF">2013-04-05T15:54:33Z</dcterms:modified>
</cp:coreProperties>
</file>