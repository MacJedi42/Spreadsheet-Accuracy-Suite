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45" windowWidth="15195" windowHeight="8445"/>
  </bookViews>
  <sheets>
    <sheet name="Marks summary" sheetId="1" r:id="rId1"/>
    <sheet name="TP1" sheetId="2" r:id="rId2"/>
    <sheet name="TP2" sheetId="3" r:id="rId3"/>
    <sheet name="TP3" sheetId="4" r:id="rId4"/>
    <sheet name="ETL1" sheetId="5" r:id="rId5"/>
    <sheet name="ETL2" sheetId="6" r:id="rId6"/>
    <sheet name="Final exam" sheetId="7" r:id="rId7"/>
  </sheets>
  <calcPr calcId="144525"/>
</workbook>
</file>

<file path=xl/calcChain.xml><?xml version="1.0" encoding="utf-8"?>
<calcChain xmlns="http://schemas.openxmlformats.org/spreadsheetml/2006/main">
  <c r="L3" i="1" l="1"/>
  <c r="K3" i="1"/>
  <c r="J3" i="1"/>
  <c r="I3" i="1"/>
  <c r="H3" i="1"/>
  <c r="G3" i="1"/>
  <c r="H3" i="7"/>
  <c r="H3" i="6"/>
  <c r="H3" i="5"/>
  <c r="I3" i="6"/>
  <c r="I9" i="6" s="1"/>
  <c r="I3" i="7"/>
  <c r="I9" i="7" s="1"/>
  <c r="H9" i="6"/>
  <c r="I3" i="5"/>
  <c r="I9" i="5" s="1"/>
  <c r="H9" i="5"/>
  <c r="I3" i="2"/>
  <c r="I9" i="2" s="1"/>
  <c r="H3" i="2"/>
  <c r="H9" i="2" s="1"/>
  <c r="I3" i="3"/>
  <c r="I9" i="3"/>
  <c r="H3" i="3"/>
  <c r="I3" i="4"/>
  <c r="I9" i="4" s="1"/>
  <c r="H3" i="4"/>
  <c r="H9" i="4"/>
  <c r="H9" i="7" l="1"/>
  <c r="H9" i="3"/>
  <c r="G9" i="1" l="1"/>
  <c r="M3" i="1"/>
</calcChain>
</file>

<file path=xl/sharedStrings.xml><?xml version="1.0" encoding="utf-8"?>
<sst xmlns="http://schemas.openxmlformats.org/spreadsheetml/2006/main" count="229" uniqueCount="41">
  <si>
    <t>Surname</t>
  </si>
  <si>
    <t>GivenName</t>
  </si>
  <si>
    <t>StudentNumber</t>
  </si>
  <si>
    <t>Status</t>
  </si>
  <si>
    <t>Faculty</t>
  </si>
  <si>
    <t>Email</t>
  </si>
  <si>
    <t>Total (100)</t>
  </si>
  <si>
    <t>Letter</t>
  </si>
  <si>
    <t>TP1 (10)</t>
  </si>
  <si>
    <t>TP2 (10)</t>
  </si>
  <si>
    <t>Arts</t>
  </si>
  <si>
    <t>abcdef@uottawa.ca</t>
  </si>
  <si>
    <t>bcdefg@uottawa.ca</t>
  </si>
  <si>
    <t>cdefgh@uottawa.ca</t>
  </si>
  <si>
    <t>defghi@uottawa.ca</t>
  </si>
  <si>
    <t>efghij@uottawa.ca</t>
  </si>
  <si>
    <t>TP3 (10)</t>
  </si>
  <si>
    <t>TP1 (35)</t>
  </si>
  <si>
    <t>%</t>
  </si>
  <si>
    <t>TP2 (47)</t>
  </si>
  <si>
    <t>TP3 (22)</t>
  </si>
  <si>
    <t>ETL1 (34)</t>
  </si>
  <si>
    <t>Final (36)</t>
  </si>
  <si>
    <t>ETL2 (50)</t>
  </si>
  <si>
    <t>Winter 2008</t>
  </si>
  <si>
    <t>TRA1000</t>
  </si>
  <si>
    <t>ETL1 (20)</t>
  </si>
  <si>
    <t>ETL2 (20)</t>
  </si>
  <si>
    <t>Surname1</t>
  </si>
  <si>
    <t>Surname2</t>
  </si>
  <si>
    <t>Surname3</t>
  </si>
  <si>
    <t>Surname4</t>
  </si>
  <si>
    <t>Surname5</t>
  </si>
  <si>
    <t>GivenName1</t>
  </si>
  <si>
    <t>GivenName2</t>
  </si>
  <si>
    <t>GivenName3</t>
  </si>
  <si>
    <t>GivenName4</t>
  </si>
  <si>
    <t>GivenName5</t>
  </si>
  <si>
    <t>Final (30)</t>
  </si>
  <si>
    <t>Average</t>
  </si>
  <si>
    <t>Winter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</si>
</sst>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0" applyFont="1"/>
    <xf numFmtId="0" fontId="3" fillId="0" borderId="0" xfId="1" applyAlignment="1" applyProtection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defgh@uottawa.ca" TargetMode="External"/><Relationship Id="rId2" Type="http://schemas.openxmlformats.org/officeDocument/2006/relationships/hyperlink" Target="mailto:bcdefg@uottawa.ca" TargetMode="External"/><Relationship Id="rId1" Type="http://schemas.openxmlformats.org/officeDocument/2006/relationships/hyperlink" Target="mailto:abcdef@uottawa.c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fghij@uottawa.ca" TargetMode="External"/><Relationship Id="rId4" Type="http://schemas.openxmlformats.org/officeDocument/2006/relationships/hyperlink" Target="mailto:defghi@uottawa.c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defgh@uottawa.ca" TargetMode="External"/><Relationship Id="rId2" Type="http://schemas.openxmlformats.org/officeDocument/2006/relationships/hyperlink" Target="mailto:bcdefg@uottawa.ca" TargetMode="External"/><Relationship Id="rId1" Type="http://schemas.openxmlformats.org/officeDocument/2006/relationships/hyperlink" Target="mailto:abcdef@uottawa.ca" TargetMode="External"/><Relationship Id="rId5" Type="http://schemas.openxmlformats.org/officeDocument/2006/relationships/hyperlink" Target="mailto:efghij@uottawa.ca" TargetMode="External"/><Relationship Id="rId4" Type="http://schemas.openxmlformats.org/officeDocument/2006/relationships/hyperlink" Target="mailto:defghi@uottawa.c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defgh@uottawa.ca" TargetMode="External"/><Relationship Id="rId2" Type="http://schemas.openxmlformats.org/officeDocument/2006/relationships/hyperlink" Target="mailto:bcdefg@uottawa.ca" TargetMode="External"/><Relationship Id="rId1" Type="http://schemas.openxmlformats.org/officeDocument/2006/relationships/hyperlink" Target="mailto:abcdef@uottawa.c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efghij@uottawa.ca" TargetMode="External"/><Relationship Id="rId4" Type="http://schemas.openxmlformats.org/officeDocument/2006/relationships/hyperlink" Target="mailto:defghi@uottawa.c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defgh@uottawa.ca" TargetMode="External"/><Relationship Id="rId2" Type="http://schemas.openxmlformats.org/officeDocument/2006/relationships/hyperlink" Target="mailto:bcdefg@uottawa.ca" TargetMode="External"/><Relationship Id="rId1" Type="http://schemas.openxmlformats.org/officeDocument/2006/relationships/hyperlink" Target="mailto:abcdef@uottawa.ca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efghij@uottawa.ca" TargetMode="External"/><Relationship Id="rId4" Type="http://schemas.openxmlformats.org/officeDocument/2006/relationships/hyperlink" Target="mailto:defghi@uottawa.c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cdefgh@uottawa.ca" TargetMode="External"/><Relationship Id="rId2" Type="http://schemas.openxmlformats.org/officeDocument/2006/relationships/hyperlink" Target="mailto:bcdefg@uottawa.ca" TargetMode="External"/><Relationship Id="rId1" Type="http://schemas.openxmlformats.org/officeDocument/2006/relationships/hyperlink" Target="mailto:abcdef@uottawa.ca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efghij@uottawa.ca" TargetMode="External"/><Relationship Id="rId4" Type="http://schemas.openxmlformats.org/officeDocument/2006/relationships/hyperlink" Target="mailto:defghi@uottawa.c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cdefgh@uottawa.ca" TargetMode="External"/><Relationship Id="rId2" Type="http://schemas.openxmlformats.org/officeDocument/2006/relationships/hyperlink" Target="mailto:bcdefg@uottawa.ca" TargetMode="External"/><Relationship Id="rId1" Type="http://schemas.openxmlformats.org/officeDocument/2006/relationships/hyperlink" Target="mailto:abcdef@uottawa.ca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efghij@uottawa.ca" TargetMode="External"/><Relationship Id="rId4" Type="http://schemas.openxmlformats.org/officeDocument/2006/relationships/hyperlink" Target="mailto:defghi@uottawa.c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cdefgh@uottawa.ca" TargetMode="External"/><Relationship Id="rId2" Type="http://schemas.openxmlformats.org/officeDocument/2006/relationships/hyperlink" Target="mailto:bcdefg@uottawa.ca" TargetMode="External"/><Relationship Id="rId1" Type="http://schemas.openxmlformats.org/officeDocument/2006/relationships/hyperlink" Target="mailto:abcdef@uottawa.ca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efghij@uottawa.ca" TargetMode="External"/><Relationship Id="rId4" Type="http://schemas.openxmlformats.org/officeDocument/2006/relationships/hyperlink" Target="mailto:defghi@uottawa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L4" sqref="L4"/>
    </sheetView>
  </sheetViews>
  <sheetFormatPr defaultRowHeight="12.75" x14ac:dyDescent="0.2"/>
  <cols>
    <col min="1" max="1" width="13.5703125" customWidth="1"/>
    <col min="2" max="2" width="11.42578125" customWidth="1"/>
    <col min="3" max="3" width="15.140625" hidden="1" customWidth="1"/>
    <col min="4" max="4" width="12.7109375" hidden="1" customWidth="1"/>
    <col min="5" max="5" width="12.140625" hidden="1" customWidth="1"/>
    <col min="6" max="6" width="18.140625" hidden="1" customWidth="1"/>
    <col min="7" max="7" width="10.140625" customWidth="1"/>
    <col min="8" max="9" width="9.5703125" customWidth="1"/>
    <col min="10" max="10" width="10.28515625" customWidth="1"/>
    <col min="11" max="11" width="9.85546875" customWidth="1"/>
    <col min="13" max="13" width="10.85546875" customWidth="1"/>
  </cols>
  <sheetData>
    <row r="1" spans="1:14" x14ac:dyDescent="0.2">
      <c r="A1" t="s">
        <v>40</v>
      </c>
      <c r="B1" t="s">
        <v>25</v>
      </c>
    </row>
    <row r="2" spans="1:14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8</v>
      </c>
      <c r="H2" s="1" t="s">
        <v>9</v>
      </c>
      <c r="I2" s="1" t="s">
        <v>16</v>
      </c>
      <c r="J2" s="1" t="s">
        <v>26</v>
      </c>
      <c r="K2" s="1" t="s">
        <v>27</v>
      </c>
      <c r="L2" s="1" t="s">
        <v>38</v>
      </c>
      <c r="M2" s="1" t="s">
        <v>6</v>
      </c>
      <c r="N2" s="1" t="s">
        <v>7</v>
      </c>
    </row>
    <row r="3" spans="1:14" x14ac:dyDescent="0.2">
      <c r="A3" t="s">
        <v>28</v>
      </c>
      <c r="B3" t="s">
        <v>33</v>
      </c>
      <c r="C3">
        <v>12345</v>
      </c>
      <c r="E3" t="s">
        <v>10</v>
      </c>
      <c r="F3" s="2" t="s">
        <v>11</v>
      </c>
      <c r="G3" s="3">
        <f>('TP1'!G3/35)*10</f>
        <v>6.5714285714285712</v>
      </c>
      <c r="H3" s="3">
        <f>('TP2'!G3/47)*10</f>
        <v>8.2978723404255312</v>
      </c>
      <c r="I3" s="3">
        <f>('TP3'!G3/22)*10</f>
        <v>9.0909090909090899</v>
      </c>
      <c r="J3" s="3">
        <f>('ETL1'!G3/34)*20</f>
        <v>17.647058823529413</v>
      </c>
      <c r="K3" s="3">
        <f>('ETL2'!G3/50)*20</f>
        <v>15.2</v>
      </c>
      <c r="L3" s="3">
        <f>('Final exam'!G3/36)*30</f>
        <v>20.833333333333332</v>
      </c>
      <c r="M3" s="3">
        <f>SUM(G3:L3)</f>
        <v>77.640602159625928</v>
      </c>
    </row>
    <row r="4" spans="1:14" x14ac:dyDescent="0.2">
      <c r="A4" t="s">
        <v>29</v>
      </c>
      <c r="B4" t="s">
        <v>34</v>
      </c>
      <c r="C4">
        <v>23456</v>
      </c>
      <c r="E4" t="s">
        <v>10</v>
      </c>
      <c r="F4" s="2" t="s">
        <v>12</v>
      </c>
      <c r="G4" s="3"/>
      <c r="H4" s="3"/>
      <c r="I4" s="3"/>
      <c r="J4" s="3"/>
      <c r="K4" s="3"/>
      <c r="L4" s="3"/>
      <c r="M4" s="3"/>
    </row>
    <row r="5" spans="1:14" x14ac:dyDescent="0.2">
      <c r="A5" t="s">
        <v>30</v>
      </c>
      <c r="B5" t="s">
        <v>35</v>
      </c>
      <c r="C5">
        <v>34567</v>
      </c>
      <c r="E5" t="s">
        <v>10</v>
      </c>
      <c r="F5" s="2" t="s">
        <v>13</v>
      </c>
      <c r="H5" s="3"/>
      <c r="I5" s="3"/>
      <c r="J5" s="3"/>
      <c r="K5" s="3"/>
      <c r="L5" s="3"/>
      <c r="M5" s="3"/>
    </row>
    <row r="6" spans="1:14" x14ac:dyDescent="0.2">
      <c r="A6" t="s">
        <v>31</v>
      </c>
      <c r="B6" t="s">
        <v>36</v>
      </c>
      <c r="C6">
        <v>45678</v>
      </c>
      <c r="E6" t="s">
        <v>10</v>
      </c>
      <c r="F6" s="2" t="s">
        <v>14</v>
      </c>
      <c r="H6" s="3"/>
      <c r="I6" s="3"/>
      <c r="J6" s="3"/>
      <c r="K6" s="3"/>
      <c r="L6" s="3"/>
      <c r="M6" s="3"/>
    </row>
    <row r="7" spans="1:14" x14ac:dyDescent="0.2">
      <c r="A7" t="s">
        <v>32</v>
      </c>
      <c r="B7" t="s">
        <v>37</v>
      </c>
      <c r="C7">
        <v>56789</v>
      </c>
      <c r="E7" t="s">
        <v>10</v>
      </c>
      <c r="F7" s="2" t="s">
        <v>15</v>
      </c>
      <c r="H7" s="3"/>
      <c r="I7" s="3"/>
      <c r="J7" s="3"/>
      <c r="K7" s="3"/>
      <c r="L7" s="3"/>
      <c r="M7" s="3"/>
    </row>
    <row r="8" spans="1:14" x14ac:dyDescent="0.2">
      <c r="H8" s="3"/>
      <c r="I8" s="3"/>
      <c r="J8" s="3"/>
      <c r="K8" s="3"/>
      <c r="L8" s="3"/>
      <c r="M8" s="3"/>
    </row>
    <row r="9" spans="1:14" x14ac:dyDescent="0.2">
      <c r="A9" t="s">
        <v>39</v>
      </c>
      <c r="G9" s="3">
        <f>AVERAGE(G3:G7)</f>
        <v>6.5714285714285712</v>
      </c>
    </row>
  </sheetData>
  <phoneticPr fontId="1" type="noConversion"/>
  <hyperlinks>
    <hyperlink ref="F3" r:id="rId1"/>
    <hyperlink ref="F4" r:id="rId2"/>
    <hyperlink ref="F5" r:id="rId3"/>
    <hyperlink ref="F6" r:id="rId4"/>
    <hyperlink ref="F7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2" sqref="C2:F7"/>
    </sheetView>
  </sheetViews>
  <sheetFormatPr defaultRowHeight="12.75" x14ac:dyDescent="0.2"/>
  <cols>
    <col min="1" max="1" width="18.5703125" customWidth="1"/>
    <col min="2" max="2" width="14.7109375" customWidth="1"/>
    <col min="3" max="6" width="0" hidden="1" customWidth="1"/>
  </cols>
  <sheetData>
    <row r="1" spans="1:9" x14ac:dyDescent="0.2">
      <c r="A1" t="s">
        <v>24</v>
      </c>
      <c r="B1" t="s">
        <v>25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17</v>
      </c>
      <c r="H2" s="1" t="s">
        <v>8</v>
      </c>
      <c r="I2" s="1" t="s">
        <v>18</v>
      </c>
    </row>
    <row r="3" spans="1:9" x14ac:dyDescent="0.2">
      <c r="A3" t="s">
        <v>28</v>
      </c>
      <c r="B3" t="s">
        <v>33</v>
      </c>
      <c r="C3">
        <v>12345</v>
      </c>
      <c r="E3" t="s">
        <v>10</v>
      </c>
      <c r="F3" s="2" t="s">
        <v>11</v>
      </c>
      <c r="G3">
        <v>23</v>
      </c>
      <c r="H3">
        <f>(G3/35)*10</f>
        <v>6.5714285714285712</v>
      </c>
      <c r="I3">
        <f>(G3/35)*100</f>
        <v>65.714285714285708</v>
      </c>
    </row>
    <row r="4" spans="1:9" x14ac:dyDescent="0.2">
      <c r="A4" t="s">
        <v>29</v>
      </c>
      <c r="B4" t="s">
        <v>34</v>
      </c>
      <c r="C4">
        <v>23456</v>
      </c>
      <c r="E4" t="s">
        <v>10</v>
      </c>
      <c r="F4" s="2" t="s">
        <v>12</v>
      </c>
    </row>
    <row r="5" spans="1:9" x14ac:dyDescent="0.2">
      <c r="A5" t="s">
        <v>30</v>
      </c>
      <c r="B5" t="s">
        <v>35</v>
      </c>
      <c r="C5">
        <v>34567</v>
      </c>
      <c r="E5" t="s">
        <v>10</v>
      </c>
      <c r="F5" s="2" t="s">
        <v>13</v>
      </c>
    </row>
    <row r="6" spans="1:9" x14ac:dyDescent="0.2">
      <c r="A6" t="s">
        <v>31</v>
      </c>
      <c r="B6" t="s">
        <v>36</v>
      </c>
      <c r="C6">
        <v>45678</v>
      </c>
      <c r="E6" t="s">
        <v>10</v>
      </c>
      <c r="F6" s="2" t="s">
        <v>14</v>
      </c>
    </row>
    <row r="7" spans="1:9" x14ac:dyDescent="0.2">
      <c r="A7" t="s">
        <v>32</v>
      </c>
      <c r="B7" t="s">
        <v>37</v>
      </c>
      <c r="C7">
        <v>56789</v>
      </c>
      <c r="E7" t="s">
        <v>10</v>
      </c>
      <c r="F7" s="2" t="s">
        <v>15</v>
      </c>
    </row>
    <row r="9" spans="1:9" x14ac:dyDescent="0.2">
      <c r="A9" t="s">
        <v>39</v>
      </c>
      <c r="H9">
        <f>AVERAGE(H3:H7)</f>
        <v>6.5714285714285712</v>
      </c>
      <c r="I9">
        <f>AVERAGE(I3:I7)</f>
        <v>65.714285714285708</v>
      </c>
    </row>
  </sheetData>
  <phoneticPr fontId="1" type="noConversion"/>
  <hyperlinks>
    <hyperlink ref="F3" r:id="rId1"/>
    <hyperlink ref="F4" r:id="rId2"/>
    <hyperlink ref="F5" r:id="rId3"/>
    <hyperlink ref="F6" r:id="rId4"/>
    <hyperlink ref="F7" r:id="rId5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2" sqref="C2:F7"/>
    </sheetView>
  </sheetViews>
  <sheetFormatPr defaultRowHeight="12.75" x14ac:dyDescent="0.2"/>
  <cols>
    <col min="1" max="1" width="18.5703125" customWidth="1"/>
    <col min="2" max="2" width="14.7109375" customWidth="1"/>
    <col min="3" max="6" width="0" hidden="1" customWidth="1"/>
  </cols>
  <sheetData>
    <row r="1" spans="1:9" x14ac:dyDescent="0.2">
      <c r="A1" t="s">
        <v>24</v>
      </c>
      <c r="B1" t="s">
        <v>25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19</v>
      </c>
      <c r="H2" s="1" t="s">
        <v>9</v>
      </c>
      <c r="I2" s="1" t="s">
        <v>18</v>
      </c>
    </row>
    <row r="3" spans="1:9" x14ac:dyDescent="0.2">
      <c r="A3" t="s">
        <v>28</v>
      </c>
      <c r="B3" t="s">
        <v>33</v>
      </c>
      <c r="C3">
        <v>12345</v>
      </c>
      <c r="E3" t="s">
        <v>10</v>
      </c>
      <c r="F3" s="2" t="s">
        <v>11</v>
      </c>
      <c r="G3">
        <v>39</v>
      </c>
      <c r="H3">
        <f>(G3/47)*10</f>
        <v>8.2978723404255312</v>
      </c>
      <c r="I3">
        <f>(G3/47)*100</f>
        <v>82.978723404255319</v>
      </c>
    </row>
    <row r="4" spans="1:9" x14ac:dyDescent="0.2">
      <c r="A4" t="s">
        <v>29</v>
      </c>
      <c r="B4" t="s">
        <v>34</v>
      </c>
      <c r="C4">
        <v>23456</v>
      </c>
      <c r="E4" t="s">
        <v>10</v>
      </c>
      <c r="F4" s="2" t="s">
        <v>12</v>
      </c>
    </row>
    <row r="5" spans="1:9" x14ac:dyDescent="0.2">
      <c r="A5" t="s">
        <v>30</v>
      </c>
      <c r="B5" t="s">
        <v>35</v>
      </c>
      <c r="C5">
        <v>34567</v>
      </c>
      <c r="E5" t="s">
        <v>10</v>
      </c>
      <c r="F5" s="2" t="s">
        <v>13</v>
      </c>
    </row>
    <row r="6" spans="1:9" x14ac:dyDescent="0.2">
      <c r="A6" t="s">
        <v>31</v>
      </c>
      <c r="B6" t="s">
        <v>36</v>
      </c>
      <c r="C6">
        <v>45678</v>
      </c>
      <c r="E6" t="s">
        <v>10</v>
      </c>
      <c r="F6" s="2" t="s">
        <v>14</v>
      </c>
    </row>
    <row r="7" spans="1:9" x14ac:dyDescent="0.2">
      <c r="A7" t="s">
        <v>32</v>
      </c>
      <c r="B7" t="s">
        <v>37</v>
      </c>
      <c r="C7">
        <v>56789</v>
      </c>
      <c r="E7" t="s">
        <v>10</v>
      </c>
      <c r="F7" s="2" t="s">
        <v>15</v>
      </c>
    </row>
    <row r="9" spans="1:9" x14ac:dyDescent="0.2">
      <c r="A9" t="s">
        <v>39</v>
      </c>
      <c r="H9">
        <f>AVERAGE(H3:H7)</f>
        <v>8.2978723404255312</v>
      </c>
      <c r="I9">
        <f>AVERAGE(I3:I7)</f>
        <v>82.978723404255319</v>
      </c>
    </row>
  </sheetData>
  <phoneticPr fontId="1" type="noConversion"/>
  <hyperlinks>
    <hyperlink ref="F3" r:id="rId1"/>
    <hyperlink ref="F4" r:id="rId2"/>
    <hyperlink ref="F5" r:id="rId3"/>
    <hyperlink ref="F6" r:id="rId4"/>
    <hyperlink ref="F7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2" sqref="C2:F7"/>
    </sheetView>
  </sheetViews>
  <sheetFormatPr defaultRowHeight="12.75" x14ac:dyDescent="0.2"/>
  <cols>
    <col min="1" max="1" width="18.5703125" customWidth="1"/>
    <col min="2" max="2" width="14.7109375" customWidth="1"/>
    <col min="3" max="6" width="0" hidden="1" customWidth="1"/>
  </cols>
  <sheetData>
    <row r="1" spans="1:9" x14ac:dyDescent="0.2">
      <c r="A1" t="s">
        <v>24</v>
      </c>
      <c r="B1" t="s">
        <v>25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20</v>
      </c>
      <c r="H2" s="1" t="s">
        <v>16</v>
      </c>
      <c r="I2" s="1" t="s">
        <v>18</v>
      </c>
    </row>
    <row r="3" spans="1:9" x14ac:dyDescent="0.2">
      <c r="A3" t="s">
        <v>28</v>
      </c>
      <c r="B3" t="s">
        <v>33</v>
      </c>
      <c r="C3">
        <v>12345</v>
      </c>
      <c r="E3" t="s">
        <v>10</v>
      </c>
      <c r="F3" s="2" t="s">
        <v>11</v>
      </c>
      <c r="G3">
        <v>20</v>
      </c>
      <c r="H3">
        <f>(G3/22)*10</f>
        <v>9.0909090909090899</v>
      </c>
      <c r="I3">
        <f>(G3/22)*100</f>
        <v>90.909090909090907</v>
      </c>
    </row>
    <row r="4" spans="1:9" x14ac:dyDescent="0.2">
      <c r="A4" t="s">
        <v>29</v>
      </c>
      <c r="B4" t="s">
        <v>34</v>
      </c>
      <c r="C4">
        <v>23456</v>
      </c>
      <c r="E4" t="s">
        <v>10</v>
      </c>
      <c r="F4" s="2" t="s">
        <v>12</v>
      </c>
    </row>
    <row r="5" spans="1:9" x14ac:dyDescent="0.2">
      <c r="A5" t="s">
        <v>30</v>
      </c>
      <c r="B5" t="s">
        <v>35</v>
      </c>
      <c r="C5">
        <v>34567</v>
      </c>
      <c r="E5" t="s">
        <v>10</v>
      </c>
      <c r="F5" s="2" t="s">
        <v>13</v>
      </c>
    </row>
    <row r="6" spans="1:9" x14ac:dyDescent="0.2">
      <c r="A6" t="s">
        <v>31</v>
      </c>
      <c r="B6" t="s">
        <v>36</v>
      </c>
      <c r="C6">
        <v>45678</v>
      </c>
      <c r="E6" t="s">
        <v>10</v>
      </c>
      <c r="F6" s="2" t="s">
        <v>14</v>
      </c>
    </row>
    <row r="7" spans="1:9" x14ac:dyDescent="0.2">
      <c r="A7" t="s">
        <v>32</v>
      </c>
      <c r="B7" t="s">
        <v>37</v>
      </c>
      <c r="C7">
        <v>56789</v>
      </c>
      <c r="E7" t="s">
        <v>10</v>
      </c>
      <c r="F7" s="2" t="s">
        <v>15</v>
      </c>
    </row>
    <row r="9" spans="1:9" x14ac:dyDescent="0.2">
      <c r="A9" t="s">
        <v>39</v>
      </c>
      <c r="H9">
        <f>AVERAGE(H3:H7)</f>
        <v>9.0909090909090899</v>
      </c>
      <c r="I9">
        <f>AVERAGE(I3:I7)</f>
        <v>90.909090909090907</v>
      </c>
    </row>
  </sheetData>
  <phoneticPr fontId="1" type="noConversion"/>
  <hyperlinks>
    <hyperlink ref="F3" r:id="rId1"/>
    <hyperlink ref="F4" r:id="rId2"/>
    <hyperlink ref="F5" r:id="rId3"/>
    <hyperlink ref="F6" r:id="rId4"/>
    <hyperlink ref="F7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2" sqref="C2:F7"/>
    </sheetView>
  </sheetViews>
  <sheetFormatPr defaultRowHeight="12.75" x14ac:dyDescent="0.2"/>
  <cols>
    <col min="1" max="1" width="18.5703125" customWidth="1"/>
    <col min="2" max="2" width="14.7109375" customWidth="1"/>
    <col min="3" max="6" width="0" hidden="1" customWidth="1"/>
  </cols>
  <sheetData>
    <row r="1" spans="1:9" x14ac:dyDescent="0.2">
      <c r="A1" t="s">
        <v>24</v>
      </c>
      <c r="B1" t="s">
        <v>25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21</v>
      </c>
      <c r="H2" s="1" t="s">
        <v>26</v>
      </c>
      <c r="I2" s="1" t="s">
        <v>18</v>
      </c>
    </row>
    <row r="3" spans="1:9" x14ac:dyDescent="0.2">
      <c r="A3" t="s">
        <v>28</v>
      </c>
      <c r="B3" t="s">
        <v>33</v>
      </c>
      <c r="C3">
        <v>12345</v>
      </c>
      <c r="E3" t="s">
        <v>10</v>
      </c>
      <c r="F3" s="2" t="s">
        <v>11</v>
      </c>
      <c r="G3">
        <v>30</v>
      </c>
      <c r="H3">
        <f>(G3/34)*20</f>
        <v>17.647058823529413</v>
      </c>
      <c r="I3">
        <f>(G3/34)*100</f>
        <v>88.235294117647058</v>
      </c>
    </row>
    <row r="4" spans="1:9" x14ac:dyDescent="0.2">
      <c r="A4" t="s">
        <v>29</v>
      </c>
      <c r="B4" t="s">
        <v>34</v>
      </c>
      <c r="C4">
        <v>23456</v>
      </c>
      <c r="E4" t="s">
        <v>10</v>
      </c>
      <c r="F4" s="2" t="s">
        <v>12</v>
      </c>
    </row>
    <row r="5" spans="1:9" x14ac:dyDescent="0.2">
      <c r="A5" t="s">
        <v>30</v>
      </c>
      <c r="B5" t="s">
        <v>35</v>
      </c>
      <c r="C5">
        <v>34567</v>
      </c>
      <c r="E5" t="s">
        <v>10</v>
      </c>
      <c r="F5" s="2" t="s">
        <v>13</v>
      </c>
    </row>
    <row r="6" spans="1:9" x14ac:dyDescent="0.2">
      <c r="A6" t="s">
        <v>31</v>
      </c>
      <c r="B6" t="s">
        <v>36</v>
      </c>
      <c r="C6">
        <v>45678</v>
      </c>
      <c r="E6" t="s">
        <v>10</v>
      </c>
      <c r="F6" s="2" t="s">
        <v>14</v>
      </c>
    </row>
    <row r="7" spans="1:9" x14ac:dyDescent="0.2">
      <c r="A7" t="s">
        <v>32</v>
      </c>
      <c r="B7" t="s">
        <v>37</v>
      </c>
      <c r="C7">
        <v>56789</v>
      </c>
      <c r="E7" t="s">
        <v>10</v>
      </c>
      <c r="F7" s="2" t="s">
        <v>15</v>
      </c>
    </row>
    <row r="9" spans="1:9" x14ac:dyDescent="0.2">
      <c r="A9" t="s">
        <v>39</v>
      </c>
      <c r="H9">
        <f>AVERAGE(H3:H7)</f>
        <v>17.647058823529413</v>
      </c>
      <c r="I9">
        <f>AVERAGE(I3:I7)</f>
        <v>88.235294117647058</v>
      </c>
    </row>
  </sheetData>
  <phoneticPr fontId="1" type="noConversion"/>
  <hyperlinks>
    <hyperlink ref="F3" r:id="rId1"/>
    <hyperlink ref="F4" r:id="rId2"/>
    <hyperlink ref="F5" r:id="rId3"/>
    <hyperlink ref="F6" r:id="rId4"/>
    <hyperlink ref="F7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F1" sqref="C1:F1048576"/>
    </sheetView>
  </sheetViews>
  <sheetFormatPr defaultRowHeight="12.75" x14ac:dyDescent="0.2"/>
  <cols>
    <col min="1" max="1" width="18.5703125" customWidth="1"/>
    <col min="2" max="2" width="14.7109375" customWidth="1"/>
    <col min="3" max="6" width="0" hidden="1" customWidth="1"/>
  </cols>
  <sheetData>
    <row r="1" spans="1:9" x14ac:dyDescent="0.2">
      <c r="A1" t="s">
        <v>24</v>
      </c>
      <c r="B1" t="s">
        <v>25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23</v>
      </c>
      <c r="H2" s="1" t="s">
        <v>27</v>
      </c>
      <c r="I2" s="1" t="s">
        <v>18</v>
      </c>
    </row>
    <row r="3" spans="1:9" x14ac:dyDescent="0.2">
      <c r="A3" t="s">
        <v>28</v>
      </c>
      <c r="B3" t="s">
        <v>33</v>
      </c>
      <c r="C3">
        <v>12345</v>
      </c>
      <c r="E3" t="s">
        <v>10</v>
      </c>
      <c r="F3" s="2" t="s">
        <v>11</v>
      </c>
      <c r="G3">
        <v>38</v>
      </c>
      <c r="H3">
        <f>(G3/50)*20</f>
        <v>15.2</v>
      </c>
      <c r="I3">
        <f>(G3/50)*100</f>
        <v>76</v>
      </c>
    </row>
    <row r="4" spans="1:9" x14ac:dyDescent="0.2">
      <c r="A4" t="s">
        <v>29</v>
      </c>
      <c r="B4" t="s">
        <v>34</v>
      </c>
      <c r="C4">
        <v>23456</v>
      </c>
      <c r="E4" t="s">
        <v>10</v>
      </c>
      <c r="F4" s="2" t="s">
        <v>12</v>
      </c>
    </row>
    <row r="5" spans="1:9" x14ac:dyDescent="0.2">
      <c r="A5" t="s">
        <v>30</v>
      </c>
      <c r="B5" t="s">
        <v>35</v>
      </c>
      <c r="C5">
        <v>34567</v>
      </c>
      <c r="E5" t="s">
        <v>10</v>
      </c>
      <c r="F5" s="2" t="s">
        <v>13</v>
      </c>
    </row>
    <row r="6" spans="1:9" x14ac:dyDescent="0.2">
      <c r="A6" t="s">
        <v>31</v>
      </c>
      <c r="B6" t="s">
        <v>36</v>
      </c>
      <c r="C6">
        <v>45678</v>
      </c>
      <c r="E6" t="s">
        <v>10</v>
      </c>
      <c r="F6" s="2" t="s">
        <v>14</v>
      </c>
    </row>
    <row r="7" spans="1:9" x14ac:dyDescent="0.2">
      <c r="A7" t="s">
        <v>32</v>
      </c>
      <c r="B7" t="s">
        <v>37</v>
      </c>
      <c r="C7">
        <v>56789</v>
      </c>
      <c r="E7" t="s">
        <v>10</v>
      </c>
      <c r="F7" s="2" t="s">
        <v>15</v>
      </c>
    </row>
    <row r="9" spans="1:9" x14ac:dyDescent="0.2">
      <c r="A9" t="s">
        <v>39</v>
      </c>
      <c r="H9">
        <f>AVERAGE(H3:H7)</f>
        <v>15.2</v>
      </c>
      <c r="I9">
        <f>AVERAGE(I3:I7)</f>
        <v>76</v>
      </c>
    </row>
  </sheetData>
  <phoneticPr fontId="1" type="noConversion"/>
  <hyperlinks>
    <hyperlink ref="F3" r:id="rId1"/>
    <hyperlink ref="F4" r:id="rId2"/>
    <hyperlink ref="F5" r:id="rId3"/>
    <hyperlink ref="F6" r:id="rId4"/>
    <hyperlink ref="F7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E1" sqref="C1:E1048576"/>
    </sheetView>
  </sheetViews>
  <sheetFormatPr defaultRowHeight="12.75" x14ac:dyDescent="0.2"/>
  <cols>
    <col min="1" max="1" width="18.5703125" customWidth="1"/>
    <col min="2" max="2" width="14.7109375" customWidth="1"/>
    <col min="3" max="6" width="0" hidden="1" customWidth="1"/>
  </cols>
  <sheetData>
    <row r="1" spans="1:9" x14ac:dyDescent="0.2">
      <c r="A1" t="s">
        <v>24</v>
      </c>
      <c r="B1" t="s">
        <v>25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22</v>
      </c>
      <c r="H2" s="1" t="s">
        <v>38</v>
      </c>
      <c r="I2" s="1" t="s">
        <v>18</v>
      </c>
    </row>
    <row r="3" spans="1:9" x14ac:dyDescent="0.2">
      <c r="A3" t="s">
        <v>28</v>
      </c>
      <c r="B3" t="s">
        <v>33</v>
      </c>
      <c r="C3">
        <v>12345</v>
      </c>
      <c r="E3" t="s">
        <v>10</v>
      </c>
      <c r="F3" s="2" t="s">
        <v>11</v>
      </c>
      <c r="G3">
        <v>25</v>
      </c>
      <c r="H3">
        <f>(G3/36)*30</f>
        <v>20.833333333333332</v>
      </c>
      <c r="I3">
        <f>(G3/36)*100</f>
        <v>69.444444444444443</v>
      </c>
    </row>
    <row r="4" spans="1:9" x14ac:dyDescent="0.2">
      <c r="A4" t="s">
        <v>29</v>
      </c>
      <c r="B4" t="s">
        <v>34</v>
      </c>
      <c r="C4">
        <v>23456</v>
      </c>
      <c r="E4" t="s">
        <v>10</v>
      </c>
      <c r="F4" s="2" t="s">
        <v>12</v>
      </c>
    </row>
    <row r="5" spans="1:9" x14ac:dyDescent="0.2">
      <c r="A5" t="s">
        <v>30</v>
      </c>
      <c r="B5" t="s">
        <v>35</v>
      </c>
      <c r="C5">
        <v>34567</v>
      </c>
      <c r="E5" t="s">
        <v>10</v>
      </c>
      <c r="F5" s="2" t="s">
        <v>13</v>
      </c>
    </row>
    <row r="6" spans="1:9" x14ac:dyDescent="0.2">
      <c r="A6" t="s">
        <v>31</v>
      </c>
      <c r="B6" t="s">
        <v>36</v>
      </c>
      <c r="C6">
        <v>45678</v>
      </c>
      <c r="E6" t="s">
        <v>10</v>
      </c>
      <c r="F6" s="2" t="s">
        <v>14</v>
      </c>
    </row>
    <row r="7" spans="1:9" x14ac:dyDescent="0.2">
      <c r="A7" t="s">
        <v>32</v>
      </c>
      <c r="B7" t="s">
        <v>37</v>
      </c>
      <c r="C7">
        <v>56789</v>
      </c>
      <c r="E7" t="s">
        <v>10</v>
      </c>
      <c r="F7" s="2" t="s">
        <v>15</v>
      </c>
    </row>
    <row r="9" spans="1:9" x14ac:dyDescent="0.2">
      <c r="A9" t="s">
        <v>39</v>
      </c>
      <c r="H9">
        <f>AVERAGE(H3:H7)</f>
        <v>20.833333333333332</v>
      </c>
      <c r="I9">
        <f>AVERAGE(I3:I7)</f>
        <v>69.444444444444443</v>
      </c>
    </row>
  </sheetData>
  <phoneticPr fontId="1" type="noConversion"/>
  <hyperlinks>
    <hyperlink ref="F3" r:id="rId1"/>
    <hyperlink ref="F4" r:id="rId2"/>
    <hyperlink ref="F5" r:id="rId3"/>
    <hyperlink ref="F6" r:id="rId4"/>
    <hyperlink ref="F7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Marks summary</vt:lpstr>
      <vt:lpstr>TP1</vt:lpstr>
      <vt:lpstr>TP2</vt:lpstr>
      <vt:lpstr>TP3</vt:lpstr>
      <vt:lpstr>ETL1</vt:lpstr>
      <vt:lpstr>ETL2</vt:lpstr>
      <vt:lpstr>Final exam</vt:lpstr>
    </vt:vector>
  </TitlesOfParts>
  <Company>University of Ottawa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Marshman</dc:creator>
  <cp:lastModifiedBy>Elizabeth Marshman</cp:lastModifiedBy>
  <dcterms:created xsi:type="dcterms:W3CDTF">2008-01-17T19:19:47Z</dcterms:created>
  <dcterms:modified xsi:type="dcterms:W3CDTF">2011-06-27T17:56:46Z</dcterms:modified>
</cp:coreProperties>
</file>