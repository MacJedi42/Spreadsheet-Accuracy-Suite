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152" yWindow="408" windowWidth="15168" windowHeight="9300" activeTab="1"/>
  </bookViews>
  <sheets>
    <sheet name="Data" sheetId="1" r:id="rId1"/>
    <sheet name="New Fig. 7 Mileage-based" sheetId="4" r:id="rId2"/>
    <sheet name="Annual Avg." sheetId="9" r:id="rId3"/>
    <sheet name="WTI vs. HDF" sheetId="5" r:id="rId4"/>
  </sheets>
  <calcPr calcId="145621"/>
</workbook>
</file>

<file path=xl/calcChain.xml><?xml version="1.0" encoding="utf-8"?>
<calcChain xmlns="http://schemas.openxmlformats.org/spreadsheetml/2006/main">
  <c r="H31" i="4" l="1"/>
  <c r="H30" i="4"/>
  <c r="H29" i="4"/>
  <c r="G31" i="4"/>
  <c r="G30" i="4"/>
  <c r="G29" i="4"/>
  <c r="I169" i="1"/>
  <c r="J169" i="1"/>
  <c r="K169" i="1"/>
  <c r="D169" i="1" l="1"/>
  <c r="C15" i="9" l="1"/>
  <c r="E15" i="9"/>
  <c r="F15" i="9"/>
  <c r="G15" i="9"/>
  <c r="H15" i="9"/>
  <c r="B15" i="9"/>
  <c r="C14" i="9"/>
  <c r="E14" i="9"/>
  <c r="F14" i="9"/>
  <c r="G14" i="9"/>
  <c r="H14" i="9"/>
  <c r="B14" i="9"/>
  <c r="D168" i="1"/>
  <c r="I168" i="1" s="1"/>
  <c r="J168" i="1" l="1"/>
  <c r="D167" i="1"/>
  <c r="I167" i="1" s="1"/>
  <c r="J167" i="1" l="1"/>
  <c r="D166" i="1"/>
  <c r="I166" i="1" s="1"/>
  <c r="J166" i="1" l="1"/>
  <c r="B69" i="9"/>
  <c r="D165" i="1"/>
  <c r="I165" i="1" s="1"/>
  <c r="J165" i="1" l="1"/>
  <c r="D164" i="1"/>
  <c r="I164" i="1" s="1"/>
  <c r="J164" i="1" l="1"/>
  <c r="B68" i="9" s="1"/>
  <c r="D163" i="1"/>
  <c r="I163" i="1" s="1"/>
  <c r="J163" i="1" l="1"/>
  <c r="D162" i="1"/>
  <c r="I162" i="1" s="1"/>
  <c r="J162" i="1" l="1"/>
  <c r="J161" i="1"/>
  <c r="B67" i="9" s="1"/>
  <c r="D161" i="1"/>
  <c r="I161" i="1" s="1"/>
  <c r="D160" i="1" l="1"/>
  <c r="J160" i="1" s="1"/>
  <c r="I160" i="1" l="1"/>
  <c r="J159" i="1"/>
  <c r="D159" i="1"/>
  <c r="I159" i="1" s="1"/>
  <c r="I196" i="1" l="1"/>
  <c r="D158" i="1" l="1"/>
  <c r="D15" i="9" l="1"/>
  <c r="J158" i="1"/>
  <c r="I158" i="1"/>
  <c r="I15" i="9" s="1"/>
  <c r="D157" i="1"/>
  <c r="J157" i="1" s="1"/>
  <c r="I157" i="1" l="1"/>
  <c r="J15" i="9"/>
  <c r="B66" i="9"/>
  <c r="J156" i="1"/>
  <c r="D156" i="1"/>
  <c r="I156" i="1" s="1"/>
  <c r="I186" i="1" l="1"/>
  <c r="I187" i="1"/>
  <c r="I188" i="1"/>
  <c r="I189" i="1"/>
  <c r="I190" i="1"/>
  <c r="I191" i="1"/>
  <c r="I192" i="1"/>
  <c r="I193" i="1"/>
  <c r="I194" i="1"/>
  <c r="I195" i="1"/>
  <c r="D155" i="1" l="1"/>
  <c r="J155" i="1" s="1"/>
  <c r="B65" i="9" l="1"/>
  <c r="I155" i="1"/>
  <c r="D154" i="1"/>
  <c r="I154" i="1" s="1"/>
  <c r="J154" i="1" l="1"/>
  <c r="D153" i="1"/>
  <c r="I153" i="1" s="1"/>
  <c r="J153" i="1" l="1"/>
  <c r="D152" i="1"/>
  <c r="J152" i="1" s="1"/>
  <c r="B64" i="9" l="1"/>
  <c r="I152" i="1"/>
  <c r="D151" i="1"/>
  <c r="J151" i="1" s="1"/>
  <c r="I151" i="1" l="1"/>
  <c r="D150" i="1"/>
  <c r="J150" i="1" s="1"/>
  <c r="I150" i="1" l="1"/>
  <c r="H13" i="9"/>
  <c r="G13" i="9"/>
  <c r="F13" i="9"/>
  <c r="E13" i="9"/>
  <c r="C13" i="9"/>
  <c r="B13" i="9"/>
  <c r="D149" i="1"/>
  <c r="I149" i="1" s="1"/>
  <c r="J149" i="1" l="1"/>
  <c r="D148" i="1"/>
  <c r="I148" i="1" s="1"/>
  <c r="B63" i="9" l="1"/>
  <c r="J148" i="1"/>
  <c r="D147" i="1"/>
  <c r="J147" i="1" s="1"/>
  <c r="D146" i="1"/>
  <c r="D14" i="9" s="1"/>
  <c r="I147" i="1" l="1"/>
  <c r="J146" i="1"/>
  <c r="B62" i="9" l="1"/>
  <c r="J14" i="9"/>
  <c r="I146" i="1"/>
  <c r="I14" i="9" s="1"/>
  <c r="D145" i="1" l="1"/>
  <c r="J145" i="1" s="1"/>
  <c r="I145" i="1" l="1"/>
  <c r="D144" i="1"/>
  <c r="J144" i="1" l="1"/>
  <c r="I144" i="1"/>
  <c r="D143" i="1"/>
  <c r="J143" i="1" l="1"/>
  <c r="I143" i="1"/>
  <c r="D142" i="1"/>
  <c r="J142" i="1" s="1"/>
  <c r="B61" i="9" l="1"/>
  <c r="I142" i="1"/>
  <c r="D141" i="1"/>
  <c r="J141" i="1" l="1"/>
  <c r="I141" i="1"/>
  <c r="D140" i="1" l="1"/>
  <c r="J140" i="1" l="1"/>
  <c r="I140" i="1"/>
  <c r="B60" i="9" l="1"/>
  <c r="D139" i="1"/>
  <c r="J139" i="1" l="1"/>
  <c r="I139" i="1"/>
  <c r="D138" i="1"/>
  <c r="I138" i="1" s="1"/>
  <c r="J138" i="1" l="1"/>
  <c r="D135" i="1"/>
  <c r="D137" i="1" l="1"/>
  <c r="I137" i="1" l="1"/>
  <c r="J137" i="1"/>
  <c r="J135" i="1"/>
  <c r="B59" i="9" l="1"/>
  <c r="D136" i="1"/>
  <c r="J136" i="1" s="1"/>
  <c r="I136" i="1" l="1"/>
  <c r="C12" i="9"/>
  <c r="E12" i="9"/>
  <c r="F12" i="9"/>
  <c r="G12" i="9"/>
  <c r="H12" i="9"/>
  <c r="B12" i="9"/>
  <c r="I135" i="1"/>
  <c r="D134" i="1" l="1"/>
  <c r="J134" i="1" l="1"/>
  <c r="D13" i="9"/>
  <c r="I134" i="1"/>
  <c r="I13" i="9" s="1"/>
  <c r="B58" i="9" l="1"/>
  <c r="J13" i="9"/>
  <c r="D133" i="1"/>
  <c r="J133" i="1" s="1"/>
  <c r="D132" i="1"/>
  <c r="I132" i="1" s="1"/>
  <c r="D131" i="1"/>
  <c r="I131" i="1" s="1"/>
  <c r="I133" i="1" l="1"/>
  <c r="J131" i="1"/>
  <c r="K167" i="1" s="1"/>
  <c r="J132" i="1"/>
  <c r="D130" i="1"/>
  <c r="J130" i="1" s="1"/>
  <c r="K166" i="1" s="1"/>
  <c r="D129" i="1"/>
  <c r="J129" i="1" s="1"/>
  <c r="K165" i="1" s="1"/>
  <c r="D128" i="1"/>
  <c r="J128" i="1" s="1"/>
  <c r="K164" i="1" s="1"/>
  <c r="I129" i="1"/>
  <c r="K168" i="1" l="1"/>
  <c r="I130" i="1"/>
  <c r="I128" i="1"/>
  <c r="B56" i="9"/>
  <c r="B57" i="9"/>
  <c r="D127" i="1"/>
  <c r="D126" i="1"/>
  <c r="J126" i="1" s="1"/>
  <c r="K162" i="1" s="1"/>
  <c r="D125" i="1"/>
  <c r="J125" i="1" s="1"/>
  <c r="K161" i="1" s="1"/>
  <c r="I126" i="1" l="1"/>
  <c r="I127" i="1"/>
  <c r="J127" i="1"/>
  <c r="K163" i="1" s="1"/>
  <c r="I125" i="1"/>
  <c r="D124" i="1"/>
  <c r="J124" i="1" s="1"/>
  <c r="K160" i="1" s="1"/>
  <c r="B55" i="9" l="1"/>
  <c r="I124" i="1"/>
  <c r="D123" i="1"/>
  <c r="J123" i="1" s="1"/>
  <c r="K159" i="1" s="1"/>
  <c r="H11" i="9"/>
  <c r="G11" i="9"/>
  <c r="F11" i="9"/>
  <c r="E11" i="9"/>
  <c r="C11" i="9"/>
  <c r="B11" i="9"/>
  <c r="H10" i="9"/>
  <c r="G10" i="9"/>
  <c r="F10" i="9"/>
  <c r="E10" i="9"/>
  <c r="D10" i="9"/>
  <c r="C10" i="9"/>
  <c r="B10" i="9"/>
  <c r="H9" i="9"/>
  <c r="G9" i="9"/>
  <c r="F9" i="9"/>
  <c r="E9" i="9"/>
  <c r="D9" i="9"/>
  <c r="C9" i="9"/>
  <c r="B9" i="9"/>
  <c r="S8" i="9"/>
  <c r="R8" i="9"/>
  <c r="Q8" i="9"/>
  <c r="P8" i="9"/>
  <c r="O8" i="9"/>
  <c r="N8" i="9"/>
  <c r="M8" i="9"/>
  <c r="H8" i="9"/>
  <c r="G8" i="9"/>
  <c r="F8" i="9"/>
  <c r="E8" i="9"/>
  <c r="D8" i="9"/>
  <c r="C8" i="9"/>
  <c r="B8" i="9"/>
  <c r="S7" i="9"/>
  <c r="R7" i="9"/>
  <c r="Q7" i="9"/>
  <c r="P7" i="9"/>
  <c r="O7" i="9"/>
  <c r="N7" i="9"/>
  <c r="M7" i="9"/>
  <c r="H7" i="9"/>
  <c r="G7" i="9"/>
  <c r="F7" i="9"/>
  <c r="E7" i="9"/>
  <c r="D7" i="9"/>
  <c r="C7" i="9"/>
  <c r="B7" i="9"/>
  <c r="S6" i="9"/>
  <c r="R6" i="9"/>
  <c r="Q6" i="9"/>
  <c r="P6" i="9"/>
  <c r="O6" i="9"/>
  <c r="N6" i="9"/>
  <c r="M6" i="9"/>
  <c r="H6" i="9"/>
  <c r="G6" i="9"/>
  <c r="F6" i="9"/>
  <c r="E6" i="9"/>
  <c r="D6" i="9"/>
  <c r="C6" i="9"/>
  <c r="B6" i="9"/>
  <c r="S5" i="9"/>
  <c r="R5" i="9"/>
  <c r="Q5" i="9"/>
  <c r="P5" i="9"/>
  <c r="O5" i="9"/>
  <c r="N5" i="9"/>
  <c r="M5" i="9"/>
  <c r="H5" i="9"/>
  <c r="G5" i="9"/>
  <c r="F5" i="9"/>
  <c r="E5" i="9"/>
  <c r="D5" i="9"/>
  <c r="C5" i="9"/>
  <c r="B5" i="9"/>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D122" i="1"/>
  <c r="D121" i="1"/>
  <c r="D120" i="1"/>
  <c r="D119" i="1"/>
  <c r="J119" i="1" s="1"/>
  <c r="K155" i="1" s="1"/>
  <c r="J122" i="1" l="1"/>
  <c r="K158" i="1" s="1"/>
  <c r="D12" i="9"/>
  <c r="I120" i="1"/>
  <c r="J120" i="1"/>
  <c r="K156" i="1" s="1"/>
  <c r="I121" i="1"/>
  <c r="J121" i="1"/>
  <c r="K157" i="1" s="1"/>
  <c r="I123" i="1"/>
  <c r="U8" i="9"/>
  <c r="U7" i="9"/>
  <c r="I122" i="1"/>
  <c r="I119" i="1"/>
  <c r="I12" i="9" l="1"/>
  <c r="B53" i="9"/>
  <c r="B54" i="9"/>
  <c r="J12" i="9"/>
  <c r="D118" i="1"/>
  <c r="J118" i="1" s="1"/>
  <c r="K154" i="1" s="1"/>
  <c r="D117" i="1"/>
  <c r="J117" i="1" s="1"/>
  <c r="K153" i="1" s="1"/>
  <c r="D116" i="1"/>
  <c r="J116" i="1" s="1"/>
  <c r="K152" i="1" s="1"/>
  <c r="D115" i="1"/>
  <c r="D113" i="1"/>
  <c r="J113" i="1" s="1"/>
  <c r="K149" i="1" s="1"/>
  <c r="D114" i="1"/>
  <c r="J114" i="1" s="1"/>
  <c r="K150" i="1" s="1"/>
  <c r="I116" i="1" l="1"/>
  <c r="B52" i="9"/>
  <c r="I115" i="1"/>
  <c r="J115" i="1"/>
  <c r="K151" i="1" s="1"/>
  <c r="I118" i="1"/>
  <c r="I117" i="1"/>
  <c r="I114" i="1"/>
  <c r="B51" i="9" l="1"/>
  <c r="I113" i="1"/>
  <c r="D112" i="1"/>
  <c r="D111" i="1"/>
  <c r="D110" i="1"/>
  <c r="J110" i="1" s="1"/>
  <c r="K146" i="1" s="1"/>
  <c r="I109" i="1"/>
  <c r="J108" i="1"/>
  <c r="K144" i="1" s="1"/>
  <c r="J109" i="1"/>
  <c r="K145" i="1" s="1"/>
  <c r="I108" i="1"/>
  <c r="J107" i="1"/>
  <c r="K143" i="1" s="1"/>
  <c r="U107" i="1"/>
  <c r="I107" i="1"/>
  <c r="I106" i="1"/>
  <c r="J106" i="1"/>
  <c r="K142" i="1" s="1"/>
  <c r="U106" i="1"/>
  <c r="U105" i="1"/>
  <c r="I105" i="1"/>
  <c r="J105" i="1"/>
  <c r="K141" i="1" s="1"/>
  <c r="U104" i="1"/>
  <c r="I104" i="1"/>
  <c r="J104" i="1"/>
  <c r="K140" i="1" s="1"/>
  <c r="V37" i="1"/>
  <c r="V36" i="1"/>
  <c r="V35" i="1"/>
  <c r="V34" i="1"/>
  <c r="V33" i="1"/>
  <c r="V32" i="1"/>
  <c r="V31" i="1"/>
  <c r="V30" i="1"/>
  <c r="V29" i="1"/>
  <c r="V28" i="1"/>
  <c r="V27" i="1"/>
  <c r="V26" i="1"/>
  <c r="V25" i="1"/>
  <c r="V24" i="1"/>
  <c r="V23" i="1"/>
  <c r="V22" i="1"/>
  <c r="V21" i="1"/>
  <c r="V20" i="1"/>
  <c r="V19" i="1"/>
  <c r="V18" i="1"/>
  <c r="V17" i="1"/>
  <c r="V16" i="1"/>
  <c r="V15" i="1"/>
  <c r="V14" i="1"/>
  <c r="J37" i="1"/>
  <c r="J36" i="1"/>
  <c r="J35" i="1"/>
  <c r="J34" i="1"/>
  <c r="J33" i="1"/>
  <c r="J32" i="1"/>
  <c r="J31" i="1"/>
  <c r="J30" i="1"/>
  <c r="J29" i="1"/>
  <c r="J28" i="1"/>
  <c r="J27" i="1"/>
  <c r="J26" i="1"/>
  <c r="J25" i="1"/>
  <c r="J24" i="1"/>
  <c r="J23" i="1"/>
  <c r="U103" i="1"/>
  <c r="J103" i="1"/>
  <c r="K139" i="1" s="1"/>
  <c r="I103" i="1"/>
  <c r="U102" i="1"/>
  <c r="I102" i="1"/>
  <c r="J102" i="1"/>
  <c r="K138" i="1" s="1"/>
  <c r="J101" i="1"/>
  <c r="K137" i="1" s="1"/>
  <c r="I101" i="1"/>
  <c r="U101" i="1"/>
  <c r="U100" i="1"/>
  <c r="J100" i="1"/>
  <c r="J99" i="1"/>
  <c r="I100" i="1"/>
  <c r="J98" i="1"/>
  <c r="I99" i="1"/>
  <c r="U99" i="1"/>
  <c r="U98" i="1"/>
  <c r="I98" i="1"/>
  <c r="J97" i="1"/>
  <c r="U97" i="1"/>
  <c r="I97" i="1"/>
  <c r="J96" i="1"/>
  <c r="J95" i="1"/>
  <c r="I96" i="1"/>
  <c r="U96" i="1"/>
  <c r="U95" i="1"/>
  <c r="I95" i="1"/>
  <c r="U94" i="1"/>
  <c r="I94" i="1"/>
  <c r="J94" i="1"/>
  <c r="J93" i="1"/>
  <c r="J86" i="1"/>
  <c r="J87" i="1"/>
  <c r="J88" i="1"/>
  <c r="J89" i="1"/>
  <c r="J90" i="1"/>
  <c r="J91" i="1"/>
  <c r="J92" i="1"/>
  <c r="I86" i="1"/>
  <c r="I87" i="1"/>
  <c r="I88" i="1"/>
  <c r="I89" i="1"/>
  <c r="I90" i="1"/>
  <c r="I91" i="1"/>
  <c r="I92" i="1"/>
  <c r="I93" i="1"/>
  <c r="J81" i="1"/>
  <c r="J69" i="1"/>
  <c r="J57" i="1"/>
  <c r="V57" i="1"/>
  <c r="U93" i="1"/>
  <c r="U92" i="1"/>
  <c r="J79" i="1"/>
  <c r="J85" i="1"/>
  <c r="J84" i="1"/>
  <c r="J83" i="1"/>
  <c r="J82" i="1"/>
  <c r="J80" i="1"/>
  <c r="J78" i="1"/>
  <c r="J77" i="1"/>
  <c r="J76" i="1"/>
  <c r="J75" i="1"/>
  <c r="J74" i="1"/>
  <c r="J73" i="1"/>
  <c r="J72" i="1"/>
  <c r="J71" i="1"/>
  <c r="J70" i="1"/>
  <c r="J68" i="1"/>
  <c r="J67" i="1"/>
  <c r="J66" i="1"/>
  <c r="J65" i="1"/>
  <c r="J64" i="1"/>
  <c r="J63" i="1"/>
  <c r="J62" i="1"/>
  <c r="J61" i="1"/>
  <c r="J60" i="1"/>
  <c r="J59" i="1"/>
  <c r="J58" i="1"/>
  <c r="J56" i="1"/>
  <c r="J55" i="1"/>
  <c r="J54" i="1"/>
  <c r="J53" i="1"/>
  <c r="J52" i="1"/>
  <c r="J51" i="1"/>
  <c r="J50" i="1"/>
  <c r="U91" i="1"/>
  <c r="I74" i="1"/>
  <c r="I75" i="1"/>
  <c r="I76" i="1"/>
  <c r="I77" i="1"/>
  <c r="I78" i="1"/>
  <c r="I79" i="1"/>
  <c r="I80" i="1"/>
  <c r="I81" i="1"/>
  <c r="I82" i="1"/>
  <c r="I83" i="1"/>
  <c r="I84" i="1"/>
  <c r="I85" i="1"/>
  <c r="I62" i="1"/>
  <c r="I63" i="1"/>
  <c r="I64" i="1"/>
  <c r="I65" i="1"/>
  <c r="I66" i="1"/>
  <c r="I67" i="1"/>
  <c r="I68" i="1"/>
  <c r="I69" i="1"/>
  <c r="I70" i="1"/>
  <c r="I71" i="1"/>
  <c r="I72" i="1"/>
  <c r="I73" i="1"/>
  <c r="I50" i="1"/>
  <c r="I51" i="1"/>
  <c r="I52" i="1"/>
  <c r="I53" i="1"/>
  <c r="I54" i="1"/>
  <c r="I55" i="1"/>
  <c r="I56" i="1"/>
  <c r="I57" i="1"/>
  <c r="I58" i="1"/>
  <c r="I59" i="1"/>
  <c r="I60" i="1"/>
  <c r="I61" i="1"/>
  <c r="J38" i="1"/>
  <c r="J39" i="1"/>
  <c r="J40" i="1"/>
  <c r="K52" i="1" s="1"/>
  <c r="J41" i="1"/>
  <c r="J42" i="1"/>
  <c r="J43" i="1"/>
  <c r="J44" i="1"/>
  <c r="J45" i="1"/>
  <c r="J46" i="1"/>
  <c r="J47" i="1"/>
  <c r="J48" i="1"/>
  <c r="J49" i="1"/>
  <c r="I38" i="1"/>
  <c r="I39" i="1"/>
  <c r="I40" i="1"/>
  <c r="I41" i="1"/>
  <c r="I42" i="1"/>
  <c r="I43" i="1"/>
  <c r="I44" i="1"/>
  <c r="I45" i="1"/>
  <c r="I46" i="1"/>
  <c r="I47" i="1"/>
  <c r="I48" i="1"/>
  <c r="I49" i="1"/>
  <c r="I37" i="1"/>
  <c r="I36" i="1"/>
  <c r="I35" i="1"/>
  <c r="I34" i="1"/>
  <c r="I33" i="1"/>
  <c r="I32" i="1"/>
  <c r="I31" i="1"/>
  <c r="I30" i="1"/>
  <c r="I29" i="1"/>
  <c r="I28" i="1"/>
  <c r="I27" i="1"/>
  <c r="I26" i="1"/>
  <c r="I25" i="1"/>
  <c r="I24" i="1"/>
  <c r="I23" i="1"/>
  <c r="I22" i="1"/>
  <c r="I21" i="1"/>
  <c r="I20" i="1"/>
  <c r="I19" i="1"/>
  <c r="I18" i="1"/>
  <c r="I17" i="1"/>
  <c r="I16" i="1"/>
  <c r="I15" i="1"/>
  <c r="I14" i="1"/>
  <c r="V53" i="1"/>
  <c r="U90" i="1"/>
  <c r="U89" i="1"/>
  <c r="U88" i="1"/>
  <c r="U87" i="1"/>
  <c r="U86" i="1"/>
  <c r="U85" i="1"/>
  <c r="U84" i="1"/>
  <c r="V50" i="1"/>
  <c r="V51" i="1"/>
  <c r="V52" i="1"/>
  <c r="V54" i="1"/>
  <c r="V55" i="1"/>
  <c r="V56" i="1"/>
  <c r="V58" i="1"/>
  <c r="V59" i="1"/>
  <c r="V60" i="1"/>
  <c r="V38" i="1"/>
  <c r="V39" i="1"/>
  <c r="V40" i="1"/>
  <c r="V41" i="1"/>
  <c r="V42" i="1"/>
  <c r="V43" i="1"/>
  <c r="V44" i="1"/>
  <c r="V45" i="1"/>
  <c r="V46" i="1"/>
  <c r="V47" i="1"/>
  <c r="V48" i="1"/>
  <c r="V49" i="1"/>
  <c r="U74" i="1"/>
  <c r="U75" i="1"/>
  <c r="U76" i="1"/>
  <c r="U77" i="1"/>
  <c r="U78" i="1"/>
  <c r="U79" i="1"/>
  <c r="U80" i="1"/>
  <c r="U81" i="1"/>
  <c r="U82" i="1"/>
  <c r="U83" i="1"/>
  <c r="U62" i="1"/>
  <c r="U63" i="1"/>
  <c r="U64" i="1"/>
  <c r="U65" i="1"/>
  <c r="U66" i="1"/>
  <c r="U67" i="1"/>
  <c r="U68" i="1"/>
  <c r="U69" i="1"/>
  <c r="U70" i="1"/>
  <c r="U71" i="1"/>
  <c r="U72" i="1"/>
  <c r="U73" i="1"/>
  <c r="U50" i="1"/>
  <c r="U51" i="1"/>
  <c r="U52" i="1"/>
  <c r="U53" i="1"/>
  <c r="U54" i="1"/>
  <c r="U55" i="1"/>
  <c r="U56" i="1"/>
  <c r="U57" i="1"/>
  <c r="U58" i="1"/>
  <c r="U59" i="1"/>
  <c r="U60" i="1"/>
  <c r="U61" i="1"/>
  <c r="U38" i="1"/>
  <c r="U39" i="1"/>
  <c r="U40" i="1"/>
  <c r="U41" i="1"/>
  <c r="U42" i="1"/>
  <c r="U43" i="1"/>
  <c r="U44" i="1"/>
  <c r="U45" i="1"/>
  <c r="U46" i="1"/>
  <c r="U47" i="1"/>
  <c r="U48" i="1"/>
  <c r="U49"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K58" i="1" l="1"/>
  <c r="B23" i="9"/>
  <c r="K55" i="1"/>
  <c r="K134" i="1"/>
  <c r="K57" i="1"/>
  <c r="K133" i="1"/>
  <c r="B25" i="9"/>
  <c r="K54" i="1"/>
  <c r="B45" i="9"/>
  <c r="B21" i="9"/>
  <c r="K61" i="1"/>
  <c r="K60" i="1"/>
  <c r="K51" i="1"/>
  <c r="B47" i="9"/>
  <c r="B48" i="9"/>
  <c r="K132" i="1"/>
  <c r="I112" i="1"/>
  <c r="J112" i="1"/>
  <c r="J10" i="9"/>
  <c r="B46" i="9"/>
  <c r="K126" i="1"/>
  <c r="K130" i="1"/>
  <c r="B49" i="9"/>
  <c r="K131" i="1"/>
  <c r="I111" i="1"/>
  <c r="J111" i="1"/>
  <c r="K147" i="1" s="1"/>
  <c r="B31" i="9"/>
  <c r="B36" i="9"/>
  <c r="B37" i="9"/>
  <c r="B39" i="9"/>
  <c r="B40" i="9"/>
  <c r="B41" i="9"/>
  <c r="K128" i="1"/>
  <c r="D11" i="9"/>
  <c r="K127" i="1"/>
  <c r="K129" i="1"/>
  <c r="K125" i="1"/>
  <c r="B44" i="9"/>
  <c r="K59" i="1"/>
  <c r="B29" i="9"/>
  <c r="K53" i="1"/>
  <c r="B27" i="9"/>
  <c r="B34" i="9"/>
  <c r="J7" i="9"/>
  <c r="I9" i="9"/>
  <c r="B43" i="9"/>
  <c r="K56" i="1"/>
  <c r="B28" i="9"/>
  <c r="K50" i="1"/>
  <c r="B26" i="9"/>
  <c r="J5" i="9"/>
  <c r="B30" i="9"/>
  <c r="J6" i="9"/>
  <c r="B38" i="9"/>
  <c r="J8" i="9"/>
  <c r="B42" i="9"/>
  <c r="J9" i="9"/>
  <c r="T5" i="9"/>
  <c r="T6" i="9"/>
  <c r="T7" i="9"/>
  <c r="T8" i="9"/>
  <c r="I5" i="9"/>
  <c r="I6" i="9"/>
  <c r="I7" i="9"/>
  <c r="I8" i="9"/>
  <c r="B32" i="9"/>
  <c r="B33" i="9"/>
  <c r="B35" i="9"/>
  <c r="I10" i="9"/>
  <c r="B22" i="9"/>
  <c r="B24" i="9"/>
  <c r="U6" i="9"/>
  <c r="U5" i="9"/>
  <c r="K121" i="1"/>
  <c r="K120" i="1"/>
  <c r="K116" i="1"/>
  <c r="K117" i="1"/>
  <c r="K119" i="1"/>
  <c r="I110" i="1"/>
  <c r="K118" i="1"/>
  <c r="K115" i="1"/>
  <c r="K62" i="1"/>
  <c r="K64" i="1"/>
  <c r="K65" i="1"/>
  <c r="K67" i="1"/>
  <c r="K68" i="1"/>
  <c r="K72" i="1"/>
  <c r="K75" i="1"/>
  <c r="K78" i="1"/>
  <c r="K82" i="1"/>
  <c r="K83" i="1"/>
  <c r="K85" i="1"/>
  <c r="K86" i="1"/>
  <c r="K88" i="1"/>
  <c r="K89" i="1"/>
  <c r="K94" i="1"/>
  <c r="K95" i="1"/>
  <c r="K97" i="1"/>
  <c r="K69" i="1"/>
  <c r="K93" i="1"/>
  <c r="K104" i="1"/>
  <c r="K103" i="1"/>
  <c r="K101" i="1"/>
  <c r="K100" i="1"/>
  <c r="K98" i="1"/>
  <c r="K106" i="1"/>
  <c r="K108" i="1"/>
  <c r="K109" i="1"/>
  <c r="K111" i="1"/>
  <c r="K114" i="1"/>
  <c r="K48" i="1"/>
  <c r="K113" i="1"/>
  <c r="K63" i="1"/>
  <c r="K66" i="1"/>
  <c r="K70" i="1"/>
  <c r="K71" i="1"/>
  <c r="K73" i="1"/>
  <c r="K74" i="1"/>
  <c r="K76" i="1"/>
  <c r="K77" i="1"/>
  <c r="K79" i="1"/>
  <c r="K80" i="1"/>
  <c r="K84" i="1"/>
  <c r="K87" i="1"/>
  <c r="K90" i="1"/>
  <c r="K92" i="1"/>
  <c r="K96" i="1"/>
  <c r="K91" i="1"/>
  <c r="K81" i="1"/>
  <c r="K102" i="1"/>
  <c r="K99" i="1"/>
  <c r="K105" i="1"/>
  <c r="K107" i="1"/>
  <c r="K110" i="1"/>
  <c r="K112" i="1"/>
  <c r="K47" i="1"/>
  <c r="K49" i="1"/>
  <c r="K123" i="1"/>
  <c r="K136" i="1" l="1"/>
  <c r="K148" i="1"/>
  <c r="K124" i="1"/>
  <c r="B50" i="9"/>
  <c r="K135" i="1"/>
  <c r="I11" i="9"/>
  <c r="J11" i="9"/>
  <c r="K122" i="1"/>
</calcChain>
</file>

<file path=xl/comments1.xml><?xml version="1.0" encoding="utf-8"?>
<comments xmlns="http://schemas.openxmlformats.org/spreadsheetml/2006/main">
  <authors>
    <author>solowola</author>
    <author>Government User</author>
  </authors>
  <commentList>
    <comment ref="D110" authorId="0">
      <text>
        <r>
          <rPr>
            <b/>
            <sz val="8"/>
            <color indexed="81"/>
            <rFont val="Tahoma"/>
            <family val="2"/>
          </rPr>
          <t xml:space="preserve">IW: Enter formula for average and fuel surcharge at the beginning of the  month.  As CP updates the surcharge, add the new surcharge to the formula for the average, e.g.  if the surchage is .01 for the first two weeks of January input "=AVERAGE(.01)".  Then when the surcharge is updated, for exmaple to .02, for the second two weeks of the month input "=AVERAGE(.01,.02)" into the cell. </t>
        </r>
        <r>
          <rPr>
            <sz val="8"/>
            <color indexed="81"/>
            <rFont val="Tahoma"/>
            <family val="2"/>
          </rPr>
          <t xml:space="preserve">
</t>
        </r>
      </text>
    </comment>
    <comment ref="B136" authorId="1">
      <text>
        <r>
          <rPr>
            <b/>
            <sz val="10"/>
            <color indexed="81"/>
            <rFont val="Tahoma"/>
            <family val="2"/>
          </rPr>
          <t>Government User:</t>
        </r>
        <r>
          <rPr>
            <sz val="10"/>
            <color indexed="81"/>
            <rFont val="Tahoma"/>
            <family val="2"/>
          </rPr>
          <t xml:space="preserve">
BNSF institutes a new strike price of $2.50/gal instead of $1.25/gal.</t>
        </r>
      </text>
    </comment>
  </commentList>
</comments>
</file>

<file path=xl/sharedStrings.xml><?xml version="1.0" encoding="utf-8"?>
<sst xmlns="http://schemas.openxmlformats.org/spreadsheetml/2006/main" count="155" uniqueCount="106">
  <si>
    <t>Railroad Fuel Surcharges</t>
  </si>
  <si>
    <t>Month-Year</t>
  </si>
  <si>
    <t>CSXT</t>
  </si>
  <si>
    <t>NS</t>
  </si>
  <si>
    <t>BNSF</t>
  </si>
  <si>
    <t>KCS</t>
  </si>
  <si>
    <t>UP</t>
  </si>
  <si>
    <t>CP</t>
  </si>
  <si>
    <t>As a percent of tariff</t>
  </si>
  <si>
    <t>2004 average</t>
  </si>
  <si>
    <t>2003 average</t>
  </si>
  <si>
    <t>CN</t>
  </si>
  <si>
    <t>Average</t>
  </si>
  <si>
    <t>Weighted</t>
  </si>
  <si>
    <t>N. Amer.</t>
  </si>
  <si>
    <t>2005 average</t>
  </si>
  <si>
    <t>Total</t>
  </si>
  <si>
    <r>
      <t xml:space="preserve">   Railroad Fuel Surcharges, North American Weighted Average</t>
    </r>
    <r>
      <rPr>
        <b/>
        <vertAlign val="superscript"/>
        <sz val="11"/>
        <rFont val="Times New Roman"/>
        <family val="1"/>
      </rPr>
      <t>1</t>
    </r>
  </si>
  <si>
    <t xml:space="preserve">    Figure 7  </t>
  </si>
  <si>
    <t>2006 average</t>
  </si>
  <si>
    <t xml:space="preserve">Percent </t>
  </si>
  <si>
    <t>Change</t>
  </si>
  <si>
    <t>Value</t>
  </si>
  <si>
    <t>Mileage-based ($/mile)</t>
  </si>
  <si>
    <t>HDF</t>
  </si>
  <si>
    <t>WTI</t>
  </si>
  <si>
    <t xml:space="preserve">Comparison of On-Highway Diesel Fuel Prices (HDF) </t>
  </si>
  <si>
    <t>with Oklahoma West Texas Intermediate Oil Prices (WTI)</t>
  </si>
  <si>
    <t>Month--Year</t>
  </si>
  <si>
    <t>$/gal.</t>
  </si>
  <si>
    <t>$/bbl.</t>
  </si>
  <si>
    <t>(average of daily WTI as published in the Wall Street Journal)</t>
  </si>
  <si>
    <t>The January fuel price determines the March surcharge--there is a 2-month lag.</t>
  </si>
  <si>
    <t>2007 average</t>
  </si>
  <si>
    <t>4Q01</t>
  </si>
  <si>
    <t>1Q02</t>
  </si>
  <si>
    <t>2Q02</t>
  </si>
  <si>
    <t>3Q02</t>
  </si>
  <si>
    <t>4Q02</t>
  </si>
  <si>
    <t>1Q03</t>
  </si>
  <si>
    <t>2Q03</t>
  </si>
  <si>
    <t>3Q03</t>
  </si>
  <si>
    <t>4Q03</t>
  </si>
  <si>
    <t>1Q04</t>
  </si>
  <si>
    <t>2Q04</t>
  </si>
  <si>
    <t>3Q04</t>
  </si>
  <si>
    <t>4Q04</t>
  </si>
  <si>
    <t>1Q05</t>
  </si>
  <si>
    <t>2Q05</t>
  </si>
  <si>
    <t>3Q05</t>
  </si>
  <si>
    <t>4Q05</t>
  </si>
  <si>
    <t>1Q06</t>
  </si>
  <si>
    <t>2Q06</t>
  </si>
  <si>
    <t>3Q06</t>
  </si>
  <si>
    <t>4Q06</t>
  </si>
  <si>
    <t>1Q07</t>
  </si>
  <si>
    <t>2Q07</t>
  </si>
  <si>
    <t>3Q07</t>
  </si>
  <si>
    <t>4Q07</t>
  </si>
  <si>
    <t>Wt. Avg.</t>
  </si>
  <si>
    <t>Fuel Surcharge</t>
  </si>
  <si>
    <t>by Quarter</t>
  </si>
  <si>
    <t>2008 average</t>
  </si>
  <si>
    <t>2009 average</t>
  </si>
  <si>
    <t>Percent of North American Grain Traffic Originated (for weighted average)</t>
  </si>
  <si>
    <t>(all values after April 2007 are estimates)</t>
  </si>
  <si>
    <t>(values prior to Apr 07 are estimates for all railraods except BNSF, for which values prior to Jan 06 are estimates)</t>
  </si>
  <si>
    <t>Previous</t>
  </si>
  <si>
    <t xml:space="preserve">     Sources:  www.bnsf.com, www.cn.ca, www.cpr.ca, www.csx.com, www.kcsi.com, www.nscorp.com, www.uprr.com</t>
  </si>
  <si>
    <t>Starting Jan-09 CP is calculated using average of bi-weekly fuel surcharge</t>
  </si>
  <si>
    <t>3-year Monthly</t>
  </si>
  <si>
    <t>Railroad Fuel Surcharges --Annual and Quarterly Averages</t>
  </si>
  <si>
    <t>Mexico</t>
  </si>
  <si>
    <t>FerroMex</t>
  </si>
  <si>
    <t>1Q08</t>
  </si>
  <si>
    <t>2Q08</t>
  </si>
  <si>
    <t>3Q08</t>
  </si>
  <si>
    <t>4Q08</t>
  </si>
  <si>
    <t>1Q09</t>
  </si>
  <si>
    <t>2Q09</t>
  </si>
  <si>
    <t>3Q09</t>
  </si>
  <si>
    <t>4Q09</t>
  </si>
  <si>
    <t>1Q10</t>
  </si>
  <si>
    <t>2Q10</t>
  </si>
  <si>
    <t>3Q10</t>
  </si>
  <si>
    <t>4Q10</t>
  </si>
  <si>
    <t>2010 average</t>
  </si>
  <si>
    <t>1Q11</t>
  </si>
  <si>
    <t>2Q11</t>
  </si>
  <si>
    <t>3Q11</t>
  </si>
  <si>
    <t>4Q11</t>
  </si>
  <si>
    <t>Last month</t>
  </si>
  <si>
    <t>Last year</t>
  </si>
  <si>
    <t>3-year average</t>
  </si>
  <si>
    <t>2011 average</t>
  </si>
  <si>
    <t>1Q12</t>
  </si>
  <si>
    <t>Fuel surcharge ($/railcar mile)</t>
  </si>
  <si>
    <t>2Q12</t>
  </si>
  <si>
    <t>3Q12</t>
  </si>
  <si>
    <t>4Q12</t>
  </si>
  <si>
    <t>1Q13</t>
  </si>
  <si>
    <t>2Q13</t>
  </si>
  <si>
    <t>3Q13</t>
  </si>
  <si>
    <t>4Q13</t>
  </si>
  <si>
    <t>2012 average</t>
  </si>
  <si>
    <t>2013 average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</si>
</sst>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0.0%"/>
    <numFmt numFmtId="165" formatCode="[$-409]mmm\-yy;@"/>
    <numFmt numFmtId="166" formatCode="_(* #,##0.000_);_(* \(#,##0.000\);_(* &quot;-&quot;??_);_(@_)"/>
    <numFmt numFmtId="167" formatCode="_(* #,##0.0000_);_(* \(#,##0.0000\);_(* &quot;-&quot;??_);_(@_)"/>
    <numFmt numFmtId="168" formatCode="0.000"/>
    <numFmt numFmtId="169" formatCode="0.0000"/>
    <numFmt numFmtId="170" formatCode="[$-409]mmmm\-yy;@"/>
  </numFmts>
  <fonts count="20">
    <font>
      <sz val="10"/>
      <name val="Arial"/>
    </font>
    <font>
      <sz val="10"/>
      <name val="Arial"/>
      <family val="2"/>
    </font>
    <font>
      <sz val="8"/>
      <name val="Arial"/>
      <family val="2"/>
    </font>
    <font>
      <b/>
      <sz val="10"/>
      <name val="Arial"/>
      <family val="2"/>
    </font>
    <font>
      <sz val="8"/>
      <name val="Times New Roman"/>
      <family val="1"/>
    </font>
    <font>
      <sz val="9"/>
      <name val="Times New Roman"/>
      <family val="1"/>
    </font>
    <font>
      <b/>
      <sz val="11"/>
      <name val="Times New Roman"/>
      <family val="1"/>
    </font>
    <font>
      <b/>
      <vertAlign val="superscript"/>
      <sz val="11"/>
      <name val="Times New Roman"/>
      <family val="1"/>
    </font>
    <font>
      <b/>
      <sz val="10"/>
      <color indexed="12"/>
      <name val="Arial"/>
      <family val="2"/>
    </font>
    <font>
      <sz val="10"/>
      <color indexed="12"/>
      <name val="Arial"/>
      <family val="2"/>
    </font>
    <font>
      <sz val="10"/>
      <name val="Times New Roman"/>
      <family val="1"/>
    </font>
    <font>
      <sz val="10"/>
      <name val="Arial"/>
      <family val="2"/>
    </font>
    <font>
      <sz val="10"/>
      <color indexed="10"/>
      <name val="Arial"/>
      <family val="2"/>
    </font>
    <font>
      <sz val="8"/>
      <color indexed="81"/>
      <name val="Tahoma"/>
      <family val="2"/>
    </font>
    <font>
      <b/>
      <sz val="8"/>
      <color indexed="81"/>
      <name val="Tahoma"/>
      <family val="2"/>
    </font>
    <font>
      <b/>
      <sz val="10"/>
      <color rgb="FF0000FF"/>
      <name val="Arial"/>
      <family val="2"/>
    </font>
    <font>
      <sz val="10"/>
      <name val="Inherit"/>
    </font>
    <font>
      <sz val="10"/>
      <color indexed="81"/>
      <name val="Tahoma"/>
      <family val="2"/>
    </font>
    <font>
      <b/>
      <sz val="10"/>
      <color indexed="81"/>
      <name val="Tahoma"/>
      <family val="2"/>
    </font>
    <font>
      <b/>
      <sz val="10"/>
      <name val="Times New Roman"/>
      <family val="1"/>
    </font>
  </fonts>
  <fills count="6">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indexed="42"/>
        <bgColor indexed="64"/>
      </patternFill>
    </fill>
    <fill>
      <patternFill patternType="solid">
        <fgColor rgb="FFFFFF00"/>
        <bgColor indexed="64"/>
      </patternFill>
    </fill>
  </fills>
  <borders count="6">
    <border>
      <left/>
      <right/>
      <top/>
      <bottom/>
      <diagonal/>
    </border>
    <border>
      <left/>
      <right/>
      <top/>
      <bottom style="medium">
        <color indexed="64"/>
      </bottom>
      <diagonal/>
    </border>
    <border>
      <left/>
      <right/>
      <top/>
      <bottom style="thin">
        <color indexed="64"/>
      </bottom>
      <diagonal/>
    </border>
    <border>
      <left style="thin">
        <color theme="0"/>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79">
    <xf numFmtId="0" fontId="0" fillId="0" borderId="0" xfId="0"/>
    <xf numFmtId="0" fontId="3" fillId="0" borderId="0" xfId="0" applyFont="1"/>
    <xf numFmtId="0" fontId="3" fillId="0" borderId="1" xfId="0" applyFont="1" applyBorder="1"/>
    <xf numFmtId="164" fontId="0" fillId="0" borderId="0" xfId="2" applyNumberFormat="1" applyFont="1"/>
    <xf numFmtId="165" fontId="0" fillId="0" borderId="0" xfId="0" applyNumberFormat="1"/>
    <xf numFmtId="164" fontId="0" fillId="0" borderId="0" xfId="0" applyNumberFormat="1"/>
    <xf numFmtId="0" fontId="3" fillId="0" borderId="0" xfId="0" applyFont="1" applyFill="1" applyBorder="1"/>
    <xf numFmtId="10" fontId="0" fillId="0" borderId="0" xfId="2" applyNumberFormat="1" applyFont="1"/>
    <xf numFmtId="10" fontId="0" fillId="0" borderId="0" xfId="2" applyNumberFormat="1" applyFont="1" applyFill="1"/>
    <xf numFmtId="2" fontId="0" fillId="0" borderId="0" xfId="0" applyNumberFormat="1"/>
    <xf numFmtId="0" fontId="3" fillId="0" borderId="0" xfId="0" applyFont="1" applyBorder="1"/>
    <xf numFmtId="167" fontId="0" fillId="0" borderId="0" xfId="1" applyNumberFormat="1" applyFont="1"/>
    <xf numFmtId="0" fontId="0" fillId="3" borderId="0" xfId="0" applyFill="1"/>
    <xf numFmtId="0" fontId="5" fillId="4" borderId="0" xfId="0" applyFont="1" applyFill="1"/>
    <xf numFmtId="0" fontId="0" fillId="4" borderId="0" xfId="0" applyFill="1"/>
    <xf numFmtId="0" fontId="6" fillId="4" borderId="0" xfId="0" applyFont="1" applyFill="1"/>
    <xf numFmtId="166" fontId="0" fillId="0" borderId="0" xfId="1" applyNumberFormat="1" applyFont="1"/>
    <xf numFmtId="165" fontId="0" fillId="0" borderId="0" xfId="0" applyNumberFormat="1" applyAlignment="1">
      <alignment horizontal="right"/>
    </xf>
    <xf numFmtId="2" fontId="0" fillId="0" borderId="0" xfId="0" applyNumberFormat="1" applyAlignment="1">
      <alignment horizontal="right"/>
    </xf>
    <xf numFmtId="0" fontId="3" fillId="0" borderId="1" xfId="0" applyFont="1" applyFill="1" applyBorder="1"/>
    <xf numFmtId="2" fontId="9" fillId="0" borderId="0" xfId="0" applyNumberFormat="1" applyFont="1" applyAlignment="1">
      <alignment horizontal="right"/>
    </xf>
    <xf numFmtId="169" fontId="9" fillId="0" borderId="0" xfId="0" applyNumberFormat="1" applyFont="1" applyAlignment="1">
      <alignment horizontal="right"/>
    </xf>
    <xf numFmtId="169" fontId="0" fillId="0" borderId="0" xfId="0" applyNumberFormat="1" applyAlignment="1">
      <alignment horizontal="right"/>
    </xf>
    <xf numFmtId="10" fontId="9" fillId="0" borderId="0" xfId="2" applyNumberFormat="1" applyFont="1"/>
    <xf numFmtId="10" fontId="9" fillId="0" borderId="0" xfId="2" applyNumberFormat="1" applyFont="1" applyFill="1"/>
    <xf numFmtId="164" fontId="9" fillId="0" borderId="0" xfId="2" applyNumberFormat="1" applyFont="1"/>
    <xf numFmtId="2" fontId="1" fillId="0" borderId="0" xfId="0" applyNumberFormat="1" applyFont="1" applyAlignment="1">
      <alignment horizontal="right"/>
    </xf>
    <xf numFmtId="0" fontId="10" fillId="0" borderId="0" xfId="0" applyFont="1"/>
    <xf numFmtId="0" fontId="10" fillId="3" borderId="0" xfId="0" applyFont="1" applyFill="1"/>
    <xf numFmtId="165" fontId="0" fillId="0" borderId="0" xfId="0" applyNumberFormat="1" applyAlignment="1">
      <alignment horizontal="left"/>
    </xf>
    <xf numFmtId="165" fontId="0" fillId="0" borderId="2" xfId="0" applyNumberFormat="1" applyBorder="1" applyAlignment="1">
      <alignment horizontal="left"/>
    </xf>
    <xf numFmtId="0" fontId="11" fillId="0" borderId="0" xfId="0" applyFont="1" applyBorder="1" applyAlignment="1">
      <alignment horizontal="center"/>
    </xf>
    <xf numFmtId="0" fontId="11" fillId="0" borderId="0" xfId="0" applyFont="1" applyAlignment="1">
      <alignment horizontal="center"/>
    </xf>
    <xf numFmtId="2" fontId="11" fillId="0" borderId="0" xfId="0" applyNumberFormat="1" applyFont="1" applyBorder="1" applyAlignment="1">
      <alignment horizontal="center"/>
    </xf>
    <xf numFmtId="2" fontId="11" fillId="0" borderId="2" xfId="0" applyNumberFormat="1" applyFont="1" applyBorder="1" applyAlignment="1">
      <alignment horizontal="center"/>
    </xf>
    <xf numFmtId="2" fontId="11" fillId="0" borderId="0" xfId="0" applyNumberFormat="1" applyFont="1" applyAlignment="1">
      <alignment horizontal="center"/>
    </xf>
    <xf numFmtId="0" fontId="0" fillId="0" borderId="0" xfId="0" applyBorder="1"/>
    <xf numFmtId="0" fontId="11" fillId="0" borderId="0" xfId="0" applyFont="1"/>
    <xf numFmtId="0" fontId="12" fillId="0" borderId="0" xfId="0" applyFont="1"/>
    <xf numFmtId="0" fontId="1" fillId="0" borderId="0" xfId="0" applyFont="1"/>
    <xf numFmtId="168" fontId="0" fillId="0" borderId="0" xfId="0" applyNumberFormat="1"/>
    <xf numFmtId="166" fontId="9" fillId="4" borderId="0" xfId="1" applyNumberFormat="1" applyFont="1" applyFill="1"/>
    <xf numFmtId="2" fontId="0" fillId="0" borderId="0" xfId="0" applyNumberFormat="1" applyFill="1" applyAlignment="1">
      <alignment horizontal="right"/>
    </xf>
    <xf numFmtId="169" fontId="0" fillId="0" borderId="0" xfId="0" applyNumberFormat="1" applyFill="1" applyAlignment="1">
      <alignment horizontal="right"/>
    </xf>
    <xf numFmtId="166" fontId="10" fillId="3" borderId="0" xfId="0" applyNumberFormat="1" applyFont="1" applyFill="1"/>
    <xf numFmtId="2" fontId="0" fillId="2" borderId="0" xfId="0" applyNumberFormat="1" applyFill="1"/>
    <xf numFmtId="0" fontId="0" fillId="3" borderId="3" xfId="0" applyFill="1" applyBorder="1"/>
    <xf numFmtId="0" fontId="0" fillId="0" borderId="3" xfId="0" applyBorder="1"/>
    <xf numFmtId="0" fontId="4" fillId="3" borderId="3" xfId="0" applyFont="1" applyFill="1" applyBorder="1"/>
    <xf numFmtId="169" fontId="0" fillId="5" borderId="0" xfId="0" applyNumberFormat="1" applyFill="1" applyAlignment="1">
      <alignment horizontal="right"/>
    </xf>
    <xf numFmtId="168" fontId="0" fillId="0" borderId="0" xfId="2" applyNumberFormat="1" applyFont="1"/>
    <xf numFmtId="0" fontId="0" fillId="0" borderId="4" xfId="0" applyBorder="1"/>
    <xf numFmtId="0" fontId="0" fillId="3" borderId="5" xfId="0" applyFill="1" applyBorder="1"/>
    <xf numFmtId="0" fontId="0" fillId="3" borderId="4" xfId="0" applyFill="1" applyBorder="1"/>
    <xf numFmtId="10" fontId="0" fillId="0" borderId="0" xfId="1" applyNumberFormat="1" applyFont="1"/>
    <xf numFmtId="0" fontId="8" fillId="0" borderId="0" xfId="0" applyFont="1" applyAlignment="1"/>
    <xf numFmtId="0" fontId="3" fillId="0" borderId="0" xfId="0" applyFont="1" applyAlignment="1"/>
    <xf numFmtId="0" fontId="0" fillId="0" borderId="0" xfId="0" applyAlignment="1"/>
    <xf numFmtId="0" fontId="15" fillId="0" borderId="0" xfId="0" applyFont="1"/>
    <xf numFmtId="0" fontId="16" fillId="0" borderId="0" xfId="0" applyFont="1"/>
    <xf numFmtId="170" fontId="0" fillId="0" borderId="0" xfId="0" applyNumberFormat="1"/>
    <xf numFmtId="168" fontId="11" fillId="0" borderId="0" xfId="0" applyNumberFormat="1" applyFont="1" applyBorder="1" applyAlignment="1">
      <alignment horizontal="center"/>
    </xf>
    <xf numFmtId="168" fontId="11" fillId="0" borderId="2" xfId="0" applyNumberFormat="1" applyFont="1" applyBorder="1" applyAlignment="1">
      <alignment horizontal="center"/>
    </xf>
    <xf numFmtId="168" fontId="11" fillId="0" borderId="0" xfId="0" applyNumberFormat="1" applyFont="1" applyAlignment="1">
      <alignment horizontal="center"/>
    </xf>
    <xf numFmtId="0" fontId="11" fillId="0" borderId="2" xfId="0" applyFont="1" applyBorder="1" applyAlignment="1">
      <alignment horizontal="center"/>
    </xf>
    <xf numFmtId="168" fontId="0" fillId="0" borderId="0" xfId="0" applyNumberFormat="1" applyAlignment="1">
      <alignment horizontal="center"/>
    </xf>
    <xf numFmtId="168" fontId="0" fillId="0" borderId="2" xfId="0" applyNumberFormat="1" applyBorder="1" applyAlignment="1">
      <alignment horizontal="center"/>
    </xf>
    <xf numFmtId="0" fontId="1" fillId="0" borderId="0" xfId="0" applyFont="1" applyFill="1" applyBorder="1" applyAlignment="1">
      <alignment horizontal="center"/>
    </xf>
    <xf numFmtId="2" fontId="1" fillId="0" borderId="0" xfId="0" applyNumberFormat="1" applyFont="1" applyFill="1" applyBorder="1" applyAlignment="1">
      <alignment horizontal="center"/>
    </xf>
    <xf numFmtId="2" fontId="0" fillId="0" borderId="2" xfId="0" applyNumberFormat="1" applyBorder="1" applyAlignment="1">
      <alignment horizontal="center"/>
    </xf>
    <xf numFmtId="2" fontId="0" fillId="0" borderId="0" xfId="0" applyNumberFormat="1" applyAlignment="1">
      <alignment horizontal="center"/>
    </xf>
    <xf numFmtId="10" fontId="1" fillId="0" borderId="0" xfId="2" applyNumberFormat="1" applyFont="1"/>
    <xf numFmtId="2" fontId="1" fillId="2" borderId="0" xfId="0" applyNumberFormat="1" applyFont="1" applyFill="1"/>
    <xf numFmtId="9" fontId="0" fillId="0" borderId="0" xfId="2" applyFont="1"/>
    <xf numFmtId="166" fontId="9" fillId="0" borderId="0" xfId="1" applyNumberFormat="1" applyFont="1" applyFill="1"/>
    <xf numFmtId="0" fontId="3" fillId="0" borderId="0" xfId="0" applyFont="1" applyFill="1"/>
    <xf numFmtId="0" fontId="0" fillId="0" borderId="0" xfId="0" applyFill="1"/>
    <xf numFmtId="0" fontId="0" fillId="0" borderId="0" xfId="0" applyNumberFormat="1"/>
    <xf numFmtId="0" fontId="19" fillId="0" borderId="0" xfId="0" applyFont="1"/>
  </cellXfs>
  <cellStyles count="3">
    <cellStyle name="Comma" xfId="1" builtinId="3"/>
    <cellStyle name="Normal" xfId="0" builtinId="0"/>
    <cellStyle name="Percent" xfId="2"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E0D3B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267327769245653"/>
          <c:y val="5.8480841252607572E-2"/>
          <c:w val="0.807447655430513"/>
          <c:h val="0.59418557974370856"/>
        </c:manualLayout>
      </c:layout>
      <c:barChart>
        <c:barDir val="col"/>
        <c:grouping val="clustered"/>
        <c:varyColors val="0"/>
        <c:ser>
          <c:idx val="1"/>
          <c:order val="0"/>
          <c:tx>
            <c:v>Fuel Surcharge* ($/mile/railcar)</c:v>
          </c:tx>
          <c:spPr>
            <a:gradFill flip="none" rotWithShape="1">
              <a:gsLst>
                <a:gs pos="0">
                  <a:srgbClr val="4F81BD">
                    <a:lumMod val="75000"/>
                  </a:srgbClr>
                </a:gs>
                <a:gs pos="75000">
                  <a:srgbClr val="1F497D">
                    <a:lumMod val="40000"/>
                    <a:lumOff val="60000"/>
                  </a:srgbClr>
                </a:gs>
              </a:gsLst>
              <a:path path="circle">
                <a:fillToRect l="100000" t="100000"/>
              </a:path>
              <a:tileRect r="-100000" b="-100000"/>
            </a:gradFill>
            <a:ln w="3175" cap="flat" cmpd="sng">
              <a:solidFill>
                <a:sysClr val="windowText" lastClr="000000"/>
              </a:solidFill>
              <a:prstDash val="solid"/>
              <a:round/>
            </a:ln>
            <a:effectLst/>
            <a:scene3d>
              <a:camera prst="orthographicFront"/>
              <a:lightRig rig="threePt" dir="t"/>
            </a:scene3d>
            <a:sp3d prstMaterial="matte"/>
          </c:spPr>
          <c:invertIfNegative val="0"/>
          <c:cat>
            <c:numRef>
              <c:f>Data!$A$134:$A$158</c:f>
              <c:numCache>
                <c:formatCode>[$-409]mmm\-yy;@</c:formatCode>
                <c:ptCount val="25"/>
                <c:pt idx="0">
                  <c:v>40572</c:v>
                </c:pt>
                <c:pt idx="1">
                  <c:v>40576</c:v>
                </c:pt>
                <c:pt idx="2">
                  <c:v>40605</c:v>
                </c:pt>
                <c:pt idx="3">
                  <c:v>40638</c:v>
                </c:pt>
                <c:pt idx="4">
                  <c:v>40669</c:v>
                </c:pt>
                <c:pt idx="5">
                  <c:v>40702</c:v>
                </c:pt>
                <c:pt idx="6">
                  <c:v>40733</c:v>
                </c:pt>
                <c:pt idx="7">
                  <c:v>40765</c:v>
                </c:pt>
                <c:pt idx="8">
                  <c:v>40798</c:v>
                </c:pt>
                <c:pt idx="9">
                  <c:v>40829</c:v>
                </c:pt>
                <c:pt idx="10">
                  <c:v>40862</c:v>
                </c:pt>
                <c:pt idx="11">
                  <c:v>40885</c:v>
                </c:pt>
                <c:pt idx="12">
                  <c:v>40918</c:v>
                </c:pt>
                <c:pt idx="13">
                  <c:v>40950</c:v>
                </c:pt>
                <c:pt idx="14">
                  <c:v>40982</c:v>
                </c:pt>
                <c:pt idx="15">
                  <c:v>41014</c:v>
                </c:pt>
                <c:pt idx="16">
                  <c:v>41046</c:v>
                </c:pt>
                <c:pt idx="17">
                  <c:v>41078</c:v>
                </c:pt>
                <c:pt idx="18">
                  <c:v>41110</c:v>
                </c:pt>
                <c:pt idx="19">
                  <c:v>41142</c:v>
                </c:pt>
                <c:pt idx="20">
                  <c:v>41174</c:v>
                </c:pt>
                <c:pt idx="21">
                  <c:v>41206</c:v>
                </c:pt>
                <c:pt idx="22">
                  <c:v>41238</c:v>
                </c:pt>
                <c:pt idx="23">
                  <c:v>41270</c:v>
                </c:pt>
                <c:pt idx="24">
                  <c:v>41284</c:v>
                </c:pt>
              </c:numCache>
            </c:numRef>
          </c:cat>
          <c:val>
            <c:numRef>
              <c:f>Data!$J$145:$J$169</c:f>
              <c:numCache>
                <c:formatCode>_(* #,##0.000_);_(* \(#,##0.000\);_(* "-"??_);_(@_)</c:formatCode>
                <c:ptCount val="25"/>
                <c:pt idx="0">
                  <c:v>0.30834600000000001</c:v>
                </c:pt>
                <c:pt idx="1">
                  <c:v>0.33652799999999994</c:v>
                </c:pt>
                <c:pt idx="2">
                  <c:v>0.3190018</c:v>
                </c:pt>
                <c:pt idx="3">
                  <c:v>0.31470799999999999</c:v>
                </c:pt>
                <c:pt idx="4">
                  <c:v>0.34309999999999996</c:v>
                </c:pt>
                <c:pt idx="5">
                  <c:v>0.37076180000000003</c:v>
                </c:pt>
                <c:pt idx="6">
                  <c:v>0.36675880000000005</c:v>
                </c:pt>
                <c:pt idx="7">
                  <c:v>0.33314399999999994</c:v>
                </c:pt>
                <c:pt idx="8">
                  <c:v>0.29540679999999997</c:v>
                </c:pt>
                <c:pt idx="9">
                  <c:v>0.29638500000000001</c:v>
                </c:pt>
                <c:pt idx="10">
                  <c:v>0.34851879999999996</c:v>
                </c:pt>
                <c:pt idx="11">
                  <c:v>0.37033880000000002</c:v>
                </c:pt>
                <c:pt idx="12">
                  <c:v>0.35927699999999996</c:v>
                </c:pt>
                <c:pt idx="13">
                  <c:v>0.34331166000000002</c:v>
                </c:pt>
                <c:pt idx="14">
                  <c:v>0.33396989999999993</c:v>
                </c:pt>
                <c:pt idx="15">
                  <c:v>0.33132710000000004</c:v>
                </c:pt>
                <c:pt idx="16">
                  <c:v>0.36586275999999995</c:v>
                </c:pt>
                <c:pt idx="17">
                  <c:v>0.35350146000000005</c:v>
                </c:pt>
                <c:pt idx="18">
                  <c:v>0.32553686000000004</c:v>
                </c:pt>
                <c:pt idx="19">
                  <c:v>0.31752406</c:v>
                </c:pt>
                <c:pt idx="20">
                  <c:v>0.31144130000000003</c:v>
                </c:pt>
                <c:pt idx="21">
                  <c:v>0.31931406000000001</c:v>
                </c:pt>
                <c:pt idx="22">
                  <c:v>0.32864210000000005</c:v>
                </c:pt>
                <c:pt idx="23">
                  <c:v>0.33396989999999993</c:v>
                </c:pt>
                <c:pt idx="24">
                  <c:v>0.31765056000000003</c:v>
                </c:pt>
              </c:numCache>
            </c:numRef>
          </c:val>
        </c:ser>
        <c:dLbls>
          <c:showLegendKey val="0"/>
          <c:showVal val="0"/>
          <c:showCatName val="0"/>
          <c:showSerName val="0"/>
          <c:showPercent val="0"/>
          <c:showBubbleSize val="0"/>
        </c:dLbls>
        <c:gapWidth val="150"/>
        <c:axId val="101388288"/>
        <c:axId val="101389824"/>
      </c:barChart>
      <c:lineChart>
        <c:grouping val="standard"/>
        <c:varyColors val="0"/>
        <c:ser>
          <c:idx val="0"/>
          <c:order val="1"/>
          <c:tx>
            <c:strRef>
              <c:f>Data!$K$6:$K$7</c:f>
              <c:strCache>
                <c:ptCount val="1"/>
                <c:pt idx="0">
                  <c:v>3-year Monthly Average</c:v>
                </c:pt>
              </c:strCache>
            </c:strRef>
          </c:tx>
          <c:spPr>
            <a:ln w="44450">
              <a:solidFill>
                <a:srgbClr val="FFC000"/>
              </a:solidFill>
            </a:ln>
          </c:spPr>
          <c:marker>
            <c:symbol val="none"/>
          </c:marker>
          <c:cat>
            <c:numRef>
              <c:f>Data!$A$145:$A$169</c:f>
              <c:numCache>
                <c:formatCode>[$-409]mmm\-yy;@</c:formatCode>
                <c:ptCount val="25"/>
                <c:pt idx="0">
                  <c:v>40885</c:v>
                </c:pt>
                <c:pt idx="1">
                  <c:v>40918</c:v>
                </c:pt>
                <c:pt idx="2">
                  <c:v>40950</c:v>
                </c:pt>
                <c:pt idx="3">
                  <c:v>40982</c:v>
                </c:pt>
                <c:pt idx="4">
                  <c:v>41014</c:v>
                </c:pt>
                <c:pt idx="5">
                  <c:v>41046</c:v>
                </c:pt>
                <c:pt idx="6">
                  <c:v>41078</c:v>
                </c:pt>
                <c:pt idx="7">
                  <c:v>41110</c:v>
                </c:pt>
                <c:pt idx="8">
                  <c:v>41142</c:v>
                </c:pt>
                <c:pt idx="9">
                  <c:v>41174</c:v>
                </c:pt>
                <c:pt idx="10">
                  <c:v>41206</c:v>
                </c:pt>
                <c:pt idx="11">
                  <c:v>41238</c:v>
                </c:pt>
                <c:pt idx="12">
                  <c:v>41270</c:v>
                </c:pt>
                <c:pt idx="13">
                  <c:v>41284</c:v>
                </c:pt>
                <c:pt idx="14">
                  <c:v>41316</c:v>
                </c:pt>
                <c:pt idx="15">
                  <c:v>41347</c:v>
                </c:pt>
                <c:pt idx="16">
                  <c:v>41379</c:v>
                </c:pt>
                <c:pt idx="17">
                  <c:v>41411</c:v>
                </c:pt>
                <c:pt idx="18">
                  <c:v>41443</c:v>
                </c:pt>
                <c:pt idx="19">
                  <c:v>41475</c:v>
                </c:pt>
                <c:pt idx="20">
                  <c:v>41507</c:v>
                </c:pt>
                <c:pt idx="21">
                  <c:v>41539</c:v>
                </c:pt>
                <c:pt idx="22">
                  <c:v>41571</c:v>
                </c:pt>
                <c:pt idx="23">
                  <c:v>41603</c:v>
                </c:pt>
                <c:pt idx="24">
                  <c:v>41635</c:v>
                </c:pt>
              </c:numCache>
            </c:numRef>
          </c:cat>
          <c:val>
            <c:numRef>
              <c:f>Data!$K$145:$K$169</c:f>
              <c:numCache>
                <c:formatCode>0.000</c:formatCode>
                <c:ptCount val="25"/>
                <c:pt idx="0">
                  <c:v>0.27055051000000002</c:v>
                </c:pt>
                <c:pt idx="1">
                  <c:v>0.23189139666666669</c:v>
                </c:pt>
                <c:pt idx="2">
                  <c:v>0.20999448666666667</c:v>
                </c:pt>
                <c:pt idx="3">
                  <c:v>0.17849564666666665</c:v>
                </c:pt>
                <c:pt idx="4">
                  <c:v>0.18783746333333337</c:v>
                </c:pt>
                <c:pt idx="5">
                  <c:v>0.21359470666666666</c:v>
                </c:pt>
                <c:pt idx="6">
                  <c:v>0.23658892333333337</c:v>
                </c:pt>
                <c:pt idx="7">
                  <c:v>0.23392700666666669</c:v>
                </c:pt>
                <c:pt idx="8">
                  <c:v>0.23898055666666665</c:v>
                </c:pt>
                <c:pt idx="9">
                  <c:v>0.23905966999999997</c:v>
                </c:pt>
                <c:pt idx="10">
                  <c:v>0.24370432333333333</c:v>
                </c:pt>
                <c:pt idx="11">
                  <c:v>0.24098059666666671</c:v>
                </c:pt>
                <c:pt idx="12">
                  <c:v>0.25250244666666666</c:v>
                </c:pt>
                <c:pt idx="13">
                  <c:v>0.27233748000000002</c:v>
                </c:pt>
                <c:pt idx="14">
                  <c:v>0.27203842333333333</c:v>
                </c:pt>
                <c:pt idx="15">
                  <c:v>0.25042706333333331</c:v>
                </c:pt>
                <c:pt idx="16">
                  <c:v>0.27356446333333334</c:v>
                </c:pt>
                <c:pt idx="17">
                  <c:v>0.31135697333333334</c:v>
                </c:pt>
                <c:pt idx="18">
                  <c:v>0.32868527333333336</c:v>
                </c:pt>
                <c:pt idx="19">
                  <c:v>0.31240759000000001</c:v>
                </c:pt>
                <c:pt idx="20">
                  <c:v>0.28572713999999999</c:v>
                </c:pt>
                <c:pt idx="21">
                  <c:v>0.2840022066666667</c:v>
                </c:pt>
                <c:pt idx="22">
                  <c:v>0.30089368999999999</c:v>
                </c:pt>
                <c:pt idx="23">
                  <c:v>0.30569941666666667</c:v>
                </c:pt>
                <c:pt idx="24">
                  <c:v>0.30946835</c:v>
                </c:pt>
              </c:numCache>
            </c:numRef>
          </c:val>
          <c:smooth val="0"/>
        </c:ser>
        <c:dLbls>
          <c:showLegendKey val="0"/>
          <c:showVal val="0"/>
          <c:showCatName val="0"/>
          <c:showSerName val="0"/>
          <c:showPercent val="0"/>
          <c:showBubbleSize val="0"/>
        </c:dLbls>
        <c:marker val="1"/>
        <c:smooth val="0"/>
        <c:axId val="101388288"/>
        <c:axId val="101389824"/>
      </c:lineChart>
      <c:catAx>
        <c:axId val="101388288"/>
        <c:scaling>
          <c:orientation val="minMax"/>
        </c:scaling>
        <c:delete val="0"/>
        <c:axPos val="b"/>
        <c:numFmt formatCode="[$-409]mmm\-yy;@" sourceLinked="0"/>
        <c:majorTickMark val="cross"/>
        <c:minorTickMark val="none"/>
        <c:tickLblPos val="nextTo"/>
        <c:txPr>
          <a:bodyPr rot="-5400000" vert="horz"/>
          <a:lstStyle/>
          <a:p>
            <a:pPr>
              <a:defRPr b="1"/>
            </a:pPr>
            <a:endParaRPr lang="en-US"/>
          </a:p>
        </c:txPr>
        <c:crossAx val="101389824"/>
        <c:crossesAt val="0"/>
        <c:auto val="0"/>
        <c:lblAlgn val="ctr"/>
        <c:lblOffset val="0"/>
        <c:tickLblSkip val="1"/>
        <c:tickMarkSkip val="2"/>
        <c:noMultiLvlLbl val="0"/>
      </c:catAx>
      <c:valAx>
        <c:axId val="101389824"/>
        <c:scaling>
          <c:orientation val="minMax"/>
          <c:max val="0.8"/>
        </c:scaling>
        <c:delete val="0"/>
        <c:axPos val="l"/>
        <c:title>
          <c:tx>
            <c:rich>
              <a:bodyPr/>
              <a:lstStyle/>
              <a:p>
                <a:pPr>
                  <a:defRPr sz="1200" b="1"/>
                </a:pPr>
                <a:r>
                  <a:rPr lang="en-US" sz="1200" b="1"/>
                  <a:t> Dollars per railcar mile     </a:t>
                </a:r>
              </a:p>
            </c:rich>
          </c:tx>
          <c:layout>
            <c:manualLayout>
              <c:xMode val="edge"/>
              <c:yMode val="edge"/>
              <c:x val="1.74519515705698E-2"/>
              <c:y val="0.12463782544423427"/>
            </c:manualLayout>
          </c:layout>
          <c:overlay val="0"/>
          <c:spPr>
            <a:noFill/>
            <a:ln w="25400">
              <a:noFill/>
            </a:ln>
          </c:spPr>
        </c:title>
        <c:numFmt formatCode="&quot;$&quot;#,##0.00" sourceLinked="0"/>
        <c:majorTickMark val="cross"/>
        <c:minorTickMark val="none"/>
        <c:tickLblPos val="nextTo"/>
        <c:txPr>
          <a:bodyPr rot="0" vert="horz"/>
          <a:lstStyle/>
          <a:p>
            <a:pPr>
              <a:defRPr b="1"/>
            </a:pPr>
            <a:endParaRPr lang="en-US"/>
          </a:p>
        </c:txPr>
        <c:crossAx val="101388288"/>
        <c:crosses val="autoZero"/>
        <c:crossBetween val="between"/>
      </c:valAx>
      <c:spPr>
        <a:solidFill>
          <a:srgbClr val="FFFFFF"/>
        </a:solidFill>
        <a:ln w="3175">
          <a:solidFill>
            <a:srgbClr val="000000"/>
          </a:solidFill>
          <a:prstDash val="solid"/>
        </a:ln>
      </c:spPr>
    </c:plotArea>
    <c:legend>
      <c:legendPos val="r"/>
      <c:layout>
        <c:manualLayout>
          <c:xMode val="edge"/>
          <c:yMode val="edge"/>
          <c:x val="0.56882496949596661"/>
          <c:y val="0.17262419489270794"/>
          <c:w val="0.36632411298697271"/>
          <c:h val="0.12327993483573174"/>
        </c:manualLayout>
      </c:layout>
      <c:overlay val="0"/>
      <c:spPr>
        <a:solidFill>
          <a:srgbClr val="FFFFFF"/>
        </a:solidFill>
        <a:ln w="25400">
          <a:noFill/>
        </a:ln>
      </c:spPr>
      <c:txPr>
        <a:bodyPr/>
        <a:lstStyle/>
        <a:p>
          <a:pPr>
            <a:defRPr b="1"/>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Times New Roman" pitchFamily="18" charset="0"/>
          <a:ea typeface="Arial"/>
          <a:cs typeface="Times New Roman" pitchFamily="18" charset="0"/>
        </a:defRPr>
      </a:pPr>
      <a:endParaRPr lang="en-US"/>
    </a:p>
  </c:txPr>
  <c:printSettings>
    <c:headerFooter alignWithMargins="0">
      <c:oddHeader>&amp;A</c:oddHeader>
      <c:oddFooter>Page &amp;P</c:oddFooter>
    </c:headerFooter>
    <c:pageMargins b="1" l="0.75000000000000655" r="0.75000000000000655" t="1" header="0.5" footer="0.5"/>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Figure 2:  Railroad</a:t>
            </a:r>
            <a:r>
              <a:rPr lang="en-US" baseline="0"/>
              <a:t> Fuel Surcharges v. Fuel Prices</a:t>
            </a:r>
            <a:endParaRPr lang="en-US"/>
          </a:p>
        </c:rich>
      </c:tx>
      <c:overlay val="1"/>
    </c:title>
    <c:autoTitleDeleted val="0"/>
    <c:plotArea>
      <c:layout>
        <c:manualLayout>
          <c:layoutTarget val="inner"/>
          <c:xMode val="edge"/>
          <c:yMode val="edge"/>
          <c:x val="0.12935095141338465"/>
          <c:y val="5.8480841252607572E-2"/>
          <c:w val="0.75868295452591439"/>
          <c:h val="0.65404828224221057"/>
        </c:manualLayout>
      </c:layout>
      <c:barChart>
        <c:barDir val="col"/>
        <c:grouping val="clustered"/>
        <c:varyColors val="0"/>
        <c:ser>
          <c:idx val="1"/>
          <c:order val="0"/>
          <c:tx>
            <c:strRef>
              <c:f>'WTI vs. HDF'!$F$6</c:f>
              <c:strCache>
                <c:ptCount val="1"/>
                <c:pt idx="0">
                  <c:v>Fuel surcharge ($/railcar mile)</c:v>
                </c:pt>
              </c:strCache>
            </c:strRef>
          </c:tx>
          <c:spPr>
            <a:gradFill flip="none" rotWithShape="1">
              <a:gsLst>
                <a:gs pos="0">
                  <a:srgbClr val="4F81BD">
                    <a:lumMod val="75000"/>
                  </a:srgbClr>
                </a:gs>
                <a:gs pos="75000">
                  <a:srgbClr val="1F497D">
                    <a:lumMod val="40000"/>
                    <a:lumOff val="60000"/>
                  </a:srgbClr>
                </a:gs>
              </a:gsLst>
              <a:path path="circle">
                <a:fillToRect l="100000" t="100000"/>
              </a:path>
              <a:tileRect r="-100000" b="-100000"/>
            </a:gradFill>
            <a:ln w="3175" cap="flat" cmpd="sng">
              <a:solidFill>
                <a:sysClr val="windowText" lastClr="000000"/>
              </a:solidFill>
              <a:prstDash val="solid"/>
              <a:round/>
            </a:ln>
            <a:effectLst/>
            <a:scene3d>
              <a:camera prst="orthographicFront"/>
              <a:lightRig rig="threePt" dir="t"/>
            </a:scene3d>
            <a:sp3d prstMaterial="matte"/>
          </c:spPr>
          <c:invertIfNegative val="0"/>
          <c:cat>
            <c:numRef>
              <c:f>'WTI vs. HDF'!$A$94:$A$165</c:f>
              <c:numCache>
                <c:formatCode>[$-409]mmm\-yy;@</c:formatCode>
                <c:ptCount val="72"/>
                <c:pt idx="0">
                  <c:v>39083</c:v>
                </c:pt>
                <c:pt idx="1">
                  <c:v>39114</c:v>
                </c:pt>
                <c:pt idx="2">
                  <c:v>39142</c:v>
                </c:pt>
                <c:pt idx="3">
                  <c:v>39173</c:v>
                </c:pt>
                <c:pt idx="4">
                  <c:v>39203</c:v>
                </c:pt>
                <c:pt idx="5">
                  <c:v>39234</c:v>
                </c:pt>
                <c:pt idx="6">
                  <c:v>39264</c:v>
                </c:pt>
                <c:pt idx="7">
                  <c:v>39295</c:v>
                </c:pt>
                <c:pt idx="8">
                  <c:v>39326</c:v>
                </c:pt>
                <c:pt idx="9">
                  <c:v>39356</c:v>
                </c:pt>
                <c:pt idx="10">
                  <c:v>39387</c:v>
                </c:pt>
                <c:pt idx="11">
                  <c:v>39417</c:v>
                </c:pt>
                <c:pt idx="12">
                  <c:v>39448</c:v>
                </c:pt>
                <c:pt idx="13">
                  <c:v>39479</c:v>
                </c:pt>
                <c:pt idx="14">
                  <c:v>39508</c:v>
                </c:pt>
                <c:pt idx="15">
                  <c:v>39539</c:v>
                </c:pt>
                <c:pt idx="16">
                  <c:v>39569</c:v>
                </c:pt>
                <c:pt idx="17">
                  <c:v>39600</c:v>
                </c:pt>
                <c:pt idx="18">
                  <c:v>39630</c:v>
                </c:pt>
                <c:pt idx="19">
                  <c:v>39661</c:v>
                </c:pt>
                <c:pt idx="20">
                  <c:v>39692</c:v>
                </c:pt>
                <c:pt idx="21">
                  <c:v>39722</c:v>
                </c:pt>
                <c:pt idx="22">
                  <c:v>39753</c:v>
                </c:pt>
                <c:pt idx="23">
                  <c:v>39783</c:v>
                </c:pt>
                <c:pt idx="24">
                  <c:v>39814</c:v>
                </c:pt>
                <c:pt idx="25">
                  <c:v>39845</c:v>
                </c:pt>
                <c:pt idx="26">
                  <c:v>39873</c:v>
                </c:pt>
                <c:pt idx="27">
                  <c:v>39904</c:v>
                </c:pt>
                <c:pt idx="28">
                  <c:v>39934</c:v>
                </c:pt>
                <c:pt idx="29">
                  <c:v>39965</c:v>
                </c:pt>
                <c:pt idx="30">
                  <c:v>39995</c:v>
                </c:pt>
                <c:pt idx="31">
                  <c:v>40026</c:v>
                </c:pt>
                <c:pt idx="32">
                  <c:v>40057</c:v>
                </c:pt>
                <c:pt idx="33">
                  <c:v>40087</c:v>
                </c:pt>
                <c:pt idx="34">
                  <c:v>40118</c:v>
                </c:pt>
                <c:pt idx="35">
                  <c:v>40148</c:v>
                </c:pt>
                <c:pt idx="36">
                  <c:v>40179</c:v>
                </c:pt>
                <c:pt idx="37">
                  <c:v>40210</c:v>
                </c:pt>
                <c:pt idx="38">
                  <c:v>40238</c:v>
                </c:pt>
                <c:pt idx="39">
                  <c:v>40269</c:v>
                </c:pt>
                <c:pt idx="40">
                  <c:v>40299</c:v>
                </c:pt>
                <c:pt idx="41">
                  <c:v>40330</c:v>
                </c:pt>
                <c:pt idx="42">
                  <c:v>40360</c:v>
                </c:pt>
                <c:pt idx="43">
                  <c:v>40391</c:v>
                </c:pt>
                <c:pt idx="44">
                  <c:v>40422</c:v>
                </c:pt>
                <c:pt idx="45">
                  <c:v>40452</c:v>
                </c:pt>
                <c:pt idx="46">
                  <c:v>40483</c:v>
                </c:pt>
                <c:pt idx="47">
                  <c:v>40513</c:v>
                </c:pt>
                <c:pt idx="48">
                  <c:v>40544</c:v>
                </c:pt>
                <c:pt idx="49">
                  <c:v>40575</c:v>
                </c:pt>
                <c:pt idx="50">
                  <c:v>40603</c:v>
                </c:pt>
                <c:pt idx="51">
                  <c:v>40634</c:v>
                </c:pt>
                <c:pt idx="52">
                  <c:v>40664</c:v>
                </c:pt>
                <c:pt idx="53">
                  <c:v>40695</c:v>
                </c:pt>
                <c:pt idx="54">
                  <c:v>40725</c:v>
                </c:pt>
                <c:pt idx="55">
                  <c:v>40756</c:v>
                </c:pt>
                <c:pt idx="56">
                  <c:v>40787</c:v>
                </c:pt>
                <c:pt idx="57">
                  <c:v>40817</c:v>
                </c:pt>
                <c:pt idx="58">
                  <c:v>40848</c:v>
                </c:pt>
                <c:pt idx="59">
                  <c:v>40878</c:v>
                </c:pt>
                <c:pt idx="60">
                  <c:v>40909</c:v>
                </c:pt>
                <c:pt idx="61">
                  <c:v>40940</c:v>
                </c:pt>
                <c:pt idx="62">
                  <c:v>40969</c:v>
                </c:pt>
                <c:pt idx="63">
                  <c:v>41000</c:v>
                </c:pt>
                <c:pt idx="64">
                  <c:v>41030</c:v>
                </c:pt>
                <c:pt idx="65">
                  <c:v>41061</c:v>
                </c:pt>
                <c:pt idx="66">
                  <c:v>41091</c:v>
                </c:pt>
                <c:pt idx="67">
                  <c:v>41122</c:v>
                </c:pt>
                <c:pt idx="68">
                  <c:v>41153</c:v>
                </c:pt>
                <c:pt idx="69">
                  <c:v>41183</c:v>
                </c:pt>
                <c:pt idx="70">
                  <c:v>41214</c:v>
                </c:pt>
                <c:pt idx="71">
                  <c:v>41244</c:v>
                </c:pt>
              </c:numCache>
            </c:numRef>
          </c:cat>
          <c:val>
            <c:numRef>
              <c:f>Data!$J$86:$J$157</c:f>
              <c:numCache>
                <c:formatCode>_(* #,##0.000_);_(* \(#,##0.000\);_(* "-"??_);_(@_)</c:formatCode>
                <c:ptCount val="72"/>
                <c:pt idx="0">
                  <c:v>0.18395953600000001</c:v>
                </c:pt>
                <c:pt idx="1">
                  <c:v>0.19985552399999998</c:v>
                </c:pt>
                <c:pt idx="2">
                  <c:v>0.17066944799999997</c:v>
                </c:pt>
                <c:pt idx="3">
                  <c:v>0.17188069799999997</c:v>
                </c:pt>
                <c:pt idx="4">
                  <c:v>0.21151056200000001</c:v>
                </c:pt>
                <c:pt idx="5">
                  <c:v>0.24375833200000002</c:v>
                </c:pt>
                <c:pt idx="6">
                  <c:v>0.23451363800000002</c:v>
                </c:pt>
                <c:pt idx="7">
                  <c:v>0.23851813199999997</c:v>
                </c:pt>
                <c:pt idx="8">
                  <c:v>0.24996777599999997</c:v>
                </c:pt>
                <c:pt idx="9">
                  <c:v>0.25012452600000001</c:v>
                </c:pt>
                <c:pt idx="10">
                  <c:v>0.26727660799999997</c:v>
                </c:pt>
                <c:pt idx="11">
                  <c:v>0.290350934</c:v>
                </c:pt>
                <c:pt idx="12">
                  <c:v>0.35724175999999991</c:v>
                </c:pt>
                <c:pt idx="13">
                  <c:v>0.34791009999999994</c:v>
                </c:pt>
                <c:pt idx="14">
                  <c:v>0.34197026999999997</c:v>
                </c:pt>
                <c:pt idx="15">
                  <c:v>0.35167348999999998</c:v>
                </c:pt>
                <c:pt idx="16">
                  <c:v>0.42151344000000002</c:v>
                </c:pt>
                <c:pt idx="17">
                  <c:v>0.46257049999999994</c:v>
                </c:pt>
                <c:pt idx="18">
                  <c:v>0.53229049000000006</c:v>
                </c:pt>
                <c:pt idx="19">
                  <c:v>0.58257399999999993</c:v>
                </c:pt>
                <c:pt idx="20">
                  <c:v>0.59022374</c:v>
                </c:pt>
                <c:pt idx="21">
                  <c:v>0.50881458999999996</c:v>
                </c:pt>
                <c:pt idx="22">
                  <c:v>0.45173804999999995</c:v>
                </c:pt>
                <c:pt idx="23">
                  <c:v>0.36249018999999993</c:v>
                </c:pt>
                <c:pt idx="24">
                  <c:v>0.21518975000000004</c:v>
                </c:pt>
                <c:pt idx="25">
                  <c:v>0.13286998999999999</c:v>
                </c:pt>
                <c:pt idx="26">
                  <c:v>9.8913750000000022E-2</c:v>
                </c:pt>
                <c:pt idx="27">
                  <c:v>8.5919000000000009E-2</c:v>
                </c:pt>
                <c:pt idx="28">
                  <c:v>7.7475000000000002E-2</c:v>
                </c:pt>
                <c:pt idx="29">
                  <c:v>9.0469750000000002E-2</c:v>
                </c:pt>
                <c:pt idx="30">
                  <c:v>9.7702250000000004E-2</c:v>
                </c:pt>
                <c:pt idx="31">
                  <c:v>0.15516705</c:v>
                </c:pt>
                <c:pt idx="32">
                  <c:v>0.16155739</c:v>
                </c:pt>
                <c:pt idx="33">
                  <c:v>0.17695070000000004</c:v>
                </c:pt>
                <c:pt idx="34">
                  <c:v>0.17618234000000002</c:v>
                </c:pt>
                <c:pt idx="35">
                  <c:v>0.18837929</c:v>
                </c:pt>
                <c:pt idx="36">
                  <c:v>0.19994697</c:v>
                </c:pt>
                <c:pt idx="37">
                  <c:v>0.19574362000000001</c:v>
                </c:pt>
                <c:pt idx="38">
                  <c:v>0.20990157000000001</c:v>
                </c:pt>
                <c:pt idx="39">
                  <c:v>0.20592372000000003</c:v>
                </c:pt>
                <c:pt idx="40">
                  <c:v>0.23126342</c:v>
                </c:pt>
                <c:pt idx="41">
                  <c:v>0.25894305000000001</c:v>
                </c:pt>
                <c:pt idx="42">
                  <c:v>0.25366905000000001</c:v>
                </c:pt>
                <c:pt idx="43">
                  <c:v>0.23200735000000003</c:v>
                </c:pt>
                <c:pt idx="44">
                  <c:v>0.22850492</c:v>
                </c:pt>
                <c:pt idx="45">
                  <c:v>0.23469885000000001</c:v>
                </c:pt>
                <c:pt idx="46">
                  <c:v>0.23660485000000003</c:v>
                </c:pt>
                <c:pt idx="47">
                  <c:v>0.26078205000000004</c:v>
                </c:pt>
                <c:pt idx="48">
                  <c:v>0.28053747000000001</c:v>
                </c:pt>
                <c:pt idx="49">
                  <c:v>0.30136985000000005</c:v>
                </c:pt>
                <c:pt idx="50">
                  <c:v>0.22667161999999999</c:v>
                </c:pt>
                <c:pt idx="51">
                  <c:v>0.27166967000000003</c:v>
                </c:pt>
                <c:pt idx="52">
                  <c:v>0.33204569999999994</c:v>
                </c:pt>
                <c:pt idx="53">
                  <c:v>0.36035397000000002</c:v>
                </c:pt>
                <c:pt idx="54">
                  <c:v>0.35040972000000004</c:v>
                </c:pt>
                <c:pt idx="55">
                  <c:v>0.32976727</c:v>
                </c:pt>
                <c:pt idx="56">
                  <c:v>0.32711669999999998</c:v>
                </c:pt>
                <c:pt idx="57">
                  <c:v>0.31946342</c:v>
                </c:pt>
                <c:pt idx="58">
                  <c:v>0.31015460000000006</c:v>
                </c:pt>
                <c:pt idx="59">
                  <c:v>0.30834600000000001</c:v>
                </c:pt>
                <c:pt idx="60">
                  <c:v>0.33652799999999994</c:v>
                </c:pt>
                <c:pt idx="61">
                  <c:v>0.3190018</c:v>
                </c:pt>
                <c:pt idx="62">
                  <c:v>0.31470799999999999</c:v>
                </c:pt>
                <c:pt idx="63">
                  <c:v>0.34309999999999996</c:v>
                </c:pt>
                <c:pt idx="64">
                  <c:v>0.37076180000000003</c:v>
                </c:pt>
                <c:pt idx="65">
                  <c:v>0.36675880000000005</c:v>
                </c:pt>
                <c:pt idx="66">
                  <c:v>0.33314399999999994</c:v>
                </c:pt>
                <c:pt idx="67">
                  <c:v>0.29540679999999997</c:v>
                </c:pt>
                <c:pt idx="68">
                  <c:v>0.29638500000000001</c:v>
                </c:pt>
                <c:pt idx="69">
                  <c:v>0.34851879999999996</c:v>
                </c:pt>
                <c:pt idx="70">
                  <c:v>0.37033880000000002</c:v>
                </c:pt>
                <c:pt idx="71">
                  <c:v>0.35927699999999996</c:v>
                </c:pt>
              </c:numCache>
            </c:numRef>
          </c:val>
        </c:ser>
        <c:dLbls>
          <c:showLegendKey val="0"/>
          <c:showVal val="0"/>
          <c:showCatName val="0"/>
          <c:showSerName val="0"/>
          <c:showPercent val="0"/>
          <c:showBubbleSize val="0"/>
        </c:dLbls>
        <c:gapWidth val="150"/>
        <c:axId val="109515136"/>
        <c:axId val="109517056"/>
      </c:barChart>
      <c:lineChart>
        <c:grouping val="standard"/>
        <c:varyColors val="0"/>
        <c:ser>
          <c:idx val="0"/>
          <c:order val="1"/>
          <c:tx>
            <c:v>Highway diesel fuel ($/gallon)</c:v>
          </c:tx>
          <c:spPr>
            <a:ln>
              <a:solidFill>
                <a:srgbClr val="FF0000"/>
              </a:solidFill>
            </a:ln>
          </c:spPr>
          <c:marker>
            <c:symbol val="none"/>
          </c:marker>
          <c:cat>
            <c:numRef>
              <c:f>'WTI vs. HDF'!$A$94:$A$165</c:f>
              <c:numCache>
                <c:formatCode>[$-409]mmm\-yy;@</c:formatCode>
                <c:ptCount val="72"/>
                <c:pt idx="0">
                  <c:v>39083</c:v>
                </c:pt>
                <c:pt idx="1">
                  <c:v>39114</c:v>
                </c:pt>
                <c:pt idx="2">
                  <c:v>39142</c:v>
                </c:pt>
                <c:pt idx="3">
                  <c:v>39173</c:v>
                </c:pt>
                <c:pt idx="4">
                  <c:v>39203</c:v>
                </c:pt>
                <c:pt idx="5">
                  <c:v>39234</c:v>
                </c:pt>
                <c:pt idx="6">
                  <c:v>39264</c:v>
                </c:pt>
                <c:pt idx="7">
                  <c:v>39295</c:v>
                </c:pt>
                <c:pt idx="8">
                  <c:v>39326</c:v>
                </c:pt>
                <c:pt idx="9">
                  <c:v>39356</c:v>
                </c:pt>
                <c:pt idx="10">
                  <c:v>39387</c:v>
                </c:pt>
                <c:pt idx="11">
                  <c:v>39417</c:v>
                </c:pt>
                <c:pt idx="12">
                  <c:v>39448</c:v>
                </c:pt>
                <c:pt idx="13">
                  <c:v>39479</c:v>
                </c:pt>
                <c:pt idx="14">
                  <c:v>39508</c:v>
                </c:pt>
                <c:pt idx="15">
                  <c:v>39539</c:v>
                </c:pt>
                <c:pt idx="16">
                  <c:v>39569</c:v>
                </c:pt>
                <c:pt idx="17">
                  <c:v>39600</c:v>
                </c:pt>
                <c:pt idx="18">
                  <c:v>39630</c:v>
                </c:pt>
                <c:pt idx="19">
                  <c:v>39661</c:v>
                </c:pt>
                <c:pt idx="20">
                  <c:v>39692</c:v>
                </c:pt>
                <c:pt idx="21">
                  <c:v>39722</c:v>
                </c:pt>
                <c:pt idx="22">
                  <c:v>39753</c:v>
                </c:pt>
                <c:pt idx="23">
                  <c:v>39783</c:v>
                </c:pt>
                <c:pt idx="24">
                  <c:v>39814</c:v>
                </c:pt>
                <c:pt idx="25">
                  <c:v>39845</c:v>
                </c:pt>
                <c:pt idx="26">
                  <c:v>39873</c:v>
                </c:pt>
                <c:pt idx="27">
                  <c:v>39904</c:v>
                </c:pt>
                <c:pt idx="28">
                  <c:v>39934</c:v>
                </c:pt>
                <c:pt idx="29">
                  <c:v>39965</c:v>
                </c:pt>
                <c:pt idx="30">
                  <c:v>39995</c:v>
                </c:pt>
                <c:pt idx="31">
                  <c:v>40026</c:v>
                </c:pt>
                <c:pt idx="32">
                  <c:v>40057</c:v>
                </c:pt>
                <c:pt idx="33">
                  <c:v>40087</c:v>
                </c:pt>
                <c:pt idx="34">
                  <c:v>40118</c:v>
                </c:pt>
                <c:pt idx="35">
                  <c:v>40148</c:v>
                </c:pt>
                <c:pt idx="36">
                  <c:v>40179</c:v>
                </c:pt>
                <c:pt idx="37">
                  <c:v>40210</c:v>
                </c:pt>
                <c:pt idx="38">
                  <c:v>40238</c:v>
                </c:pt>
                <c:pt idx="39">
                  <c:v>40269</c:v>
                </c:pt>
                <c:pt idx="40">
                  <c:v>40299</c:v>
                </c:pt>
                <c:pt idx="41">
                  <c:v>40330</c:v>
                </c:pt>
                <c:pt idx="42">
                  <c:v>40360</c:v>
                </c:pt>
                <c:pt idx="43">
                  <c:v>40391</c:v>
                </c:pt>
                <c:pt idx="44">
                  <c:v>40422</c:v>
                </c:pt>
                <c:pt idx="45">
                  <c:v>40452</c:v>
                </c:pt>
                <c:pt idx="46">
                  <c:v>40483</c:v>
                </c:pt>
                <c:pt idx="47">
                  <c:v>40513</c:v>
                </c:pt>
                <c:pt idx="48">
                  <c:v>40544</c:v>
                </c:pt>
                <c:pt idx="49">
                  <c:v>40575</c:v>
                </c:pt>
                <c:pt idx="50">
                  <c:v>40603</c:v>
                </c:pt>
                <c:pt idx="51">
                  <c:v>40634</c:v>
                </c:pt>
                <c:pt idx="52">
                  <c:v>40664</c:v>
                </c:pt>
                <c:pt idx="53">
                  <c:v>40695</c:v>
                </c:pt>
                <c:pt idx="54">
                  <c:v>40725</c:v>
                </c:pt>
                <c:pt idx="55">
                  <c:v>40756</c:v>
                </c:pt>
                <c:pt idx="56">
                  <c:v>40787</c:v>
                </c:pt>
                <c:pt idx="57">
                  <c:v>40817</c:v>
                </c:pt>
                <c:pt idx="58">
                  <c:v>40848</c:v>
                </c:pt>
                <c:pt idx="59">
                  <c:v>40878</c:v>
                </c:pt>
                <c:pt idx="60">
                  <c:v>40909</c:v>
                </c:pt>
                <c:pt idx="61">
                  <c:v>40940</c:v>
                </c:pt>
                <c:pt idx="62">
                  <c:v>40969</c:v>
                </c:pt>
                <c:pt idx="63">
                  <c:v>41000</c:v>
                </c:pt>
                <c:pt idx="64">
                  <c:v>41030</c:v>
                </c:pt>
                <c:pt idx="65">
                  <c:v>41061</c:v>
                </c:pt>
                <c:pt idx="66">
                  <c:v>41091</c:v>
                </c:pt>
                <c:pt idx="67">
                  <c:v>41122</c:v>
                </c:pt>
                <c:pt idx="68">
                  <c:v>41153</c:v>
                </c:pt>
                <c:pt idx="69">
                  <c:v>41183</c:v>
                </c:pt>
                <c:pt idx="70">
                  <c:v>41214</c:v>
                </c:pt>
                <c:pt idx="71">
                  <c:v>41244</c:v>
                </c:pt>
              </c:numCache>
            </c:numRef>
          </c:cat>
          <c:val>
            <c:numRef>
              <c:f>'WTI vs. HDF'!$B$94:$B$165</c:f>
              <c:numCache>
                <c:formatCode>0.000</c:formatCode>
                <c:ptCount val="72"/>
                <c:pt idx="0">
                  <c:v>2.4849999999999999</c:v>
                </c:pt>
                <c:pt idx="1">
                  <c:v>2.488</c:v>
                </c:pt>
                <c:pt idx="2">
                  <c:v>2.6669999999999998</c:v>
                </c:pt>
                <c:pt idx="3">
                  <c:v>2.8340000000000001</c:v>
                </c:pt>
                <c:pt idx="4">
                  <c:v>2.7959999999999998</c:v>
                </c:pt>
                <c:pt idx="5">
                  <c:v>2.8079999999999998</c:v>
                </c:pt>
                <c:pt idx="6">
                  <c:v>2.8679999999999999</c:v>
                </c:pt>
                <c:pt idx="7">
                  <c:v>2.8690000000000002</c:v>
                </c:pt>
                <c:pt idx="8">
                  <c:v>2.9529999999999998</c:v>
                </c:pt>
                <c:pt idx="9">
                  <c:v>3.0750000000000002</c:v>
                </c:pt>
                <c:pt idx="10">
                  <c:v>3.3959999999999999</c:v>
                </c:pt>
                <c:pt idx="11">
                  <c:v>3.3410000000000002</c:v>
                </c:pt>
                <c:pt idx="12">
                  <c:v>3.3079999999999998</c:v>
                </c:pt>
                <c:pt idx="13">
                  <c:v>3.3769999999999998</c:v>
                </c:pt>
                <c:pt idx="14">
                  <c:v>3.8809999999999998</c:v>
                </c:pt>
                <c:pt idx="15">
                  <c:v>4.0839999999999996</c:v>
                </c:pt>
                <c:pt idx="16">
                  <c:v>4.4249999999999998</c:v>
                </c:pt>
                <c:pt idx="17">
                  <c:v>4.6769999999999996</c:v>
                </c:pt>
                <c:pt idx="18">
                  <c:v>4.7030000000000003</c:v>
                </c:pt>
                <c:pt idx="19">
                  <c:v>4.3019999999999996</c:v>
                </c:pt>
                <c:pt idx="20">
                  <c:v>4.024</c:v>
                </c:pt>
                <c:pt idx="21">
                  <c:v>3.5760000000000001</c:v>
                </c:pt>
                <c:pt idx="22">
                  <c:v>2.8759999999999999</c:v>
                </c:pt>
                <c:pt idx="23">
                  <c:v>2.4489999999999998</c:v>
                </c:pt>
                <c:pt idx="24">
                  <c:v>2.2919999999999998</c:v>
                </c:pt>
                <c:pt idx="25">
                  <c:v>2.1949999999999998</c:v>
                </c:pt>
                <c:pt idx="26">
                  <c:v>2.0920000000000001</c:v>
                </c:pt>
                <c:pt idx="27">
                  <c:v>2.2200000000000002</c:v>
                </c:pt>
                <c:pt idx="28">
                  <c:v>2.2269999999999999</c:v>
                </c:pt>
                <c:pt idx="29">
                  <c:v>2.5289999999999999</c:v>
                </c:pt>
                <c:pt idx="30">
                  <c:v>2.54</c:v>
                </c:pt>
                <c:pt idx="31">
                  <c:v>2.6339999999999999</c:v>
                </c:pt>
                <c:pt idx="32">
                  <c:v>2.6259999999999999</c:v>
                </c:pt>
                <c:pt idx="33">
                  <c:v>2.6720000000000002</c:v>
                </c:pt>
                <c:pt idx="34">
                  <c:v>2.7919999999999998</c:v>
                </c:pt>
                <c:pt idx="35">
                  <c:v>2.7450000000000001</c:v>
                </c:pt>
                <c:pt idx="36">
                  <c:v>2.8450000000000002</c:v>
                </c:pt>
                <c:pt idx="37">
                  <c:v>2.7850000000000001</c:v>
                </c:pt>
                <c:pt idx="38">
                  <c:v>2.915</c:v>
                </c:pt>
                <c:pt idx="39">
                  <c:v>3.0590000000000002</c:v>
                </c:pt>
                <c:pt idx="40">
                  <c:v>3.069</c:v>
                </c:pt>
                <c:pt idx="41">
                  <c:v>2.948</c:v>
                </c:pt>
                <c:pt idx="42">
                  <c:v>2.911</c:v>
                </c:pt>
                <c:pt idx="43">
                  <c:v>2.9590000000000001</c:v>
                </c:pt>
                <c:pt idx="44">
                  <c:v>2.9460000000000002</c:v>
                </c:pt>
                <c:pt idx="45">
                  <c:v>3.052</c:v>
                </c:pt>
                <c:pt idx="46">
                  <c:v>3.14</c:v>
                </c:pt>
                <c:pt idx="47">
                  <c:v>3.2429999999999999</c:v>
                </c:pt>
                <c:pt idx="48">
                  <c:v>3.3879999999999999</c:v>
                </c:pt>
                <c:pt idx="49">
                  <c:v>3.5840000000000001</c:v>
                </c:pt>
                <c:pt idx="50">
                  <c:v>3.9049999999999998</c:v>
                </c:pt>
                <c:pt idx="51">
                  <c:v>4.0640000000000001</c:v>
                </c:pt>
                <c:pt idx="52">
                  <c:v>4.0469999999999997</c:v>
                </c:pt>
                <c:pt idx="53">
                  <c:v>3.9329999999999998</c:v>
                </c:pt>
                <c:pt idx="54">
                  <c:v>3.9049999999999998</c:v>
                </c:pt>
                <c:pt idx="55">
                  <c:v>3.86</c:v>
                </c:pt>
                <c:pt idx="56">
                  <c:v>3.8370000000000002</c:v>
                </c:pt>
                <c:pt idx="57">
                  <c:v>3.798</c:v>
                </c:pt>
                <c:pt idx="58">
                  <c:v>3.9620000000000002</c:v>
                </c:pt>
                <c:pt idx="59">
                  <c:v>3.8610000000000002</c:v>
                </c:pt>
                <c:pt idx="60">
                  <c:v>3.8330000000000002</c:v>
                </c:pt>
                <c:pt idx="61">
                  <c:v>3.9529999999999998</c:v>
                </c:pt>
                <c:pt idx="62">
                  <c:v>4.1269999999999998</c:v>
                </c:pt>
                <c:pt idx="63">
                  <c:v>4.1150000000000002</c:v>
                </c:pt>
                <c:pt idx="64">
                  <c:v>3.9790000000000001</c:v>
                </c:pt>
                <c:pt idx="65">
                  <c:v>3.7589999999999999</c:v>
                </c:pt>
                <c:pt idx="66">
                  <c:v>3.7210000000000001</c:v>
                </c:pt>
                <c:pt idx="67">
                  <c:v>3.9830000000000001</c:v>
                </c:pt>
                <c:pt idx="68">
                  <c:v>4.12</c:v>
                </c:pt>
                <c:pt idx="69">
                  <c:v>4.0940000000000003</c:v>
                </c:pt>
                <c:pt idx="70">
                  <c:v>4</c:v>
                </c:pt>
                <c:pt idx="71">
                  <c:v>3.9609999999999999</c:v>
                </c:pt>
              </c:numCache>
            </c:numRef>
          </c:val>
          <c:smooth val="0"/>
        </c:ser>
        <c:dLbls>
          <c:showLegendKey val="0"/>
          <c:showVal val="0"/>
          <c:showCatName val="0"/>
          <c:showSerName val="0"/>
          <c:showPercent val="0"/>
          <c:showBubbleSize val="0"/>
        </c:dLbls>
        <c:marker val="1"/>
        <c:smooth val="0"/>
        <c:axId val="109533440"/>
        <c:axId val="109531520"/>
      </c:lineChart>
      <c:catAx>
        <c:axId val="109515136"/>
        <c:scaling>
          <c:orientation val="minMax"/>
        </c:scaling>
        <c:delete val="0"/>
        <c:axPos val="b"/>
        <c:title>
          <c:overlay val="0"/>
        </c:title>
        <c:numFmt formatCode="[$-409]mmm\-yy;@" sourceLinked="0"/>
        <c:majorTickMark val="out"/>
        <c:minorTickMark val="none"/>
        <c:tickLblPos val="nextTo"/>
        <c:txPr>
          <a:bodyPr rot="-5400000" vert="horz"/>
          <a:lstStyle/>
          <a:p>
            <a:pPr>
              <a:defRPr/>
            </a:pPr>
            <a:endParaRPr lang="en-US"/>
          </a:p>
        </c:txPr>
        <c:crossAx val="109517056"/>
        <c:crossesAt val="0"/>
        <c:auto val="0"/>
        <c:lblAlgn val="ctr"/>
        <c:lblOffset val="0"/>
        <c:tickLblSkip val="3"/>
        <c:tickMarkSkip val="2"/>
        <c:noMultiLvlLbl val="0"/>
      </c:catAx>
      <c:valAx>
        <c:axId val="109517056"/>
        <c:scaling>
          <c:orientation val="minMax"/>
          <c:max val="0.8"/>
        </c:scaling>
        <c:delete val="0"/>
        <c:axPos val="l"/>
        <c:title>
          <c:tx>
            <c:rich>
              <a:bodyPr/>
              <a:lstStyle/>
              <a:p>
                <a:pPr>
                  <a:defRPr/>
                </a:pPr>
                <a:r>
                  <a:rPr lang="en-US"/>
                  <a:t> Dollars per railcar mile     </a:t>
                </a:r>
              </a:p>
            </c:rich>
          </c:tx>
          <c:layout>
            <c:manualLayout>
              <c:xMode val="edge"/>
              <c:yMode val="edge"/>
              <c:x val="1.74519515705698E-2"/>
              <c:y val="0.12463782544423427"/>
            </c:manualLayout>
          </c:layout>
          <c:overlay val="0"/>
          <c:spPr>
            <a:noFill/>
            <a:ln w="25400">
              <a:noFill/>
            </a:ln>
          </c:spPr>
        </c:title>
        <c:numFmt formatCode="&quot;$&quot;#,##0.00" sourceLinked="0"/>
        <c:majorTickMark val="cross"/>
        <c:minorTickMark val="none"/>
        <c:tickLblPos val="nextTo"/>
        <c:txPr>
          <a:bodyPr rot="0" vert="horz"/>
          <a:lstStyle/>
          <a:p>
            <a:pPr>
              <a:defRPr/>
            </a:pPr>
            <a:endParaRPr lang="en-US"/>
          </a:p>
        </c:txPr>
        <c:crossAx val="109515136"/>
        <c:crosses val="autoZero"/>
        <c:crossBetween val="between"/>
      </c:valAx>
      <c:valAx>
        <c:axId val="109531520"/>
        <c:scaling>
          <c:orientation val="minMax"/>
        </c:scaling>
        <c:delete val="0"/>
        <c:axPos val="r"/>
        <c:title>
          <c:tx>
            <c:rich>
              <a:bodyPr rot="-5400000" vert="horz"/>
              <a:lstStyle/>
              <a:p>
                <a:pPr>
                  <a:defRPr/>
                </a:pPr>
                <a:r>
                  <a:rPr lang="en-US"/>
                  <a:t>Highway diesel fuel $/gal.</a:t>
                </a:r>
              </a:p>
            </c:rich>
          </c:tx>
          <c:overlay val="0"/>
        </c:title>
        <c:numFmt formatCode="&quot;$&quot;#,##0.00" sourceLinked="0"/>
        <c:majorTickMark val="out"/>
        <c:minorTickMark val="none"/>
        <c:tickLblPos val="nextTo"/>
        <c:crossAx val="109533440"/>
        <c:crosses val="max"/>
        <c:crossBetween val="between"/>
      </c:valAx>
      <c:dateAx>
        <c:axId val="109533440"/>
        <c:scaling>
          <c:orientation val="minMax"/>
        </c:scaling>
        <c:delete val="1"/>
        <c:axPos val="b"/>
        <c:numFmt formatCode="[$-409]mmm\-yy;@" sourceLinked="1"/>
        <c:majorTickMark val="out"/>
        <c:minorTickMark val="none"/>
        <c:tickLblPos val="nextTo"/>
        <c:crossAx val="109531520"/>
        <c:crosses val="autoZero"/>
        <c:auto val="1"/>
        <c:lblOffset val="100"/>
        <c:baseTimeUnit val="months"/>
      </c:dateAx>
      <c:spPr>
        <a:noFill/>
        <a:ln w="25400">
          <a:noFill/>
        </a:ln>
      </c:spPr>
    </c:plotArea>
    <c:legend>
      <c:legendPos val="r"/>
      <c:layout>
        <c:manualLayout>
          <c:xMode val="edge"/>
          <c:yMode val="edge"/>
          <c:x val="0.10874020844466503"/>
          <c:y val="0.84707606602545082"/>
          <c:w val="0.80228608328270712"/>
          <c:h val="6.3281513175425991E-2"/>
        </c:manualLayout>
      </c:layout>
      <c:overlay val="0"/>
      <c:spPr>
        <a:solidFill>
          <a:srgbClr val="FFFFFF"/>
        </a:solidFill>
        <a:ln w="25400">
          <a:noFill/>
        </a:ln>
      </c:spPr>
    </c:legend>
    <c:plotVisOnly val="1"/>
    <c:dispBlanksAs val="gap"/>
    <c:showDLblsOverMax val="0"/>
  </c:chart>
  <c:spPr>
    <a:solidFill>
      <a:srgbClr val="FFFFFF"/>
    </a:solidFill>
    <a:ln w="9525">
      <a:solidFill>
        <a:schemeClr val="tx1"/>
      </a:solidFill>
    </a:ln>
  </c:spPr>
  <c:txPr>
    <a:bodyPr/>
    <a:lstStyle/>
    <a:p>
      <a:pPr>
        <a:defRPr sz="1000" b="1" i="0" u="none" strike="noStrike" baseline="0">
          <a:solidFill>
            <a:srgbClr val="000000"/>
          </a:solidFill>
          <a:latin typeface="Times New Roman" pitchFamily="18" charset="0"/>
          <a:ea typeface="Arial"/>
          <a:cs typeface="Times New Roman" pitchFamily="18" charset="0"/>
        </a:defRPr>
      </a:pPr>
      <a:endParaRPr lang="en-US"/>
    </a:p>
  </c:txPr>
  <c:printSettings>
    <c:headerFooter alignWithMargins="0">
      <c:oddHeader>&amp;A</c:oddHeader>
      <c:oddFooter>Page &amp;P</c:oddFooter>
    </c:headerFooter>
    <c:pageMargins b="1" l="0.75000000000000655" r="0.75000000000000655" t="1" header="0.5" footer="0.5"/>
    <c:pageSetup orientation="landscape"/>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342900</xdr:colOff>
      <xdr:row>13</xdr:row>
      <xdr:rowOff>22860</xdr:rowOff>
    </xdr:from>
    <xdr:to>
      <xdr:col>7</xdr:col>
      <xdr:colOff>495300</xdr:colOff>
      <xdr:row>14</xdr:row>
      <xdr:rowOff>106680</xdr:rowOff>
    </xdr:to>
    <xdr:sp macro="" textlink="">
      <xdr:nvSpPr>
        <xdr:cNvPr id="14383" name="Text Box 1"/>
        <xdr:cNvSpPr txBox="1">
          <a:spLocks noChangeArrowheads="1"/>
        </xdr:cNvSpPr>
      </xdr:nvSpPr>
      <xdr:spPr bwMode="auto">
        <a:xfrm>
          <a:off x="3390900" y="2247900"/>
          <a:ext cx="1371600" cy="251460"/>
        </a:xfrm>
        <a:prstGeom prst="rect">
          <a:avLst/>
        </a:prstGeom>
        <a:solidFill>
          <a:srgbClr val="FFFFFF"/>
        </a:solidFill>
        <a:ln w="9525">
          <a:noFill/>
          <a:miter lim="800000"/>
          <a:headEnd/>
          <a:tailEnd/>
        </a:ln>
      </xdr:spPr>
    </xdr:sp>
    <xdr:clientData/>
  </xdr:twoCellAnchor>
  <xdr:twoCellAnchor>
    <xdr:from>
      <xdr:col>0</xdr:col>
      <xdr:colOff>46382</xdr:colOff>
      <xdr:row>2</xdr:row>
      <xdr:rowOff>6627</xdr:rowOff>
    </xdr:from>
    <xdr:to>
      <xdr:col>9</xdr:col>
      <xdr:colOff>569843</xdr:colOff>
      <xdr:row>21</xdr:row>
      <xdr:rowOff>113307</xdr:rowOff>
    </xdr:to>
    <xdr:graphicFrame macro="">
      <xdr:nvGraphicFramePr>
        <xdr:cNvPr id="14384"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0.02209</cdr:x>
      <cdr:y>0.78772</cdr:y>
    </cdr:from>
    <cdr:to>
      <cdr:x>0.99537</cdr:x>
      <cdr:y>0.99172</cdr:y>
    </cdr:to>
    <cdr:sp macro="" textlink="">
      <cdr:nvSpPr>
        <cdr:cNvPr id="133121" name="Text Box 1"/>
        <cdr:cNvSpPr txBox="1">
          <a:spLocks xmlns:a="http://schemas.openxmlformats.org/drawingml/2006/main" noChangeArrowheads="1"/>
        </cdr:cNvSpPr>
      </cdr:nvSpPr>
      <cdr:spPr bwMode="auto">
        <a:xfrm xmlns:a="http://schemas.openxmlformats.org/drawingml/2006/main">
          <a:off x="132758" y="2584173"/>
          <a:ext cx="5849277" cy="66923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18288" tIns="22860" rIns="0" bIns="0" anchor="t" upright="1"/>
        <a:lstStyle xmlns:a="http://schemas.openxmlformats.org/drawingml/2006/main"/>
        <a:p xmlns:a="http://schemas.openxmlformats.org/drawingml/2006/main">
          <a:pPr algn="l" rtl="0">
            <a:defRPr sz="1000"/>
          </a:pPr>
          <a:r>
            <a:rPr lang="en-US" sz="800" b="0" i="0" strike="noStrike" baseline="30000">
              <a:solidFill>
                <a:srgbClr val="000000"/>
              </a:solidFill>
              <a:latin typeface="Times New Roman"/>
              <a:cs typeface="Times New Roman"/>
            </a:rPr>
            <a:t>1</a:t>
          </a:r>
          <a:r>
            <a:rPr lang="en-US" sz="800" b="0" i="0" strike="noStrike">
              <a:solidFill>
                <a:srgbClr val="000000"/>
              </a:solidFill>
              <a:latin typeface="Times New Roman"/>
              <a:cs typeface="Times New Roman"/>
            </a:rPr>
            <a:t> Weighted by each Class I railroad's proportion of grain traffic for the prior year.  </a:t>
          </a:r>
        </a:p>
        <a:p xmlns:a="http://schemas.openxmlformats.org/drawingml/2006/main">
          <a:pPr algn="l" rtl="0">
            <a:defRPr sz="1000"/>
          </a:pPr>
          <a:r>
            <a:rPr lang="en-US" sz="800" b="0" i="0" strike="noStrike">
              <a:solidFill>
                <a:srgbClr val="000000"/>
              </a:solidFill>
              <a:latin typeface="Times New Roman"/>
              <a:cs typeface="Times New Roman"/>
            </a:rPr>
            <a:t>* Mileage-based fuel surcharges for March and April 2007 are estimated. Beginning January 2009, the Canadian Pacific fuel surcharge is computed by a monthly average of the bi-weekly fuel surcharge.</a:t>
          </a:r>
        </a:p>
        <a:p xmlns:a="http://schemas.openxmlformats.org/drawingml/2006/main">
          <a:pPr algn="l" rtl="0">
            <a:defRPr sz="1000"/>
          </a:pPr>
          <a:r>
            <a:rPr lang="en-US" sz="800" b="0" i="0" strike="noStrike">
              <a:solidFill>
                <a:srgbClr val="000000"/>
              </a:solidFill>
              <a:latin typeface="Times New Roman"/>
              <a:cs typeface="Times New Roman"/>
            </a:rPr>
            <a:t>** BNSF strike price (diesel</a:t>
          </a:r>
          <a:r>
            <a:rPr lang="en-US" sz="800" b="0" i="0" strike="noStrike" baseline="0">
              <a:solidFill>
                <a:srgbClr val="000000"/>
              </a:solidFill>
              <a:latin typeface="Times New Roman"/>
              <a:cs typeface="Times New Roman"/>
            </a:rPr>
            <a:t> price when fuel surcharges begin) </a:t>
          </a:r>
          <a:r>
            <a:rPr lang="en-US" sz="800" b="0" i="0" strike="noStrike">
              <a:solidFill>
                <a:srgbClr val="000000"/>
              </a:solidFill>
              <a:latin typeface="Times New Roman"/>
              <a:cs typeface="Times New Roman"/>
            </a:rPr>
            <a:t>changed</a:t>
          </a:r>
          <a:r>
            <a:rPr lang="en-US" sz="800" b="0" i="0" strike="noStrike" baseline="0">
              <a:solidFill>
                <a:srgbClr val="000000"/>
              </a:solidFill>
              <a:latin typeface="Times New Roman"/>
              <a:cs typeface="Times New Roman"/>
            </a:rPr>
            <a:t> from $1.25/gal. to $2.50/gal starting March 1, 2011.  As a result, the weighted average fuel surcharge for March 2011 was $0.227/mile instead of $0.331/mile.</a:t>
          </a:r>
          <a:endParaRPr lang="en-US" sz="800" b="0" i="0" strike="noStrike">
            <a:solidFill>
              <a:srgbClr val="000000"/>
            </a:solidFill>
            <a:latin typeface="Times New Roman"/>
            <a:cs typeface="Times New Roman"/>
          </a:endParaRPr>
        </a:p>
        <a:p xmlns:a="http://schemas.openxmlformats.org/drawingml/2006/main">
          <a:pPr algn="l" rtl="0">
            <a:defRPr sz="1000"/>
          </a:pPr>
          <a:endParaRPr lang="en-US" sz="800" b="0" i="0" strike="noStrike">
            <a:solidFill>
              <a:srgbClr val="000000"/>
            </a:solidFill>
            <a:latin typeface="Times New Roman"/>
            <a:cs typeface="Times New Roman"/>
          </a:endParaRPr>
        </a:p>
      </cdr:txBody>
    </cdr:sp>
  </cdr:relSizeAnchor>
  <cdr:relSizeAnchor xmlns:cdr="http://schemas.openxmlformats.org/drawingml/2006/chartDrawing">
    <cdr:from>
      <cdr:x>0.61668</cdr:x>
      <cdr:y>0.0591</cdr:y>
    </cdr:from>
    <cdr:to>
      <cdr:x>0.61668</cdr:x>
      <cdr:y>0.0591</cdr:y>
    </cdr:to>
    <cdr:sp macro="" textlink="">
      <cdr:nvSpPr>
        <cdr:cNvPr id="15362" name="AutoShape 2"/>
        <cdr:cNvSpPr>
          <a:spLocks xmlns:a="http://schemas.openxmlformats.org/drawingml/2006/main" noChangeArrowheads="1"/>
        </cdr:cNvSpPr>
      </cdr:nvSpPr>
      <cdr:spPr bwMode="auto">
        <a:xfrm xmlns:a="http://schemas.openxmlformats.org/drawingml/2006/main">
          <a:off x="3362700" y="183617"/>
          <a:ext cx="0" cy="0"/>
        </a:xfrm>
        <a:prstGeom xmlns:a="http://schemas.openxmlformats.org/drawingml/2006/main" prst="wedgeRectCallout">
          <a:avLst>
            <a:gd name="adj1" fmla="val 45745"/>
            <a:gd name="adj2" fmla="val 108333"/>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50" b="0" i="0" strike="noStrike">
              <a:solidFill>
                <a:srgbClr val="000000"/>
              </a:solidFill>
              <a:latin typeface="Times New Roman"/>
              <a:cs typeface="Times New Roman"/>
            </a:rPr>
            <a:t>12.0%</a:t>
          </a:r>
        </a:p>
      </cdr:txBody>
    </cdr:sp>
  </cdr:relSizeAnchor>
  <cdr:relSizeAnchor xmlns:cdr="http://schemas.openxmlformats.org/drawingml/2006/chartDrawing">
    <cdr:from>
      <cdr:x>0.16998</cdr:x>
      <cdr:y>0.06276</cdr:y>
    </cdr:from>
    <cdr:to>
      <cdr:x>0.95161</cdr:x>
      <cdr:y>0.15632</cdr:y>
    </cdr:to>
    <cdr:sp macro="" textlink="">
      <cdr:nvSpPr>
        <cdr:cNvPr id="91140" name="Text Box 4"/>
        <cdr:cNvSpPr txBox="1">
          <a:spLocks xmlns:a="http://schemas.openxmlformats.org/drawingml/2006/main" noChangeArrowheads="1"/>
        </cdr:cNvSpPr>
      </cdr:nvSpPr>
      <cdr:spPr bwMode="auto">
        <a:xfrm xmlns:a="http://schemas.openxmlformats.org/drawingml/2006/main">
          <a:off x="1043941" y="208027"/>
          <a:ext cx="4800600" cy="310133"/>
        </a:xfrm>
        <a:prstGeom xmlns:a="http://schemas.openxmlformats.org/drawingml/2006/main" prst="rect">
          <a:avLst/>
        </a:prstGeom>
        <a:solidFill xmlns:a="http://schemas.openxmlformats.org/drawingml/2006/main">
          <a:srgbClr val="FFFF99"/>
        </a:solidFill>
        <a:ln xmlns:a="http://schemas.openxmlformats.org/drawingml/2006/main" w="9525">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800" b="0" i="0" strike="noStrike">
              <a:solidFill>
                <a:srgbClr val="000000"/>
              </a:solidFill>
              <a:latin typeface="Times New Roman" pitchFamily="18" charset="0"/>
              <a:cs typeface="Times New Roman" pitchFamily="18" charset="0"/>
            </a:rPr>
            <a:t>December 2013: $</a:t>
          </a:r>
          <a:r>
            <a:rPr lang="en-US" sz="800" b="0" i="0">
              <a:latin typeface="Times New Roman" pitchFamily="18" charset="0"/>
              <a:ea typeface="+mn-ea"/>
              <a:cs typeface="Times New Roman" pitchFamily="18" charset="0"/>
            </a:rPr>
            <a:t>0.318, down 5% from l</a:t>
          </a:r>
          <a:r>
            <a:rPr lang="en-US" sz="800" b="0" i="0" strike="noStrike">
              <a:solidFill>
                <a:srgbClr val="000000"/>
              </a:solidFill>
              <a:latin typeface="Times New Roman" pitchFamily="18" charset="0"/>
              <a:cs typeface="Times New Roman" pitchFamily="18" charset="0"/>
            </a:rPr>
            <a:t>ast month's surcharge of $0.334/mile; down 12% from the</a:t>
          </a:r>
          <a:r>
            <a:rPr lang="en-US" sz="800" b="0" i="0" strike="noStrike" baseline="0">
              <a:solidFill>
                <a:srgbClr val="000000"/>
              </a:solidFill>
              <a:latin typeface="Times New Roman" pitchFamily="18" charset="0"/>
              <a:cs typeface="Times New Roman" pitchFamily="18" charset="0"/>
            </a:rPr>
            <a:t> December </a:t>
          </a:r>
          <a:r>
            <a:rPr lang="en-US" sz="800" b="0" i="0" strike="noStrike">
              <a:solidFill>
                <a:srgbClr val="000000"/>
              </a:solidFill>
              <a:latin typeface="Times New Roman" pitchFamily="18" charset="0"/>
              <a:cs typeface="Times New Roman" pitchFamily="18" charset="0"/>
            </a:rPr>
            <a:t>2012 surcharge of $0.359/mile; and up 3% from the December </a:t>
          </a:r>
          <a:r>
            <a:rPr lang="en-US" sz="800" b="0" i="0" strike="noStrike" baseline="0">
              <a:solidFill>
                <a:srgbClr val="000000"/>
              </a:solidFill>
              <a:latin typeface="Times New Roman" pitchFamily="18" charset="0"/>
              <a:cs typeface="Times New Roman" pitchFamily="18" charset="0"/>
            </a:rPr>
            <a:t>prior </a:t>
          </a:r>
          <a:r>
            <a:rPr lang="en-US" sz="800" b="0" i="0" strike="noStrike">
              <a:solidFill>
                <a:srgbClr val="000000"/>
              </a:solidFill>
              <a:latin typeface="Times New Roman" pitchFamily="18" charset="0"/>
              <a:cs typeface="Times New Roman" pitchFamily="18" charset="0"/>
            </a:rPr>
            <a:t>3-year average of $0.309/mile.</a:t>
          </a:r>
        </a:p>
      </cdr:txBody>
    </cdr:sp>
  </cdr:relSizeAnchor>
  <cdr:relSizeAnchor xmlns:cdr="http://schemas.openxmlformats.org/drawingml/2006/chartDrawing">
    <cdr:from>
      <cdr:x>0.86745</cdr:x>
      <cdr:y>0.27873</cdr:y>
    </cdr:from>
    <cdr:to>
      <cdr:x>0.95238</cdr:x>
      <cdr:y>0.35144</cdr:y>
    </cdr:to>
    <cdr:sp macro="" textlink="">
      <cdr:nvSpPr>
        <cdr:cNvPr id="6" name="Line Callout 1 5"/>
        <cdr:cNvSpPr/>
      </cdr:nvSpPr>
      <cdr:spPr>
        <a:xfrm xmlns:a="http://schemas.openxmlformats.org/drawingml/2006/main">
          <a:off x="5213254" y="914395"/>
          <a:ext cx="510417" cy="238531"/>
        </a:xfrm>
        <a:prstGeom xmlns:a="http://schemas.openxmlformats.org/drawingml/2006/main" prst="borderCallout1">
          <a:avLst>
            <a:gd name="adj1" fmla="val 102321"/>
            <a:gd name="adj2" fmla="val 76982"/>
            <a:gd name="adj3" fmla="val 191610"/>
            <a:gd name="adj4" fmla="val 92172"/>
          </a:avLst>
        </a:prstGeom>
        <a:noFill xmlns:a="http://schemas.openxmlformats.org/drawingml/2006/main"/>
        <a:ln xmlns:a="http://schemas.openxmlformats.org/drawingml/2006/main" w="317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p xmlns:a="http://schemas.openxmlformats.org/drawingml/2006/main">
          <a:r>
            <a:rPr lang="en-US" sz="800" b="1">
              <a:solidFill>
                <a:sysClr val="windowText" lastClr="000000"/>
              </a:solidFill>
              <a:latin typeface="Times New Roman" pitchFamily="18" charset="0"/>
              <a:cs typeface="Times New Roman" pitchFamily="18" charset="0"/>
            </a:rPr>
            <a:t>$0.318</a:t>
          </a: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577850</xdr:colOff>
      <xdr:row>148</xdr:row>
      <xdr:rowOff>146050</xdr:rowOff>
    </xdr:from>
    <xdr:to>
      <xdr:col>14</xdr:col>
      <xdr:colOff>471833</xdr:colOff>
      <xdr:row>168</xdr:row>
      <xdr:rowOff>153338</xdr:rowOff>
    </xdr:to>
    <xdr:graphicFrame macro="">
      <xdr:nvGraphicFramePr>
        <xdr:cNvPr id="2"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0.02209</cdr:x>
      <cdr:y>0.92188</cdr:y>
    </cdr:from>
    <cdr:to>
      <cdr:x>0.99537</cdr:x>
      <cdr:y>0.97776</cdr:y>
    </cdr:to>
    <cdr:sp macro="" textlink="">
      <cdr:nvSpPr>
        <cdr:cNvPr id="133121" name="Text Box 1"/>
        <cdr:cNvSpPr txBox="1">
          <a:spLocks xmlns:a="http://schemas.openxmlformats.org/drawingml/2006/main" noChangeArrowheads="1"/>
        </cdr:cNvSpPr>
      </cdr:nvSpPr>
      <cdr:spPr bwMode="auto">
        <a:xfrm xmlns:a="http://schemas.openxmlformats.org/drawingml/2006/main">
          <a:off x="132319" y="2933699"/>
          <a:ext cx="5829930" cy="17780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18288" tIns="22860" rIns="0" bIns="0" anchor="t" upright="1"/>
        <a:lstStyle xmlns:a="http://schemas.openxmlformats.org/drawingml/2006/main"/>
        <a:p xmlns:a="http://schemas.openxmlformats.org/drawingml/2006/main">
          <a:pPr algn="l" rtl="0">
            <a:defRPr sz="1000"/>
          </a:pPr>
          <a:r>
            <a:rPr lang="en-US" sz="800" b="0" i="0" strike="noStrike">
              <a:solidFill>
                <a:srgbClr val="000000"/>
              </a:solidFill>
              <a:latin typeface="Times New Roman"/>
              <a:cs typeface="Times New Roman"/>
            </a:rPr>
            <a:t>Sources:</a:t>
          </a:r>
          <a:r>
            <a:rPr lang="en-US" sz="800" b="0" i="0" strike="noStrike" baseline="0">
              <a:solidFill>
                <a:srgbClr val="000000"/>
              </a:solidFill>
              <a:latin typeface="Times New Roman"/>
              <a:cs typeface="Times New Roman"/>
            </a:rPr>
            <a:t>  www.eia.gov, www.bnsf.com, www.cn.ca, www.cpr.ca, www.csx.com, www.kcsi.com, www.nscorp.com, www.uprr.com</a:t>
          </a:r>
          <a:r>
            <a:rPr lang="en-US" sz="800" b="0" i="0" strike="noStrike">
              <a:solidFill>
                <a:srgbClr val="000000"/>
              </a:solidFill>
              <a:latin typeface="Times New Roman"/>
              <a:cs typeface="Times New Roman"/>
            </a:rPr>
            <a:t>  </a:t>
          </a:r>
        </a:p>
      </cdr:txBody>
    </cdr:sp>
  </cdr:relSizeAnchor>
  <cdr:relSizeAnchor xmlns:cdr="http://schemas.openxmlformats.org/drawingml/2006/chartDrawing">
    <cdr:from>
      <cdr:x>0.61668</cdr:x>
      <cdr:y>0.0591</cdr:y>
    </cdr:from>
    <cdr:to>
      <cdr:x>0.61668</cdr:x>
      <cdr:y>0.0591</cdr:y>
    </cdr:to>
    <cdr:sp macro="" textlink="">
      <cdr:nvSpPr>
        <cdr:cNvPr id="15362" name="AutoShape 2"/>
        <cdr:cNvSpPr>
          <a:spLocks xmlns:a="http://schemas.openxmlformats.org/drawingml/2006/main" noChangeArrowheads="1"/>
        </cdr:cNvSpPr>
      </cdr:nvSpPr>
      <cdr:spPr bwMode="auto">
        <a:xfrm xmlns:a="http://schemas.openxmlformats.org/drawingml/2006/main">
          <a:off x="3362700" y="183617"/>
          <a:ext cx="0" cy="0"/>
        </a:xfrm>
        <a:prstGeom xmlns:a="http://schemas.openxmlformats.org/drawingml/2006/main" prst="wedgeRectCallout">
          <a:avLst>
            <a:gd name="adj1" fmla="val 45745"/>
            <a:gd name="adj2" fmla="val 108333"/>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50" b="0" i="0" strike="noStrike">
              <a:solidFill>
                <a:srgbClr val="000000"/>
              </a:solidFill>
              <a:latin typeface="Times New Roman"/>
              <a:cs typeface="Times New Roman"/>
            </a:rPr>
            <a:t>12.0%</a:t>
          </a:r>
        </a:p>
      </cdr:txBody>
    </cdr:sp>
  </cdr:relSizeAnchor>
  <cdr:relSizeAnchor xmlns:cdr="http://schemas.openxmlformats.org/drawingml/2006/chartDrawing">
    <cdr:from>
      <cdr:x>0.61668</cdr:x>
      <cdr:y>0.0591</cdr:y>
    </cdr:from>
    <cdr:to>
      <cdr:x>0.61668</cdr:x>
      <cdr:y>0.0591</cdr:y>
    </cdr:to>
    <cdr:sp macro="" textlink="">
      <cdr:nvSpPr>
        <cdr:cNvPr id="3" name="AutoShape 2"/>
        <cdr:cNvSpPr>
          <a:spLocks xmlns:a="http://schemas.openxmlformats.org/drawingml/2006/main" noChangeArrowheads="1"/>
        </cdr:cNvSpPr>
      </cdr:nvSpPr>
      <cdr:spPr bwMode="auto">
        <a:xfrm xmlns:a="http://schemas.openxmlformats.org/drawingml/2006/main">
          <a:off x="3362700" y="183617"/>
          <a:ext cx="0" cy="0"/>
        </a:xfrm>
        <a:prstGeom xmlns:a="http://schemas.openxmlformats.org/drawingml/2006/main" prst="wedgeRectCallout">
          <a:avLst>
            <a:gd name="adj1" fmla="val 45745"/>
            <a:gd name="adj2" fmla="val 108333"/>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50" b="0" i="0" strike="noStrike">
              <a:solidFill>
                <a:srgbClr val="000000"/>
              </a:solidFill>
              <a:latin typeface="Times New Roman"/>
              <a:cs typeface="Times New Roman"/>
            </a:rPr>
            <a:t>12.0%</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enableFormatConditionsCalculation="0">
    <tabColor indexed="46"/>
  </sheetPr>
  <dimension ref="A1:AA215"/>
  <sheetViews>
    <sheetView workbookViewId="0">
      <pane xSplit="1" ySplit="7" topLeftCell="B142" activePane="bottomRight" state="frozen"/>
      <selection pane="topRight" activeCell="B1" sqref="B1"/>
      <selection pane="bottomLeft" activeCell="A7" sqref="A7"/>
      <selection pane="bottomRight" activeCell="I173" sqref="I173"/>
    </sheetView>
  </sheetViews>
  <sheetFormatPr defaultRowHeight="13.2"/>
  <cols>
    <col min="1" max="1" width="19" customWidth="1"/>
    <col min="2" max="8" width="8.5546875" customWidth="1"/>
    <col min="9" max="9" width="13.44140625" bestFit="1" customWidth="1"/>
    <col min="10" max="10" width="10.77734375" customWidth="1"/>
    <col min="11" max="11" width="8.21875" bestFit="1" customWidth="1"/>
    <col min="12" max="12" width="2.77734375" customWidth="1"/>
    <col min="13" max="13" width="17.5546875" customWidth="1"/>
    <col min="14" max="21" width="7.5546875" customWidth="1"/>
    <col min="23" max="23" width="3.21875" customWidth="1"/>
  </cols>
  <sheetData>
    <row r="1" spans="1:25">
      <c r="A1" s="1" t="s">
        <v>0</v>
      </c>
      <c r="B1" s="1"/>
      <c r="C1" s="1"/>
      <c r="D1" s="1"/>
      <c r="E1" s="1"/>
      <c r="F1" s="1"/>
      <c r="G1" s="1"/>
      <c r="H1" s="1"/>
      <c r="I1" s="1"/>
      <c r="J1" s="1"/>
      <c r="K1" s="1"/>
      <c r="L1" s="1"/>
      <c r="M1" s="1"/>
    </row>
    <row r="3" spans="1:25">
      <c r="B3" s="56" t="s">
        <v>23</v>
      </c>
      <c r="C3" s="57"/>
      <c r="D3" s="57"/>
      <c r="E3" s="57"/>
      <c r="F3" s="57"/>
      <c r="G3" s="57"/>
      <c r="H3" s="57"/>
      <c r="N3" s="75" t="s">
        <v>8</v>
      </c>
      <c r="O3" s="76"/>
      <c r="P3" s="76"/>
      <c r="Q3" s="76"/>
      <c r="R3" s="76"/>
      <c r="S3" s="76"/>
      <c r="T3" s="76"/>
    </row>
    <row r="4" spans="1:25">
      <c r="A4" s="1"/>
      <c r="B4" s="55" t="s">
        <v>66</v>
      </c>
      <c r="C4" s="55"/>
      <c r="D4" s="55"/>
      <c r="E4" s="55"/>
      <c r="F4" s="55"/>
      <c r="G4" s="55"/>
      <c r="H4" s="55"/>
      <c r="I4" s="1"/>
      <c r="J4" s="1"/>
      <c r="K4" s="1"/>
      <c r="L4" s="1"/>
      <c r="M4" s="1"/>
      <c r="N4" s="58" t="s">
        <v>65</v>
      </c>
      <c r="O4" s="58"/>
      <c r="P4" s="58"/>
      <c r="Q4" s="58"/>
      <c r="R4" s="58"/>
      <c r="S4" s="1"/>
      <c r="T4" s="1"/>
      <c r="U4" s="1"/>
    </row>
    <row r="5" spans="1:25">
      <c r="A5" s="1"/>
      <c r="B5" s="72" t="s">
        <v>69</v>
      </c>
      <c r="C5" s="45"/>
      <c r="D5" s="45"/>
      <c r="E5" s="45"/>
      <c r="F5" s="45"/>
      <c r="G5" s="45"/>
      <c r="H5" s="45"/>
      <c r="M5" s="10"/>
      <c r="N5" s="1"/>
      <c r="O5" s="1"/>
      <c r="P5" s="1"/>
      <c r="Q5" s="1"/>
      <c r="R5" s="1"/>
      <c r="S5" s="1"/>
      <c r="T5" s="1"/>
    </row>
    <row r="6" spans="1:25">
      <c r="A6" s="1"/>
      <c r="B6" s="1"/>
      <c r="C6" s="1"/>
      <c r="D6" s="1"/>
      <c r="E6" s="1"/>
      <c r="F6" s="1"/>
      <c r="G6" s="1"/>
      <c r="H6" s="1"/>
      <c r="I6" s="1" t="s">
        <v>14</v>
      </c>
      <c r="J6" s="1" t="s">
        <v>13</v>
      </c>
      <c r="K6" s="1" t="s">
        <v>70</v>
      </c>
      <c r="L6" s="1"/>
      <c r="M6" s="10"/>
      <c r="N6" s="1"/>
      <c r="O6" s="1"/>
      <c r="P6" s="1"/>
      <c r="Q6" s="1"/>
      <c r="R6" s="1"/>
      <c r="S6" s="1"/>
      <c r="T6" s="1"/>
      <c r="U6" s="1" t="s">
        <v>14</v>
      </c>
      <c r="V6" s="1" t="s">
        <v>13</v>
      </c>
      <c r="X6" s="1" t="s">
        <v>5</v>
      </c>
      <c r="Y6" s="1"/>
    </row>
    <row r="7" spans="1:25" ht="13.8" thickBot="1">
      <c r="A7" s="2" t="s">
        <v>1</v>
      </c>
      <c r="B7" s="2" t="s">
        <v>4</v>
      </c>
      <c r="C7" s="2" t="s">
        <v>11</v>
      </c>
      <c r="D7" s="2" t="s">
        <v>7</v>
      </c>
      <c r="E7" s="2" t="s">
        <v>2</v>
      </c>
      <c r="F7" s="2" t="s">
        <v>5</v>
      </c>
      <c r="G7" s="2" t="s">
        <v>3</v>
      </c>
      <c r="H7" s="2" t="s">
        <v>6</v>
      </c>
      <c r="I7" s="19" t="s">
        <v>12</v>
      </c>
      <c r="J7" s="2" t="s">
        <v>12</v>
      </c>
      <c r="K7" s="2" t="s">
        <v>12</v>
      </c>
      <c r="L7" s="10"/>
      <c r="M7" s="10"/>
      <c r="N7" s="2" t="s">
        <v>4</v>
      </c>
      <c r="O7" s="2" t="s">
        <v>11</v>
      </c>
      <c r="P7" s="2" t="s">
        <v>7</v>
      </c>
      <c r="Q7" s="2" t="s">
        <v>2</v>
      </c>
      <c r="R7" s="2" t="s">
        <v>5</v>
      </c>
      <c r="S7" s="2" t="s">
        <v>3</v>
      </c>
      <c r="T7" s="2" t="s">
        <v>6</v>
      </c>
      <c r="U7" s="6" t="s">
        <v>12</v>
      </c>
      <c r="V7" s="1" t="s">
        <v>12</v>
      </c>
      <c r="X7" s="1" t="s">
        <v>72</v>
      </c>
      <c r="Y7" s="1" t="s">
        <v>73</v>
      </c>
    </row>
    <row r="8" spans="1:25">
      <c r="A8" s="4">
        <v>36708</v>
      </c>
      <c r="B8" s="20"/>
      <c r="C8" s="17"/>
      <c r="D8" s="17"/>
      <c r="E8" s="17"/>
      <c r="F8" s="17"/>
      <c r="G8" s="17"/>
      <c r="H8" s="17"/>
      <c r="I8" s="17"/>
      <c r="J8" s="17"/>
      <c r="K8" s="4"/>
      <c r="L8" s="4"/>
      <c r="M8" s="4">
        <v>36708</v>
      </c>
      <c r="N8" s="3"/>
      <c r="O8" s="3"/>
      <c r="P8" s="3"/>
      <c r="Q8" s="3"/>
      <c r="R8" s="3"/>
      <c r="S8" s="3">
        <v>0.02</v>
      </c>
      <c r="T8" s="3"/>
      <c r="U8" s="3">
        <f t="shared" ref="U8:U70" si="0">AVERAGE(N8:T8)</f>
        <v>0.02</v>
      </c>
    </row>
    <row r="9" spans="1:25">
      <c r="A9" s="4">
        <v>36739</v>
      </c>
      <c r="B9" s="20"/>
      <c r="C9" s="17"/>
      <c r="D9" s="17"/>
      <c r="E9" s="17"/>
      <c r="F9" s="17"/>
      <c r="G9" s="17"/>
      <c r="H9" s="17"/>
      <c r="I9" s="17"/>
      <c r="J9" s="17"/>
      <c r="K9" s="4"/>
      <c r="L9" s="4"/>
      <c r="M9" s="4">
        <v>36739</v>
      </c>
      <c r="N9" s="3"/>
      <c r="O9" s="3"/>
      <c r="P9" s="3"/>
      <c r="Q9" s="3"/>
      <c r="R9" s="3"/>
      <c r="S9" s="3">
        <v>0.02</v>
      </c>
      <c r="T9" s="3"/>
      <c r="U9" s="3">
        <f t="shared" si="0"/>
        <v>0.02</v>
      </c>
    </row>
    <row r="10" spans="1:25">
      <c r="A10" s="4">
        <v>36770</v>
      </c>
      <c r="B10" s="20"/>
      <c r="C10" s="17"/>
      <c r="D10" s="17"/>
      <c r="E10" s="17"/>
      <c r="F10" s="17"/>
      <c r="G10" s="17"/>
      <c r="H10" s="17"/>
      <c r="I10" s="17"/>
      <c r="J10" s="17"/>
      <c r="K10" s="4"/>
      <c r="L10" s="4"/>
      <c r="M10" s="4">
        <v>36770</v>
      </c>
      <c r="N10" s="3"/>
      <c r="O10" s="3"/>
      <c r="P10" s="3"/>
      <c r="Q10" s="3"/>
      <c r="R10" s="3"/>
      <c r="S10" s="3">
        <v>0.02</v>
      </c>
      <c r="T10" s="3"/>
      <c r="U10" s="3">
        <f t="shared" si="0"/>
        <v>0.02</v>
      </c>
    </row>
    <row r="11" spans="1:25">
      <c r="A11" s="4">
        <v>36800</v>
      </c>
      <c r="B11" s="20"/>
      <c r="C11" s="17"/>
      <c r="D11" s="17"/>
      <c r="E11" s="17"/>
      <c r="F11" s="17"/>
      <c r="G11" s="17"/>
      <c r="H11" s="17"/>
      <c r="I11" s="17"/>
      <c r="J11" s="17"/>
      <c r="K11" s="4"/>
      <c r="L11" s="4"/>
      <c r="M11" s="4">
        <v>36800</v>
      </c>
      <c r="N11" s="3"/>
      <c r="O11" s="3"/>
      <c r="P11" s="3"/>
      <c r="Q11" s="3"/>
      <c r="R11" s="3"/>
      <c r="S11" s="3">
        <v>0.02</v>
      </c>
      <c r="T11" s="3"/>
      <c r="U11" s="3">
        <f t="shared" si="0"/>
        <v>0.02</v>
      </c>
    </row>
    <row r="12" spans="1:25">
      <c r="A12" s="4">
        <v>36831</v>
      </c>
      <c r="B12" s="20"/>
      <c r="C12" s="17"/>
      <c r="D12" s="17"/>
      <c r="E12" s="17"/>
      <c r="F12" s="17"/>
      <c r="G12" s="17"/>
      <c r="H12" s="17"/>
      <c r="I12" s="17"/>
      <c r="J12" s="17"/>
      <c r="K12" s="4"/>
      <c r="L12" s="4"/>
      <c r="M12" s="4">
        <v>36831</v>
      </c>
      <c r="N12" s="3"/>
      <c r="O12" s="3"/>
      <c r="P12" s="3"/>
      <c r="Q12" s="3">
        <v>0.02</v>
      </c>
      <c r="R12" s="3"/>
      <c r="S12" s="3">
        <v>0.02</v>
      </c>
      <c r="T12" s="3"/>
      <c r="U12" s="3">
        <f t="shared" si="0"/>
        <v>0.02</v>
      </c>
    </row>
    <row r="13" spans="1:25">
      <c r="A13" s="4">
        <v>36861</v>
      </c>
      <c r="B13" s="20"/>
      <c r="C13" s="17"/>
      <c r="D13" s="17"/>
      <c r="E13" s="17"/>
      <c r="F13" s="17"/>
      <c r="G13" s="17"/>
      <c r="H13" s="17"/>
      <c r="I13" s="17"/>
      <c r="J13" s="17"/>
      <c r="K13" s="4"/>
      <c r="L13" s="4"/>
      <c r="M13" s="4">
        <v>36861</v>
      </c>
      <c r="N13" s="3"/>
      <c r="O13" s="3"/>
      <c r="P13" s="3"/>
      <c r="Q13" s="3">
        <v>0.02</v>
      </c>
      <c r="R13" s="3"/>
      <c r="S13" s="3">
        <v>0.02</v>
      </c>
      <c r="T13" s="3"/>
      <c r="U13" s="3">
        <f t="shared" si="0"/>
        <v>0.02</v>
      </c>
    </row>
    <row r="14" spans="1:25">
      <c r="A14" s="4">
        <v>36892</v>
      </c>
      <c r="B14" s="20">
        <v>0.1</v>
      </c>
      <c r="C14" s="21">
        <v>7.9299999999999995E-2</v>
      </c>
      <c r="D14" s="21">
        <v>0</v>
      </c>
      <c r="E14" s="20">
        <v>0</v>
      </c>
      <c r="F14" s="20">
        <v>0</v>
      </c>
      <c r="G14" s="20">
        <v>0</v>
      </c>
      <c r="H14" s="20">
        <v>0</v>
      </c>
      <c r="I14" s="20">
        <f t="shared" ref="I14:I45" si="1">AVERAGE(B14,C14,D14,E14,F14,G14,H14)</f>
        <v>2.5614285714285718E-2</v>
      </c>
      <c r="J14" s="20"/>
      <c r="K14" s="4"/>
      <c r="L14" s="4"/>
      <c r="M14" s="4">
        <v>36892</v>
      </c>
      <c r="N14" s="3"/>
      <c r="O14" s="3"/>
      <c r="P14" s="3"/>
      <c r="Q14" s="3">
        <v>0.02</v>
      </c>
      <c r="R14" s="3"/>
      <c r="S14" s="3">
        <v>0.02</v>
      </c>
      <c r="T14" s="3"/>
      <c r="U14" s="3">
        <f t="shared" si="0"/>
        <v>0.02</v>
      </c>
      <c r="V14" s="3">
        <f>SUM(N14*'Annual Avg.'!$M$9,O14*'Annual Avg.'!$N$9,P14*'Annual Avg.'!$O$9,Q14*'Annual Avg.'!$P$9,R14*'Annual Avg.'!$Q$9,S14*'Annual Avg.'!$R$9,T14*'Annual Avg.'!$S$9)</f>
        <v>0</v>
      </c>
    </row>
    <row r="15" spans="1:25">
      <c r="A15" s="4">
        <v>36923</v>
      </c>
      <c r="B15" s="20">
        <v>0.08</v>
      </c>
      <c r="C15" s="21">
        <v>6.7100000000000007E-2</v>
      </c>
      <c r="D15" s="21">
        <v>0</v>
      </c>
      <c r="E15" s="20">
        <v>0</v>
      </c>
      <c r="F15" s="20">
        <v>0</v>
      </c>
      <c r="G15" s="20">
        <v>0</v>
      </c>
      <c r="H15" s="20">
        <v>0</v>
      </c>
      <c r="I15" s="20">
        <f t="shared" si="1"/>
        <v>2.1014285714285715E-2</v>
      </c>
      <c r="J15" s="20"/>
      <c r="K15" s="4"/>
      <c r="L15" s="4"/>
      <c r="M15" s="4">
        <v>36923</v>
      </c>
      <c r="N15" s="3"/>
      <c r="O15" s="3"/>
      <c r="P15" s="3"/>
      <c r="Q15" s="3">
        <v>0.02</v>
      </c>
      <c r="R15" s="3"/>
      <c r="S15" s="3">
        <v>0.02</v>
      </c>
      <c r="T15" s="3"/>
      <c r="U15" s="3">
        <f t="shared" si="0"/>
        <v>0.02</v>
      </c>
      <c r="V15" s="3">
        <f>SUM(N15*'Annual Avg.'!$M$9,O15*'Annual Avg.'!$N$9,P15*'Annual Avg.'!$O$9,Q15*'Annual Avg.'!$P$9,R15*'Annual Avg.'!$Q$9,S15*'Annual Avg.'!$R$9,T15*'Annual Avg.'!$S$9)</f>
        <v>0</v>
      </c>
    </row>
    <row r="16" spans="1:25">
      <c r="A16" s="4">
        <v>36951</v>
      </c>
      <c r="B16" s="20">
        <v>7.0000000000000007E-2</v>
      </c>
      <c r="C16" s="21">
        <v>6.0999999999999999E-2</v>
      </c>
      <c r="D16" s="21">
        <v>0</v>
      </c>
      <c r="E16" s="20">
        <v>0</v>
      </c>
      <c r="F16" s="20">
        <v>0</v>
      </c>
      <c r="G16" s="20">
        <v>0</v>
      </c>
      <c r="H16" s="20">
        <v>0</v>
      </c>
      <c r="I16" s="20">
        <f t="shared" si="1"/>
        <v>1.8714285714285715E-2</v>
      </c>
      <c r="J16" s="20"/>
      <c r="K16" s="4"/>
      <c r="L16" s="4"/>
      <c r="M16" s="4">
        <v>36951</v>
      </c>
      <c r="N16" s="3"/>
      <c r="O16" s="3"/>
      <c r="P16" s="3"/>
      <c r="Q16" s="3">
        <v>0.02</v>
      </c>
      <c r="R16" s="3"/>
      <c r="S16" s="3">
        <v>0.02</v>
      </c>
      <c r="T16" s="3"/>
      <c r="U16" s="3">
        <f t="shared" si="0"/>
        <v>0.02</v>
      </c>
      <c r="V16" s="3">
        <f>SUM(N16*'Annual Avg.'!$M$9,O16*'Annual Avg.'!$N$9,P16*'Annual Avg.'!$O$9,Q16*'Annual Avg.'!$P$9,R16*'Annual Avg.'!$Q$9,S16*'Annual Avg.'!$R$9,T16*'Annual Avg.'!$S$9)</f>
        <v>0</v>
      </c>
    </row>
    <row r="17" spans="1:22">
      <c r="A17" s="4">
        <v>36982</v>
      </c>
      <c r="B17" s="20">
        <v>7.0000000000000007E-2</v>
      </c>
      <c r="C17" s="21">
        <v>5.4899999999999997E-2</v>
      </c>
      <c r="D17" s="21">
        <v>0</v>
      </c>
      <c r="E17" s="20">
        <v>0</v>
      </c>
      <c r="F17" s="20">
        <v>0</v>
      </c>
      <c r="G17" s="20">
        <v>0</v>
      </c>
      <c r="H17" s="20">
        <v>0</v>
      </c>
      <c r="I17" s="20">
        <f t="shared" si="1"/>
        <v>1.7842857142857143E-2</v>
      </c>
      <c r="J17" s="20"/>
      <c r="K17" s="4"/>
      <c r="L17" s="4"/>
      <c r="M17" s="4">
        <v>36982</v>
      </c>
      <c r="N17" s="3"/>
      <c r="O17" s="3"/>
      <c r="P17" s="3"/>
      <c r="Q17" s="3">
        <v>0.02</v>
      </c>
      <c r="R17" s="3"/>
      <c r="S17" s="3">
        <v>0.02</v>
      </c>
      <c r="T17" s="3"/>
      <c r="U17" s="3">
        <f t="shared" si="0"/>
        <v>0.02</v>
      </c>
      <c r="V17" s="3">
        <f>SUM(N17*'Annual Avg.'!$M$9,O17*'Annual Avg.'!$N$9,P17*'Annual Avg.'!$O$9,Q17*'Annual Avg.'!$P$9,R17*'Annual Avg.'!$Q$9,S17*'Annual Avg.'!$R$9,T17*'Annual Avg.'!$S$9)</f>
        <v>0</v>
      </c>
    </row>
    <row r="18" spans="1:22">
      <c r="A18" s="4">
        <v>37012</v>
      </c>
      <c r="B18" s="20">
        <v>0.04</v>
      </c>
      <c r="C18" s="21">
        <v>3.0499999999999999E-2</v>
      </c>
      <c r="D18" s="21">
        <v>0</v>
      </c>
      <c r="E18" s="20">
        <v>0</v>
      </c>
      <c r="F18" s="20">
        <v>0</v>
      </c>
      <c r="G18" s="20">
        <v>0</v>
      </c>
      <c r="H18" s="20">
        <v>0</v>
      </c>
      <c r="I18" s="20">
        <f t="shared" si="1"/>
        <v>1.0071428571428573E-2</v>
      </c>
      <c r="J18" s="20"/>
      <c r="K18" s="50"/>
      <c r="L18" s="50"/>
      <c r="M18" s="4">
        <v>37012</v>
      </c>
      <c r="N18" s="3"/>
      <c r="O18" s="3"/>
      <c r="P18" s="3"/>
      <c r="Q18" s="3">
        <v>0.02</v>
      </c>
      <c r="R18" s="3"/>
      <c r="S18" s="3">
        <v>0.02</v>
      </c>
      <c r="T18" s="3"/>
      <c r="U18" s="3">
        <f t="shared" si="0"/>
        <v>0.02</v>
      </c>
      <c r="V18" s="3">
        <f>SUM(N18*'Annual Avg.'!$M$9,O18*'Annual Avg.'!$N$9,P18*'Annual Avg.'!$O$9,Q18*'Annual Avg.'!$P$9,R18*'Annual Avg.'!$Q$9,S18*'Annual Avg.'!$R$9,T18*'Annual Avg.'!$S$9)</f>
        <v>0</v>
      </c>
    </row>
    <row r="19" spans="1:22">
      <c r="A19" s="4">
        <v>37043</v>
      </c>
      <c r="B19" s="20">
        <v>0.05</v>
      </c>
      <c r="C19" s="21">
        <v>3.6600000000000001E-2</v>
      </c>
      <c r="D19" s="21">
        <v>0</v>
      </c>
      <c r="E19" s="20">
        <v>0</v>
      </c>
      <c r="F19" s="20">
        <v>0</v>
      </c>
      <c r="G19" s="20">
        <v>0</v>
      </c>
      <c r="H19" s="20">
        <v>0</v>
      </c>
      <c r="I19" s="20">
        <f t="shared" si="1"/>
        <v>1.2371428571428573E-2</v>
      </c>
      <c r="J19" s="20"/>
      <c r="K19" s="50"/>
      <c r="L19" s="50"/>
      <c r="M19" s="4">
        <v>37043</v>
      </c>
      <c r="N19" s="3"/>
      <c r="O19" s="3"/>
      <c r="P19" s="3"/>
      <c r="Q19" s="3">
        <v>0.02</v>
      </c>
      <c r="R19" s="3"/>
      <c r="S19" s="3">
        <v>0.02</v>
      </c>
      <c r="T19" s="3"/>
      <c r="U19" s="3">
        <f t="shared" si="0"/>
        <v>0.02</v>
      </c>
      <c r="V19" s="3">
        <f>SUM(N19*'Annual Avg.'!$M$9,O19*'Annual Avg.'!$N$9,P19*'Annual Avg.'!$O$9,Q19*'Annual Avg.'!$P$9,R19*'Annual Avg.'!$Q$9,S19*'Annual Avg.'!$R$9,T19*'Annual Avg.'!$S$9)</f>
        <v>0</v>
      </c>
    </row>
    <row r="20" spans="1:22">
      <c r="A20" s="4">
        <v>37073</v>
      </c>
      <c r="B20" s="20">
        <v>7.0000000000000007E-2</v>
      </c>
      <c r="C20" s="21">
        <v>5.4899999999999997E-2</v>
      </c>
      <c r="D20" s="21">
        <v>0</v>
      </c>
      <c r="E20" s="20">
        <v>0</v>
      </c>
      <c r="F20" s="20">
        <v>0</v>
      </c>
      <c r="G20" s="20">
        <v>0</v>
      </c>
      <c r="H20" s="20">
        <v>0</v>
      </c>
      <c r="I20" s="20">
        <f t="shared" si="1"/>
        <v>1.7842857142857143E-2</v>
      </c>
      <c r="J20" s="20"/>
      <c r="K20" s="50"/>
      <c r="L20" s="50"/>
      <c r="M20" s="4">
        <v>37073</v>
      </c>
      <c r="N20" s="3"/>
      <c r="O20" s="3"/>
      <c r="P20" s="3"/>
      <c r="Q20" s="3">
        <v>0.02</v>
      </c>
      <c r="R20" s="3"/>
      <c r="S20" s="3">
        <v>0.02</v>
      </c>
      <c r="T20" s="3"/>
      <c r="U20" s="3">
        <f t="shared" si="0"/>
        <v>0.02</v>
      </c>
      <c r="V20" s="3">
        <f>SUM(N20*'Annual Avg.'!$M$9,O20*'Annual Avg.'!$N$9,P20*'Annual Avg.'!$O$9,Q20*'Annual Avg.'!$P$9,R20*'Annual Avg.'!$Q$9,S20*'Annual Avg.'!$R$9,T20*'Annual Avg.'!$S$9)</f>
        <v>0</v>
      </c>
    </row>
    <row r="21" spans="1:22">
      <c r="A21" s="4">
        <v>37104</v>
      </c>
      <c r="B21" s="20">
        <v>0.06</v>
      </c>
      <c r="C21" s="21">
        <v>4.8800000000000003E-2</v>
      </c>
      <c r="D21" s="21">
        <v>0</v>
      </c>
      <c r="E21" s="20">
        <v>0</v>
      </c>
      <c r="F21" s="20">
        <v>0</v>
      </c>
      <c r="G21" s="20">
        <v>0</v>
      </c>
      <c r="H21" s="20">
        <v>0</v>
      </c>
      <c r="I21" s="20">
        <f t="shared" si="1"/>
        <v>1.5542857142857145E-2</v>
      </c>
      <c r="J21" s="20"/>
      <c r="K21" s="50"/>
      <c r="L21" s="50"/>
      <c r="M21" s="4">
        <v>37104</v>
      </c>
      <c r="N21" s="3"/>
      <c r="O21" s="3"/>
      <c r="P21" s="3"/>
      <c r="Q21" s="3">
        <v>0.02</v>
      </c>
      <c r="R21" s="3"/>
      <c r="S21" s="3">
        <v>0.02</v>
      </c>
      <c r="T21" s="3"/>
      <c r="U21" s="3">
        <f t="shared" si="0"/>
        <v>0.02</v>
      </c>
      <c r="V21" s="3">
        <f>SUM(N21*'Annual Avg.'!$M$9,O21*'Annual Avg.'!$N$9,P21*'Annual Avg.'!$O$9,Q21*'Annual Avg.'!$P$9,R21*'Annual Avg.'!$Q$9,S21*'Annual Avg.'!$R$9,T21*'Annual Avg.'!$S$9)</f>
        <v>0</v>
      </c>
    </row>
    <row r="22" spans="1:22">
      <c r="A22" s="4">
        <v>37135</v>
      </c>
      <c r="B22" s="20">
        <v>0.04</v>
      </c>
      <c r="C22" s="21">
        <v>3.0499999999999999E-2</v>
      </c>
      <c r="D22" s="21">
        <v>0</v>
      </c>
      <c r="E22" s="20">
        <v>0</v>
      </c>
      <c r="F22" s="20">
        <v>0</v>
      </c>
      <c r="G22" s="20">
        <v>0</v>
      </c>
      <c r="H22" s="20">
        <v>0</v>
      </c>
      <c r="I22" s="20">
        <f t="shared" si="1"/>
        <v>1.0071428571428573E-2</v>
      </c>
      <c r="J22" s="20"/>
      <c r="K22" s="50"/>
      <c r="L22" s="50"/>
      <c r="M22" s="4">
        <v>37135</v>
      </c>
      <c r="N22" s="3"/>
      <c r="O22" s="3"/>
      <c r="P22" s="3"/>
      <c r="Q22" s="3">
        <v>0.02</v>
      </c>
      <c r="R22" s="3"/>
      <c r="S22" s="3">
        <v>0.02</v>
      </c>
      <c r="T22" s="3"/>
      <c r="U22" s="3">
        <f t="shared" si="0"/>
        <v>0.02</v>
      </c>
      <c r="V22" s="3">
        <f>SUM(N22*'Annual Avg.'!$M$9,O22*'Annual Avg.'!$N$9,P22*'Annual Avg.'!$O$9,Q22*'Annual Avg.'!$P$9,R22*'Annual Avg.'!$Q$9,S22*'Annual Avg.'!$R$9,T22*'Annual Avg.'!$S$9)</f>
        <v>0</v>
      </c>
    </row>
    <row r="23" spans="1:22">
      <c r="A23" s="4">
        <v>37165</v>
      </c>
      <c r="B23" s="20">
        <v>0.04</v>
      </c>
      <c r="C23" s="21">
        <v>3.0499999999999999E-2</v>
      </c>
      <c r="D23" s="21">
        <v>0</v>
      </c>
      <c r="E23" s="20">
        <v>0</v>
      </c>
      <c r="F23" s="20">
        <v>0</v>
      </c>
      <c r="G23" s="20">
        <v>0</v>
      </c>
      <c r="H23" s="20">
        <v>0</v>
      </c>
      <c r="I23" s="20">
        <f t="shared" si="1"/>
        <v>1.0071428571428573E-2</v>
      </c>
      <c r="J23" s="41">
        <f t="shared" ref="J23:J49" si="2">SUM(B23*$B$186,C23*$C$186,D23*$D$186,E23*$E$186,F23*$F$186,G23*$G$186,H23*$H$186)</f>
        <v>1.4905399999999999E-2</v>
      </c>
      <c r="K23" s="50"/>
      <c r="L23" s="50"/>
      <c r="M23" s="4">
        <v>37165</v>
      </c>
      <c r="N23" s="3"/>
      <c r="O23" s="3">
        <v>0.02</v>
      </c>
      <c r="P23" s="3"/>
      <c r="Q23" s="3">
        <v>0.02</v>
      </c>
      <c r="R23" s="3"/>
      <c r="S23" s="3">
        <v>0.02</v>
      </c>
      <c r="T23" s="3"/>
      <c r="U23" s="3">
        <f t="shared" si="0"/>
        <v>0.02</v>
      </c>
      <c r="V23" s="3">
        <f>SUM(N23*'Annual Avg.'!$M$9,O23*'Annual Avg.'!$N$9,P23*'Annual Avg.'!$O$9,Q23*'Annual Avg.'!$P$9,R23*'Annual Avg.'!$Q$9,S23*'Annual Avg.'!$R$9,T23*'Annual Avg.'!$S$9)</f>
        <v>0</v>
      </c>
    </row>
    <row r="24" spans="1:22">
      <c r="A24" s="4">
        <v>37196</v>
      </c>
      <c r="B24" s="20">
        <v>7.0000000000000007E-2</v>
      </c>
      <c r="C24" s="21">
        <v>5.4899999999999997E-2</v>
      </c>
      <c r="D24" s="21">
        <v>0</v>
      </c>
      <c r="E24" s="20">
        <v>0</v>
      </c>
      <c r="F24" s="20">
        <v>0</v>
      </c>
      <c r="G24" s="20">
        <v>0</v>
      </c>
      <c r="H24" s="20">
        <v>0</v>
      </c>
      <c r="I24" s="20">
        <f t="shared" si="1"/>
        <v>1.7842857142857143E-2</v>
      </c>
      <c r="J24" s="41">
        <f t="shared" si="2"/>
        <v>2.6283919999999999E-2</v>
      </c>
      <c r="K24" s="50"/>
      <c r="L24" s="50"/>
      <c r="M24" s="4">
        <v>37196</v>
      </c>
      <c r="N24" s="3"/>
      <c r="O24" s="3">
        <v>0.02</v>
      </c>
      <c r="P24" s="3"/>
      <c r="Q24" s="3">
        <v>0</v>
      </c>
      <c r="R24" s="3"/>
      <c r="S24" s="3">
        <v>0</v>
      </c>
      <c r="T24" s="3"/>
      <c r="U24" s="3">
        <f t="shared" si="0"/>
        <v>6.6666666666666671E-3</v>
      </c>
      <c r="V24" s="3">
        <f>SUM(N24*'Annual Avg.'!$M$9,O24*'Annual Avg.'!$N$9,P24*'Annual Avg.'!$O$9,Q24*'Annual Avg.'!$P$9,R24*'Annual Avg.'!$Q$9,S24*'Annual Avg.'!$R$9,T24*'Annual Avg.'!$S$9)</f>
        <v>0</v>
      </c>
    </row>
    <row r="25" spans="1:22">
      <c r="A25" s="4">
        <v>37226</v>
      </c>
      <c r="B25" s="20">
        <v>0.03</v>
      </c>
      <c r="C25" s="21">
        <v>2.4400000000000002E-2</v>
      </c>
      <c r="D25" s="21">
        <v>0</v>
      </c>
      <c r="E25" s="20">
        <v>0</v>
      </c>
      <c r="F25" s="20">
        <v>0</v>
      </c>
      <c r="G25" s="20">
        <v>0</v>
      </c>
      <c r="H25" s="20">
        <v>0</v>
      </c>
      <c r="I25" s="20">
        <f t="shared" si="1"/>
        <v>7.7714285714285724E-3</v>
      </c>
      <c r="J25" s="41">
        <f t="shared" si="2"/>
        <v>1.137852E-2</v>
      </c>
      <c r="K25" s="50"/>
      <c r="L25" s="50"/>
      <c r="M25" s="4">
        <v>37226</v>
      </c>
      <c r="N25" s="3"/>
      <c r="O25" s="3">
        <v>0.02</v>
      </c>
      <c r="P25" s="3"/>
      <c r="Q25" s="3">
        <v>0</v>
      </c>
      <c r="R25" s="3"/>
      <c r="S25" s="3">
        <v>0</v>
      </c>
      <c r="T25" s="3"/>
      <c r="U25" s="3">
        <f t="shared" si="0"/>
        <v>6.6666666666666671E-3</v>
      </c>
      <c r="V25" s="3">
        <f>SUM(N25*'Annual Avg.'!$M$9,O25*'Annual Avg.'!$N$9,P25*'Annual Avg.'!$O$9,Q25*'Annual Avg.'!$P$9,R25*'Annual Avg.'!$Q$9,S25*'Annual Avg.'!$R$9,T25*'Annual Avg.'!$S$9)</f>
        <v>0</v>
      </c>
    </row>
    <row r="26" spans="1:22">
      <c r="A26" s="4">
        <v>37257</v>
      </c>
      <c r="B26" s="20">
        <v>0.01</v>
      </c>
      <c r="C26" s="21">
        <v>6.1000000000000004E-3</v>
      </c>
      <c r="D26" s="21">
        <v>0</v>
      </c>
      <c r="E26" s="20">
        <v>0</v>
      </c>
      <c r="F26" s="20">
        <v>0</v>
      </c>
      <c r="G26" s="20">
        <v>0</v>
      </c>
      <c r="H26" s="20">
        <v>0</v>
      </c>
      <c r="I26" s="20">
        <f t="shared" si="1"/>
        <v>2.3E-3</v>
      </c>
      <c r="J26" s="41">
        <f t="shared" si="2"/>
        <v>3.5268799999999996E-3</v>
      </c>
      <c r="K26" s="50"/>
      <c r="L26" s="50"/>
      <c r="M26" s="4">
        <v>37257</v>
      </c>
      <c r="N26" s="3">
        <v>0</v>
      </c>
      <c r="O26" s="3">
        <v>0</v>
      </c>
      <c r="P26" s="7">
        <v>0</v>
      </c>
      <c r="Q26" s="3">
        <v>0</v>
      </c>
      <c r="R26" s="3"/>
      <c r="S26" s="3">
        <v>0</v>
      </c>
      <c r="T26" s="3"/>
      <c r="U26" s="3">
        <f t="shared" si="0"/>
        <v>0</v>
      </c>
      <c r="V26" s="3">
        <f>SUM(N26*'Annual Avg.'!$M$9,O26*'Annual Avg.'!$N$9,P26*'Annual Avg.'!$O$9,Q26*'Annual Avg.'!$P$9,R26*'Annual Avg.'!$Q$9,S26*'Annual Avg.'!$R$9,T26*'Annual Avg.'!$S$9)</f>
        <v>0</v>
      </c>
    </row>
    <row r="27" spans="1:22">
      <c r="A27" s="4">
        <v>37288</v>
      </c>
      <c r="B27" s="20">
        <v>0</v>
      </c>
      <c r="C27" s="21">
        <v>0</v>
      </c>
      <c r="D27" s="21">
        <v>0</v>
      </c>
      <c r="E27" s="20">
        <v>0</v>
      </c>
      <c r="F27" s="20">
        <v>0</v>
      </c>
      <c r="G27" s="20">
        <v>0</v>
      </c>
      <c r="H27" s="20">
        <v>0</v>
      </c>
      <c r="I27" s="20">
        <f t="shared" si="1"/>
        <v>0</v>
      </c>
      <c r="J27" s="41">
        <f t="shared" si="2"/>
        <v>0</v>
      </c>
      <c r="K27" s="50"/>
      <c r="L27" s="50"/>
      <c r="M27" s="4">
        <v>37288</v>
      </c>
      <c r="N27" s="3">
        <v>0</v>
      </c>
      <c r="O27" s="3">
        <v>0</v>
      </c>
      <c r="P27" s="7">
        <v>0</v>
      </c>
      <c r="Q27" s="3">
        <v>0</v>
      </c>
      <c r="R27" s="3"/>
      <c r="S27" s="3">
        <v>0</v>
      </c>
      <c r="T27" s="3"/>
      <c r="U27" s="3">
        <f t="shared" si="0"/>
        <v>0</v>
      </c>
      <c r="V27" s="3">
        <f>SUM(N27*'Annual Avg.'!$M$9,O27*'Annual Avg.'!$N$9,P27*'Annual Avg.'!$O$9,Q27*'Annual Avg.'!$P$9,R27*'Annual Avg.'!$Q$9,S27*'Annual Avg.'!$R$9,T27*'Annual Avg.'!$S$9)</f>
        <v>0</v>
      </c>
    </row>
    <row r="28" spans="1:22">
      <c r="A28" s="4">
        <v>37316</v>
      </c>
      <c r="B28" s="20">
        <v>0</v>
      </c>
      <c r="C28" s="21">
        <v>0</v>
      </c>
      <c r="D28" s="21">
        <v>0</v>
      </c>
      <c r="E28" s="20">
        <v>0</v>
      </c>
      <c r="F28" s="20">
        <v>0</v>
      </c>
      <c r="G28" s="20">
        <v>0</v>
      </c>
      <c r="H28" s="20">
        <v>0</v>
      </c>
      <c r="I28" s="20">
        <f t="shared" si="1"/>
        <v>0</v>
      </c>
      <c r="J28" s="41">
        <f t="shared" si="2"/>
        <v>0</v>
      </c>
      <c r="K28" s="50"/>
      <c r="L28" s="50"/>
      <c r="M28" s="4">
        <v>37316</v>
      </c>
      <c r="N28" s="3">
        <v>0</v>
      </c>
      <c r="O28" s="3">
        <v>0</v>
      </c>
      <c r="P28" s="7">
        <v>0</v>
      </c>
      <c r="Q28" s="3">
        <v>0</v>
      </c>
      <c r="R28" s="3"/>
      <c r="S28" s="3">
        <v>0</v>
      </c>
      <c r="T28" s="3"/>
      <c r="U28" s="3">
        <f t="shared" si="0"/>
        <v>0</v>
      </c>
      <c r="V28" s="3">
        <f>SUM(N28*'Annual Avg.'!$M$9,O28*'Annual Avg.'!$N$9,P28*'Annual Avg.'!$O$9,Q28*'Annual Avg.'!$P$9,R28*'Annual Avg.'!$Q$9,S28*'Annual Avg.'!$R$9,T28*'Annual Avg.'!$S$9)</f>
        <v>0</v>
      </c>
    </row>
    <row r="29" spans="1:22">
      <c r="A29" s="4">
        <v>37347</v>
      </c>
      <c r="B29" s="20">
        <v>0</v>
      </c>
      <c r="C29" s="21">
        <v>0</v>
      </c>
      <c r="D29" s="21">
        <v>0</v>
      </c>
      <c r="E29" s="20">
        <v>0</v>
      </c>
      <c r="F29" s="20">
        <v>0</v>
      </c>
      <c r="G29" s="20">
        <v>0</v>
      </c>
      <c r="H29" s="20">
        <v>0</v>
      </c>
      <c r="I29" s="20">
        <f t="shared" si="1"/>
        <v>0</v>
      </c>
      <c r="J29" s="41">
        <f t="shared" si="2"/>
        <v>0</v>
      </c>
      <c r="K29" s="50"/>
      <c r="L29" s="50"/>
      <c r="M29" s="4">
        <v>37347</v>
      </c>
      <c r="N29" s="3">
        <v>0</v>
      </c>
      <c r="O29" s="3">
        <v>0</v>
      </c>
      <c r="P29" s="7">
        <v>0</v>
      </c>
      <c r="Q29" s="3">
        <v>0</v>
      </c>
      <c r="R29" s="3"/>
      <c r="S29" s="3">
        <v>0</v>
      </c>
      <c r="T29" s="3"/>
      <c r="U29" s="3">
        <f t="shared" si="0"/>
        <v>0</v>
      </c>
      <c r="V29" s="3">
        <f>SUM(N29*'Annual Avg.'!$M$9,O29*'Annual Avg.'!$N$9,P29*'Annual Avg.'!$O$9,Q29*'Annual Avg.'!$P$9,R29*'Annual Avg.'!$Q$9,S29*'Annual Avg.'!$R$9,T29*'Annual Avg.'!$S$9)</f>
        <v>0</v>
      </c>
    </row>
    <row r="30" spans="1:22">
      <c r="A30" s="4">
        <v>37377</v>
      </c>
      <c r="B30" s="20">
        <v>0</v>
      </c>
      <c r="C30" s="21">
        <v>0</v>
      </c>
      <c r="D30" s="21">
        <v>0</v>
      </c>
      <c r="E30" s="20">
        <v>0</v>
      </c>
      <c r="F30" s="20">
        <v>0</v>
      </c>
      <c r="G30" s="20">
        <v>0</v>
      </c>
      <c r="H30" s="20">
        <v>0</v>
      </c>
      <c r="I30" s="20">
        <f t="shared" si="1"/>
        <v>0</v>
      </c>
      <c r="J30" s="41">
        <f t="shared" si="2"/>
        <v>0</v>
      </c>
      <c r="K30" s="50"/>
      <c r="L30" s="50"/>
      <c r="M30" s="4">
        <v>37377</v>
      </c>
      <c r="N30" s="3">
        <v>0</v>
      </c>
      <c r="O30" s="3">
        <v>0</v>
      </c>
      <c r="P30" s="7">
        <v>0</v>
      </c>
      <c r="Q30" s="3">
        <v>0</v>
      </c>
      <c r="R30" s="3"/>
      <c r="S30" s="3">
        <v>0</v>
      </c>
      <c r="T30" s="3"/>
      <c r="U30" s="3">
        <f t="shared" si="0"/>
        <v>0</v>
      </c>
      <c r="V30" s="3">
        <f>SUM(N30*'Annual Avg.'!$M$9,O30*'Annual Avg.'!$N$9,P30*'Annual Avg.'!$O$9,Q30*'Annual Avg.'!$P$9,R30*'Annual Avg.'!$Q$9,S30*'Annual Avg.'!$R$9,T30*'Annual Avg.'!$S$9)</f>
        <v>0</v>
      </c>
    </row>
    <row r="31" spans="1:22">
      <c r="A31" s="4">
        <v>37408</v>
      </c>
      <c r="B31" s="20">
        <v>0.02</v>
      </c>
      <c r="C31" s="21">
        <v>1.2200000000000001E-2</v>
      </c>
      <c r="D31" s="21">
        <v>0</v>
      </c>
      <c r="E31" s="20">
        <v>0</v>
      </c>
      <c r="F31" s="20">
        <v>0</v>
      </c>
      <c r="G31" s="20">
        <v>0</v>
      </c>
      <c r="H31" s="20">
        <v>0</v>
      </c>
      <c r="I31" s="20">
        <f t="shared" si="1"/>
        <v>4.5999999999999999E-3</v>
      </c>
      <c r="J31" s="41">
        <f t="shared" si="2"/>
        <v>7.0537599999999992E-3</v>
      </c>
      <c r="K31" s="50"/>
      <c r="L31" s="50"/>
      <c r="M31" s="4">
        <v>37408</v>
      </c>
      <c r="N31" s="3">
        <v>0.01</v>
      </c>
      <c r="O31" s="3">
        <v>0</v>
      </c>
      <c r="P31" s="7">
        <v>0</v>
      </c>
      <c r="Q31" s="3">
        <v>0</v>
      </c>
      <c r="R31" s="3"/>
      <c r="S31" s="3">
        <v>0</v>
      </c>
      <c r="T31" s="3"/>
      <c r="U31" s="3">
        <f t="shared" si="0"/>
        <v>2E-3</v>
      </c>
      <c r="V31" s="3">
        <f>SUM(N31*'Annual Avg.'!$M$9,O31*'Annual Avg.'!$N$9,P31*'Annual Avg.'!$O$9,Q31*'Annual Avg.'!$P$9,R31*'Annual Avg.'!$Q$9,S31*'Annual Avg.'!$R$9,T31*'Annual Avg.'!$S$9)</f>
        <v>0</v>
      </c>
    </row>
    <row r="32" spans="1:22">
      <c r="A32" s="4">
        <v>37438</v>
      </c>
      <c r="B32" s="20">
        <v>0.02</v>
      </c>
      <c r="C32" s="21">
        <v>1.2200000000000001E-2</v>
      </c>
      <c r="D32" s="21">
        <v>0</v>
      </c>
      <c r="E32" s="20">
        <v>0</v>
      </c>
      <c r="F32" s="20">
        <v>0</v>
      </c>
      <c r="G32" s="20">
        <v>0</v>
      </c>
      <c r="H32" s="20">
        <v>0</v>
      </c>
      <c r="I32" s="20">
        <f t="shared" si="1"/>
        <v>4.5999999999999999E-3</v>
      </c>
      <c r="J32" s="41">
        <f t="shared" si="2"/>
        <v>7.0537599999999992E-3</v>
      </c>
      <c r="K32" s="50"/>
      <c r="L32" s="50"/>
      <c r="M32" s="4">
        <v>37438</v>
      </c>
      <c r="N32" s="3">
        <v>0.01</v>
      </c>
      <c r="O32" s="3">
        <v>0.02</v>
      </c>
      <c r="P32" s="7">
        <v>0</v>
      </c>
      <c r="Q32" s="3">
        <v>0</v>
      </c>
      <c r="R32" s="3"/>
      <c r="S32" s="3">
        <v>0</v>
      </c>
      <c r="T32" s="3"/>
      <c r="U32" s="3">
        <f t="shared" si="0"/>
        <v>6.0000000000000001E-3</v>
      </c>
      <c r="V32" s="3">
        <f>SUM(N32*'Annual Avg.'!$M$9,O32*'Annual Avg.'!$N$9,P32*'Annual Avg.'!$O$9,Q32*'Annual Avg.'!$P$9,R32*'Annual Avg.'!$Q$9,S32*'Annual Avg.'!$R$9,T32*'Annual Avg.'!$S$9)</f>
        <v>0</v>
      </c>
    </row>
    <row r="33" spans="1:22">
      <c r="A33" s="4">
        <v>37469</v>
      </c>
      <c r="B33" s="20">
        <v>0.01</v>
      </c>
      <c r="C33" s="21">
        <v>1.2200000000000001E-2</v>
      </c>
      <c r="D33" s="21">
        <v>0</v>
      </c>
      <c r="E33" s="20">
        <v>0</v>
      </c>
      <c r="F33" s="20">
        <v>0</v>
      </c>
      <c r="G33" s="20">
        <v>0</v>
      </c>
      <c r="H33" s="20">
        <v>0</v>
      </c>
      <c r="I33" s="20">
        <f t="shared" si="1"/>
        <v>3.1714285714285716E-3</v>
      </c>
      <c r="J33" s="41">
        <f t="shared" si="2"/>
        <v>4.3247599999999995E-3</v>
      </c>
      <c r="K33" s="50"/>
      <c r="L33" s="50"/>
      <c r="M33" s="4">
        <v>37469</v>
      </c>
      <c r="N33" s="3">
        <v>0</v>
      </c>
      <c r="O33" s="3">
        <v>0.02</v>
      </c>
      <c r="P33" s="7">
        <v>0</v>
      </c>
      <c r="Q33" s="3">
        <v>0</v>
      </c>
      <c r="R33" s="3"/>
      <c r="S33" s="3">
        <v>0</v>
      </c>
      <c r="T33" s="3"/>
      <c r="U33" s="3">
        <f t="shared" si="0"/>
        <v>4.0000000000000001E-3</v>
      </c>
      <c r="V33" s="3">
        <f>SUM(N33*'Annual Avg.'!$M$9,O33*'Annual Avg.'!$N$9,P33*'Annual Avg.'!$O$9,Q33*'Annual Avg.'!$P$9,R33*'Annual Avg.'!$Q$9,S33*'Annual Avg.'!$R$9,T33*'Annual Avg.'!$S$9)</f>
        <v>0</v>
      </c>
    </row>
    <row r="34" spans="1:22">
      <c r="A34" s="4">
        <v>37500</v>
      </c>
      <c r="B34" s="20">
        <v>0.02</v>
      </c>
      <c r="C34" s="21">
        <v>1.2200000000000001E-2</v>
      </c>
      <c r="D34" s="21">
        <v>0</v>
      </c>
      <c r="E34" s="20">
        <v>0</v>
      </c>
      <c r="F34" s="20">
        <v>0</v>
      </c>
      <c r="G34" s="20">
        <v>0</v>
      </c>
      <c r="H34" s="20">
        <v>0</v>
      </c>
      <c r="I34" s="20">
        <f t="shared" si="1"/>
        <v>4.5999999999999999E-3</v>
      </c>
      <c r="J34" s="41">
        <f t="shared" si="2"/>
        <v>7.0537599999999992E-3</v>
      </c>
      <c r="K34" s="50"/>
      <c r="L34" s="50"/>
      <c r="M34" s="4">
        <v>37500</v>
      </c>
      <c r="N34" s="3">
        <v>0</v>
      </c>
      <c r="O34" s="3">
        <v>0.02</v>
      </c>
      <c r="P34" s="7">
        <v>0</v>
      </c>
      <c r="Q34" s="3">
        <v>0</v>
      </c>
      <c r="R34" s="3"/>
      <c r="S34" s="3">
        <v>0</v>
      </c>
      <c r="T34" s="3"/>
      <c r="U34" s="3">
        <f t="shared" si="0"/>
        <v>4.0000000000000001E-3</v>
      </c>
      <c r="V34" s="3">
        <f>SUM(N34*'Annual Avg.'!$M$9,O34*'Annual Avg.'!$N$9,P34*'Annual Avg.'!$O$9,Q34*'Annual Avg.'!$P$9,R34*'Annual Avg.'!$Q$9,S34*'Annual Avg.'!$R$9,T34*'Annual Avg.'!$S$9)</f>
        <v>0</v>
      </c>
    </row>
    <row r="35" spans="1:22">
      <c r="A35" s="4">
        <v>37530</v>
      </c>
      <c r="B35" s="20">
        <v>0.02</v>
      </c>
      <c r="C35" s="21">
        <v>1.83E-2</v>
      </c>
      <c r="D35" s="21">
        <v>0</v>
      </c>
      <c r="E35" s="20">
        <v>0</v>
      </c>
      <c r="F35" s="20">
        <v>0</v>
      </c>
      <c r="G35" s="20">
        <v>0</v>
      </c>
      <c r="H35" s="20">
        <v>0</v>
      </c>
      <c r="I35" s="20">
        <f t="shared" si="1"/>
        <v>5.4714285714285715E-3</v>
      </c>
      <c r="J35" s="41">
        <f t="shared" si="2"/>
        <v>7.85164E-3</v>
      </c>
      <c r="K35" s="50"/>
      <c r="L35" s="50"/>
      <c r="M35" s="4">
        <v>37530</v>
      </c>
      <c r="N35" s="3">
        <v>0.01</v>
      </c>
      <c r="O35" s="3">
        <v>0.04</v>
      </c>
      <c r="P35" s="7">
        <v>0</v>
      </c>
      <c r="Q35" s="3">
        <v>0.02</v>
      </c>
      <c r="R35" s="3"/>
      <c r="S35" s="3">
        <v>0.02</v>
      </c>
      <c r="T35" s="3"/>
      <c r="U35" s="3">
        <f t="shared" si="0"/>
        <v>1.8000000000000002E-2</v>
      </c>
      <c r="V35" s="3">
        <f>SUM(N35*'Annual Avg.'!$M$9,O35*'Annual Avg.'!$N$9,P35*'Annual Avg.'!$O$9,Q35*'Annual Avg.'!$P$9,R35*'Annual Avg.'!$Q$9,S35*'Annual Avg.'!$R$9,T35*'Annual Avg.'!$S$9)</f>
        <v>0</v>
      </c>
    </row>
    <row r="36" spans="1:22">
      <c r="A36" s="4">
        <v>37561</v>
      </c>
      <c r="B36" s="20">
        <v>0.05</v>
      </c>
      <c r="C36" s="21">
        <v>3.6600000000000001E-2</v>
      </c>
      <c r="D36" s="21">
        <v>0</v>
      </c>
      <c r="E36" s="20">
        <v>0</v>
      </c>
      <c r="F36" s="20">
        <v>0</v>
      </c>
      <c r="G36" s="20">
        <v>0</v>
      </c>
      <c r="H36" s="20">
        <v>0</v>
      </c>
      <c r="I36" s="20">
        <f t="shared" si="1"/>
        <v>1.2371428571428573E-2</v>
      </c>
      <c r="J36" s="41">
        <f t="shared" si="2"/>
        <v>1.8432279999999999E-2</v>
      </c>
      <c r="K36" s="50"/>
      <c r="L36" s="50"/>
      <c r="M36" s="4">
        <v>37561</v>
      </c>
      <c r="N36" s="3">
        <v>0.02</v>
      </c>
      <c r="O36" s="3">
        <v>0.04</v>
      </c>
      <c r="P36" s="7">
        <v>0</v>
      </c>
      <c r="Q36" s="3">
        <v>0.02</v>
      </c>
      <c r="R36" s="3"/>
      <c r="S36" s="3">
        <v>0.02</v>
      </c>
      <c r="T36" s="3"/>
      <c r="U36" s="3">
        <f t="shared" si="0"/>
        <v>0.02</v>
      </c>
      <c r="V36" s="3">
        <f>SUM(N36*'Annual Avg.'!$M$9,O36*'Annual Avg.'!$N$9,P36*'Annual Avg.'!$O$9,Q36*'Annual Avg.'!$P$9,R36*'Annual Avg.'!$Q$9,S36*'Annual Avg.'!$R$9,T36*'Annual Avg.'!$S$9)</f>
        <v>0</v>
      </c>
    </row>
    <row r="37" spans="1:22">
      <c r="A37" s="4">
        <v>37591</v>
      </c>
      <c r="B37" s="20">
        <v>0.06</v>
      </c>
      <c r="C37" s="21">
        <v>4.8800000000000003E-2</v>
      </c>
      <c r="D37" s="21">
        <v>0</v>
      </c>
      <c r="E37" s="20">
        <v>0</v>
      </c>
      <c r="F37" s="20">
        <v>0</v>
      </c>
      <c r="G37" s="20">
        <v>0</v>
      </c>
      <c r="H37" s="20">
        <v>0</v>
      </c>
      <c r="I37" s="20">
        <f t="shared" si="1"/>
        <v>1.5542857142857145E-2</v>
      </c>
      <c r="J37" s="41">
        <f t="shared" si="2"/>
        <v>2.2757039999999999E-2</v>
      </c>
      <c r="K37" s="50"/>
      <c r="L37" s="50"/>
      <c r="M37" s="4">
        <v>37591</v>
      </c>
      <c r="N37" s="3">
        <v>2.5000000000000001E-2</v>
      </c>
      <c r="O37" s="3">
        <v>0.04</v>
      </c>
      <c r="P37" s="7">
        <v>0</v>
      </c>
      <c r="Q37" s="3">
        <v>0</v>
      </c>
      <c r="R37" s="3"/>
      <c r="S37" s="3">
        <v>0</v>
      </c>
      <c r="T37" s="3"/>
      <c r="U37" s="3">
        <f t="shared" si="0"/>
        <v>1.3000000000000001E-2</v>
      </c>
      <c r="V37" s="3">
        <f>SUM(N37*'Annual Avg.'!$M$9,O37*'Annual Avg.'!$N$9,P37*'Annual Avg.'!$O$9,Q37*'Annual Avg.'!$P$9,R37*'Annual Avg.'!$Q$9,S37*'Annual Avg.'!$R$9,T37*'Annual Avg.'!$S$9)</f>
        <v>0</v>
      </c>
    </row>
    <row r="38" spans="1:22">
      <c r="A38" s="4">
        <v>37622</v>
      </c>
      <c r="B38" s="20">
        <v>0.05</v>
      </c>
      <c r="C38" s="21">
        <v>3.6600000000000001E-2</v>
      </c>
      <c r="D38" s="21">
        <v>0</v>
      </c>
      <c r="E38" s="20">
        <v>0</v>
      </c>
      <c r="F38" s="20">
        <v>0</v>
      </c>
      <c r="G38" s="20">
        <v>0</v>
      </c>
      <c r="H38" s="20">
        <v>0</v>
      </c>
      <c r="I38" s="20">
        <f t="shared" si="1"/>
        <v>1.2371428571428573E-2</v>
      </c>
      <c r="J38" s="41">
        <f t="shared" si="2"/>
        <v>1.8432279999999999E-2</v>
      </c>
      <c r="K38" s="50"/>
      <c r="L38" s="50"/>
      <c r="M38" s="4">
        <v>37622</v>
      </c>
      <c r="N38" s="3">
        <v>0.02</v>
      </c>
      <c r="O38" s="3">
        <v>0.04</v>
      </c>
      <c r="P38" s="7">
        <v>0</v>
      </c>
      <c r="Q38" s="3">
        <v>0</v>
      </c>
      <c r="R38" s="3"/>
      <c r="S38" s="3">
        <v>0</v>
      </c>
      <c r="T38" s="3"/>
      <c r="U38" s="3">
        <f t="shared" si="0"/>
        <v>1.2E-2</v>
      </c>
      <c r="V38" s="3">
        <f>SUM(N38*'Annual Avg.'!$M$9,O38*'Annual Avg.'!$N$9,P38*'Annual Avg.'!$O$9,Q38*'Annual Avg.'!$P$9,R38*'Annual Avg.'!$Q$9,S38*'Annual Avg.'!$R$9,T38*'Annual Avg.'!$S$9)</f>
        <v>0</v>
      </c>
    </row>
    <row r="39" spans="1:22">
      <c r="A39" s="4">
        <v>37653</v>
      </c>
      <c r="B39" s="20">
        <v>0.05</v>
      </c>
      <c r="C39" s="21">
        <v>3.6600000000000001E-2</v>
      </c>
      <c r="D39" s="21">
        <v>0</v>
      </c>
      <c r="E39" s="20">
        <v>0</v>
      </c>
      <c r="F39" s="20">
        <v>0</v>
      </c>
      <c r="G39" s="20">
        <v>0</v>
      </c>
      <c r="H39" s="20">
        <v>0</v>
      </c>
      <c r="I39" s="20">
        <f t="shared" si="1"/>
        <v>1.2371428571428573E-2</v>
      </c>
      <c r="J39" s="41">
        <f t="shared" si="2"/>
        <v>1.8432279999999999E-2</v>
      </c>
      <c r="K39" s="50"/>
      <c r="L39" s="50"/>
      <c r="M39" s="4">
        <v>37653</v>
      </c>
      <c r="N39" s="3">
        <v>0.02</v>
      </c>
      <c r="O39" s="3">
        <v>0.04</v>
      </c>
      <c r="P39" s="7">
        <v>0</v>
      </c>
      <c r="Q39" s="3">
        <v>0.02</v>
      </c>
      <c r="R39" s="3"/>
      <c r="S39" s="3">
        <v>0.02</v>
      </c>
      <c r="T39" s="3">
        <v>0.02</v>
      </c>
      <c r="U39" s="3">
        <f t="shared" si="0"/>
        <v>0.02</v>
      </c>
      <c r="V39" s="3">
        <f>SUM(N39*'Annual Avg.'!$M$9,O39*'Annual Avg.'!$N$9,P39*'Annual Avg.'!$O$9,Q39*'Annual Avg.'!$P$9,R39*'Annual Avg.'!$Q$9,S39*'Annual Avg.'!$R$9,T39*'Annual Avg.'!$S$9)</f>
        <v>0</v>
      </c>
    </row>
    <row r="40" spans="1:22">
      <c r="A40" s="4">
        <v>37681</v>
      </c>
      <c r="B40" s="20">
        <v>0.06</v>
      </c>
      <c r="C40" s="21">
        <v>4.8800000000000003E-2</v>
      </c>
      <c r="D40" s="21">
        <v>0</v>
      </c>
      <c r="E40" s="20">
        <v>0</v>
      </c>
      <c r="F40" s="20">
        <v>0</v>
      </c>
      <c r="G40" s="20">
        <v>0</v>
      </c>
      <c r="H40" s="20">
        <v>0</v>
      </c>
      <c r="I40" s="20">
        <f t="shared" si="1"/>
        <v>1.5542857142857145E-2</v>
      </c>
      <c r="J40" s="41">
        <f t="shared" si="2"/>
        <v>2.2757039999999999E-2</v>
      </c>
      <c r="K40" s="50"/>
      <c r="L40" s="50"/>
      <c r="M40" s="4">
        <v>37681</v>
      </c>
      <c r="N40" s="3">
        <v>2.5000000000000001E-2</v>
      </c>
      <c r="O40" s="3">
        <v>0.04</v>
      </c>
      <c r="P40" s="7">
        <v>0</v>
      </c>
      <c r="Q40" s="3">
        <v>0.02</v>
      </c>
      <c r="R40" s="3"/>
      <c r="S40" s="3">
        <v>0.02</v>
      </c>
      <c r="T40" s="3">
        <v>0.02</v>
      </c>
      <c r="U40" s="3">
        <f t="shared" si="0"/>
        <v>2.0833333333333332E-2</v>
      </c>
      <c r="V40" s="3">
        <f>SUM(N40*'Annual Avg.'!$M$9,O40*'Annual Avg.'!$N$9,P40*'Annual Avg.'!$O$9,Q40*'Annual Avg.'!$P$9,R40*'Annual Avg.'!$Q$9,S40*'Annual Avg.'!$R$9,T40*'Annual Avg.'!$S$9)</f>
        <v>0</v>
      </c>
    </row>
    <row r="41" spans="1:22">
      <c r="A41" s="4">
        <v>37712</v>
      </c>
      <c r="B41" s="20">
        <v>0.11</v>
      </c>
      <c r="C41" s="21">
        <v>8.5400000000000004E-2</v>
      </c>
      <c r="D41" s="21">
        <v>0</v>
      </c>
      <c r="E41" s="20">
        <v>0</v>
      </c>
      <c r="F41" s="20">
        <v>0</v>
      </c>
      <c r="G41" s="20">
        <v>0</v>
      </c>
      <c r="H41" s="20">
        <v>0</v>
      </c>
      <c r="I41" s="20">
        <f t="shared" si="1"/>
        <v>2.7914285714285718E-2</v>
      </c>
      <c r="J41" s="41">
        <f t="shared" si="2"/>
        <v>4.1189320000000001E-2</v>
      </c>
      <c r="K41" s="50"/>
      <c r="L41" s="50"/>
      <c r="M41" s="4">
        <v>37712</v>
      </c>
      <c r="N41" s="3">
        <v>4.4999999999999998E-2</v>
      </c>
      <c r="O41" s="3">
        <v>0.06</v>
      </c>
      <c r="P41" s="7">
        <v>0</v>
      </c>
      <c r="Q41" s="3">
        <v>0.02</v>
      </c>
      <c r="R41" s="3">
        <v>0</v>
      </c>
      <c r="S41" s="3">
        <v>0.02</v>
      </c>
      <c r="T41" s="3">
        <v>0.02</v>
      </c>
      <c r="U41" s="3">
        <f t="shared" si="0"/>
        <v>2.357142857142857E-2</v>
      </c>
      <c r="V41" s="3">
        <f>SUM(N41*'Annual Avg.'!$M$9,O41*'Annual Avg.'!$N$9,P41*'Annual Avg.'!$O$9,Q41*'Annual Avg.'!$P$9,R41*'Annual Avg.'!$Q$9,S41*'Annual Avg.'!$R$9,T41*'Annual Avg.'!$S$9)</f>
        <v>0</v>
      </c>
    </row>
    <row r="42" spans="1:22">
      <c r="A42" s="4">
        <v>37742</v>
      </c>
      <c r="B42" s="20">
        <v>0.12</v>
      </c>
      <c r="C42" s="21">
        <v>9.7600000000000006E-2</v>
      </c>
      <c r="D42" s="21">
        <v>0</v>
      </c>
      <c r="E42" s="20">
        <v>0</v>
      </c>
      <c r="F42" s="20">
        <v>0</v>
      </c>
      <c r="G42" s="20">
        <v>0</v>
      </c>
      <c r="H42" s="20">
        <v>0</v>
      </c>
      <c r="I42" s="20">
        <f t="shared" si="1"/>
        <v>3.1085714285714289E-2</v>
      </c>
      <c r="J42" s="41">
        <f t="shared" si="2"/>
        <v>4.5514079999999998E-2</v>
      </c>
      <c r="K42" s="50"/>
      <c r="L42" s="50"/>
      <c r="M42" s="4">
        <v>37742</v>
      </c>
      <c r="N42" s="3">
        <v>0.02</v>
      </c>
      <c r="O42" s="3">
        <v>0.06</v>
      </c>
      <c r="P42" s="7">
        <v>0</v>
      </c>
      <c r="Q42" s="3">
        <v>0.02</v>
      </c>
      <c r="R42" s="3">
        <v>0</v>
      </c>
      <c r="S42" s="3">
        <v>0.02</v>
      </c>
      <c r="T42" s="3">
        <v>0.02</v>
      </c>
      <c r="U42" s="3">
        <f t="shared" si="0"/>
        <v>0.02</v>
      </c>
      <c r="V42" s="3">
        <f>SUM(N42*'Annual Avg.'!$M$9,O42*'Annual Avg.'!$N$9,P42*'Annual Avg.'!$O$9,Q42*'Annual Avg.'!$P$9,R42*'Annual Avg.'!$Q$9,S42*'Annual Avg.'!$R$9,T42*'Annual Avg.'!$S$9)</f>
        <v>0</v>
      </c>
    </row>
    <row r="43" spans="1:22">
      <c r="A43" s="4">
        <v>37773</v>
      </c>
      <c r="B43" s="20">
        <v>0.08</v>
      </c>
      <c r="C43" s="21">
        <v>6.0999999999999999E-2</v>
      </c>
      <c r="D43" s="21">
        <v>0</v>
      </c>
      <c r="E43" s="20">
        <v>0</v>
      </c>
      <c r="F43" s="20">
        <v>0</v>
      </c>
      <c r="G43" s="20">
        <v>0</v>
      </c>
      <c r="H43" s="20">
        <v>0</v>
      </c>
      <c r="I43" s="20">
        <f t="shared" si="1"/>
        <v>2.0142857142857146E-2</v>
      </c>
      <c r="J43" s="41">
        <f t="shared" si="2"/>
        <v>2.9810799999999998E-2</v>
      </c>
      <c r="K43" s="50"/>
      <c r="L43" s="50"/>
      <c r="M43" s="4">
        <v>37773</v>
      </c>
      <c r="N43" s="3">
        <v>0.03</v>
      </c>
      <c r="O43" s="3">
        <v>0.06</v>
      </c>
      <c r="P43" s="7">
        <v>0</v>
      </c>
      <c r="Q43" s="3">
        <v>2.4E-2</v>
      </c>
      <c r="R43" s="3">
        <v>0.02</v>
      </c>
      <c r="S43" s="3">
        <v>0.02</v>
      </c>
      <c r="T43" s="3">
        <v>0.02</v>
      </c>
      <c r="U43" s="3">
        <f t="shared" si="0"/>
        <v>2.4857142857142852E-2</v>
      </c>
      <c r="V43" s="3">
        <f>SUM(N43*'Annual Avg.'!$M$9,O43*'Annual Avg.'!$N$9,P43*'Annual Avg.'!$O$9,Q43*'Annual Avg.'!$P$9,R43*'Annual Avg.'!$Q$9,S43*'Annual Avg.'!$R$9,T43*'Annual Avg.'!$S$9)</f>
        <v>0</v>
      </c>
    </row>
    <row r="44" spans="1:22">
      <c r="A44" s="4">
        <v>37803</v>
      </c>
      <c r="B44" s="20">
        <v>0.06</v>
      </c>
      <c r="C44" s="21">
        <v>4.2700000000000002E-2</v>
      </c>
      <c r="D44" s="21">
        <v>0</v>
      </c>
      <c r="E44" s="20">
        <v>0</v>
      </c>
      <c r="F44" s="20">
        <v>0</v>
      </c>
      <c r="G44" s="20">
        <v>0</v>
      </c>
      <c r="H44" s="20">
        <v>0</v>
      </c>
      <c r="I44" s="20">
        <f t="shared" si="1"/>
        <v>1.4671428571428571E-2</v>
      </c>
      <c r="J44" s="41">
        <f t="shared" si="2"/>
        <v>2.1959159999999998E-2</v>
      </c>
      <c r="K44" s="50"/>
      <c r="L44" s="50"/>
      <c r="M44" s="4">
        <v>37803</v>
      </c>
      <c r="N44" s="3">
        <v>2.5000000000000001E-2</v>
      </c>
      <c r="O44" s="3">
        <v>0.04</v>
      </c>
      <c r="P44" s="7">
        <v>0</v>
      </c>
      <c r="Q44" s="3">
        <v>2.4E-2</v>
      </c>
      <c r="R44" s="3">
        <v>0.02</v>
      </c>
      <c r="S44" s="3">
        <v>0.02</v>
      </c>
      <c r="T44" s="3">
        <v>2.5000000000000001E-2</v>
      </c>
      <c r="U44" s="3">
        <f t="shared" si="0"/>
        <v>2.1999999999999999E-2</v>
      </c>
      <c r="V44" s="3">
        <f>SUM(N44*'Annual Avg.'!$M$9,O44*'Annual Avg.'!$N$9,P44*'Annual Avg.'!$O$9,Q44*'Annual Avg.'!$P$9,R44*'Annual Avg.'!$Q$9,S44*'Annual Avg.'!$R$9,T44*'Annual Avg.'!$S$9)</f>
        <v>0</v>
      </c>
    </row>
    <row r="45" spans="1:22">
      <c r="A45" s="4">
        <v>37834</v>
      </c>
      <c r="B45" s="20">
        <v>0.05</v>
      </c>
      <c r="C45" s="21">
        <v>3.6600000000000001E-2</v>
      </c>
      <c r="D45" s="21">
        <v>0</v>
      </c>
      <c r="E45" s="20">
        <v>0</v>
      </c>
      <c r="F45" s="20">
        <v>0</v>
      </c>
      <c r="G45" s="20">
        <v>0</v>
      </c>
      <c r="H45" s="20">
        <v>0</v>
      </c>
      <c r="I45" s="20">
        <f t="shared" si="1"/>
        <v>1.2371428571428573E-2</v>
      </c>
      <c r="J45" s="41">
        <f t="shared" si="2"/>
        <v>1.8432279999999999E-2</v>
      </c>
      <c r="K45" s="50"/>
      <c r="L45" s="50"/>
      <c r="M45" s="4">
        <v>37834</v>
      </c>
      <c r="N45" s="3">
        <v>0.02</v>
      </c>
      <c r="O45" s="3">
        <v>0.04</v>
      </c>
      <c r="P45" s="7">
        <v>0</v>
      </c>
      <c r="Q45" s="3">
        <v>3.2000000000000001E-2</v>
      </c>
      <c r="R45" s="3">
        <v>0.02</v>
      </c>
      <c r="S45" s="3">
        <v>0.02</v>
      </c>
      <c r="T45" s="3">
        <v>0.02</v>
      </c>
      <c r="U45" s="3">
        <f t="shared" si="0"/>
        <v>2.1714285714285714E-2</v>
      </c>
      <c r="V45" s="3">
        <f>SUM(N45*'Annual Avg.'!$M$9,O45*'Annual Avg.'!$N$9,P45*'Annual Avg.'!$O$9,Q45*'Annual Avg.'!$P$9,R45*'Annual Avg.'!$Q$9,S45*'Annual Avg.'!$R$9,T45*'Annual Avg.'!$S$9)</f>
        <v>0</v>
      </c>
    </row>
    <row r="46" spans="1:22">
      <c r="A46" s="4">
        <v>37865</v>
      </c>
      <c r="B46" s="20">
        <v>0.05</v>
      </c>
      <c r="C46" s="21">
        <v>4.2700000000000002E-2</v>
      </c>
      <c r="D46" s="21">
        <v>0</v>
      </c>
      <c r="E46" s="20">
        <v>0</v>
      </c>
      <c r="F46" s="20">
        <v>0</v>
      </c>
      <c r="G46" s="20">
        <v>0</v>
      </c>
      <c r="H46" s="20">
        <v>0</v>
      </c>
      <c r="I46" s="20">
        <f t="shared" ref="I46:I77" si="3">AVERAGE(B46,C46,D46,E46,F46,G46,H46)</f>
        <v>1.3242857142857143E-2</v>
      </c>
      <c r="J46" s="41">
        <f t="shared" si="2"/>
        <v>1.923016E-2</v>
      </c>
      <c r="K46" s="50"/>
      <c r="L46" s="50"/>
      <c r="M46" s="4">
        <v>37865</v>
      </c>
      <c r="N46" s="3">
        <v>0.02</v>
      </c>
      <c r="O46" s="3">
        <v>0.04</v>
      </c>
      <c r="P46" s="7">
        <v>0</v>
      </c>
      <c r="Q46" s="3">
        <v>3.2000000000000001E-2</v>
      </c>
      <c r="R46" s="3">
        <v>0.02</v>
      </c>
      <c r="S46" s="3">
        <v>0.02</v>
      </c>
      <c r="T46" s="3">
        <v>0.02</v>
      </c>
      <c r="U46" s="3">
        <f t="shared" si="0"/>
        <v>2.1714285714285714E-2</v>
      </c>
      <c r="V46" s="3">
        <f>SUM(N46*'Annual Avg.'!$M$9,O46*'Annual Avg.'!$N$9,P46*'Annual Avg.'!$O$9,Q46*'Annual Avg.'!$P$9,R46*'Annual Avg.'!$Q$9,S46*'Annual Avg.'!$R$9,T46*'Annual Avg.'!$S$9)</f>
        <v>0</v>
      </c>
    </row>
    <row r="47" spans="1:22">
      <c r="A47" s="4">
        <v>37895</v>
      </c>
      <c r="B47" s="20">
        <v>0.06</v>
      </c>
      <c r="C47" s="21">
        <v>4.8800000000000003E-2</v>
      </c>
      <c r="D47" s="21">
        <v>0</v>
      </c>
      <c r="E47" s="20">
        <v>0</v>
      </c>
      <c r="F47" s="20">
        <v>0</v>
      </c>
      <c r="G47" s="20">
        <v>0</v>
      </c>
      <c r="H47" s="20">
        <v>0</v>
      </c>
      <c r="I47" s="20">
        <f t="shared" si="3"/>
        <v>1.5542857142857145E-2</v>
      </c>
      <c r="J47" s="41">
        <f t="shared" si="2"/>
        <v>2.2757039999999999E-2</v>
      </c>
      <c r="K47" s="50">
        <f t="shared" ref="K47:K78" si="4">AVERAGE(J35,J23,J11)</f>
        <v>1.137852E-2</v>
      </c>
      <c r="L47" s="50"/>
      <c r="M47" s="4">
        <v>37895</v>
      </c>
      <c r="N47" s="3">
        <v>2.5000000000000001E-2</v>
      </c>
      <c r="O47" s="3">
        <v>0.04</v>
      </c>
      <c r="P47" s="7">
        <v>0</v>
      </c>
      <c r="Q47" s="3">
        <v>3.5999999999999997E-2</v>
      </c>
      <c r="R47" s="3">
        <v>0.02</v>
      </c>
      <c r="S47" s="3">
        <v>0.02</v>
      </c>
      <c r="T47" s="3">
        <v>2.5000000000000001E-2</v>
      </c>
      <c r="U47" s="3">
        <f t="shared" si="0"/>
        <v>2.3714285714285716E-2</v>
      </c>
      <c r="V47" s="3">
        <f>SUM(N47*'Annual Avg.'!$M$9,O47*'Annual Avg.'!$N$9,P47*'Annual Avg.'!$O$9,Q47*'Annual Avg.'!$P$9,R47*'Annual Avg.'!$Q$9,S47*'Annual Avg.'!$R$9,T47*'Annual Avg.'!$S$9)</f>
        <v>0</v>
      </c>
    </row>
    <row r="48" spans="1:22">
      <c r="A48" s="4">
        <v>37926</v>
      </c>
      <c r="B48" s="20">
        <v>0.06</v>
      </c>
      <c r="C48" s="21">
        <v>4.8800000000000003E-2</v>
      </c>
      <c r="D48" s="21">
        <v>0</v>
      </c>
      <c r="E48" s="20">
        <v>0</v>
      </c>
      <c r="F48" s="20">
        <v>0</v>
      </c>
      <c r="G48" s="20">
        <v>0</v>
      </c>
      <c r="H48" s="20">
        <v>0</v>
      </c>
      <c r="I48" s="20">
        <f t="shared" si="3"/>
        <v>1.5542857142857145E-2</v>
      </c>
      <c r="J48" s="41">
        <f t="shared" si="2"/>
        <v>2.2757039999999999E-2</v>
      </c>
      <c r="K48" s="50">
        <f t="shared" si="4"/>
        <v>2.2358099999999999E-2</v>
      </c>
      <c r="L48" s="50"/>
      <c r="M48" s="4">
        <v>37926</v>
      </c>
      <c r="N48" s="3">
        <v>2.5000000000000001E-2</v>
      </c>
      <c r="O48" s="3">
        <v>0.04</v>
      </c>
      <c r="P48" s="7">
        <v>0</v>
      </c>
      <c r="Q48" s="3">
        <v>2.4E-2</v>
      </c>
      <c r="R48" s="3">
        <v>0.02</v>
      </c>
      <c r="S48" s="3">
        <v>0.02</v>
      </c>
      <c r="T48" s="3">
        <v>2.5000000000000001E-2</v>
      </c>
      <c r="U48" s="3">
        <f t="shared" si="0"/>
        <v>2.1999999999999999E-2</v>
      </c>
      <c r="V48" s="3">
        <f>SUM(N48*'Annual Avg.'!$M$9,O48*'Annual Avg.'!$N$9,P48*'Annual Avg.'!$O$9,Q48*'Annual Avg.'!$P$9,R48*'Annual Avg.'!$Q$9,S48*'Annual Avg.'!$R$9,T48*'Annual Avg.'!$S$9)</f>
        <v>0</v>
      </c>
    </row>
    <row r="49" spans="1:25">
      <c r="A49" s="4">
        <v>37956</v>
      </c>
      <c r="B49" s="20">
        <v>0.06</v>
      </c>
      <c r="C49" s="21">
        <v>4.8800000000000003E-2</v>
      </c>
      <c r="D49" s="21">
        <v>0</v>
      </c>
      <c r="E49" s="20">
        <v>0</v>
      </c>
      <c r="F49" s="20">
        <v>0</v>
      </c>
      <c r="G49" s="20">
        <v>0</v>
      </c>
      <c r="H49" s="20">
        <v>0</v>
      </c>
      <c r="I49" s="20">
        <f t="shared" si="3"/>
        <v>1.5542857142857145E-2</v>
      </c>
      <c r="J49" s="41">
        <f t="shared" si="2"/>
        <v>2.2757039999999999E-2</v>
      </c>
      <c r="K49" s="50">
        <f t="shared" si="4"/>
        <v>1.7067779999999998E-2</v>
      </c>
      <c r="L49" s="50"/>
      <c r="M49" s="4">
        <v>37956</v>
      </c>
      <c r="N49" s="3">
        <v>2.5000000000000001E-2</v>
      </c>
      <c r="O49" s="3">
        <v>0.04</v>
      </c>
      <c r="P49" s="7">
        <v>0</v>
      </c>
      <c r="Q49" s="3">
        <v>3.2000000000000001E-2</v>
      </c>
      <c r="R49" s="3">
        <v>0.02</v>
      </c>
      <c r="S49" s="3">
        <v>0.02</v>
      </c>
      <c r="T49" s="3">
        <v>2.5000000000000001E-2</v>
      </c>
      <c r="U49" s="3">
        <f t="shared" si="0"/>
        <v>2.3142857142857142E-2</v>
      </c>
      <c r="V49" s="3">
        <f>SUM(N49*'Annual Avg.'!$M$9,O49*'Annual Avg.'!$N$9,P49*'Annual Avg.'!$O$9,Q49*'Annual Avg.'!$P$9,R49*'Annual Avg.'!$Q$9,S49*'Annual Avg.'!$R$9,T49*'Annual Avg.'!$S$9)</f>
        <v>0</v>
      </c>
    </row>
    <row r="50" spans="1:25">
      <c r="A50" s="4">
        <v>37987</v>
      </c>
      <c r="B50" s="20">
        <v>0.06</v>
      </c>
      <c r="C50" s="21">
        <v>4.8800000000000003E-2</v>
      </c>
      <c r="D50" s="21">
        <v>0</v>
      </c>
      <c r="E50" s="20">
        <v>0</v>
      </c>
      <c r="F50" s="20">
        <v>0</v>
      </c>
      <c r="G50" s="20">
        <v>0</v>
      </c>
      <c r="H50" s="20">
        <v>0</v>
      </c>
      <c r="I50" s="20">
        <f t="shared" si="3"/>
        <v>1.5542857142857145E-2</v>
      </c>
      <c r="J50" s="41">
        <f t="shared" ref="J50:J61" si="5">SUM(B50*$B$187,C50*$C$187,D50*$D$187,E50*$E$187,F50*$F$187,G50*$G$187,H50*$H$187)</f>
        <v>2.3244639999999997E-2</v>
      </c>
      <c r="K50" s="50">
        <f t="shared" si="4"/>
        <v>1.0979579999999999E-2</v>
      </c>
      <c r="L50" s="50"/>
      <c r="M50" s="4">
        <v>37987</v>
      </c>
      <c r="N50" s="7">
        <v>2.5000000000000001E-2</v>
      </c>
      <c r="O50" s="7">
        <v>0.04</v>
      </c>
      <c r="P50" s="7">
        <v>0</v>
      </c>
      <c r="Q50" s="7">
        <v>3.5999999999999997E-2</v>
      </c>
      <c r="R50" s="7">
        <v>0.02</v>
      </c>
      <c r="S50" s="7">
        <v>0.02</v>
      </c>
      <c r="T50" s="7">
        <v>2.5000000000000001E-2</v>
      </c>
      <c r="U50" s="3">
        <f t="shared" si="0"/>
        <v>2.3714285714285716E-2</v>
      </c>
      <c r="V50" s="3">
        <f>SUM(N50*'Annual Avg.'!$M$10,O50*'Annual Avg.'!$N$10,P50*'Annual Avg.'!$O$10,Q50*'Annual Avg.'!$P$10,R50*'Annual Avg.'!$Q$10,S50*'Annual Avg.'!$R$10,T50*'Annual Avg.'!$S$10)</f>
        <v>0</v>
      </c>
    </row>
    <row r="51" spans="1:25">
      <c r="A51" s="4">
        <v>38018</v>
      </c>
      <c r="B51" s="20">
        <v>7.0000000000000007E-2</v>
      </c>
      <c r="C51" s="21">
        <v>5.4899999999999997E-2</v>
      </c>
      <c r="D51" s="21">
        <v>0</v>
      </c>
      <c r="E51" s="20">
        <v>0</v>
      </c>
      <c r="F51" s="20">
        <v>0</v>
      </c>
      <c r="G51" s="20">
        <v>0</v>
      </c>
      <c r="H51" s="20">
        <v>0</v>
      </c>
      <c r="I51" s="20">
        <f t="shared" si="3"/>
        <v>1.7842857142857143E-2</v>
      </c>
      <c r="J51" s="41">
        <f t="shared" si="5"/>
        <v>2.684872E-2</v>
      </c>
      <c r="K51" s="50">
        <f t="shared" si="4"/>
        <v>9.2161399999999994E-3</v>
      </c>
      <c r="L51" s="50"/>
      <c r="M51" s="4">
        <v>38018</v>
      </c>
      <c r="N51" s="7">
        <v>2.5000000000000001E-2</v>
      </c>
      <c r="O51" s="7">
        <v>0.04</v>
      </c>
      <c r="P51" s="7">
        <v>0</v>
      </c>
      <c r="Q51" s="7">
        <v>0.04</v>
      </c>
      <c r="R51" s="7">
        <v>0.02</v>
      </c>
      <c r="S51" s="7">
        <v>0.02</v>
      </c>
      <c r="T51" s="7">
        <v>2.5000000000000001E-2</v>
      </c>
      <c r="U51" s="3">
        <f t="shared" si="0"/>
        <v>2.4285714285714282E-2</v>
      </c>
      <c r="V51" s="3">
        <f>SUM(N51*'Annual Avg.'!$M$10,O51*'Annual Avg.'!$N$10,P51*'Annual Avg.'!$O$10,Q51*'Annual Avg.'!$P$10,R51*'Annual Avg.'!$Q$10,S51*'Annual Avg.'!$R$10,T51*'Annual Avg.'!$S$10)</f>
        <v>0</v>
      </c>
    </row>
    <row r="52" spans="1:25">
      <c r="A52" s="4">
        <v>38047</v>
      </c>
      <c r="B52" s="20">
        <v>0.08</v>
      </c>
      <c r="C52" s="21">
        <v>6.7100000000000007E-2</v>
      </c>
      <c r="D52" s="21">
        <v>0</v>
      </c>
      <c r="E52" s="20">
        <v>0</v>
      </c>
      <c r="F52" s="20">
        <v>0</v>
      </c>
      <c r="G52" s="20">
        <v>0</v>
      </c>
      <c r="H52" s="20">
        <v>0</v>
      </c>
      <c r="I52" s="20">
        <f t="shared" si="3"/>
        <v>2.1014285714285715E-2</v>
      </c>
      <c r="J52" s="41">
        <f t="shared" si="5"/>
        <v>3.126288E-2</v>
      </c>
      <c r="K52" s="50">
        <f t="shared" si="4"/>
        <v>1.137852E-2</v>
      </c>
      <c r="L52" s="50"/>
      <c r="M52" s="4">
        <v>38047</v>
      </c>
      <c r="N52" s="7">
        <v>3.5000000000000003E-2</v>
      </c>
      <c r="O52" s="7">
        <v>0.04</v>
      </c>
      <c r="P52" s="7">
        <v>0</v>
      </c>
      <c r="Q52" s="7">
        <v>4.8000000000000001E-2</v>
      </c>
      <c r="R52" s="7">
        <v>0.02</v>
      </c>
      <c r="S52" s="7">
        <v>4.8000000000000001E-2</v>
      </c>
      <c r="T52" s="7">
        <v>3.5000000000000003E-2</v>
      </c>
      <c r="U52" s="3">
        <f t="shared" si="0"/>
        <v>3.2285714285714286E-2</v>
      </c>
      <c r="V52" s="3">
        <f>SUM(N52*'Annual Avg.'!$M$10,O52*'Annual Avg.'!$N$10,P52*'Annual Avg.'!$O$10,Q52*'Annual Avg.'!$P$10,R52*'Annual Avg.'!$Q$10,S52*'Annual Avg.'!$R$10,T52*'Annual Avg.'!$S$10)</f>
        <v>0</v>
      </c>
    </row>
    <row r="53" spans="1:25">
      <c r="A53" s="4">
        <v>38078</v>
      </c>
      <c r="B53" s="20">
        <v>0.09</v>
      </c>
      <c r="C53" s="21">
        <v>7.3200000000000001E-2</v>
      </c>
      <c r="D53" s="21">
        <v>0</v>
      </c>
      <c r="E53" s="20">
        <v>0</v>
      </c>
      <c r="F53" s="20">
        <v>0</v>
      </c>
      <c r="G53" s="20">
        <v>0</v>
      </c>
      <c r="H53" s="20">
        <v>0</v>
      </c>
      <c r="I53" s="20">
        <f t="shared" si="3"/>
        <v>2.3314285714285714E-2</v>
      </c>
      <c r="J53" s="41">
        <f t="shared" si="5"/>
        <v>3.4866960000000002E-2</v>
      </c>
      <c r="K53" s="50">
        <f t="shared" si="4"/>
        <v>2.0594660000000001E-2</v>
      </c>
      <c r="L53" s="50"/>
      <c r="M53" s="4">
        <v>38078</v>
      </c>
      <c r="N53" s="7">
        <v>3.5000000000000003E-2</v>
      </c>
      <c r="O53" s="7">
        <v>0.06</v>
      </c>
      <c r="P53" s="7">
        <v>0</v>
      </c>
      <c r="Q53" s="7">
        <v>4.8000000000000001E-2</v>
      </c>
      <c r="R53" s="7">
        <v>0.04</v>
      </c>
      <c r="S53" s="7">
        <v>4.8000000000000001E-2</v>
      </c>
      <c r="T53" s="7">
        <v>3.5000000000000003E-2</v>
      </c>
      <c r="U53" s="3">
        <f t="shared" si="0"/>
        <v>3.7999999999999999E-2</v>
      </c>
      <c r="V53" s="3">
        <f>SUM(N53*'Annual Avg.'!$M$10,O53*'Annual Avg.'!$N$10,P53*'Annual Avg.'!$O$10,Q53*'Annual Avg.'!$P$10,R53*'Annual Avg.'!$Q$10,S53*'Annual Avg.'!$R$10,T53*'Annual Avg.'!$S$10)</f>
        <v>0</v>
      </c>
    </row>
    <row r="54" spans="1:25">
      <c r="A54" s="4">
        <v>38108</v>
      </c>
      <c r="B54" s="20">
        <v>0.1</v>
      </c>
      <c r="C54" s="21">
        <v>7.9299999999999995E-2</v>
      </c>
      <c r="D54" s="21">
        <v>0</v>
      </c>
      <c r="E54" s="20">
        <v>0</v>
      </c>
      <c r="F54" s="20">
        <v>0</v>
      </c>
      <c r="G54" s="20">
        <v>0</v>
      </c>
      <c r="H54" s="20">
        <v>0</v>
      </c>
      <c r="I54" s="20">
        <f t="shared" si="3"/>
        <v>2.5614285714285718E-2</v>
      </c>
      <c r="J54" s="41">
        <f t="shared" si="5"/>
        <v>3.8471039999999998E-2</v>
      </c>
      <c r="K54" s="50">
        <f t="shared" si="4"/>
        <v>2.2757039999999999E-2</v>
      </c>
      <c r="L54" s="50"/>
      <c r="M54" s="4">
        <v>38108</v>
      </c>
      <c r="N54" s="7">
        <v>0.04</v>
      </c>
      <c r="O54" s="7">
        <v>0.06</v>
      </c>
      <c r="P54" s="7">
        <v>0</v>
      </c>
      <c r="Q54" s="7">
        <v>5.6000000000000001E-2</v>
      </c>
      <c r="R54" s="7">
        <v>0.04</v>
      </c>
      <c r="S54" s="7">
        <v>5.6000000000000001E-2</v>
      </c>
      <c r="T54" s="7">
        <v>0.04</v>
      </c>
      <c r="U54" s="3">
        <f t="shared" si="0"/>
        <v>4.1714285714285711E-2</v>
      </c>
      <c r="V54" s="3">
        <f>SUM(N54*'Annual Avg.'!$M$10,O54*'Annual Avg.'!$N$10,P54*'Annual Avg.'!$O$10,Q54*'Annual Avg.'!$P$10,R54*'Annual Avg.'!$Q$10,S54*'Annual Avg.'!$R$10,T54*'Annual Avg.'!$S$10)</f>
        <v>0</v>
      </c>
    </row>
    <row r="55" spans="1:25">
      <c r="A55" s="4">
        <v>38139</v>
      </c>
      <c r="B55" s="20">
        <v>0.12</v>
      </c>
      <c r="C55" s="21">
        <v>9.1499999999999998E-2</v>
      </c>
      <c r="D55" s="21">
        <v>0</v>
      </c>
      <c r="E55" s="20">
        <v>0</v>
      </c>
      <c r="F55" s="20">
        <v>0</v>
      </c>
      <c r="G55" s="20">
        <v>0</v>
      </c>
      <c r="H55" s="20">
        <v>0</v>
      </c>
      <c r="I55" s="20">
        <f t="shared" si="3"/>
        <v>3.0214285714285714E-2</v>
      </c>
      <c r="J55" s="41">
        <f t="shared" si="5"/>
        <v>4.5679199999999996E-2</v>
      </c>
      <c r="K55" s="50">
        <f t="shared" si="4"/>
        <v>1.8432279999999999E-2</v>
      </c>
      <c r="L55" s="50"/>
      <c r="M55" s="4">
        <v>38139</v>
      </c>
      <c r="N55" s="7">
        <v>4.4999999999999998E-2</v>
      </c>
      <c r="O55" s="7">
        <v>0.06</v>
      </c>
      <c r="P55" s="7">
        <v>0.01</v>
      </c>
      <c r="Q55" s="7">
        <v>5.6000000000000001E-2</v>
      </c>
      <c r="R55" s="7">
        <v>0.04</v>
      </c>
      <c r="S55" s="7">
        <v>5.6000000000000001E-2</v>
      </c>
      <c r="T55" s="7">
        <v>4.4999999999999998E-2</v>
      </c>
      <c r="U55" s="3">
        <f t="shared" si="0"/>
        <v>4.4571428571428574E-2</v>
      </c>
      <c r="V55" s="3">
        <f>SUM(N55*'Annual Avg.'!$M$10,O55*'Annual Avg.'!$N$10,P55*'Annual Avg.'!$O$10,Q55*'Annual Avg.'!$P$10,R55*'Annual Avg.'!$Q$10,S55*'Annual Avg.'!$R$10,T55*'Annual Avg.'!$S$10)</f>
        <v>0</v>
      </c>
    </row>
    <row r="56" spans="1:25">
      <c r="A56" s="4">
        <v>38169</v>
      </c>
      <c r="B56" s="20">
        <v>0.13</v>
      </c>
      <c r="C56" s="21">
        <v>0.1037</v>
      </c>
      <c r="D56" s="21">
        <v>0</v>
      </c>
      <c r="E56" s="20">
        <v>0</v>
      </c>
      <c r="F56" s="20">
        <v>0</v>
      </c>
      <c r="G56" s="20">
        <v>0</v>
      </c>
      <c r="H56" s="20">
        <v>0</v>
      </c>
      <c r="I56" s="20">
        <f t="shared" si="3"/>
        <v>3.3385714285714289E-2</v>
      </c>
      <c r="J56" s="41">
        <f t="shared" si="5"/>
        <v>5.0093360000000003E-2</v>
      </c>
      <c r="K56" s="50">
        <f t="shared" si="4"/>
        <v>1.4506459999999999E-2</v>
      </c>
      <c r="L56" s="50"/>
      <c r="M56" s="4">
        <v>38169</v>
      </c>
      <c r="N56" s="7">
        <v>0.05</v>
      </c>
      <c r="O56" s="7">
        <v>0.08</v>
      </c>
      <c r="P56" s="7">
        <v>1.4999999999999999E-2</v>
      </c>
      <c r="Q56" s="7">
        <v>7.1999999999999995E-2</v>
      </c>
      <c r="R56" s="7">
        <v>0.04</v>
      </c>
      <c r="S56" s="7">
        <v>7.1999999999999995E-2</v>
      </c>
      <c r="T56" s="7">
        <v>0.05</v>
      </c>
      <c r="U56" s="3">
        <f t="shared" si="0"/>
        <v>5.4142857142857145E-2</v>
      </c>
      <c r="V56" s="3">
        <f>SUM(N56*'Annual Avg.'!$M$10,O56*'Annual Avg.'!$N$10,P56*'Annual Avg.'!$O$10,Q56*'Annual Avg.'!$P$10,R56*'Annual Avg.'!$Q$10,S56*'Annual Avg.'!$R$10,T56*'Annual Avg.'!$S$10)</f>
        <v>0</v>
      </c>
    </row>
    <row r="57" spans="1:25">
      <c r="A57" s="4">
        <v>38200</v>
      </c>
      <c r="B57" s="20">
        <v>0.12</v>
      </c>
      <c r="C57" s="21">
        <v>9.7600000000000006E-2</v>
      </c>
      <c r="D57" s="21">
        <v>0</v>
      </c>
      <c r="E57" s="20">
        <v>0</v>
      </c>
      <c r="F57" s="20">
        <v>0</v>
      </c>
      <c r="G57" s="20">
        <v>0</v>
      </c>
      <c r="H57" s="20">
        <v>0</v>
      </c>
      <c r="I57" s="20">
        <f t="shared" si="3"/>
        <v>3.1085714285714289E-2</v>
      </c>
      <c r="J57" s="41">
        <f t="shared" si="5"/>
        <v>4.6489279999999994E-2</v>
      </c>
      <c r="K57" s="50">
        <f t="shared" si="4"/>
        <v>1.137852E-2</v>
      </c>
      <c r="L57" s="50"/>
      <c r="M57" s="4">
        <v>38200</v>
      </c>
      <c r="N57" s="7">
        <v>0.05</v>
      </c>
      <c r="O57" s="7">
        <v>0.08</v>
      </c>
      <c r="P57" s="7">
        <v>1.4999999999999999E-2</v>
      </c>
      <c r="Q57" s="7">
        <v>6.4000000000000001E-2</v>
      </c>
      <c r="R57" s="7">
        <v>0.06</v>
      </c>
      <c r="S57" s="7">
        <v>6.4000000000000001E-2</v>
      </c>
      <c r="T57" s="7">
        <v>0.05</v>
      </c>
      <c r="U57" s="3">
        <f t="shared" si="0"/>
        <v>5.4714285714285715E-2</v>
      </c>
      <c r="V57" s="3">
        <f>SUM(N57*'Annual Avg.'!$M$10,O57*'Annual Avg.'!$N$10,P57*'Annual Avg.'!$O$10,Q57*'Annual Avg.'!$P$10,R57*'Annual Avg.'!$Q$10,S57*'Annual Avg.'!$R$10,T57*'Annual Avg.'!$S$10)</f>
        <v>0</v>
      </c>
    </row>
    <row r="58" spans="1:25">
      <c r="A58" s="4">
        <v>38231</v>
      </c>
      <c r="B58" s="20">
        <v>0.13</v>
      </c>
      <c r="C58" s="21">
        <v>0.1037</v>
      </c>
      <c r="D58" s="21">
        <v>0</v>
      </c>
      <c r="E58" s="20">
        <v>0</v>
      </c>
      <c r="F58" s="20">
        <v>0</v>
      </c>
      <c r="G58" s="20">
        <v>0</v>
      </c>
      <c r="H58" s="20">
        <v>0</v>
      </c>
      <c r="I58" s="20">
        <f t="shared" si="3"/>
        <v>3.3385714285714289E-2</v>
      </c>
      <c r="J58" s="41">
        <f t="shared" si="5"/>
        <v>5.0093360000000003E-2</v>
      </c>
      <c r="K58" s="50">
        <f t="shared" si="4"/>
        <v>1.3141959999999999E-2</v>
      </c>
      <c r="L58" s="50"/>
      <c r="M58" s="4">
        <v>38231</v>
      </c>
      <c r="N58" s="7">
        <v>0.05</v>
      </c>
      <c r="O58" s="7">
        <v>0.08</v>
      </c>
      <c r="P58" s="7">
        <v>1.4999999999999999E-2</v>
      </c>
      <c r="Q58" s="7">
        <v>7.1999999999999995E-2</v>
      </c>
      <c r="R58" s="7">
        <v>0.06</v>
      </c>
      <c r="S58" s="7">
        <v>7.1999999999999995E-2</v>
      </c>
      <c r="T58" s="7">
        <v>0.05</v>
      </c>
      <c r="U58" s="3">
        <f t="shared" si="0"/>
        <v>5.7000000000000002E-2</v>
      </c>
      <c r="V58" s="3">
        <f>SUM(N58*'Annual Avg.'!$M$10,O58*'Annual Avg.'!$N$10,P58*'Annual Avg.'!$O$10,Q58*'Annual Avg.'!$P$10,R58*'Annual Avg.'!$Q$10,S58*'Annual Avg.'!$R$10,T58*'Annual Avg.'!$S$10)</f>
        <v>0</v>
      </c>
    </row>
    <row r="59" spans="1:25">
      <c r="A59" s="4">
        <v>38261</v>
      </c>
      <c r="B59" s="20">
        <v>0.15</v>
      </c>
      <c r="C59" s="21">
        <v>0.122</v>
      </c>
      <c r="D59" s="21">
        <v>0</v>
      </c>
      <c r="E59" s="20">
        <v>0</v>
      </c>
      <c r="F59" s="20">
        <v>0</v>
      </c>
      <c r="G59" s="20">
        <v>0</v>
      </c>
      <c r="H59" s="20">
        <v>0</v>
      </c>
      <c r="I59" s="20">
        <f t="shared" si="3"/>
        <v>3.8857142857142861E-2</v>
      </c>
      <c r="J59" s="41">
        <f t="shared" si="5"/>
        <v>5.8111599999999999E-2</v>
      </c>
      <c r="K59" s="50">
        <f t="shared" si="4"/>
        <v>1.517136E-2</v>
      </c>
      <c r="L59" s="50"/>
      <c r="M59" s="4">
        <v>38261</v>
      </c>
      <c r="N59" s="7">
        <v>0.06</v>
      </c>
      <c r="O59" s="7">
        <v>0.1</v>
      </c>
      <c r="P59" s="7">
        <v>2.5000000000000001E-2</v>
      </c>
      <c r="Q59" s="7">
        <v>8.7999999999999995E-2</v>
      </c>
      <c r="R59" s="7">
        <v>0.06</v>
      </c>
      <c r="S59" s="7">
        <v>8.7999999999999995E-2</v>
      </c>
      <c r="T59" s="7">
        <v>0.06</v>
      </c>
      <c r="U59" s="3">
        <f t="shared" si="0"/>
        <v>6.8714285714285714E-2</v>
      </c>
      <c r="V59" s="3">
        <f>SUM(N59*'Annual Avg.'!$M$10,O59*'Annual Avg.'!$N$10,P59*'Annual Avg.'!$O$10,Q59*'Annual Avg.'!$P$10,R59*'Annual Avg.'!$Q$10,S59*'Annual Avg.'!$R$10,T59*'Annual Avg.'!$S$10)</f>
        <v>0</v>
      </c>
    </row>
    <row r="60" spans="1:25">
      <c r="A60" s="4">
        <v>38292</v>
      </c>
      <c r="B60" s="20">
        <v>0.17</v>
      </c>
      <c r="C60" s="21">
        <v>0.14030000000000001</v>
      </c>
      <c r="D60" s="21">
        <v>0</v>
      </c>
      <c r="E60" s="20">
        <v>0</v>
      </c>
      <c r="F60" s="20">
        <v>0</v>
      </c>
      <c r="G60" s="20">
        <v>0</v>
      </c>
      <c r="H60" s="20">
        <v>0</v>
      </c>
      <c r="I60" s="20">
        <f t="shared" si="3"/>
        <v>4.4328571428571432E-2</v>
      </c>
      <c r="J60" s="41">
        <f t="shared" si="5"/>
        <v>6.6129839999999995E-2</v>
      </c>
      <c r="K60" s="50">
        <f t="shared" si="4"/>
        <v>2.249108E-2</v>
      </c>
      <c r="L60" s="50"/>
      <c r="M60" s="4">
        <v>38292</v>
      </c>
      <c r="N60" s="7">
        <v>7.0000000000000007E-2</v>
      </c>
      <c r="O60" s="7">
        <v>0.1</v>
      </c>
      <c r="P60" s="7">
        <v>3.5000000000000003E-2</v>
      </c>
      <c r="Q60" s="8">
        <v>9.1999999999999998E-2</v>
      </c>
      <c r="R60" s="7">
        <v>0.1</v>
      </c>
      <c r="S60" s="8">
        <v>9.1999999999999998E-2</v>
      </c>
      <c r="T60" s="7">
        <v>7.0000000000000007E-2</v>
      </c>
      <c r="U60" s="3">
        <f t="shared" si="0"/>
        <v>7.9857142857142849E-2</v>
      </c>
      <c r="V60" s="3">
        <f>SUM(N60*'Annual Avg.'!$M$10,O60*'Annual Avg.'!$N$10,P60*'Annual Avg.'!$O$10,Q60*'Annual Avg.'!$P$10,R60*'Annual Avg.'!$Q$10,S60*'Annual Avg.'!$R$10,T60*'Annual Avg.'!$S$10)</f>
        <v>0</v>
      </c>
      <c r="X60" s="73"/>
      <c r="Y60" s="73"/>
    </row>
    <row r="61" spans="1:25">
      <c r="A61" s="4">
        <v>38322</v>
      </c>
      <c r="B61" s="20">
        <v>0.23</v>
      </c>
      <c r="C61" s="21">
        <v>0.183</v>
      </c>
      <c r="D61" s="21">
        <v>0</v>
      </c>
      <c r="E61" s="20">
        <v>0.04</v>
      </c>
      <c r="F61" s="20">
        <v>0</v>
      </c>
      <c r="G61" s="20">
        <v>0</v>
      </c>
      <c r="H61" s="20">
        <v>0</v>
      </c>
      <c r="I61" s="20">
        <f t="shared" si="3"/>
        <v>6.471428571428571E-2</v>
      </c>
      <c r="J61" s="41">
        <f t="shared" si="5"/>
        <v>9.2492400000000002E-2</v>
      </c>
      <c r="K61" s="50">
        <f t="shared" si="4"/>
        <v>1.8964200000000001E-2</v>
      </c>
      <c r="L61" s="50"/>
      <c r="M61" s="4">
        <v>38322</v>
      </c>
      <c r="N61" s="7">
        <v>0.09</v>
      </c>
      <c r="O61" s="7">
        <v>0.1</v>
      </c>
      <c r="P61" s="7">
        <v>5.5E-2</v>
      </c>
      <c r="Q61" s="8">
        <v>0.124</v>
      </c>
      <c r="R61" s="7">
        <v>0.1</v>
      </c>
      <c r="S61" s="8">
        <v>0.124</v>
      </c>
      <c r="T61" s="7">
        <v>0.09</v>
      </c>
      <c r="U61" s="3">
        <f t="shared" si="0"/>
        <v>9.7571428571428559E-2</v>
      </c>
      <c r="V61" s="3">
        <f>SUM(N61*$B$187,O61*$C$187,P61*$D$187,Q61*$E$187,R61*$F$187,S61*$G$187,T61*$H$187)</f>
        <v>9.40859E-2</v>
      </c>
      <c r="X61" s="3">
        <v>0.06</v>
      </c>
      <c r="Y61" s="73"/>
    </row>
    <row r="62" spans="1:25">
      <c r="A62" s="4">
        <v>38357</v>
      </c>
      <c r="B62" s="20">
        <v>0.23</v>
      </c>
      <c r="C62" s="21">
        <v>0.183</v>
      </c>
      <c r="D62" s="21">
        <v>0</v>
      </c>
      <c r="E62" s="20">
        <v>0.04</v>
      </c>
      <c r="F62" s="20">
        <v>0</v>
      </c>
      <c r="G62" s="20">
        <v>0</v>
      </c>
      <c r="H62" s="20">
        <v>0</v>
      </c>
      <c r="I62" s="20">
        <f t="shared" si="3"/>
        <v>6.471428571428571E-2</v>
      </c>
      <c r="J62" s="41">
        <f t="shared" ref="J62:J73" si="6">SUM(B62*$B$188,C62*$C$188,D62*$D$188,E62*$E$188,F62*$F$188,G62*$G$188,H62*$H$188)</f>
        <v>9.8289299999999996E-2</v>
      </c>
      <c r="K62" s="50">
        <f t="shared" si="4"/>
        <v>1.506793333333333E-2</v>
      </c>
      <c r="L62" s="50"/>
      <c r="M62" s="4">
        <v>38357</v>
      </c>
      <c r="N62" s="7">
        <v>0.09</v>
      </c>
      <c r="O62" s="7">
        <v>0.1</v>
      </c>
      <c r="P62" s="7">
        <v>5.5E-2</v>
      </c>
      <c r="Q62" s="8">
        <v>0.104</v>
      </c>
      <c r="R62" s="7">
        <v>0.1</v>
      </c>
      <c r="S62" s="8">
        <v>0.104</v>
      </c>
      <c r="T62" s="7">
        <v>0.09</v>
      </c>
      <c r="U62" s="3">
        <f t="shared" si="0"/>
        <v>9.1857142857142846E-2</v>
      </c>
      <c r="V62" s="3">
        <f t="shared" ref="V62:V73" si="7">SUM(N62*$B$188,O62*$C$188,P62*$D$188,Q62*$E$188,R62*$F$188,S62*$G$188,T62*$H$188)</f>
        <v>8.9789299999999989E-2</v>
      </c>
      <c r="X62" s="3">
        <v>0.06</v>
      </c>
      <c r="Y62" s="3"/>
    </row>
    <row r="63" spans="1:25">
      <c r="A63" s="4">
        <v>38388</v>
      </c>
      <c r="B63" s="20">
        <v>0.19</v>
      </c>
      <c r="C63" s="21">
        <v>0.15859999999999999</v>
      </c>
      <c r="D63" s="21">
        <v>0</v>
      </c>
      <c r="E63" s="20">
        <v>0.01</v>
      </c>
      <c r="F63" s="20">
        <v>0</v>
      </c>
      <c r="G63" s="20">
        <v>0</v>
      </c>
      <c r="H63" s="20">
        <v>0</v>
      </c>
      <c r="I63" s="20">
        <f t="shared" si="3"/>
        <v>5.1228571428571436E-2</v>
      </c>
      <c r="J63" s="41">
        <f t="shared" si="6"/>
        <v>8.0234459999999994E-2</v>
      </c>
      <c r="K63" s="50">
        <f t="shared" si="4"/>
        <v>1.5093666666666667E-2</v>
      </c>
      <c r="L63" s="50"/>
      <c r="M63" s="4">
        <v>38388</v>
      </c>
      <c r="N63" s="7">
        <v>0.08</v>
      </c>
      <c r="O63" s="7">
        <v>0.1</v>
      </c>
      <c r="P63" s="7">
        <v>4.4999999999999998E-2</v>
      </c>
      <c r="Q63" s="8">
        <v>8.4000000000000005E-2</v>
      </c>
      <c r="R63" s="7">
        <v>0.1</v>
      </c>
      <c r="S63" s="7">
        <v>8.4000000000000005E-2</v>
      </c>
      <c r="T63" s="7">
        <v>0.08</v>
      </c>
      <c r="U63" s="3">
        <f t="shared" si="0"/>
        <v>8.1857142857142864E-2</v>
      </c>
      <c r="V63" s="3">
        <f t="shared" si="7"/>
        <v>7.9494300000000004E-2</v>
      </c>
      <c r="X63" s="3">
        <v>0.06</v>
      </c>
      <c r="Y63" s="3"/>
    </row>
    <row r="64" spans="1:25">
      <c r="A64" s="4">
        <v>38416</v>
      </c>
      <c r="B64" s="20">
        <v>0.18</v>
      </c>
      <c r="C64" s="21">
        <v>0.1464</v>
      </c>
      <c r="D64" s="21">
        <v>0</v>
      </c>
      <c r="E64" s="20">
        <v>0</v>
      </c>
      <c r="F64" s="20">
        <v>0</v>
      </c>
      <c r="G64" s="20">
        <v>0</v>
      </c>
      <c r="H64" s="20">
        <v>0</v>
      </c>
      <c r="I64" s="20">
        <f t="shared" si="3"/>
        <v>4.6628571428571429E-2</v>
      </c>
      <c r="J64" s="41">
        <f t="shared" si="6"/>
        <v>7.4573040000000007E-2</v>
      </c>
      <c r="K64" s="50">
        <f t="shared" si="4"/>
        <v>1.8006640000000001E-2</v>
      </c>
      <c r="L64" s="50"/>
      <c r="M64" s="4">
        <v>38416</v>
      </c>
      <c r="N64" s="7">
        <v>7.4999999999999997E-2</v>
      </c>
      <c r="O64" s="7">
        <v>0.1</v>
      </c>
      <c r="P64" s="7">
        <v>0.04</v>
      </c>
      <c r="Q64" s="8">
        <v>9.6000000000000002E-2</v>
      </c>
      <c r="R64" s="7">
        <v>0.1</v>
      </c>
      <c r="S64" s="7">
        <v>9.6000000000000002E-2</v>
      </c>
      <c r="T64" s="7">
        <v>7.4999999999999997E-2</v>
      </c>
      <c r="U64" s="3">
        <f t="shared" si="0"/>
        <v>8.3142857142857143E-2</v>
      </c>
      <c r="V64" s="3">
        <f t="shared" si="7"/>
        <v>7.8707200000000005E-2</v>
      </c>
      <c r="X64" s="3">
        <v>0.05</v>
      </c>
      <c r="Y64" s="3"/>
    </row>
    <row r="65" spans="1:25">
      <c r="A65" s="4">
        <v>38447</v>
      </c>
      <c r="B65" s="20">
        <v>0.2</v>
      </c>
      <c r="C65" s="21">
        <v>0.15859999999999999</v>
      </c>
      <c r="D65" s="21">
        <v>0</v>
      </c>
      <c r="E65" s="20">
        <v>0.01</v>
      </c>
      <c r="F65" s="20">
        <v>0</v>
      </c>
      <c r="G65" s="20">
        <v>0</v>
      </c>
      <c r="H65" s="20">
        <v>0</v>
      </c>
      <c r="I65" s="20">
        <f t="shared" si="3"/>
        <v>5.2657142857142861E-2</v>
      </c>
      <c r="J65" s="41">
        <f t="shared" si="6"/>
        <v>8.3148459999999993E-2</v>
      </c>
      <c r="K65" s="50">
        <f t="shared" si="4"/>
        <v>2.5352093333333336E-2</v>
      </c>
      <c r="L65" s="50"/>
      <c r="M65" s="4">
        <v>38447</v>
      </c>
      <c r="N65" s="7">
        <v>0.08</v>
      </c>
      <c r="O65" s="7">
        <v>8.1000000000000003E-2</v>
      </c>
      <c r="P65" s="7">
        <v>4.4999999999999998E-2</v>
      </c>
      <c r="Q65" s="8">
        <v>0.1</v>
      </c>
      <c r="R65" s="7">
        <v>0.1</v>
      </c>
      <c r="S65" s="7">
        <v>0.1</v>
      </c>
      <c r="T65" s="7">
        <v>0.08</v>
      </c>
      <c r="U65" s="3">
        <f t="shared" si="0"/>
        <v>8.3714285714285713E-2</v>
      </c>
      <c r="V65" s="3">
        <f t="shared" si="7"/>
        <v>7.9794600000000007E-2</v>
      </c>
      <c r="X65" s="3">
        <v>0.05</v>
      </c>
      <c r="Y65" s="3"/>
    </row>
    <row r="66" spans="1:25">
      <c r="A66" s="4">
        <v>38477</v>
      </c>
      <c r="B66" s="20">
        <v>0.25</v>
      </c>
      <c r="C66" s="21">
        <v>0.20130000000000001</v>
      </c>
      <c r="D66" s="21">
        <v>0</v>
      </c>
      <c r="E66" s="20">
        <v>0.06</v>
      </c>
      <c r="F66" s="20">
        <v>0</v>
      </c>
      <c r="G66" s="20">
        <v>0</v>
      </c>
      <c r="H66" s="20">
        <v>0</v>
      </c>
      <c r="I66" s="20">
        <f t="shared" si="3"/>
        <v>7.3042857142857159E-2</v>
      </c>
      <c r="J66" s="41">
        <f t="shared" si="6"/>
        <v>0.10869043</v>
      </c>
      <c r="K66" s="50">
        <f t="shared" si="4"/>
        <v>2.7995039999999999E-2</v>
      </c>
      <c r="L66" s="50"/>
      <c r="M66" s="4">
        <v>38477</v>
      </c>
      <c r="N66" s="7">
        <v>0.1</v>
      </c>
      <c r="O66" s="7">
        <v>0.10199999999999999</v>
      </c>
      <c r="P66" s="7">
        <v>6.5000000000000002E-2</v>
      </c>
      <c r="Q66" s="8">
        <v>0.128</v>
      </c>
      <c r="R66" s="7">
        <v>0.128</v>
      </c>
      <c r="S66" s="7">
        <v>0.128</v>
      </c>
      <c r="T66" s="7">
        <v>0.1</v>
      </c>
      <c r="U66" s="3">
        <f t="shared" si="0"/>
        <v>0.10728571428571429</v>
      </c>
      <c r="V66" s="3">
        <f t="shared" si="7"/>
        <v>0.10167210000000002</v>
      </c>
      <c r="X66" s="3">
        <v>0.06</v>
      </c>
      <c r="Y66" s="3"/>
    </row>
    <row r="67" spans="1:25">
      <c r="A67" s="4">
        <v>38508</v>
      </c>
      <c r="B67" s="20">
        <v>0.27</v>
      </c>
      <c r="C67" s="21">
        <v>0.2135</v>
      </c>
      <c r="D67" s="21">
        <v>0.01</v>
      </c>
      <c r="E67" s="20">
        <v>0.08</v>
      </c>
      <c r="F67" s="20">
        <v>0</v>
      </c>
      <c r="G67" s="20">
        <v>0</v>
      </c>
      <c r="H67" s="20">
        <v>0</v>
      </c>
      <c r="I67" s="20">
        <f t="shared" si="3"/>
        <v>8.1928571428571434E-2</v>
      </c>
      <c r="J67" s="41">
        <f t="shared" si="6"/>
        <v>0.11950485000000001</v>
      </c>
      <c r="K67" s="50">
        <f t="shared" si="4"/>
        <v>2.7514586666666663E-2</v>
      </c>
      <c r="L67" s="50"/>
      <c r="M67" s="4">
        <v>38508</v>
      </c>
      <c r="N67" s="7">
        <v>0.105</v>
      </c>
      <c r="O67" s="7">
        <v>9.9000000000000005E-2</v>
      </c>
      <c r="P67" s="7">
        <v>7.0000000000000007E-2</v>
      </c>
      <c r="Q67" s="8">
        <v>0.124</v>
      </c>
      <c r="R67" s="7">
        <v>0.124</v>
      </c>
      <c r="S67" s="7">
        <v>0.124</v>
      </c>
      <c r="T67" s="7">
        <v>0.105</v>
      </c>
      <c r="U67" s="3">
        <f t="shared" si="0"/>
        <v>0.10728571428571429</v>
      </c>
      <c r="V67" s="3">
        <f t="shared" si="7"/>
        <v>0.1035211</v>
      </c>
      <c r="X67" s="3">
        <v>0.06</v>
      </c>
      <c r="Y67" s="3"/>
    </row>
    <row r="68" spans="1:25">
      <c r="A68" s="4">
        <v>38538</v>
      </c>
      <c r="B68" s="20">
        <v>0.24</v>
      </c>
      <c r="C68" s="21">
        <v>0.19520000000000001</v>
      </c>
      <c r="D68" s="21">
        <v>0</v>
      </c>
      <c r="E68" s="20">
        <v>0.05</v>
      </c>
      <c r="F68" s="20">
        <v>0</v>
      </c>
      <c r="G68" s="20">
        <v>0</v>
      </c>
      <c r="H68" s="20">
        <v>0</v>
      </c>
      <c r="I68" s="20">
        <f t="shared" si="3"/>
        <v>6.9314285714285717E-2</v>
      </c>
      <c r="J68" s="41">
        <f t="shared" si="6"/>
        <v>0.10395072</v>
      </c>
      <c r="K68" s="50">
        <f t="shared" si="4"/>
        <v>2.6368760000000002E-2</v>
      </c>
      <c r="L68" s="50"/>
      <c r="M68" s="4">
        <v>38538</v>
      </c>
      <c r="N68" s="7">
        <v>9.5000000000000001E-2</v>
      </c>
      <c r="O68" s="7">
        <v>8.6999999999999994E-2</v>
      </c>
      <c r="P68" s="7">
        <v>0.06</v>
      </c>
      <c r="Q68" s="8">
        <v>0.108</v>
      </c>
      <c r="R68" s="7">
        <v>0.108</v>
      </c>
      <c r="S68" s="7">
        <v>0.108</v>
      </c>
      <c r="T68" s="7">
        <v>9.5000000000000001E-2</v>
      </c>
      <c r="U68" s="3">
        <f t="shared" si="0"/>
        <v>9.4428571428571417E-2</v>
      </c>
      <c r="V68" s="3">
        <f t="shared" si="7"/>
        <v>9.1924100000000009E-2</v>
      </c>
      <c r="X68" s="3">
        <v>0.06</v>
      </c>
      <c r="Y68" s="3"/>
    </row>
    <row r="69" spans="1:25">
      <c r="A69" s="4">
        <v>38569</v>
      </c>
      <c r="B69" s="20">
        <v>0.27</v>
      </c>
      <c r="C69" s="21">
        <v>0.2135</v>
      </c>
      <c r="D69" s="21">
        <v>0.01</v>
      </c>
      <c r="E69" s="20">
        <v>0.08</v>
      </c>
      <c r="F69" s="20">
        <v>0</v>
      </c>
      <c r="G69" s="20">
        <v>0</v>
      </c>
      <c r="H69" s="20">
        <v>0</v>
      </c>
      <c r="I69" s="20">
        <f t="shared" si="3"/>
        <v>8.1928571428571434E-2</v>
      </c>
      <c r="J69" s="41">
        <f t="shared" si="6"/>
        <v>0.11950485000000001</v>
      </c>
      <c r="K69" s="50">
        <f t="shared" si="4"/>
        <v>2.3082106666666661E-2</v>
      </c>
      <c r="L69" s="50"/>
      <c r="M69" s="4">
        <v>38569</v>
      </c>
      <c r="N69" s="7">
        <v>0.105</v>
      </c>
      <c r="O69" s="7">
        <v>0.108</v>
      </c>
      <c r="P69" s="7">
        <v>7.0000000000000007E-2</v>
      </c>
      <c r="Q69" s="7">
        <v>0.13600000000000001</v>
      </c>
      <c r="R69" s="7">
        <v>0.13600000000000001</v>
      </c>
      <c r="S69" s="7">
        <v>0.13600000000000001</v>
      </c>
      <c r="T69" s="7">
        <v>0.105</v>
      </c>
      <c r="U69" s="3">
        <f t="shared" si="0"/>
        <v>0.11371428571428573</v>
      </c>
      <c r="V69" s="3">
        <f t="shared" si="7"/>
        <v>0.1074706</v>
      </c>
      <c r="X69" s="3">
        <v>0.06</v>
      </c>
      <c r="Y69" s="3"/>
    </row>
    <row r="70" spans="1:25">
      <c r="A70" s="4">
        <v>38600</v>
      </c>
      <c r="B70" s="20">
        <v>0.28999999999999998</v>
      </c>
      <c r="C70" s="21">
        <v>0.23180000000000001</v>
      </c>
      <c r="D70" s="21">
        <v>0.03</v>
      </c>
      <c r="E70" s="20">
        <v>0.1</v>
      </c>
      <c r="F70" s="20">
        <v>0.06</v>
      </c>
      <c r="G70" s="20">
        <v>0</v>
      </c>
      <c r="H70" s="20">
        <v>0.06</v>
      </c>
      <c r="I70" s="20">
        <f t="shared" si="3"/>
        <v>0.11025714285714286</v>
      </c>
      <c r="J70" s="41">
        <f t="shared" si="6"/>
        <v>0.14612398000000001</v>
      </c>
      <c r="K70" s="50">
        <f t="shared" si="4"/>
        <v>2.5459093333333332E-2</v>
      </c>
      <c r="L70" s="50"/>
      <c r="M70" s="4">
        <v>38600</v>
      </c>
      <c r="N70" s="7">
        <v>0.115</v>
      </c>
      <c r="O70" s="7">
        <v>0.114</v>
      </c>
      <c r="P70" s="7">
        <v>0.08</v>
      </c>
      <c r="Q70" s="7">
        <v>0.14399999999999999</v>
      </c>
      <c r="R70" s="7">
        <v>0.14399999999999999</v>
      </c>
      <c r="S70" s="7">
        <v>0.14399999999999999</v>
      </c>
      <c r="T70" s="7">
        <v>0.115</v>
      </c>
      <c r="U70" s="3">
        <f t="shared" si="0"/>
        <v>0.12228571428571429</v>
      </c>
      <c r="V70" s="3">
        <f t="shared" si="7"/>
        <v>0.1164346</v>
      </c>
      <c r="X70" s="3">
        <v>0.06</v>
      </c>
      <c r="Y70" s="3"/>
    </row>
    <row r="71" spans="1:25">
      <c r="A71" s="4">
        <v>38630</v>
      </c>
      <c r="B71" s="20">
        <v>0.32</v>
      </c>
      <c r="C71" s="21">
        <v>0.25619999999999998</v>
      </c>
      <c r="D71" s="21">
        <v>5.5E-2</v>
      </c>
      <c r="E71" s="20">
        <v>0.13</v>
      </c>
      <c r="F71" s="20">
        <v>0.1</v>
      </c>
      <c r="G71" s="20">
        <v>0</v>
      </c>
      <c r="H71" s="20">
        <v>0.09</v>
      </c>
      <c r="I71" s="20">
        <f t="shared" si="3"/>
        <v>0.1358857142857143</v>
      </c>
      <c r="J71" s="41">
        <f t="shared" si="6"/>
        <v>0.17155232000000004</v>
      </c>
      <c r="K71" s="50">
        <f t="shared" si="4"/>
        <v>2.9573426666666663E-2</v>
      </c>
      <c r="L71" s="50"/>
      <c r="M71" s="4">
        <v>38630</v>
      </c>
      <c r="N71" s="7">
        <v>0.13</v>
      </c>
      <c r="O71" s="7">
        <v>0.1125</v>
      </c>
      <c r="P71" s="7">
        <v>9.5000000000000001E-2</v>
      </c>
      <c r="Q71" s="7">
        <v>0.16800000000000001</v>
      </c>
      <c r="R71" s="7">
        <v>0.16800000000000001</v>
      </c>
      <c r="S71" s="7">
        <v>0.16800000000000001</v>
      </c>
      <c r="T71" s="7">
        <v>0.13</v>
      </c>
      <c r="U71" s="3">
        <f t="shared" ref="U71:U84" si="8">AVERAGE(N71:T71)</f>
        <v>0.13878571428571432</v>
      </c>
      <c r="V71" s="3">
        <f t="shared" si="7"/>
        <v>0.13088364999999999</v>
      </c>
      <c r="X71" s="3">
        <v>0.06</v>
      </c>
      <c r="Y71" s="3"/>
    </row>
    <row r="72" spans="1:25">
      <c r="A72" s="4">
        <v>38661</v>
      </c>
      <c r="B72" s="20">
        <v>0.4</v>
      </c>
      <c r="C72" s="21">
        <v>0.32329999999999998</v>
      </c>
      <c r="D72" s="21">
        <v>0.12</v>
      </c>
      <c r="E72" s="20">
        <v>0.21</v>
      </c>
      <c r="F72" s="20">
        <v>0.17</v>
      </c>
      <c r="G72" s="20">
        <v>0</v>
      </c>
      <c r="H72" s="20">
        <v>0.15</v>
      </c>
      <c r="I72" s="20">
        <f t="shared" si="3"/>
        <v>0.19618571428571427</v>
      </c>
      <c r="J72" s="41">
        <f t="shared" si="6"/>
        <v>0.23463663000000001</v>
      </c>
      <c r="K72" s="50">
        <f t="shared" si="4"/>
        <v>3.5773053333333332E-2</v>
      </c>
      <c r="L72" s="50"/>
      <c r="M72" s="4">
        <v>38661</v>
      </c>
      <c r="N72" s="7">
        <v>0.16</v>
      </c>
      <c r="O72" s="7">
        <v>0.115</v>
      </c>
      <c r="P72" s="7">
        <v>0.125</v>
      </c>
      <c r="Q72" s="7">
        <v>0.17199999999999999</v>
      </c>
      <c r="R72" s="7">
        <v>0.17199999999999999</v>
      </c>
      <c r="S72" s="7">
        <v>0.17199999999999999</v>
      </c>
      <c r="T72" s="7">
        <v>0.16</v>
      </c>
      <c r="U72" s="3">
        <f t="shared" si="8"/>
        <v>0.15371428571428569</v>
      </c>
      <c r="V72" s="3">
        <f t="shared" si="7"/>
        <v>0.15111760000000002</v>
      </c>
      <c r="X72" s="3">
        <v>0.06</v>
      </c>
      <c r="Y72" s="3"/>
    </row>
    <row r="73" spans="1:25">
      <c r="A73" s="4">
        <v>38691</v>
      </c>
      <c r="B73" s="20">
        <v>0.46</v>
      </c>
      <c r="C73" s="21">
        <v>0.37819999999999998</v>
      </c>
      <c r="D73" s="21">
        <v>0.18</v>
      </c>
      <c r="E73" s="20">
        <v>0.28000000000000003</v>
      </c>
      <c r="F73" s="20">
        <v>0.24</v>
      </c>
      <c r="G73" s="20">
        <v>0</v>
      </c>
      <c r="H73" s="20">
        <v>0.2</v>
      </c>
      <c r="I73" s="20">
        <f t="shared" si="3"/>
        <v>0.24831428571428571</v>
      </c>
      <c r="J73" s="41">
        <f t="shared" si="6"/>
        <v>0.28639601999999997</v>
      </c>
      <c r="K73" s="50">
        <f t="shared" si="4"/>
        <v>4.6002160000000007E-2</v>
      </c>
      <c r="L73" s="50"/>
      <c r="M73" s="4">
        <v>38691</v>
      </c>
      <c r="N73" s="7">
        <v>0.185</v>
      </c>
      <c r="O73" s="7">
        <v>0.1075</v>
      </c>
      <c r="P73" s="7">
        <v>0.15</v>
      </c>
      <c r="Q73" s="7">
        <v>0.16</v>
      </c>
      <c r="R73" s="7">
        <v>0.16</v>
      </c>
      <c r="S73" s="7">
        <v>0.16</v>
      </c>
      <c r="T73" s="7">
        <v>0.185</v>
      </c>
      <c r="U73" s="3">
        <f t="shared" si="8"/>
        <v>0.15821428571428572</v>
      </c>
      <c r="V73" s="3">
        <f t="shared" si="7"/>
        <v>0.16322225000000001</v>
      </c>
      <c r="X73" s="3">
        <v>0.06</v>
      </c>
      <c r="Y73" s="3"/>
    </row>
    <row r="74" spans="1:25">
      <c r="A74" s="4">
        <v>38723</v>
      </c>
      <c r="B74" s="18">
        <v>0.34</v>
      </c>
      <c r="C74" s="21">
        <v>0.27450000000000002</v>
      </c>
      <c r="D74" s="21">
        <v>7.0000000000000007E-2</v>
      </c>
      <c r="E74" s="20">
        <v>0.15</v>
      </c>
      <c r="F74" s="20">
        <v>0.11</v>
      </c>
      <c r="G74" s="20">
        <v>0</v>
      </c>
      <c r="H74" s="20">
        <v>0.1</v>
      </c>
      <c r="I74" s="20">
        <f t="shared" si="3"/>
        <v>0.14921428571428574</v>
      </c>
      <c r="J74" s="41">
        <f t="shared" ref="J74:J85" si="9">SUM(B74*$B$189,C74*$C$189,D74*$D$189,E74*$E$189,F74*$F$189,G74*$G$189,H74*$H$189)</f>
        <v>0.18804365000000003</v>
      </c>
      <c r="K74" s="50">
        <f t="shared" si="4"/>
        <v>4.665540666666667E-2</v>
      </c>
      <c r="L74" s="50"/>
      <c r="M74" s="4">
        <v>38723</v>
      </c>
      <c r="N74" s="7">
        <v>0.13500000000000001</v>
      </c>
      <c r="O74" s="7">
        <v>9.7500000000000003E-2</v>
      </c>
      <c r="P74" s="7">
        <v>0.1</v>
      </c>
      <c r="Q74" s="7">
        <v>0.14400000000000002</v>
      </c>
      <c r="R74" s="7">
        <v>0.14400000000000002</v>
      </c>
      <c r="S74" s="7">
        <v>0.14400000000000002</v>
      </c>
      <c r="T74" s="7">
        <v>0.13500000000000001</v>
      </c>
      <c r="U74" s="3">
        <f t="shared" si="8"/>
        <v>0.1285</v>
      </c>
      <c r="V74" s="3">
        <f t="shared" ref="V74:V85" si="10">SUM(N74*$B$189,O74*$C$189,P74*$D$189,Q74*$E$189,R74*$F$189,S74*$G$189,T74*$H$189)</f>
        <v>0.12680785</v>
      </c>
      <c r="X74" s="3">
        <v>0.06</v>
      </c>
      <c r="Y74" s="3"/>
    </row>
    <row r="75" spans="1:25">
      <c r="A75" s="4">
        <v>38753</v>
      </c>
      <c r="B75" s="18">
        <v>0.3</v>
      </c>
      <c r="C75" s="21">
        <v>0.24399999999999999</v>
      </c>
      <c r="D75" s="21">
        <v>4.4999999999999998E-2</v>
      </c>
      <c r="E75" s="20">
        <v>0.12</v>
      </c>
      <c r="F75" s="20">
        <v>0.08</v>
      </c>
      <c r="G75" s="20">
        <v>0</v>
      </c>
      <c r="H75" s="20">
        <v>7.0000000000000007E-2</v>
      </c>
      <c r="I75" s="20">
        <f t="shared" si="3"/>
        <v>0.12271428571428571</v>
      </c>
      <c r="J75" s="41">
        <f t="shared" si="9"/>
        <v>0.1588243</v>
      </c>
      <c r="K75" s="50">
        <f t="shared" si="4"/>
        <v>4.1838486666666667E-2</v>
      </c>
      <c r="L75" s="50"/>
      <c r="M75" s="4">
        <v>38753</v>
      </c>
      <c r="N75" s="7">
        <v>0.12</v>
      </c>
      <c r="O75" s="7">
        <v>0.1</v>
      </c>
      <c r="P75" s="7">
        <v>8.5000000000000006E-2</v>
      </c>
      <c r="Q75" s="7">
        <v>0.14799999999999999</v>
      </c>
      <c r="R75" s="7">
        <v>0.14799999999999999</v>
      </c>
      <c r="S75" s="7">
        <v>0.14799999999999999</v>
      </c>
      <c r="T75" s="7">
        <v>0.12</v>
      </c>
      <c r="U75" s="3">
        <f t="shared" si="8"/>
        <v>0.12414285714285714</v>
      </c>
      <c r="V75" s="3">
        <f t="shared" si="10"/>
        <v>0.11851970000000001</v>
      </c>
      <c r="X75" s="3">
        <v>7.0000000000000007E-2</v>
      </c>
      <c r="Y75" s="3"/>
    </row>
    <row r="76" spans="1:25">
      <c r="A76" s="4">
        <v>38781</v>
      </c>
      <c r="B76" s="18">
        <v>0.31</v>
      </c>
      <c r="C76" s="21">
        <v>0.25009999999999999</v>
      </c>
      <c r="D76" s="21">
        <v>0.05</v>
      </c>
      <c r="E76" s="20">
        <v>0.12</v>
      </c>
      <c r="F76" s="20">
        <v>0.09</v>
      </c>
      <c r="G76" s="20">
        <v>0</v>
      </c>
      <c r="H76" s="20">
        <v>0.08</v>
      </c>
      <c r="I76" s="20">
        <f t="shared" si="3"/>
        <v>0.12858571428571428</v>
      </c>
      <c r="J76" s="41">
        <f t="shared" si="9"/>
        <v>0.16554536999999997</v>
      </c>
      <c r="K76" s="50">
        <f t="shared" si="4"/>
        <v>4.2864320000000004E-2</v>
      </c>
      <c r="L76" s="50"/>
      <c r="M76" s="4">
        <v>38781</v>
      </c>
      <c r="N76" s="7">
        <v>0.125</v>
      </c>
      <c r="O76" s="7">
        <v>0.115</v>
      </c>
      <c r="P76" s="8">
        <v>8.8200000000000001E-2</v>
      </c>
      <c r="Q76" s="7">
        <v>0.17199999999999999</v>
      </c>
      <c r="R76" s="7">
        <v>0.17199999999999999</v>
      </c>
      <c r="S76" s="7">
        <v>0.17199999999999999</v>
      </c>
      <c r="T76" s="7">
        <v>0.125</v>
      </c>
      <c r="U76" s="3">
        <f t="shared" si="8"/>
        <v>0.13845714285714283</v>
      </c>
      <c r="V76" s="3">
        <f t="shared" si="10"/>
        <v>0.12890737999999999</v>
      </c>
      <c r="X76" s="3">
        <v>7.0000000000000007E-2</v>
      </c>
      <c r="Y76" s="3"/>
    </row>
    <row r="77" spans="1:25">
      <c r="A77" s="4">
        <v>38812</v>
      </c>
      <c r="B77" s="18">
        <v>0.31</v>
      </c>
      <c r="C77" s="21">
        <v>0.25009999999999999</v>
      </c>
      <c r="D77" s="21">
        <v>0.05</v>
      </c>
      <c r="E77" s="20">
        <v>0.12</v>
      </c>
      <c r="F77" s="20">
        <v>0.09</v>
      </c>
      <c r="G77" s="20">
        <v>0</v>
      </c>
      <c r="H77" s="20">
        <v>0.08</v>
      </c>
      <c r="I77" s="20">
        <f t="shared" si="3"/>
        <v>0.12858571428571428</v>
      </c>
      <c r="J77" s="41">
        <f t="shared" si="9"/>
        <v>0.16554536999999997</v>
      </c>
      <c r="K77" s="50">
        <f t="shared" si="4"/>
        <v>5.3068246666666673E-2</v>
      </c>
      <c r="L77" s="50"/>
      <c r="M77" s="4">
        <v>38812</v>
      </c>
      <c r="N77" s="7">
        <v>0.125</v>
      </c>
      <c r="O77" s="7">
        <v>0.105</v>
      </c>
      <c r="P77" s="8">
        <v>8.8200000000000001E-2</v>
      </c>
      <c r="Q77" s="7">
        <v>0.156</v>
      </c>
      <c r="R77" s="7">
        <v>0.156</v>
      </c>
      <c r="S77" s="7">
        <v>0.156</v>
      </c>
      <c r="T77" s="7">
        <v>0.125</v>
      </c>
      <c r="U77" s="3">
        <f t="shared" si="8"/>
        <v>0.13017142857142858</v>
      </c>
      <c r="V77" s="3">
        <f t="shared" si="10"/>
        <v>0.12393598</v>
      </c>
      <c r="X77" s="3">
        <v>7.0000000000000007E-2</v>
      </c>
      <c r="Y77" s="3"/>
    </row>
    <row r="78" spans="1:25">
      <c r="A78" s="4">
        <v>38842</v>
      </c>
      <c r="B78" s="18">
        <v>0.33</v>
      </c>
      <c r="C78" s="21">
        <v>0.26840000000000003</v>
      </c>
      <c r="D78" s="21">
        <v>6.5000000000000002E-2</v>
      </c>
      <c r="E78" s="20">
        <v>0.14000000000000001</v>
      </c>
      <c r="F78" s="20">
        <v>0.11</v>
      </c>
      <c r="G78" s="20">
        <v>0</v>
      </c>
      <c r="H78" s="20">
        <v>0.1</v>
      </c>
      <c r="I78" s="20">
        <f t="shared" ref="I78:I95" si="11">AVERAGE(B78,C78,D78,E78,F78,G78,H78)</f>
        <v>0.14477142857142858</v>
      </c>
      <c r="J78" s="41">
        <f t="shared" si="9"/>
        <v>0.18248458000000004</v>
      </c>
      <c r="K78" s="50">
        <f t="shared" si="4"/>
        <v>6.4225183333333338E-2</v>
      </c>
      <c r="L78" s="50"/>
      <c r="M78" s="4">
        <v>38842</v>
      </c>
      <c r="N78" s="7">
        <v>0.13500000000000001</v>
      </c>
      <c r="O78" s="7">
        <v>0.1075</v>
      </c>
      <c r="P78" s="8">
        <v>9.4600000000000004E-2</v>
      </c>
      <c r="Q78" s="7">
        <v>0.16</v>
      </c>
      <c r="R78" s="7">
        <v>0.16</v>
      </c>
      <c r="S78" s="7">
        <v>0.16</v>
      </c>
      <c r="T78" s="7">
        <v>0.13500000000000001</v>
      </c>
      <c r="U78" s="3">
        <f t="shared" si="8"/>
        <v>0.13601428571428573</v>
      </c>
      <c r="V78" s="3">
        <f t="shared" si="10"/>
        <v>0.13103999000000002</v>
      </c>
      <c r="X78" s="3">
        <v>7.0000000000000007E-2</v>
      </c>
      <c r="Y78" s="3"/>
    </row>
    <row r="79" spans="1:25">
      <c r="A79" s="4">
        <v>38874</v>
      </c>
      <c r="B79" s="18">
        <v>0.37</v>
      </c>
      <c r="C79" s="21">
        <v>0.30499999999999999</v>
      </c>
      <c r="D79" s="21">
        <v>0.1</v>
      </c>
      <c r="E79" s="20">
        <v>0.19</v>
      </c>
      <c r="F79" s="20">
        <v>0.15</v>
      </c>
      <c r="G79" s="20">
        <v>0</v>
      </c>
      <c r="H79" s="20">
        <v>0.13</v>
      </c>
      <c r="I79" s="20">
        <f t="shared" si="11"/>
        <v>0.17785714285714288</v>
      </c>
      <c r="J79" s="41">
        <f t="shared" si="9"/>
        <v>0.21606049999999999</v>
      </c>
      <c r="K79" s="50">
        <f t="shared" ref="K79:K110" si="12">AVERAGE(J67,J55,J43)</f>
        <v>6.4998283333333337E-2</v>
      </c>
      <c r="L79" s="50"/>
      <c r="M79" s="4">
        <v>38874</v>
      </c>
      <c r="N79" s="7">
        <v>0.15</v>
      </c>
      <c r="O79" s="7">
        <v>0.125</v>
      </c>
      <c r="P79" s="8">
        <v>0.1074</v>
      </c>
      <c r="Q79" s="7">
        <v>0.188</v>
      </c>
      <c r="R79" s="7">
        <v>0.188</v>
      </c>
      <c r="S79" s="7">
        <v>0.188</v>
      </c>
      <c r="T79" s="7">
        <v>0.15</v>
      </c>
      <c r="U79" s="3">
        <f t="shared" si="8"/>
        <v>0.15662857142857139</v>
      </c>
      <c r="V79" s="3">
        <f t="shared" si="10"/>
        <v>0.14896976000000001</v>
      </c>
      <c r="X79" s="3">
        <v>7.0000000000000007E-2</v>
      </c>
      <c r="Y79" s="3"/>
    </row>
    <row r="80" spans="1:25">
      <c r="A80" s="4">
        <v>38899</v>
      </c>
      <c r="B80" s="18">
        <v>0.42</v>
      </c>
      <c r="C80" s="21">
        <v>0.33550000000000002</v>
      </c>
      <c r="D80" s="21">
        <v>0.13500000000000001</v>
      </c>
      <c r="E80" s="20">
        <v>0.23</v>
      </c>
      <c r="F80" s="20">
        <v>0.19</v>
      </c>
      <c r="G80" s="20">
        <v>0</v>
      </c>
      <c r="H80" s="20">
        <v>0.16</v>
      </c>
      <c r="I80" s="20">
        <f t="shared" si="11"/>
        <v>0.21007142857142855</v>
      </c>
      <c r="J80" s="41">
        <f t="shared" si="9"/>
        <v>0.25082185000000001</v>
      </c>
      <c r="K80" s="50">
        <f t="shared" si="12"/>
        <v>5.8667746666666666E-2</v>
      </c>
      <c r="L80" s="50"/>
      <c r="M80" s="4">
        <v>38899</v>
      </c>
      <c r="N80" s="7">
        <v>0.16500000000000001</v>
      </c>
      <c r="O80" s="7">
        <v>0.1275</v>
      </c>
      <c r="P80" s="8">
        <v>0.1234</v>
      </c>
      <c r="Q80" s="7">
        <v>0.192</v>
      </c>
      <c r="R80" s="7">
        <v>0.192</v>
      </c>
      <c r="S80" s="7">
        <v>0.185</v>
      </c>
      <c r="T80" s="7">
        <v>0.16500000000000001</v>
      </c>
      <c r="U80" s="3">
        <f t="shared" si="8"/>
        <v>0.1642714285714286</v>
      </c>
      <c r="V80" s="3">
        <f t="shared" si="10"/>
        <v>0.15913430999999997</v>
      </c>
      <c r="X80" s="3">
        <v>7.0000000000000007E-2</v>
      </c>
      <c r="Y80" s="3"/>
    </row>
    <row r="81" spans="1:25">
      <c r="A81" s="4">
        <v>38935</v>
      </c>
      <c r="B81" s="18">
        <v>0.42</v>
      </c>
      <c r="C81" s="21">
        <v>0.33550000000000002</v>
      </c>
      <c r="D81" s="21">
        <v>0.14000000000000001</v>
      </c>
      <c r="E81" s="20">
        <v>0.23</v>
      </c>
      <c r="F81" s="20">
        <v>0.19</v>
      </c>
      <c r="G81" s="20">
        <v>0</v>
      </c>
      <c r="H81" s="20">
        <v>0.16</v>
      </c>
      <c r="I81" s="20">
        <f t="shared" si="11"/>
        <v>0.2107857142857143</v>
      </c>
      <c r="J81" s="41">
        <f t="shared" si="9"/>
        <v>0.25150634999999999</v>
      </c>
      <c r="K81" s="50">
        <f t="shared" si="12"/>
        <v>6.1475470000000004E-2</v>
      </c>
      <c r="L81" s="50"/>
      <c r="M81" s="4">
        <v>38935</v>
      </c>
      <c r="N81" s="7">
        <v>0.16500000000000001</v>
      </c>
      <c r="O81" s="7">
        <v>0.1275</v>
      </c>
      <c r="P81" s="8">
        <v>0.1234</v>
      </c>
      <c r="Q81" s="7">
        <v>0.192</v>
      </c>
      <c r="R81" s="7">
        <v>0.192</v>
      </c>
      <c r="S81" s="7">
        <v>0.185</v>
      </c>
      <c r="T81" s="7">
        <v>0.16500000000000001</v>
      </c>
      <c r="U81" s="3">
        <f t="shared" si="8"/>
        <v>0.1642714285714286</v>
      </c>
      <c r="V81" s="3">
        <f t="shared" si="10"/>
        <v>0.15913430999999997</v>
      </c>
      <c r="X81" s="3">
        <v>7.0000000000000007E-2</v>
      </c>
      <c r="Y81" s="3"/>
    </row>
    <row r="82" spans="1:25">
      <c r="A82" s="4">
        <v>38961</v>
      </c>
      <c r="B82" s="18">
        <v>0.43</v>
      </c>
      <c r="C82" s="21">
        <v>0.34770000000000001</v>
      </c>
      <c r="D82" s="21">
        <v>0.14499999999999999</v>
      </c>
      <c r="E82" s="20">
        <v>0.24</v>
      </c>
      <c r="F82" s="20">
        <v>0.2</v>
      </c>
      <c r="G82" s="20">
        <v>0</v>
      </c>
      <c r="H82" s="20">
        <v>0.17</v>
      </c>
      <c r="I82" s="20">
        <f t="shared" si="11"/>
        <v>0.21895714285714285</v>
      </c>
      <c r="J82" s="41">
        <f t="shared" si="9"/>
        <v>0.26007198999999998</v>
      </c>
      <c r="K82" s="50">
        <f t="shared" si="12"/>
        <v>7.1815833333333343E-2</v>
      </c>
      <c r="L82" s="50"/>
      <c r="M82" s="4">
        <v>38961</v>
      </c>
      <c r="N82" s="7">
        <v>0.17</v>
      </c>
      <c r="O82" s="7">
        <v>0.13750000000000001</v>
      </c>
      <c r="P82" s="8">
        <v>0.12659999999999999</v>
      </c>
      <c r="Q82" s="7">
        <v>0.20799999999999999</v>
      </c>
      <c r="R82" s="7">
        <v>0.20799999999999999</v>
      </c>
      <c r="S82" s="7">
        <v>0.19700000000000001</v>
      </c>
      <c r="T82" s="7">
        <v>0.17</v>
      </c>
      <c r="U82" s="3">
        <f t="shared" si="8"/>
        <v>0.17387142857142854</v>
      </c>
      <c r="V82" s="3">
        <f t="shared" si="10"/>
        <v>0.16660988999999998</v>
      </c>
      <c r="X82" s="3">
        <v>7.0000000000000007E-2</v>
      </c>
      <c r="Y82" s="3"/>
    </row>
    <row r="83" spans="1:25">
      <c r="A83" s="4">
        <v>38991</v>
      </c>
      <c r="B83" s="18">
        <v>0.45</v>
      </c>
      <c r="C83" s="21">
        <v>0.36599999999999999</v>
      </c>
      <c r="D83" s="21">
        <v>0.17</v>
      </c>
      <c r="E83" s="20">
        <v>0.27</v>
      </c>
      <c r="F83" s="20">
        <v>0.23</v>
      </c>
      <c r="G83" s="20">
        <v>0</v>
      </c>
      <c r="H83" s="20">
        <v>0.19</v>
      </c>
      <c r="I83" s="20">
        <f t="shared" si="11"/>
        <v>0.23942857142857146</v>
      </c>
      <c r="J83" s="41">
        <f t="shared" si="9"/>
        <v>0.27952319999999997</v>
      </c>
      <c r="K83" s="50">
        <f t="shared" si="12"/>
        <v>8.4140320000000005E-2</v>
      </c>
      <c r="L83" s="50"/>
      <c r="M83" s="4">
        <v>38991</v>
      </c>
      <c r="N83" s="7">
        <v>0.18</v>
      </c>
      <c r="O83" s="7">
        <v>0.13500000000000001</v>
      </c>
      <c r="P83" s="8">
        <v>0.13300000000000001</v>
      </c>
      <c r="Q83" s="7">
        <v>0.20399999999999999</v>
      </c>
      <c r="R83" s="7">
        <v>0.20399999999999999</v>
      </c>
      <c r="S83" s="7">
        <v>0.19400000000000001</v>
      </c>
      <c r="T83" s="7">
        <v>0.18</v>
      </c>
      <c r="U83" s="3">
        <f t="shared" si="8"/>
        <v>0.17571428571428571</v>
      </c>
      <c r="V83" s="3">
        <f t="shared" si="10"/>
        <v>0.17133479999999998</v>
      </c>
      <c r="X83" s="3">
        <v>7.0000000000000007E-2</v>
      </c>
      <c r="Y83" s="3"/>
    </row>
    <row r="84" spans="1:25">
      <c r="A84" s="4">
        <v>39022</v>
      </c>
      <c r="B84" s="18">
        <v>0.39</v>
      </c>
      <c r="C84" s="21">
        <v>0.31719999999999998</v>
      </c>
      <c r="D84" s="21">
        <v>0.12</v>
      </c>
      <c r="E84" s="20">
        <v>0.2</v>
      </c>
      <c r="F84" s="20">
        <v>0.17</v>
      </c>
      <c r="G84" s="20">
        <v>0</v>
      </c>
      <c r="H84" s="20">
        <v>0.14000000000000001</v>
      </c>
      <c r="I84" s="20">
        <f t="shared" si="11"/>
        <v>0.19102857142857146</v>
      </c>
      <c r="J84" s="41">
        <f t="shared" si="9"/>
        <v>0.22988463999999997</v>
      </c>
      <c r="K84" s="50">
        <f t="shared" si="12"/>
        <v>0.10784117</v>
      </c>
      <c r="L84" s="50"/>
      <c r="M84" s="4">
        <v>39022</v>
      </c>
      <c r="N84" s="7">
        <v>0.155</v>
      </c>
      <c r="O84" s="7">
        <v>0.11</v>
      </c>
      <c r="P84" s="8">
        <v>0.1138</v>
      </c>
      <c r="Q84" s="7">
        <v>0.16400000000000001</v>
      </c>
      <c r="R84" s="7">
        <v>0.16400000000000001</v>
      </c>
      <c r="S84" s="7">
        <v>0.16400000000000001</v>
      </c>
      <c r="T84" s="7">
        <v>0.155</v>
      </c>
      <c r="U84" s="3">
        <f t="shared" si="8"/>
        <v>0.14654285714285714</v>
      </c>
      <c r="V84" s="3">
        <f t="shared" si="10"/>
        <v>0.14488132000000001</v>
      </c>
      <c r="X84" s="3">
        <v>7.0000000000000007E-2</v>
      </c>
      <c r="Y84" s="3"/>
    </row>
    <row r="85" spans="1:25">
      <c r="A85" s="4">
        <v>39052</v>
      </c>
      <c r="B85" s="18">
        <v>0.32</v>
      </c>
      <c r="C85" s="21">
        <v>0.26229999999999998</v>
      </c>
      <c r="D85" s="21">
        <v>0.06</v>
      </c>
      <c r="E85" s="20">
        <v>0.13</v>
      </c>
      <c r="F85" s="20">
        <v>0.1</v>
      </c>
      <c r="G85" s="20">
        <v>0</v>
      </c>
      <c r="H85" s="20">
        <v>0.09</v>
      </c>
      <c r="I85" s="20">
        <f t="shared" si="11"/>
        <v>0.13747142857142858</v>
      </c>
      <c r="J85" s="41">
        <f t="shared" si="9"/>
        <v>0.17479551000000002</v>
      </c>
      <c r="K85" s="50">
        <f t="shared" si="12"/>
        <v>0.13388182000000001</v>
      </c>
      <c r="L85" s="50"/>
      <c r="M85" s="4">
        <v>39052</v>
      </c>
      <c r="N85" s="7">
        <v>0.13</v>
      </c>
      <c r="O85" s="8">
        <v>9.7500000000000003E-2</v>
      </c>
      <c r="P85" s="8">
        <v>9.1399999999999995E-2</v>
      </c>
      <c r="Q85" s="7">
        <v>0.14399999999999999</v>
      </c>
      <c r="R85" s="7">
        <v>0.14399999999999999</v>
      </c>
      <c r="S85" s="7">
        <v>0.16400000000000001</v>
      </c>
      <c r="T85" s="7">
        <v>0.13</v>
      </c>
      <c r="U85" s="3">
        <f t="shared" ref="U85:U91" si="13">AVERAGE(N85:T85)</f>
        <v>0.12870000000000001</v>
      </c>
      <c r="V85" s="3">
        <f t="shared" si="10"/>
        <v>0.12527000999999999</v>
      </c>
      <c r="X85" s="3">
        <v>7.0000000000000007E-2</v>
      </c>
      <c r="Y85" s="3">
        <v>7.0000000000000007E-2</v>
      </c>
    </row>
    <row r="86" spans="1:25">
      <c r="A86" s="4">
        <v>39083</v>
      </c>
      <c r="B86" s="18">
        <v>0.33</v>
      </c>
      <c r="C86" s="21">
        <v>0.26840000000000003</v>
      </c>
      <c r="D86" s="21">
        <v>6.5000000000000002E-2</v>
      </c>
      <c r="E86" s="20">
        <v>0.14000000000000001</v>
      </c>
      <c r="F86" s="20">
        <v>0.11</v>
      </c>
      <c r="G86" s="20">
        <v>0</v>
      </c>
      <c r="H86" s="20">
        <v>0.09</v>
      </c>
      <c r="I86" s="20">
        <f t="shared" si="11"/>
        <v>0.14334285714285716</v>
      </c>
      <c r="J86" s="41">
        <f t="shared" ref="J86:J97" si="14">SUM(B86*$B$190,C86*$C$190,D86*$D$190,E86*$E$190,F86*$F$190,G86*$G$190,H86*$H$190)</f>
        <v>0.18395953600000001</v>
      </c>
      <c r="K86" s="50">
        <f t="shared" si="12"/>
        <v>0.10319253</v>
      </c>
      <c r="L86" s="50"/>
      <c r="M86" s="4">
        <v>39083</v>
      </c>
      <c r="N86" s="7">
        <v>0.13</v>
      </c>
      <c r="O86" s="7">
        <v>9.3200000000000005E-2</v>
      </c>
      <c r="P86" s="8">
        <v>9.4600000000000004E-2</v>
      </c>
      <c r="Q86" s="7">
        <v>0.14799999999999999</v>
      </c>
      <c r="R86" s="7">
        <v>0.14799999999999999</v>
      </c>
      <c r="S86" s="7">
        <v>0.16400000000000001</v>
      </c>
      <c r="T86" s="7">
        <v>0.13</v>
      </c>
      <c r="U86" s="3">
        <f t="shared" si="13"/>
        <v>0.12968571428571429</v>
      </c>
      <c r="V86" s="3">
        <f t="shared" ref="V86:V97" si="15">SUM(N86*$B$190,O86*$C$190,P86*$D$190,Q86*$E$190,R86*$F$190,S86*$G$190,T86*$H$190)</f>
        <v>0.12476426800000001</v>
      </c>
      <c r="X86" s="3">
        <v>7.0000000000000007E-2</v>
      </c>
      <c r="Y86" s="3">
        <v>7.0000000000000007E-2</v>
      </c>
    </row>
    <row r="87" spans="1:25">
      <c r="A87" s="4">
        <v>39114</v>
      </c>
      <c r="B87" s="18">
        <v>0.35</v>
      </c>
      <c r="C87" s="21">
        <v>0.28060000000000002</v>
      </c>
      <c r="D87" s="21">
        <v>0.08</v>
      </c>
      <c r="E87" s="20">
        <v>0.16</v>
      </c>
      <c r="F87" s="20">
        <v>0.12</v>
      </c>
      <c r="G87" s="20">
        <v>0</v>
      </c>
      <c r="H87" s="20">
        <v>0.11</v>
      </c>
      <c r="I87" s="20">
        <f t="shared" si="11"/>
        <v>0.15722857142857144</v>
      </c>
      <c r="J87" s="41">
        <f t="shared" si="14"/>
        <v>0.19985552399999998</v>
      </c>
      <c r="K87" s="50">
        <f t="shared" si="12"/>
        <v>8.8635826666666653E-2</v>
      </c>
      <c r="L87" s="50"/>
      <c r="M87" s="4">
        <v>39114</v>
      </c>
      <c r="N87" s="7">
        <v>0.14000000000000001</v>
      </c>
      <c r="O87" s="7">
        <v>0.10009999999999999</v>
      </c>
      <c r="P87" s="8">
        <v>0.10100000000000001</v>
      </c>
      <c r="Q87" s="7">
        <v>0.16</v>
      </c>
      <c r="R87" s="7">
        <v>0.16</v>
      </c>
      <c r="S87" s="7">
        <v>0.16400000000000001</v>
      </c>
      <c r="T87" s="7">
        <v>0.14000000000000001</v>
      </c>
      <c r="U87" s="3">
        <f t="shared" si="13"/>
        <v>0.13787142857142859</v>
      </c>
      <c r="V87" s="3">
        <f t="shared" si="15"/>
        <v>0.13299459400000002</v>
      </c>
      <c r="X87" s="3">
        <v>7.0000000000000007E-2</v>
      </c>
      <c r="Y87" s="3">
        <v>7.0000000000000007E-2</v>
      </c>
    </row>
    <row r="88" spans="1:25">
      <c r="A88" s="4">
        <v>39142</v>
      </c>
      <c r="B88" s="18">
        <v>0.31</v>
      </c>
      <c r="C88" s="21">
        <v>0.25619999999999998</v>
      </c>
      <c r="D88" s="21">
        <v>0.05</v>
      </c>
      <c r="E88" s="20">
        <v>0.13</v>
      </c>
      <c r="F88" s="20">
        <v>0.09</v>
      </c>
      <c r="G88" s="20">
        <v>0</v>
      </c>
      <c r="H88" s="20">
        <v>0.08</v>
      </c>
      <c r="I88" s="20">
        <f t="shared" si="11"/>
        <v>0.1308857142857143</v>
      </c>
      <c r="J88" s="41">
        <f t="shared" si="14"/>
        <v>0.17066944799999997</v>
      </c>
      <c r="K88" s="50">
        <f t="shared" si="12"/>
        <v>9.0460429999999994E-2</v>
      </c>
      <c r="L88" s="50"/>
      <c r="M88" s="4">
        <v>39142</v>
      </c>
      <c r="N88" s="7">
        <v>0.125</v>
      </c>
      <c r="O88" s="7">
        <v>8.1699999999999995E-2</v>
      </c>
      <c r="P88" s="8">
        <v>8.8200000000000001E-2</v>
      </c>
      <c r="Q88" s="7">
        <v>0.128</v>
      </c>
      <c r="R88" s="7">
        <v>0.128</v>
      </c>
      <c r="S88" s="7">
        <v>0.16400000000000001</v>
      </c>
      <c r="T88" s="7">
        <v>0.125</v>
      </c>
      <c r="U88" s="3">
        <f t="shared" si="13"/>
        <v>0.11998571428571428</v>
      </c>
      <c r="V88" s="3">
        <f t="shared" si="15"/>
        <v>0.117339058</v>
      </c>
      <c r="X88" s="3">
        <v>7.0000000000000007E-2</v>
      </c>
      <c r="Y88" s="3">
        <v>7.0000000000000007E-2</v>
      </c>
    </row>
    <row r="89" spans="1:25">
      <c r="A89" s="4">
        <v>39173</v>
      </c>
      <c r="B89" s="18">
        <v>0.31</v>
      </c>
      <c r="C89" s="22">
        <v>0.25619999999999998</v>
      </c>
      <c r="D89" s="22">
        <v>5.8500000000000003E-2</v>
      </c>
      <c r="E89" s="26">
        <v>0.13</v>
      </c>
      <c r="F89" s="26">
        <v>0.09</v>
      </c>
      <c r="G89" s="26">
        <v>0</v>
      </c>
      <c r="H89" s="26">
        <v>0.08</v>
      </c>
      <c r="I89" s="26">
        <f t="shared" si="11"/>
        <v>0.1321</v>
      </c>
      <c r="J89" s="41">
        <f t="shared" si="14"/>
        <v>0.17188069799999997</v>
      </c>
      <c r="K89" s="50">
        <f t="shared" si="12"/>
        <v>9.4520263333333313E-2</v>
      </c>
      <c r="L89" s="50"/>
      <c r="M89" s="4">
        <v>39173</v>
      </c>
      <c r="N89" s="7">
        <v>0.125</v>
      </c>
      <c r="O89" s="7">
        <v>9.3200000000000005E-2</v>
      </c>
      <c r="P89" s="8">
        <v>8.8200000000000001E-2</v>
      </c>
      <c r="Q89" s="7">
        <v>0.14799999999999999</v>
      </c>
      <c r="R89" s="7">
        <v>0.14799999999999999</v>
      </c>
      <c r="S89" s="7">
        <v>0.16400000000000001</v>
      </c>
      <c r="T89" s="7">
        <v>0.125</v>
      </c>
      <c r="U89" s="3">
        <f t="shared" si="13"/>
        <v>0.12734285714285715</v>
      </c>
      <c r="V89" s="3">
        <f t="shared" si="15"/>
        <v>0.12141626799999999</v>
      </c>
      <c r="X89" s="3">
        <v>7.0000000000000007E-2</v>
      </c>
      <c r="Y89" s="3">
        <v>7.0000000000000007E-2</v>
      </c>
    </row>
    <row r="90" spans="1:25">
      <c r="A90" s="4">
        <v>39203</v>
      </c>
      <c r="B90" s="18">
        <v>0.36</v>
      </c>
      <c r="C90" s="22">
        <v>0.2928</v>
      </c>
      <c r="D90" s="22">
        <v>0.1051</v>
      </c>
      <c r="E90" s="26">
        <v>0.17</v>
      </c>
      <c r="F90" s="26">
        <v>0.14000000000000001</v>
      </c>
      <c r="G90" s="26">
        <v>0</v>
      </c>
      <c r="H90" s="26">
        <v>0.12</v>
      </c>
      <c r="I90" s="26">
        <f t="shared" si="11"/>
        <v>0.16969999999999999</v>
      </c>
      <c r="J90" s="41">
        <f t="shared" si="14"/>
        <v>0.21151056200000001</v>
      </c>
      <c r="K90" s="50">
        <f t="shared" si="12"/>
        <v>0.10988201666666668</v>
      </c>
      <c r="L90" s="50"/>
      <c r="M90" s="4">
        <v>39203</v>
      </c>
      <c r="N90" s="23">
        <v>0.14499999999999999</v>
      </c>
      <c r="O90" s="23">
        <v>9.5500000000000002E-2</v>
      </c>
      <c r="P90" s="24">
        <v>0.1042</v>
      </c>
      <c r="Q90" s="23">
        <v>0.152</v>
      </c>
      <c r="R90" s="23">
        <v>0.152</v>
      </c>
      <c r="S90" s="23">
        <v>0.16400000000000001</v>
      </c>
      <c r="T90" s="23">
        <v>0.14499999999999999</v>
      </c>
      <c r="U90" s="25">
        <f t="shared" si="13"/>
        <v>0.13681428571428572</v>
      </c>
      <c r="V90" s="25">
        <f t="shared" si="15"/>
        <v>0.13425571</v>
      </c>
      <c r="X90" s="3">
        <v>7.0000000000000007E-2</v>
      </c>
      <c r="Y90" s="3">
        <v>7.0000000000000007E-2</v>
      </c>
    </row>
    <row r="91" spans="1:25">
      <c r="A91" s="4">
        <v>39234</v>
      </c>
      <c r="B91" s="18">
        <v>0.4</v>
      </c>
      <c r="C91" s="22">
        <v>0.32329999999999998</v>
      </c>
      <c r="D91" s="22">
        <v>0.1419</v>
      </c>
      <c r="E91" s="18">
        <v>0.21</v>
      </c>
      <c r="F91" s="18">
        <v>0.18</v>
      </c>
      <c r="G91" s="18">
        <v>0</v>
      </c>
      <c r="H91" s="18">
        <v>0.15</v>
      </c>
      <c r="I91" s="26">
        <f t="shared" si="11"/>
        <v>0.20074285714285714</v>
      </c>
      <c r="J91" s="41">
        <f t="shared" si="14"/>
        <v>0.24375833200000002</v>
      </c>
      <c r="K91" s="50">
        <f t="shared" si="12"/>
        <v>0.12708151666666664</v>
      </c>
      <c r="L91" s="50"/>
      <c r="M91" s="4">
        <v>39234</v>
      </c>
      <c r="N91" s="23">
        <v>0.16</v>
      </c>
      <c r="O91" s="23">
        <v>0.1024</v>
      </c>
      <c r="P91" s="24">
        <v>0.11700000000000001</v>
      </c>
      <c r="Q91" s="23">
        <v>0.16400000000000001</v>
      </c>
      <c r="R91" s="23">
        <v>0.16400000000000001</v>
      </c>
      <c r="S91" s="23">
        <v>0.16400000000000001</v>
      </c>
      <c r="T91" s="23">
        <v>0.16</v>
      </c>
      <c r="U91" s="25">
        <f t="shared" si="13"/>
        <v>0.14734285714285716</v>
      </c>
      <c r="V91" s="25">
        <f t="shared" si="15"/>
        <v>0.145834036</v>
      </c>
      <c r="X91" s="3">
        <v>7.0000000000000007E-2</v>
      </c>
      <c r="Y91" s="3">
        <v>7.0000000000000007E-2</v>
      </c>
    </row>
    <row r="92" spans="1:25">
      <c r="A92" s="4">
        <v>39264</v>
      </c>
      <c r="B92" s="18">
        <v>0.39</v>
      </c>
      <c r="C92" s="22">
        <v>0.31719999999999998</v>
      </c>
      <c r="D92" s="22">
        <v>0.12590000000000001</v>
      </c>
      <c r="E92" s="18">
        <v>0.2</v>
      </c>
      <c r="F92" s="18">
        <v>0.17</v>
      </c>
      <c r="G92" s="18">
        <v>0</v>
      </c>
      <c r="H92" s="18">
        <v>0.14000000000000001</v>
      </c>
      <c r="I92" s="18">
        <f t="shared" si="11"/>
        <v>0.19187142857142861</v>
      </c>
      <c r="J92" s="41">
        <f t="shared" si="14"/>
        <v>0.23451363800000002</v>
      </c>
      <c r="K92" s="50">
        <f t="shared" si="12"/>
        <v>0.13495531000000002</v>
      </c>
      <c r="L92" s="50"/>
      <c r="M92" s="4">
        <v>39264</v>
      </c>
      <c r="N92" s="23">
        <v>0.155</v>
      </c>
      <c r="O92" s="23">
        <v>0.1024</v>
      </c>
      <c r="P92" s="24">
        <v>0.1138</v>
      </c>
      <c r="Q92" s="23">
        <v>0.16400000000000001</v>
      </c>
      <c r="R92" s="23">
        <v>0.16400000000000001</v>
      </c>
      <c r="S92" s="23">
        <v>0.16400000000000001</v>
      </c>
      <c r="T92" s="23">
        <v>0.155</v>
      </c>
      <c r="U92" s="25">
        <f t="shared" ref="U92:U97" si="16">AVERAGE(N92:T92)</f>
        <v>0.14545714285714287</v>
      </c>
      <c r="V92" s="25">
        <f t="shared" si="15"/>
        <v>0.14294203599999999</v>
      </c>
      <c r="X92" s="3">
        <v>7.4999999999999997E-2</v>
      </c>
      <c r="Y92" s="3">
        <v>7.0000000000000007E-2</v>
      </c>
    </row>
    <row r="93" spans="1:25">
      <c r="A93" s="4">
        <v>39295</v>
      </c>
      <c r="B93" s="18">
        <v>0.39</v>
      </c>
      <c r="C93" s="22">
        <v>0.32329999999999998</v>
      </c>
      <c r="D93" s="22">
        <v>0.12790000000000001</v>
      </c>
      <c r="E93" s="18">
        <v>0.21</v>
      </c>
      <c r="F93" s="18">
        <v>0.17</v>
      </c>
      <c r="G93" s="18">
        <v>0</v>
      </c>
      <c r="H93" s="18">
        <v>0.15</v>
      </c>
      <c r="I93" s="18">
        <f t="shared" si="11"/>
        <v>0.19588571428571427</v>
      </c>
      <c r="J93" s="41">
        <f t="shared" si="14"/>
        <v>0.23851813199999997</v>
      </c>
      <c r="K93" s="50">
        <f t="shared" si="12"/>
        <v>0.13916682666666666</v>
      </c>
      <c r="L93" s="50"/>
      <c r="M93" s="4">
        <v>39295</v>
      </c>
      <c r="N93" s="23">
        <v>0.16</v>
      </c>
      <c r="O93" s="23">
        <v>0.1116</v>
      </c>
      <c r="P93" s="24">
        <v>0.1138</v>
      </c>
      <c r="Q93" s="23">
        <v>0.18</v>
      </c>
      <c r="R93" s="23">
        <v>0.18</v>
      </c>
      <c r="S93" s="23">
        <v>0.17599999999999999</v>
      </c>
      <c r="T93" s="23">
        <v>0.16</v>
      </c>
      <c r="U93" s="25">
        <f t="shared" si="16"/>
        <v>0.15448571428571428</v>
      </c>
      <c r="V93" s="25">
        <f t="shared" si="15"/>
        <v>0.14984892399999999</v>
      </c>
      <c r="X93" s="3">
        <v>7.4999999999999997E-2</v>
      </c>
      <c r="Y93" s="3">
        <v>7.0000000000000007E-2</v>
      </c>
    </row>
    <row r="94" spans="1:25">
      <c r="A94" s="4">
        <v>39326</v>
      </c>
      <c r="B94" s="18">
        <v>0.41</v>
      </c>
      <c r="C94" s="22">
        <v>0.32940000000000003</v>
      </c>
      <c r="D94" s="22">
        <v>0.1366</v>
      </c>
      <c r="E94" s="18">
        <v>0.22</v>
      </c>
      <c r="F94" s="18">
        <v>0.19</v>
      </c>
      <c r="G94" s="18">
        <v>0</v>
      </c>
      <c r="H94" s="18">
        <v>0.16</v>
      </c>
      <c r="I94" s="18">
        <f t="shared" si="11"/>
        <v>0.20657142857142857</v>
      </c>
      <c r="J94" s="41">
        <f t="shared" si="14"/>
        <v>0.24996777599999997</v>
      </c>
      <c r="K94" s="50">
        <f t="shared" si="12"/>
        <v>0.1520964433333333</v>
      </c>
      <c r="L94" s="50"/>
      <c r="M94" s="4">
        <v>39326</v>
      </c>
      <c r="N94" s="23">
        <v>0.16500000000000001</v>
      </c>
      <c r="O94" s="23">
        <v>0.12770000000000001</v>
      </c>
      <c r="P94" s="24">
        <v>0.1202</v>
      </c>
      <c r="Q94" s="23">
        <v>0.20799999999999999</v>
      </c>
      <c r="R94" s="23">
        <v>0.20799999999999999</v>
      </c>
      <c r="S94" s="23">
        <v>0.19700000000000001</v>
      </c>
      <c r="T94" s="23">
        <v>0.16500000000000001</v>
      </c>
      <c r="U94" s="25">
        <f t="shared" si="16"/>
        <v>0.17012857142857143</v>
      </c>
      <c r="V94" s="25">
        <f t="shared" si="15"/>
        <v>0.16102097799999998</v>
      </c>
      <c r="X94" s="3">
        <v>7.4999999999999997E-2</v>
      </c>
      <c r="Y94" s="3">
        <v>7.0000000000000007E-2</v>
      </c>
    </row>
    <row r="95" spans="1:25">
      <c r="A95" s="4">
        <v>39356</v>
      </c>
      <c r="B95" s="18">
        <v>0.41</v>
      </c>
      <c r="C95" s="43">
        <v>0.32940000000000003</v>
      </c>
      <c r="D95" s="22">
        <v>0.13769999999999999</v>
      </c>
      <c r="E95" s="18">
        <v>0.22</v>
      </c>
      <c r="F95" s="18">
        <v>0.19</v>
      </c>
      <c r="G95" s="18">
        <v>0</v>
      </c>
      <c r="H95" s="18">
        <v>0.16</v>
      </c>
      <c r="I95" s="18">
        <f t="shared" si="11"/>
        <v>0.2067285714285714</v>
      </c>
      <c r="J95" s="41">
        <f t="shared" si="14"/>
        <v>0.25012452600000001</v>
      </c>
      <c r="K95" s="50">
        <f t="shared" si="12"/>
        <v>0.16972904</v>
      </c>
      <c r="L95" s="50"/>
      <c r="M95" s="4">
        <v>39356</v>
      </c>
      <c r="N95" s="23">
        <v>0.16500000000000001</v>
      </c>
      <c r="O95" s="24">
        <v>0.12770000000000001</v>
      </c>
      <c r="P95" s="24">
        <v>0.1202</v>
      </c>
      <c r="Q95" s="23">
        <v>0.2</v>
      </c>
      <c r="R95" s="23">
        <v>0.2</v>
      </c>
      <c r="S95" s="23">
        <v>0.191</v>
      </c>
      <c r="T95" s="23">
        <v>0.16500000000000001</v>
      </c>
      <c r="U95" s="25">
        <f t="shared" si="16"/>
        <v>0.16698571428571429</v>
      </c>
      <c r="V95" s="25">
        <f t="shared" si="15"/>
        <v>0.159496418</v>
      </c>
      <c r="X95" s="3">
        <v>7.4999999999999997E-2</v>
      </c>
      <c r="Y95" s="3">
        <v>7.4999999999999997E-2</v>
      </c>
    </row>
    <row r="96" spans="1:25">
      <c r="A96" s="4">
        <v>39387</v>
      </c>
      <c r="B96" s="18">
        <v>0.43</v>
      </c>
      <c r="C96" s="22">
        <v>0.34770000000000001</v>
      </c>
      <c r="D96" s="43">
        <v>0.1537</v>
      </c>
      <c r="E96" s="18">
        <v>0.24</v>
      </c>
      <c r="F96" s="18">
        <v>0.21</v>
      </c>
      <c r="G96" s="18">
        <v>0</v>
      </c>
      <c r="H96" s="18">
        <v>0.18</v>
      </c>
      <c r="I96" s="18">
        <f t="shared" ref="I96:I105" si="17">AVERAGE(B96,C96,D96,E96,F96,G96,H96)</f>
        <v>0.22305714285714284</v>
      </c>
      <c r="J96" s="41">
        <f t="shared" si="14"/>
        <v>0.26727660799999997</v>
      </c>
      <c r="K96" s="50">
        <f t="shared" si="12"/>
        <v>0.17688370333333334</v>
      </c>
      <c r="L96" s="50"/>
      <c r="M96" s="4">
        <v>39387</v>
      </c>
      <c r="N96" s="23">
        <v>0.17499999999999999</v>
      </c>
      <c r="O96" s="23">
        <v>0.13919999999999999</v>
      </c>
      <c r="P96" s="24">
        <v>0.12659999999999999</v>
      </c>
      <c r="Q96" s="23">
        <v>0.22800000000000001</v>
      </c>
      <c r="R96" s="23">
        <v>0.22800000000000001</v>
      </c>
      <c r="S96" s="23">
        <v>0.21199999999999999</v>
      </c>
      <c r="T96" s="23">
        <v>0.17499999999999999</v>
      </c>
      <c r="U96" s="25">
        <f t="shared" si="16"/>
        <v>0.18340000000000001</v>
      </c>
      <c r="V96" s="25">
        <f t="shared" si="15"/>
        <v>0.17239358799999999</v>
      </c>
      <c r="X96" s="3">
        <v>7.4999999999999997E-2</v>
      </c>
      <c r="Y96" s="3">
        <v>7.4999999999999997E-2</v>
      </c>
    </row>
    <row r="97" spans="1:25">
      <c r="A97" s="4">
        <v>39417</v>
      </c>
      <c r="B97" s="18">
        <v>0.46</v>
      </c>
      <c r="C97" s="22">
        <v>0.37209999999999999</v>
      </c>
      <c r="D97" s="43">
        <v>0.17499999999999999</v>
      </c>
      <c r="E97" s="18">
        <v>0.27</v>
      </c>
      <c r="F97" s="18">
        <v>0.24</v>
      </c>
      <c r="G97" s="18">
        <v>0</v>
      </c>
      <c r="H97" s="18">
        <v>0.2</v>
      </c>
      <c r="I97" s="18">
        <f t="shared" si="17"/>
        <v>0.24530000000000002</v>
      </c>
      <c r="J97" s="41">
        <f t="shared" si="14"/>
        <v>0.290350934</v>
      </c>
      <c r="K97" s="50">
        <f t="shared" si="12"/>
        <v>0.18456131000000001</v>
      </c>
      <c r="L97" s="50"/>
      <c r="M97" s="4">
        <v>39417</v>
      </c>
      <c r="N97" s="23">
        <v>0.185</v>
      </c>
      <c r="O97" s="23">
        <v>0.153</v>
      </c>
      <c r="P97" s="24">
        <v>0.13619999999999999</v>
      </c>
      <c r="Q97" s="23">
        <v>0.252</v>
      </c>
      <c r="R97" s="23">
        <v>0.252</v>
      </c>
      <c r="S97" s="23">
        <v>0.23</v>
      </c>
      <c r="T97" s="23">
        <v>0.185</v>
      </c>
      <c r="U97" s="25">
        <f t="shared" si="16"/>
        <v>0.19902857142857142</v>
      </c>
      <c r="V97" s="25">
        <f t="shared" si="15"/>
        <v>0.18533991999999999</v>
      </c>
      <c r="X97" s="3">
        <v>7.4999999999999997E-2</v>
      </c>
      <c r="Y97" s="3">
        <v>7.4999999999999997E-2</v>
      </c>
    </row>
    <row r="98" spans="1:25">
      <c r="A98" s="4">
        <v>39448</v>
      </c>
      <c r="B98" s="18">
        <v>0.54</v>
      </c>
      <c r="C98" s="22">
        <v>0.43919999999999998</v>
      </c>
      <c r="D98" s="22">
        <v>0.24</v>
      </c>
      <c r="E98" s="18">
        <v>0.35</v>
      </c>
      <c r="F98" s="18">
        <v>0.32</v>
      </c>
      <c r="G98" s="18">
        <v>0</v>
      </c>
      <c r="H98" s="18">
        <v>0.26</v>
      </c>
      <c r="I98" s="18">
        <f t="shared" si="17"/>
        <v>0.30702857142857143</v>
      </c>
      <c r="J98" s="41">
        <f t="shared" ref="J98:J109" si="18">SUM(B98*$B$191,C98*$C$191,D98*$D$191,E98*$E$191,F98*$F$191,G98*$G$191,H98*$H$191)</f>
        <v>0.35724175999999991</v>
      </c>
      <c r="K98" s="50">
        <f t="shared" si="12"/>
        <v>0.15676416200000001</v>
      </c>
      <c r="L98" s="50"/>
      <c r="M98" s="4">
        <v>39448</v>
      </c>
      <c r="N98" s="23">
        <v>0.215</v>
      </c>
      <c r="O98" s="23">
        <v>0.17369999999999999</v>
      </c>
      <c r="P98" s="24">
        <v>0.1618</v>
      </c>
      <c r="Q98" s="23">
        <v>0.28799999999999998</v>
      </c>
      <c r="R98" s="23">
        <v>0.28799999999999998</v>
      </c>
      <c r="S98" s="23">
        <v>0.25700000000000001</v>
      </c>
      <c r="T98" s="23">
        <v>0.215</v>
      </c>
      <c r="U98" s="25">
        <f t="shared" ref="U98:U107" si="19">AVERAGE(N98:T98)</f>
        <v>0.2283571428571429</v>
      </c>
      <c r="V98" s="25">
        <f t="shared" ref="V98:V107" si="20">SUM(N98*$B$191,O98*$C$191,P98*$D$191,Q98*$E$191,R98*$F$191,S98*$G$191,T98*$H$191)</f>
        <v>0.21328460999999999</v>
      </c>
      <c r="X98" s="3">
        <v>7.4999999999999997E-2</v>
      </c>
      <c r="Y98" s="3">
        <v>7.4999999999999997E-2</v>
      </c>
    </row>
    <row r="99" spans="1:25">
      <c r="A99" s="4">
        <v>39479</v>
      </c>
      <c r="B99" s="18">
        <v>0.53</v>
      </c>
      <c r="C99" s="22">
        <v>0.42699999999999999</v>
      </c>
      <c r="D99" s="22">
        <v>0.23</v>
      </c>
      <c r="E99" s="18">
        <v>0.34</v>
      </c>
      <c r="F99" s="18">
        <v>0.31</v>
      </c>
      <c r="G99" s="18">
        <v>0</v>
      </c>
      <c r="H99" s="18">
        <v>0.25</v>
      </c>
      <c r="I99" s="18">
        <f t="shared" si="17"/>
        <v>0.29814285714285715</v>
      </c>
      <c r="J99" s="41">
        <f t="shared" si="18"/>
        <v>0.34791009999999994</v>
      </c>
      <c r="K99" s="50">
        <f t="shared" si="12"/>
        <v>0.14630476133333334</v>
      </c>
      <c r="L99" s="50"/>
      <c r="M99" s="4">
        <v>39479</v>
      </c>
      <c r="N99" s="23">
        <v>0.21</v>
      </c>
      <c r="O99" s="23">
        <v>0.1668</v>
      </c>
      <c r="P99" s="24">
        <v>0.15859999999999999</v>
      </c>
      <c r="Q99" s="23">
        <v>0.27600000000000002</v>
      </c>
      <c r="R99" s="23">
        <v>0.27600000000000002</v>
      </c>
      <c r="S99" s="23">
        <v>0.248</v>
      </c>
      <c r="T99" s="23">
        <v>0.21</v>
      </c>
      <c r="U99" s="25">
        <f t="shared" si="19"/>
        <v>0.22077142857142859</v>
      </c>
      <c r="V99" s="25">
        <f t="shared" si="20"/>
        <v>0.20709564</v>
      </c>
      <c r="X99" s="3">
        <v>7.4999999999999997E-2</v>
      </c>
      <c r="Y99" s="3">
        <v>7.4999999999999997E-2</v>
      </c>
    </row>
    <row r="100" spans="1:25">
      <c r="A100" s="4">
        <v>39508</v>
      </c>
      <c r="B100" s="18">
        <v>0.52</v>
      </c>
      <c r="C100" s="22">
        <v>0.4209</v>
      </c>
      <c r="D100" s="22">
        <v>0.22500000000000001</v>
      </c>
      <c r="E100" s="18">
        <v>0.33</v>
      </c>
      <c r="F100" s="18">
        <v>0.3</v>
      </c>
      <c r="G100" s="18">
        <v>0</v>
      </c>
      <c r="H100" s="18">
        <v>0.25</v>
      </c>
      <c r="I100" s="18">
        <f t="shared" si="17"/>
        <v>0.29227142857142863</v>
      </c>
      <c r="J100" s="41">
        <f t="shared" si="18"/>
        <v>0.34197026999999997</v>
      </c>
      <c r="K100" s="50">
        <f t="shared" si="12"/>
        <v>0.13692928599999998</v>
      </c>
      <c r="L100" s="50"/>
      <c r="M100" s="4">
        <v>39508</v>
      </c>
      <c r="N100" s="23">
        <v>0.21</v>
      </c>
      <c r="O100" s="23">
        <v>0.1691</v>
      </c>
      <c r="P100" s="24">
        <v>0.15540000000000001</v>
      </c>
      <c r="Q100" s="23">
        <v>0.28000000000000003</v>
      </c>
      <c r="R100" s="23">
        <v>0.28000000000000003</v>
      </c>
      <c r="S100" s="23">
        <v>0.251</v>
      </c>
      <c r="T100" s="23">
        <v>0.21</v>
      </c>
      <c r="U100" s="25">
        <f t="shared" si="19"/>
        <v>0.2222142857142857</v>
      </c>
      <c r="V100" s="25">
        <f t="shared" si="20"/>
        <v>0.20771623</v>
      </c>
      <c r="X100" s="3">
        <v>0.08</v>
      </c>
      <c r="Y100" s="3">
        <v>7.4999999999999997E-2</v>
      </c>
    </row>
    <row r="101" spans="1:25">
      <c r="A101" s="4">
        <v>39539</v>
      </c>
      <c r="B101" s="18">
        <v>0.54</v>
      </c>
      <c r="C101" s="22">
        <v>0.4083</v>
      </c>
      <c r="D101" s="22">
        <v>0.23499999999999999</v>
      </c>
      <c r="E101" s="18">
        <v>0.35</v>
      </c>
      <c r="F101" s="18">
        <v>0.31</v>
      </c>
      <c r="G101" s="18">
        <v>0</v>
      </c>
      <c r="H101" s="18">
        <v>0.26</v>
      </c>
      <c r="I101" s="18">
        <f t="shared" si="17"/>
        <v>0.30047142857142856</v>
      </c>
      <c r="J101" s="41">
        <f t="shared" si="18"/>
        <v>0.35167348999999998</v>
      </c>
      <c r="K101" s="50">
        <f t="shared" si="12"/>
        <v>0.14019150933333333</v>
      </c>
      <c r="L101" s="50"/>
      <c r="M101" s="4">
        <v>39539</v>
      </c>
      <c r="N101" s="23">
        <v>0.215</v>
      </c>
      <c r="O101" s="23">
        <v>0.17599999999999999</v>
      </c>
      <c r="P101" s="24">
        <v>0.1618</v>
      </c>
      <c r="Q101" s="23">
        <v>0.29199999999999998</v>
      </c>
      <c r="R101" s="23">
        <v>0.29199999999999998</v>
      </c>
      <c r="S101" s="23">
        <v>0.26</v>
      </c>
      <c r="T101" s="23">
        <v>0.215</v>
      </c>
      <c r="U101" s="25">
        <f t="shared" si="19"/>
        <v>0.23025714285714288</v>
      </c>
      <c r="V101" s="25">
        <f t="shared" si="20"/>
        <v>0.21436599999999997</v>
      </c>
      <c r="X101" s="3">
        <v>0.08</v>
      </c>
      <c r="Y101" s="3">
        <v>7.4999999999999997E-2</v>
      </c>
    </row>
    <row r="102" spans="1:25">
      <c r="A102" s="4">
        <v>39569</v>
      </c>
      <c r="B102" s="18">
        <v>0.66</v>
      </c>
      <c r="C102" s="22">
        <v>0.30480000000000002</v>
      </c>
      <c r="D102" s="22">
        <v>0.34</v>
      </c>
      <c r="E102" s="18">
        <v>0.48</v>
      </c>
      <c r="F102" s="18">
        <v>0.44</v>
      </c>
      <c r="G102" s="18">
        <v>0</v>
      </c>
      <c r="H102" s="18">
        <v>0.36</v>
      </c>
      <c r="I102" s="18">
        <f t="shared" si="17"/>
        <v>0.36925714285714284</v>
      </c>
      <c r="J102" s="41">
        <f t="shared" si="18"/>
        <v>0.42151344000000002</v>
      </c>
      <c r="K102" s="50">
        <f t="shared" si="12"/>
        <v>0.16756185733333337</v>
      </c>
      <c r="L102" s="50"/>
      <c r="M102" s="4">
        <v>39569</v>
      </c>
      <c r="N102" s="23">
        <v>0.26500000000000001</v>
      </c>
      <c r="O102" s="23">
        <v>0.19900000000000001</v>
      </c>
      <c r="P102" s="24">
        <v>0.20019999999999999</v>
      </c>
      <c r="Q102" s="23">
        <v>0.33200000000000002</v>
      </c>
      <c r="R102" s="23">
        <v>0.33200000000000002</v>
      </c>
      <c r="S102" s="23">
        <v>0.28999999999999998</v>
      </c>
      <c r="T102" s="23">
        <v>0.26500000000000001</v>
      </c>
      <c r="U102" s="25">
        <f t="shared" si="19"/>
        <v>0.26902857142857145</v>
      </c>
      <c r="V102" s="25">
        <f t="shared" si="20"/>
        <v>0.25554949999999999</v>
      </c>
      <c r="X102" s="3">
        <v>0.08</v>
      </c>
      <c r="Y102" s="3">
        <v>7.4999999999999997E-2</v>
      </c>
    </row>
    <row r="103" spans="1:25">
      <c r="A103" s="4">
        <v>39600</v>
      </c>
      <c r="B103" s="18">
        <v>0.71</v>
      </c>
      <c r="C103" s="43">
        <v>0.34499999999999997</v>
      </c>
      <c r="D103" s="43">
        <v>0.38500000000000001</v>
      </c>
      <c r="E103" s="42">
        <v>0.53</v>
      </c>
      <c r="F103" s="42">
        <v>0.49</v>
      </c>
      <c r="G103" s="42">
        <v>0</v>
      </c>
      <c r="H103" s="42">
        <v>0.4</v>
      </c>
      <c r="I103" s="42">
        <f t="shared" si="17"/>
        <v>0.40857142857142853</v>
      </c>
      <c r="J103" s="41">
        <f t="shared" si="18"/>
        <v>0.46257049999999994</v>
      </c>
      <c r="K103" s="50">
        <f t="shared" si="12"/>
        <v>0.19310789400000003</v>
      </c>
      <c r="L103" s="50"/>
      <c r="M103" s="4">
        <v>39600</v>
      </c>
      <c r="N103" s="23">
        <v>0.28499999999999998</v>
      </c>
      <c r="O103" s="23">
        <v>0.21510000000000001</v>
      </c>
      <c r="P103" s="24">
        <v>0.2162</v>
      </c>
      <c r="Q103" s="23">
        <v>0.36</v>
      </c>
      <c r="R103" s="23">
        <v>0.36</v>
      </c>
      <c r="S103" s="23">
        <v>0.311</v>
      </c>
      <c r="T103" s="23">
        <v>0.28499999999999998</v>
      </c>
      <c r="U103" s="25">
        <f t="shared" si="19"/>
        <v>0.29032857142857138</v>
      </c>
      <c r="V103" s="25">
        <f t="shared" si="20"/>
        <v>0.27535922999999995</v>
      </c>
      <c r="X103" s="3">
        <v>0.08</v>
      </c>
      <c r="Y103" s="3">
        <v>7.4999999999999997E-2</v>
      </c>
    </row>
    <row r="104" spans="1:25">
      <c r="A104" s="4">
        <v>39630</v>
      </c>
      <c r="B104" s="18">
        <v>0.8</v>
      </c>
      <c r="C104" s="43">
        <v>0.4083</v>
      </c>
      <c r="D104" s="43">
        <v>0.45500000000000002</v>
      </c>
      <c r="E104" s="42">
        <v>0.61</v>
      </c>
      <c r="F104" s="42">
        <v>0.57999999999999996</v>
      </c>
      <c r="G104" s="42">
        <v>0</v>
      </c>
      <c r="H104" s="42">
        <v>0.47</v>
      </c>
      <c r="I104" s="42">
        <f t="shared" si="17"/>
        <v>0.47475714285714282</v>
      </c>
      <c r="J104" s="41">
        <f t="shared" si="18"/>
        <v>0.53229049000000006</v>
      </c>
      <c r="K104" s="50">
        <f t="shared" si="12"/>
        <v>0.19642873600000002</v>
      </c>
      <c r="L104" s="50"/>
      <c r="M104" s="4">
        <v>39630</v>
      </c>
      <c r="N104" s="23">
        <v>0.32</v>
      </c>
      <c r="O104" s="23">
        <v>0.245</v>
      </c>
      <c r="P104" s="24">
        <v>0.245</v>
      </c>
      <c r="Q104" s="23">
        <v>0.41199999999999998</v>
      </c>
      <c r="R104" s="23">
        <v>0.41199999999999998</v>
      </c>
      <c r="S104" s="23">
        <v>0.35</v>
      </c>
      <c r="T104" s="23">
        <v>0.32</v>
      </c>
      <c r="U104" s="25">
        <f t="shared" si="19"/>
        <v>0.32914285714285713</v>
      </c>
      <c r="V104" s="25">
        <f t="shared" si="20"/>
        <v>0.31095249999999997</v>
      </c>
      <c r="X104" s="3">
        <v>0.08</v>
      </c>
      <c r="Y104" s="3">
        <v>7.4999999999999997E-2</v>
      </c>
    </row>
    <row r="105" spans="1:25">
      <c r="A105" s="4">
        <v>39661</v>
      </c>
      <c r="B105" s="18">
        <v>0.86</v>
      </c>
      <c r="C105" s="43">
        <v>0.46</v>
      </c>
      <c r="D105" s="43">
        <v>0.51</v>
      </c>
      <c r="E105" s="42">
        <v>0.67</v>
      </c>
      <c r="F105" s="42">
        <v>0.64</v>
      </c>
      <c r="G105" s="42">
        <v>0</v>
      </c>
      <c r="H105" s="42">
        <v>0.52</v>
      </c>
      <c r="I105" s="42">
        <f t="shared" si="17"/>
        <v>0.52285714285714291</v>
      </c>
      <c r="J105" s="41">
        <f t="shared" si="18"/>
        <v>0.58257399999999993</v>
      </c>
      <c r="K105" s="50">
        <f t="shared" si="12"/>
        <v>0.20317644399999998</v>
      </c>
      <c r="L105" s="50"/>
      <c r="M105" s="4">
        <v>39661</v>
      </c>
      <c r="N105" s="23">
        <v>0.34499999999999997</v>
      </c>
      <c r="O105" s="23">
        <v>0.26340000000000002</v>
      </c>
      <c r="P105" s="24">
        <v>0.26419999999999999</v>
      </c>
      <c r="Q105" s="23">
        <v>0.44400000000000001</v>
      </c>
      <c r="R105" s="23">
        <v>0.44400000000000001</v>
      </c>
      <c r="S105" s="23">
        <v>0.374</v>
      </c>
      <c r="T105" s="23">
        <v>0.34499999999999997</v>
      </c>
      <c r="U105" s="25">
        <f t="shared" si="19"/>
        <v>0.35422857142857139</v>
      </c>
      <c r="V105" s="25">
        <f t="shared" si="20"/>
        <v>0.33478841999999998</v>
      </c>
      <c r="X105" s="3">
        <v>0.08</v>
      </c>
      <c r="Y105" s="3">
        <v>7.4999999999999997E-2</v>
      </c>
    </row>
    <row r="106" spans="1:25">
      <c r="A106" s="4">
        <v>39692</v>
      </c>
      <c r="B106" s="18">
        <v>0.87</v>
      </c>
      <c r="C106" s="43">
        <v>0.46579999999999999</v>
      </c>
      <c r="D106" s="43">
        <v>0.51500000000000001</v>
      </c>
      <c r="E106" s="42">
        <v>0.68</v>
      </c>
      <c r="F106" s="42">
        <v>0.65</v>
      </c>
      <c r="G106" s="42">
        <v>0</v>
      </c>
      <c r="H106" s="42">
        <v>0.53</v>
      </c>
      <c r="I106" s="42">
        <f t="shared" ref="I106:I113" si="21">AVERAGE(B106,C106,D106,E106,F106,G106,H106)</f>
        <v>0.53011428571428565</v>
      </c>
      <c r="J106" s="41">
        <f t="shared" si="18"/>
        <v>0.59022374</v>
      </c>
      <c r="K106" s="50">
        <f t="shared" si="12"/>
        <v>0.21872124866666667</v>
      </c>
      <c r="L106" s="50"/>
      <c r="M106" s="4">
        <v>39692</v>
      </c>
      <c r="N106" s="23">
        <v>0.35</v>
      </c>
      <c r="O106" s="23">
        <v>0.26340000000000002</v>
      </c>
      <c r="P106" s="24">
        <v>0.26740000000000003</v>
      </c>
      <c r="Q106" s="23">
        <v>0.44400000000000001</v>
      </c>
      <c r="R106" s="23">
        <v>0.44400000000000001</v>
      </c>
      <c r="S106" s="23">
        <v>0.374</v>
      </c>
      <c r="T106" s="23">
        <v>0.35</v>
      </c>
      <c r="U106" s="25">
        <f t="shared" si="19"/>
        <v>0.35611428571428572</v>
      </c>
      <c r="V106" s="25">
        <f t="shared" si="20"/>
        <v>0.33773322</v>
      </c>
      <c r="X106" s="3">
        <v>0.08</v>
      </c>
      <c r="Y106" s="3">
        <v>0.08</v>
      </c>
    </row>
    <row r="107" spans="1:25">
      <c r="A107" s="4">
        <v>39722</v>
      </c>
      <c r="B107" s="18">
        <v>0.77</v>
      </c>
      <c r="C107" s="43">
        <v>0.38529999999999998</v>
      </c>
      <c r="D107" s="43">
        <v>0.43</v>
      </c>
      <c r="E107" s="42">
        <v>0.57999999999999996</v>
      </c>
      <c r="F107" s="42">
        <v>0.55000000000000004</v>
      </c>
      <c r="G107" s="42">
        <v>0</v>
      </c>
      <c r="H107" s="42">
        <v>0.45</v>
      </c>
      <c r="I107" s="42">
        <f t="shared" si="21"/>
        <v>0.4521857142857143</v>
      </c>
      <c r="J107" s="41">
        <f t="shared" si="18"/>
        <v>0.50881458999999996</v>
      </c>
      <c r="K107" s="50">
        <f t="shared" si="12"/>
        <v>0.2337333486666667</v>
      </c>
      <c r="L107" s="50"/>
      <c r="M107" s="4">
        <v>39722</v>
      </c>
      <c r="N107" s="23">
        <v>0.31</v>
      </c>
      <c r="O107" s="23">
        <v>0.2243</v>
      </c>
      <c r="P107" s="24">
        <v>0.28000000000000003</v>
      </c>
      <c r="Q107" s="23">
        <v>0.376</v>
      </c>
      <c r="R107" s="23">
        <v>0.376</v>
      </c>
      <c r="S107" s="23">
        <v>0.32300000000000001</v>
      </c>
      <c r="T107" s="23">
        <v>0.31</v>
      </c>
      <c r="U107" s="25">
        <f t="shared" si="19"/>
        <v>0.31418571428571429</v>
      </c>
      <c r="V107" s="25">
        <f t="shared" si="20"/>
        <v>0.30129199000000001</v>
      </c>
      <c r="X107" s="3">
        <v>0.09</v>
      </c>
      <c r="Y107" s="3">
        <v>8.5000000000000006E-2</v>
      </c>
    </row>
    <row r="108" spans="1:25">
      <c r="A108" s="4">
        <v>39753</v>
      </c>
      <c r="B108" s="18">
        <v>0.7</v>
      </c>
      <c r="C108" s="22">
        <v>0.33350000000000002</v>
      </c>
      <c r="D108" s="43">
        <v>0.37</v>
      </c>
      <c r="E108" s="18">
        <v>0.51</v>
      </c>
      <c r="F108" s="18">
        <v>0.48</v>
      </c>
      <c r="G108" s="18">
        <v>0</v>
      </c>
      <c r="H108" s="18">
        <v>0.39</v>
      </c>
      <c r="I108" s="42">
        <f t="shared" si="21"/>
        <v>0.39764285714285724</v>
      </c>
      <c r="J108" s="41">
        <f t="shared" si="18"/>
        <v>0.45173804999999995</v>
      </c>
      <c r="K108" s="50">
        <f t="shared" si="12"/>
        <v>0.24393262599999999</v>
      </c>
      <c r="L108" s="50"/>
      <c r="M108" s="4">
        <v>39753</v>
      </c>
      <c r="N108" s="7"/>
      <c r="O108" s="7"/>
      <c r="P108" s="8"/>
      <c r="Q108" s="7"/>
      <c r="R108" s="7"/>
      <c r="S108" s="7"/>
      <c r="T108" s="7"/>
      <c r="U108" s="3"/>
      <c r="V108" s="3"/>
      <c r="X108" s="3">
        <v>0.1</v>
      </c>
      <c r="Y108" s="3">
        <v>8.5000000000000006E-2</v>
      </c>
    </row>
    <row r="109" spans="1:25">
      <c r="A109" s="4">
        <v>39783</v>
      </c>
      <c r="B109" s="18">
        <v>0.59</v>
      </c>
      <c r="C109" s="22">
        <v>0.24729999999999999</v>
      </c>
      <c r="D109" s="22">
        <v>0.28000000000000003</v>
      </c>
      <c r="E109" s="18">
        <v>0.4</v>
      </c>
      <c r="F109" s="18">
        <v>0.36</v>
      </c>
      <c r="G109" s="18">
        <v>0</v>
      </c>
      <c r="H109" s="18">
        <v>0.3</v>
      </c>
      <c r="I109" s="42">
        <f t="shared" si="21"/>
        <v>0.31104285714285712</v>
      </c>
      <c r="J109" s="41">
        <f t="shared" si="18"/>
        <v>0.36249018999999993</v>
      </c>
      <c r="K109" s="50">
        <f t="shared" si="12"/>
        <v>0.25051415466666666</v>
      </c>
      <c r="L109" s="50"/>
      <c r="M109" s="4">
        <v>39783</v>
      </c>
      <c r="N109" s="7"/>
      <c r="O109" s="7"/>
      <c r="P109" s="8"/>
      <c r="Q109" s="7"/>
      <c r="R109" s="7"/>
      <c r="S109" s="7"/>
      <c r="T109" s="7"/>
      <c r="U109" s="3"/>
      <c r="V109" s="3"/>
      <c r="X109" s="3">
        <v>0.105</v>
      </c>
      <c r="Y109" s="3">
        <v>0.09</v>
      </c>
    </row>
    <row r="110" spans="1:25">
      <c r="A110" s="4">
        <v>39814</v>
      </c>
      <c r="B110" s="18">
        <v>0.41</v>
      </c>
      <c r="C110" s="22">
        <v>0.115</v>
      </c>
      <c r="D110" s="49">
        <f>AVERAGE(0.07,0.035)</f>
        <v>5.2500000000000005E-2</v>
      </c>
      <c r="E110" s="18">
        <v>0.22</v>
      </c>
      <c r="F110" s="18">
        <v>0.19</v>
      </c>
      <c r="G110" s="18">
        <v>0</v>
      </c>
      <c r="H110" s="18">
        <v>0.16</v>
      </c>
      <c r="I110" s="42">
        <f t="shared" si="21"/>
        <v>0.16392857142857142</v>
      </c>
      <c r="J110" s="41">
        <f t="shared" ref="J110:J121" si="22">SUM(B110*$B$192,C110*$C$192,D110*$D$192,E110*$E$192,F110*$F$192,G110*$G$192,H110*$H$192)</f>
        <v>0.21518975000000004</v>
      </c>
      <c r="K110" s="50">
        <f t="shared" si="12"/>
        <v>0.24308164866666662</v>
      </c>
      <c r="L110" s="50"/>
      <c r="M110" s="4">
        <v>39814</v>
      </c>
      <c r="N110" s="71"/>
      <c r="O110" s="7"/>
      <c r="P110" s="8"/>
      <c r="Q110" s="7"/>
      <c r="R110" s="7"/>
      <c r="S110" s="7"/>
      <c r="T110" s="7"/>
      <c r="U110" s="3"/>
      <c r="V110" s="3"/>
      <c r="X110" s="3">
        <v>0.11</v>
      </c>
      <c r="Y110" s="3">
        <v>0.09</v>
      </c>
    </row>
    <row r="111" spans="1:25">
      <c r="A111" s="4">
        <v>39845</v>
      </c>
      <c r="B111" s="18">
        <v>0.3</v>
      </c>
      <c r="C111" s="22">
        <v>2.8799999999999999E-2</v>
      </c>
      <c r="D111" s="49">
        <f>AVERAGE(0.015,0.01)</f>
        <v>1.2500000000000001E-2</v>
      </c>
      <c r="E111" s="18">
        <v>0.12</v>
      </c>
      <c r="F111" s="18">
        <v>0.08</v>
      </c>
      <c r="G111" s="18">
        <v>0</v>
      </c>
      <c r="H111" s="18">
        <v>7.0000000000000007E-2</v>
      </c>
      <c r="I111" s="42">
        <f t="shared" si="21"/>
        <v>8.7328571428571422E-2</v>
      </c>
      <c r="J111" s="41">
        <f t="shared" si="22"/>
        <v>0.13286998999999999</v>
      </c>
      <c r="K111" s="50">
        <f t="shared" ref="K111:K113" si="23">AVERAGE(J99,J87,J75)</f>
        <v>0.23552997466666667</v>
      </c>
      <c r="L111" s="50"/>
      <c r="M111" s="4">
        <v>39845</v>
      </c>
      <c r="N111" s="71"/>
      <c r="O111" s="7"/>
      <c r="P111" s="8"/>
      <c r="Q111" s="7"/>
      <c r="R111" s="7"/>
      <c r="S111" s="7"/>
      <c r="T111" s="7"/>
      <c r="U111" s="3"/>
      <c r="V111" s="3"/>
      <c r="X111" s="3">
        <v>9.5000000000000001E-2</v>
      </c>
      <c r="Y111" s="3">
        <v>9.5000000000000001E-2</v>
      </c>
    </row>
    <row r="112" spans="1:25">
      <c r="A112" s="4">
        <v>39873</v>
      </c>
      <c r="B112" s="18">
        <v>0.27</v>
      </c>
      <c r="C112" s="22">
        <v>0</v>
      </c>
      <c r="D112" s="49">
        <f>AVERAGE(0.005,0)</f>
        <v>2.5000000000000001E-3</v>
      </c>
      <c r="E112" s="18">
        <v>0.08</v>
      </c>
      <c r="F112" s="18">
        <v>0</v>
      </c>
      <c r="G112" s="18">
        <v>0</v>
      </c>
      <c r="H112" s="18">
        <v>0</v>
      </c>
      <c r="I112" s="42">
        <f t="shared" si="21"/>
        <v>5.0357142857142864E-2</v>
      </c>
      <c r="J112" s="41">
        <f t="shared" si="22"/>
        <v>9.8913750000000022E-2</v>
      </c>
      <c r="K112" s="50">
        <f t="shared" si="23"/>
        <v>0.22606169600000001</v>
      </c>
      <c r="L112" s="50"/>
      <c r="M112" s="4">
        <v>39873</v>
      </c>
      <c r="N112" s="71"/>
      <c r="O112" s="7"/>
      <c r="P112" s="8"/>
      <c r="Q112" s="7"/>
      <c r="R112" s="7"/>
      <c r="S112" s="7"/>
      <c r="T112" s="7"/>
      <c r="U112" s="3"/>
      <c r="V112" s="3"/>
      <c r="X112" s="3">
        <v>9.5000000000000001E-2</v>
      </c>
      <c r="Y112" s="3">
        <v>9.5000000000000001E-2</v>
      </c>
    </row>
    <row r="113" spans="1:25">
      <c r="A113" s="4">
        <v>39904</v>
      </c>
      <c r="B113" s="18">
        <v>0.24</v>
      </c>
      <c r="C113" s="22">
        <v>0</v>
      </c>
      <c r="D113" s="49">
        <f>AVERAGE(0,0)</f>
        <v>0</v>
      </c>
      <c r="E113" s="18">
        <v>0.05</v>
      </c>
      <c r="F113" s="18">
        <v>0</v>
      </c>
      <c r="G113" s="18">
        <v>0</v>
      </c>
      <c r="H113" s="18">
        <v>0</v>
      </c>
      <c r="I113" s="42">
        <f t="shared" si="21"/>
        <v>4.1428571428571426E-2</v>
      </c>
      <c r="J113" s="41">
        <f t="shared" si="22"/>
        <v>8.5919000000000009E-2</v>
      </c>
      <c r="K113" s="50">
        <f t="shared" si="23"/>
        <v>0.22969985266666662</v>
      </c>
      <c r="L113" s="50"/>
      <c r="M113" s="4">
        <v>39904</v>
      </c>
      <c r="N113" s="71"/>
      <c r="O113" s="7"/>
      <c r="P113" s="8"/>
      <c r="Q113" s="7"/>
      <c r="R113" s="7"/>
      <c r="S113" s="7"/>
      <c r="T113" s="7"/>
      <c r="U113" s="3"/>
      <c r="V113" s="3"/>
      <c r="X113" s="3">
        <v>9.5000000000000001E-2</v>
      </c>
      <c r="Y113" s="3">
        <v>9.5000000000000001E-2</v>
      </c>
    </row>
    <row r="114" spans="1:25">
      <c r="A114" s="4">
        <v>39934</v>
      </c>
      <c r="B114" s="18">
        <v>0.22</v>
      </c>
      <c r="C114" s="22">
        <v>0</v>
      </c>
      <c r="D114" s="49">
        <f>AVERAGE(0,0)</f>
        <v>0</v>
      </c>
      <c r="E114" s="18">
        <v>0.03</v>
      </c>
      <c r="F114" s="18">
        <v>0</v>
      </c>
      <c r="G114" s="18">
        <v>0</v>
      </c>
      <c r="H114" s="18">
        <v>0</v>
      </c>
      <c r="I114" s="42">
        <f t="shared" ref="I114" si="24">AVERAGE(B114,C114,D114,E114,F114,G114,H114)</f>
        <v>3.5714285714285712E-2</v>
      </c>
      <c r="J114" s="41">
        <f t="shared" si="22"/>
        <v>7.7475000000000002E-2</v>
      </c>
      <c r="K114" s="50">
        <f>AVERAGE(J102,J90,J78)</f>
        <v>0.27183619399999998</v>
      </c>
      <c r="L114" s="50"/>
      <c r="M114" s="4">
        <v>39934</v>
      </c>
      <c r="N114" s="71"/>
      <c r="O114" s="7"/>
      <c r="P114" s="8"/>
      <c r="Q114" s="7"/>
      <c r="R114" s="7"/>
      <c r="S114" s="7"/>
      <c r="T114" s="7"/>
      <c r="U114" s="3"/>
      <c r="V114" s="3"/>
      <c r="X114" s="3">
        <v>9.5000000000000001E-2</v>
      </c>
      <c r="Y114" s="3">
        <v>9.5000000000000001E-2</v>
      </c>
    </row>
    <row r="115" spans="1:25">
      <c r="A115" s="4">
        <v>39965</v>
      </c>
      <c r="B115" s="18">
        <v>0.25</v>
      </c>
      <c r="C115" s="22">
        <v>0</v>
      </c>
      <c r="D115" s="49">
        <f>AVERAGE(0,0.005)</f>
        <v>2.5000000000000001E-3</v>
      </c>
      <c r="E115" s="18">
        <v>0.06</v>
      </c>
      <c r="F115" s="18">
        <v>0</v>
      </c>
      <c r="G115" s="18">
        <v>0</v>
      </c>
      <c r="H115" s="18">
        <v>0</v>
      </c>
      <c r="I115" s="42">
        <f>AVERAGE(B115,C115,D115,E115,F115,G115,H115)</f>
        <v>4.4642857142857144E-2</v>
      </c>
      <c r="J115" s="41">
        <f t="shared" si="22"/>
        <v>9.0469750000000002E-2</v>
      </c>
      <c r="K115" s="50">
        <f>AVERAGE(J103,J91,J79)</f>
        <v>0.30746311066666665</v>
      </c>
      <c r="L115" s="50"/>
      <c r="M115" s="4">
        <v>39965</v>
      </c>
      <c r="N115" s="71"/>
      <c r="O115" s="7"/>
      <c r="P115" s="8"/>
      <c r="Q115" s="7"/>
      <c r="R115" s="7"/>
      <c r="S115" s="7"/>
      <c r="T115" s="7"/>
      <c r="U115" s="3"/>
      <c r="V115" s="3"/>
      <c r="X115" s="3">
        <v>0.115</v>
      </c>
      <c r="Y115" s="3">
        <v>0.115</v>
      </c>
    </row>
    <row r="116" spans="1:25">
      <c r="A116" s="4">
        <v>39995</v>
      </c>
      <c r="B116" s="18">
        <v>0.25</v>
      </c>
      <c r="C116" s="22">
        <v>0</v>
      </c>
      <c r="D116" s="49">
        <f>AVERAGE(0.04,0.075)</f>
        <v>5.7499999999999996E-2</v>
      </c>
      <c r="E116" s="18">
        <v>0.06</v>
      </c>
      <c r="F116" s="18">
        <v>0</v>
      </c>
      <c r="G116" s="18">
        <v>0</v>
      </c>
      <c r="H116" s="18">
        <v>0</v>
      </c>
      <c r="I116" s="42">
        <f>AVERAGE(B116,C116,D116,E116,F116,G116,H116)</f>
        <v>5.2499999999999998E-2</v>
      </c>
      <c r="J116" s="41">
        <f t="shared" si="22"/>
        <v>9.7702250000000004E-2</v>
      </c>
      <c r="K116" s="50">
        <f>AVERAGE(J104,J92,J80)</f>
        <v>0.33920865933333338</v>
      </c>
      <c r="L116" s="50"/>
      <c r="M116" s="4">
        <v>39995</v>
      </c>
      <c r="N116" s="71"/>
      <c r="O116" s="7"/>
      <c r="P116" s="8"/>
      <c r="Q116" s="7"/>
      <c r="R116" s="7"/>
      <c r="S116" s="7"/>
      <c r="T116" s="7"/>
      <c r="U116" s="3"/>
      <c r="V116" s="3"/>
      <c r="X116" s="3">
        <v>0.115</v>
      </c>
      <c r="Y116" s="3">
        <v>0.115</v>
      </c>
    </row>
    <row r="117" spans="1:25">
      <c r="A117" s="4">
        <v>40026</v>
      </c>
      <c r="B117" s="18">
        <v>0.32</v>
      </c>
      <c r="C117" s="22">
        <v>4.5999999999999999E-2</v>
      </c>
      <c r="D117" s="49">
        <f>AVERAGE(0.06,0.075)</f>
        <v>6.7500000000000004E-2</v>
      </c>
      <c r="E117" s="18">
        <v>0.14000000000000001</v>
      </c>
      <c r="F117" s="18">
        <v>0.1</v>
      </c>
      <c r="G117" s="18">
        <v>0</v>
      </c>
      <c r="H117" s="18">
        <v>0.09</v>
      </c>
      <c r="I117" s="42">
        <f t="shared" ref="I117:I119" si="25">AVERAGE(B117,C117,D117,E117,F117,G117,H117)</f>
        <v>0.10907142857142857</v>
      </c>
      <c r="J117" s="41">
        <f t="shared" si="22"/>
        <v>0.15516705</v>
      </c>
      <c r="K117" s="50">
        <f t="shared" ref="K117:K119" si="26">AVERAGE(J105,J93,J81)</f>
        <v>0.3575328273333333</v>
      </c>
      <c r="L117" s="50"/>
      <c r="M117" s="4">
        <v>40026</v>
      </c>
      <c r="N117" s="7"/>
      <c r="O117" s="7"/>
      <c r="P117" s="8"/>
      <c r="Q117" s="7"/>
      <c r="R117" s="7"/>
      <c r="S117" s="7"/>
      <c r="T117" s="7"/>
      <c r="U117" s="3"/>
      <c r="V117" s="3"/>
      <c r="X117" s="3">
        <v>0.13</v>
      </c>
      <c r="Y117" s="3">
        <v>0.13500000000000001</v>
      </c>
    </row>
    <row r="118" spans="1:25">
      <c r="A118" s="4">
        <v>40057</v>
      </c>
      <c r="B118" s="18">
        <v>0.33</v>
      </c>
      <c r="C118" s="22">
        <v>5.1799999999999999E-2</v>
      </c>
      <c r="D118" s="49">
        <f>AVERAGE(0.075,0.09)</f>
        <v>8.249999999999999E-2</v>
      </c>
      <c r="E118" s="18">
        <v>0.14000000000000001</v>
      </c>
      <c r="F118" s="18">
        <v>0.11</v>
      </c>
      <c r="G118" s="18">
        <v>0</v>
      </c>
      <c r="H118" s="18">
        <v>0.09</v>
      </c>
      <c r="I118" s="42">
        <f t="shared" si="25"/>
        <v>0.1149</v>
      </c>
      <c r="J118" s="41">
        <f t="shared" si="22"/>
        <v>0.16155739</v>
      </c>
      <c r="K118" s="50">
        <f t="shared" si="26"/>
        <v>0.36675450199999998</v>
      </c>
      <c r="L118" s="50"/>
      <c r="M118" s="4">
        <v>40057</v>
      </c>
      <c r="N118" s="7"/>
      <c r="O118" s="7"/>
      <c r="P118" s="8"/>
      <c r="Q118" s="7"/>
      <c r="R118" s="7"/>
      <c r="S118" s="7"/>
      <c r="T118" s="7"/>
      <c r="U118" s="3"/>
      <c r="V118" s="3"/>
      <c r="X118" s="3">
        <v>0.13</v>
      </c>
      <c r="Y118" s="3">
        <v>0.13500000000000001</v>
      </c>
    </row>
    <row r="119" spans="1:25">
      <c r="A119" s="4">
        <v>40095</v>
      </c>
      <c r="B119" s="18">
        <v>0.35</v>
      </c>
      <c r="C119" s="22">
        <v>6.9000000000000006E-2</v>
      </c>
      <c r="D119" s="49">
        <f>AVERAGE(0.09,0.08)</f>
        <v>8.4999999999999992E-2</v>
      </c>
      <c r="E119" s="18">
        <v>0.16</v>
      </c>
      <c r="F119" s="18">
        <v>0.13</v>
      </c>
      <c r="G119" s="18">
        <v>0</v>
      </c>
      <c r="H119" s="18">
        <v>0.11</v>
      </c>
      <c r="I119" s="42">
        <f t="shared" si="25"/>
        <v>0.12914285714285714</v>
      </c>
      <c r="J119" s="41">
        <f t="shared" si="22"/>
        <v>0.17695070000000004</v>
      </c>
      <c r="K119" s="50">
        <f t="shared" si="26"/>
        <v>0.3461541053333333</v>
      </c>
      <c r="L119" s="50"/>
      <c r="M119" s="4">
        <v>40087</v>
      </c>
      <c r="X119" s="3">
        <v>0.13500000000000001</v>
      </c>
      <c r="Y119" s="3">
        <v>0.14000000000000001</v>
      </c>
    </row>
    <row r="120" spans="1:25">
      <c r="A120" s="4">
        <v>40126</v>
      </c>
      <c r="B120" s="18">
        <v>0.35</v>
      </c>
      <c r="C120" s="22">
        <v>6.3299999999999995E-2</v>
      </c>
      <c r="D120" s="49">
        <f>AVERAGE(0.075,0.095)</f>
        <v>8.4999999999999992E-2</v>
      </c>
      <c r="E120" s="18">
        <v>0.16</v>
      </c>
      <c r="F120" s="18">
        <v>0.13</v>
      </c>
      <c r="G120" s="18">
        <v>0</v>
      </c>
      <c r="H120" s="18">
        <v>0.11</v>
      </c>
      <c r="I120" s="42">
        <f t="shared" ref="I120:I129" si="27">AVERAGE(B120,C120,D120,E120,F120,G120,H120)</f>
        <v>0.12832857142857143</v>
      </c>
      <c r="J120" s="41">
        <f t="shared" si="22"/>
        <v>0.17618234000000002</v>
      </c>
      <c r="K120" s="50">
        <f t="shared" ref="K120:K130" si="28">AVERAGE(J108,J96,J84)</f>
        <v>0.31629976599999993</v>
      </c>
      <c r="L120" s="50"/>
      <c r="M120" s="4">
        <v>40118</v>
      </c>
      <c r="X120" s="3">
        <v>0.13500000000000001</v>
      </c>
      <c r="Y120" s="3">
        <v>0.14499999999999999</v>
      </c>
    </row>
    <row r="121" spans="1:25">
      <c r="A121" s="4">
        <v>40156</v>
      </c>
      <c r="B121" s="18">
        <v>0.36</v>
      </c>
      <c r="C121" s="22">
        <v>7.4800000000000005E-2</v>
      </c>
      <c r="D121" s="49">
        <f>AVERAGE(0.12,0.115)</f>
        <v>0.11749999999999999</v>
      </c>
      <c r="E121" s="18">
        <v>0.17</v>
      </c>
      <c r="F121" s="18">
        <v>0.14000000000000001</v>
      </c>
      <c r="G121" s="18">
        <v>0</v>
      </c>
      <c r="H121" s="18">
        <v>0.12</v>
      </c>
      <c r="I121" s="42">
        <f t="shared" si="27"/>
        <v>0.14032857142857144</v>
      </c>
      <c r="J121" s="41">
        <f t="shared" si="22"/>
        <v>0.18837929</v>
      </c>
      <c r="K121" s="50">
        <f t="shared" si="28"/>
        <v>0.27587887799999999</v>
      </c>
      <c r="L121" s="50"/>
      <c r="M121" s="4">
        <v>40148</v>
      </c>
      <c r="U121" s="5"/>
      <c r="V121" s="3"/>
      <c r="X121" s="3">
        <v>0.13500000000000001</v>
      </c>
      <c r="Y121" s="3">
        <v>0.14499999999999999</v>
      </c>
    </row>
    <row r="122" spans="1:25">
      <c r="A122" s="4">
        <v>40188</v>
      </c>
      <c r="B122" s="18">
        <v>0.39</v>
      </c>
      <c r="C122" s="22">
        <v>9.7799999999999998E-2</v>
      </c>
      <c r="D122" s="49">
        <f>AVERAGE(0.11,0.105)</f>
        <v>0.1075</v>
      </c>
      <c r="E122" s="18">
        <v>0.2</v>
      </c>
      <c r="F122" s="18">
        <v>0.17</v>
      </c>
      <c r="G122" s="18">
        <v>0</v>
      </c>
      <c r="H122" s="18">
        <v>0.14000000000000001</v>
      </c>
      <c r="I122" s="42">
        <f t="shared" si="27"/>
        <v>0.15790000000000001</v>
      </c>
      <c r="J122" s="41">
        <f t="shared" ref="J122:J133" si="29">SUM(B122*$B$193,C122*$C$193,D122*$D$193,E122*$E$193,F122*$F$193,G122*$G$193,H122*$H$193)</f>
        <v>0.19994697</v>
      </c>
      <c r="K122" s="50">
        <f t="shared" si="28"/>
        <v>0.25213034866666667</v>
      </c>
      <c r="L122" s="50"/>
      <c r="M122" s="4">
        <v>40179</v>
      </c>
      <c r="U122" s="5"/>
      <c r="V122" s="3"/>
      <c r="X122" s="3">
        <v>0.14000000000000001</v>
      </c>
      <c r="Y122" s="3">
        <v>0.14499999999999999</v>
      </c>
    </row>
    <row r="123" spans="1:25">
      <c r="A123" s="4">
        <v>40220</v>
      </c>
      <c r="B123" s="18">
        <v>0.38</v>
      </c>
      <c r="C123" s="22">
        <v>8.6300000000000002E-2</v>
      </c>
      <c r="D123" s="49">
        <f>AVERAGE(0.12,0.13)</f>
        <v>0.125</v>
      </c>
      <c r="E123" s="18">
        <v>0.19</v>
      </c>
      <c r="F123" s="18">
        <v>0.16</v>
      </c>
      <c r="G123" s="18">
        <v>0</v>
      </c>
      <c r="H123" s="18">
        <v>0.13</v>
      </c>
      <c r="I123" s="42">
        <f t="shared" si="27"/>
        <v>0.15304285714285712</v>
      </c>
      <c r="J123" s="41">
        <f t="shared" si="29"/>
        <v>0.19574362000000001</v>
      </c>
      <c r="K123" s="50">
        <f t="shared" si="28"/>
        <v>0.22687853799999999</v>
      </c>
      <c r="L123" s="50"/>
      <c r="M123" s="4">
        <v>40210</v>
      </c>
      <c r="U123" s="5"/>
      <c r="V123" s="3"/>
      <c r="X123" s="3">
        <v>0.14000000000000001</v>
      </c>
      <c r="Y123" s="3">
        <v>0.14499999999999999</v>
      </c>
    </row>
    <row r="124" spans="1:25">
      <c r="A124" s="4">
        <v>40252</v>
      </c>
      <c r="B124" s="18">
        <v>0.4</v>
      </c>
      <c r="C124" s="59">
        <v>0.10929999999999999</v>
      </c>
      <c r="D124" s="49">
        <f>AVERAGE(0.12,0.115)</f>
        <v>0.11749999999999999</v>
      </c>
      <c r="E124" s="18">
        <v>0.22</v>
      </c>
      <c r="F124" s="18">
        <v>0.18</v>
      </c>
      <c r="G124" s="18">
        <v>0</v>
      </c>
      <c r="H124" s="18">
        <v>0.15</v>
      </c>
      <c r="I124" s="42">
        <f t="shared" si="27"/>
        <v>0.16811428571428569</v>
      </c>
      <c r="J124" s="41">
        <f t="shared" si="29"/>
        <v>0.20990157000000001</v>
      </c>
      <c r="K124" s="50">
        <f t="shared" si="28"/>
        <v>0.20385115600000001</v>
      </c>
      <c r="L124" s="50"/>
      <c r="M124" s="4">
        <v>40238</v>
      </c>
      <c r="U124" s="5"/>
      <c r="V124" s="3"/>
      <c r="X124" s="3">
        <v>0.14000000000000001</v>
      </c>
      <c r="Y124" s="3">
        <v>0.15</v>
      </c>
    </row>
    <row r="125" spans="1:25">
      <c r="A125" s="4">
        <v>40284</v>
      </c>
      <c r="B125" s="18">
        <v>0.39</v>
      </c>
      <c r="C125" s="59">
        <v>9.7799999999999998E-2</v>
      </c>
      <c r="D125" s="49">
        <f>AVERAGE(0.135,0.145)</f>
        <v>0.14000000000000001</v>
      </c>
      <c r="E125" s="18">
        <v>0.2</v>
      </c>
      <c r="F125" s="18">
        <v>0.17</v>
      </c>
      <c r="G125" s="18">
        <v>0</v>
      </c>
      <c r="H125" s="18">
        <v>0.14000000000000001</v>
      </c>
      <c r="I125" s="42">
        <f t="shared" si="27"/>
        <v>0.16254285714285716</v>
      </c>
      <c r="J125" s="41">
        <f t="shared" si="29"/>
        <v>0.20592372000000003</v>
      </c>
      <c r="K125" s="50">
        <f t="shared" si="28"/>
        <v>0.20315772933333331</v>
      </c>
      <c r="L125" s="50"/>
      <c r="M125" s="4">
        <v>40269</v>
      </c>
      <c r="U125" s="5"/>
      <c r="V125" s="3"/>
      <c r="X125" s="3">
        <v>0.14499999999999999</v>
      </c>
      <c r="Y125" s="3">
        <v>0.15</v>
      </c>
    </row>
    <row r="126" spans="1:25">
      <c r="A126" s="4">
        <v>40316</v>
      </c>
      <c r="B126" s="18">
        <v>0.42</v>
      </c>
      <c r="C126" s="59">
        <v>0.1208</v>
      </c>
      <c r="D126" s="49">
        <f>AVERAGE(0.155,0.175)</f>
        <v>0.16499999999999998</v>
      </c>
      <c r="E126" s="18">
        <v>0.23</v>
      </c>
      <c r="F126" s="18">
        <v>0.2</v>
      </c>
      <c r="G126" s="18">
        <v>0</v>
      </c>
      <c r="H126" s="18">
        <v>0.17</v>
      </c>
      <c r="I126" s="42">
        <f t="shared" si="27"/>
        <v>0.18654285714285712</v>
      </c>
      <c r="J126" s="41">
        <f t="shared" si="29"/>
        <v>0.23126342</v>
      </c>
      <c r="K126" s="50">
        <f t="shared" si="28"/>
        <v>0.23683300066666668</v>
      </c>
      <c r="L126" s="50"/>
      <c r="M126" s="4">
        <v>40299</v>
      </c>
      <c r="U126" s="5"/>
      <c r="V126" s="3"/>
      <c r="X126" s="3">
        <v>0.14499999999999999</v>
      </c>
      <c r="Y126" s="3">
        <v>0.155</v>
      </c>
    </row>
    <row r="127" spans="1:25">
      <c r="A127" s="4">
        <v>40348</v>
      </c>
      <c r="B127" s="18">
        <v>0.46</v>
      </c>
      <c r="C127" s="59">
        <v>0.14949999999999999</v>
      </c>
      <c r="D127" s="49">
        <f>AVERAGE(0.185,0.17)</f>
        <v>0.17749999999999999</v>
      </c>
      <c r="E127" s="18">
        <v>0.27</v>
      </c>
      <c r="F127" s="18">
        <v>0.23</v>
      </c>
      <c r="G127" s="18">
        <v>0</v>
      </c>
      <c r="H127" s="18">
        <v>0.2</v>
      </c>
      <c r="I127" s="42">
        <f t="shared" si="27"/>
        <v>0.21242857142857141</v>
      </c>
      <c r="J127" s="41">
        <f t="shared" si="29"/>
        <v>0.25894305000000001</v>
      </c>
      <c r="K127" s="50">
        <f t="shared" si="28"/>
        <v>0.26559952733333331</v>
      </c>
      <c r="L127" s="50"/>
      <c r="M127" s="4">
        <v>40330</v>
      </c>
      <c r="U127" s="5"/>
      <c r="V127" s="3"/>
      <c r="X127" s="3">
        <v>0.14499999999999999</v>
      </c>
      <c r="Y127" s="3">
        <v>0.155</v>
      </c>
    </row>
    <row r="128" spans="1:25">
      <c r="A128" s="4">
        <v>40380</v>
      </c>
      <c r="B128" s="18">
        <v>0.46</v>
      </c>
      <c r="C128" s="59">
        <v>0.14949999999999999</v>
      </c>
      <c r="D128" s="49">
        <f>AVERAGE(0.15,0.145)</f>
        <v>0.14749999999999999</v>
      </c>
      <c r="E128" s="18">
        <v>0.27</v>
      </c>
      <c r="F128" s="18">
        <v>0.24</v>
      </c>
      <c r="G128" s="18">
        <v>0</v>
      </c>
      <c r="H128" s="18">
        <v>0.2</v>
      </c>
      <c r="I128" s="42">
        <f t="shared" si="27"/>
        <v>0.20957142857142858</v>
      </c>
      <c r="J128" s="41">
        <f t="shared" si="29"/>
        <v>0.25366905000000001</v>
      </c>
      <c r="K128" s="50">
        <f t="shared" si="28"/>
        <v>0.28816879266666667</v>
      </c>
      <c r="L128" s="50"/>
      <c r="M128" s="4">
        <v>40360</v>
      </c>
      <c r="U128" s="5"/>
      <c r="V128" s="3"/>
      <c r="X128" s="3">
        <v>0.15</v>
      </c>
      <c r="Y128" s="3">
        <v>0.155</v>
      </c>
    </row>
    <row r="129" spans="1:27">
      <c r="A129" s="4">
        <v>40412</v>
      </c>
      <c r="B129" s="18">
        <v>0.43</v>
      </c>
      <c r="C129" s="59">
        <v>0.1265</v>
      </c>
      <c r="D129" s="49">
        <f>AVERAGE(0.14,0.145)</f>
        <v>0.14250000000000002</v>
      </c>
      <c r="E129" s="18">
        <v>0.24</v>
      </c>
      <c r="F129" s="18">
        <v>0.21</v>
      </c>
      <c r="G129" s="18">
        <v>0</v>
      </c>
      <c r="H129" s="18">
        <v>0.17</v>
      </c>
      <c r="I129" s="42">
        <f t="shared" si="27"/>
        <v>0.18842857142857142</v>
      </c>
      <c r="J129" s="41">
        <f t="shared" si="29"/>
        <v>0.23200735000000003</v>
      </c>
      <c r="K129" s="50">
        <f t="shared" si="28"/>
        <v>0.3254197273333333</v>
      </c>
      <c r="L129" s="50"/>
      <c r="M129" s="4">
        <v>40391</v>
      </c>
      <c r="U129" s="5"/>
      <c r="V129" s="3"/>
      <c r="X129" s="3">
        <v>0.15</v>
      </c>
      <c r="Y129" s="3">
        <v>0.16</v>
      </c>
    </row>
    <row r="130" spans="1:27">
      <c r="A130" s="4">
        <v>40444</v>
      </c>
      <c r="B130" s="18">
        <v>0.42</v>
      </c>
      <c r="C130" s="59">
        <v>0.1208</v>
      </c>
      <c r="D130" s="49">
        <f>AVERAGE(0.15,0.15)</f>
        <v>0.15</v>
      </c>
      <c r="E130" s="18">
        <v>0.23</v>
      </c>
      <c r="F130" s="18">
        <v>0.2</v>
      </c>
      <c r="G130" s="18">
        <v>0</v>
      </c>
      <c r="H130" s="18">
        <v>0.17</v>
      </c>
      <c r="I130" s="42">
        <f t="shared" ref="I130" si="30">AVERAGE(B130,C130,D130,E130,F130,G130,H130)</f>
        <v>0.18439999999999998</v>
      </c>
      <c r="J130" s="41">
        <f t="shared" si="29"/>
        <v>0.22850492</v>
      </c>
      <c r="K130" s="50">
        <f t="shared" si="28"/>
        <v>0.333916302</v>
      </c>
      <c r="L130" s="50"/>
      <c r="M130" s="4">
        <v>40422</v>
      </c>
      <c r="U130" s="5"/>
      <c r="V130" s="3"/>
      <c r="X130" s="3">
        <v>0.155</v>
      </c>
      <c r="Y130" s="3">
        <v>0.16</v>
      </c>
    </row>
    <row r="131" spans="1:27">
      <c r="A131" s="4">
        <v>40476</v>
      </c>
      <c r="B131" s="18">
        <v>0.43</v>
      </c>
      <c r="C131" s="59">
        <v>0.1265</v>
      </c>
      <c r="D131" s="49">
        <f>AVERAGE(0.145,0.15)</f>
        <v>0.14749999999999999</v>
      </c>
      <c r="E131" s="18">
        <v>0.24</v>
      </c>
      <c r="F131" s="18">
        <v>0.21</v>
      </c>
      <c r="G131" s="18">
        <v>0</v>
      </c>
      <c r="H131" s="18">
        <v>0.18</v>
      </c>
      <c r="I131" s="42">
        <f t="shared" ref="I131" si="31">AVERAGE(B131,C131,D131,E131,F131,G131,H131)</f>
        <v>0.19057142857142856</v>
      </c>
      <c r="J131" s="41">
        <f t="shared" si="29"/>
        <v>0.23469885000000001</v>
      </c>
      <c r="K131" s="50">
        <f t="shared" ref="K131" si="32">AVERAGE(J119,J107,J95)</f>
        <v>0.31196327200000001</v>
      </c>
      <c r="L131" s="50"/>
      <c r="M131" s="4">
        <v>40452</v>
      </c>
      <c r="U131" s="5"/>
      <c r="V131" s="3"/>
      <c r="X131" s="3">
        <v>0.155</v>
      </c>
      <c r="Y131" s="3">
        <v>0.16500000000000001</v>
      </c>
    </row>
    <row r="132" spans="1:27">
      <c r="A132" s="4">
        <v>40508</v>
      </c>
      <c r="B132" s="18">
        <v>0.43</v>
      </c>
      <c r="C132" s="59">
        <v>0.1265</v>
      </c>
      <c r="D132" s="49">
        <f>AVERAGE(0.175,0.16)</f>
        <v>0.16749999999999998</v>
      </c>
      <c r="E132" s="18">
        <v>0.24</v>
      </c>
      <c r="F132" s="18">
        <v>0.21</v>
      </c>
      <c r="G132" s="18">
        <v>0</v>
      </c>
      <c r="H132" s="18">
        <v>0.17</v>
      </c>
      <c r="I132" s="42">
        <f t="shared" ref="I132" si="33">AVERAGE(B132,C132,D132,E132,F132,G132,H132)</f>
        <v>0.19199999999999998</v>
      </c>
      <c r="J132" s="41">
        <f t="shared" si="29"/>
        <v>0.23660485000000003</v>
      </c>
      <c r="K132" s="50">
        <f t="shared" ref="K132" si="34">AVERAGE(J120,J108,J96)</f>
        <v>0.2983989993333333</v>
      </c>
      <c r="L132" s="50"/>
      <c r="M132" s="4">
        <v>40483</v>
      </c>
      <c r="U132" s="5"/>
      <c r="V132" s="3"/>
      <c r="X132" s="3">
        <v>0.155</v>
      </c>
      <c r="Y132" s="3">
        <v>0.16500000000000001</v>
      </c>
    </row>
    <row r="133" spans="1:27">
      <c r="A133" s="4">
        <v>40540</v>
      </c>
      <c r="B133" s="18">
        <v>0.46</v>
      </c>
      <c r="C133" s="59">
        <v>0.14949999999999999</v>
      </c>
      <c r="D133" s="49">
        <f>AVERAGE(0.195,0.18)</f>
        <v>0.1875</v>
      </c>
      <c r="E133" s="18">
        <v>0.27</v>
      </c>
      <c r="F133" s="18">
        <v>0.23</v>
      </c>
      <c r="G133" s="18">
        <v>0</v>
      </c>
      <c r="H133" s="18">
        <v>0.2</v>
      </c>
      <c r="I133" s="42">
        <f t="shared" ref="I133" si="35">AVERAGE(B133,C133,D133,E133,F133,G133,H133)</f>
        <v>0.21385714285714288</v>
      </c>
      <c r="J133" s="41">
        <f t="shared" si="29"/>
        <v>0.26078205000000004</v>
      </c>
      <c r="K133" s="50">
        <f t="shared" ref="K133" si="36">AVERAGE(J121,J109,J97)</f>
        <v>0.28040680466666662</v>
      </c>
      <c r="L133" s="50"/>
      <c r="M133" s="4">
        <v>40513</v>
      </c>
      <c r="U133" s="5"/>
      <c r="V133" s="3"/>
      <c r="X133" s="3">
        <v>0.16</v>
      </c>
      <c r="Y133" s="3">
        <v>0.16500000000000001</v>
      </c>
      <c r="Z133" s="5"/>
      <c r="AA133" s="5"/>
    </row>
    <row r="134" spans="1:27">
      <c r="A134" s="4">
        <v>40572</v>
      </c>
      <c r="B134" s="18">
        <v>0.48</v>
      </c>
      <c r="C134" s="59">
        <v>0.1668</v>
      </c>
      <c r="D134" s="49">
        <f>AVERAGE(0.195,0.21)</f>
        <v>0.20250000000000001</v>
      </c>
      <c r="E134" s="18">
        <v>0.28999999999999998</v>
      </c>
      <c r="F134" s="18">
        <v>0.26</v>
      </c>
      <c r="G134" s="18">
        <v>0</v>
      </c>
      <c r="H134" s="18">
        <v>0.21</v>
      </c>
      <c r="I134" s="42">
        <f t="shared" ref="I134" si="37">AVERAGE(B134,C134,D134,E134,F134,G134,H134)</f>
        <v>0.22989999999999999</v>
      </c>
      <c r="J134" s="41">
        <f t="shared" ref="J134:J145" si="38">SUM(B134*$B$194,C134*$C$194,D134*$D$194,E134*$E$194,F134*$F$194,G134*$G$194,H134*$H$194)</f>
        <v>0.28053747000000001</v>
      </c>
      <c r="K134" s="50">
        <f t="shared" ref="K134" si="39">AVERAGE(J122,J110,J98)</f>
        <v>0.25745949333333334</v>
      </c>
      <c r="L134" s="50"/>
      <c r="M134" s="4">
        <v>40544</v>
      </c>
      <c r="U134" s="5"/>
      <c r="V134" s="3"/>
      <c r="X134" s="3">
        <v>0.16</v>
      </c>
      <c r="Y134" s="3">
        <v>0.17</v>
      </c>
    </row>
    <row r="135" spans="1:27">
      <c r="A135" s="4">
        <v>40576</v>
      </c>
      <c r="B135" s="18">
        <v>0.5</v>
      </c>
      <c r="C135" s="59">
        <v>0.184</v>
      </c>
      <c r="D135" s="49">
        <f>AVERAGE(0.245,0.23)</f>
        <v>0.23749999999999999</v>
      </c>
      <c r="E135" s="18">
        <v>0.32</v>
      </c>
      <c r="F135" s="18">
        <v>0.28000000000000003</v>
      </c>
      <c r="G135" s="18">
        <v>0</v>
      </c>
      <c r="H135" s="18">
        <v>0.23</v>
      </c>
      <c r="I135" s="42">
        <f t="shared" ref="I135" si="40">AVERAGE(B135,C135,D135,E135,F135,G135,H135)</f>
        <v>0.25021428571428572</v>
      </c>
      <c r="J135" s="41">
        <f t="shared" si="38"/>
        <v>0.30136985000000005</v>
      </c>
      <c r="K135" s="50">
        <f t="shared" ref="K135" si="41">AVERAGE(J123,J111,J99)</f>
        <v>0.22550790333333329</v>
      </c>
      <c r="L135" s="50"/>
      <c r="M135" s="4">
        <v>40575</v>
      </c>
      <c r="U135" s="5"/>
      <c r="V135" s="3"/>
      <c r="X135" s="3">
        <v>0.16500000000000001</v>
      </c>
      <c r="Y135" s="3">
        <v>0.17</v>
      </c>
    </row>
    <row r="136" spans="1:27">
      <c r="A136" s="4">
        <v>40605</v>
      </c>
      <c r="B136" s="18">
        <v>0.23</v>
      </c>
      <c r="C136" s="59">
        <v>0.21279999999999999</v>
      </c>
      <c r="D136" s="49">
        <f>AVERAGE(0.26,0.27)</f>
        <v>0.26500000000000001</v>
      </c>
      <c r="E136" s="18">
        <v>0.35</v>
      </c>
      <c r="F136" s="18">
        <v>0.32</v>
      </c>
      <c r="G136" s="18">
        <v>0</v>
      </c>
      <c r="H136" s="18">
        <v>0.26</v>
      </c>
      <c r="I136" s="42">
        <f t="shared" ref="I136" si="42">AVERAGE(B136,C136,D136,E136,F136,G136,H136)</f>
        <v>0.23397142857142855</v>
      </c>
      <c r="J136" s="41">
        <f t="shared" si="38"/>
        <v>0.22667161999999999</v>
      </c>
      <c r="K136" s="50">
        <f t="shared" ref="K136" si="43">AVERAGE(J124,J112,J100)</f>
        <v>0.21692852999999998</v>
      </c>
      <c r="L136" s="50"/>
      <c r="M136" s="4">
        <v>40603</v>
      </c>
      <c r="U136" s="5"/>
      <c r="V136" s="3"/>
      <c r="X136" s="3">
        <v>0.16500000000000001</v>
      </c>
      <c r="Y136" s="3">
        <v>0.17499999999999999</v>
      </c>
      <c r="Z136" s="5"/>
    </row>
    <row r="137" spans="1:27">
      <c r="A137" s="4">
        <v>40638</v>
      </c>
      <c r="B137" s="18">
        <v>0.28000000000000003</v>
      </c>
      <c r="C137" s="59">
        <v>0.24729999999999999</v>
      </c>
      <c r="D137" s="49">
        <f>AVERAGE(0.325,0.35)</f>
        <v>0.33750000000000002</v>
      </c>
      <c r="E137" s="18">
        <v>0.4</v>
      </c>
      <c r="F137" s="18">
        <v>0.37</v>
      </c>
      <c r="G137" s="18">
        <v>0</v>
      </c>
      <c r="H137" s="18">
        <v>0.3</v>
      </c>
      <c r="I137" s="42">
        <f t="shared" ref="I137:I142" si="44">AVERAGE(B137,C137,D137,E137,F137,G137,H137)</f>
        <v>0.27640000000000003</v>
      </c>
      <c r="J137" s="41">
        <f t="shared" si="38"/>
        <v>0.27166967000000003</v>
      </c>
      <c r="K137" s="50">
        <f t="shared" ref="K137:K142" si="45">AVERAGE(J125,J113,J101)</f>
        <v>0.21450540333333334</v>
      </c>
      <c r="L137" s="50"/>
      <c r="M137" s="4">
        <v>40634</v>
      </c>
      <c r="U137" s="5"/>
      <c r="V137" s="3"/>
      <c r="X137" s="3">
        <v>0.17</v>
      </c>
      <c r="Y137" s="3">
        <v>0.17499999999999999</v>
      </c>
    </row>
    <row r="138" spans="1:27">
      <c r="A138" s="4">
        <v>40669</v>
      </c>
      <c r="B138" s="18">
        <v>0.36</v>
      </c>
      <c r="C138" s="59">
        <v>0.3105</v>
      </c>
      <c r="D138" s="49">
        <f>AVERAGE(0.355,0.385)</f>
        <v>0.37</v>
      </c>
      <c r="E138" s="18">
        <v>0.48</v>
      </c>
      <c r="F138" s="18">
        <v>0.45</v>
      </c>
      <c r="G138" s="18">
        <v>0</v>
      </c>
      <c r="H138" s="18">
        <v>0.37</v>
      </c>
      <c r="I138" s="42">
        <f t="shared" si="44"/>
        <v>0.33435714285714285</v>
      </c>
      <c r="J138" s="41">
        <f t="shared" si="38"/>
        <v>0.33204569999999994</v>
      </c>
      <c r="K138" s="50">
        <f t="shared" si="45"/>
        <v>0.2434172866666667</v>
      </c>
      <c r="L138" s="50"/>
      <c r="M138" s="4">
        <v>40664</v>
      </c>
      <c r="U138" s="5"/>
      <c r="V138" s="3"/>
      <c r="X138" s="3">
        <v>0.17</v>
      </c>
      <c r="Y138" s="3">
        <v>0.17499999999999999</v>
      </c>
    </row>
    <row r="139" spans="1:27">
      <c r="A139" s="4">
        <v>40702</v>
      </c>
      <c r="B139" s="18">
        <v>0.4</v>
      </c>
      <c r="C139" s="59">
        <v>0.33929999999999999</v>
      </c>
      <c r="D139" s="49">
        <f>AVERAGE(0.39,0.375)</f>
        <v>0.38250000000000001</v>
      </c>
      <c r="E139" s="18">
        <v>0.52</v>
      </c>
      <c r="F139" s="18">
        <v>0.49</v>
      </c>
      <c r="G139" s="18">
        <v>0</v>
      </c>
      <c r="H139" s="18">
        <v>0.4</v>
      </c>
      <c r="I139" s="42">
        <f t="shared" si="44"/>
        <v>0.36168571428571428</v>
      </c>
      <c r="J139" s="41">
        <f t="shared" si="38"/>
        <v>0.36035397000000002</v>
      </c>
      <c r="K139" s="50">
        <f t="shared" si="45"/>
        <v>0.27066109999999999</v>
      </c>
      <c r="L139" s="50"/>
      <c r="M139" s="4">
        <v>40695</v>
      </c>
      <c r="U139" s="5"/>
      <c r="V139" s="3"/>
      <c r="X139" s="3">
        <v>0.17</v>
      </c>
      <c r="Y139" s="3">
        <v>0.18</v>
      </c>
      <c r="Z139" s="5"/>
    </row>
    <row r="140" spans="1:27">
      <c r="A140" s="4">
        <v>40733</v>
      </c>
      <c r="B140" s="18">
        <v>0.39</v>
      </c>
      <c r="C140" s="59">
        <v>0.33929999999999999</v>
      </c>
      <c r="D140" s="49">
        <f>AVERAGE(0.355,0.355)</f>
        <v>0.35499999999999998</v>
      </c>
      <c r="E140" s="18">
        <v>0.52</v>
      </c>
      <c r="F140" s="18">
        <v>0.48</v>
      </c>
      <c r="G140" s="18">
        <v>0</v>
      </c>
      <c r="H140" s="18">
        <v>0.39</v>
      </c>
      <c r="I140" s="42">
        <f t="shared" si="44"/>
        <v>0.35347142857142855</v>
      </c>
      <c r="J140" s="41">
        <f t="shared" si="38"/>
        <v>0.35040972000000004</v>
      </c>
      <c r="K140" s="50">
        <f t="shared" si="45"/>
        <v>0.29455393000000002</v>
      </c>
      <c r="L140" s="50"/>
      <c r="M140" s="4">
        <v>40725</v>
      </c>
      <c r="U140" s="5"/>
      <c r="V140" s="3"/>
      <c r="X140" s="3">
        <v>0.17499999999999999</v>
      </c>
      <c r="Y140" s="3">
        <v>0.18</v>
      </c>
    </row>
    <row r="141" spans="1:27">
      <c r="A141" s="4">
        <v>40765</v>
      </c>
      <c r="B141" s="18">
        <v>0.36</v>
      </c>
      <c r="C141" s="59">
        <v>0.31630000000000003</v>
      </c>
      <c r="D141" s="49">
        <f>AVERAGE(0.34,0.355)</f>
        <v>0.34750000000000003</v>
      </c>
      <c r="E141" s="18">
        <v>0.49</v>
      </c>
      <c r="F141" s="18">
        <v>0.45</v>
      </c>
      <c r="G141" s="18">
        <v>0</v>
      </c>
      <c r="H141" s="18">
        <v>0.37</v>
      </c>
      <c r="I141" s="42">
        <f t="shared" si="44"/>
        <v>0.33340000000000003</v>
      </c>
      <c r="J141" s="41">
        <f t="shared" si="38"/>
        <v>0.32976727</v>
      </c>
      <c r="K141" s="50">
        <f t="shared" si="45"/>
        <v>0.32324946666666665</v>
      </c>
      <c r="L141" s="50"/>
      <c r="M141" s="4">
        <v>40756</v>
      </c>
      <c r="U141" s="5"/>
      <c r="V141" s="3"/>
      <c r="X141" s="3">
        <v>0.17499999999999999</v>
      </c>
      <c r="Y141" s="3">
        <v>0.185</v>
      </c>
    </row>
    <row r="142" spans="1:27">
      <c r="A142" s="4">
        <v>40798</v>
      </c>
      <c r="B142" s="18">
        <v>0.36</v>
      </c>
      <c r="C142" s="59">
        <v>0.3105</v>
      </c>
      <c r="D142" s="49">
        <f>AVERAGE(0.35,0.33)</f>
        <v>0.33999999999999997</v>
      </c>
      <c r="E142" s="18">
        <v>0.48</v>
      </c>
      <c r="F142" s="18">
        <v>0.45</v>
      </c>
      <c r="G142" s="18">
        <v>0</v>
      </c>
      <c r="H142" s="18">
        <v>0.37</v>
      </c>
      <c r="I142" s="42">
        <f t="shared" si="44"/>
        <v>0.33007142857142852</v>
      </c>
      <c r="J142" s="41">
        <f t="shared" si="38"/>
        <v>0.32711669999999998</v>
      </c>
      <c r="K142" s="50">
        <f t="shared" si="45"/>
        <v>0.32676201666666665</v>
      </c>
      <c r="L142" s="50"/>
      <c r="M142" s="4">
        <v>40787</v>
      </c>
      <c r="U142" s="5"/>
      <c r="V142" s="3"/>
      <c r="X142" s="3">
        <v>0.18</v>
      </c>
      <c r="Y142" s="3">
        <v>0.185</v>
      </c>
    </row>
    <row r="143" spans="1:27">
      <c r="A143" s="4">
        <v>40829</v>
      </c>
      <c r="B143" s="18">
        <v>0.35</v>
      </c>
      <c r="C143" s="59">
        <v>0.30480000000000002</v>
      </c>
      <c r="D143" s="49">
        <f>AVERAGE(0.335,0.335)</f>
        <v>0.33500000000000002</v>
      </c>
      <c r="E143" s="18">
        <v>0.47</v>
      </c>
      <c r="F143" s="18">
        <v>0.44</v>
      </c>
      <c r="G143" s="18">
        <v>0</v>
      </c>
      <c r="H143" s="18">
        <v>0.36</v>
      </c>
      <c r="I143" s="42">
        <f t="shared" ref="I143:I148" si="46">AVERAGE(B143,C143,D143,E143,F143,G143,H143)</f>
        <v>0.32282857142857141</v>
      </c>
      <c r="J143" s="41">
        <f t="shared" si="38"/>
        <v>0.31946342</v>
      </c>
      <c r="K143" s="50">
        <f t="shared" ref="K143:K148" si="47">AVERAGE(J131,J119,J107)</f>
        <v>0.30682137999999998</v>
      </c>
      <c r="L143" s="50"/>
      <c r="M143" s="4">
        <v>40817</v>
      </c>
      <c r="U143" s="5"/>
      <c r="V143" s="3"/>
      <c r="X143" s="3">
        <v>0.18</v>
      </c>
      <c r="Y143" s="3">
        <v>0.185</v>
      </c>
    </row>
    <row r="144" spans="1:27">
      <c r="A144" s="4">
        <v>40862</v>
      </c>
      <c r="B144" s="18">
        <v>0.34</v>
      </c>
      <c r="C144" s="59">
        <v>0.29899999999999999</v>
      </c>
      <c r="D144" s="49">
        <f>AVERAGE(0.31,0.33)</f>
        <v>0.32</v>
      </c>
      <c r="E144" s="18">
        <v>0.46</v>
      </c>
      <c r="F144" s="18">
        <v>0.43</v>
      </c>
      <c r="G144" s="18">
        <v>0</v>
      </c>
      <c r="H144" s="18">
        <v>0.35</v>
      </c>
      <c r="I144" s="42">
        <f t="shared" si="46"/>
        <v>0.31414285714285711</v>
      </c>
      <c r="J144" s="41">
        <f t="shared" si="38"/>
        <v>0.31015460000000006</v>
      </c>
      <c r="K144" s="50">
        <f t="shared" si="47"/>
        <v>0.28817508000000003</v>
      </c>
      <c r="L144" s="50"/>
      <c r="M144" s="4">
        <v>40848</v>
      </c>
      <c r="U144" s="5"/>
      <c r="V144" s="3"/>
      <c r="X144" s="3">
        <v>0.185</v>
      </c>
      <c r="Y144" s="3">
        <v>0.19</v>
      </c>
    </row>
    <row r="145" spans="1:25">
      <c r="A145" s="4">
        <v>40885</v>
      </c>
      <c r="B145" s="18">
        <v>0.33</v>
      </c>
      <c r="C145" s="59">
        <v>0.28749999999999998</v>
      </c>
      <c r="D145" s="49">
        <f>AVERAGE(0.345,0.365)</f>
        <v>0.35499999999999998</v>
      </c>
      <c r="E145" s="18">
        <v>0.45</v>
      </c>
      <c r="F145" s="18">
        <v>0.42</v>
      </c>
      <c r="G145" s="18">
        <v>0</v>
      </c>
      <c r="H145" s="18">
        <v>0.34</v>
      </c>
      <c r="I145" s="42">
        <f t="shared" si="46"/>
        <v>0.31178571428571422</v>
      </c>
      <c r="J145" s="41">
        <f t="shared" si="38"/>
        <v>0.30834600000000001</v>
      </c>
      <c r="K145" s="50">
        <f t="shared" si="47"/>
        <v>0.27055051000000002</v>
      </c>
      <c r="L145" s="50"/>
      <c r="M145" s="4">
        <v>40878</v>
      </c>
      <c r="U145" s="5"/>
      <c r="V145" s="3"/>
      <c r="X145" s="3">
        <v>0.185</v>
      </c>
      <c r="Y145" s="3">
        <v>0.19</v>
      </c>
    </row>
    <row r="146" spans="1:25">
      <c r="A146" s="4">
        <v>40918</v>
      </c>
      <c r="B146" s="18">
        <v>0.37</v>
      </c>
      <c r="C146" s="59">
        <v>0.32200000000000001</v>
      </c>
      <c r="D146" s="49">
        <f>AVERAGE(0.355,0.335)</f>
        <v>0.34499999999999997</v>
      </c>
      <c r="E146" s="18">
        <v>0.5</v>
      </c>
      <c r="F146" s="18">
        <v>0.46</v>
      </c>
      <c r="G146" s="18">
        <v>0</v>
      </c>
      <c r="H146" s="18">
        <v>0.38</v>
      </c>
      <c r="I146" s="42">
        <f t="shared" si="46"/>
        <v>0.33957142857142852</v>
      </c>
      <c r="J146" s="41">
        <f t="shared" ref="J146:J157" si="48">SUM(B146*$B$195,C146*$C$195,D146*$D$195,E146*$E$195,F146*$F$195,G146*$G$195,H146*$H$195)</f>
        <v>0.33652799999999994</v>
      </c>
      <c r="K146" s="50">
        <f t="shared" si="47"/>
        <v>0.23189139666666669</v>
      </c>
      <c r="L146" s="50"/>
      <c r="M146" s="4">
        <v>40909</v>
      </c>
      <c r="U146" s="5"/>
      <c r="V146" s="3"/>
      <c r="X146" s="3">
        <v>0.185</v>
      </c>
      <c r="Y146" s="3">
        <v>0.19500000000000001</v>
      </c>
    </row>
    <row r="147" spans="1:25">
      <c r="A147" s="4">
        <v>40950</v>
      </c>
      <c r="B147" s="18">
        <v>0.35</v>
      </c>
      <c r="C147" s="59">
        <v>0.30480000000000002</v>
      </c>
      <c r="D147" s="49">
        <f>AVERAGE(0.325,0.335)</f>
        <v>0.33</v>
      </c>
      <c r="E147" s="18">
        <v>0.47</v>
      </c>
      <c r="F147" s="18">
        <v>0.44</v>
      </c>
      <c r="G147" s="18">
        <v>0</v>
      </c>
      <c r="H147" s="18">
        <v>0.36</v>
      </c>
      <c r="I147" s="42">
        <f t="shared" si="46"/>
        <v>0.32211428571428569</v>
      </c>
      <c r="J147" s="41">
        <f t="shared" si="48"/>
        <v>0.3190018</v>
      </c>
      <c r="K147" s="50">
        <f t="shared" si="47"/>
        <v>0.20999448666666667</v>
      </c>
      <c r="L147" s="50"/>
      <c r="M147" s="4">
        <v>40940</v>
      </c>
      <c r="U147" s="5"/>
      <c r="V147" s="3"/>
      <c r="X147" s="3">
        <v>0.19</v>
      </c>
      <c r="Y147" s="3">
        <v>0.19500000000000001</v>
      </c>
    </row>
    <row r="148" spans="1:25">
      <c r="A148" s="4">
        <v>40982</v>
      </c>
      <c r="B148" s="18">
        <v>0.34</v>
      </c>
      <c r="C148" s="59">
        <v>0.29899999999999999</v>
      </c>
      <c r="D148" s="49">
        <f>AVERAGE(0.355,0.335)</f>
        <v>0.34499999999999997</v>
      </c>
      <c r="E148" s="18">
        <v>0.46</v>
      </c>
      <c r="F148" s="18">
        <v>0.43</v>
      </c>
      <c r="G148" s="18">
        <v>0</v>
      </c>
      <c r="H148" s="18">
        <v>0.35</v>
      </c>
      <c r="I148" s="42">
        <f t="shared" si="46"/>
        <v>0.31771428571428567</v>
      </c>
      <c r="J148" s="41">
        <f t="shared" si="48"/>
        <v>0.31470799999999999</v>
      </c>
      <c r="K148" s="50">
        <f t="shared" si="47"/>
        <v>0.17849564666666665</v>
      </c>
      <c r="L148" s="50"/>
      <c r="M148" s="4">
        <v>40969</v>
      </c>
      <c r="U148" s="5"/>
      <c r="V148" s="3"/>
      <c r="X148" s="3">
        <v>0.19</v>
      </c>
      <c r="Y148" s="3">
        <v>0.2</v>
      </c>
    </row>
    <row r="149" spans="1:25">
      <c r="A149" s="4">
        <v>41014</v>
      </c>
      <c r="B149" s="18">
        <v>0.37</v>
      </c>
      <c r="C149" s="59">
        <v>0.32200000000000001</v>
      </c>
      <c r="D149" s="49">
        <f>AVERAGE(0.38,0.395)</f>
        <v>0.38750000000000001</v>
      </c>
      <c r="E149" s="18">
        <v>0.49</v>
      </c>
      <c r="F149" s="18">
        <v>0.46</v>
      </c>
      <c r="G149" s="18">
        <v>0</v>
      </c>
      <c r="H149" s="18">
        <v>0.38</v>
      </c>
      <c r="I149" s="42">
        <f t="shared" ref="I149:I154" si="49">AVERAGE(B149,C149,D149,E149,F149,G149,H149)</f>
        <v>0.34421428571428569</v>
      </c>
      <c r="J149" s="41">
        <f t="shared" si="48"/>
        <v>0.34309999999999996</v>
      </c>
      <c r="K149" s="50">
        <f t="shared" ref="K149:K150" si="50">AVERAGE(J137,J125,J113)</f>
        <v>0.18783746333333337</v>
      </c>
      <c r="L149" s="50"/>
      <c r="M149" s="4">
        <v>41000</v>
      </c>
      <c r="U149" s="5"/>
      <c r="V149" s="3"/>
      <c r="X149" s="3">
        <v>0.19500000000000001</v>
      </c>
      <c r="Y149" s="3">
        <v>0.2</v>
      </c>
    </row>
    <row r="150" spans="1:25">
      <c r="A150" s="4">
        <v>41046</v>
      </c>
      <c r="B150" s="18">
        <v>0.41</v>
      </c>
      <c r="C150" s="59">
        <v>0.3508</v>
      </c>
      <c r="D150" s="49">
        <f>AVERAGE(0.39,0.395)</f>
        <v>0.39250000000000002</v>
      </c>
      <c r="E150" s="18">
        <v>0.54</v>
      </c>
      <c r="F150" s="18">
        <v>0.5</v>
      </c>
      <c r="G150" s="18">
        <v>0</v>
      </c>
      <c r="H150" s="18">
        <v>0.41</v>
      </c>
      <c r="I150" s="42">
        <f t="shared" si="49"/>
        <v>0.37190000000000001</v>
      </c>
      <c r="J150" s="41">
        <f t="shared" si="48"/>
        <v>0.37076180000000003</v>
      </c>
      <c r="K150" s="50">
        <f t="shared" si="50"/>
        <v>0.21359470666666666</v>
      </c>
      <c r="L150" s="50"/>
      <c r="M150" s="4">
        <v>41030</v>
      </c>
      <c r="U150" s="5"/>
      <c r="V150" s="3"/>
      <c r="X150" s="3">
        <v>0.19500000000000001</v>
      </c>
      <c r="Y150" s="3">
        <v>0.2</v>
      </c>
    </row>
    <row r="151" spans="1:25">
      <c r="A151" s="4">
        <v>41078</v>
      </c>
      <c r="B151" s="18">
        <v>0.41</v>
      </c>
      <c r="C151" s="59">
        <v>0.3508</v>
      </c>
      <c r="D151" s="49">
        <f>AVERAGE(0.38,0.365)</f>
        <v>0.3725</v>
      </c>
      <c r="E151" s="18">
        <v>0.53</v>
      </c>
      <c r="F151" s="18">
        <v>0.5</v>
      </c>
      <c r="G151" s="18">
        <v>0</v>
      </c>
      <c r="H151" s="18">
        <v>0.41</v>
      </c>
      <c r="I151" s="42">
        <f t="shared" si="49"/>
        <v>0.36761428571428573</v>
      </c>
      <c r="J151" s="41">
        <f t="shared" si="48"/>
        <v>0.36675880000000005</v>
      </c>
      <c r="K151" s="50">
        <f t="shared" ref="K151:K152" si="51">AVERAGE(J139,J127,J115)</f>
        <v>0.23658892333333337</v>
      </c>
      <c r="L151" s="50"/>
      <c r="M151" s="4">
        <v>41061</v>
      </c>
      <c r="U151" s="5"/>
      <c r="V151" s="3"/>
      <c r="X151" s="3">
        <v>0.2</v>
      </c>
      <c r="Y151" s="3">
        <v>0.20499999999999999</v>
      </c>
    </row>
    <row r="152" spans="1:25">
      <c r="A152" s="4">
        <v>41110</v>
      </c>
      <c r="B152" s="18">
        <v>0.37</v>
      </c>
      <c r="C152" s="59">
        <v>0.32200000000000001</v>
      </c>
      <c r="D152" s="49">
        <f>AVERAGE(0.34,0.31)</f>
        <v>0.32500000000000001</v>
      </c>
      <c r="E152" s="18">
        <v>0.5</v>
      </c>
      <c r="F152" s="18">
        <v>0.46</v>
      </c>
      <c r="G152" s="18">
        <v>0</v>
      </c>
      <c r="H152" s="18">
        <v>0.38</v>
      </c>
      <c r="I152" s="42">
        <f t="shared" si="49"/>
        <v>0.33671428571428569</v>
      </c>
      <c r="J152" s="41">
        <f t="shared" si="48"/>
        <v>0.33314399999999994</v>
      </c>
      <c r="K152" s="50">
        <f t="shared" si="51"/>
        <v>0.23392700666666669</v>
      </c>
      <c r="L152" s="50"/>
      <c r="M152" s="4">
        <v>41091</v>
      </c>
      <c r="U152" s="5"/>
      <c r="V152" s="3"/>
      <c r="X152" s="3">
        <v>0.2</v>
      </c>
      <c r="Y152" s="3">
        <v>0.20499999999999999</v>
      </c>
    </row>
    <row r="153" spans="1:25">
      <c r="A153" s="4">
        <v>41142</v>
      </c>
      <c r="B153" s="18">
        <v>0.32</v>
      </c>
      <c r="C153" s="59">
        <v>0.28179999999999999</v>
      </c>
      <c r="D153" s="49">
        <f>AVERAGE(0.295,0.315)</f>
        <v>0.30499999999999999</v>
      </c>
      <c r="E153" s="18">
        <v>0.44</v>
      </c>
      <c r="F153" s="18">
        <v>0.41</v>
      </c>
      <c r="G153" s="18">
        <v>0</v>
      </c>
      <c r="H153" s="18">
        <v>0.34</v>
      </c>
      <c r="I153" s="42">
        <f t="shared" si="49"/>
        <v>0.29954285714285717</v>
      </c>
      <c r="J153" s="41">
        <f t="shared" si="48"/>
        <v>0.29540679999999997</v>
      </c>
      <c r="K153" s="50">
        <f t="shared" ref="K153" si="52">AVERAGE(J141,J129,J117)</f>
        <v>0.23898055666666665</v>
      </c>
      <c r="L153" s="50"/>
      <c r="M153" s="4">
        <v>41122</v>
      </c>
      <c r="U153" s="5"/>
      <c r="V153" s="3"/>
      <c r="X153" s="3">
        <v>0.20499999999999999</v>
      </c>
      <c r="Y153" s="3">
        <v>0.21</v>
      </c>
    </row>
    <row r="154" spans="1:25">
      <c r="A154" s="4">
        <v>41174</v>
      </c>
      <c r="B154" s="18">
        <v>0.31</v>
      </c>
      <c r="C154" s="59">
        <v>0.27600000000000002</v>
      </c>
      <c r="D154" s="49">
        <f>AVERAGE(0.33,0.365)</f>
        <v>0.34750000000000003</v>
      </c>
      <c r="E154" s="18">
        <v>0.44</v>
      </c>
      <c r="F154" s="18">
        <v>0.4</v>
      </c>
      <c r="G154" s="18">
        <v>0</v>
      </c>
      <c r="H154" s="18">
        <v>0.33</v>
      </c>
      <c r="I154" s="42">
        <f t="shared" si="49"/>
        <v>0.30050000000000004</v>
      </c>
      <c r="J154" s="41">
        <f t="shared" si="48"/>
        <v>0.29638500000000001</v>
      </c>
      <c r="K154" s="50">
        <f t="shared" ref="K154" si="53">AVERAGE(J142,J130,J118)</f>
        <v>0.23905966999999997</v>
      </c>
      <c r="L154" s="50"/>
      <c r="M154" s="4">
        <v>41153</v>
      </c>
      <c r="U154" s="5"/>
      <c r="V154" s="3"/>
      <c r="X154" s="3">
        <v>0.20499999999999999</v>
      </c>
      <c r="Y154" s="3">
        <v>0.21</v>
      </c>
    </row>
    <row r="155" spans="1:25">
      <c r="A155" s="4">
        <v>41206</v>
      </c>
      <c r="B155" s="18">
        <v>0.38</v>
      </c>
      <c r="C155" s="59">
        <v>0.32779999999999998</v>
      </c>
      <c r="D155" s="49">
        <f>AVERAGE(0.39,0.39)</f>
        <v>0.39</v>
      </c>
      <c r="E155" s="18">
        <v>0.5</v>
      </c>
      <c r="F155" s="18">
        <v>0.47</v>
      </c>
      <c r="G155" s="18">
        <v>0</v>
      </c>
      <c r="H155" s="18">
        <v>0.38</v>
      </c>
      <c r="I155" s="42">
        <f t="shared" ref="I155:I160" si="54">AVERAGE(B155,C155,D155,E155,F155,G155,H155)</f>
        <v>0.34968571428571427</v>
      </c>
      <c r="J155" s="41">
        <f t="shared" si="48"/>
        <v>0.34851879999999996</v>
      </c>
      <c r="K155" s="50">
        <f t="shared" ref="K155:K160" si="55">AVERAGE(J143,J131,J119)</f>
        <v>0.24370432333333333</v>
      </c>
      <c r="L155" s="50"/>
      <c r="M155" s="4">
        <v>41183</v>
      </c>
      <c r="U155" s="5"/>
      <c r="V155" s="3"/>
      <c r="X155" s="3">
        <v>0.21</v>
      </c>
      <c r="Y155" s="3">
        <v>0.215</v>
      </c>
    </row>
    <row r="156" spans="1:25">
      <c r="A156" s="4">
        <v>41238</v>
      </c>
      <c r="B156" s="18">
        <v>0.41</v>
      </c>
      <c r="C156" s="59">
        <v>0.3508</v>
      </c>
      <c r="D156" s="49">
        <f>AVERAGE(0.385,0.395)</f>
        <v>0.39</v>
      </c>
      <c r="E156" s="18">
        <v>0.54</v>
      </c>
      <c r="F156" s="18">
        <v>0.5</v>
      </c>
      <c r="G156" s="18">
        <v>0</v>
      </c>
      <c r="H156" s="18">
        <v>0.41</v>
      </c>
      <c r="I156" s="42">
        <f t="shared" si="54"/>
        <v>0.37154285714285712</v>
      </c>
      <c r="J156" s="41">
        <f t="shared" si="48"/>
        <v>0.37033880000000002</v>
      </c>
      <c r="K156" s="50">
        <f t="shared" si="55"/>
        <v>0.24098059666666671</v>
      </c>
      <c r="L156" s="50"/>
      <c r="M156" s="4">
        <v>41214</v>
      </c>
      <c r="U156" s="5"/>
      <c r="V156" s="3"/>
      <c r="X156" s="3">
        <v>0.21</v>
      </c>
      <c r="Y156" s="3">
        <v>0.215</v>
      </c>
    </row>
    <row r="157" spans="1:25">
      <c r="A157" s="4">
        <v>41270</v>
      </c>
      <c r="B157" s="18">
        <v>0.4</v>
      </c>
      <c r="C157" s="59">
        <v>0.34499999999999997</v>
      </c>
      <c r="D157" s="49">
        <f>AVERAGE(0.36,0.37)</f>
        <v>0.36499999999999999</v>
      </c>
      <c r="E157" s="18">
        <v>0.53</v>
      </c>
      <c r="F157" s="18">
        <v>0.49</v>
      </c>
      <c r="G157" s="18">
        <v>0</v>
      </c>
      <c r="H157" s="18">
        <v>0.4</v>
      </c>
      <c r="I157" s="42">
        <f t="shared" si="54"/>
        <v>0.36142857142857138</v>
      </c>
      <c r="J157" s="41">
        <f t="shared" si="48"/>
        <v>0.35927699999999996</v>
      </c>
      <c r="K157" s="50">
        <f t="shared" si="55"/>
        <v>0.25250244666666666</v>
      </c>
      <c r="L157" s="50"/>
      <c r="M157" s="4">
        <v>41244</v>
      </c>
      <c r="U157" s="5"/>
      <c r="V157" s="3"/>
      <c r="X157" s="3">
        <v>0.215</v>
      </c>
      <c r="Y157" s="3">
        <v>0.22</v>
      </c>
    </row>
    <row r="158" spans="1:25">
      <c r="A158" s="4">
        <v>41284</v>
      </c>
      <c r="B158" s="18">
        <v>0.38</v>
      </c>
      <c r="C158" s="59">
        <v>0.32779999999999998</v>
      </c>
      <c r="D158" s="49">
        <f>AVERAGE(0.37,0.355)</f>
        <v>0.36249999999999999</v>
      </c>
      <c r="E158" s="18">
        <v>0.51</v>
      </c>
      <c r="F158" s="18">
        <v>0.47</v>
      </c>
      <c r="G158" s="18">
        <v>0</v>
      </c>
      <c r="H158" s="18">
        <v>0.39</v>
      </c>
      <c r="I158" s="42">
        <f t="shared" si="54"/>
        <v>0.34861428571428571</v>
      </c>
      <c r="J158" s="41">
        <f t="shared" ref="J158:J168" si="56">SUM(B158*$B$196,C158*$C$196,D158*$D$196,E158*$E$196,F158*$F$196,G158*$G$196,H158*$H$196)</f>
        <v>0.34331166000000002</v>
      </c>
      <c r="K158" s="50">
        <f t="shared" si="55"/>
        <v>0.27233748000000002</v>
      </c>
      <c r="L158" s="50"/>
      <c r="M158" s="4">
        <v>41275</v>
      </c>
      <c r="U158" s="5"/>
      <c r="V158" s="3"/>
      <c r="X158" s="3">
        <v>0.215</v>
      </c>
      <c r="Y158" s="3">
        <v>0.22</v>
      </c>
    </row>
    <row r="159" spans="1:25">
      <c r="A159" s="4">
        <v>41316</v>
      </c>
      <c r="B159" s="18">
        <v>0.37</v>
      </c>
      <c r="C159" s="59">
        <v>0.32200000000000001</v>
      </c>
      <c r="D159" s="49">
        <f>AVERAGE(0.35,0.345)</f>
        <v>0.34749999999999998</v>
      </c>
      <c r="E159" s="18">
        <v>0.5</v>
      </c>
      <c r="F159" s="18">
        <v>0.46</v>
      </c>
      <c r="G159" s="18">
        <v>0</v>
      </c>
      <c r="H159" s="18">
        <v>0.38</v>
      </c>
      <c r="I159" s="42">
        <f t="shared" si="54"/>
        <v>0.33992857142857141</v>
      </c>
      <c r="J159" s="41">
        <f t="shared" si="56"/>
        <v>0.33396989999999993</v>
      </c>
      <c r="K159" s="50">
        <f t="shared" si="55"/>
        <v>0.27203842333333333</v>
      </c>
      <c r="L159" s="50"/>
      <c r="M159" s="4">
        <v>41306</v>
      </c>
      <c r="U159" s="5"/>
      <c r="V159" s="3"/>
      <c r="X159" s="3">
        <v>0.22</v>
      </c>
      <c r="Y159" s="3">
        <v>0.22500000000000001</v>
      </c>
    </row>
    <row r="160" spans="1:25">
      <c r="A160" s="4">
        <v>41347</v>
      </c>
      <c r="B160" s="18">
        <v>0.36</v>
      </c>
      <c r="C160" s="59">
        <v>0.3105</v>
      </c>
      <c r="D160" s="49">
        <f>AVERAGE(0.36,0.395)</f>
        <v>0.3775</v>
      </c>
      <c r="E160" s="18">
        <v>0.48</v>
      </c>
      <c r="F160" s="18">
        <v>0.45</v>
      </c>
      <c r="G160" s="18">
        <v>0</v>
      </c>
      <c r="H160" s="18">
        <v>0.37</v>
      </c>
      <c r="I160" s="42">
        <f t="shared" si="54"/>
        <v>0.33542857142857141</v>
      </c>
      <c r="J160" s="41">
        <f t="shared" si="56"/>
        <v>0.33132710000000004</v>
      </c>
      <c r="K160" s="50">
        <f t="shared" si="55"/>
        <v>0.25042706333333331</v>
      </c>
      <c r="L160" s="50"/>
      <c r="M160" s="4">
        <v>41334</v>
      </c>
      <c r="U160" s="5"/>
      <c r="V160" s="3"/>
      <c r="X160" s="3">
        <v>0.22500000000000001</v>
      </c>
      <c r="Y160" s="3">
        <v>0.22500000000000001</v>
      </c>
    </row>
    <row r="161" spans="1:25">
      <c r="A161" s="4">
        <v>41379</v>
      </c>
      <c r="B161" s="18">
        <v>0.41</v>
      </c>
      <c r="C161" s="59">
        <v>0.3508</v>
      </c>
      <c r="D161" s="49">
        <f>AVERAGE(0.375,0.395)</f>
        <v>0.38500000000000001</v>
      </c>
      <c r="E161" s="18">
        <v>0.53</v>
      </c>
      <c r="F161" s="18">
        <v>0.5</v>
      </c>
      <c r="G161" s="18">
        <v>0</v>
      </c>
      <c r="H161" s="18">
        <v>0.41</v>
      </c>
      <c r="I161" s="42">
        <f t="shared" ref="I161:I166" si="57">AVERAGE(B161,C161,D161,E161,F161,G161,H161)</f>
        <v>0.36940000000000001</v>
      </c>
      <c r="J161" s="41">
        <f t="shared" si="56"/>
        <v>0.36586275999999995</v>
      </c>
      <c r="K161" s="50">
        <f t="shared" ref="K161:K166" si="58">AVERAGE(J149,J137,J125)</f>
        <v>0.27356446333333334</v>
      </c>
      <c r="L161" s="50"/>
      <c r="M161" s="4">
        <v>41365</v>
      </c>
      <c r="U161" s="5"/>
      <c r="V161" s="3"/>
      <c r="X161" s="3">
        <v>0.22500000000000001</v>
      </c>
      <c r="Y161" s="3">
        <v>0.23</v>
      </c>
    </row>
    <row r="162" spans="1:25">
      <c r="A162" s="4">
        <v>41411</v>
      </c>
      <c r="B162" s="18">
        <v>0.4</v>
      </c>
      <c r="C162" s="59">
        <v>0.33929999999999999</v>
      </c>
      <c r="D162" s="49">
        <f>AVERAGE(0.365,0.35)</f>
        <v>0.35749999999999998</v>
      </c>
      <c r="E162" s="18">
        <v>0.52</v>
      </c>
      <c r="F162" s="18">
        <v>0.49</v>
      </c>
      <c r="G162" s="18">
        <v>0</v>
      </c>
      <c r="H162" s="18">
        <v>0.4</v>
      </c>
      <c r="I162" s="42">
        <f t="shared" si="57"/>
        <v>0.35811428571428566</v>
      </c>
      <c r="J162" s="41">
        <f t="shared" si="56"/>
        <v>0.35350146000000005</v>
      </c>
      <c r="K162" s="50">
        <f t="shared" si="58"/>
        <v>0.31135697333333334</v>
      </c>
      <c r="L162" s="50"/>
      <c r="M162" s="4">
        <v>41395</v>
      </c>
      <c r="U162" s="5"/>
      <c r="V162" s="3"/>
      <c r="X162" s="3">
        <v>0.23</v>
      </c>
      <c r="Y162" s="3">
        <v>0.23</v>
      </c>
    </row>
    <row r="163" spans="1:25">
      <c r="A163" s="4">
        <v>41443</v>
      </c>
      <c r="B163" s="18">
        <v>0.36</v>
      </c>
      <c r="C163" s="59">
        <v>0.31630000000000003</v>
      </c>
      <c r="D163" s="49">
        <f>AVERAGE(0.335,0.34)</f>
        <v>0.33750000000000002</v>
      </c>
      <c r="E163" s="18">
        <v>0.49</v>
      </c>
      <c r="F163" s="18">
        <v>0.45</v>
      </c>
      <c r="G163" s="18">
        <v>0</v>
      </c>
      <c r="H163" s="18">
        <v>0.37</v>
      </c>
      <c r="I163" s="42">
        <f t="shared" si="57"/>
        <v>0.33197142857142853</v>
      </c>
      <c r="J163" s="41">
        <f t="shared" si="56"/>
        <v>0.32553686000000004</v>
      </c>
      <c r="K163" s="50">
        <f t="shared" si="58"/>
        <v>0.32868527333333336</v>
      </c>
      <c r="L163" s="50"/>
      <c r="M163" s="4">
        <v>41426</v>
      </c>
      <c r="U163" s="5"/>
      <c r="V163" s="3"/>
      <c r="X163" s="3">
        <v>0.23</v>
      </c>
      <c r="Y163" s="3">
        <v>0.23499999999999999</v>
      </c>
    </row>
    <row r="164" spans="1:25">
      <c r="A164" s="4">
        <v>41475</v>
      </c>
      <c r="B164" s="18">
        <v>0.35</v>
      </c>
      <c r="C164" s="59">
        <v>0.30480000000000002</v>
      </c>
      <c r="D164" s="49">
        <f>AVERAGE(0.335,0.34)</f>
        <v>0.33750000000000002</v>
      </c>
      <c r="E164" s="18">
        <v>0.47</v>
      </c>
      <c r="F164" s="18">
        <v>0.44</v>
      </c>
      <c r="G164" s="18">
        <v>0</v>
      </c>
      <c r="H164" s="18">
        <v>0.36</v>
      </c>
      <c r="I164" s="42">
        <f t="shared" si="57"/>
        <v>0.32318571428571424</v>
      </c>
      <c r="J164" s="41">
        <f t="shared" si="56"/>
        <v>0.31752406</v>
      </c>
      <c r="K164" s="50">
        <f t="shared" si="58"/>
        <v>0.31240759000000001</v>
      </c>
      <c r="L164" s="50"/>
      <c r="M164" s="4">
        <v>41456</v>
      </c>
      <c r="U164" s="5"/>
      <c r="V164" s="3"/>
      <c r="X164" s="3">
        <v>0.23499999999999999</v>
      </c>
      <c r="Y164" s="3">
        <v>0.23499999999999999</v>
      </c>
    </row>
    <row r="165" spans="1:25">
      <c r="A165" s="4">
        <v>41507</v>
      </c>
      <c r="B165" s="18">
        <v>0.34</v>
      </c>
      <c r="C165" s="59">
        <v>0.29899999999999999</v>
      </c>
      <c r="D165" s="49">
        <f>AVERAGE(0.33,0.345)</f>
        <v>0.33750000000000002</v>
      </c>
      <c r="E165" s="18">
        <v>0.47</v>
      </c>
      <c r="F165" s="18">
        <v>0.43</v>
      </c>
      <c r="G165" s="18">
        <v>0</v>
      </c>
      <c r="H165" s="18">
        <v>0.35</v>
      </c>
      <c r="I165" s="42">
        <f t="shared" si="57"/>
        <v>0.31807142857142851</v>
      </c>
      <c r="J165" s="41">
        <f t="shared" si="56"/>
        <v>0.31144130000000003</v>
      </c>
      <c r="K165" s="50">
        <f t="shared" si="58"/>
        <v>0.28572713999999999</v>
      </c>
      <c r="L165" s="50"/>
      <c r="M165" s="4">
        <v>41487</v>
      </c>
      <c r="U165" s="5"/>
      <c r="V165" s="3"/>
      <c r="X165" s="3">
        <v>0.24</v>
      </c>
      <c r="Y165" s="3">
        <v>0.24</v>
      </c>
    </row>
    <row r="166" spans="1:25">
      <c r="A166" s="4">
        <v>41539</v>
      </c>
      <c r="B166" s="18">
        <v>0.35</v>
      </c>
      <c r="C166" s="59">
        <v>0.30480000000000002</v>
      </c>
      <c r="D166" s="49">
        <f>AVERAGE(0.35,0.345)</f>
        <v>0.34749999999999998</v>
      </c>
      <c r="E166" s="18">
        <v>0.47</v>
      </c>
      <c r="F166" s="18">
        <v>0.44</v>
      </c>
      <c r="G166" s="18">
        <v>0</v>
      </c>
      <c r="H166" s="18">
        <v>0.36</v>
      </c>
      <c r="I166" s="42">
        <f t="shared" si="57"/>
        <v>0.32461428571428569</v>
      </c>
      <c r="J166" s="41">
        <f t="shared" si="56"/>
        <v>0.31931406000000001</v>
      </c>
      <c r="K166" s="50">
        <f t="shared" si="58"/>
        <v>0.2840022066666667</v>
      </c>
      <c r="L166" s="50"/>
      <c r="M166" s="4">
        <v>41518</v>
      </c>
      <c r="U166" s="5"/>
      <c r="V166" s="3"/>
      <c r="X166" s="3">
        <v>0.24</v>
      </c>
      <c r="Y166" s="3">
        <v>0.24</v>
      </c>
    </row>
    <row r="167" spans="1:25">
      <c r="A167" s="4">
        <v>41571</v>
      </c>
      <c r="B167" s="18">
        <v>0.36</v>
      </c>
      <c r="C167" s="59">
        <v>0.3105</v>
      </c>
      <c r="D167" s="49">
        <f>AVERAGE(0.36,0.365)</f>
        <v>0.36249999999999999</v>
      </c>
      <c r="E167" s="18">
        <v>0.48</v>
      </c>
      <c r="F167" s="18">
        <v>0.45</v>
      </c>
      <c r="G167" s="18">
        <v>0</v>
      </c>
      <c r="H167" s="18">
        <v>0.37</v>
      </c>
      <c r="I167" s="42">
        <f t="shared" ref="I167" si="59">AVERAGE(B167,C167,D167,E167,F167,G167,H167)</f>
        <v>0.33328571428571424</v>
      </c>
      <c r="J167" s="41">
        <f t="shared" si="56"/>
        <v>0.32864210000000005</v>
      </c>
      <c r="K167" s="50">
        <f t="shared" ref="K167" si="60">AVERAGE(J155,J143,J131)</f>
        <v>0.30089368999999999</v>
      </c>
      <c r="L167" s="50"/>
      <c r="M167" s="4">
        <v>41548</v>
      </c>
      <c r="U167" s="5"/>
      <c r="V167" s="3"/>
      <c r="X167" s="3">
        <v>0.245</v>
      </c>
      <c r="Y167" s="3">
        <v>0.245</v>
      </c>
    </row>
    <row r="168" spans="1:25">
      <c r="A168" s="4">
        <v>41603</v>
      </c>
      <c r="B168" s="18">
        <v>0.37</v>
      </c>
      <c r="C168" s="59">
        <v>0.32200000000000001</v>
      </c>
      <c r="D168" s="49">
        <f>AVERAGE(0.35,0.345)</f>
        <v>0.34749999999999998</v>
      </c>
      <c r="E168" s="18">
        <v>0.5</v>
      </c>
      <c r="F168" s="18">
        <v>0.46</v>
      </c>
      <c r="G168" s="18">
        <v>0</v>
      </c>
      <c r="H168" s="18">
        <v>0.38</v>
      </c>
      <c r="I168" s="42">
        <f t="shared" ref="I168" si="61">AVERAGE(B168,C168,D168,E168,F168,G168,H168)</f>
        <v>0.33992857142857141</v>
      </c>
      <c r="J168" s="41">
        <f t="shared" si="56"/>
        <v>0.33396989999999993</v>
      </c>
      <c r="K168" s="50">
        <f t="shared" ref="K168" si="62">AVERAGE(J156,J144,J132)</f>
        <v>0.30569941666666667</v>
      </c>
      <c r="L168" s="50"/>
      <c r="M168" s="4">
        <v>41579</v>
      </c>
      <c r="U168" s="5"/>
      <c r="V168" s="3"/>
      <c r="X168" s="3">
        <v>0.245</v>
      </c>
      <c r="Y168" s="3">
        <v>0.25</v>
      </c>
    </row>
    <row r="169" spans="1:25">
      <c r="A169" s="4">
        <v>41635</v>
      </c>
      <c r="B169" s="18">
        <v>0.35</v>
      </c>
      <c r="C169" s="59">
        <v>0.30480000000000002</v>
      </c>
      <c r="D169" s="49">
        <f>AVERAGE(0.34,0.33)</f>
        <v>0.33500000000000002</v>
      </c>
      <c r="E169" s="18">
        <v>0.48</v>
      </c>
      <c r="F169" s="18">
        <v>0.44</v>
      </c>
      <c r="G169" s="18">
        <v>0</v>
      </c>
      <c r="H169" s="18">
        <v>0.36</v>
      </c>
      <c r="I169" s="42">
        <f t="shared" ref="I169" si="63">AVERAGE(B169,C169,D169,E169,F169,G169,H169)</f>
        <v>0.32425714285714285</v>
      </c>
      <c r="J169" s="41">
        <f t="shared" ref="J169" si="64">SUM(B169*$B$196,C169*$C$196,D169*$D$196,E169*$E$196,F169*$F$196,G169*$G$196,H169*$H$196)</f>
        <v>0.31765056000000003</v>
      </c>
      <c r="K169" s="50">
        <f t="shared" ref="K169" si="65">AVERAGE(J157,J145,J133)</f>
        <v>0.30946835</v>
      </c>
      <c r="L169" s="50"/>
      <c r="M169" s="4">
        <v>41609</v>
      </c>
      <c r="U169" s="5"/>
      <c r="V169" s="3"/>
    </row>
    <row r="170" spans="1:25">
      <c r="A170" s="4">
        <v>41640</v>
      </c>
      <c r="B170" s="18">
        <v>0.34</v>
      </c>
      <c r="C170" s="59"/>
      <c r="D170" s="49"/>
      <c r="E170" s="18">
        <v>0.46</v>
      </c>
      <c r="F170" s="18"/>
      <c r="G170" s="18"/>
      <c r="H170" s="18">
        <v>0.35</v>
      </c>
      <c r="I170" s="42"/>
      <c r="J170" s="41"/>
      <c r="K170" s="50"/>
      <c r="L170" s="50"/>
      <c r="M170" s="4"/>
      <c r="U170" s="5"/>
      <c r="V170" s="3"/>
    </row>
    <row r="171" spans="1:25">
      <c r="A171" s="4">
        <v>41671</v>
      </c>
      <c r="B171" s="18"/>
      <c r="C171" s="59"/>
      <c r="D171" s="49"/>
      <c r="E171" s="18"/>
      <c r="F171" s="18"/>
      <c r="G171" s="18"/>
      <c r="H171" s="18"/>
      <c r="I171" s="42"/>
      <c r="J171" s="41"/>
      <c r="K171" s="50"/>
      <c r="L171" s="50"/>
      <c r="M171" s="4"/>
      <c r="U171" s="5"/>
      <c r="V171" s="3"/>
    </row>
    <row r="172" spans="1:25">
      <c r="A172" s="4">
        <v>41699</v>
      </c>
      <c r="B172" s="18"/>
      <c r="C172" s="59"/>
      <c r="D172" s="49"/>
      <c r="E172" s="18"/>
      <c r="F172" s="18"/>
      <c r="G172" s="18"/>
      <c r="H172" s="18"/>
      <c r="I172" s="42"/>
      <c r="J172" s="41"/>
      <c r="K172" s="50"/>
      <c r="L172" s="50"/>
      <c r="M172" s="4"/>
      <c r="U172" s="5"/>
      <c r="V172" s="3"/>
    </row>
    <row r="173" spans="1:25">
      <c r="A173" s="4">
        <v>41730</v>
      </c>
      <c r="B173" s="18"/>
      <c r="C173" s="59"/>
      <c r="D173" s="49"/>
      <c r="E173" s="18"/>
      <c r="F173" s="18"/>
      <c r="G173" s="18"/>
      <c r="H173" s="18"/>
      <c r="I173" s="42"/>
      <c r="J173" s="41"/>
      <c r="K173" s="50"/>
      <c r="L173" s="50"/>
      <c r="M173" s="4"/>
      <c r="U173" s="5"/>
      <c r="V173" s="3"/>
    </row>
    <row r="174" spans="1:25">
      <c r="A174" s="4">
        <v>41760</v>
      </c>
      <c r="B174" s="18"/>
      <c r="C174" s="59"/>
      <c r="D174" s="49"/>
      <c r="E174" s="18"/>
      <c r="F174" s="18"/>
      <c r="G174" s="18"/>
      <c r="H174" s="18"/>
      <c r="I174" s="42"/>
      <c r="J174" s="41"/>
      <c r="K174" s="50"/>
      <c r="L174" s="50"/>
      <c r="M174" s="4"/>
      <c r="U174" s="5"/>
      <c r="V174" s="3"/>
    </row>
    <row r="175" spans="1:25">
      <c r="A175" s="4">
        <v>41791</v>
      </c>
      <c r="B175" s="18"/>
      <c r="C175" s="59"/>
      <c r="D175" s="49"/>
      <c r="E175" s="18"/>
      <c r="F175" s="18"/>
      <c r="G175" s="18"/>
      <c r="H175" s="18"/>
      <c r="I175" s="42"/>
      <c r="J175" s="41"/>
      <c r="K175" s="50"/>
      <c r="L175" s="50"/>
      <c r="M175" s="4"/>
      <c r="U175" s="5"/>
      <c r="V175" s="3"/>
    </row>
    <row r="176" spans="1:25">
      <c r="A176" s="4">
        <v>41821</v>
      </c>
      <c r="B176" s="18"/>
      <c r="C176" s="59"/>
      <c r="D176" s="49"/>
      <c r="E176" s="18"/>
      <c r="F176" s="18"/>
      <c r="G176" s="18"/>
      <c r="H176" s="18"/>
      <c r="I176" s="42"/>
      <c r="J176" s="41"/>
      <c r="K176" s="50"/>
      <c r="L176" s="50"/>
      <c r="M176" s="4"/>
      <c r="U176" s="5"/>
      <c r="V176" s="3"/>
    </row>
    <row r="177" spans="1:22">
      <c r="A177" s="4">
        <v>41852</v>
      </c>
      <c r="B177" s="18"/>
      <c r="C177" s="59"/>
      <c r="D177" s="49"/>
      <c r="E177" s="18"/>
      <c r="F177" s="18"/>
      <c r="G177" s="18"/>
      <c r="H177" s="18"/>
      <c r="I177" s="42"/>
      <c r="J177" s="41"/>
      <c r="K177" s="50"/>
      <c r="L177" s="50"/>
      <c r="M177" s="4"/>
      <c r="U177" s="5"/>
      <c r="V177" s="3"/>
    </row>
    <row r="178" spans="1:22">
      <c r="A178" s="4">
        <v>41883</v>
      </c>
      <c r="B178" s="18"/>
      <c r="C178" s="59"/>
      <c r="D178" s="49"/>
      <c r="E178" s="18"/>
      <c r="F178" s="18"/>
      <c r="G178" s="18"/>
      <c r="H178" s="18"/>
      <c r="I178" s="42"/>
      <c r="J178" s="41"/>
      <c r="K178" s="50"/>
      <c r="L178" s="50"/>
      <c r="M178" s="4"/>
      <c r="U178" s="5"/>
      <c r="V178" s="3"/>
    </row>
    <row r="179" spans="1:22">
      <c r="A179" s="4">
        <v>41913</v>
      </c>
      <c r="B179" s="18"/>
      <c r="C179" s="59"/>
      <c r="D179" s="49"/>
      <c r="E179" s="18"/>
      <c r="F179" s="18"/>
      <c r="G179" s="18"/>
      <c r="H179" s="18"/>
      <c r="I179" s="42"/>
      <c r="J179" s="41"/>
      <c r="K179" s="50"/>
      <c r="L179" s="50"/>
      <c r="M179" s="4"/>
      <c r="U179" s="5"/>
      <c r="V179" s="3"/>
    </row>
    <row r="180" spans="1:22">
      <c r="A180" s="4">
        <v>41944</v>
      </c>
      <c r="B180" s="18"/>
      <c r="C180" s="59"/>
      <c r="D180" s="49"/>
      <c r="E180" s="18"/>
      <c r="F180" s="18"/>
      <c r="G180" s="18"/>
      <c r="H180" s="18"/>
      <c r="I180" s="42"/>
      <c r="J180" s="41"/>
      <c r="K180" s="50"/>
      <c r="L180" s="50"/>
      <c r="M180" s="4"/>
      <c r="U180" s="5"/>
      <c r="V180" s="3"/>
    </row>
    <row r="181" spans="1:22">
      <c r="A181" s="4">
        <v>41974</v>
      </c>
      <c r="B181" s="18"/>
      <c r="C181" s="59"/>
      <c r="D181" s="49"/>
      <c r="E181" s="18"/>
      <c r="F181" s="18"/>
      <c r="G181" s="18"/>
      <c r="H181" s="18"/>
      <c r="I181" s="42"/>
      <c r="J181" s="41"/>
      <c r="K181" s="50"/>
      <c r="L181" s="50"/>
      <c r="M181" s="4"/>
      <c r="U181" s="5"/>
      <c r="V181" s="3"/>
    </row>
    <row r="182" spans="1:22">
      <c r="A182" s="60"/>
      <c r="B182" s="18"/>
      <c r="C182" s="59"/>
      <c r="D182" s="22"/>
      <c r="E182" s="18"/>
      <c r="F182" s="18"/>
      <c r="G182" s="18"/>
      <c r="H182" s="18"/>
      <c r="I182" s="42"/>
      <c r="J182" s="74"/>
      <c r="K182" s="50"/>
      <c r="L182" s="50"/>
      <c r="M182" s="4"/>
      <c r="U182" s="5"/>
      <c r="V182" s="3"/>
    </row>
    <row r="183" spans="1:22">
      <c r="A183" s="60"/>
      <c r="B183" s="18"/>
      <c r="C183" s="59"/>
      <c r="D183" s="22"/>
      <c r="E183" s="18"/>
      <c r="F183" s="18"/>
      <c r="G183" s="18"/>
      <c r="H183" s="18"/>
      <c r="I183" s="42"/>
      <c r="J183" s="74"/>
      <c r="K183" s="50"/>
      <c r="L183" s="50"/>
      <c r="M183" s="4"/>
      <c r="U183" s="5"/>
      <c r="V183" s="3"/>
    </row>
    <row r="184" spans="1:22">
      <c r="A184" s="1" t="s">
        <v>64</v>
      </c>
      <c r="N184" s="11"/>
      <c r="O184" s="11"/>
      <c r="P184" s="11"/>
      <c r="Q184" s="11"/>
      <c r="R184" s="11"/>
      <c r="S184" s="11"/>
      <c r="T184" s="11"/>
      <c r="U184" s="11"/>
      <c r="V184" s="11"/>
    </row>
    <row r="185" spans="1:22" ht="13.8" thickBot="1">
      <c r="B185" s="2" t="s">
        <v>4</v>
      </c>
      <c r="C185" s="2" t="s">
        <v>11</v>
      </c>
      <c r="D185" s="2" t="s">
        <v>7</v>
      </c>
      <c r="E185" s="2" t="s">
        <v>2</v>
      </c>
      <c r="F185" s="2" t="s">
        <v>5</v>
      </c>
      <c r="G185" s="2" t="s">
        <v>3</v>
      </c>
      <c r="H185" s="2" t="s">
        <v>6</v>
      </c>
      <c r="I185" s="2" t="s">
        <v>16</v>
      </c>
      <c r="J185" s="10"/>
      <c r="N185" s="11"/>
      <c r="O185" s="11"/>
      <c r="P185" s="11"/>
      <c r="Q185" s="11"/>
      <c r="R185" s="11"/>
      <c r="S185" s="11"/>
      <c r="T185" s="11"/>
      <c r="U185" s="11"/>
    </row>
    <row r="186" spans="1:22">
      <c r="A186">
        <v>2002</v>
      </c>
      <c r="B186" s="11">
        <v>0.27289999999999998</v>
      </c>
      <c r="C186" s="11">
        <v>0.1308</v>
      </c>
      <c r="D186" s="11">
        <v>0.13350000000000001</v>
      </c>
      <c r="E186" s="11">
        <v>9.7299999999999998E-2</v>
      </c>
      <c r="F186" s="11">
        <v>1.8499999999999999E-2</v>
      </c>
      <c r="G186" s="11">
        <v>0.1123</v>
      </c>
      <c r="H186" s="11">
        <v>0.23469999999999999</v>
      </c>
      <c r="I186" s="11">
        <f t="shared" ref="I186:I196" si="66">SUM(B186:H186)</f>
        <v>0.99999999999999978</v>
      </c>
      <c r="J186" s="11"/>
      <c r="N186" s="11"/>
      <c r="O186" s="11"/>
      <c r="P186" s="11"/>
      <c r="Q186" s="11"/>
      <c r="R186" s="11"/>
      <c r="S186" s="11"/>
      <c r="T186" s="11"/>
      <c r="U186" s="11"/>
    </row>
    <row r="187" spans="1:22">
      <c r="A187">
        <v>2003</v>
      </c>
      <c r="B187" s="11">
        <v>0.27939999999999998</v>
      </c>
      <c r="C187" s="11">
        <v>0.1328</v>
      </c>
      <c r="D187" s="11">
        <v>0.13289999999999999</v>
      </c>
      <c r="E187" s="11">
        <v>9.8199999999999996E-2</v>
      </c>
      <c r="F187" s="11">
        <v>1.6400000000000001E-2</v>
      </c>
      <c r="G187" s="11">
        <v>0.1149</v>
      </c>
      <c r="H187" s="11">
        <v>0.22539999999999999</v>
      </c>
      <c r="I187" s="11">
        <f t="shared" si="66"/>
        <v>1</v>
      </c>
      <c r="J187" s="11"/>
      <c r="N187" s="11"/>
      <c r="O187" s="11"/>
      <c r="P187" s="11"/>
      <c r="Q187" s="11"/>
      <c r="R187" s="11"/>
      <c r="S187" s="11"/>
      <c r="T187" s="11"/>
      <c r="U187" s="11"/>
    </row>
    <row r="188" spans="1:22">
      <c r="A188">
        <v>2004</v>
      </c>
      <c r="B188" s="11">
        <v>0.29139999999999999</v>
      </c>
      <c r="C188" s="11">
        <v>0.15110000000000001</v>
      </c>
      <c r="D188" s="11">
        <v>0.13350000000000001</v>
      </c>
      <c r="E188" s="11">
        <v>9.0399999999999994E-2</v>
      </c>
      <c r="F188" s="11">
        <v>1.7600000000000001E-2</v>
      </c>
      <c r="G188" s="11">
        <v>0.10780000000000001</v>
      </c>
      <c r="H188" s="11">
        <v>0.2082</v>
      </c>
      <c r="I188" s="11">
        <f t="shared" si="66"/>
        <v>1</v>
      </c>
      <c r="J188" s="11"/>
      <c r="N188" s="11"/>
      <c r="O188" s="11"/>
      <c r="P188" s="11"/>
      <c r="Q188" s="11"/>
      <c r="R188" s="11"/>
      <c r="S188" s="11"/>
      <c r="T188" s="11"/>
      <c r="U188" s="11"/>
    </row>
    <row r="189" spans="1:22">
      <c r="A189">
        <v>2005</v>
      </c>
      <c r="B189" s="11">
        <v>0.30299999999999999</v>
      </c>
      <c r="C189" s="11">
        <v>0.14369999999999999</v>
      </c>
      <c r="D189" s="11">
        <v>0.13689999999999999</v>
      </c>
      <c r="E189" s="11">
        <v>9.6799999999999997E-2</v>
      </c>
      <c r="F189" s="11">
        <v>1.7500000000000002E-2</v>
      </c>
      <c r="G189" s="11">
        <v>0.1066</v>
      </c>
      <c r="H189" s="11">
        <v>0.19550000000000001</v>
      </c>
      <c r="I189" s="11">
        <f t="shared" si="66"/>
        <v>1</v>
      </c>
      <c r="J189" s="11"/>
    </row>
    <row r="190" spans="1:22">
      <c r="A190">
        <v>2006</v>
      </c>
      <c r="B190" s="11">
        <v>0.30742999999999998</v>
      </c>
      <c r="C190" s="11">
        <v>0.15454000000000001</v>
      </c>
      <c r="D190" s="11">
        <v>0.14249999999999999</v>
      </c>
      <c r="E190" s="11">
        <v>9.7909999999999997E-2</v>
      </c>
      <c r="F190" s="11">
        <v>1.7090000000000001E-2</v>
      </c>
      <c r="G190" s="11">
        <v>0.10076</v>
      </c>
      <c r="H190" s="11">
        <v>0.17977000000000001</v>
      </c>
      <c r="I190" s="11">
        <f t="shared" si="66"/>
        <v>1</v>
      </c>
      <c r="J190" s="11"/>
    </row>
    <row r="191" spans="1:22">
      <c r="A191">
        <v>2007</v>
      </c>
      <c r="B191" s="11">
        <v>0.32129999999999997</v>
      </c>
      <c r="C191" s="11">
        <v>0.15029999999999999</v>
      </c>
      <c r="D191" s="11">
        <v>0.14399999999999999</v>
      </c>
      <c r="E191" s="11">
        <v>8.8599999999999998E-2</v>
      </c>
      <c r="F191" s="11">
        <v>2.0400000000000001E-2</v>
      </c>
      <c r="G191" s="11">
        <v>9.9900000000000003E-2</v>
      </c>
      <c r="H191" s="11">
        <v>0.17549999999999999</v>
      </c>
      <c r="I191" s="11">
        <f t="shared" si="66"/>
        <v>0.99999999999999989</v>
      </c>
    </row>
    <row r="192" spans="1:22">
      <c r="A192">
        <v>2008</v>
      </c>
      <c r="B192" s="11">
        <v>0.34110000000000001</v>
      </c>
      <c r="C192" s="11">
        <v>0.1348</v>
      </c>
      <c r="D192" s="11">
        <v>0.13150000000000001</v>
      </c>
      <c r="E192" s="11">
        <v>8.1100000000000005E-2</v>
      </c>
      <c r="F192" s="11">
        <v>2.2499999999999999E-2</v>
      </c>
      <c r="G192" s="11">
        <v>9.64E-2</v>
      </c>
      <c r="H192" s="11">
        <v>0.19259999999999999</v>
      </c>
      <c r="I192" s="11">
        <f t="shared" si="66"/>
        <v>0.99999999999999989</v>
      </c>
    </row>
    <row r="193" spans="1:9">
      <c r="A193">
        <v>2009</v>
      </c>
      <c r="B193" s="11">
        <v>0.31900000000000001</v>
      </c>
      <c r="C193" s="11">
        <v>0.13239999999999999</v>
      </c>
      <c r="D193" s="11">
        <v>0.18390000000000001</v>
      </c>
      <c r="E193" s="11">
        <v>6.9400000000000003E-2</v>
      </c>
      <c r="F193" s="11">
        <v>2.4299999999999999E-2</v>
      </c>
      <c r="G193" s="11">
        <v>9.3799999999999994E-2</v>
      </c>
      <c r="H193" s="11">
        <v>0.1772</v>
      </c>
      <c r="I193" s="11">
        <f t="shared" si="66"/>
        <v>1</v>
      </c>
    </row>
    <row r="194" spans="1:9">
      <c r="A194">
        <v>2010</v>
      </c>
      <c r="B194" s="11">
        <v>0.33800000000000002</v>
      </c>
      <c r="C194" s="11">
        <v>0.12540000000000001</v>
      </c>
      <c r="D194" s="11">
        <v>0.1643</v>
      </c>
      <c r="E194" s="11">
        <v>6.9099999999999995E-2</v>
      </c>
      <c r="F194" s="11">
        <v>2.2100000000000002E-2</v>
      </c>
      <c r="G194" s="11">
        <v>9.8599999999999993E-2</v>
      </c>
      <c r="H194" s="11">
        <v>0.1825</v>
      </c>
      <c r="I194" s="11">
        <f t="shared" si="66"/>
        <v>1</v>
      </c>
    </row>
    <row r="195" spans="1:9">
      <c r="A195">
        <v>2011</v>
      </c>
      <c r="B195" s="11">
        <v>0.34279999999999999</v>
      </c>
      <c r="C195" s="11">
        <v>0.126</v>
      </c>
      <c r="D195" s="11">
        <v>0.16919999999999999</v>
      </c>
      <c r="E195" s="11">
        <v>6.1899999999999997E-2</v>
      </c>
      <c r="F195" s="11">
        <v>2.18E-2</v>
      </c>
      <c r="G195" s="11">
        <v>9.4700000000000006E-2</v>
      </c>
      <c r="H195" s="11">
        <v>0.18360000000000001</v>
      </c>
      <c r="I195" s="11">
        <f t="shared" si="66"/>
        <v>1</v>
      </c>
    </row>
    <row r="196" spans="1:9">
      <c r="A196">
        <v>2012</v>
      </c>
      <c r="B196" s="11">
        <v>0.34649999999999997</v>
      </c>
      <c r="C196" s="11">
        <v>0.13719999999999999</v>
      </c>
      <c r="D196" s="11">
        <v>0.17899999999999999</v>
      </c>
      <c r="E196" s="11">
        <v>5.74E-2</v>
      </c>
      <c r="F196" s="11">
        <v>1.8100000000000002E-2</v>
      </c>
      <c r="G196" s="11">
        <v>9.7699999999999995E-2</v>
      </c>
      <c r="H196" s="11">
        <v>0.1641</v>
      </c>
      <c r="I196" s="11">
        <f t="shared" si="66"/>
        <v>1</v>
      </c>
    </row>
    <row r="203" spans="1:9">
      <c r="C203" s="27"/>
      <c r="D203" s="27"/>
      <c r="E203" s="27"/>
      <c r="F203" s="27"/>
      <c r="G203" s="27"/>
      <c r="H203" s="27"/>
    </row>
    <row r="204" spans="1:9">
      <c r="C204" s="27"/>
      <c r="D204" s="27"/>
      <c r="E204" s="27"/>
      <c r="F204" s="27"/>
      <c r="G204" s="27"/>
      <c r="H204" s="27"/>
    </row>
    <row r="205" spans="1:9">
      <c r="C205" s="27"/>
      <c r="D205" s="27"/>
      <c r="E205" s="27"/>
      <c r="F205" s="27"/>
      <c r="G205" s="27"/>
      <c r="H205" s="27"/>
    </row>
    <row r="206" spans="1:9">
      <c r="C206" s="27"/>
      <c r="D206" s="27"/>
      <c r="E206" s="27"/>
      <c r="F206" s="27"/>
      <c r="G206" s="27"/>
      <c r="H206" s="27"/>
    </row>
    <row r="207" spans="1:9">
      <c r="C207" s="27"/>
      <c r="D207" s="27"/>
      <c r="E207" s="27"/>
      <c r="F207" s="27"/>
      <c r="G207" s="27"/>
      <c r="H207" s="27"/>
    </row>
    <row r="208" spans="1:9">
      <c r="C208" s="27"/>
      <c r="D208" s="27"/>
      <c r="E208" s="27"/>
      <c r="F208" s="27"/>
      <c r="G208" s="27"/>
      <c r="H208" s="27"/>
    </row>
    <row r="209" spans="3:8">
      <c r="C209" s="27"/>
      <c r="D209" s="27"/>
      <c r="E209" s="27"/>
      <c r="F209" s="27"/>
      <c r="G209" s="27"/>
      <c r="H209" s="27"/>
    </row>
    <row r="210" spans="3:8">
      <c r="C210" s="27"/>
      <c r="D210" s="27"/>
      <c r="E210" s="27"/>
      <c r="F210" s="27"/>
      <c r="G210" s="27"/>
      <c r="H210" s="27"/>
    </row>
    <row r="211" spans="3:8">
      <c r="C211" s="27"/>
      <c r="D211" s="27"/>
      <c r="E211" s="27"/>
      <c r="F211" s="27"/>
      <c r="G211" s="27"/>
      <c r="H211" s="27"/>
    </row>
    <row r="212" spans="3:8">
      <c r="C212" s="27"/>
      <c r="D212" s="27"/>
      <c r="E212" s="27"/>
      <c r="F212" s="27"/>
      <c r="G212" s="27"/>
      <c r="H212" s="27"/>
    </row>
    <row r="213" spans="3:8">
      <c r="C213" s="27"/>
      <c r="D213" s="27"/>
      <c r="E213" s="27"/>
      <c r="F213" s="27"/>
      <c r="G213" s="27"/>
      <c r="H213" s="27"/>
    </row>
    <row r="214" spans="3:8">
      <c r="C214" s="27"/>
      <c r="D214" s="27"/>
      <c r="E214" s="27"/>
      <c r="F214" s="27"/>
      <c r="G214" s="27"/>
      <c r="H214" s="27"/>
    </row>
    <row r="215" spans="3:8">
      <c r="C215" s="27"/>
      <c r="D215" s="27"/>
      <c r="E215" s="27"/>
      <c r="F215" s="27"/>
      <c r="G215" s="27"/>
      <c r="H215" s="27"/>
    </row>
  </sheetData>
  <phoneticPr fontId="2" type="noConversion"/>
  <pageMargins left="0.75" right="0.75" top="1" bottom="1" header="0.5" footer="0.5"/>
  <pageSetup scale="70" orientation="landscape" r:id="rId1"/>
  <headerFooter alignWithMargins="0"/>
  <ignoredErrors>
    <ignoredError sqref="U8:U44 U45:U60 U71 U61:U70 U72:U84 U85 U86:U91 U92:U96 U97 U99:U107 U98 I186:I196" formulaRange="1"/>
    <ignoredError sqref="D147 D167" formula="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enableFormatConditionsCalculation="0">
    <tabColor indexed="46"/>
  </sheetPr>
  <dimension ref="A1:M31"/>
  <sheetViews>
    <sheetView tabSelected="1" zoomScale="115" zoomScaleNormal="115" workbookViewId="0">
      <selection activeCell="K12" sqref="K12"/>
    </sheetView>
  </sheetViews>
  <sheetFormatPr defaultRowHeight="13.2"/>
  <cols>
    <col min="13" max="13" width="10.44140625" bestFit="1" customWidth="1"/>
  </cols>
  <sheetData>
    <row r="1" spans="1:13">
      <c r="A1" s="13" t="s">
        <v>18</v>
      </c>
      <c r="B1" s="14"/>
      <c r="C1" s="14"/>
      <c r="D1" s="14"/>
      <c r="E1" s="14"/>
      <c r="F1" s="14"/>
      <c r="G1" s="14"/>
      <c r="H1" s="14"/>
      <c r="I1" s="14"/>
      <c r="J1" s="14"/>
      <c r="K1" s="12"/>
    </row>
    <row r="2" spans="1:13" ht="16.8">
      <c r="A2" s="15" t="s">
        <v>17</v>
      </c>
      <c r="B2" s="14"/>
      <c r="C2" s="14"/>
      <c r="D2" s="14"/>
      <c r="E2" s="14"/>
      <c r="F2" s="14"/>
      <c r="G2" s="14"/>
      <c r="H2" s="14"/>
      <c r="I2" s="14"/>
      <c r="J2" s="14"/>
      <c r="K2" s="12"/>
    </row>
    <row r="3" spans="1:13">
      <c r="A3" s="12"/>
      <c r="B3" s="12"/>
      <c r="C3" s="12"/>
      <c r="D3" s="12"/>
      <c r="E3" s="12"/>
      <c r="F3" s="12"/>
      <c r="G3" s="12"/>
      <c r="H3" s="12"/>
      <c r="I3" s="12"/>
      <c r="J3" s="51"/>
      <c r="K3" s="52"/>
    </row>
    <row r="4" spans="1:13">
      <c r="A4" s="12"/>
      <c r="B4" s="12"/>
      <c r="C4" s="12"/>
      <c r="D4" s="12"/>
      <c r="E4" s="12"/>
      <c r="F4" s="12"/>
      <c r="G4" s="12"/>
      <c r="H4" s="12"/>
      <c r="I4" s="12"/>
      <c r="J4" s="51"/>
      <c r="K4" s="52"/>
      <c r="M4" s="60"/>
    </row>
    <row r="5" spans="1:13">
      <c r="A5" s="12"/>
      <c r="B5" s="12"/>
      <c r="C5" s="12"/>
      <c r="D5" s="12"/>
      <c r="E5" s="12"/>
      <c r="F5" s="12"/>
      <c r="G5" s="12"/>
      <c r="H5" s="12"/>
      <c r="I5" s="12"/>
      <c r="J5" s="51"/>
      <c r="K5" s="52"/>
      <c r="M5" s="77"/>
    </row>
    <row r="6" spans="1:13">
      <c r="A6" s="12"/>
      <c r="B6" s="12"/>
      <c r="C6" s="12"/>
      <c r="D6" s="12"/>
      <c r="E6" s="12"/>
      <c r="F6" s="12"/>
      <c r="G6" s="12"/>
      <c r="H6" s="12"/>
      <c r="I6" s="12"/>
      <c r="J6" s="51"/>
      <c r="K6" s="52"/>
      <c r="M6" s="77"/>
    </row>
    <row r="7" spans="1:13">
      <c r="A7" s="12"/>
      <c r="B7" s="12"/>
      <c r="C7" s="12"/>
      <c r="D7" s="12"/>
      <c r="E7" s="12"/>
      <c r="F7" s="12"/>
      <c r="G7" s="12"/>
      <c r="H7" s="12"/>
      <c r="I7" s="12"/>
      <c r="J7" s="51"/>
      <c r="K7" s="52"/>
      <c r="M7" s="77"/>
    </row>
    <row r="8" spans="1:13">
      <c r="A8" s="12"/>
      <c r="B8" s="12"/>
      <c r="C8" s="12"/>
      <c r="D8" s="12"/>
      <c r="E8" s="12"/>
      <c r="F8" s="12"/>
      <c r="G8" s="12"/>
      <c r="H8" s="12"/>
      <c r="I8" s="12"/>
      <c r="J8" s="51"/>
      <c r="K8" s="52"/>
      <c r="M8" s="77"/>
    </row>
    <row r="9" spans="1:13">
      <c r="A9" s="12"/>
      <c r="B9" s="12"/>
      <c r="C9" s="12"/>
      <c r="D9" s="12"/>
      <c r="E9" s="12"/>
      <c r="F9" s="12"/>
      <c r="G9" s="12"/>
      <c r="H9" s="12"/>
      <c r="I9" s="12"/>
      <c r="J9" s="51"/>
      <c r="K9" s="52"/>
      <c r="M9" s="77"/>
    </row>
    <row r="10" spans="1:13">
      <c r="A10" s="12"/>
      <c r="B10" s="12"/>
      <c r="C10" s="12"/>
      <c r="D10" s="12"/>
      <c r="E10" s="12"/>
      <c r="F10" s="12"/>
      <c r="G10" s="12"/>
      <c r="H10" s="12"/>
      <c r="I10" s="12"/>
      <c r="J10" s="51"/>
      <c r="K10" s="52"/>
      <c r="M10" s="77"/>
    </row>
    <row r="11" spans="1:13">
      <c r="A11" s="12"/>
      <c r="B11" s="12"/>
      <c r="C11" s="12"/>
      <c r="D11" s="12"/>
      <c r="E11" s="12"/>
      <c r="F11" s="12"/>
      <c r="G11" s="12"/>
      <c r="H11" s="12"/>
      <c r="I11" s="12"/>
      <c r="J11" s="51"/>
      <c r="K11" s="52"/>
      <c r="M11" s="77"/>
    </row>
    <row r="12" spans="1:13">
      <c r="A12" s="12"/>
      <c r="B12" s="12"/>
      <c r="C12" s="12"/>
      <c r="D12" s="12"/>
      <c r="E12" s="12"/>
      <c r="F12" s="12"/>
      <c r="G12" s="12"/>
      <c r="H12" s="12"/>
      <c r="I12" s="12"/>
      <c r="J12" s="51"/>
      <c r="K12" s="52"/>
      <c r="M12" s="77"/>
    </row>
    <row r="13" spans="1:13">
      <c r="A13" s="12"/>
      <c r="B13" s="12"/>
      <c r="C13" s="12"/>
      <c r="D13" s="12"/>
      <c r="E13" s="12"/>
      <c r="F13" s="12"/>
      <c r="G13" s="12"/>
      <c r="H13" s="12"/>
      <c r="I13" s="12"/>
      <c r="J13" s="51"/>
      <c r="K13" s="52"/>
      <c r="M13" s="77"/>
    </row>
    <row r="14" spans="1:13">
      <c r="A14" s="12"/>
      <c r="B14" s="12"/>
      <c r="C14" s="12"/>
      <c r="D14" s="12"/>
      <c r="E14" s="12"/>
      <c r="F14" s="12"/>
      <c r="G14" s="12"/>
      <c r="H14" s="12"/>
      <c r="I14" s="12"/>
      <c r="J14" s="51"/>
      <c r="K14" s="52"/>
      <c r="M14" s="77"/>
    </row>
    <row r="15" spans="1:13">
      <c r="A15" s="12"/>
      <c r="B15" s="12"/>
      <c r="C15" s="12"/>
      <c r="D15" s="12"/>
      <c r="E15" s="12"/>
      <c r="F15" s="12"/>
      <c r="G15" s="12"/>
      <c r="H15" s="12"/>
      <c r="I15" s="12"/>
      <c r="J15" s="51"/>
      <c r="K15" s="52"/>
      <c r="M15" s="77"/>
    </row>
    <row r="16" spans="1:13">
      <c r="A16" s="46"/>
      <c r="B16" s="12"/>
      <c r="C16" s="12"/>
      <c r="D16" s="12"/>
      <c r="E16" s="12"/>
      <c r="F16" s="12"/>
      <c r="G16" s="12"/>
      <c r="H16" s="12"/>
      <c r="I16" s="12"/>
      <c r="J16" s="51"/>
      <c r="K16" s="52"/>
      <c r="M16" s="77"/>
    </row>
    <row r="17" spans="1:13">
      <c r="A17" s="46"/>
      <c r="B17" s="12"/>
      <c r="C17" s="12"/>
      <c r="D17" s="12"/>
      <c r="E17" s="12"/>
      <c r="F17" s="12"/>
      <c r="G17" s="12"/>
      <c r="H17" s="12"/>
      <c r="I17" s="12"/>
      <c r="J17" s="51"/>
      <c r="K17" s="52"/>
      <c r="M17" s="77"/>
    </row>
    <row r="18" spans="1:13">
      <c r="A18" s="46"/>
      <c r="B18" s="12"/>
      <c r="C18" s="12"/>
      <c r="D18" s="12"/>
      <c r="E18" s="12"/>
      <c r="F18" s="12"/>
      <c r="G18" s="12"/>
      <c r="H18" s="12"/>
      <c r="I18" s="12"/>
      <c r="J18" s="51"/>
      <c r="K18" s="52"/>
      <c r="M18" s="77"/>
    </row>
    <row r="19" spans="1:13" ht="15" customHeight="1">
      <c r="A19" s="46"/>
      <c r="B19" s="12"/>
      <c r="C19" s="12"/>
      <c r="D19" s="12"/>
      <c r="E19" s="12"/>
      <c r="F19" s="12"/>
      <c r="G19" s="12"/>
      <c r="H19" s="12"/>
      <c r="I19" s="12"/>
      <c r="J19" s="51"/>
      <c r="K19" s="52"/>
      <c r="M19" s="77"/>
    </row>
    <row r="20" spans="1:13">
      <c r="A20" s="47"/>
      <c r="B20" s="12"/>
      <c r="C20" s="12"/>
      <c r="D20" s="12"/>
      <c r="E20" s="12"/>
      <c r="F20" s="12"/>
      <c r="G20" s="12"/>
      <c r="H20" s="12"/>
      <c r="I20" s="12"/>
      <c r="J20" s="51"/>
      <c r="K20" s="52"/>
      <c r="M20" s="77"/>
    </row>
    <row r="21" spans="1:13">
      <c r="A21" s="47"/>
      <c r="B21" s="12"/>
      <c r="C21" s="12"/>
      <c r="D21" s="12"/>
      <c r="E21" s="12"/>
      <c r="F21" s="12"/>
      <c r="G21" s="12"/>
      <c r="H21" s="12"/>
      <c r="I21" s="12"/>
      <c r="J21" s="51"/>
      <c r="K21" s="52"/>
      <c r="M21" s="77"/>
    </row>
    <row r="22" spans="1:13" ht="12.75" customHeight="1">
      <c r="A22" s="47"/>
      <c r="B22" s="12"/>
      <c r="C22" s="12"/>
      <c r="D22" s="12"/>
      <c r="E22" s="12"/>
      <c r="F22" s="12"/>
      <c r="G22" s="12"/>
      <c r="H22" s="12"/>
      <c r="I22" s="12"/>
      <c r="J22" s="51"/>
      <c r="K22" s="52"/>
      <c r="M22" s="77"/>
    </row>
    <row r="23" spans="1:13">
      <c r="A23" s="48" t="s">
        <v>68</v>
      </c>
      <c r="B23" s="12"/>
      <c r="C23" s="12"/>
      <c r="D23" s="12"/>
      <c r="E23" s="12"/>
      <c r="F23" s="12"/>
      <c r="G23" s="12"/>
      <c r="H23" s="12"/>
      <c r="I23" s="12"/>
      <c r="J23" s="53"/>
      <c r="K23" s="52"/>
      <c r="M23" s="77"/>
    </row>
    <row r="24" spans="1:13">
      <c r="A24" s="46"/>
      <c r="B24" s="12"/>
      <c r="C24" s="12"/>
      <c r="D24" s="12"/>
      <c r="E24" s="12"/>
      <c r="F24" s="12"/>
      <c r="G24" s="12"/>
      <c r="H24" s="12"/>
      <c r="I24" s="12"/>
      <c r="J24" s="53"/>
      <c r="K24" s="52"/>
      <c r="M24" s="77"/>
    </row>
    <row r="25" spans="1:13">
      <c r="A25" s="46"/>
      <c r="B25" s="12"/>
      <c r="C25" s="12"/>
      <c r="D25" s="12"/>
      <c r="E25" s="12"/>
      <c r="F25" s="12"/>
      <c r="G25" s="12"/>
      <c r="H25" s="12"/>
      <c r="I25" s="12"/>
      <c r="J25" s="53"/>
      <c r="K25" s="52"/>
      <c r="M25" s="77"/>
    </row>
    <row r="26" spans="1:13">
      <c r="A26" s="47"/>
      <c r="K26" s="12"/>
      <c r="M26" s="77"/>
    </row>
    <row r="27" spans="1:13">
      <c r="G27" s="39" t="s">
        <v>67</v>
      </c>
      <c r="H27" t="s">
        <v>20</v>
      </c>
      <c r="M27" s="77"/>
    </row>
    <row r="28" spans="1:13">
      <c r="C28" s="9"/>
      <c r="D28" s="9"/>
      <c r="E28" s="9"/>
      <c r="F28" s="9"/>
      <c r="G28" s="39" t="s">
        <v>22</v>
      </c>
      <c r="H28" t="s">
        <v>21</v>
      </c>
      <c r="M28" s="77"/>
    </row>
    <row r="29" spans="1:13">
      <c r="E29" s="4" t="s">
        <v>91</v>
      </c>
      <c r="F29" s="9"/>
      <c r="G29" s="16">
        <f>Data!J168</f>
        <v>0.33396989999999993</v>
      </c>
      <c r="H29" s="3">
        <f>(Data!$J$169/G29)-1</f>
        <v>-4.8864703076534455E-2</v>
      </c>
      <c r="M29" s="77"/>
    </row>
    <row r="30" spans="1:13">
      <c r="E30" s="4" t="s">
        <v>92</v>
      </c>
      <c r="F30" s="9"/>
      <c r="G30" s="16">
        <f>Data!J157</f>
        <v>0.35927699999999996</v>
      </c>
      <c r="H30" s="3">
        <f>(Data!$J$169/G30)-1</f>
        <v>-0.11586168889185766</v>
      </c>
    </row>
    <row r="31" spans="1:13">
      <c r="E31" s="4" t="s">
        <v>93</v>
      </c>
      <c r="F31" s="4"/>
      <c r="G31" s="16">
        <f>Data!K169</f>
        <v>0.30946835</v>
      </c>
      <c r="H31" s="3">
        <f>(Data!$J$169/G31)-1</f>
        <v>2.6439569668432972E-2</v>
      </c>
    </row>
  </sheetData>
  <phoneticPr fontId="2"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indexed="46"/>
  </sheetPr>
  <dimension ref="A1:U69"/>
  <sheetViews>
    <sheetView workbookViewId="0">
      <selection activeCell="E21" sqref="E21"/>
    </sheetView>
  </sheetViews>
  <sheetFormatPr defaultRowHeight="13.2"/>
  <cols>
    <col min="1" max="1" width="11.77734375" bestFit="1" customWidth="1"/>
    <col min="11" max="11" width="3.44140625" customWidth="1"/>
    <col min="12" max="12" width="11.77734375" bestFit="1" customWidth="1"/>
  </cols>
  <sheetData>
    <row r="1" spans="1:21">
      <c r="A1" s="1" t="s">
        <v>71</v>
      </c>
    </row>
    <row r="2" spans="1:21">
      <c r="B2" s="56" t="s">
        <v>23</v>
      </c>
      <c r="C2" s="57"/>
      <c r="D2" s="57"/>
      <c r="E2" s="57"/>
      <c r="F2" s="57"/>
      <c r="G2" s="57"/>
      <c r="H2" s="57"/>
      <c r="M2" s="1" t="s">
        <v>8</v>
      </c>
      <c r="N2" s="1"/>
      <c r="O2" s="1"/>
      <c r="P2" s="1"/>
      <c r="Q2" s="1"/>
      <c r="R2" s="1"/>
      <c r="S2" s="1"/>
    </row>
    <row r="3" spans="1:21">
      <c r="B3" s="1"/>
      <c r="C3" s="1"/>
      <c r="D3" s="1"/>
      <c r="E3" s="1"/>
      <c r="F3" s="1"/>
      <c r="G3" s="1"/>
      <c r="H3" s="1"/>
      <c r="I3" s="1" t="s">
        <v>14</v>
      </c>
      <c r="J3" s="1" t="s">
        <v>13</v>
      </c>
      <c r="K3" s="1"/>
      <c r="L3" s="10"/>
      <c r="M3" s="1"/>
      <c r="N3" s="1"/>
      <c r="O3" s="1"/>
      <c r="P3" s="1"/>
      <c r="Q3" s="1"/>
      <c r="R3" s="1"/>
      <c r="S3" s="1"/>
      <c r="T3" s="1" t="s">
        <v>14</v>
      </c>
      <c r="U3" s="1" t="s">
        <v>13</v>
      </c>
    </row>
    <row r="4" spans="1:21" ht="13.8" thickBot="1">
      <c r="B4" s="2" t="s">
        <v>4</v>
      </c>
      <c r="C4" s="2" t="s">
        <v>11</v>
      </c>
      <c r="D4" s="2" t="s">
        <v>7</v>
      </c>
      <c r="E4" s="2" t="s">
        <v>2</v>
      </c>
      <c r="F4" s="2" t="s">
        <v>5</v>
      </c>
      <c r="G4" s="2" t="s">
        <v>3</v>
      </c>
      <c r="H4" s="2" t="s">
        <v>6</v>
      </c>
      <c r="I4" s="19" t="s">
        <v>12</v>
      </c>
      <c r="J4" s="2" t="s">
        <v>12</v>
      </c>
      <c r="K4" s="10"/>
      <c r="L4" s="10"/>
      <c r="M4" s="2" t="s">
        <v>4</v>
      </c>
      <c r="N4" s="2" t="s">
        <v>11</v>
      </c>
      <c r="O4" s="2" t="s">
        <v>7</v>
      </c>
      <c r="P4" s="2" t="s">
        <v>2</v>
      </c>
      <c r="Q4" s="2" t="s">
        <v>5</v>
      </c>
      <c r="R4" s="2" t="s">
        <v>3</v>
      </c>
      <c r="S4" s="2" t="s">
        <v>6</v>
      </c>
      <c r="T4" s="6" t="s">
        <v>12</v>
      </c>
      <c r="U4" s="1" t="s">
        <v>12</v>
      </c>
    </row>
    <row r="5" spans="1:21">
      <c r="A5" t="s">
        <v>10</v>
      </c>
      <c r="B5" s="16">
        <f>AVERAGE(Data!B38:B49)</f>
        <v>6.7500000000000018E-2</v>
      </c>
      <c r="C5" s="16">
        <f>AVERAGE(Data!C38:C49)</f>
        <v>5.2866666666666666E-2</v>
      </c>
      <c r="D5" s="16">
        <f>AVERAGE(Data!D38:D49)</f>
        <v>0</v>
      </c>
      <c r="E5" s="16">
        <f>AVERAGE(Data!E38:E49)</f>
        <v>0</v>
      </c>
      <c r="F5" s="16">
        <f>AVERAGE(Data!F38:F49)</f>
        <v>0</v>
      </c>
      <c r="G5" s="16">
        <f>AVERAGE(Data!G38:G49)</f>
        <v>0</v>
      </c>
      <c r="H5" s="16">
        <f>AVERAGE(Data!H38:H49)</f>
        <v>0</v>
      </c>
      <c r="I5" s="16">
        <f>AVERAGE(Data!I38:I49)</f>
        <v>1.7195238095238093E-2</v>
      </c>
      <c r="J5" s="16">
        <f>AVERAGE(Data!J38:J49)</f>
        <v>2.5335709999999997E-2</v>
      </c>
      <c r="K5" s="16"/>
      <c r="L5" t="s">
        <v>10</v>
      </c>
      <c r="M5" s="54">
        <f>AVERAGE(Data!N38:N49)</f>
        <v>2.4999999999999998E-2</v>
      </c>
      <c r="N5" s="54">
        <f>AVERAGE(Data!O38:O49)</f>
        <v>4.4999999999999991E-2</v>
      </c>
      <c r="O5" s="54">
        <f>AVERAGE(Data!P38:P49)</f>
        <v>0</v>
      </c>
      <c r="P5" s="54">
        <f>AVERAGE(Data!Q38:Q49)</f>
        <v>2.3666666666666669E-2</v>
      </c>
      <c r="Q5" s="54">
        <f>AVERAGE(Data!R38:R49)</f>
        <v>1.5555555555555557E-2</v>
      </c>
      <c r="R5" s="54">
        <f>AVERAGE(Data!S38:S49)</f>
        <v>1.833333333333333E-2</v>
      </c>
      <c r="S5" s="54">
        <f>AVERAGE(Data!T38:T49)</f>
        <v>2.1818181818181816E-2</v>
      </c>
      <c r="T5" s="54">
        <f>AVERAGE(Data!U38:U49)</f>
        <v>2.129563492063492E-2</v>
      </c>
      <c r="U5" s="54">
        <f>AVERAGE(Data!V38:V49)</f>
        <v>0</v>
      </c>
    </row>
    <row r="6" spans="1:21">
      <c r="A6" t="s">
        <v>9</v>
      </c>
      <c r="B6" s="16">
        <f>AVERAGE(Data!B50:B61)</f>
        <v>0.12083333333333333</v>
      </c>
      <c r="C6" s="16">
        <f>AVERAGE(Data!C50:C61)</f>
        <v>9.7091666666666673E-2</v>
      </c>
      <c r="D6" s="16">
        <f>AVERAGE(Data!D50:D61)</f>
        <v>0</v>
      </c>
      <c r="E6" s="16">
        <f>AVERAGE(Data!E50:E61)</f>
        <v>3.3333333333333335E-3</v>
      </c>
      <c r="F6" s="16">
        <f>AVERAGE(Data!F50:F61)</f>
        <v>0</v>
      </c>
      <c r="G6" s="16">
        <f>AVERAGE(Data!G50:G61)</f>
        <v>0</v>
      </c>
      <c r="H6" s="16">
        <f>AVERAGE(Data!H50:H61)</f>
        <v>0</v>
      </c>
      <c r="I6" s="16">
        <f>AVERAGE(Data!I50:I61)</f>
        <v>3.1608333333333342E-2</v>
      </c>
      <c r="J6" s="16">
        <f>AVERAGE(Data!J50:J61)</f>
        <v>4.6981939999999993E-2</v>
      </c>
      <c r="K6" s="16"/>
      <c r="L6" t="s">
        <v>9</v>
      </c>
      <c r="M6" s="54">
        <f>AVERAGE(Data!N50:N61)</f>
        <v>4.7916666666666663E-2</v>
      </c>
      <c r="N6" s="54">
        <f>AVERAGE(Data!O50:O61)</f>
        <v>6.9999999999999993E-2</v>
      </c>
      <c r="O6" s="54">
        <f>AVERAGE(Data!P50:P61)</f>
        <v>1.4166666666666668E-2</v>
      </c>
      <c r="P6" s="54">
        <f>AVERAGE(Data!Q50:Q61)</f>
        <v>6.6333333333333327E-2</v>
      </c>
      <c r="Q6" s="54">
        <f>AVERAGE(Data!R50:R61)</f>
        <v>4.9999999999999996E-2</v>
      </c>
      <c r="R6" s="54">
        <f>AVERAGE(Data!S50:S61)</f>
        <v>6.3333333333333339E-2</v>
      </c>
      <c r="S6" s="54">
        <f>AVERAGE(Data!T50:T61)</f>
        <v>4.7916666666666663E-2</v>
      </c>
      <c r="T6" s="54">
        <f>AVERAGE(Data!U50:U61)</f>
        <v>5.1380952380952381E-2</v>
      </c>
      <c r="U6" s="54">
        <f>AVERAGE(Data!V50:V61)</f>
        <v>7.8404916666666661E-3</v>
      </c>
    </row>
    <row r="7" spans="1:21">
      <c r="A7" t="s">
        <v>15</v>
      </c>
      <c r="B7" s="16">
        <f>AVERAGE(Data!B62:B73)</f>
        <v>0.27499999999999997</v>
      </c>
      <c r="C7" s="16">
        <f>AVERAGE(Data!C62:C73)</f>
        <v>0.22163333333333335</v>
      </c>
      <c r="D7" s="16">
        <f>AVERAGE(Data!D62:D73)</f>
        <v>3.3750000000000002E-2</v>
      </c>
      <c r="E7" s="16">
        <f>AVERAGE(Data!E62:E73)</f>
        <v>8.7500000000000008E-2</v>
      </c>
      <c r="F7" s="16">
        <f>AVERAGE(Data!F62:F73)</f>
        <v>4.7500000000000007E-2</v>
      </c>
      <c r="G7" s="16">
        <f>AVERAGE(Data!G62:G73)</f>
        <v>0</v>
      </c>
      <c r="H7" s="16">
        <f>AVERAGE(Data!H62:H73)</f>
        <v>4.1666666666666664E-2</v>
      </c>
      <c r="I7" s="16">
        <f>AVERAGE(Data!I62:I73)</f>
        <v>0.10100714285714285</v>
      </c>
      <c r="J7" s="16">
        <f>AVERAGE(Data!J62:J73)</f>
        <v>0.13555042166666667</v>
      </c>
      <c r="K7" s="16"/>
      <c r="L7" t="s">
        <v>15</v>
      </c>
      <c r="M7" s="54">
        <f>AVERAGE(Data!N62:N73)</f>
        <v>0.11</v>
      </c>
      <c r="N7" s="54">
        <f>AVERAGE(Data!O62:O73)</f>
        <v>0.10216666666666667</v>
      </c>
      <c r="O7" s="54">
        <f>AVERAGE(Data!P62:P73)</f>
        <v>7.4999999999999997E-2</v>
      </c>
      <c r="P7" s="54">
        <f>AVERAGE(Data!Q62:Q73)</f>
        <v>0.12699999999999997</v>
      </c>
      <c r="Q7" s="54">
        <f>AVERAGE(Data!R62:R73)</f>
        <v>0.12833333333333333</v>
      </c>
      <c r="R7" s="54">
        <f>AVERAGE(Data!S62:S73)</f>
        <v>0.12699999999999997</v>
      </c>
      <c r="S7" s="54">
        <f>AVERAGE(Data!T62:T73)</f>
        <v>0.11</v>
      </c>
      <c r="T7" s="54">
        <f>AVERAGE(Data!U62:U73)</f>
        <v>0.11135714285714286</v>
      </c>
      <c r="U7" s="54">
        <f>AVERAGE(Data!V62:V73)</f>
        <v>0.10783595</v>
      </c>
    </row>
    <row r="8" spans="1:21">
      <c r="A8" t="s">
        <v>19</v>
      </c>
      <c r="B8" s="16">
        <f>AVERAGE(Data!B74:B85)</f>
        <v>0.3658333333333334</v>
      </c>
      <c r="C8" s="16">
        <f>AVERAGE(Data!C74:C85)</f>
        <v>0.29635833333333333</v>
      </c>
      <c r="D8" s="16">
        <f>AVERAGE(Data!D74:D85)</f>
        <v>9.583333333333334E-2</v>
      </c>
      <c r="E8" s="16">
        <f>AVERAGE(Data!E74:E85)</f>
        <v>0.17833333333333334</v>
      </c>
      <c r="F8" s="16">
        <f>AVERAGE(Data!F74:F85)</f>
        <v>0.14249999999999999</v>
      </c>
      <c r="G8" s="16">
        <f>AVERAGE(Data!G74:G85)</f>
        <v>0</v>
      </c>
      <c r="H8" s="16">
        <f>AVERAGE(Data!H74:H85)</f>
        <v>0.1225</v>
      </c>
      <c r="I8" s="16">
        <f>AVERAGE(Data!I74:I85)</f>
        <v>0.17162261904761908</v>
      </c>
      <c r="J8" s="16">
        <f>AVERAGE(Data!J74:J85)</f>
        <v>0.21025894249999999</v>
      </c>
      <c r="K8" s="16"/>
      <c r="L8" t="s">
        <v>19</v>
      </c>
      <c r="M8" s="54">
        <f>AVERAGE(Data!N74:N85)</f>
        <v>0.14624999999999999</v>
      </c>
      <c r="N8" s="54">
        <f>AVERAGE(Data!O74:O85)</f>
        <v>0.11541666666666667</v>
      </c>
      <c r="O8" s="54">
        <f>AVERAGE(Data!P74:P85)</f>
        <v>0.10624999999999997</v>
      </c>
      <c r="P8" s="54">
        <f>AVERAGE(Data!Q74:Q85)</f>
        <v>0.17266666666666663</v>
      </c>
      <c r="Q8" s="54">
        <f>AVERAGE(Data!R74:R85)</f>
        <v>0.17266666666666663</v>
      </c>
      <c r="R8" s="54">
        <f>AVERAGE(Data!S74:S85)</f>
        <v>0.17141666666666666</v>
      </c>
      <c r="S8" s="54">
        <f>AVERAGE(Data!T74:T85)</f>
        <v>0.14624999999999999</v>
      </c>
      <c r="T8" s="54">
        <f>AVERAGE(Data!U74:U85)</f>
        <v>0.14727380952380953</v>
      </c>
      <c r="U8" s="54">
        <f>AVERAGE(Data!V74:V85)</f>
        <v>0.14204544166666666</v>
      </c>
    </row>
    <row r="9" spans="1:21">
      <c r="A9" t="s">
        <v>33</v>
      </c>
      <c r="B9" s="16">
        <f>AVERAGE(Data!B86:B97)</f>
        <v>0.37916666666666671</v>
      </c>
      <c r="C9" s="16">
        <f>AVERAGE(Data!C86:C97)</f>
        <v>0.30804999999999999</v>
      </c>
      <c r="D9" s="16">
        <f>AVERAGE(Data!D86:D97)</f>
        <v>0.11310833333333332</v>
      </c>
      <c r="E9" s="16">
        <f>AVERAGE(Data!E86:E97)</f>
        <v>0.19166666666666668</v>
      </c>
      <c r="F9" s="16">
        <f>AVERAGE(Data!F86:F97)</f>
        <v>0.15833333333333333</v>
      </c>
      <c r="G9" s="16">
        <f>AVERAGE(Data!G86:G97)</f>
        <v>0</v>
      </c>
      <c r="H9" s="16">
        <f>AVERAGE(Data!H86:H97)</f>
        <v>0.13499999999999998</v>
      </c>
      <c r="I9" s="16">
        <f>AVERAGE(Data!I86:I97)</f>
        <v>0.18361785714285714</v>
      </c>
      <c r="J9" s="16">
        <f>AVERAGE(Data!J86:J97)</f>
        <v>0.22603214283333331</v>
      </c>
      <c r="K9" s="16"/>
      <c r="M9" s="54"/>
      <c r="N9" s="54"/>
      <c r="O9" s="54"/>
      <c r="P9" s="54"/>
      <c r="Q9" s="54"/>
      <c r="R9" s="54"/>
      <c r="S9" s="54"/>
      <c r="T9" s="54"/>
      <c r="U9" s="54"/>
    </row>
    <row r="10" spans="1:21">
      <c r="A10" t="s">
        <v>62</v>
      </c>
      <c r="B10" s="16">
        <f>AVERAGE(Data!B98:B109)</f>
        <v>0.6741666666666668</v>
      </c>
      <c r="C10" s="16">
        <f>AVERAGE(Data!C98:C109)</f>
        <v>0.38711666666666672</v>
      </c>
      <c r="D10" s="16">
        <f>AVERAGE(Data!D98:D109)</f>
        <v>0.35125000000000006</v>
      </c>
      <c r="E10" s="16">
        <f>AVERAGE(Data!E98:E109)</f>
        <v>0.48583333333333334</v>
      </c>
      <c r="F10" s="16">
        <f>AVERAGE(Data!F98:F109)</f>
        <v>0.45250000000000007</v>
      </c>
      <c r="G10" s="16">
        <f>AVERAGE(Data!G98:G109)</f>
        <v>0</v>
      </c>
      <c r="H10" s="16">
        <f>AVERAGE(Data!H98:H109)</f>
        <v>0.36999999999999994</v>
      </c>
      <c r="I10" s="16">
        <f>AVERAGE(Data!I98:I109)</f>
        <v>0.38869523809523804</v>
      </c>
      <c r="J10" s="16">
        <f>AVERAGE(Data!J98:J109)</f>
        <v>0.44258421833333333</v>
      </c>
      <c r="K10" s="16"/>
      <c r="M10" s="54"/>
      <c r="N10" s="54"/>
      <c r="O10" s="54"/>
      <c r="P10" s="54"/>
      <c r="Q10" s="54"/>
      <c r="R10" s="54"/>
      <c r="S10" s="54"/>
      <c r="T10" s="54"/>
      <c r="U10" s="54"/>
    </row>
    <row r="11" spans="1:21">
      <c r="A11" t="s">
        <v>63</v>
      </c>
      <c r="B11" s="16">
        <f>AVERAGE(Data!B110:B121)</f>
        <v>0.30416666666666664</v>
      </c>
      <c r="C11" s="16">
        <f>AVERAGE(Data!C110:C121)</f>
        <v>3.7391666666666663E-2</v>
      </c>
      <c r="D11" s="16">
        <f>AVERAGE(Data!D110:D121)</f>
        <v>4.7083333333333331E-2</v>
      </c>
      <c r="E11" s="16">
        <f>AVERAGE(Data!E110:E121)</f>
        <v>0.11583333333333333</v>
      </c>
      <c r="F11" s="16">
        <f>AVERAGE(Data!F110:F121)</f>
        <v>7.3333333333333334E-2</v>
      </c>
      <c r="G11" s="16">
        <f>AVERAGE(Data!G110:G121)</f>
        <v>0</v>
      </c>
      <c r="H11" s="16">
        <f>AVERAGE(Data!H110:H121)</f>
        <v>6.25E-2</v>
      </c>
      <c r="I11" s="16">
        <f>AVERAGE(Data!I110:I121)</f>
        <v>9.1472619047619053E-2</v>
      </c>
      <c r="J11" s="16">
        <f>AVERAGE(Data!J110:J121)</f>
        <v>0.13806468833333335</v>
      </c>
      <c r="K11" s="16"/>
      <c r="M11" s="54"/>
      <c r="N11" s="54"/>
      <c r="O11" s="54"/>
      <c r="P11" s="54"/>
      <c r="Q11" s="54"/>
      <c r="R11" s="54"/>
      <c r="S11" s="54"/>
      <c r="T11" s="54"/>
      <c r="U11" s="54"/>
    </row>
    <row r="12" spans="1:21">
      <c r="A12" t="s">
        <v>86</v>
      </c>
      <c r="B12" s="16">
        <f>AVERAGE(Data!B122:B133)</f>
        <v>0.42249999999999993</v>
      </c>
      <c r="C12" s="16">
        <f>AVERAGE(Data!C122:C133)</f>
        <v>0.12173333333333335</v>
      </c>
      <c r="D12" s="16">
        <f>AVERAGE(Data!D122:D133)</f>
        <v>0.14791666666666667</v>
      </c>
      <c r="E12" s="16">
        <f>AVERAGE(Data!E122:E133)</f>
        <v>0.23333333333333336</v>
      </c>
      <c r="F12" s="16">
        <f>AVERAGE(Data!F122:F133)</f>
        <v>0.20083333333333334</v>
      </c>
      <c r="G12" s="16">
        <f>AVERAGE(Data!G122:G133)</f>
        <v>0</v>
      </c>
      <c r="H12" s="16">
        <f>AVERAGE(Data!H122:H133)</f>
        <v>0.16833333333333333</v>
      </c>
      <c r="I12" s="16">
        <f>AVERAGE(Data!I122:I133)</f>
        <v>0.18494999999999998</v>
      </c>
      <c r="J12" s="16">
        <f>AVERAGE(Data!J122:J133)</f>
        <v>0.22899911833333333</v>
      </c>
    </row>
    <row r="13" spans="1:21">
      <c r="A13" t="s">
        <v>94</v>
      </c>
      <c r="B13" s="16">
        <f>AVERAGE(Data!B134:B145)</f>
        <v>0.36499999999999999</v>
      </c>
      <c r="C13" s="16">
        <f>AVERAGE(Data!C134:C145)</f>
        <v>0.27650833333333336</v>
      </c>
      <c r="D13" s="16">
        <f>AVERAGE(Data!D134:D145)</f>
        <v>0.32062499999999999</v>
      </c>
      <c r="E13" s="16">
        <f>AVERAGE(Data!E134:E145)</f>
        <v>0.43583333333333335</v>
      </c>
      <c r="F13" s="16">
        <f>AVERAGE(Data!F134:F145)</f>
        <v>0.40333333333333332</v>
      </c>
      <c r="G13" s="16">
        <f>AVERAGE(Data!G134:G145)</f>
        <v>0</v>
      </c>
      <c r="H13" s="16">
        <f>AVERAGE(Data!H134:H145)</f>
        <v>0.32916666666666666</v>
      </c>
      <c r="I13" s="16">
        <f>AVERAGE(Data!I134:I145)</f>
        <v>0.30435238095238087</v>
      </c>
      <c r="J13" s="16">
        <f>AVERAGE(Data!J134:J145)</f>
        <v>0.30982549916666668</v>
      </c>
    </row>
    <row r="14" spans="1:21">
      <c r="A14" t="s">
        <v>104</v>
      </c>
      <c r="B14" s="16">
        <f>AVERAGE(Data!B146:B157)</f>
        <v>0.37000000000000005</v>
      </c>
      <c r="C14" s="16">
        <f>AVERAGE(Data!C146:C157)</f>
        <v>0.32106666666666667</v>
      </c>
      <c r="D14" s="16">
        <f>AVERAGE(Data!D146:D157)</f>
        <v>0.35791666666666672</v>
      </c>
      <c r="E14" s="16">
        <f>AVERAGE(Data!E146:E157)</f>
        <v>0.49500000000000005</v>
      </c>
      <c r="F14" s="16">
        <f>AVERAGE(Data!F146:F157)</f>
        <v>0.46</v>
      </c>
      <c r="G14" s="16">
        <f>AVERAGE(Data!G146:G157)</f>
        <v>0</v>
      </c>
      <c r="H14" s="16">
        <f>AVERAGE(Data!H146:H157)</f>
        <v>0.37749999999999995</v>
      </c>
      <c r="I14" s="16">
        <f>AVERAGE(Data!I146:I157)</f>
        <v>0.34021190476190477</v>
      </c>
      <c r="J14" s="16">
        <f>AVERAGE(Data!J146:J157)</f>
        <v>0.33782739999999989</v>
      </c>
    </row>
    <row r="15" spans="1:21">
      <c r="A15" t="s">
        <v>105</v>
      </c>
      <c r="B15" s="16">
        <f>AVERAGE(Data!B158:B169)</f>
        <v>0.36666666666666664</v>
      </c>
      <c r="C15" s="16">
        <f>AVERAGE(Data!C158:C169)</f>
        <v>0.3177166666666667</v>
      </c>
      <c r="D15" s="16">
        <f>AVERAGE(Data!D158:D169)</f>
        <v>0.35291666666666671</v>
      </c>
      <c r="E15" s="16">
        <f>AVERAGE(Data!E158:E169)</f>
        <v>0.4916666666666667</v>
      </c>
      <c r="F15" s="16">
        <f>AVERAGE(Data!F158:F169)</f>
        <v>0.45666666666666678</v>
      </c>
      <c r="G15" s="16">
        <f>AVERAGE(Data!G158:G169)</f>
        <v>0</v>
      </c>
      <c r="H15" s="16">
        <f>AVERAGE(Data!H158:H169)</f>
        <v>0.37500000000000006</v>
      </c>
      <c r="I15" s="16">
        <f>AVERAGE(Data!I158:I169)</f>
        <v>0.33723333333333327</v>
      </c>
      <c r="J15" s="16">
        <f>AVERAGE(Data!J158:J169)</f>
        <v>0.33183764333333338</v>
      </c>
    </row>
    <row r="18" spans="1:2">
      <c r="B18" s="28" t="s">
        <v>59</v>
      </c>
    </row>
    <row r="19" spans="1:2">
      <c r="B19" s="28" t="s">
        <v>60</v>
      </c>
    </row>
    <row r="20" spans="1:2">
      <c r="B20" s="28" t="s">
        <v>61</v>
      </c>
    </row>
    <row r="21" spans="1:2">
      <c r="A21" s="28" t="s">
        <v>34</v>
      </c>
      <c r="B21" s="44">
        <f>AVERAGE(Data!J23:J25)</f>
        <v>1.7522613333333336E-2</v>
      </c>
    </row>
    <row r="22" spans="1:2">
      <c r="A22" s="28" t="s">
        <v>35</v>
      </c>
      <c r="B22" s="44">
        <f>AVERAGE(Data!J26:J28)</f>
        <v>1.1756266666666665E-3</v>
      </c>
    </row>
    <row r="23" spans="1:2">
      <c r="A23" s="28" t="s">
        <v>36</v>
      </c>
      <c r="B23" s="44">
        <f>AVERAGE(Data!J29:J31)</f>
        <v>2.3512533333333329E-3</v>
      </c>
    </row>
    <row r="24" spans="1:2">
      <c r="A24" s="28" t="s">
        <v>37</v>
      </c>
      <c r="B24" s="44">
        <f>AVERAGE(Data!J32:J34)</f>
        <v>6.1440933333333329E-3</v>
      </c>
    </row>
    <row r="25" spans="1:2">
      <c r="A25" s="28" t="s">
        <v>38</v>
      </c>
      <c r="B25" s="44">
        <f>AVERAGE(Data!J35:J37)</f>
        <v>1.6346986666666664E-2</v>
      </c>
    </row>
    <row r="26" spans="1:2">
      <c r="A26" s="28" t="s">
        <v>39</v>
      </c>
      <c r="B26" s="44">
        <f>AVERAGE(Data!J38:J40)</f>
        <v>1.9873866666666667E-2</v>
      </c>
    </row>
    <row r="27" spans="1:2">
      <c r="A27" s="28" t="s">
        <v>40</v>
      </c>
      <c r="B27" s="44">
        <f>AVERAGE(Data!J41:J43)</f>
        <v>3.8838066666666664E-2</v>
      </c>
    </row>
    <row r="28" spans="1:2">
      <c r="A28" s="28" t="s">
        <v>41</v>
      </c>
      <c r="B28" s="44">
        <f>AVERAGE(Data!J44:J46)</f>
        <v>1.9873866666666667E-2</v>
      </c>
    </row>
    <row r="29" spans="1:2">
      <c r="A29" s="28" t="s">
        <v>42</v>
      </c>
      <c r="B29" s="44">
        <f>AVERAGE(Data!J47:J49)</f>
        <v>2.2757039999999996E-2</v>
      </c>
    </row>
    <row r="30" spans="1:2">
      <c r="A30" s="28" t="s">
        <v>43</v>
      </c>
      <c r="B30" s="44">
        <f>AVERAGE(Data!J50:J52)</f>
        <v>2.7118746666666665E-2</v>
      </c>
    </row>
    <row r="31" spans="1:2">
      <c r="A31" s="28" t="s">
        <v>44</v>
      </c>
      <c r="B31" s="44">
        <f>AVERAGE(Data!J53:J55)</f>
        <v>3.9672399999999997E-2</v>
      </c>
    </row>
    <row r="32" spans="1:2">
      <c r="A32" s="28" t="s">
        <v>45</v>
      </c>
      <c r="B32" s="44">
        <f>AVERAGE(Data!J56:J58)</f>
        <v>4.8891999999999998E-2</v>
      </c>
    </row>
    <row r="33" spans="1:2">
      <c r="A33" s="28" t="s">
        <v>46</v>
      </c>
      <c r="B33" s="44">
        <f>AVERAGE(Data!J59:J61)</f>
        <v>7.2244613333333332E-2</v>
      </c>
    </row>
    <row r="34" spans="1:2">
      <c r="A34" s="28" t="s">
        <v>47</v>
      </c>
      <c r="B34" s="44">
        <f>AVERAGE(Data!J62:J64)</f>
        <v>8.4365599999999999E-2</v>
      </c>
    </row>
    <row r="35" spans="1:2">
      <c r="A35" s="28" t="s">
        <v>48</v>
      </c>
      <c r="B35" s="44">
        <f>AVERAGE(Data!J65:J67)</f>
        <v>0.10378124666666666</v>
      </c>
    </row>
    <row r="36" spans="1:2">
      <c r="A36" s="28" t="s">
        <v>49</v>
      </c>
      <c r="B36" s="44">
        <f>AVERAGE(Data!J68:J70)</f>
        <v>0.12319318333333333</v>
      </c>
    </row>
    <row r="37" spans="1:2">
      <c r="A37" s="28" t="s">
        <v>50</v>
      </c>
      <c r="B37" s="44">
        <f>AVERAGE(Data!J71:J73)</f>
        <v>0.23086165666666666</v>
      </c>
    </row>
    <row r="38" spans="1:2">
      <c r="A38" s="28" t="s">
        <v>51</v>
      </c>
      <c r="B38" s="44">
        <f>AVERAGE(Data!J74:J76)</f>
        <v>0.17080444000000003</v>
      </c>
    </row>
    <row r="39" spans="1:2">
      <c r="A39" s="28" t="s">
        <v>52</v>
      </c>
      <c r="B39" s="44">
        <f>AVERAGE(Data!J77:J79)</f>
        <v>0.18803015000000001</v>
      </c>
    </row>
    <row r="40" spans="1:2">
      <c r="A40" s="28" t="s">
        <v>53</v>
      </c>
      <c r="B40" s="44">
        <f>AVERAGE(Data!J80:J82)</f>
        <v>0.25413339666666662</v>
      </c>
    </row>
    <row r="41" spans="1:2">
      <c r="A41" s="28" t="s">
        <v>54</v>
      </c>
      <c r="B41" s="44">
        <f>AVERAGE(Data!J83:J85)</f>
        <v>0.22806778333333333</v>
      </c>
    </row>
    <row r="42" spans="1:2">
      <c r="A42" s="28" t="s">
        <v>55</v>
      </c>
      <c r="B42" s="44">
        <f>AVERAGE(Data!J86:J88)</f>
        <v>0.18482816933333332</v>
      </c>
    </row>
    <row r="43" spans="1:2">
      <c r="A43" s="28" t="s">
        <v>56</v>
      </c>
      <c r="B43" s="44">
        <f>AVERAGE(Data!J89:J91)</f>
        <v>0.20904986400000003</v>
      </c>
    </row>
    <row r="44" spans="1:2">
      <c r="A44" s="28" t="s">
        <v>57</v>
      </c>
      <c r="B44" s="44">
        <f>AVERAGE(Data!J92:J94)</f>
        <v>0.24099984866666666</v>
      </c>
    </row>
    <row r="45" spans="1:2">
      <c r="A45" s="28" t="s">
        <v>58</v>
      </c>
      <c r="B45" s="44">
        <f>AVERAGE(Data!J95:J97)</f>
        <v>0.26925068933333335</v>
      </c>
    </row>
    <row r="46" spans="1:2">
      <c r="A46" s="28" t="s">
        <v>74</v>
      </c>
      <c r="B46" s="44">
        <f>AVERAGE(Data!J98:J100)</f>
        <v>0.34904070999999992</v>
      </c>
    </row>
    <row r="47" spans="1:2">
      <c r="A47" s="28" t="s">
        <v>75</v>
      </c>
      <c r="B47" s="44">
        <f>AVERAGE(Data!J101:J103)</f>
        <v>0.41191914333333335</v>
      </c>
    </row>
    <row r="48" spans="1:2">
      <c r="A48" s="28" t="s">
        <v>76</v>
      </c>
      <c r="B48" s="44">
        <f>AVERAGE(Data!J104:J106)</f>
        <v>0.56836274333333325</v>
      </c>
    </row>
    <row r="49" spans="1:2">
      <c r="A49" s="28" t="s">
        <v>77</v>
      </c>
      <c r="B49" s="44">
        <f>AVERAGE(Data!J107:J109)</f>
        <v>0.44101427666666665</v>
      </c>
    </row>
    <row r="50" spans="1:2">
      <c r="A50" s="28" t="s">
        <v>78</v>
      </c>
      <c r="B50" s="44">
        <f>AVERAGE(Data!J110:J112)</f>
        <v>0.14899116333333337</v>
      </c>
    </row>
    <row r="51" spans="1:2">
      <c r="A51" s="28" t="s">
        <v>79</v>
      </c>
      <c r="B51" s="44">
        <f>AVERAGE(Data!J113:J115)</f>
        <v>8.4621249999999995E-2</v>
      </c>
    </row>
    <row r="52" spans="1:2">
      <c r="A52" s="28" t="s">
        <v>80</v>
      </c>
      <c r="B52" s="44">
        <f>AVERAGE(Data!J116:J118)</f>
        <v>0.13814223</v>
      </c>
    </row>
    <row r="53" spans="1:2">
      <c r="A53" s="28" t="s">
        <v>81</v>
      </c>
      <c r="B53" s="44">
        <f>AVERAGE(Data!J119:J121)</f>
        <v>0.18050411000000002</v>
      </c>
    </row>
    <row r="54" spans="1:2">
      <c r="A54" s="28" t="s">
        <v>82</v>
      </c>
      <c r="B54" s="44">
        <f>AVERAGE(Data!J122:J124)</f>
        <v>0.20186405333333335</v>
      </c>
    </row>
    <row r="55" spans="1:2">
      <c r="A55" s="28" t="s">
        <v>83</v>
      </c>
      <c r="B55" s="44">
        <f>AVERAGE(Data!J125:J127)</f>
        <v>0.23204339666666671</v>
      </c>
    </row>
    <row r="56" spans="1:2">
      <c r="A56" s="28" t="s">
        <v>84</v>
      </c>
      <c r="B56" s="44">
        <f>AVERAGE(Data!J128:J130)</f>
        <v>0.23806044000000001</v>
      </c>
    </row>
    <row r="57" spans="1:2">
      <c r="A57" s="28" t="s">
        <v>85</v>
      </c>
      <c r="B57" s="44">
        <f>AVERAGE(Data!J131:J133)</f>
        <v>0.24402858333333335</v>
      </c>
    </row>
    <row r="58" spans="1:2">
      <c r="A58" s="28" t="s">
        <v>87</v>
      </c>
      <c r="B58" s="44">
        <f>AVERAGE(Data!J134:J136)</f>
        <v>0.26952631333333332</v>
      </c>
    </row>
    <row r="59" spans="1:2">
      <c r="A59" s="28" t="s">
        <v>88</v>
      </c>
      <c r="B59" s="44">
        <f>AVERAGE(Data!J137:J139)</f>
        <v>0.32135644666666668</v>
      </c>
    </row>
    <row r="60" spans="1:2">
      <c r="A60" s="28" t="s">
        <v>89</v>
      </c>
      <c r="B60" s="44">
        <f>AVERAGE(Data!J140:J142)</f>
        <v>0.33576456333333332</v>
      </c>
    </row>
    <row r="61" spans="1:2">
      <c r="A61" s="28" t="s">
        <v>90</v>
      </c>
      <c r="B61" s="44">
        <f>AVERAGE(Data!J143:J145)</f>
        <v>0.31265467333333335</v>
      </c>
    </row>
    <row r="62" spans="1:2">
      <c r="A62" s="28" t="s">
        <v>95</v>
      </c>
      <c r="B62" s="44">
        <f>AVERAGE(Data!J146:J148)</f>
        <v>0.32341259999999999</v>
      </c>
    </row>
    <row r="63" spans="1:2">
      <c r="A63" s="28" t="s">
        <v>97</v>
      </c>
      <c r="B63" s="44">
        <f>AVERAGE(Data!J149:J151)</f>
        <v>0.36020686666666668</v>
      </c>
    </row>
    <row r="64" spans="1:2">
      <c r="A64" s="28" t="s">
        <v>98</v>
      </c>
      <c r="B64" s="44">
        <f>AVERAGE(Data!J152:J154)</f>
        <v>0.30831193333333334</v>
      </c>
    </row>
    <row r="65" spans="1:2">
      <c r="A65" s="28" t="s">
        <v>99</v>
      </c>
      <c r="B65" s="44">
        <f>AVERAGE(Data!J155:J157)</f>
        <v>0.35937819999999993</v>
      </c>
    </row>
    <row r="66" spans="1:2">
      <c r="A66" s="28" t="s">
        <v>100</v>
      </c>
      <c r="B66" s="44">
        <f>AVERAGE(Data!J158:J160)</f>
        <v>0.33620288666666664</v>
      </c>
    </row>
    <row r="67" spans="1:2">
      <c r="A67" s="28" t="s">
        <v>101</v>
      </c>
      <c r="B67" s="44">
        <f>AVERAGE(Data!J161:J163)</f>
        <v>0.34830036000000003</v>
      </c>
    </row>
    <row r="68" spans="1:2">
      <c r="A68" s="28" t="s">
        <v>102</v>
      </c>
      <c r="B68" s="44">
        <f>AVERAGE(Data!J164:J166)</f>
        <v>0.31609313999999999</v>
      </c>
    </row>
    <row r="69" spans="1:2">
      <c r="A69" s="28" t="s">
        <v>103</v>
      </c>
      <c r="B69" s="44">
        <f>AVERAGE(Data!J167:J169)</f>
        <v>0.32675418666666667</v>
      </c>
    </row>
  </sheetData>
  <pageMargins left="0.7" right="0.7" top="0.75" bottom="0.75" header="0.3" footer="0.3"/>
  <ignoredErrors>
    <ignoredError sqref="B5:H11 M5:S8 B12:I12 B13:H13 B14:H15" formulaRange="1"/>
    <ignoredError sqref="B57" evalError="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D177"/>
  <sheetViews>
    <sheetView zoomScale="80" zoomScaleNormal="80" workbookViewId="0">
      <pane ySplit="9" topLeftCell="A153" activePane="bottomLeft" state="frozen"/>
      <selection pane="bottomLeft" activeCell="B176" sqref="B176"/>
    </sheetView>
  </sheetViews>
  <sheetFormatPr defaultRowHeight="13.2"/>
  <cols>
    <col min="1" max="1" width="13.21875" customWidth="1"/>
    <col min="2" max="3" width="10.44140625" customWidth="1"/>
  </cols>
  <sheetData>
    <row r="1" spans="1:30">
      <c r="A1" s="1" t="s">
        <v>26</v>
      </c>
    </row>
    <row r="2" spans="1:30">
      <c r="A2" s="1" t="s">
        <v>27</v>
      </c>
    </row>
    <row r="3" spans="1:30">
      <c r="A3" s="37" t="s">
        <v>31</v>
      </c>
    </row>
    <row r="4" spans="1:30">
      <c r="A4" s="38" t="s">
        <v>32</v>
      </c>
    </row>
    <row r="5" spans="1:30">
      <c r="A5" s="37"/>
    </row>
    <row r="6" spans="1:30">
      <c r="A6" s="1"/>
      <c r="F6" s="78" t="s">
        <v>96</v>
      </c>
    </row>
    <row r="7" spans="1:30">
      <c r="A7" s="1"/>
    </row>
    <row r="8" spans="1:30">
      <c r="B8" s="1" t="s">
        <v>24</v>
      </c>
      <c r="C8" s="1" t="s">
        <v>25</v>
      </c>
    </row>
    <row r="9" spans="1:30" ht="13.8" thickBot="1">
      <c r="A9" s="2" t="s">
        <v>28</v>
      </c>
      <c r="B9" s="2" t="s">
        <v>29</v>
      </c>
      <c r="C9" s="2" t="s">
        <v>30</v>
      </c>
      <c r="D9" s="36"/>
      <c r="E9" s="36"/>
      <c r="F9" s="36"/>
      <c r="G9" s="36"/>
      <c r="H9" s="36"/>
      <c r="I9" s="36"/>
      <c r="J9" s="36"/>
      <c r="K9" s="36"/>
      <c r="L9" s="36"/>
      <c r="M9" s="36"/>
      <c r="N9" s="36"/>
      <c r="O9" s="36"/>
      <c r="P9" s="36"/>
      <c r="Q9" s="36"/>
      <c r="R9" s="36"/>
      <c r="S9" s="36"/>
      <c r="T9" s="36"/>
      <c r="U9" s="36"/>
      <c r="V9" s="36"/>
      <c r="W9" s="36"/>
      <c r="X9" s="36"/>
      <c r="Y9" s="36"/>
      <c r="Z9" s="36"/>
      <c r="AA9" s="36"/>
      <c r="AB9" s="36"/>
      <c r="AC9" s="36"/>
      <c r="AD9" s="36"/>
    </row>
    <row r="10" spans="1:30">
      <c r="A10" s="29">
        <v>36526</v>
      </c>
      <c r="B10" s="61">
        <v>1.3560000000000001</v>
      </c>
      <c r="C10" s="33">
        <v>27.26</v>
      </c>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row>
    <row r="11" spans="1:30">
      <c r="A11" s="29">
        <v>36557</v>
      </c>
      <c r="B11" s="61">
        <v>1.4610000000000001</v>
      </c>
      <c r="C11" s="31">
        <v>29.37</v>
      </c>
    </row>
    <row r="12" spans="1:30">
      <c r="A12" s="29">
        <v>36586</v>
      </c>
      <c r="B12" s="61">
        <v>1.4790000000000001</v>
      </c>
      <c r="C12" s="31">
        <v>29.84</v>
      </c>
    </row>
    <row r="13" spans="1:30">
      <c r="A13" s="29">
        <v>36617</v>
      </c>
      <c r="B13" s="61">
        <v>1.4219999999999999</v>
      </c>
      <c r="C13" s="31">
        <v>25.72</v>
      </c>
    </row>
    <row r="14" spans="1:30">
      <c r="A14" s="29">
        <v>36647</v>
      </c>
      <c r="B14" s="61">
        <v>1.42</v>
      </c>
      <c r="C14" s="31">
        <v>28.79</v>
      </c>
    </row>
    <row r="15" spans="1:30">
      <c r="A15" s="29">
        <v>36678</v>
      </c>
      <c r="B15" s="61">
        <v>1.421</v>
      </c>
      <c r="C15" s="31">
        <v>31.82</v>
      </c>
    </row>
    <row r="16" spans="1:30">
      <c r="A16" s="29">
        <v>36708</v>
      </c>
      <c r="B16" s="61">
        <v>1.4339999999999999</v>
      </c>
      <c r="C16" s="33">
        <v>29.7</v>
      </c>
    </row>
    <row r="17" spans="1:3">
      <c r="A17" s="29">
        <v>36739</v>
      </c>
      <c r="B17" s="61">
        <v>1.466</v>
      </c>
      <c r="C17" s="33">
        <v>31.26</v>
      </c>
    </row>
    <row r="18" spans="1:3">
      <c r="A18" s="29">
        <v>36770</v>
      </c>
      <c r="B18" s="61">
        <v>1.637</v>
      </c>
      <c r="C18" s="33">
        <v>33.880000000000003</v>
      </c>
    </row>
    <row r="19" spans="1:3">
      <c r="A19" s="29">
        <v>36800</v>
      </c>
      <c r="B19" s="61">
        <v>1.637</v>
      </c>
      <c r="C19" s="33">
        <v>33.11</v>
      </c>
    </row>
    <row r="20" spans="1:3">
      <c r="A20" s="29">
        <v>36831</v>
      </c>
      <c r="B20" s="61">
        <v>1.621</v>
      </c>
      <c r="C20" s="33">
        <v>34.42</v>
      </c>
    </row>
    <row r="21" spans="1:3">
      <c r="A21" s="30">
        <v>36861</v>
      </c>
      <c r="B21" s="62">
        <v>1.5649999999999999</v>
      </c>
      <c r="C21" s="34">
        <v>28.44</v>
      </c>
    </row>
    <row r="22" spans="1:3">
      <c r="A22" s="29">
        <v>36892</v>
      </c>
      <c r="B22" s="61">
        <v>1.524</v>
      </c>
      <c r="C22" s="33">
        <v>29.59</v>
      </c>
    </row>
    <row r="23" spans="1:3">
      <c r="A23" s="29">
        <v>36923</v>
      </c>
      <c r="B23" s="61">
        <v>1.492</v>
      </c>
      <c r="C23" s="33">
        <v>29.61</v>
      </c>
    </row>
    <row r="24" spans="1:3">
      <c r="A24" s="29">
        <v>36951</v>
      </c>
      <c r="B24" s="61">
        <v>1.399</v>
      </c>
      <c r="C24" s="33">
        <v>27.24</v>
      </c>
    </row>
    <row r="25" spans="1:3">
      <c r="A25" s="29">
        <v>36982</v>
      </c>
      <c r="B25" s="61">
        <v>1.4219999999999999</v>
      </c>
      <c r="C25" s="33">
        <v>27.49</v>
      </c>
    </row>
    <row r="26" spans="1:3">
      <c r="A26" s="29">
        <v>37012</v>
      </c>
      <c r="B26" s="61">
        <v>1.496</v>
      </c>
      <c r="C26" s="33">
        <v>28.63</v>
      </c>
    </row>
    <row r="27" spans="1:3">
      <c r="A27" s="29">
        <v>37043</v>
      </c>
      <c r="B27" s="61">
        <v>1.482</v>
      </c>
      <c r="C27" s="33">
        <v>27.6</v>
      </c>
    </row>
    <row r="28" spans="1:3">
      <c r="A28" s="29">
        <v>37073</v>
      </c>
      <c r="B28" s="61">
        <v>1.375</v>
      </c>
      <c r="C28" s="33">
        <v>26.42</v>
      </c>
    </row>
    <row r="29" spans="1:3">
      <c r="A29" s="29">
        <v>37104</v>
      </c>
      <c r="B29" s="61">
        <v>1.39</v>
      </c>
      <c r="C29" s="33">
        <v>27.37</v>
      </c>
    </row>
    <row r="30" spans="1:3">
      <c r="A30" s="29">
        <v>37135</v>
      </c>
      <c r="B30" s="61">
        <v>1.4950000000000001</v>
      </c>
      <c r="C30" s="33">
        <v>26.2</v>
      </c>
    </row>
    <row r="31" spans="1:3">
      <c r="A31" s="29">
        <v>37165</v>
      </c>
      <c r="B31" s="61">
        <v>1.3480000000000001</v>
      </c>
      <c r="C31" s="33">
        <v>22.17</v>
      </c>
    </row>
    <row r="32" spans="1:3">
      <c r="A32" s="29">
        <v>37196</v>
      </c>
      <c r="B32" s="61">
        <v>1.2589999999999999</v>
      </c>
      <c r="C32" s="33">
        <v>19.64</v>
      </c>
    </row>
    <row r="33" spans="1:3">
      <c r="A33" s="30">
        <v>37226</v>
      </c>
      <c r="B33" s="62">
        <v>1.167</v>
      </c>
      <c r="C33" s="34">
        <v>19.39</v>
      </c>
    </row>
    <row r="34" spans="1:3">
      <c r="A34" s="29">
        <v>37257</v>
      </c>
      <c r="B34" s="63">
        <v>1.153</v>
      </c>
      <c r="C34" s="35">
        <v>19.71</v>
      </c>
    </row>
    <row r="35" spans="1:3">
      <c r="A35" s="29">
        <v>37288</v>
      </c>
      <c r="B35" s="63">
        <v>1.1519999999999999</v>
      </c>
      <c r="C35" s="35">
        <v>20.72</v>
      </c>
    </row>
    <row r="36" spans="1:3">
      <c r="A36" s="29">
        <v>37316</v>
      </c>
      <c r="B36" s="63">
        <v>1.23</v>
      </c>
      <c r="C36" s="35">
        <v>24.53</v>
      </c>
    </row>
    <row r="37" spans="1:3">
      <c r="A37" s="29">
        <v>37347</v>
      </c>
      <c r="B37" s="63">
        <v>1.3089999999999999</v>
      </c>
      <c r="C37" s="35">
        <v>26.18</v>
      </c>
    </row>
    <row r="38" spans="1:3">
      <c r="A38" s="29">
        <v>37377</v>
      </c>
      <c r="B38" s="63">
        <v>1.3049999999999999</v>
      </c>
      <c r="C38" s="35">
        <v>27.04</v>
      </c>
    </row>
    <row r="39" spans="1:3">
      <c r="A39" s="29">
        <v>37408</v>
      </c>
      <c r="B39" s="63">
        <v>1.286</v>
      </c>
      <c r="C39" s="35">
        <v>25.52</v>
      </c>
    </row>
    <row r="40" spans="1:3">
      <c r="A40" s="29">
        <v>37438</v>
      </c>
      <c r="B40" s="63">
        <v>1.2989999999999999</v>
      </c>
      <c r="C40" s="35">
        <v>26.97</v>
      </c>
    </row>
    <row r="41" spans="1:3">
      <c r="A41" s="29">
        <v>37469</v>
      </c>
      <c r="B41" s="63">
        <v>1.3280000000000001</v>
      </c>
      <c r="C41" s="35">
        <v>28.39</v>
      </c>
    </row>
    <row r="42" spans="1:3">
      <c r="A42" s="29">
        <v>37500</v>
      </c>
      <c r="B42" s="63">
        <v>1.411</v>
      </c>
      <c r="C42" s="35">
        <v>29.66</v>
      </c>
    </row>
    <row r="43" spans="1:3">
      <c r="A43" s="29">
        <v>37530</v>
      </c>
      <c r="B43" s="63">
        <v>1.462</v>
      </c>
      <c r="C43" s="35">
        <v>28.84</v>
      </c>
    </row>
    <row r="44" spans="1:3">
      <c r="A44" s="29">
        <v>37561</v>
      </c>
      <c r="B44" s="63">
        <v>1.42</v>
      </c>
      <c r="C44" s="35">
        <v>26.35</v>
      </c>
    </row>
    <row r="45" spans="1:3">
      <c r="A45" s="30">
        <v>37591</v>
      </c>
      <c r="B45" s="62">
        <v>1.429</v>
      </c>
      <c r="C45" s="34">
        <v>29.46</v>
      </c>
    </row>
    <row r="46" spans="1:3">
      <c r="A46" s="29">
        <v>37622</v>
      </c>
      <c r="B46" s="63">
        <v>1.488</v>
      </c>
      <c r="C46" s="35">
        <v>32.950000000000003</v>
      </c>
    </row>
    <row r="47" spans="1:3">
      <c r="A47" s="29">
        <v>37653</v>
      </c>
      <c r="B47" s="63">
        <v>1.6539999999999999</v>
      </c>
      <c r="C47" s="35">
        <v>35.83</v>
      </c>
    </row>
    <row r="48" spans="1:3">
      <c r="A48" s="29">
        <v>37681</v>
      </c>
      <c r="B48" s="63">
        <v>1.708</v>
      </c>
      <c r="C48" s="35">
        <v>33.51</v>
      </c>
    </row>
    <row r="49" spans="1:3">
      <c r="A49" s="29">
        <v>37712</v>
      </c>
      <c r="B49" s="63">
        <v>1.5329999999999999</v>
      </c>
      <c r="C49" s="35">
        <v>28.25</v>
      </c>
    </row>
    <row r="50" spans="1:3">
      <c r="A50" s="29">
        <v>37742</v>
      </c>
      <c r="B50" s="63">
        <v>1.4510000000000001</v>
      </c>
      <c r="C50" s="35">
        <v>28.14</v>
      </c>
    </row>
    <row r="51" spans="1:3">
      <c r="A51" s="29">
        <v>37773</v>
      </c>
      <c r="B51" s="63">
        <v>1.4239999999999999</v>
      </c>
      <c r="C51" s="35">
        <v>30.72</v>
      </c>
    </row>
    <row r="52" spans="1:3">
      <c r="A52" s="29">
        <v>37803</v>
      </c>
      <c r="B52" s="63">
        <v>1.4350000000000001</v>
      </c>
      <c r="C52" s="35">
        <v>30.76</v>
      </c>
    </row>
    <row r="53" spans="1:3">
      <c r="A53" s="29">
        <v>37834</v>
      </c>
      <c r="B53" s="63">
        <v>1.4870000000000001</v>
      </c>
      <c r="C53" s="35">
        <v>31.59</v>
      </c>
    </row>
    <row r="54" spans="1:3">
      <c r="A54" s="29">
        <v>37865</v>
      </c>
      <c r="B54" s="63">
        <v>1.4670000000000001</v>
      </c>
      <c r="C54" s="35">
        <v>28.29</v>
      </c>
    </row>
    <row r="55" spans="1:3">
      <c r="A55" s="29">
        <v>37895</v>
      </c>
      <c r="B55" s="63">
        <v>1.4810000000000001</v>
      </c>
      <c r="C55" s="35">
        <v>30.33</v>
      </c>
    </row>
    <row r="56" spans="1:3">
      <c r="A56" s="29">
        <v>37926</v>
      </c>
      <c r="B56" s="63">
        <v>1.482</v>
      </c>
      <c r="C56" s="35">
        <v>31.1</v>
      </c>
    </row>
    <row r="57" spans="1:3">
      <c r="A57" s="30">
        <v>37956</v>
      </c>
      <c r="B57" s="62">
        <v>1.49</v>
      </c>
      <c r="C57" s="34">
        <v>32.15</v>
      </c>
    </row>
    <row r="58" spans="1:3">
      <c r="A58" s="29">
        <v>37987</v>
      </c>
      <c r="B58" s="63">
        <v>1.5509999999999999</v>
      </c>
      <c r="C58" s="35">
        <v>34.270000000000003</v>
      </c>
    </row>
    <row r="59" spans="1:3">
      <c r="A59" s="29">
        <v>38018</v>
      </c>
      <c r="B59" s="63">
        <v>1.5820000000000001</v>
      </c>
      <c r="C59" s="35">
        <v>34.74</v>
      </c>
    </row>
    <row r="60" spans="1:3">
      <c r="A60" s="29">
        <v>38047</v>
      </c>
      <c r="B60" s="63">
        <v>1.629</v>
      </c>
      <c r="C60" s="35">
        <v>36.76</v>
      </c>
    </row>
    <row r="61" spans="1:3">
      <c r="A61" s="29">
        <v>38078</v>
      </c>
      <c r="B61" s="63">
        <v>1.6919999999999999</v>
      </c>
      <c r="C61" s="35">
        <v>36.700000000000003</v>
      </c>
    </row>
    <row r="62" spans="1:3">
      <c r="A62" s="29">
        <v>38108</v>
      </c>
      <c r="B62" s="63">
        <v>1.746</v>
      </c>
      <c r="C62" s="35">
        <v>40.29</v>
      </c>
    </row>
    <row r="63" spans="1:3">
      <c r="A63" s="29">
        <v>38139</v>
      </c>
      <c r="B63" s="63">
        <v>1.7110000000000001</v>
      </c>
      <c r="C63" s="35">
        <v>38.04</v>
      </c>
    </row>
    <row r="64" spans="1:3">
      <c r="A64" s="29">
        <v>38169</v>
      </c>
      <c r="B64" s="63">
        <v>1.7390000000000001</v>
      </c>
      <c r="C64" s="35">
        <v>40.799999999999997</v>
      </c>
    </row>
    <row r="65" spans="1:3">
      <c r="A65" s="29">
        <v>38200</v>
      </c>
      <c r="B65" s="63">
        <v>1.833</v>
      </c>
      <c r="C65" s="35">
        <v>44.94</v>
      </c>
    </row>
    <row r="66" spans="1:3">
      <c r="A66" s="29">
        <v>38231</v>
      </c>
      <c r="B66" s="63">
        <v>1.917</v>
      </c>
      <c r="C66" s="35">
        <v>45.95</v>
      </c>
    </row>
    <row r="67" spans="1:3">
      <c r="A67" s="29">
        <v>38261</v>
      </c>
      <c r="B67" s="63">
        <v>2.1339999999999999</v>
      </c>
      <c r="C67" s="35">
        <v>53.13</v>
      </c>
    </row>
    <row r="68" spans="1:3">
      <c r="A68" s="29">
        <v>38292</v>
      </c>
      <c r="B68" s="63">
        <v>2.1469999999999998</v>
      </c>
      <c r="C68" s="35">
        <v>48.46</v>
      </c>
    </row>
    <row r="69" spans="1:3">
      <c r="A69" s="30">
        <v>38322</v>
      </c>
      <c r="B69" s="62">
        <v>2.0089999999999999</v>
      </c>
      <c r="C69" s="34">
        <v>43.35</v>
      </c>
    </row>
    <row r="70" spans="1:3">
      <c r="A70" s="29">
        <v>38353</v>
      </c>
      <c r="B70" s="63">
        <v>1.9590000000000001</v>
      </c>
      <c r="C70" s="35">
        <v>46.84</v>
      </c>
    </row>
    <row r="71" spans="1:3">
      <c r="A71" s="29">
        <v>38384</v>
      </c>
      <c r="B71" s="63">
        <v>2.0270000000000001</v>
      </c>
      <c r="C71" s="35">
        <v>47.97</v>
      </c>
    </row>
    <row r="72" spans="1:3">
      <c r="A72" s="29">
        <v>38412</v>
      </c>
      <c r="B72" s="63">
        <v>2.214</v>
      </c>
      <c r="C72" s="35">
        <v>54.22</v>
      </c>
    </row>
    <row r="73" spans="1:3">
      <c r="A73" s="29">
        <v>38443</v>
      </c>
      <c r="B73" s="63">
        <v>2.2919999999999998</v>
      </c>
      <c r="C73" s="35">
        <v>53.04</v>
      </c>
    </row>
    <row r="74" spans="1:3">
      <c r="A74" s="29">
        <v>38473</v>
      </c>
      <c r="B74" s="63">
        <v>2.1989999999999998</v>
      </c>
      <c r="C74" s="35">
        <v>49.83</v>
      </c>
    </row>
    <row r="75" spans="1:3">
      <c r="A75" s="29">
        <v>38504</v>
      </c>
      <c r="B75" s="63">
        <v>2.29</v>
      </c>
      <c r="C75" s="35">
        <v>56.31</v>
      </c>
    </row>
    <row r="76" spans="1:3">
      <c r="A76" s="29">
        <v>38534</v>
      </c>
      <c r="B76" s="63">
        <v>2.3730000000000002</v>
      </c>
      <c r="C76" s="35">
        <v>58.7</v>
      </c>
    </row>
    <row r="77" spans="1:3">
      <c r="A77" s="29">
        <v>38565</v>
      </c>
      <c r="B77" s="63">
        <v>2.5</v>
      </c>
      <c r="C77" s="35">
        <v>64.97</v>
      </c>
    </row>
    <row r="78" spans="1:3">
      <c r="A78" s="29">
        <v>38596</v>
      </c>
      <c r="B78" s="63">
        <v>2.819</v>
      </c>
      <c r="C78" s="35">
        <v>65.569999999999993</v>
      </c>
    </row>
    <row r="79" spans="1:3">
      <c r="A79" s="29">
        <v>38626</v>
      </c>
      <c r="B79" s="63">
        <v>3.0950000000000002</v>
      </c>
      <c r="C79" s="35">
        <v>62.37</v>
      </c>
    </row>
    <row r="80" spans="1:3">
      <c r="A80" s="29">
        <v>38657</v>
      </c>
      <c r="B80" s="63">
        <v>2.573</v>
      </c>
      <c r="C80" s="35">
        <v>58.3</v>
      </c>
    </row>
    <row r="81" spans="1:3">
      <c r="A81" s="30">
        <v>38687</v>
      </c>
      <c r="B81" s="62">
        <v>2.4430000000000001</v>
      </c>
      <c r="C81" s="34">
        <v>59.43</v>
      </c>
    </row>
    <row r="82" spans="1:3">
      <c r="A82" s="29">
        <v>38718</v>
      </c>
      <c r="B82" s="63">
        <v>2.4670000000000001</v>
      </c>
      <c r="C82" s="35">
        <v>65.489999999999995</v>
      </c>
    </row>
    <row r="83" spans="1:3">
      <c r="A83" s="29">
        <v>38749</v>
      </c>
      <c r="B83" s="63">
        <v>2.4750000000000001</v>
      </c>
      <c r="C83" s="35">
        <v>61.63</v>
      </c>
    </row>
    <row r="84" spans="1:3">
      <c r="A84" s="29">
        <v>38777</v>
      </c>
      <c r="B84" s="63">
        <v>2.5590000000000002</v>
      </c>
      <c r="C84" s="35">
        <v>62.69</v>
      </c>
    </row>
    <row r="85" spans="1:3">
      <c r="A85" s="29">
        <v>38808</v>
      </c>
      <c r="B85" s="63">
        <v>2.7280000000000002</v>
      </c>
      <c r="C85" s="35">
        <v>69.44</v>
      </c>
    </row>
    <row r="86" spans="1:3">
      <c r="A86" s="29">
        <v>38838</v>
      </c>
      <c r="B86" s="63">
        <v>2.8969999999999998</v>
      </c>
      <c r="C86" s="35">
        <v>70.84</v>
      </c>
    </row>
    <row r="87" spans="1:3">
      <c r="A87" s="29">
        <v>38869</v>
      </c>
      <c r="B87" s="63">
        <v>2.8980000000000001</v>
      </c>
      <c r="C87" s="35">
        <v>70.95</v>
      </c>
    </row>
    <row r="88" spans="1:3">
      <c r="A88" s="29">
        <v>38899</v>
      </c>
      <c r="B88" s="63">
        <v>2.9340000000000002</v>
      </c>
      <c r="C88" s="35">
        <v>74.41</v>
      </c>
    </row>
    <row r="89" spans="1:3">
      <c r="A89" s="29">
        <v>38930</v>
      </c>
      <c r="B89" s="63">
        <v>3.0449999999999999</v>
      </c>
      <c r="C89" s="35">
        <v>73.040000000000006</v>
      </c>
    </row>
    <row r="90" spans="1:3">
      <c r="A90" s="29">
        <v>38961</v>
      </c>
      <c r="B90" s="63">
        <v>2.7829999999999999</v>
      </c>
      <c r="C90" s="35">
        <v>63.8</v>
      </c>
    </row>
    <row r="91" spans="1:3">
      <c r="A91" s="29">
        <v>38991</v>
      </c>
      <c r="B91" s="63">
        <v>2.5190000000000001</v>
      </c>
      <c r="C91" s="35">
        <v>58.89</v>
      </c>
    </row>
    <row r="92" spans="1:3">
      <c r="A92" s="29">
        <v>39022</v>
      </c>
      <c r="B92" s="63">
        <v>2.5449999999999999</v>
      </c>
      <c r="C92" s="35">
        <v>59.08</v>
      </c>
    </row>
    <row r="93" spans="1:3">
      <c r="A93" s="30">
        <v>39052</v>
      </c>
      <c r="B93" s="62">
        <v>2.61</v>
      </c>
      <c r="C93" s="34">
        <v>61.96</v>
      </c>
    </row>
    <row r="94" spans="1:3">
      <c r="A94" s="29">
        <v>39083</v>
      </c>
      <c r="B94" s="65">
        <v>2.4849999999999999</v>
      </c>
      <c r="C94" s="35">
        <v>54.51</v>
      </c>
    </row>
    <row r="95" spans="1:3">
      <c r="A95" s="29">
        <v>39114</v>
      </c>
      <c r="B95" s="65">
        <v>2.488</v>
      </c>
      <c r="C95" s="35">
        <v>59.28</v>
      </c>
    </row>
    <row r="96" spans="1:3">
      <c r="A96" s="29">
        <v>39142</v>
      </c>
      <c r="B96" s="65">
        <v>2.6669999999999998</v>
      </c>
      <c r="C96" s="35">
        <v>60.44</v>
      </c>
    </row>
    <row r="97" spans="1:3">
      <c r="A97" s="29">
        <v>39173</v>
      </c>
      <c r="B97" s="65">
        <v>2.8340000000000001</v>
      </c>
      <c r="C97" s="35">
        <v>63.98</v>
      </c>
    </row>
    <row r="98" spans="1:3">
      <c r="A98" s="29">
        <v>39203</v>
      </c>
      <c r="B98" s="65">
        <v>2.7959999999999998</v>
      </c>
      <c r="C98" s="35">
        <v>63.45</v>
      </c>
    </row>
    <row r="99" spans="1:3">
      <c r="A99" s="29">
        <v>39234</v>
      </c>
      <c r="B99" s="65">
        <v>2.8079999999999998</v>
      </c>
      <c r="C99" s="35">
        <v>67.489999999999995</v>
      </c>
    </row>
    <row r="100" spans="1:3">
      <c r="A100" s="29">
        <v>39264</v>
      </c>
      <c r="B100" s="65">
        <v>2.8679999999999999</v>
      </c>
      <c r="C100" s="35">
        <v>74.12</v>
      </c>
    </row>
    <row r="101" spans="1:3">
      <c r="A101" s="29">
        <v>39295</v>
      </c>
      <c r="B101" s="65">
        <v>2.8690000000000002</v>
      </c>
      <c r="C101" s="35">
        <v>72.36</v>
      </c>
    </row>
    <row r="102" spans="1:3">
      <c r="A102" s="29">
        <v>39326</v>
      </c>
      <c r="B102" s="65">
        <v>2.9529999999999998</v>
      </c>
      <c r="C102" s="35">
        <v>79.91</v>
      </c>
    </row>
    <row r="103" spans="1:3">
      <c r="A103" s="29">
        <v>39356</v>
      </c>
      <c r="B103" s="65">
        <v>3.0750000000000002</v>
      </c>
      <c r="C103" s="35">
        <v>85.8</v>
      </c>
    </row>
    <row r="104" spans="1:3">
      <c r="A104" s="29">
        <v>39387</v>
      </c>
      <c r="B104" s="65">
        <v>3.3959999999999999</v>
      </c>
      <c r="C104" s="35">
        <v>94.77</v>
      </c>
    </row>
    <row r="105" spans="1:3">
      <c r="A105" s="30">
        <v>39417</v>
      </c>
      <c r="B105" s="66">
        <v>3.3410000000000002</v>
      </c>
      <c r="C105" s="34">
        <v>91.69</v>
      </c>
    </row>
    <row r="106" spans="1:3">
      <c r="A106" s="29">
        <v>39448</v>
      </c>
      <c r="B106" s="65">
        <v>3.3079999999999998</v>
      </c>
      <c r="C106" s="35">
        <v>92.97</v>
      </c>
    </row>
    <row r="107" spans="1:3">
      <c r="A107" s="29">
        <v>39479</v>
      </c>
      <c r="B107" s="65">
        <v>3.3769999999999998</v>
      </c>
      <c r="C107" s="35">
        <v>95.39</v>
      </c>
    </row>
    <row r="108" spans="1:3">
      <c r="A108" s="29">
        <v>39508</v>
      </c>
      <c r="B108" s="65">
        <v>3.8809999999999998</v>
      </c>
      <c r="C108" s="35">
        <v>105.45</v>
      </c>
    </row>
    <row r="109" spans="1:3">
      <c r="A109" s="29">
        <v>39539</v>
      </c>
      <c r="B109" s="65">
        <v>4.0839999999999996</v>
      </c>
      <c r="C109" s="32">
        <v>112.58</v>
      </c>
    </row>
    <row r="110" spans="1:3">
      <c r="A110" s="29">
        <v>39569</v>
      </c>
      <c r="B110" s="65">
        <v>4.4249999999999998</v>
      </c>
      <c r="C110" s="32">
        <v>125.4</v>
      </c>
    </row>
    <row r="111" spans="1:3">
      <c r="A111" s="29">
        <v>39600</v>
      </c>
      <c r="B111" s="65">
        <v>4.6769999999999996</v>
      </c>
      <c r="C111" s="32">
        <v>133.88</v>
      </c>
    </row>
    <row r="112" spans="1:3">
      <c r="A112" s="29">
        <v>39630</v>
      </c>
      <c r="B112" s="65">
        <v>4.7030000000000003</v>
      </c>
      <c r="C112" s="32">
        <v>133.37</v>
      </c>
    </row>
    <row r="113" spans="1:3">
      <c r="A113" s="29">
        <v>39661</v>
      </c>
      <c r="B113" s="65">
        <v>4.3019999999999996</v>
      </c>
      <c r="C113" s="32">
        <v>116.67</v>
      </c>
    </row>
    <row r="114" spans="1:3">
      <c r="A114" s="29">
        <v>39692</v>
      </c>
      <c r="B114" s="65">
        <v>4.024</v>
      </c>
      <c r="C114" s="32">
        <v>104.11</v>
      </c>
    </row>
    <row r="115" spans="1:3">
      <c r="A115" s="29">
        <v>39722</v>
      </c>
      <c r="B115" s="65">
        <v>3.5760000000000001</v>
      </c>
      <c r="C115" s="32">
        <v>76.61</v>
      </c>
    </row>
    <row r="116" spans="1:3">
      <c r="A116" s="29">
        <v>39753</v>
      </c>
      <c r="B116" s="65">
        <v>2.8759999999999999</v>
      </c>
      <c r="C116" s="32">
        <v>57.31</v>
      </c>
    </row>
    <row r="117" spans="1:3">
      <c r="A117" s="30">
        <v>39783</v>
      </c>
      <c r="B117" s="66">
        <v>2.4489999999999998</v>
      </c>
      <c r="C117" s="64">
        <v>41.12</v>
      </c>
    </row>
    <row r="118" spans="1:3">
      <c r="A118" s="29">
        <v>39814</v>
      </c>
      <c r="B118" s="65">
        <v>2.2919999999999998</v>
      </c>
      <c r="C118" s="67">
        <v>41.71</v>
      </c>
    </row>
    <row r="119" spans="1:3">
      <c r="A119" s="29">
        <v>39845</v>
      </c>
      <c r="B119" s="65">
        <v>2.1949999999999998</v>
      </c>
      <c r="C119" s="67">
        <v>39.090000000000003</v>
      </c>
    </row>
    <row r="120" spans="1:3">
      <c r="A120" s="29">
        <v>39873</v>
      </c>
      <c r="B120" s="65">
        <v>2.0920000000000001</v>
      </c>
      <c r="C120" s="67">
        <v>47.94</v>
      </c>
    </row>
    <row r="121" spans="1:3">
      <c r="A121" s="29">
        <v>39904</v>
      </c>
      <c r="B121" s="65">
        <v>2.2200000000000002</v>
      </c>
      <c r="C121" s="67">
        <v>49.65</v>
      </c>
    </row>
    <row r="122" spans="1:3">
      <c r="A122" s="29">
        <v>39934</v>
      </c>
      <c r="B122" s="65">
        <v>2.2269999999999999</v>
      </c>
      <c r="C122" s="67">
        <v>59.03</v>
      </c>
    </row>
    <row r="123" spans="1:3">
      <c r="A123" s="29">
        <v>39965</v>
      </c>
      <c r="B123" s="65">
        <v>2.5289999999999999</v>
      </c>
      <c r="C123" s="67">
        <v>69.64</v>
      </c>
    </row>
    <row r="124" spans="1:3">
      <c r="A124" s="29">
        <v>39995</v>
      </c>
      <c r="B124" s="65">
        <v>2.54</v>
      </c>
      <c r="C124" s="68">
        <v>64.150000000000006</v>
      </c>
    </row>
    <row r="125" spans="1:3">
      <c r="A125" s="29">
        <v>40026</v>
      </c>
      <c r="B125" s="65">
        <v>2.6339999999999999</v>
      </c>
      <c r="C125" s="68">
        <v>71.05</v>
      </c>
    </row>
    <row r="126" spans="1:3">
      <c r="A126" s="29">
        <v>40057</v>
      </c>
      <c r="B126" s="65">
        <v>2.6259999999999999</v>
      </c>
      <c r="C126" s="68">
        <v>69.41</v>
      </c>
    </row>
    <row r="127" spans="1:3">
      <c r="A127" s="29">
        <v>40087</v>
      </c>
      <c r="B127" s="65">
        <v>2.6720000000000002</v>
      </c>
      <c r="C127" s="68">
        <v>75.72</v>
      </c>
    </row>
    <row r="128" spans="1:3">
      <c r="A128" s="29">
        <v>40118</v>
      </c>
      <c r="B128" s="65">
        <v>2.7919999999999998</v>
      </c>
      <c r="C128" s="68">
        <v>77.989999999999995</v>
      </c>
    </row>
    <row r="129" spans="1:4">
      <c r="A129" s="30">
        <v>40148</v>
      </c>
      <c r="B129" s="66">
        <v>2.7450000000000001</v>
      </c>
      <c r="C129" s="69">
        <v>74.47</v>
      </c>
    </row>
    <row r="130" spans="1:4">
      <c r="A130" s="29">
        <v>40179</v>
      </c>
      <c r="B130" s="65">
        <v>2.8450000000000002</v>
      </c>
      <c r="C130" s="70">
        <v>78.22</v>
      </c>
    </row>
    <row r="131" spans="1:4">
      <c r="A131" s="29">
        <v>40210</v>
      </c>
      <c r="B131" s="65">
        <v>2.7850000000000001</v>
      </c>
      <c r="C131" s="70">
        <v>76.42</v>
      </c>
    </row>
    <row r="132" spans="1:4">
      <c r="A132" s="29">
        <v>40238</v>
      </c>
      <c r="B132" s="65">
        <v>2.915</v>
      </c>
      <c r="C132" s="70">
        <v>81.239999999999995</v>
      </c>
    </row>
    <row r="133" spans="1:4">
      <c r="A133" s="29">
        <v>40269</v>
      </c>
      <c r="B133" s="65">
        <v>3.0590000000000002</v>
      </c>
      <c r="C133" s="70">
        <v>84.48</v>
      </c>
    </row>
    <row r="134" spans="1:4">
      <c r="A134" s="29">
        <v>40299</v>
      </c>
      <c r="B134" s="65">
        <v>3.069</v>
      </c>
      <c r="C134" s="70">
        <v>73.84</v>
      </c>
    </row>
    <row r="135" spans="1:4">
      <c r="A135" s="29">
        <v>40330</v>
      </c>
      <c r="B135" s="65">
        <v>2.948</v>
      </c>
      <c r="C135" s="70">
        <v>75.349999999999994</v>
      </c>
    </row>
    <row r="136" spans="1:4">
      <c r="A136" s="29">
        <v>40360</v>
      </c>
      <c r="B136" s="65">
        <v>2.911</v>
      </c>
      <c r="C136" s="70">
        <v>76.37</v>
      </c>
    </row>
    <row r="137" spans="1:4">
      <c r="A137" s="29">
        <v>40391</v>
      </c>
      <c r="B137" s="65">
        <v>2.9590000000000001</v>
      </c>
      <c r="C137" s="70">
        <v>76.819999999999993</v>
      </c>
    </row>
    <row r="138" spans="1:4">
      <c r="A138" s="29">
        <v>40422</v>
      </c>
      <c r="B138" s="65">
        <v>2.9460000000000002</v>
      </c>
      <c r="C138" s="70">
        <v>75.31</v>
      </c>
      <c r="D138" s="40"/>
    </row>
    <row r="139" spans="1:4">
      <c r="A139" s="29">
        <v>40452</v>
      </c>
      <c r="B139" s="65">
        <v>3.052</v>
      </c>
      <c r="C139" s="70">
        <v>81.900000000000006</v>
      </c>
    </row>
    <row r="140" spans="1:4">
      <c r="A140" s="29">
        <v>40483</v>
      </c>
      <c r="B140" s="65">
        <v>3.14</v>
      </c>
      <c r="C140" s="70">
        <v>84.14</v>
      </c>
    </row>
    <row r="141" spans="1:4">
      <c r="A141" s="29">
        <v>40513</v>
      </c>
      <c r="B141" s="65">
        <v>3.2429999999999999</v>
      </c>
      <c r="C141" s="70">
        <v>89.04</v>
      </c>
      <c r="D141" s="40"/>
    </row>
    <row r="142" spans="1:4">
      <c r="A142" s="29">
        <v>40544</v>
      </c>
      <c r="B142" s="65">
        <v>3.3879999999999999</v>
      </c>
      <c r="C142" s="70">
        <v>89.42</v>
      </c>
    </row>
    <row r="143" spans="1:4">
      <c r="A143" s="29">
        <v>40575</v>
      </c>
      <c r="B143" s="65">
        <v>3.5840000000000001</v>
      </c>
      <c r="C143" s="70">
        <v>89.58</v>
      </c>
    </row>
    <row r="144" spans="1:4">
      <c r="A144" s="29">
        <v>40603</v>
      </c>
      <c r="B144" s="65">
        <v>3.9049999999999998</v>
      </c>
      <c r="C144" s="70">
        <v>102.94</v>
      </c>
    </row>
    <row r="145" spans="1:3">
      <c r="A145" s="29">
        <v>40634</v>
      </c>
      <c r="B145" s="65">
        <v>4.0640000000000001</v>
      </c>
      <c r="C145" s="70">
        <v>110.04</v>
      </c>
    </row>
    <row r="146" spans="1:3">
      <c r="A146" s="29">
        <v>40664</v>
      </c>
      <c r="B146" s="65">
        <v>4.0469999999999997</v>
      </c>
      <c r="C146" s="70">
        <v>101.33</v>
      </c>
    </row>
    <row r="147" spans="1:3">
      <c r="A147" s="29">
        <v>40695</v>
      </c>
      <c r="B147" s="65">
        <v>3.9329999999999998</v>
      </c>
      <c r="C147" s="70">
        <v>96.29</v>
      </c>
    </row>
    <row r="148" spans="1:3">
      <c r="A148" s="29">
        <v>40725</v>
      </c>
      <c r="B148" s="65">
        <v>3.9049999999999998</v>
      </c>
      <c r="C148" s="70">
        <v>97.19</v>
      </c>
    </row>
    <row r="149" spans="1:3">
      <c r="A149" s="29">
        <v>40756</v>
      </c>
      <c r="B149" s="65">
        <v>3.86</v>
      </c>
      <c r="C149" s="70">
        <v>86.33</v>
      </c>
    </row>
    <row r="150" spans="1:3">
      <c r="A150" s="29">
        <v>40787</v>
      </c>
      <c r="B150" s="65">
        <v>3.8370000000000002</v>
      </c>
      <c r="C150" s="70">
        <v>85.61</v>
      </c>
    </row>
    <row r="151" spans="1:3">
      <c r="A151" s="29">
        <v>40817</v>
      </c>
      <c r="B151" s="65">
        <v>3.798</v>
      </c>
      <c r="C151" s="70">
        <v>86.41</v>
      </c>
    </row>
    <row r="152" spans="1:3">
      <c r="A152" s="29">
        <v>40848</v>
      </c>
      <c r="B152" s="65">
        <v>3.9620000000000002</v>
      </c>
      <c r="C152" s="70">
        <v>97.21</v>
      </c>
    </row>
    <row r="153" spans="1:3">
      <c r="A153" s="29">
        <v>40878</v>
      </c>
      <c r="B153" s="65">
        <v>3.8610000000000002</v>
      </c>
      <c r="C153" s="70">
        <v>98.57</v>
      </c>
    </row>
    <row r="154" spans="1:3">
      <c r="A154" s="29">
        <v>40909</v>
      </c>
      <c r="B154" s="65">
        <v>3.8330000000000002</v>
      </c>
      <c r="C154" s="70">
        <v>100.24</v>
      </c>
    </row>
    <row r="155" spans="1:3">
      <c r="A155" s="29">
        <v>40940</v>
      </c>
      <c r="B155" s="65">
        <v>3.9529999999999998</v>
      </c>
      <c r="C155" s="70">
        <v>102.25</v>
      </c>
    </row>
    <row r="156" spans="1:3">
      <c r="A156" s="29">
        <v>40969</v>
      </c>
      <c r="B156" s="65">
        <v>4.1269999999999998</v>
      </c>
      <c r="C156" s="70">
        <v>106.19</v>
      </c>
    </row>
    <row r="157" spans="1:3">
      <c r="A157" s="29">
        <v>41000</v>
      </c>
      <c r="B157" s="65">
        <v>4.1150000000000002</v>
      </c>
      <c r="C157" s="70">
        <v>103.33</v>
      </c>
    </row>
    <row r="158" spans="1:3">
      <c r="A158" s="29">
        <v>41030</v>
      </c>
      <c r="B158" s="65">
        <v>3.9790000000000001</v>
      </c>
      <c r="C158" s="70">
        <v>94.7</v>
      </c>
    </row>
    <row r="159" spans="1:3">
      <c r="A159" s="29">
        <v>41061</v>
      </c>
      <c r="B159" s="65">
        <v>3.7589999999999999</v>
      </c>
      <c r="C159" s="70">
        <v>82.41</v>
      </c>
    </row>
    <row r="160" spans="1:3">
      <c r="A160" s="29">
        <v>41091</v>
      </c>
      <c r="B160" s="65">
        <v>3.7210000000000001</v>
      </c>
      <c r="C160" s="70">
        <v>87.93</v>
      </c>
    </row>
    <row r="161" spans="1:3">
      <c r="A161" s="29">
        <v>41122</v>
      </c>
      <c r="B161" s="65">
        <v>3.9830000000000001</v>
      </c>
      <c r="C161" s="70">
        <v>94.16</v>
      </c>
    </row>
    <row r="162" spans="1:3">
      <c r="A162" s="29">
        <v>41153</v>
      </c>
      <c r="B162" s="65">
        <v>4.12</v>
      </c>
      <c r="C162" s="70">
        <v>94.72</v>
      </c>
    </row>
    <row r="163" spans="1:3">
      <c r="A163" s="29">
        <v>41183</v>
      </c>
      <c r="B163" s="65">
        <v>4.0940000000000003</v>
      </c>
      <c r="C163" s="70">
        <v>89.57</v>
      </c>
    </row>
    <row r="164" spans="1:3">
      <c r="A164" s="29">
        <v>41214</v>
      </c>
      <c r="B164" s="65">
        <v>4</v>
      </c>
      <c r="C164" s="70">
        <v>86.66</v>
      </c>
    </row>
    <row r="165" spans="1:3">
      <c r="A165" s="29">
        <v>41244</v>
      </c>
      <c r="B165" s="65">
        <v>3.9609999999999999</v>
      </c>
      <c r="C165" s="70">
        <v>88.25</v>
      </c>
    </row>
    <row r="166" spans="1:3">
      <c r="A166" s="29">
        <v>41275</v>
      </c>
      <c r="B166" s="65">
        <v>3.9089999999999998</v>
      </c>
      <c r="C166" s="70">
        <v>94.69</v>
      </c>
    </row>
    <row r="167" spans="1:3">
      <c r="A167" s="29">
        <v>41306</v>
      </c>
      <c r="B167" s="65">
        <v>4.1109999999999998</v>
      </c>
      <c r="C167" s="70">
        <v>95.32</v>
      </c>
    </row>
    <row r="168" spans="1:3">
      <c r="A168" s="29">
        <v>41334</v>
      </c>
      <c r="B168" s="65">
        <v>4.0679999999999996</v>
      </c>
      <c r="C168" s="70">
        <v>93.05</v>
      </c>
    </row>
    <row r="169" spans="1:3">
      <c r="A169" s="29">
        <v>41365</v>
      </c>
      <c r="B169" s="65">
        <v>3.93</v>
      </c>
      <c r="C169" s="70">
        <v>92.07</v>
      </c>
    </row>
    <row r="170" spans="1:3">
      <c r="A170" s="29">
        <v>41395</v>
      </c>
      <c r="B170" s="65">
        <v>3.87</v>
      </c>
      <c r="C170" s="70">
        <v>94.8</v>
      </c>
    </row>
    <row r="171" spans="1:3">
      <c r="A171" s="29">
        <v>41426</v>
      </c>
      <c r="B171" s="65">
        <v>3.8490000000000002</v>
      </c>
      <c r="C171" s="70">
        <v>95.8</v>
      </c>
    </row>
    <row r="172" spans="1:3">
      <c r="A172" s="29">
        <v>41456</v>
      </c>
      <c r="B172" s="65">
        <v>3.8660000000000001</v>
      </c>
      <c r="C172" s="70">
        <v>104.61</v>
      </c>
    </row>
    <row r="173" spans="1:3">
      <c r="A173" s="29">
        <v>41487</v>
      </c>
      <c r="B173" s="65">
        <v>3.9049999999999998</v>
      </c>
    </row>
    <row r="174" spans="1:3">
      <c r="A174" s="29">
        <v>41518</v>
      </c>
      <c r="B174" s="65">
        <v>3.9609999999999999</v>
      </c>
    </row>
    <row r="175" spans="1:3">
      <c r="A175" s="29">
        <v>41548</v>
      </c>
      <c r="B175" s="65">
        <v>3.8849999999999998</v>
      </c>
    </row>
    <row r="176" spans="1:3">
      <c r="A176" s="29">
        <v>41579</v>
      </c>
    </row>
    <row r="177" spans="1:1">
      <c r="A177" s="29">
        <v>41609</v>
      </c>
    </row>
  </sheetData>
  <phoneticPr fontId="2" type="noConversion"/>
  <pageMargins left="0.75" right="0.75" top="1" bottom="1" header="0.5" footer="0.5"/>
  <pageSetup scale="9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New Fig. 7 Mileage-based</vt:lpstr>
      <vt:lpstr>Annual Avg.</vt:lpstr>
      <vt:lpstr>WTI vs. HDF</vt:lpstr>
    </vt:vector>
  </TitlesOfParts>
  <Company>USDA\AMS\TM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Marvin Prater</dc:creator>
  <cp:lastModifiedBy>Adam Sparger</cp:lastModifiedBy>
  <cp:lastPrinted>2011-01-03T22:06:27Z</cp:lastPrinted>
  <dcterms:created xsi:type="dcterms:W3CDTF">2004-10-13T20:30:39Z</dcterms:created>
  <dcterms:modified xsi:type="dcterms:W3CDTF">2013-12-02T15:52:22Z</dcterms:modified>
</cp:coreProperties>
</file>