
<file path=[Content_Types].xml><?xml version="1.0" encoding="utf-8"?>
<Types xmlns="http://schemas.openxmlformats.org/package/2006/content-types">
  <Default Extension="xml" ContentType="application/xml"/>
  <Default Extension="jpeg" ContentType="image/jpeg"/>
  <Default Extension="rels" ContentType="application/vnd.openxmlformats-package.relationships+xml"/>
  <Default Extension="gif" ContentType="image/gif"/>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4" Type="http://schemas.openxmlformats.org/officeDocument/2006/relationships/extended-properties" Target="docProps/app.xml"/><Relationship Id="rId1" Type="http://schemas.openxmlformats.org/officeDocument/2006/relationships/officeDocument" Target="xl/workbook.xml"/><Relationship Id="rId2" Type="http://schemas.openxmlformats.org/package/2006/relationships/metadata/thumbnail" Target="docProps/thumbnail.jpeg"/></Relationships>
</file>

<file path=xl/workbook.xml><?xml version="1.0" encoding="utf-8"?>
<workbook xmlns="http://schemas.openxmlformats.org/spreadsheetml/2006/main" xmlns:r="http://schemas.openxmlformats.org/officeDocument/2006/relationships">
  <fileVersion appName="xl" lastEdited="5" lowestEdited="5" rupBuild="23206"/>
  <workbookPr showInkAnnotation="0" autoCompressPictures="0"/>
  <bookViews>
    <workbookView xWindow="4720" yWindow="0" windowWidth="17220" windowHeight="16440" tabRatio="500"/>
  </bookViews>
  <sheets>
    <sheet name="Sheet1" sheetId="1" r:id="rId1"/>
  </sheets>
  <calcPr calcId="140000" concurrentCalc="0"/>
  <extLst>
    <ext xmlns:mx="http://schemas.microsoft.com/office/mac/excel/2008/main" uri="{7523E5D3-25F3-A5E0-1632-64F254C22452}">
      <mx:ArchID Flags="2"/>
    </ext>
  </extLst>
</workbook>
</file>

<file path=xl/calcChain.xml><?xml version="1.0" encoding="utf-8"?>
<calcChain xmlns="http://schemas.openxmlformats.org/spreadsheetml/2006/main">
  <c r="B46" i="1" l="1"/>
  <c r="B49" i="1"/>
  <c r="B50" i="1"/>
  <c r="B51" i="1"/>
  <c r="B52" i="1"/>
  <c r="B53" i="1"/>
  <c r="B37" i="1"/>
  <c r="B58" i="1"/>
  <c r="B59" i="1"/>
  <c r="B13" i="1"/>
  <c r="B15" i="1"/>
  <c r="B16" i="1"/>
  <c r="B68" i="1"/>
  <c r="B69" i="1"/>
</calcChain>
</file>

<file path=xl/sharedStrings.xml><?xml version="1.0" encoding="utf-8"?>
<sst xmlns="http://schemas.openxmlformats.org/spreadsheetml/2006/main" count="135" uniqueCount="126">
  <si>
    <t xml:space="preserve">Last:  </t>
  </si>
  <si>
    <t xml:space="preserve">First:  </t>
  </si>
  <si>
    <t xml:space="preserve">Email:   </t>
  </si>
  <si>
    <t xml:space="preserve">Cell:  </t>
  </si>
  <si>
    <t>Exact Program Dates</t>
  </si>
  <si>
    <t xml:space="preserve">From: </t>
  </si>
  <si>
    <t>To:</t>
  </si>
  <si>
    <t>Exact dates required for insurance.</t>
  </si>
  <si>
    <t>Program Name:</t>
  </si>
  <si>
    <t>Program Country/Cities</t>
  </si>
  <si>
    <t>Country/Cities:</t>
  </si>
  <si>
    <t>Program FOAPAL Number</t>
  </si>
  <si>
    <t xml:space="preserve">Anticipated Enrollment for Program: </t>
  </si>
  <si>
    <t>Deadline for Deposit:</t>
  </si>
  <si>
    <r>
      <t>1</t>
    </r>
    <r>
      <rPr>
        <b/>
        <vertAlign val="superscript"/>
        <sz val="10"/>
        <color theme="1"/>
        <rFont val="Cambria"/>
      </rPr>
      <t>st</t>
    </r>
    <r>
      <rPr>
        <b/>
        <sz val="10"/>
        <color theme="1"/>
        <rFont val="Cambria"/>
      </rPr>
      <t xml:space="preserve"> Payment Amount</t>
    </r>
  </si>
  <si>
    <t>Deadline for Payment 1:</t>
  </si>
  <si>
    <r>
      <t>2</t>
    </r>
    <r>
      <rPr>
        <b/>
        <vertAlign val="superscript"/>
        <sz val="10"/>
        <color theme="1"/>
        <rFont val="Cambria"/>
      </rPr>
      <t>nd</t>
    </r>
    <r>
      <rPr>
        <b/>
        <sz val="10"/>
        <color theme="1"/>
        <rFont val="Cambria"/>
      </rPr>
      <t xml:space="preserve"> Payment Amount</t>
    </r>
  </si>
  <si>
    <t>Deadline for Payment 2:</t>
  </si>
  <si>
    <t>Date:</t>
  </si>
  <si>
    <t>CIE Director Signature:</t>
  </si>
  <si>
    <t>Program Expenses Columns</t>
  </si>
  <si>
    <t>Program Expenses per Student Fee ($USD)</t>
  </si>
  <si>
    <t xml:space="preserve">    Tuition - Partner University </t>
  </si>
  <si>
    <t xml:space="preserve">For foreign tuition payments only. If students will be paying UMW tuition, leave this item blank. </t>
  </si>
  <si>
    <t xml:space="preserve">    Meals (where applicable)</t>
  </si>
  <si>
    <t xml:space="preserve">Deduct meals provided by program provider or partner university.  </t>
  </si>
  <si>
    <t xml:space="preserve">    Internet Access</t>
  </si>
  <si>
    <t xml:space="preserve">    Airfare</t>
  </si>
  <si>
    <t xml:space="preserve">    Excursions</t>
  </si>
  <si>
    <t xml:space="preserve">    Other (please specify)</t>
  </si>
  <si>
    <t>Subtotal Student Expense Single</t>
  </si>
  <si>
    <t>Faculty Director Expenses</t>
  </si>
  <si>
    <t xml:space="preserve"> Include expenses for all faculty members if more than one.</t>
  </si>
  <si>
    <t xml:space="preserve">    Lodging</t>
  </si>
  <si>
    <t xml:space="preserve">    Meals</t>
  </si>
  <si>
    <t xml:space="preserve">    Faculty Cell Phone</t>
  </si>
  <si>
    <t xml:space="preserve">    Faculty Health Insurance </t>
  </si>
  <si>
    <t xml:space="preserve">   Faculty Airfare</t>
  </si>
  <si>
    <t xml:space="preserve">    Transportation (in country)</t>
  </si>
  <si>
    <t xml:space="preserve">    Other </t>
  </si>
  <si>
    <t>Include visas, exit taxes, admissions, airport parking, or other known expenses.</t>
  </si>
  <si>
    <t>Total Faculty Director Expenses</t>
  </si>
  <si>
    <t>Teaching Stipend</t>
  </si>
  <si>
    <t xml:space="preserve"> Resident Director Stipend</t>
  </si>
  <si>
    <t>Total of both stipends. The maximum allowable compensation is 33% of base annual salary.</t>
  </si>
  <si>
    <t>FICA</t>
  </si>
  <si>
    <t>Total Compensation</t>
  </si>
  <si>
    <t>Add total due to Faculty Member + FICA.</t>
  </si>
  <si>
    <t>Faculty Expense Divided Per Student</t>
  </si>
  <si>
    <t>Subtotal CIE Required Fees</t>
  </si>
  <si>
    <t>CIE Required Fees are collected through program fees &amp; transferred to CIE.</t>
  </si>
  <si>
    <t>TOTAL ADVERTISED COST</t>
  </si>
  <si>
    <t xml:space="preserve">Add Subtotals: Student Expense, Faculty Expense Divided Per Student, </t>
  </si>
  <si>
    <r>
      <rPr>
        <b/>
        <u/>
        <sz val="10"/>
        <color theme="1"/>
        <rFont val="Cambria"/>
      </rPr>
      <t>Line Item Expanation Column</t>
    </r>
  </si>
  <si>
    <t>FINANCIAL WORKSHEET</t>
  </si>
  <si>
    <r>
      <rPr>
        <sz val="10"/>
        <color rgb="FF000000"/>
        <rFont val="Cambria"/>
      </rPr>
      <t xml:space="preserve">This is section provides additional information to the faculty leader for use in estimating budgets. Budget information will be used to determine the amount and means by which the faculty-leader will be paid. </t>
    </r>
    <r>
      <rPr>
        <b/>
        <sz val="10"/>
        <color rgb="FF000000"/>
        <rFont val="Cambria"/>
      </rPr>
      <t>NOTE:  All money for compensation and program operation must come from the program fees generated by the program fee or tuition.</t>
    </r>
    <r>
      <rPr>
        <sz val="10"/>
        <color rgb="FF000000"/>
        <rFont val="Cambria"/>
      </rPr>
      <t xml:space="preserve"> UMW will not supplement programs. </t>
    </r>
  </si>
  <si>
    <t>Faculty is encouraged to provide students with information on any additional expenses not covered by program fee.</t>
  </si>
  <si>
    <t>Airfare</t>
  </si>
  <si>
    <t>Books</t>
  </si>
  <si>
    <t>Local Transportation</t>
  </si>
  <si>
    <t>Personal Expenses</t>
  </si>
  <si>
    <t>Supplies</t>
  </si>
  <si>
    <t>GRAND TOTAL</t>
  </si>
  <si>
    <t>If not included in the program.</t>
  </si>
  <si>
    <t>Subtract any meals included by the program fee.</t>
  </si>
  <si>
    <t>UMW Finance Card  (*See Note)</t>
  </si>
  <si>
    <t>Partner/Service Provider Abroad</t>
  </si>
  <si>
    <r>
      <t xml:space="preserve">* Note: Personalized credit cards with the faculty leader's name are required for all UMW Faculty-Led Programs. </t>
    </r>
    <r>
      <rPr>
        <b/>
        <sz val="10"/>
        <color theme="1"/>
        <rFont val="Cambria"/>
      </rPr>
      <t>Contact Vicki Eppes-Ward in the Finance Office at least two weeks before card is needed.</t>
    </r>
    <r>
      <rPr>
        <sz val="10"/>
        <color theme="1"/>
        <rFont val="Cambria"/>
      </rPr>
      <t xml:space="preserve"> </t>
    </r>
    <r>
      <rPr>
        <b/>
        <sz val="10"/>
        <color theme="1"/>
        <rFont val="Cambria"/>
      </rPr>
      <t xml:space="preserve">First time cardholders should allow an additional 2 weeks for processing.  </t>
    </r>
    <r>
      <rPr>
        <sz val="10"/>
        <color theme="1"/>
        <rFont val="Cambria"/>
      </rPr>
      <t>UMW credit cards may not be used to pay for family member participation. Personal credit cards should be used for such transactions.  A 30% cash advance is permissible with receipts submitted upon return.</t>
    </r>
  </si>
  <si>
    <t>UMW Study-Abroad Fee = $20 per student/week collected through program fees &amp; transferred to CIE.</t>
  </si>
  <si>
    <t>Organization:</t>
  </si>
  <si>
    <t>Program Info</t>
  </si>
  <si>
    <t>Term:</t>
  </si>
  <si>
    <t>New programs must establish a new FOAPAL upon program approval.</t>
  </si>
  <si>
    <t>Additional Expenses (those not covered by program fees)</t>
  </si>
  <si>
    <t xml:space="preserve">Meals </t>
  </si>
  <si>
    <t>Total advertised cost + additional expenses.</t>
  </si>
  <si>
    <t xml:space="preserve">          Per Student Study Abroad Fee </t>
  </si>
  <si>
    <t xml:space="preserve">          Per Student Health Insurance</t>
  </si>
  <si>
    <t xml:space="preserve">      Total Additional Expenses </t>
  </si>
  <si>
    <t>UMW Required Fees</t>
  </si>
  <si>
    <t>Primary Leader Contact Info</t>
  </si>
  <si>
    <t xml:space="preserve"># of Credits:  </t>
  </si>
  <si>
    <t>Yes/No</t>
  </si>
  <si>
    <t>Tuition</t>
  </si>
  <si>
    <t>UMW Tuition Charged?</t>
  </si>
  <si>
    <t xml:space="preserve">If yes, for which courses?  </t>
  </si>
  <si>
    <t xml:space="preserve"> -56406-99950</t>
  </si>
  <si>
    <t xml:space="preserve">UMW Phone Extension:  </t>
  </si>
  <si>
    <t>Housing</t>
  </si>
  <si>
    <t xml:space="preserve">Both Teaching and Resident Director Stipends are determined by credit hour and are equal to 2.5% of the annual base salary or $1300 per credit hour, whichever is greater. Enter zero for Teaching Stipend if course instruction is part of your regular UMW academic load.  Leave Resident Director (RD) Stipend blank if you choose to waive RD compensation.      </t>
  </si>
  <si>
    <t>Std. Credit Limit: $50,000</t>
  </si>
  <si>
    <t>Non-Refundable Deposit</t>
  </si>
  <si>
    <t>(Cost/Payments will auto-populate from p. 3)</t>
  </si>
  <si>
    <r>
      <t xml:space="preserve"> </t>
    </r>
    <r>
      <rPr>
        <b/>
        <sz val="18"/>
        <color theme="1"/>
        <rFont val="Cambria"/>
      </rPr>
      <t>Faculty-Led Study Abroad Program Fact Sheet</t>
    </r>
  </si>
  <si>
    <t>Disability Information</t>
  </si>
  <si>
    <t>Moderate</t>
  </si>
  <si>
    <t>High</t>
  </si>
  <si>
    <t>Indicate Light, Moderate, or High</t>
  </si>
  <si>
    <t>Additional info</t>
  </si>
  <si>
    <t xml:space="preserve">Activity level required for this program </t>
  </si>
  <si>
    <t>Faculty Director:</t>
  </si>
  <si>
    <t>Department Chair:</t>
  </si>
  <si>
    <t>College Dean:</t>
  </si>
  <si>
    <t>Assoc. Provost for Enrollment Mgmt &amp; Student Services:</t>
  </si>
  <si>
    <t>Provost:</t>
  </si>
  <si>
    <t>Assoc. Vice President for Finance</t>
  </si>
  <si>
    <t>APPROVALS - Please note that no program may be advertised or funds collected from students prior to approval by ALL signers listed below.</t>
  </si>
  <si>
    <r>
      <t>This area is for verified expenses. Attach copies of information sources.</t>
    </r>
    <r>
      <rPr>
        <sz val="10"/>
        <color theme="1"/>
        <rFont val="Cambria"/>
      </rPr>
      <t xml:space="preserve">  Examples can be changed to suit your program. Enter the amount per student for participation. The worksheet will automatically calculate totals.</t>
    </r>
  </si>
  <si>
    <t>Total Stipend</t>
  </si>
  <si>
    <t>FICA is 7.65% of the total stipend due.</t>
  </si>
  <si>
    <t>Total Faculty Expense</t>
  </si>
  <si>
    <t>Minimum number of students required to make program viable (Enter at right).  10 students is typical. New programs should NOT project for more than 10 students minimum. Established programs may adjust this number.</t>
  </si>
  <si>
    <t>International Health Insurance is provided by HTH Worldwide and includes both Political &amp; Security Evacuation and Natural Disaster Riders. Cost is $13.15 per week or $44.00 per month.</t>
  </si>
  <si>
    <t xml:space="preserve">Describe Required Activities </t>
  </si>
  <si>
    <t>Significant walking, hiking, swimming, biking, rugged terrain, high altitudes, etc.</t>
  </si>
  <si>
    <t>List any additional info re: accessability you would like added to the program brochure. (Attach additional documents if necessary).</t>
  </si>
  <si>
    <t xml:space="preserve">Primary Faculty Director </t>
  </si>
  <si>
    <t>Secondary Faculty Director</t>
  </si>
  <si>
    <t>Partner Point of Contact/Phone:</t>
  </si>
  <si>
    <t>______________  -  ______________</t>
  </si>
  <si>
    <t>REQUIRED. Name to Appear on UMW Finance Card:</t>
  </si>
  <si>
    <t>Default: Summer  1/31/14 or Spring 10/15/13</t>
  </si>
  <si>
    <t>Default: Summer 2/28/14 or Spring 12/1/13</t>
  </si>
  <si>
    <t xml:space="preserve">Default: Summer 3/31/14 or Spring </t>
  </si>
  <si>
    <r>
      <t>Faculty Directors of UMW programs abroad (both credit and non-credit bearing) are required to submit this signed form to Jose Sainz, Director of the Center for International Education (CIE) in Lee Hall, Room 439,</t>
    </r>
    <r>
      <rPr>
        <b/>
        <sz val="10"/>
        <color rgb="FFFF0000"/>
        <rFont val="Cambria"/>
        <scheme val="major"/>
      </rPr>
      <t xml:space="preserve"> no later than August 1, 2013</t>
    </r>
    <r>
      <rPr>
        <sz val="10"/>
        <color theme="1"/>
        <rFont val="Cambria"/>
        <scheme val="major"/>
      </rPr>
      <t xml:space="preserve">. UMW will not offer programs that do not meet this deadline. Directors are encouraged to submit their Fact Sheet as early as possible, particularly for winter or spring programs. Click "Tab" to move through the document, supplying information as you go. Financial calculations will be made automatically.  Questions? Contact Jose Sainz at (540) 654-1261 or jsainz@umw.edu. </t>
    </r>
  </si>
  <si>
    <r>
      <t xml:space="preserve">Health Insurance is based on age of faculty member at time of program. </t>
    </r>
    <r>
      <rPr>
        <u/>
        <sz val="10"/>
        <color rgb="FF000000"/>
        <rFont val="Cambria"/>
      </rPr>
      <t>Weekly Premiums</t>
    </r>
    <r>
      <rPr>
        <sz val="10"/>
        <color rgb="FF000000"/>
        <rFont val="Cambria"/>
      </rPr>
      <t xml:space="preserve">:   Up to age 64: $13.46. Age 65+: Call CIE.  </t>
    </r>
    <r>
      <rPr>
        <u/>
        <sz val="10"/>
        <color rgb="FF000000"/>
        <rFont val="Cambria"/>
      </rPr>
      <t>Monthly Premiums</t>
    </r>
    <r>
      <rPr>
        <sz val="10"/>
        <color rgb="FF000000"/>
        <rFont val="Cambria"/>
      </rPr>
      <t>:  Up to age 64: $46.21.  Age 65+: Call CIE.</t>
    </r>
  </si>
</sst>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7" formatCode="&quot;$&quot;#,##0.00_);\(&quot;$&quot;#,##0.00\)"/>
    <numFmt numFmtId="44" formatCode="_(&quot;$&quot;* #,##0.00_);_(&quot;$&quot;* \(#,##0.00\);_(&quot;$&quot;* &quot;-&quot;??_);_(@_)"/>
    <numFmt numFmtId="164" formatCode="m/d/yy;@"/>
    <numFmt numFmtId="165" formatCode="&quot;$&quot;#,##0"/>
  </numFmts>
  <fonts count="19" x14ac:knownFonts="1">
    <font>
      <sz val="12"/>
      <color theme="1"/>
      <name val="Calibri"/>
      <family val="2"/>
      <scheme val="minor"/>
    </font>
    <font>
      <sz val="12"/>
      <color theme="1"/>
      <name val="Calibri"/>
      <family val="2"/>
      <scheme val="minor"/>
    </font>
    <font>
      <sz val="11"/>
      <color theme="1"/>
      <name val="Calibri"/>
      <scheme val="minor"/>
    </font>
    <font>
      <b/>
      <sz val="10"/>
      <color theme="1"/>
      <name val="Cambria"/>
    </font>
    <font>
      <sz val="10"/>
      <color theme="1"/>
      <name val="Cambria"/>
    </font>
    <font>
      <b/>
      <vertAlign val="superscript"/>
      <sz val="10"/>
      <color theme="1"/>
      <name val="Cambria"/>
    </font>
    <font>
      <b/>
      <u/>
      <sz val="10"/>
      <color theme="1"/>
      <name val="Cambria"/>
    </font>
    <font>
      <sz val="10"/>
      <color rgb="FF000000"/>
      <name val="Cambria"/>
    </font>
    <font>
      <u/>
      <sz val="12"/>
      <color theme="10"/>
      <name val="Calibri"/>
      <family val="2"/>
      <scheme val="minor"/>
    </font>
    <font>
      <u/>
      <sz val="12"/>
      <color theme="11"/>
      <name val="Calibri"/>
      <family val="2"/>
      <scheme val="minor"/>
    </font>
    <font>
      <b/>
      <sz val="10"/>
      <color rgb="FF000000"/>
      <name val="Cambria"/>
    </font>
    <font>
      <b/>
      <sz val="18"/>
      <color theme="1"/>
      <name val="Cambria"/>
      <scheme val="major"/>
    </font>
    <font>
      <sz val="10"/>
      <color theme="1"/>
      <name val="Cambria"/>
      <scheme val="major"/>
    </font>
    <font>
      <b/>
      <sz val="16"/>
      <color theme="1"/>
      <name val="Cambria"/>
    </font>
    <font>
      <b/>
      <sz val="18"/>
      <color theme="1"/>
      <name val="Cambria"/>
    </font>
    <font>
      <sz val="8"/>
      <name val="Calibri"/>
      <family val="2"/>
      <scheme val="minor"/>
    </font>
    <font>
      <u/>
      <sz val="10"/>
      <color rgb="FF000000"/>
      <name val="Cambria"/>
    </font>
    <font>
      <sz val="9"/>
      <color theme="1"/>
      <name val="Cambria"/>
    </font>
    <font>
      <b/>
      <sz val="10"/>
      <color rgb="FFFF0000"/>
      <name val="Cambria"/>
      <scheme val="major"/>
    </font>
  </fonts>
  <fills count="8">
    <fill>
      <patternFill patternType="none"/>
    </fill>
    <fill>
      <patternFill patternType="gray125"/>
    </fill>
    <fill>
      <patternFill patternType="solid">
        <fgColor rgb="FF9CC8C6"/>
        <bgColor indexed="64"/>
      </patternFill>
    </fill>
    <fill>
      <patternFill patternType="solid">
        <fgColor rgb="FFF2DBDB"/>
        <bgColor indexed="64"/>
      </patternFill>
    </fill>
    <fill>
      <patternFill patternType="solid">
        <fgColor theme="5" tint="0.79998168889431442"/>
        <bgColor indexed="64"/>
      </patternFill>
    </fill>
    <fill>
      <patternFill patternType="solid">
        <fgColor theme="0"/>
        <bgColor indexed="64"/>
      </patternFill>
    </fill>
    <fill>
      <patternFill patternType="solid">
        <fgColor theme="0"/>
        <bgColor rgb="FF000000"/>
      </patternFill>
    </fill>
    <fill>
      <patternFill patternType="solid">
        <fgColor rgb="FFFFFF66"/>
        <bgColor indexed="64"/>
      </patternFill>
    </fill>
  </fills>
  <borders count="40">
    <border>
      <left/>
      <right/>
      <top/>
      <bottom/>
      <diagonal/>
    </border>
    <border>
      <left/>
      <right style="medium">
        <color auto="1"/>
      </right>
      <top style="medium">
        <color auto="1"/>
      </top>
      <bottom style="medium">
        <color auto="1"/>
      </bottom>
      <diagonal/>
    </border>
    <border>
      <left/>
      <right/>
      <top style="medium">
        <color auto="1"/>
      </top>
      <bottom style="medium">
        <color auto="1"/>
      </bottom>
      <diagonal/>
    </border>
    <border>
      <left/>
      <right style="medium">
        <color auto="1"/>
      </right>
      <top/>
      <bottom style="medium">
        <color auto="1"/>
      </bottom>
      <diagonal/>
    </border>
    <border>
      <left/>
      <right/>
      <top/>
      <bottom style="medium">
        <color auto="1"/>
      </bottom>
      <diagonal/>
    </border>
    <border>
      <left style="medium">
        <color auto="1"/>
      </left>
      <right/>
      <top/>
      <bottom style="medium">
        <color auto="1"/>
      </bottom>
      <diagonal/>
    </border>
    <border>
      <left style="medium">
        <color auto="1"/>
      </left>
      <right/>
      <top style="medium">
        <color auto="1"/>
      </top>
      <bottom style="medium">
        <color auto="1"/>
      </bottom>
      <diagonal/>
    </border>
    <border>
      <left/>
      <right style="medium">
        <color auto="1"/>
      </right>
      <top style="medium">
        <color auto="1"/>
      </top>
      <bottom/>
      <diagonal/>
    </border>
    <border>
      <left/>
      <right style="medium">
        <color auto="1"/>
      </right>
      <top/>
      <bottom/>
      <diagonal/>
    </border>
    <border>
      <left style="medium">
        <color auto="1"/>
      </left>
      <right/>
      <top/>
      <bottom/>
      <diagonal/>
    </border>
    <border>
      <left style="medium">
        <color auto="1"/>
      </left>
      <right/>
      <top style="medium">
        <color auto="1"/>
      </top>
      <bottom/>
      <diagonal/>
    </border>
    <border>
      <left/>
      <right/>
      <top style="medium">
        <color auto="1"/>
      </top>
      <bottom/>
      <diagonal/>
    </border>
    <border>
      <left style="thin">
        <color auto="1"/>
      </left>
      <right style="thin">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medium">
        <color auto="1"/>
      </left>
      <right/>
      <top style="medium">
        <color auto="1"/>
      </top>
      <bottom style="thin">
        <color auto="1"/>
      </bottom>
      <diagonal/>
    </border>
    <border>
      <left/>
      <right style="thin">
        <color auto="1"/>
      </right>
      <top style="medium">
        <color auto="1"/>
      </top>
      <bottom style="thin">
        <color auto="1"/>
      </bottom>
      <diagonal/>
    </border>
    <border>
      <left style="thin">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thin">
        <color auto="1"/>
      </left>
      <right/>
      <top style="thin">
        <color auto="1"/>
      </top>
      <bottom/>
      <diagonal/>
    </border>
    <border>
      <left/>
      <right/>
      <top style="thin">
        <color auto="1"/>
      </top>
      <bottom/>
      <diagonal/>
    </border>
    <border>
      <left/>
      <right style="medium">
        <color auto="1"/>
      </right>
      <top style="thin">
        <color auto="1"/>
      </top>
      <bottom/>
      <diagonal/>
    </border>
    <border>
      <left style="thin">
        <color auto="1"/>
      </left>
      <right/>
      <top/>
      <bottom style="thin">
        <color auto="1"/>
      </bottom>
      <diagonal/>
    </border>
    <border>
      <left/>
      <right/>
      <top/>
      <bottom style="thin">
        <color auto="1"/>
      </bottom>
      <diagonal/>
    </border>
    <border>
      <left/>
      <right style="medium">
        <color auto="1"/>
      </right>
      <top/>
      <bottom style="thin">
        <color auto="1"/>
      </bottom>
      <diagonal/>
    </border>
    <border>
      <left style="medium">
        <color auto="1"/>
      </left>
      <right/>
      <top style="thin">
        <color auto="1"/>
      </top>
      <bottom/>
      <diagonal/>
    </border>
  </borders>
  <cellStyleXfs count="24">
    <xf numFmtId="0" fontId="0" fillId="0" borderId="0"/>
    <xf numFmtId="44" fontId="1" fillId="0" borderId="0" applyFon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cellStyleXfs>
  <cellXfs count="136">
    <xf numFmtId="0" fontId="0" fillId="0" borderId="0" xfId="0"/>
    <xf numFmtId="0" fontId="4" fillId="0" borderId="16" xfId="0" applyFont="1" applyBorder="1" applyAlignment="1">
      <alignment horizontal="right" vertical="center"/>
    </xf>
    <xf numFmtId="0" fontId="4" fillId="3" borderId="16" xfId="0" applyFont="1" applyFill="1" applyBorder="1" applyAlignment="1">
      <alignment horizontal="right" vertical="center"/>
    </xf>
    <xf numFmtId="0" fontId="3" fillId="2" borderId="18" xfId="0" applyFont="1" applyFill="1" applyBorder="1" applyAlignment="1">
      <alignment horizontal="right" vertical="center" wrapText="1"/>
    </xf>
    <xf numFmtId="0" fontId="3" fillId="2" borderId="13" xfId="0" applyFont="1" applyFill="1" applyBorder="1" applyAlignment="1">
      <alignment vertical="center"/>
    </xf>
    <xf numFmtId="0" fontId="3" fillId="0" borderId="16" xfId="0" applyFont="1" applyBorder="1" applyAlignment="1">
      <alignment vertical="center"/>
    </xf>
    <xf numFmtId="0" fontId="3" fillId="2" borderId="16" xfId="0" applyFont="1" applyFill="1" applyBorder="1" applyAlignment="1">
      <alignment vertical="center" wrapText="1"/>
    </xf>
    <xf numFmtId="0" fontId="3" fillId="0" borderId="16" xfId="0" applyFont="1" applyBorder="1" applyAlignment="1">
      <alignment vertical="center" wrapText="1"/>
    </xf>
    <xf numFmtId="0" fontId="4" fillId="4" borderId="16" xfId="0" applyFont="1" applyFill="1" applyBorder="1" applyAlignment="1">
      <alignment horizontal="right" vertical="center"/>
    </xf>
    <xf numFmtId="0" fontId="4" fillId="0" borderId="16" xfId="0" applyFont="1" applyBorder="1" applyAlignment="1">
      <alignment horizontal="right" vertical="center" wrapText="1"/>
    </xf>
    <xf numFmtId="0" fontId="3" fillId="2" borderId="18" xfId="0" applyFont="1" applyFill="1" applyBorder="1" applyAlignment="1">
      <alignment horizontal="right" vertical="center"/>
    </xf>
    <xf numFmtId="0" fontId="0" fillId="0" borderId="0" xfId="0" applyFill="1"/>
    <xf numFmtId="0" fontId="0" fillId="0" borderId="0" xfId="0" applyAlignment="1">
      <alignment horizontal="left"/>
    </xf>
    <xf numFmtId="7" fontId="4" fillId="3" borderId="12" xfId="1" applyNumberFormat="1" applyFont="1" applyFill="1" applyBorder="1" applyAlignment="1">
      <alignment vertical="center"/>
    </xf>
    <xf numFmtId="7" fontId="4" fillId="4" borderId="12" xfId="1" applyNumberFormat="1" applyFont="1" applyFill="1" applyBorder="1" applyAlignment="1">
      <alignment vertical="center"/>
    </xf>
    <xf numFmtId="7" fontId="4" fillId="2" borderId="19" xfId="1" applyNumberFormat="1" applyFont="1" applyFill="1" applyBorder="1" applyAlignment="1">
      <alignment vertical="center"/>
    </xf>
    <xf numFmtId="0" fontId="4" fillId="0" borderId="25" xfId="0" applyFont="1" applyBorder="1" applyAlignment="1" applyProtection="1">
      <alignment vertical="center" wrapText="1"/>
      <protection locked="0"/>
    </xf>
    <xf numFmtId="7" fontId="4" fillId="0" borderId="12" xfId="1" applyNumberFormat="1" applyFont="1" applyBorder="1" applyAlignment="1" applyProtection="1">
      <alignment vertical="center"/>
      <protection locked="0"/>
    </xf>
    <xf numFmtId="0" fontId="4" fillId="0" borderId="12" xfId="0" applyFont="1" applyBorder="1" applyAlignment="1" applyProtection="1">
      <alignment vertical="center" wrapText="1"/>
    </xf>
    <xf numFmtId="0" fontId="4" fillId="0" borderId="22" xfId="0" applyFont="1" applyBorder="1" applyAlignment="1" applyProtection="1">
      <alignment horizontal="center" vertical="center" wrapText="1"/>
      <protection locked="0"/>
    </xf>
    <xf numFmtId="0" fontId="4" fillId="0" borderId="12" xfId="0" applyFont="1" applyBorder="1" applyAlignment="1" applyProtection="1">
      <alignment horizontal="right" vertical="center" wrapText="1"/>
    </xf>
    <xf numFmtId="0" fontId="4" fillId="0" borderId="17" xfId="0" applyFont="1" applyBorder="1" applyAlignment="1" applyProtection="1">
      <alignment horizontal="center" vertical="center" wrapText="1"/>
      <protection locked="0"/>
    </xf>
    <xf numFmtId="164" fontId="4" fillId="0" borderId="12" xfId="0" applyNumberFormat="1" applyFont="1" applyBorder="1" applyAlignment="1" applyProtection="1">
      <alignment vertical="center" wrapText="1"/>
      <protection locked="0"/>
    </xf>
    <xf numFmtId="0" fontId="4" fillId="0" borderId="12" xfId="0" applyFont="1" applyBorder="1" applyAlignment="1" applyProtection="1">
      <alignment vertical="center"/>
      <protection locked="0"/>
    </xf>
    <xf numFmtId="7" fontId="4" fillId="0" borderId="23" xfId="1" applyNumberFormat="1" applyFont="1" applyBorder="1" applyAlignment="1" applyProtection="1">
      <alignment vertical="center"/>
      <protection locked="0"/>
    </xf>
    <xf numFmtId="0" fontId="4" fillId="0" borderId="18" xfId="0" applyFont="1" applyBorder="1" applyAlignment="1">
      <alignment horizontal="right" vertical="center" wrapText="1"/>
    </xf>
    <xf numFmtId="7" fontId="4" fillId="0" borderId="19" xfId="1" applyNumberFormat="1" applyFont="1" applyBorder="1" applyAlignment="1" applyProtection="1">
      <alignment vertical="center"/>
      <protection locked="0"/>
    </xf>
    <xf numFmtId="165" fontId="4" fillId="4" borderId="12" xfId="0" applyNumberFormat="1" applyFont="1" applyFill="1" applyBorder="1" applyAlignment="1" applyProtection="1">
      <alignment horizontal="center" vertical="center"/>
    </xf>
    <xf numFmtId="0" fontId="4" fillId="0" borderId="23" xfId="0" applyFont="1" applyBorder="1" applyAlignment="1" applyProtection="1">
      <alignment horizontal="right" vertical="center"/>
      <protection locked="0"/>
    </xf>
    <xf numFmtId="0" fontId="0" fillId="0" borderId="2" xfId="0" applyBorder="1" applyAlignment="1">
      <alignment horizontal="center"/>
    </xf>
    <xf numFmtId="0" fontId="3" fillId="2" borderId="21" xfId="0" applyFont="1" applyFill="1" applyBorder="1" applyAlignment="1">
      <alignment horizontal="left" vertical="center" wrapText="1"/>
    </xf>
    <xf numFmtId="0" fontId="3" fillId="2" borderId="24" xfId="0" applyFont="1" applyFill="1" applyBorder="1" applyAlignment="1">
      <alignment horizontal="left" vertical="center" wrapText="1"/>
    </xf>
    <xf numFmtId="0" fontId="3" fillId="2" borderId="22" xfId="0" applyFont="1" applyFill="1" applyBorder="1" applyAlignment="1">
      <alignment horizontal="left" vertical="center" wrapText="1"/>
    </xf>
    <xf numFmtId="0" fontId="3" fillId="0" borderId="18" xfId="0" applyFont="1" applyBorder="1" applyAlignment="1" applyProtection="1">
      <alignment vertical="center" wrapText="1"/>
    </xf>
    <xf numFmtId="0" fontId="3" fillId="0" borderId="19" xfId="0" applyFont="1" applyBorder="1" applyAlignment="1" applyProtection="1">
      <alignment vertical="center" wrapText="1"/>
    </xf>
    <xf numFmtId="0" fontId="4" fillId="0" borderId="19" xfId="0" applyFont="1" applyBorder="1" applyAlignment="1" applyProtection="1">
      <alignment vertical="center"/>
    </xf>
    <xf numFmtId="0" fontId="4" fillId="0" borderId="20" xfId="0" applyFont="1" applyBorder="1" applyAlignment="1" applyProtection="1">
      <alignment vertical="center"/>
    </xf>
    <xf numFmtId="0" fontId="4" fillId="0" borderId="23" xfId="0" applyFont="1" applyBorder="1" applyAlignment="1" applyProtection="1">
      <alignment horizontal="left" vertical="center" wrapText="1"/>
    </xf>
    <xf numFmtId="0" fontId="4" fillId="0" borderId="24" xfId="0" applyFont="1" applyBorder="1" applyAlignment="1" applyProtection="1">
      <alignment horizontal="left" vertical="center" wrapText="1"/>
    </xf>
    <xf numFmtId="0" fontId="4" fillId="0" borderId="25" xfId="0" applyFont="1" applyBorder="1" applyAlignment="1" applyProtection="1">
      <alignment horizontal="left" vertical="center" wrapText="1"/>
    </xf>
    <xf numFmtId="0" fontId="4" fillId="0" borderId="12" xfId="0" applyFont="1" applyBorder="1" applyAlignment="1" applyProtection="1">
      <alignment vertical="center"/>
      <protection locked="0"/>
    </xf>
    <xf numFmtId="0" fontId="3" fillId="2" borderId="13" xfId="0" applyFont="1" applyFill="1" applyBorder="1" applyAlignment="1">
      <alignment horizontal="center" vertical="center"/>
    </xf>
    <xf numFmtId="0" fontId="3" fillId="2" borderId="14" xfId="0" applyFont="1" applyFill="1" applyBorder="1" applyAlignment="1">
      <alignment horizontal="center" vertical="center"/>
    </xf>
    <xf numFmtId="0" fontId="4" fillId="0" borderId="23" xfId="0" applyFont="1" applyBorder="1" applyAlignment="1">
      <alignment horizontal="left" vertical="center" wrapText="1"/>
    </xf>
    <xf numFmtId="0" fontId="4" fillId="0" borderId="24" xfId="0" applyFont="1" applyBorder="1" applyAlignment="1">
      <alignment horizontal="left" vertical="center" wrapText="1"/>
    </xf>
    <xf numFmtId="0" fontId="4" fillId="0" borderId="25" xfId="0" applyFont="1" applyBorder="1" applyAlignment="1">
      <alignment horizontal="left" vertical="center" wrapText="1"/>
    </xf>
    <xf numFmtId="0" fontId="3" fillId="0" borderId="16" xfId="0" applyFont="1" applyBorder="1" applyAlignment="1" applyProtection="1">
      <alignment vertical="center" wrapText="1"/>
    </xf>
    <xf numFmtId="0" fontId="3" fillId="0" borderId="12" xfId="0" applyFont="1" applyBorder="1" applyAlignment="1" applyProtection="1">
      <alignment vertical="center" wrapText="1"/>
    </xf>
    <xf numFmtId="0" fontId="4" fillId="0" borderId="12" xfId="0" applyFont="1" applyBorder="1" applyAlignment="1" applyProtection="1">
      <alignment vertical="center"/>
    </xf>
    <xf numFmtId="0" fontId="4" fillId="0" borderId="17" xfId="0" applyFont="1" applyBorder="1" applyAlignment="1" applyProtection="1">
      <alignment vertical="center"/>
    </xf>
    <xf numFmtId="0" fontId="3" fillId="2" borderId="21" xfId="0" applyFont="1" applyFill="1" applyBorder="1" applyAlignment="1">
      <alignment horizontal="center" vertical="center"/>
    </xf>
    <xf numFmtId="0" fontId="3" fillId="2" borderId="22" xfId="0" applyFont="1" applyFill="1" applyBorder="1" applyAlignment="1">
      <alignment horizontal="center" vertical="center"/>
    </xf>
    <xf numFmtId="0" fontId="7" fillId="0" borderId="12" xfId="0" applyFont="1" applyBorder="1" applyAlignment="1">
      <alignment horizontal="left" vertical="center" wrapText="1"/>
    </xf>
    <xf numFmtId="0" fontId="7" fillId="0" borderId="17" xfId="0" applyFont="1" applyBorder="1" applyAlignment="1">
      <alignment horizontal="left" vertical="center" wrapText="1"/>
    </xf>
    <xf numFmtId="0" fontId="10" fillId="6" borderId="5" xfId="0" applyFont="1" applyFill="1" applyBorder="1" applyAlignment="1">
      <alignment horizontal="left" vertical="center" wrapText="1"/>
    </xf>
    <xf numFmtId="0" fontId="10" fillId="6" borderId="4" xfId="0" applyFont="1" applyFill="1" applyBorder="1" applyAlignment="1">
      <alignment horizontal="left" vertical="center" wrapText="1"/>
    </xf>
    <xf numFmtId="0" fontId="10" fillId="6" borderId="3" xfId="0" applyFont="1" applyFill="1" applyBorder="1" applyAlignment="1">
      <alignment horizontal="left" vertical="center" wrapText="1"/>
    </xf>
    <xf numFmtId="0" fontId="11" fillId="0" borderId="6" xfId="0" applyFont="1" applyBorder="1" applyAlignment="1">
      <alignment horizontal="center"/>
    </xf>
    <xf numFmtId="0" fontId="11" fillId="0" borderId="2" xfId="0" applyFont="1" applyBorder="1" applyAlignment="1">
      <alignment horizontal="center"/>
    </xf>
    <xf numFmtId="0" fontId="11" fillId="0" borderId="1" xfId="0" applyFont="1" applyBorder="1" applyAlignment="1">
      <alignment horizontal="center"/>
    </xf>
    <xf numFmtId="0" fontId="4" fillId="0" borderId="14" xfId="0" applyFont="1" applyBorder="1" applyAlignment="1">
      <alignment horizontal="left" vertical="center" wrapText="1"/>
    </xf>
    <xf numFmtId="0" fontId="4" fillId="0" borderId="15" xfId="0" applyFont="1" applyBorder="1" applyAlignment="1">
      <alignment horizontal="left" vertical="center" wrapText="1"/>
    </xf>
    <xf numFmtId="0" fontId="4" fillId="0" borderId="28" xfId="0" applyFont="1" applyBorder="1" applyAlignment="1">
      <alignment horizontal="left" vertical="center" wrapText="1"/>
    </xf>
    <xf numFmtId="0" fontId="4" fillId="0" borderId="29" xfId="0" applyFont="1" applyBorder="1" applyAlignment="1">
      <alignment horizontal="left" vertical="center" wrapText="1"/>
    </xf>
    <xf numFmtId="0" fontId="4" fillId="0" borderId="30" xfId="0" applyFont="1" applyBorder="1" applyAlignment="1">
      <alignment horizontal="left" vertical="center" wrapText="1"/>
    </xf>
    <xf numFmtId="0" fontId="4" fillId="0" borderId="17" xfId="0" applyFont="1" applyBorder="1" applyAlignment="1" applyProtection="1">
      <alignment vertical="center"/>
      <protection locked="0"/>
    </xf>
    <xf numFmtId="0" fontId="4" fillId="0" borderId="24" xfId="0" applyFont="1" applyBorder="1" applyAlignment="1" applyProtection="1">
      <alignment horizontal="left" vertical="center"/>
    </xf>
    <xf numFmtId="0" fontId="4" fillId="0" borderId="22" xfId="0" applyFont="1" applyBorder="1" applyAlignment="1" applyProtection="1">
      <alignment horizontal="left" vertical="center"/>
    </xf>
    <xf numFmtId="0" fontId="7" fillId="0" borderId="33" xfId="0" applyFont="1" applyBorder="1" applyAlignment="1">
      <alignment horizontal="left" vertical="center" wrapText="1"/>
    </xf>
    <xf numFmtId="0" fontId="7" fillId="0" borderId="34" xfId="0" applyFont="1" applyBorder="1" applyAlignment="1">
      <alignment horizontal="left" vertical="center" wrapText="1"/>
    </xf>
    <xf numFmtId="0" fontId="7" fillId="0" borderId="35" xfId="0" applyFont="1" applyBorder="1" applyAlignment="1">
      <alignment horizontal="left" vertical="center" wrapText="1"/>
    </xf>
    <xf numFmtId="0" fontId="7" fillId="0" borderId="36" xfId="0" applyFont="1" applyBorder="1" applyAlignment="1">
      <alignment horizontal="left" vertical="center" wrapText="1"/>
    </xf>
    <xf numFmtId="0" fontId="7" fillId="0" borderId="37" xfId="0" applyFont="1" applyBorder="1" applyAlignment="1">
      <alignment horizontal="left" vertical="center" wrapText="1"/>
    </xf>
    <xf numFmtId="0" fontId="7" fillId="0" borderId="38" xfId="0" applyFont="1" applyBorder="1" applyAlignment="1">
      <alignment horizontal="left" vertical="center" wrapText="1"/>
    </xf>
    <xf numFmtId="0" fontId="4" fillId="0" borderId="23" xfId="0" applyFont="1" applyBorder="1" applyAlignment="1" applyProtection="1">
      <alignment horizontal="center" vertical="center" wrapText="1"/>
    </xf>
    <xf numFmtId="0" fontId="4" fillId="0" borderId="22" xfId="0" applyFont="1" applyBorder="1" applyAlignment="1" applyProtection="1">
      <alignment horizontal="center" vertical="center" wrapText="1"/>
    </xf>
    <xf numFmtId="0" fontId="4" fillId="0" borderId="24" xfId="0" applyFont="1" applyBorder="1" applyAlignment="1" applyProtection="1">
      <alignment horizontal="center" vertical="center" wrapText="1"/>
      <protection locked="0"/>
    </xf>
    <xf numFmtId="0" fontId="4" fillId="0" borderId="22" xfId="0" applyFont="1" applyBorder="1" applyAlignment="1" applyProtection="1">
      <alignment horizontal="center" vertical="center" wrapText="1"/>
      <protection locked="0"/>
    </xf>
    <xf numFmtId="0" fontId="4" fillId="0" borderId="12" xfId="0" applyFont="1" applyBorder="1" applyAlignment="1" applyProtection="1">
      <alignment vertical="center" wrapText="1"/>
    </xf>
    <xf numFmtId="0" fontId="4" fillId="0" borderId="17" xfId="0" applyFont="1" applyBorder="1" applyAlignment="1" applyProtection="1">
      <alignment vertical="center" wrapText="1"/>
    </xf>
    <xf numFmtId="0" fontId="2" fillId="0" borderId="14" xfId="0" applyFont="1" applyBorder="1" applyAlignment="1">
      <alignment horizontal="left" vertical="center" wrapText="1"/>
    </xf>
    <xf numFmtId="0" fontId="2" fillId="0" borderId="15" xfId="0" applyFont="1" applyBorder="1" applyAlignment="1">
      <alignment horizontal="left" vertical="center" wrapText="1"/>
    </xf>
    <xf numFmtId="0" fontId="4" fillId="0" borderId="12" xfId="0" applyFont="1" applyBorder="1" applyAlignment="1" applyProtection="1">
      <alignment horizontal="center" vertical="center" wrapText="1"/>
    </xf>
    <xf numFmtId="0" fontId="4" fillId="0" borderId="17" xfId="0" applyFont="1" applyBorder="1" applyAlignment="1" applyProtection="1">
      <alignment horizontal="center" vertical="center" wrapText="1"/>
    </xf>
    <xf numFmtId="0" fontId="4" fillId="0" borderId="23" xfId="0" applyFont="1" applyBorder="1" applyAlignment="1" applyProtection="1">
      <alignment horizontal="right" vertical="center" wrapText="1"/>
    </xf>
    <xf numFmtId="0" fontId="4" fillId="0" borderId="24" xfId="0" applyFont="1" applyBorder="1" applyAlignment="1" applyProtection="1">
      <alignment horizontal="right" vertical="center" wrapText="1"/>
    </xf>
    <xf numFmtId="0" fontId="4" fillId="0" borderId="12" xfId="0" applyFont="1" applyBorder="1" applyAlignment="1" applyProtection="1">
      <alignment horizontal="left" vertical="center"/>
      <protection locked="0"/>
    </xf>
    <xf numFmtId="0" fontId="4" fillId="2" borderId="14" xfId="0" applyFont="1" applyFill="1" applyBorder="1" applyAlignment="1" applyProtection="1">
      <alignment vertical="center"/>
      <protection locked="0"/>
    </xf>
    <xf numFmtId="0" fontId="4" fillId="2" borderId="15" xfId="0" applyFont="1" applyFill="1" applyBorder="1" applyAlignment="1" applyProtection="1">
      <alignment vertical="center"/>
      <protection locked="0"/>
    </xf>
    <xf numFmtId="0" fontId="4" fillId="2" borderId="23" xfId="0" applyFont="1" applyFill="1" applyBorder="1" applyAlignment="1" applyProtection="1">
      <alignment horizontal="left" vertical="center"/>
      <protection locked="0"/>
    </xf>
    <xf numFmtId="0" fontId="4" fillId="2" borderId="24" xfId="0" applyFont="1" applyFill="1" applyBorder="1" applyAlignment="1" applyProtection="1">
      <alignment horizontal="left" vertical="center"/>
      <protection locked="0"/>
    </xf>
    <xf numFmtId="0" fontId="4" fillId="2" borderId="22" xfId="0" applyFont="1" applyFill="1" applyBorder="1" applyAlignment="1" applyProtection="1">
      <alignment horizontal="left" vertical="center"/>
      <protection locked="0"/>
    </xf>
    <xf numFmtId="0" fontId="4" fillId="2" borderId="12" xfId="0" applyFont="1" applyFill="1" applyBorder="1" applyAlignment="1" applyProtection="1">
      <alignment horizontal="left" vertical="center"/>
      <protection locked="0"/>
    </xf>
    <xf numFmtId="0" fontId="4" fillId="2" borderId="17" xfId="0" applyFont="1" applyFill="1" applyBorder="1" applyAlignment="1" applyProtection="1">
      <alignment horizontal="left" vertical="center"/>
      <protection locked="0"/>
    </xf>
    <xf numFmtId="0" fontId="4" fillId="0" borderId="23" xfId="0" applyFont="1" applyBorder="1" applyAlignment="1" applyProtection="1">
      <alignment horizontal="left" vertical="center"/>
    </xf>
    <xf numFmtId="0" fontId="4" fillId="0" borderId="25" xfId="0" applyFont="1" applyBorder="1" applyAlignment="1" applyProtection="1">
      <alignment horizontal="center" vertical="center" wrapText="1"/>
      <protection locked="0"/>
    </xf>
    <xf numFmtId="0" fontId="4" fillId="5" borderId="10" xfId="0" applyFont="1" applyFill="1" applyBorder="1" applyAlignment="1">
      <alignment horizontal="center" vertical="center" wrapText="1"/>
    </xf>
    <xf numFmtId="0" fontId="4" fillId="5" borderId="11" xfId="0" applyFont="1" applyFill="1" applyBorder="1" applyAlignment="1">
      <alignment horizontal="center" vertical="center" wrapText="1"/>
    </xf>
    <xf numFmtId="0" fontId="4" fillId="5" borderId="7" xfId="0" applyFont="1" applyFill="1" applyBorder="1" applyAlignment="1">
      <alignment horizontal="center" vertical="center" wrapText="1"/>
    </xf>
    <xf numFmtId="0" fontId="3" fillId="5" borderId="5" xfId="0" applyFont="1" applyFill="1" applyBorder="1" applyAlignment="1">
      <alignment horizontal="left" vertical="center" wrapText="1"/>
    </xf>
    <xf numFmtId="0" fontId="3" fillId="5" borderId="3" xfId="0" applyFont="1" applyFill="1" applyBorder="1" applyAlignment="1">
      <alignment horizontal="left" vertical="center" wrapText="1"/>
    </xf>
    <xf numFmtId="0" fontId="3" fillId="2" borderId="26" xfId="0" applyFont="1" applyFill="1" applyBorder="1" applyAlignment="1">
      <alignment horizontal="center" vertical="center"/>
    </xf>
    <xf numFmtId="0" fontId="3" fillId="2" borderId="27" xfId="0" applyFont="1" applyFill="1" applyBorder="1" applyAlignment="1">
      <alignment horizontal="center" vertical="center"/>
    </xf>
    <xf numFmtId="0" fontId="7" fillId="0" borderId="14" xfId="0" applyFont="1" applyBorder="1" applyAlignment="1">
      <alignment horizontal="left" vertical="center" wrapText="1"/>
    </xf>
    <xf numFmtId="0" fontId="7" fillId="0" borderId="15" xfId="0" applyFont="1" applyBorder="1" applyAlignment="1">
      <alignment horizontal="left" vertical="center" wrapText="1"/>
    </xf>
    <xf numFmtId="0" fontId="7" fillId="0" borderId="31" xfId="0" applyFont="1" applyBorder="1" applyAlignment="1">
      <alignment horizontal="left" vertical="center" wrapText="1"/>
    </xf>
    <xf numFmtId="0" fontId="7" fillId="0" borderId="32" xfId="0" applyFont="1" applyBorder="1" applyAlignment="1">
      <alignment horizontal="left" vertical="center" wrapText="1"/>
    </xf>
    <xf numFmtId="0" fontId="7" fillId="7" borderId="23" xfId="0" applyFont="1" applyFill="1" applyBorder="1" applyAlignment="1">
      <alignment horizontal="left" vertical="center" wrapText="1"/>
    </xf>
    <xf numFmtId="0" fontId="7" fillId="7" borderId="24" xfId="0" applyFont="1" applyFill="1" applyBorder="1" applyAlignment="1">
      <alignment horizontal="left" vertical="center" wrapText="1"/>
    </xf>
    <xf numFmtId="0" fontId="7" fillId="7" borderId="22" xfId="0" applyFont="1" applyFill="1" applyBorder="1" applyAlignment="1">
      <alignment horizontal="left" vertical="center" wrapText="1"/>
    </xf>
    <xf numFmtId="0" fontId="7" fillId="7" borderId="12" xfId="0" applyFont="1" applyFill="1" applyBorder="1" applyAlignment="1" applyProtection="1">
      <alignment horizontal="left" vertical="center" wrapText="1"/>
      <protection locked="0"/>
    </xf>
    <xf numFmtId="0" fontId="7" fillId="7" borderId="17" xfId="0" applyFont="1" applyFill="1" applyBorder="1" applyAlignment="1" applyProtection="1">
      <alignment horizontal="left" vertical="center" wrapText="1"/>
      <protection locked="0"/>
    </xf>
    <xf numFmtId="0" fontId="4" fillId="0" borderId="39" xfId="0" applyFont="1" applyFill="1" applyBorder="1" applyAlignment="1">
      <alignment horizontal="center" vertical="center"/>
    </xf>
    <xf numFmtId="0" fontId="4" fillId="0" borderId="34" xfId="0" applyFont="1" applyFill="1" applyBorder="1" applyAlignment="1">
      <alignment horizontal="center" vertical="center"/>
    </xf>
    <xf numFmtId="0" fontId="4" fillId="0" borderId="35" xfId="0" applyFont="1" applyFill="1" applyBorder="1" applyAlignment="1">
      <alignment horizontal="center" vertical="center"/>
    </xf>
    <xf numFmtId="0" fontId="2" fillId="0" borderId="23" xfId="0" applyFont="1" applyBorder="1" applyAlignment="1">
      <alignment horizontal="left" vertical="center" wrapText="1"/>
    </xf>
    <xf numFmtId="0" fontId="2" fillId="0" borderId="24" xfId="0" applyFont="1" applyBorder="1" applyAlignment="1">
      <alignment horizontal="left" vertical="center" wrapText="1"/>
    </xf>
    <xf numFmtId="0" fontId="2" fillId="0" borderId="25" xfId="0" applyFont="1" applyBorder="1" applyAlignment="1">
      <alignment horizontal="left" vertical="center" wrapText="1"/>
    </xf>
    <xf numFmtId="0" fontId="12" fillId="0" borderId="5" xfId="0" applyFont="1" applyBorder="1" applyAlignment="1">
      <alignment horizontal="left" vertical="top" wrapText="1"/>
    </xf>
    <xf numFmtId="0" fontId="12" fillId="0" borderId="4" xfId="0" applyFont="1" applyBorder="1" applyAlignment="1">
      <alignment horizontal="left" vertical="top" wrapText="1"/>
    </xf>
    <xf numFmtId="0" fontId="0" fillId="0" borderId="11" xfId="0" applyBorder="1" applyAlignment="1">
      <alignment horizontal="center"/>
    </xf>
    <xf numFmtId="0" fontId="0" fillId="0" borderId="7" xfId="0" applyBorder="1" applyAlignment="1">
      <alignment horizontal="center"/>
    </xf>
    <xf numFmtId="0" fontId="0" fillId="0" borderId="4" xfId="0" applyBorder="1" applyAlignment="1">
      <alignment horizontal="center"/>
    </xf>
    <xf numFmtId="0" fontId="0" fillId="0" borderId="3" xfId="0" applyBorder="1" applyAlignment="1">
      <alignment horizontal="center"/>
    </xf>
    <xf numFmtId="0" fontId="13" fillId="0" borderId="10" xfId="0" applyFont="1" applyBorder="1" applyAlignment="1">
      <alignment horizontal="center" vertical="center"/>
    </xf>
    <xf numFmtId="0" fontId="13" fillId="0" borderId="11" xfId="0" applyFont="1" applyBorder="1" applyAlignment="1">
      <alignment horizontal="center" vertical="center"/>
    </xf>
    <xf numFmtId="0" fontId="17" fillId="4" borderId="23" xfId="0" applyFont="1" applyFill="1" applyBorder="1" applyAlignment="1" applyProtection="1">
      <alignment horizontal="left" vertical="center"/>
    </xf>
    <xf numFmtId="0" fontId="17" fillId="4" borderId="24" xfId="0" applyFont="1" applyFill="1" applyBorder="1" applyAlignment="1" applyProtection="1">
      <alignment horizontal="left" vertical="center"/>
    </xf>
    <xf numFmtId="0" fontId="17" fillId="4" borderId="22" xfId="0" applyFont="1" applyFill="1" applyBorder="1" applyAlignment="1" applyProtection="1">
      <alignment horizontal="left" vertical="center"/>
    </xf>
    <xf numFmtId="0" fontId="4" fillId="0" borderId="6" xfId="0" applyFont="1" applyBorder="1" applyAlignment="1" applyProtection="1">
      <alignment horizontal="left" vertical="top" wrapText="1"/>
    </xf>
    <xf numFmtId="0" fontId="4" fillId="0" borderId="2" xfId="0" applyFont="1" applyBorder="1" applyAlignment="1" applyProtection="1">
      <alignment horizontal="left" vertical="top" wrapText="1"/>
    </xf>
    <xf numFmtId="0" fontId="4" fillId="0" borderId="1" xfId="0" applyFont="1" applyBorder="1" applyAlignment="1" applyProtection="1">
      <alignment horizontal="left" vertical="top" wrapText="1"/>
    </xf>
    <xf numFmtId="0" fontId="7" fillId="0" borderId="19" xfId="0" applyFont="1" applyBorder="1" applyAlignment="1">
      <alignment horizontal="left" vertical="center" wrapText="1"/>
    </xf>
    <xf numFmtId="0" fontId="7" fillId="0" borderId="20" xfId="0" applyFont="1" applyBorder="1" applyAlignment="1">
      <alignment horizontal="left" vertical="center" wrapText="1"/>
    </xf>
    <xf numFmtId="0" fontId="6" fillId="5" borderId="9" xfId="0" applyFont="1" applyFill="1" applyBorder="1" applyAlignment="1">
      <alignment horizontal="center" vertical="center"/>
    </xf>
    <xf numFmtId="0" fontId="6" fillId="5" borderId="8" xfId="0" applyFont="1" applyFill="1" applyBorder="1" applyAlignment="1">
      <alignment horizontal="center" vertical="center"/>
    </xf>
  </cellXfs>
  <cellStyles count="24">
    <cellStyle name="Currency" xfId="1" builtinId="4"/>
    <cellStyle name="Followed Hyperlink" xfId="3" builtinId="9" hidden="1"/>
    <cellStyle name="Followed Hyperlink" xfId="5" builtinId="9" hidden="1"/>
    <cellStyle name="Followed Hyperlink" xfId="7" builtinId="9" hidden="1"/>
    <cellStyle name="Followed Hyperlink" xfId="9" builtinId="9" hidden="1"/>
    <cellStyle name="Followed Hyperlink" xfId="11" builtinId="9" hidden="1"/>
    <cellStyle name="Followed Hyperlink" xfId="13" builtinId="9" hidden="1"/>
    <cellStyle name="Followed Hyperlink" xfId="15" builtinId="9" hidden="1"/>
    <cellStyle name="Followed Hyperlink" xfId="17" builtinId="9" hidden="1"/>
    <cellStyle name="Followed Hyperlink" xfId="19" builtinId="9" hidden="1"/>
    <cellStyle name="Followed Hyperlink" xfId="21" builtinId="9" hidden="1"/>
    <cellStyle name="Followed Hyperlink" xfId="23" builtinId="9" hidden="1"/>
    <cellStyle name="Hyperlink" xfId="2" builtinId="8" hidden="1"/>
    <cellStyle name="Hyperlink" xfId="4" builtinId="8" hidden="1"/>
    <cellStyle name="Hyperlink" xfId="6" builtinId="8" hidden="1"/>
    <cellStyle name="Hyperlink" xfId="8" builtinId="8" hidden="1"/>
    <cellStyle name="Hyperlink" xfId="10" builtinId="8" hidden="1"/>
    <cellStyle name="Hyperlink" xfId="12" builtinId="8" hidden="1"/>
    <cellStyle name="Hyperlink" xfId="14" builtinId="8" hidden="1"/>
    <cellStyle name="Hyperlink" xfId="16" builtinId="8" hidden="1"/>
    <cellStyle name="Hyperlink" xfId="18" builtinId="8" hidden="1"/>
    <cellStyle name="Hyperlink" xfId="20" builtinId="8" hidden="1"/>
    <cellStyle name="Hyperlink" xfId="22" builtinId="8" hidden="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4" Type="http://schemas.openxmlformats.org/officeDocument/2006/relationships/sharedStrings" Target="sharedStrings.xml"/><Relationship Id="rId5" Type="http://schemas.openxmlformats.org/officeDocument/2006/relationships/calcChain" Target="calcChain.xml"/><Relationship Id="rId1" Type="http://schemas.openxmlformats.org/officeDocument/2006/relationships/worksheet" Target="worksheets/sheet1.xml"/><Relationship Id="rId2"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editAs="oneCell">
    <xdr:from>
      <xdr:col>7</xdr:col>
      <xdr:colOff>342900</xdr:colOff>
      <xdr:row>0</xdr:row>
      <xdr:rowOff>25400</xdr:rowOff>
    </xdr:from>
    <xdr:to>
      <xdr:col>8</xdr:col>
      <xdr:colOff>558800</xdr:colOff>
      <xdr:row>1</xdr:row>
      <xdr:rowOff>787400</xdr:rowOff>
    </xdr:to>
    <xdr:pic>
      <xdr:nvPicPr>
        <xdr:cNvPr id="1025" name="Picture 1" descr="escription: CIE Logo.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50200" y="25400"/>
          <a:ext cx="1041400" cy="1041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7"/>
  <sheetViews>
    <sheetView tabSelected="1" view="pageLayout" workbookViewId="0">
      <selection activeCell="B7" sqref="B7:F7"/>
    </sheetView>
  </sheetViews>
  <sheetFormatPr baseColWidth="10" defaultRowHeight="15" x14ac:dyDescent="0"/>
  <cols>
    <col min="1" max="1" width="27.33203125" customWidth="1"/>
    <col min="2" max="2" width="20.33203125" customWidth="1"/>
    <col min="4" max="4" width="8.83203125" customWidth="1"/>
    <col min="7" max="7" width="10.83203125" customWidth="1"/>
  </cols>
  <sheetData>
    <row r="1" spans="1:9" ht="22" customHeight="1">
      <c r="A1" s="124" t="s">
        <v>93</v>
      </c>
      <c r="B1" s="125"/>
      <c r="C1" s="125"/>
      <c r="D1" s="125"/>
      <c r="E1" s="125"/>
      <c r="F1" s="125"/>
      <c r="G1" s="125"/>
      <c r="H1" s="120"/>
      <c r="I1" s="121"/>
    </row>
    <row r="2" spans="1:9" s="12" customFormat="1" ht="68" customHeight="1" thickBot="1">
      <c r="A2" s="118" t="s">
        <v>124</v>
      </c>
      <c r="B2" s="119"/>
      <c r="C2" s="119"/>
      <c r="D2" s="119"/>
      <c r="E2" s="119"/>
      <c r="F2" s="119"/>
      <c r="G2" s="119"/>
      <c r="H2" s="122"/>
      <c r="I2" s="123"/>
    </row>
    <row r="3" spans="1:9">
      <c r="A3" s="4" t="s">
        <v>116</v>
      </c>
      <c r="B3" s="87" t="s">
        <v>0</v>
      </c>
      <c r="C3" s="87"/>
      <c r="D3" s="87" t="s">
        <v>1</v>
      </c>
      <c r="E3" s="87"/>
      <c r="F3" s="87"/>
      <c r="G3" s="87"/>
      <c r="H3" s="87"/>
      <c r="I3" s="88"/>
    </row>
    <row r="4" spans="1:9">
      <c r="A4" s="5" t="s">
        <v>117</v>
      </c>
      <c r="B4" s="40" t="s">
        <v>0</v>
      </c>
      <c r="C4" s="40"/>
      <c r="D4" s="40" t="s">
        <v>1</v>
      </c>
      <c r="E4" s="40"/>
      <c r="F4" s="40"/>
      <c r="G4" s="40"/>
      <c r="H4" s="40"/>
      <c r="I4" s="65"/>
    </row>
    <row r="5" spans="1:9">
      <c r="A5" s="5" t="s">
        <v>80</v>
      </c>
      <c r="B5" s="40" t="s">
        <v>2</v>
      </c>
      <c r="C5" s="40"/>
      <c r="D5" s="94" t="s">
        <v>87</v>
      </c>
      <c r="E5" s="67"/>
      <c r="F5" s="23"/>
      <c r="G5" s="20" t="s">
        <v>3</v>
      </c>
      <c r="H5" s="76"/>
      <c r="I5" s="95"/>
    </row>
    <row r="6" spans="1:9">
      <c r="A6" s="7" t="s">
        <v>4</v>
      </c>
      <c r="B6" s="86" t="s">
        <v>5</v>
      </c>
      <c r="C6" s="86"/>
      <c r="D6" s="86" t="s">
        <v>6</v>
      </c>
      <c r="E6" s="86"/>
      <c r="F6" s="86"/>
      <c r="G6" s="48" t="s">
        <v>7</v>
      </c>
      <c r="H6" s="48"/>
      <c r="I6" s="49"/>
    </row>
    <row r="7" spans="1:9">
      <c r="A7" s="6" t="s">
        <v>70</v>
      </c>
      <c r="B7" s="89" t="s">
        <v>8</v>
      </c>
      <c r="C7" s="90"/>
      <c r="D7" s="90"/>
      <c r="E7" s="90"/>
      <c r="F7" s="91"/>
      <c r="G7" s="92" t="s">
        <v>71</v>
      </c>
      <c r="H7" s="92"/>
      <c r="I7" s="93"/>
    </row>
    <row r="8" spans="1:9" ht="15" customHeight="1">
      <c r="A8" s="5" t="s">
        <v>83</v>
      </c>
      <c r="B8" s="18" t="s">
        <v>84</v>
      </c>
      <c r="C8" s="19" t="s">
        <v>82</v>
      </c>
      <c r="D8" s="74" t="s">
        <v>85</v>
      </c>
      <c r="E8" s="75"/>
      <c r="F8" s="76"/>
      <c r="G8" s="77"/>
      <c r="H8" s="20" t="s">
        <v>81</v>
      </c>
      <c r="I8" s="16"/>
    </row>
    <row r="9" spans="1:9">
      <c r="A9" s="5" t="s">
        <v>9</v>
      </c>
      <c r="B9" s="40" t="s">
        <v>10</v>
      </c>
      <c r="C9" s="40"/>
      <c r="D9" s="40"/>
      <c r="E9" s="40"/>
      <c r="F9" s="40"/>
      <c r="G9" s="40"/>
      <c r="H9" s="40"/>
      <c r="I9" s="65"/>
    </row>
    <row r="10" spans="1:9" ht="15" customHeight="1">
      <c r="A10" s="5" t="s">
        <v>66</v>
      </c>
      <c r="B10" s="40" t="s">
        <v>69</v>
      </c>
      <c r="C10" s="40"/>
      <c r="D10" s="40"/>
      <c r="E10" s="37" t="s">
        <v>118</v>
      </c>
      <c r="F10" s="38"/>
      <c r="G10" s="38"/>
      <c r="H10" s="38"/>
      <c r="I10" s="39"/>
    </row>
    <row r="11" spans="1:9">
      <c r="A11" s="7" t="s">
        <v>11</v>
      </c>
      <c r="B11" s="28" t="s">
        <v>119</v>
      </c>
      <c r="C11" s="66" t="s">
        <v>86</v>
      </c>
      <c r="D11" s="67"/>
      <c r="E11" s="78" t="s">
        <v>72</v>
      </c>
      <c r="F11" s="78"/>
      <c r="G11" s="78"/>
      <c r="H11" s="78"/>
      <c r="I11" s="79"/>
    </row>
    <row r="12" spans="1:9" ht="15" customHeight="1">
      <c r="A12" s="7" t="s">
        <v>65</v>
      </c>
      <c r="B12" s="37" t="s">
        <v>120</v>
      </c>
      <c r="C12" s="38"/>
      <c r="D12" s="38"/>
      <c r="E12" s="40"/>
      <c r="F12" s="40"/>
      <c r="G12" s="40"/>
      <c r="H12" s="37" t="s">
        <v>90</v>
      </c>
      <c r="I12" s="39"/>
    </row>
    <row r="13" spans="1:9" ht="15" customHeight="1">
      <c r="A13" s="7" t="s">
        <v>51</v>
      </c>
      <c r="B13" s="27">
        <f>B59</f>
        <v>0</v>
      </c>
      <c r="C13" s="126" t="s">
        <v>92</v>
      </c>
      <c r="D13" s="127"/>
      <c r="E13" s="128"/>
      <c r="F13" s="84" t="s">
        <v>12</v>
      </c>
      <c r="G13" s="85"/>
      <c r="H13" s="85"/>
      <c r="I13" s="21"/>
    </row>
    <row r="14" spans="1:9" ht="15" customHeight="1">
      <c r="A14" s="7" t="s">
        <v>91</v>
      </c>
      <c r="B14" s="27">
        <v>500</v>
      </c>
      <c r="C14" s="84" t="s">
        <v>13</v>
      </c>
      <c r="D14" s="85"/>
      <c r="E14" s="22"/>
      <c r="F14" s="82" t="s">
        <v>121</v>
      </c>
      <c r="G14" s="82"/>
      <c r="H14" s="82"/>
      <c r="I14" s="83"/>
    </row>
    <row r="15" spans="1:9" ht="15" customHeight="1">
      <c r="A15" s="5" t="s">
        <v>14</v>
      </c>
      <c r="B15" s="27">
        <f>(B13-500)*0.5</f>
        <v>-250</v>
      </c>
      <c r="C15" s="84" t="s">
        <v>15</v>
      </c>
      <c r="D15" s="85"/>
      <c r="E15" s="22"/>
      <c r="F15" s="82" t="s">
        <v>122</v>
      </c>
      <c r="G15" s="82"/>
      <c r="H15" s="82"/>
      <c r="I15" s="83"/>
    </row>
    <row r="16" spans="1:9" ht="15" customHeight="1">
      <c r="A16" s="5" t="s">
        <v>16</v>
      </c>
      <c r="B16" s="27">
        <f>B15</f>
        <v>-250</v>
      </c>
      <c r="C16" s="84" t="s">
        <v>17</v>
      </c>
      <c r="D16" s="85"/>
      <c r="E16" s="22"/>
      <c r="F16" s="82" t="s">
        <v>123</v>
      </c>
      <c r="G16" s="82"/>
      <c r="H16" s="82"/>
      <c r="I16" s="83"/>
    </row>
    <row r="17" spans="1:9" ht="15" customHeight="1">
      <c r="A17" s="30" t="s">
        <v>106</v>
      </c>
      <c r="B17" s="31"/>
      <c r="C17" s="31"/>
      <c r="D17" s="31"/>
      <c r="E17" s="31"/>
      <c r="F17" s="31"/>
      <c r="G17" s="31"/>
      <c r="H17" s="31"/>
      <c r="I17" s="32"/>
    </row>
    <row r="18" spans="1:9" ht="29" customHeight="1">
      <c r="A18" s="46" t="s">
        <v>100</v>
      </c>
      <c r="B18" s="47"/>
      <c r="C18" s="47"/>
      <c r="D18" s="47"/>
      <c r="E18" s="48" t="s">
        <v>18</v>
      </c>
      <c r="F18" s="48"/>
      <c r="G18" s="48"/>
      <c r="H18" s="48"/>
      <c r="I18" s="49"/>
    </row>
    <row r="19" spans="1:9" ht="29" customHeight="1">
      <c r="A19" s="46" t="s">
        <v>101</v>
      </c>
      <c r="B19" s="47"/>
      <c r="C19" s="47"/>
      <c r="D19" s="47"/>
      <c r="E19" s="48" t="s">
        <v>18</v>
      </c>
      <c r="F19" s="48"/>
      <c r="G19" s="48"/>
      <c r="H19" s="48"/>
      <c r="I19" s="49"/>
    </row>
    <row r="20" spans="1:9" ht="29" customHeight="1">
      <c r="A20" s="46" t="s">
        <v>102</v>
      </c>
      <c r="B20" s="47"/>
      <c r="C20" s="47"/>
      <c r="D20" s="47"/>
      <c r="E20" s="48" t="s">
        <v>18</v>
      </c>
      <c r="F20" s="48"/>
      <c r="G20" s="48"/>
      <c r="H20" s="48"/>
      <c r="I20" s="49"/>
    </row>
    <row r="21" spans="1:9" ht="29" customHeight="1">
      <c r="A21" s="46" t="s">
        <v>19</v>
      </c>
      <c r="B21" s="47"/>
      <c r="C21" s="47"/>
      <c r="D21" s="47"/>
      <c r="E21" s="48" t="s">
        <v>18</v>
      </c>
      <c r="F21" s="48"/>
      <c r="G21" s="48"/>
      <c r="H21" s="48"/>
      <c r="I21" s="49"/>
    </row>
    <row r="22" spans="1:9" ht="29" customHeight="1">
      <c r="A22" s="46" t="s">
        <v>103</v>
      </c>
      <c r="B22" s="47"/>
      <c r="C22" s="47"/>
      <c r="D22" s="47"/>
      <c r="E22" s="48" t="s">
        <v>18</v>
      </c>
      <c r="F22" s="48"/>
      <c r="G22" s="48"/>
      <c r="H22" s="48"/>
      <c r="I22" s="49"/>
    </row>
    <row r="23" spans="1:9" ht="29" customHeight="1">
      <c r="A23" s="46" t="s">
        <v>104</v>
      </c>
      <c r="B23" s="47"/>
      <c r="C23" s="47"/>
      <c r="D23" s="47"/>
      <c r="E23" s="48" t="s">
        <v>18</v>
      </c>
      <c r="F23" s="48"/>
      <c r="G23" s="48"/>
      <c r="H23" s="48"/>
      <c r="I23" s="49"/>
    </row>
    <row r="24" spans="1:9" ht="29" customHeight="1" thickBot="1">
      <c r="A24" s="33" t="s">
        <v>105</v>
      </c>
      <c r="B24" s="34"/>
      <c r="C24" s="34"/>
      <c r="D24" s="34"/>
      <c r="E24" s="35" t="s">
        <v>18</v>
      </c>
      <c r="F24" s="35"/>
      <c r="G24" s="35"/>
      <c r="H24" s="35"/>
      <c r="I24" s="36"/>
    </row>
    <row r="25" spans="1:9" ht="39" customHeight="1" thickBot="1">
      <c r="A25" s="129" t="s">
        <v>67</v>
      </c>
      <c r="B25" s="130"/>
      <c r="C25" s="130"/>
      <c r="D25" s="130"/>
      <c r="E25" s="130"/>
      <c r="F25" s="130"/>
      <c r="G25" s="130"/>
      <c r="H25" s="130"/>
      <c r="I25" s="131"/>
    </row>
    <row r="26" spans="1:9" ht="29" customHeight="1" thickBot="1">
      <c r="A26" s="57" t="s">
        <v>54</v>
      </c>
      <c r="B26" s="58"/>
      <c r="C26" s="58"/>
      <c r="D26" s="58"/>
      <c r="E26" s="58"/>
      <c r="F26" s="58"/>
      <c r="G26" s="58"/>
      <c r="H26" s="58"/>
      <c r="I26" s="59"/>
    </row>
    <row r="27" spans="1:9" ht="29" customHeight="1">
      <c r="A27" s="134" t="s">
        <v>20</v>
      </c>
      <c r="B27" s="135"/>
      <c r="C27" s="96" t="s">
        <v>53</v>
      </c>
      <c r="D27" s="97"/>
      <c r="E27" s="97"/>
      <c r="F27" s="97"/>
      <c r="G27" s="97"/>
      <c r="H27" s="97"/>
      <c r="I27" s="98"/>
    </row>
    <row r="28" spans="1:9" ht="56" customHeight="1" thickBot="1">
      <c r="A28" s="99" t="s">
        <v>107</v>
      </c>
      <c r="B28" s="100"/>
      <c r="C28" s="54" t="s">
        <v>55</v>
      </c>
      <c r="D28" s="55"/>
      <c r="E28" s="55"/>
      <c r="F28" s="55"/>
      <c r="G28" s="55"/>
      <c r="H28" s="55"/>
      <c r="I28" s="56"/>
    </row>
    <row r="29" spans="1:9" ht="15" customHeight="1">
      <c r="A29" s="101" t="s">
        <v>21</v>
      </c>
      <c r="B29" s="102"/>
      <c r="C29" s="80"/>
      <c r="D29" s="80"/>
      <c r="E29" s="80"/>
      <c r="F29" s="80"/>
      <c r="G29" s="80"/>
      <c r="H29" s="80"/>
      <c r="I29" s="81"/>
    </row>
    <row r="30" spans="1:9">
      <c r="A30" s="1" t="s">
        <v>22</v>
      </c>
      <c r="B30" s="17">
        <v>0</v>
      </c>
      <c r="C30" s="52" t="s">
        <v>23</v>
      </c>
      <c r="D30" s="52"/>
      <c r="E30" s="52"/>
      <c r="F30" s="52"/>
      <c r="G30" s="52"/>
      <c r="H30" s="52"/>
      <c r="I30" s="53"/>
    </row>
    <row r="31" spans="1:9" s="11" customFormat="1">
      <c r="A31" s="1" t="s">
        <v>88</v>
      </c>
      <c r="B31" s="17">
        <v>0</v>
      </c>
      <c r="C31" s="52"/>
      <c r="D31" s="52"/>
      <c r="E31" s="52"/>
      <c r="F31" s="52"/>
      <c r="G31" s="52"/>
      <c r="H31" s="52"/>
      <c r="I31" s="53"/>
    </row>
    <row r="32" spans="1:9">
      <c r="A32" s="1" t="s">
        <v>24</v>
      </c>
      <c r="B32" s="17">
        <v>0</v>
      </c>
      <c r="C32" s="52" t="s">
        <v>25</v>
      </c>
      <c r="D32" s="52"/>
      <c r="E32" s="52"/>
      <c r="F32" s="52"/>
      <c r="G32" s="52"/>
      <c r="H32" s="52"/>
      <c r="I32" s="53"/>
    </row>
    <row r="33" spans="1:9">
      <c r="A33" s="1" t="s">
        <v>26</v>
      </c>
      <c r="B33" s="17">
        <v>0</v>
      </c>
      <c r="C33" s="52"/>
      <c r="D33" s="52"/>
      <c r="E33" s="52"/>
      <c r="F33" s="52"/>
      <c r="G33" s="52"/>
      <c r="H33" s="52"/>
      <c r="I33" s="53"/>
    </row>
    <row r="34" spans="1:9">
      <c r="A34" s="1" t="s">
        <v>27</v>
      </c>
      <c r="B34" s="17">
        <v>0</v>
      </c>
      <c r="C34" s="52"/>
      <c r="D34" s="52"/>
      <c r="E34" s="52"/>
      <c r="F34" s="52"/>
      <c r="G34" s="52"/>
      <c r="H34" s="52"/>
      <c r="I34" s="53"/>
    </row>
    <row r="35" spans="1:9">
      <c r="A35" s="1" t="s">
        <v>28</v>
      </c>
      <c r="B35" s="17">
        <v>0</v>
      </c>
      <c r="C35" s="52"/>
      <c r="D35" s="52"/>
      <c r="E35" s="52"/>
      <c r="F35" s="52"/>
      <c r="G35" s="52"/>
      <c r="H35" s="52"/>
      <c r="I35" s="53"/>
    </row>
    <row r="36" spans="1:9">
      <c r="A36" s="1" t="s">
        <v>29</v>
      </c>
      <c r="B36" s="17">
        <v>0</v>
      </c>
      <c r="C36" s="52"/>
      <c r="D36" s="52"/>
      <c r="E36" s="52"/>
      <c r="F36" s="52"/>
      <c r="G36" s="52"/>
      <c r="H36" s="52"/>
      <c r="I36" s="53"/>
    </row>
    <row r="37" spans="1:9">
      <c r="A37" s="2" t="s">
        <v>30</v>
      </c>
      <c r="B37" s="13">
        <f>SUM(B30:B36)</f>
        <v>0</v>
      </c>
      <c r="C37" s="52"/>
      <c r="D37" s="52"/>
      <c r="E37" s="52"/>
      <c r="F37" s="52"/>
      <c r="G37" s="52"/>
      <c r="H37" s="52"/>
      <c r="I37" s="53"/>
    </row>
    <row r="38" spans="1:9">
      <c r="A38" s="50" t="s">
        <v>31</v>
      </c>
      <c r="B38" s="51"/>
      <c r="C38" s="52" t="s">
        <v>32</v>
      </c>
      <c r="D38" s="52"/>
      <c r="E38" s="52"/>
      <c r="F38" s="52"/>
      <c r="G38" s="52"/>
      <c r="H38" s="52"/>
      <c r="I38" s="53"/>
    </row>
    <row r="39" spans="1:9">
      <c r="A39" s="1" t="s">
        <v>33</v>
      </c>
      <c r="B39" s="17">
        <v>0</v>
      </c>
      <c r="C39" s="52"/>
      <c r="D39" s="52"/>
      <c r="E39" s="52"/>
      <c r="F39" s="52"/>
      <c r="G39" s="52"/>
      <c r="H39" s="52"/>
      <c r="I39" s="53"/>
    </row>
    <row r="40" spans="1:9">
      <c r="A40" s="1" t="s">
        <v>34</v>
      </c>
      <c r="B40" s="17">
        <v>0</v>
      </c>
      <c r="C40" s="105"/>
      <c r="D40" s="105"/>
      <c r="E40" s="105"/>
      <c r="F40" s="105"/>
      <c r="G40" s="105"/>
      <c r="H40" s="105"/>
      <c r="I40" s="106"/>
    </row>
    <row r="41" spans="1:9" ht="15" customHeight="1">
      <c r="A41" s="1" t="s">
        <v>35</v>
      </c>
      <c r="B41" s="24">
        <v>0</v>
      </c>
      <c r="C41" s="68" t="s">
        <v>125</v>
      </c>
      <c r="D41" s="69"/>
      <c r="E41" s="69"/>
      <c r="F41" s="69"/>
      <c r="G41" s="69"/>
      <c r="H41" s="69"/>
      <c r="I41" s="70"/>
    </row>
    <row r="42" spans="1:9">
      <c r="A42" s="1" t="s">
        <v>36</v>
      </c>
      <c r="B42" s="24">
        <v>0</v>
      </c>
      <c r="C42" s="71"/>
      <c r="D42" s="72"/>
      <c r="E42" s="72"/>
      <c r="F42" s="72"/>
      <c r="G42" s="72"/>
      <c r="H42" s="72"/>
      <c r="I42" s="73"/>
    </row>
    <row r="43" spans="1:9">
      <c r="A43" s="1" t="s">
        <v>37</v>
      </c>
      <c r="B43" s="24">
        <v>0</v>
      </c>
      <c r="C43" s="105"/>
      <c r="D43" s="105"/>
      <c r="E43" s="105"/>
      <c r="F43" s="105"/>
      <c r="G43" s="105"/>
      <c r="H43" s="105"/>
      <c r="I43" s="106"/>
    </row>
    <row r="44" spans="1:9" ht="15" customHeight="1">
      <c r="A44" s="1" t="s">
        <v>38</v>
      </c>
      <c r="B44" s="17">
        <v>0</v>
      </c>
      <c r="C44" s="105"/>
      <c r="D44" s="105"/>
      <c r="E44" s="105"/>
      <c r="F44" s="105"/>
      <c r="G44" s="105"/>
      <c r="H44" s="105"/>
      <c r="I44" s="106"/>
    </row>
    <row r="45" spans="1:9" ht="15" customHeight="1">
      <c r="A45" s="1" t="s">
        <v>39</v>
      </c>
      <c r="B45" s="17">
        <v>0</v>
      </c>
      <c r="C45" s="52" t="s">
        <v>40</v>
      </c>
      <c r="D45" s="52"/>
      <c r="E45" s="52"/>
      <c r="F45" s="52"/>
      <c r="G45" s="52"/>
      <c r="H45" s="52"/>
      <c r="I45" s="53"/>
    </row>
    <row r="46" spans="1:9" ht="15" customHeight="1">
      <c r="A46" s="2" t="s">
        <v>41</v>
      </c>
      <c r="B46" s="13">
        <f>B40+B41+B42+B43+B44+B45+B39</f>
        <v>0</v>
      </c>
      <c r="C46" s="52"/>
      <c r="D46" s="52"/>
      <c r="E46" s="52"/>
      <c r="F46" s="52"/>
      <c r="G46" s="52"/>
      <c r="H46" s="52"/>
      <c r="I46" s="53"/>
    </row>
    <row r="47" spans="1:9">
      <c r="A47" s="1" t="s">
        <v>42</v>
      </c>
      <c r="B47" s="17">
        <v>0</v>
      </c>
      <c r="C47" s="68" t="s">
        <v>89</v>
      </c>
      <c r="D47" s="69"/>
      <c r="E47" s="69"/>
      <c r="F47" s="69"/>
      <c r="G47" s="69"/>
      <c r="H47" s="69"/>
      <c r="I47" s="70"/>
    </row>
    <row r="48" spans="1:9" ht="38" customHeight="1">
      <c r="A48" s="1" t="s">
        <v>43</v>
      </c>
      <c r="B48" s="17">
        <v>0</v>
      </c>
      <c r="C48" s="71"/>
      <c r="D48" s="72"/>
      <c r="E48" s="72"/>
      <c r="F48" s="72"/>
      <c r="G48" s="72"/>
      <c r="H48" s="72"/>
      <c r="I48" s="73"/>
    </row>
    <row r="49" spans="1:9">
      <c r="A49" s="8" t="s">
        <v>108</v>
      </c>
      <c r="B49" s="14">
        <f>B47+B48</f>
        <v>0</v>
      </c>
      <c r="C49" s="52" t="s">
        <v>44</v>
      </c>
      <c r="D49" s="52"/>
      <c r="E49" s="52"/>
      <c r="F49" s="52"/>
      <c r="G49" s="52"/>
      <c r="H49" s="52"/>
      <c r="I49" s="53"/>
    </row>
    <row r="50" spans="1:9">
      <c r="A50" s="8" t="s">
        <v>45</v>
      </c>
      <c r="B50" s="14">
        <f>B49*0.0765</f>
        <v>0</v>
      </c>
      <c r="C50" s="52" t="s">
        <v>109</v>
      </c>
      <c r="D50" s="52"/>
      <c r="E50" s="52"/>
      <c r="F50" s="52"/>
      <c r="G50" s="52"/>
      <c r="H50" s="52"/>
      <c r="I50" s="53"/>
    </row>
    <row r="51" spans="1:9" ht="15" customHeight="1">
      <c r="A51" s="8" t="s">
        <v>46</v>
      </c>
      <c r="B51" s="14">
        <f>B49+B50</f>
        <v>0</v>
      </c>
      <c r="C51" s="52" t="s">
        <v>47</v>
      </c>
      <c r="D51" s="52"/>
      <c r="E51" s="52"/>
      <c r="F51" s="52"/>
      <c r="G51" s="52"/>
      <c r="H51" s="52"/>
      <c r="I51" s="53"/>
    </row>
    <row r="52" spans="1:9" ht="15" customHeight="1">
      <c r="A52" s="8" t="s">
        <v>110</v>
      </c>
      <c r="B52" s="14">
        <f>SUM(B46+B51)</f>
        <v>0</v>
      </c>
      <c r="C52" s="52"/>
      <c r="D52" s="52"/>
      <c r="E52" s="52"/>
      <c r="F52" s="52"/>
      <c r="G52" s="52"/>
      <c r="H52" s="52"/>
      <c r="I52" s="53"/>
    </row>
    <row r="53" spans="1:9" ht="59" customHeight="1">
      <c r="A53" s="2" t="s">
        <v>48</v>
      </c>
      <c r="B53" s="13">
        <f>(B52/H53)</f>
        <v>0</v>
      </c>
      <c r="C53" s="107" t="s">
        <v>111</v>
      </c>
      <c r="D53" s="108"/>
      <c r="E53" s="108"/>
      <c r="F53" s="108"/>
      <c r="G53" s="109"/>
      <c r="H53" s="110">
        <v>10</v>
      </c>
      <c r="I53" s="111"/>
    </row>
    <row r="54" spans="1:9" ht="16" thickBot="1">
      <c r="A54" s="112"/>
      <c r="B54" s="113"/>
      <c r="C54" s="113"/>
      <c r="D54" s="113"/>
      <c r="E54" s="113"/>
      <c r="F54" s="113"/>
      <c r="G54" s="113"/>
      <c r="H54" s="113"/>
      <c r="I54" s="114"/>
    </row>
    <row r="55" spans="1:9">
      <c r="A55" s="101" t="s">
        <v>79</v>
      </c>
      <c r="B55" s="102"/>
      <c r="C55" s="103"/>
      <c r="D55" s="103"/>
      <c r="E55" s="103"/>
      <c r="F55" s="103"/>
      <c r="G55" s="103"/>
      <c r="H55" s="103"/>
      <c r="I55" s="104"/>
    </row>
    <row r="56" spans="1:9" ht="15" customHeight="1">
      <c r="A56" s="1" t="s">
        <v>76</v>
      </c>
      <c r="B56" s="17">
        <v>0</v>
      </c>
      <c r="C56" s="52" t="s">
        <v>68</v>
      </c>
      <c r="D56" s="52"/>
      <c r="E56" s="52"/>
      <c r="F56" s="52"/>
      <c r="G56" s="52"/>
      <c r="H56" s="52"/>
      <c r="I56" s="53"/>
    </row>
    <row r="57" spans="1:9" ht="28" customHeight="1">
      <c r="A57" s="1" t="s">
        <v>77</v>
      </c>
      <c r="B57" s="17">
        <v>0</v>
      </c>
      <c r="C57" s="52" t="s">
        <v>112</v>
      </c>
      <c r="D57" s="52"/>
      <c r="E57" s="52"/>
      <c r="F57" s="52"/>
      <c r="G57" s="52"/>
      <c r="H57" s="52"/>
      <c r="I57" s="53"/>
    </row>
    <row r="58" spans="1:9">
      <c r="A58" s="2" t="s">
        <v>49</v>
      </c>
      <c r="B58" s="13">
        <f>B56+B57</f>
        <v>0</v>
      </c>
      <c r="C58" s="52" t="s">
        <v>50</v>
      </c>
      <c r="D58" s="52"/>
      <c r="E58" s="52"/>
      <c r="F58" s="52"/>
      <c r="G58" s="52"/>
      <c r="H58" s="52"/>
      <c r="I58" s="53"/>
    </row>
    <row r="59" spans="1:9" ht="16" thickBot="1">
      <c r="A59" s="3" t="s">
        <v>51</v>
      </c>
      <c r="B59" s="15">
        <f>B37+B53+B58</f>
        <v>0</v>
      </c>
      <c r="C59" s="132" t="s">
        <v>52</v>
      </c>
      <c r="D59" s="132"/>
      <c r="E59" s="132"/>
      <c r="F59" s="132"/>
      <c r="G59" s="132"/>
      <c r="H59" s="132"/>
      <c r="I59" s="133"/>
    </row>
    <row r="60" spans="1:9" ht="30" customHeight="1" thickBot="1">
      <c r="A60" s="29"/>
      <c r="B60" s="29"/>
      <c r="C60" s="29"/>
      <c r="D60" s="29"/>
      <c r="E60" s="29"/>
      <c r="F60" s="29"/>
      <c r="G60" s="29"/>
      <c r="H60" s="29"/>
      <c r="I60" s="29"/>
    </row>
    <row r="61" spans="1:9" ht="30" customHeight="1">
      <c r="A61" s="41" t="s">
        <v>73</v>
      </c>
      <c r="B61" s="42"/>
      <c r="C61" s="60" t="s">
        <v>56</v>
      </c>
      <c r="D61" s="60"/>
      <c r="E61" s="60"/>
      <c r="F61" s="60"/>
      <c r="G61" s="60"/>
      <c r="H61" s="60"/>
      <c r="I61" s="61"/>
    </row>
    <row r="62" spans="1:9" ht="16" customHeight="1">
      <c r="A62" s="1" t="s">
        <v>57</v>
      </c>
      <c r="B62" s="17">
        <v>0</v>
      </c>
      <c r="C62" s="43" t="s">
        <v>63</v>
      </c>
      <c r="D62" s="44"/>
      <c r="E62" s="44"/>
      <c r="F62" s="44"/>
      <c r="G62" s="44"/>
      <c r="H62" s="44"/>
      <c r="I62" s="45"/>
    </row>
    <row r="63" spans="1:9">
      <c r="A63" s="1" t="s">
        <v>58</v>
      </c>
      <c r="B63" s="17">
        <v>0</v>
      </c>
      <c r="C63" s="43"/>
      <c r="D63" s="44"/>
      <c r="E63" s="44"/>
      <c r="F63" s="44"/>
      <c r="G63" s="44"/>
      <c r="H63" s="44"/>
      <c r="I63" s="45"/>
    </row>
    <row r="64" spans="1:9" ht="30" customHeight="1">
      <c r="A64" s="1" t="s">
        <v>59</v>
      </c>
      <c r="B64" s="17">
        <v>0</v>
      </c>
      <c r="C64" s="43"/>
      <c r="D64" s="44"/>
      <c r="E64" s="44"/>
      <c r="F64" s="44"/>
      <c r="G64" s="44"/>
      <c r="H64" s="44"/>
      <c r="I64" s="45"/>
    </row>
    <row r="65" spans="1:9" ht="15" customHeight="1">
      <c r="A65" s="9" t="s">
        <v>60</v>
      </c>
      <c r="B65" s="17">
        <v>0</v>
      </c>
      <c r="C65" s="115"/>
      <c r="D65" s="116"/>
      <c r="E65" s="116"/>
      <c r="F65" s="116"/>
      <c r="G65" s="116"/>
      <c r="H65" s="116"/>
      <c r="I65" s="117"/>
    </row>
    <row r="66" spans="1:9">
      <c r="A66" s="9" t="s">
        <v>74</v>
      </c>
      <c r="B66" s="17">
        <v>0</v>
      </c>
      <c r="C66" s="43" t="s">
        <v>64</v>
      </c>
      <c r="D66" s="44"/>
      <c r="E66" s="44"/>
      <c r="F66" s="44"/>
      <c r="G66" s="44"/>
      <c r="H66" s="44"/>
      <c r="I66" s="45"/>
    </row>
    <row r="67" spans="1:9">
      <c r="A67" s="9" t="s">
        <v>61</v>
      </c>
      <c r="B67" s="17">
        <v>0</v>
      </c>
      <c r="C67" s="115"/>
      <c r="D67" s="116"/>
      <c r="E67" s="116"/>
      <c r="F67" s="116"/>
      <c r="G67" s="116"/>
      <c r="H67" s="116"/>
      <c r="I67" s="117"/>
    </row>
    <row r="68" spans="1:9">
      <c r="A68" s="2" t="s">
        <v>78</v>
      </c>
      <c r="B68" s="14">
        <f>SUM(B62:B67)</f>
        <v>0</v>
      </c>
      <c r="C68" s="115"/>
      <c r="D68" s="116"/>
      <c r="E68" s="116"/>
      <c r="F68" s="116"/>
      <c r="G68" s="116"/>
      <c r="H68" s="116"/>
      <c r="I68" s="117"/>
    </row>
    <row r="69" spans="1:9" ht="15" customHeight="1" thickBot="1">
      <c r="A69" s="10" t="s">
        <v>62</v>
      </c>
      <c r="B69" s="15">
        <f>B68+B59</f>
        <v>0</v>
      </c>
      <c r="C69" s="62" t="s">
        <v>75</v>
      </c>
      <c r="D69" s="63"/>
      <c r="E69" s="63"/>
      <c r="F69" s="63"/>
      <c r="G69" s="63"/>
      <c r="H69" s="63"/>
      <c r="I69" s="64"/>
    </row>
    <row r="70" spans="1:9" ht="16" thickBot="1">
      <c r="A70" s="29"/>
      <c r="B70" s="29"/>
      <c r="C70" s="29"/>
      <c r="D70" s="29"/>
      <c r="E70" s="29"/>
      <c r="F70" s="29"/>
      <c r="G70" s="29"/>
      <c r="H70" s="29"/>
      <c r="I70" s="29"/>
    </row>
    <row r="71" spans="1:9">
      <c r="A71" s="41" t="s">
        <v>94</v>
      </c>
      <c r="B71" s="42"/>
      <c r="C71" s="60"/>
      <c r="D71" s="60"/>
      <c r="E71" s="60"/>
      <c r="F71" s="60"/>
      <c r="G71" s="60"/>
      <c r="H71" s="60"/>
      <c r="I71" s="61"/>
    </row>
    <row r="72" spans="1:9" ht="26">
      <c r="A72" s="9" t="s">
        <v>99</v>
      </c>
      <c r="B72" s="17"/>
      <c r="C72" s="43" t="s">
        <v>97</v>
      </c>
      <c r="D72" s="44" t="s">
        <v>95</v>
      </c>
      <c r="E72" s="44" t="s">
        <v>96</v>
      </c>
      <c r="F72" s="44"/>
      <c r="G72" s="44"/>
      <c r="H72" s="44"/>
      <c r="I72" s="45"/>
    </row>
    <row r="73" spans="1:9" ht="57" customHeight="1">
      <c r="A73" s="9" t="s">
        <v>113</v>
      </c>
      <c r="B73" s="17"/>
      <c r="C73" s="43" t="s">
        <v>114</v>
      </c>
      <c r="D73" s="44"/>
      <c r="E73" s="44"/>
      <c r="F73" s="44"/>
      <c r="G73" s="44"/>
      <c r="H73" s="44"/>
      <c r="I73" s="45"/>
    </row>
    <row r="74" spans="1:9" ht="124" customHeight="1" thickBot="1">
      <c r="A74" s="25" t="s">
        <v>98</v>
      </c>
      <c r="B74" s="26"/>
      <c r="C74" s="62" t="s">
        <v>115</v>
      </c>
      <c r="D74" s="63"/>
      <c r="E74" s="63"/>
      <c r="F74" s="63"/>
      <c r="G74" s="63"/>
      <c r="H74" s="63"/>
      <c r="I74" s="64"/>
    </row>
    <row r="76" spans="1:9" ht="86" customHeight="1"/>
    <row r="77" spans="1:9" ht="71" customHeight="1"/>
  </sheetData>
  <sheetProtection password="EA35" sheet="1" objects="1" scenarios="1" selectLockedCells="1"/>
  <mergeCells count="104">
    <mergeCell ref="C67:I67"/>
    <mergeCell ref="C68:I68"/>
    <mergeCell ref="C69:I69"/>
    <mergeCell ref="A2:G2"/>
    <mergeCell ref="H1:I2"/>
    <mergeCell ref="A1:G1"/>
    <mergeCell ref="C13:E13"/>
    <mergeCell ref="A25:I25"/>
    <mergeCell ref="A61:B61"/>
    <mergeCell ref="C61:I61"/>
    <mergeCell ref="C62:I62"/>
    <mergeCell ref="C63:I63"/>
    <mergeCell ref="C64:I64"/>
    <mergeCell ref="C65:I65"/>
    <mergeCell ref="C66:I66"/>
    <mergeCell ref="A60:I60"/>
    <mergeCell ref="A29:B29"/>
    <mergeCell ref="C58:I58"/>
    <mergeCell ref="C59:I59"/>
    <mergeCell ref="A27:B27"/>
    <mergeCell ref="C56:I56"/>
    <mergeCell ref="C57:I57"/>
    <mergeCell ref="C35:I35"/>
    <mergeCell ref="C36:I36"/>
    <mergeCell ref="C27:I27"/>
    <mergeCell ref="A28:B28"/>
    <mergeCell ref="A20:D20"/>
    <mergeCell ref="E20:I20"/>
    <mergeCell ref="A55:B55"/>
    <mergeCell ref="C52:I52"/>
    <mergeCell ref="C55:I55"/>
    <mergeCell ref="C39:I39"/>
    <mergeCell ref="C40:I40"/>
    <mergeCell ref="C43:I43"/>
    <mergeCell ref="C44:I44"/>
    <mergeCell ref="C51:I51"/>
    <mergeCell ref="C53:G53"/>
    <mergeCell ref="H53:I53"/>
    <mergeCell ref="C45:I45"/>
    <mergeCell ref="C46:I46"/>
    <mergeCell ref="C49:I49"/>
    <mergeCell ref="C50:I50"/>
    <mergeCell ref="A54:I54"/>
    <mergeCell ref="C41:I42"/>
    <mergeCell ref="B6:C6"/>
    <mergeCell ref="D6:F6"/>
    <mergeCell ref="G6:I6"/>
    <mergeCell ref="B3:C3"/>
    <mergeCell ref="D3:I3"/>
    <mergeCell ref="B4:C4"/>
    <mergeCell ref="D4:I4"/>
    <mergeCell ref="B5:C5"/>
    <mergeCell ref="B7:F7"/>
    <mergeCell ref="G7:I7"/>
    <mergeCell ref="D5:E5"/>
    <mergeCell ref="H5:I5"/>
    <mergeCell ref="C73:I73"/>
    <mergeCell ref="C71:I71"/>
    <mergeCell ref="C74:I74"/>
    <mergeCell ref="B9:I9"/>
    <mergeCell ref="C11:D11"/>
    <mergeCell ref="C47:I48"/>
    <mergeCell ref="D8:E8"/>
    <mergeCell ref="F8:G8"/>
    <mergeCell ref="B10:D10"/>
    <mergeCell ref="E11:I11"/>
    <mergeCell ref="C29:I29"/>
    <mergeCell ref="C38:I38"/>
    <mergeCell ref="C30:I30"/>
    <mergeCell ref="C31:I31"/>
    <mergeCell ref="C32:I32"/>
    <mergeCell ref="A18:D18"/>
    <mergeCell ref="E18:I18"/>
    <mergeCell ref="F16:I16"/>
    <mergeCell ref="F13:H13"/>
    <mergeCell ref="C14:D14"/>
    <mergeCell ref="C15:D15"/>
    <mergeCell ref="C16:D16"/>
    <mergeCell ref="F14:I14"/>
    <mergeCell ref="F15:I15"/>
    <mergeCell ref="A70:I70"/>
    <mergeCell ref="A17:I17"/>
    <mergeCell ref="A24:D24"/>
    <mergeCell ref="E24:I24"/>
    <mergeCell ref="E10:I10"/>
    <mergeCell ref="B12:D12"/>
    <mergeCell ref="E12:G12"/>
    <mergeCell ref="A71:B71"/>
    <mergeCell ref="C72:I72"/>
    <mergeCell ref="H12:I12"/>
    <mergeCell ref="A19:D19"/>
    <mergeCell ref="E19:I19"/>
    <mergeCell ref="A21:D21"/>
    <mergeCell ref="E21:I21"/>
    <mergeCell ref="A38:B38"/>
    <mergeCell ref="C37:I37"/>
    <mergeCell ref="A22:D22"/>
    <mergeCell ref="E22:I22"/>
    <mergeCell ref="A23:D23"/>
    <mergeCell ref="E23:I23"/>
    <mergeCell ref="C28:I28"/>
    <mergeCell ref="A26:I26"/>
    <mergeCell ref="C33:I33"/>
    <mergeCell ref="C34:I34"/>
  </mergeCells>
  <phoneticPr fontId="15" type="noConversion"/>
  <pageMargins left="0.30555555555555558" right="0.15277777777777779" top="0.41666666666666669" bottom="0.31944444444444442" header="0" footer="0"/>
  <pageSetup orientation="landscape" horizontalDpi="4294967292" verticalDpi="4294967292"/>
  <drawing r:id="rId1"/>
  <extLst>
    <ext xmlns:mx="http://schemas.microsoft.com/office/mac/excel/2008/main" uri="{64002731-A6B0-56B0-2670-7721B7C09600}">
      <mx:PLV Mode="1" OnePage="0" WScale="10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University of Mary Washington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Kate Jordan</dc:creator>
  <cp:lastModifiedBy>Kate Jordan</cp:lastModifiedBy>
  <cp:lastPrinted>2012-06-20T18:59:42Z</cp:lastPrinted>
  <dcterms:created xsi:type="dcterms:W3CDTF">2012-06-20T17:56:04Z</dcterms:created>
  <dcterms:modified xsi:type="dcterms:W3CDTF">2013-04-16T17:52:42Z</dcterms:modified>
</cp:coreProperties>
</file>